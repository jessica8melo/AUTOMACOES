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EstaPastaDeTrabalho"/>
  <mc:AlternateContent xmlns:mc="http://schemas.openxmlformats.org/markup-compatibility/2006">
    <mc:Choice Requires="x15">
      <x15ac:absPath xmlns:x15ac="http://schemas.microsoft.com/office/spreadsheetml/2010/11/ac" url="https://bbtecno.sharepoint.com/teams/contasapagar/Documentos Partilhados/Conciliação Bancária/BB 2058/2025/07 - Julho/"/>
    </mc:Choice>
  </mc:AlternateContent>
  <xr:revisionPtr revIDLastSave="59340" documentId="11_F5FE26729F2CB9F24410F37483D26D57685CA949" xr6:coauthVersionLast="47" xr6:coauthVersionMax="47" xr10:uidLastSave="{E4B704F7-33A5-41CA-8E22-7B213B92AF6A}"/>
  <bookViews>
    <workbookView xWindow="28680" yWindow="-120" windowWidth="29040" windowHeight="15720" firstSheet="4" activeTab="14" xr2:uid="{00000000-000D-0000-FFFF-FFFF00000000}"/>
  </bookViews>
  <sheets>
    <sheet name="01.08.25" sheetId="171" r:id="rId1"/>
    <sheet name="04.08.25" sheetId="235" r:id="rId2"/>
    <sheet name="05.08.25" sheetId="236" r:id="rId3"/>
    <sheet name="06.08.25" sheetId="237" r:id="rId4"/>
    <sheet name="07.08.25" sheetId="238" r:id="rId5"/>
    <sheet name="08.08.25" sheetId="239" r:id="rId6"/>
    <sheet name="09.07.25" sheetId="240" r:id="rId7"/>
    <sheet name="10.07.25" sheetId="241" r:id="rId8"/>
    <sheet name="11.07.25" sheetId="242" r:id="rId9"/>
    <sheet name="14.07.25" sheetId="243" r:id="rId10"/>
    <sheet name="15.07.25" sheetId="244" r:id="rId11"/>
    <sheet name="16.07.25" sheetId="261" r:id="rId12"/>
    <sheet name="17.07.25" sheetId="246" r:id="rId13"/>
    <sheet name="18.07.25" sheetId="249" r:id="rId14"/>
    <sheet name="21.07.25" sheetId="250" r:id="rId15"/>
    <sheet name="22.07.25" sheetId="257" r:id="rId16"/>
    <sheet name="23.07.25" sheetId="253" r:id="rId17"/>
    <sheet name="24.07.25" sheetId="254" r:id="rId18"/>
    <sheet name="25.07.25" sheetId="255" r:id="rId19"/>
    <sheet name="28.07.25" sheetId="258" r:id="rId20"/>
    <sheet name="29.07.25" sheetId="259" r:id="rId21"/>
    <sheet name="30.07.25" sheetId="256" r:id="rId22"/>
    <sheet name="31.07.25" sheetId="260" r:id="rId23"/>
    <sheet name="Planilha10" sheetId="234" state="hidden" r:id="rId24"/>
    <sheet name="Planilha9" sheetId="233" state="hidden" r:id="rId25"/>
    <sheet name="Modelo DICOS" sheetId="131" state="hidden" r:id="rId26"/>
    <sheet name="Planilha24" sheetId="222" state="hidden" r:id="rId27"/>
    <sheet name="Planilha23" sheetId="221" state="hidden" r:id="rId28"/>
    <sheet name="Planilha3" sheetId="225" state="hidden" r:id="rId29"/>
    <sheet name="MODELO GIRO AMORT." sheetId="112" state="hidden" r:id="rId30"/>
    <sheet name="MODELO IOF A RECOLHER" sheetId="119" state="hidden" r:id="rId31"/>
    <sheet name="Estorno GL 1109" sheetId="142" state="hidden" r:id="rId32"/>
    <sheet name="Estorno GL 1309" sheetId="164" state="hidden" r:id="rId33"/>
  </sheets>
  <definedNames>
    <definedName name="_xlnm._FilterDatabase" localSheetId="0" hidden="1">'01.08.25'!$A$1:$C$80</definedName>
    <definedName name="_xlnm._FilterDatabase" localSheetId="1" hidden="1">'04.08.25'!$A$1:$C$63</definedName>
    <definedName name="_xlnm._FilterDatabase" localSheetId="2" hidden="1">'05.08.25'!$A$1:$C$47</definedName>
    <definedName name="_xlnm._FilterDatabase" localSheetId="3" hidden="1">'06.08.25'!$A$1:$E$1</definedName>
    <definedName name="_xlnm._FilterDatabase" localSheetId="4" hidden="1">'07.08.25'!$A$1:$C$1</definedName>
    <definedName name="_xlnm._FilterDatabase" localSheetId="5" hidden="1">'08.08.25'!$A$1:$E$1</definedName>
    <definedName name="_xlnm._FilterDatabase" localSheetId="6" hidden="1">'09.07.25'!$A$1:$G$72</definedName>
    <definedName name="_xlnm._FilterDatabase" localSheetId="7" hidden="1">'10.07.25'!$A$1:$G$86</definedName>
    <definedName name="_xlnm._FilterDatabase" localSheetId="8" hidden="1">'11.07.25'!$A$1:$E$1</definedName>
    <definedName name="_xlnm._FilterDatabase" localSheetId="9" hidden="1">'14.07.25'!$A$1:$E$1</definedName>
    <definedName name="_xlnm._FilterDatabase" localSheetId="10" hidden="1">'15.07.25'!$A$1:$K$99</definedName>
    <definedName name="_xlnm._FilterDatabase" localSheetId="11" hidden="1">'16.07.25'!$A$1:$K$99</definedName>
    <definedName name="_xlnm._FilterDatabase" localSheetId="12" hidden="1">'17.07.25'!$A$1:$E$54</definedName>
    <definedName name="_xlnm._FilterDatabase" localSheetId="13" hidden="1">'18.07.25'!$A$1:$K$81</definedName>
    <definedName name="_xlnm._FilterDatabase" localSheetId="14" hidden="1">'21.07.25'!$A$1:$J$105</definedName>
    <definedName name="_xlnm._FilterDatabase" localSheetId="15" hidden="1">'22.07.25'!$A$1:$C$1</definedName>
    <definedName name="_xlnm._FilterDatabase" localSheetId="16" hidden="1">'23.07.25'!$A$1:$C$1</definedName>
    <definedName name="_xlnm._FilterDatabase" localSheetId="17" hidden="1">'24.07.25'!$A$1:$C$1</definedName>
    <definedName name="_xlnm._FilterDatabase" localSheetId="18" hidden="1">'25.07.25'!$A$1:$C$1</definedName>
    <definedName name="_xlnm._FilterDatabase" localSheetId="19" hidden="1">'28.07.25'!$A$1:$C$1</definedName>
    <definedName name="_xlnm._FilterDatabase" localSheetId="20" hidden="1">'29.07.25'!$A$1:$C$1</definedName>
    <definedName name="_xlnm._FilterDatabase" localSheetId="21" hidden="1">'30.07.25'!#REF!</definedName>
    <definedName name="_xlnm._FilterDatabase" localSheetId="22" hidden="1">'31.07.25'!$A$1:$C$1</definedName>
    <definedName name="_xlnm._FilterDatabase" localSheetId="31" hidden="1">'Estorno GL 1109'!$A$1:$V$347</definedName>
    <definedName name="_xlnm._FilterDatabase" localSheetId="32" hidden="1">'Estorno GL 1309'!$A$1:$V$1</definedName>
  </definedNames>
  <calcPr calcId="191028"/>
  <pivotCaches>
    <pivotCache cacheId="2" r:id="rId34"/>
    <pivotCache cacheId="3" r:id="rId3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5" i="171" l="1"/>
  <c r="J13" i="260"/>
  <c r="J15" i="244"/>
  <c r="J16" i="244" s="1"/>
  <c r="L29" i="238"/>
  <c r="L31" i="238" s="1"/>
  <c r="L30" i="238"/>
  <c r="J92" i="238"/>
  <c r="L2" i="236"/>
  <c r="I11" i="225" l="1"/>
  <c r="H11" i="225"/>
  <c r="G11" i="225"/>
  <c r="G37" i="164" l="1"/>
  <c r="H37" i="164"/>
  <c r="H347" i="142" l="1"/>
  <c r="G347" i="142"/>
  <c r="K83" i="131" l="1"/>
  <c r="K84" i="131" s="1"/>
  <c r="K82" i="131"/>
  <c r="K3" i="112" l="1"/>
</calcChain>
</file>

<file path=xl/sharedStrings.xml><?xml version="1.0" encoding="utf-8"?>
<sst xmlns="http://schemas.openxmlformats.org/spreadsheetml/2006/main" count="10956" uniqueCount="1505">
  <si>
    <t>Linha</t>
  </si>
  <si>
    <t>Tipo</t>
  </si>
  <si>
    <t>Código</t>
  </si>
  <si>
    <t>Status</t>
  </si>
  <si>
    <t>Justificativas - Não reconciliadas</t>
  </si>
  <si>
    <t>OB</t>
  </si>
  <si>
    <t>VALOR</t>
  </si>
  <si>
    <t>Recebimento Div.</t>
  </si>
  <si>
    <t>2053/2058</t>
  </si>
  <si>
    <t>ok</t>
  </si>
  <si>
    <t>OK</t>
  </si>
  <si>
    <t>Pagamento</t>
  </si>
  <si>
    <t>Pagamento Div.</t>
  </si>
  <si>
    <t>Recebimento</t>
  </si>
  <si>
    <t xml:space="preserve">SITUAÇÃO </t>
  </si>
  <si>
    <t xml:space="preserve">LOCAÇÃO </t>
  </si>
  <si>
    <t>JEFFERSON/VOETUR</t>
  </si>
  <si>
    <t xml:space="preserve">HOSPEDAGEM </t>
  </si>
  <si>
    <t>CONTABILIDADE</t>
  </si>
  <si>
    <t>ALUGUEL GERENCIAL</t>
  </si>
  <si>
    <t xml:space="preserve">CONCILIAÇÃO </t>
  </si>
  <si>
    <t>TAXA CONDOMINIAL</t>
  </si>
  <si>
    <t>CONDOMINIO CRBB SALVADOR</t>
  </si>
  <si>
    <t>DATA CENTER CIDADE DIGITAL</t>
  </si>
  <si>
    <t>CUSTO DE TI - BBTS</t>
  </si>
  <si>
    <t>DATACENTER -INFRA TI-PVV</t>
  </si>
  <si>
    <t>AJUSTES MANUAL (RESSARC. V.DIVINO)</t>
  </si>
  <si>
    <t>PG-ALUGUEL/CONDOMINIO- SP</t>
  </si>
  <si>
    <t>AJUSTES MANUAL - Reversão RESSARCIMENTO ALUGUEL GERENCIAL</t>
  </si>
  <si>
    <t>VERBO DIVINO (SP)</t>
  </si>
  <si>
    <t xml:space="preserve">BENEFICIOS CEDIDOS </t>
  </si>
  <si>
    <t>TOTAL CONCILIADO</t>
  </si>
  <si>
    <t>2000/2058</t>
  </si>
  <si>
    <t>CONTAS A PAGAR</t>
  </si>
  <si>
    <t>.</t>
  </si>
  <si>
    <t>Data do Valor</t>
  </si>
  <si>
    <t>Quantia</t>
  </si>
  <si>
    <t>Encargos</t>
  </si>
  <si>
    <t>Selecionar Registro</t>
  </si>
  <si>
    <t>Número</t>
  </si>
  <si>
    <t>Cód. Moeda Original</t>
  </si>
  <si>
    <t>Quantia Original</t>
  </si>
  <si>
    <t>Quantia na moeda da conta</t>
  </si>
  <si>
    <t>Quantia Compensada da Moeda da Conta</t>
  </si>
  <si>
    <t>Data de Compensação da Moeda da Conta</t>
  </si>
  <si>
    <t>Data do  Valor</t>
  </si>
  <si>
    <t>Data GL</t>
  </si>
  <si>
    <t>Data da Transação</t>
  </si>
  <si>
    <t>Nome do Lote</t>
  </si>
  <si>
    <t>PSON</t>
  </si>
  <si>
    <t>Nome do Agente</t>
  </si>
  <si>
    <t>Número do Fluxo de Caixa Depósito</t>
  </si>
  <si>
    <t>Tipo de Referência</t>
  </si>
  <si>
    <t>Nr. Referência</t>
  </si>
  <si>
    <t>BRL</t>
  </si>
  <si>
    <t>ALESSANDRO DA SILVA LOPES,</t>
  </si>
  <si>
    <t>ALEXANDRA SAMPAIO DOS SANTOS DE LIMA,</t>
  </si>
  <si>
    <t>ALMIR BENEDITO RINALDI,</t>
  </si>
  <si>
    <t>ALYSON SANTANA VARELA,</t>
  </si>
  <si>
    <t>ANDERSON CARLOS MENEZES,</t>
  </si>
  <si>
    <t>ANTONIO DOS SANTOS CUNHA,</t>
  </si>
  <si>
    <t>AUGUSTO CEZAR SOUSA DE OLIVEIRA,</t>
  </si>
  <si>
    <t>AURIO DOS SANTOS,</t>
  </si>
  <si>
    <t>BRUNO ANTONIO DO VALE,</t>
  </si>
  <si>
    <t>BRUNO GUIMARAES DA SILVA,</t>
  </si>
  <si>
    <t>CAIO HERING BEZERRA DA CUNHA,</t>
  </si>
  <si>
    <t>CARLOS EDUARDO DE FREITAS SANT ANA,</t>
  </si>
  <si>
    <t>CARLOS KAYSER DUARTE DE MIRANDA,</t>
  </si>
  <si>
    <t>CAROLINA DE MATTOS DE SOUZA,</t>
  </si>
  <si>
    <t>CESAR AUGUSTO ENGLER,</t>
  </si>
  <si>
    <t>CESAR CARLOS ARAUJO PINTO,</t>
  </si>
  <si>
    <t>CLAUDIO HENRIQUE MOURA CARVALHAL,</t>
  </si>
  <si>
    <t>CLEBER AUGUSTO DOS SANTOS SOUZA,</t>
  </si>
  <si>
    <t>COSME PEDROSA MATOS,</t>
  </si>
  <si>
    <t>DANIEL BARBOSA DE MOURA,</t>
  </si>
  <si>
    <t>DANIEL BRELAZ DA SILVA,</t>
  </si>
  <si>
    <t>DANILO GUILHERME DOS SANTOS ANDRADE,</t>
  </si>
  <si>
    <t>DIANA DO NASCIMENTO DAS DORES,</t>
  </si>
  <si>
    <t>DIEGO ARMBRUST XAVIER DA MATA,</t>
  </si>
  <si>
    <t>EDER OLIVEIRA ALMEIDA BRITO,</t>
  </si>
  <si>
    <t>EDMILSON VELOSO DIAS,</t>
  </si>
  <si>
    <t>EDUARDO ELIAS DA SILVA,</t>
  </si>
  <si>
    <t>EDUARDO JOSE DE ARAUJO,</t>
  </si>
  <si>
    <t>ELIZEU CARVALHO DE MESQUITA,</t>
  </si>
  <si>
    <t>FERNANDO FERREIRA SOARES,</t>
  </si>
  <si>
    <t>FILIPE RENATO VIGATTO,</t>
  </si>
  <si>
    <t>FLORISVALDO SOARES SANTANA,</t>
  </si>
  <si>
    <t>FRANCIS ALBERT DANTAS DE SOUSA,</t>
  </si>
  <si>
    <t>GENIVAL  LIMA,</t>
  </si>
  <si>
    <t>GERALDO EUSTAQUIO MARQUES,</t>
  </si>
  <si>
    <t>GIOVANE BRUNEL PAES,</t>
  </si>
  <si>
    <t>HAUSBLENO MOREIRA PORTO,</t>
  </si>
  <si>
    <t>HILTON DA PAZ LEONARDO PEREIRA,</t>
  </si>
  <si>
    <t>HUMBERTO PEREIRA DE LIMA,</t>
  </si>
  <si>
    <t>JAMERSON BARBOSA DA SILVA,</t>
  </si>
  <si>
    <t>JEAN CLEBER ALENCAR LOUREIRO,</t>
  </si>
  <si>
    <t>JENNEFER FERREIRA DE SOUZA,</t>
  </si>
  <si>
    <t>JOAO BATISTA RAIMUNDO JUNIOR,</t>
  </si>
  <si>
    <t>JOAO DAMASCENO DE SOUZA NETO,</t>
  </si>
  <si>
    <t>JOEL TOMAZ DE AMORIM FILHO,</t>
  </si>
  <si>
    <t>JONAS GOMES DE LIMA JUNIOR</t>
  </si>
  <si>
    <t>JONES MARCOS EMILIANO,</t>
  </si>
  <si>
    <t>JORGE JOSE DE MORAIS SOARES,</t>
  </si>
  <si>
    <t>JOSADAQUE  LOPES,</t>
  </si>
  <si>
    <t>JOSAFA ALVES DE BARROS,</t>
  </si>
  <si>
    <t>JOSE ARIMATEIA DANTAS DA COSTA,</t>
  </si>
  <si>
    <t>JOSE LAUDIMIRO GOMES MOURA,</t>
  </si>
  <si>
    <t>JOSEAS GOMES HERCULANO JUNIOR,</t>
  </si>
  <si>
    <t>JOSIANE RUSZKI DOS SANTOS,</t>
  </si>
  <si>
    <t>JULIO SERGIO DE MORAES,</t>
  </si>
  <si>
    <t>JUNIOR CESAR TOMAZ</t>
  </si>
  <si>
    <t>LEANDRO GERTRUDES ESTEVES,</t>
  </si>
  <si>
    <t>LEONARDO BRAVIM LAURO,</t>
  </si>
  <si>
    <t>LEVI MORENO SALVADOR,</t>
  </si>
  <si>
    <t>LIDIA DE FRANCO,</t>
  </si>
  <si>
    <t>LUANA GUIMARAES PEREIRA,</t>
  </si>
  <si>
    <t>LUCAS LOPES SILVA,</t>
  </si>
  <si>
    <t>LUCIVAL BRITO LIMA,</t>
  </si>
  <si>
    <t>LUIZ ALBERTO SICHIERI,</t>
  </si>
  <si>
    <t>LUIZ GUSTAVO MOREIRA DOS REIS,</t>
  </si>
  <si>
    <t>LUIZ MARIA DA SILVA,</t>
  </si>
  <si>
    <t>MARCO ANTONIO FARJANI,</t>
  </si>
  <si>
    <t>MARCOS EVANDRO DE ALMEIDA SERRADEIRA,</t>
  </si>
  <si>
    <t>MARCOS FIGUEIRA PINTO,</t>
  </si>
  <si>
    <t>MARCOS ROBERTO PADOVAN,</t>
  </si>
  <si>
    <t>MARILDO MEIRELES DE SA MOUSINHO,</t>
  </si>
  <si>
    <t>MARIO JORGE BRIME,</t>
  </si>
  <si>
    <t>MAURICIO TOMOHISSA SUZUKI,</t>
  </si>
  <si>
    <t>MOISES FERNANDO MONTENEGRO DAIUBE DOS SANTOS,</t>
  </si>
  <si>
    <t>NERONI BRITO CAMPOS,</t>
  </si>
  <si>
    <t>OTAVIO MARANGON DANTAS DE MORAIS</t>
  </si>
  <si>
    <t>PAULO CESAR OLIVATO,</t>
  </si>
  <si>
    <t>RHUANDRY DE OLIVEIRA,</t>
  </si>
  <si>
    <t>RICARDO  RODRIGUES,</t>
  </si>
  <si>
    <t>ROBERTO ALVES PACHECO,</t>
  </si>
  <si>
    <t>RODRIGO GALVAO DE ALMEIDA,</t>
  </si>
  <si>
    <t>ROGERIO NUNES SILVA,</t>
  </si>
  <si>
    <t>ROGERIO SILVA ALVES,</t>
  </si>
  <si>
    <t>ROSIANE PEPPLOW FAGUNDES DE OLIVEIRA,</t>
  </si>
  <si>
    <t>SANDRO RICARDO GONCALO COELHO,</t>
  </si>
  <si>
    <t>SILVIO FERNANDO BEDIN,</t>
  </si>
  <si>
    <t>THIAGO BARBOSA DA SILVA,</t>
  </si>
  <si>
    <t>VINICIUS DA SILVA URACH,</t>
  </si>
  <si>
    <t>WELSON DA SILVA RODRIGUES,</t>
  </si>
  <si>
    <t>WENDELL DA SILVA MOTA,</t>
  </si>
  <si>
    <t>WILLIAM DE ABREU SILVA,</t>
  </si>
  <si>
    <t>WILLYAN  POLETO,</t>
  </si>
  <si>
    <t>WOLGRAND FELIPE DE SOUSA,</t>
  </si>
  <si>
    <t>TRANSPORTADORA TURISTICA SUZANO LTDA</t>
  </si>
  <si>
    <t>SEC DE ESTADO DA FAZENDA AL</t>
  </si>
  <si>
    <t>COPEL DISTRIBUICAO S A</t>
  </si>
  <si>
    <t>SEC DE ESTADO DA FAZENDA CE</t>
  </si>
  <si>
    <t>SEC DE ESTADO DA FAZENDA RON</t>
  </si>
  <si>
    <t>Rótulos de Linha</t>
  </si>
  <si>
    <t>Soma de Quantia Original</t>
  </si>
  <si>
    <t>Pagamento Rapido: ID=6628863</t>
  </si>
  <si>
    <t>Pagamento Rapido: ID=6629110</t>
  </si>
  <si>
    <t>(vazio)</t>
  </si>
  <si>
    <t>Total Geral</t>
  </si>
  <si>
    <t>BARATA E CIA LTDA - EPP</t>
  </si>
  <si>
    <t>39.445.650 GABRIELA VIAN LOPES - ME</t>
  </si>
  <si>
    <t>43.912.272 BASILIO ROTA - ME</t>
  </si>
  <si>
    <t>44.713.953 JOSE RODRIGUES DOS SANTOS NETO - ME</t>
  </si>
  <si>
    <t>49.266.436 JOAQUIM RANIERIO VIANA TAVARES - ME</t>
  </si>
  <si>
    <t>49.306.714 CAROLINE DA SILVA DE AGUIAR ALVES - ME</t>
  </si>
  <si>
    <t>49.793.312 IRINEU DE SOUZA NETO - ME</t>
  </si>
  <si>
    <t>49.829.193 MARCOS VINICIUS BARBOSA DO AMARAL - ME</t>
  </si>
  <si>
    <t>49.832.830 FAGNER DOURADO MATOS OLIVEIRA - ME</t>
  </si>
  <si>
    <t>49.835.723 PAULO CEZAR ALVES ANDRADE - ME</t>
  </si>
  <si>
    <t>49.868.883 MARNO EMILIO ARTMANN</t>
  </si>
  <si>
    <t>49.874.566 ALEXANDRE ISHIZUKA GOMES</t>
  </si>
  <si>
    <t>49.880.979 MARCELO ROCHA MENEZES - ME</t>
  </si>
  <si>
    <t>49.889.019 HENRIQUE DAMASCENO RAIMUNDO - ME</t>
  </si>
  <si>
    <t>50.390.631 CARLA CRISTINA ORTEGA MIRANDA - ME</t>
  </si>
  <si>
    <t>50.413.085 MARCELO FERNANDO GAVA - ME</t>
  </si>
  <si>
    <t>50.461.605 THIAGO GRANJA VOLPIANI - ME</t>
  </si>
  <si>
    <t>50.474.848 ALESSANDRA CRISTYANE TORRES KNOB - ME</t>
  </si>
  <si>
    <t>50.478.822 JUCIELEN RENATA CAUNETO LUCAS DE LIMA - ME</t>
  </si>
  <si>
    <t>50.526.942 JOSUE ALVES DE SOUZA - ME</t>
  </si>
  <si>
    <t>53.362.079 ANDRESSA LORRANA RODRIGUES DE OLIVEIRA CORREA - ME</t>
  </si>
  <si>
    <t>54.741.635 LETICIA DE GASPERI FURLAN LOPES - ME</t>
  </si>
  <si>
    <t>55.618.892 FABIO SIDNEI GOMES - ME</t>
  </si>
  <si>
    <t>57.678.611 MARIA LUANA NOGUEIRA BARBOSA DE OLIVEIRA - ME</t>
  </si>
  <si>
    <t>A. L. CORREA - ME</t>
  </si>
  <si>
    <t>ALINE VANESSA BORTOLON GUERRA 02352343038 - ME</t>
  </si>
  <si>
    <t>ALVO TERCEIRIZACAO EM SERVICOS ESPECIALIZADOS LTDA - EPP</t>
  </si>
  <si>
    <t>AOVS SISTEMAS DE INFORMATICA SA</t>
  </si>
  <si>
    <t>AVANTE NEGOCIOS COLABORATIVOS LTDA</t>
  </si>
  <si>
    <t>BMF REPRESENTACOES EIRELI - ME</t>
  </si>
  <si>
    <t>CAMILA PONTES COSTA 09028413430 - ME</t>
  </si>
  <si>
    <t>CONTMAX CONTABILIDADE LTDA - EPP</t>
  </si>
  <si>
    <t>CRISTIAN FERREIRA LTDA - ME</t>
  </si>
  <si>
    <t>CRISTIANE RIBEIRO TARDIO LTDA - ME</t>
  </si>
  <si>
    <t>CS CONSULTORIA E PLANEJAMENTO AGRICOLA LTDA</t>
  </si>
  <si>
    <t>D CASTRO CONSULTORIA LTDA ME</t>
  </si>
  <si>
    <t>D. DE OLIVEIRA DUARTE LTDA - ME</t>
  </si>
  <si>
    <t>DANIEL GOYA GONCALVES 28219840811 - ME</t>
  </si>
  <si>
    <t>DANIELA DE LEMOS NENE 03113806038 - ME</t>
  </si>
  <si>
    <t>DANILO XAVIER RAIMUNDO ME</t>
  </si>
  <si>
    <t>DATAPOLICY TECNOLOGIA E DESENVOLVIMENTO DE PROGRAMAS S.A</t>
  </si>
  <si>
    <t>DIVI LESTE INDUSTRIA E COMERCIO LTDA</t>
  </si>
  <si>
    <t>E. DE OLIVEIRA DUARTE CONSULTORIA - ME</t>
  </si>
  <si>
    <t>ELETRO FORMA LTDA</t>
  </si>
  <si>
    <t>EXPRESSO CANTUARIA LTDA - EPP</t>
  </si>
  <si>
    <t>GARTNER DO BRASIL SERVICOS DE PESQUISAS LTDA</t>
  </si>
  <si>
    <t>GRANT THORNTON CORPORATE CONSULTORES DE NEGOCIOS LTDA</t>
  </si>
  <si>
    <t>GUILHERME JARDIM CAMARGOS 00308195639 - ME</t>
  </si>
  <si>
    <t>GUSTAVO ALVES DE SOUZA COSTA 00252809297 - ME</t>
  </si>
  <si>
    <t>HASTINGS ENGENHARIA LTDA</t>
  </si>
  <si>
    <t>HENDRICK IVAN COSTA CORREA - ME</t>
  </si>
  <si>
    <t>HITACHI VANTARA ADMINISTRACAO DE DADOS DO BRASIL LTDA</t>
  </si>
  <si>
    <t>IAGO RODRIGUES DE OLIVEIRA - ME</t>
  </si>
  <si>
    <t>J NOGUEIRA FILHO ME</t>
  </si>
  <si>
    <t>JCARVALHO CONSULTORIA LTDA - ME</t>
  </si>
  <si>
    <t>JORGE MARCELO RODRIGUES DOS SANTOS 94097755749 - ME</t>
  </si>
  <si>
    <t>JOSEMAR SILVA CORDEIRO 39385949500 - ME</t>
  </si>
  <si>
    <t>JOSIAS DE BARROS PINHEIRO 60699086787 - ME</t>
  </si>
  <si>
    <t>L A CONSORCIO E SEGUROS LTDA - ME</t>
  </si>
  <si>
    <t>LEE HECHT HARRISON CONSULTORIA EM RECURSOS HUMANOS LTDA</t>
  </si>
  <si>
    <t>LM TRANSPORTES INTERESTADUAIS SERVICOS E COMERCIO S.A</t>
  </si>
  <si>
    <t>LUIS GUSTAVO GIACONE 13078482812 - ME</t>
  </si>
  <si>
    <t>M SANCHEZ SOLUCOES EMPRESARIAIS LTDA ME</t>
  </si>
  <si>
    <t>MA2 TRANSPORTES LTDA - ME</t>
  </si>
  <si>
    <t>MARINA ROMAO DE SOUSA 39744682850 - ME</t>
  </si>
  <si>
    <t>MIRELLA CAVALCANTI QUARESMA BRASIL 05106590477 - ME</t>
  </si>
  <si>
    <t>MJ3 TECNOLOGIA DA INFORMACAO LTDA</t>
  </si>
  <si>
    <t>MRJ SERVICOS LTDA - ME</t>
  </si>
  <si>
    <t>OCIREMA SCHIRMER NEVES - ME</t>
  </si>
  <si>
    <t>OLIVEIRAS CONSULTORIA E ASSESSORIA LTDA - ME</t>
  </si>
  <si>
    <t>PGMN CONSULTORIA LTDA - ME</t>
  </si>
  <si>
    <t>REDE NACIONAL DE APRENDIZAGEM, PROMOCAO SOCIAL E INTEGRACAO</t>
  </si>
  <si>
    <t>RN ASSESSORIA AGRICOLA LTDA - ME</t>
  </si>
  <si>
    <t>RODRIGO MARTINS DOS SANTOS ALVES - UTILIDADES DOMESTICAS ME</t>
  </si>
  <si>
    <t>ROMARIO ALVES DA SILVA - ME</t>
  </si>
  <si>
    <t>ROSANGELA ANTUNES DE QUEIROGA RIBEIRO 03181497452 - ME</t>
  </si>
  <si>
    <t>SILVIO CESAR DA SILVA 28974670100 - ME</t>
  </si>
  <si>
    <t>SIND DOS TRAB EM EMP E ORGAOS PUBLICOS E PRIVADOS DE PROC DE DADOS SERV DE INFORMAT SIMIL, E PROF DE PROC DADOS PB</t>
  </si>
  <si>
    <t>SIND DOS TRAB EM PROCESSAMENTO DADOS DO ESTADO DO PI</t>
  </si>
  <si>
    <t>SIND TR P D EMP E O P PRO DA S INF EST DO AMAZONAS SINDPDP AM</t>
  </si>
  <si>
    <t>SIND TRAB EMPRESAS E ORGAOS PUBL PROC DAD S I S DO DF</t>
  </si>
  <si>
    <t>SIND. TRAB.EMPR.ORGAOS PUBPROC.DADOS SERV.INF.SIMIL. RN</t>
  </si>
  <si>
    <t>SINDADOS - SIND DOS TRAB E TRABALHADORAS EM EMPR E ORG PUBL PROC DADOS SEV INFORM TECNO DA INFO E COMUN EST DA BAHIA</t>
  </si>
  <si>
    <t>SINDICATO DOS E E E DE P DE D S DE INFORMATICA S EST MG</t>
  </si>
  <si>
    <t>SINDICATO DOS EMPREGADOS PROC DE DADOS NO EST MARANHAO</t>
  </si>
  <si>
    <t>SINDICATO DOS METALURGICOS DO RIO DE JANEIRO</t>
  </si>
  <si>
    <t>SINDICATO DOS PROFISSIONAIS DE PROCESSAMENTO DE DADOS E TECNOLOGIA DA INFORMACAO DE MATO GROSSO DO SUL</t>
  </si>
  <si>
    <t>SINDICATO DOS TRAB EM EMPRESAS E SERV PUBLICOS E PRIVADOS, DE INF E INTERNET, E SIMILARES, DO EST RIO DE JANEIRO</t>
  </si>
  <si>
    <t>SINDICATO DOS TRAB. EM EMP. E ORGAOS PUB. E PRIV. DE PROC. DE DADOS SERV. INF. SIML.E PROF. DE DADOS DE MATO GROSSO</t>
  </si>
  <si>
    <t>SINDICATO DOS TRABALHADORES DE EMPR. E O RG. PUB. E PRIV. DE PROC. DE DADOS SERV. DE INF.S E PROFIS. DE PROC. DADOS DO EST. GO</t>
  </si>
  <si>
    <t>SINDICATO DOS TRABALHADORES E TRABALHADORAS EM TECNOLOGIA DA INFORMACAO NO ESTADO DO PARA</t>
  </si>
  <si>
    <t>SINDICATO DOS TRABALHADORES EM EMPRESAS E ORGAOS PUBLICOS E PRIVADOS DE PROCESSAMENTO DE DADOS SERVICOS DE INFORMATICA E SIMILARES E PROFISSIONA</t>
  </si>
  <si>
    <t>SINDICATO DOS TRABALHADORES EM PRECESSAMENTO DE DADOS, INFORMATICA E TECNOLOGIA DA INFORMACAO DO ESTADO DE PERNAMBUCO</t>
  </si>
  <si>
    <t>SINDICATO DOS TRABALHADORES EM PROC DADOS E INF DO CEARA.</t>
  </si>
  <si>
    <t>SINDICATO DOS TRABALHADORES EM TEC. DA INFORMACAO E PROC. DADOS DO ESTADO DO ESP. SANTO - SINDPD/ES</t>
  </si>
  <si>
    <t>SINDICATO EMPREGADOS EMP PROC DE DADOS ESTADO PARANA</t>
  </si>
  <si>
    <t>SUPER ESTAGIOS LTDA - EPP</t>
  </si>
  <si>
    <t>TOTAL PASS PARTICIPACOES LTDA</t>
  </si>
  <si>
    <t>UNITECH RIO COMERCIO E SERVICOS LTDA</t>
  </si>
  <si>
    <t>V. LOPES DA SILVA LTDA - ME</t>
  </si>
  <si>
    <t>VAS EXPRESS CARGO TRANSPORTE LTDA EPP</t>
  </si>
  <si>
    <t>VERITAS ASSESSORIA CONTABIL SS LTDA ME</t>
  </si>
  <si>
    <t>VT ESPORTES E APOIO ADMINISTRATIVO LTDA ME</t>
  </si>
  <si>
    <t>VU REPRESENTACOES LTDA  ME</t>
  </si>
  <si>
    <t>WZW ELETRONICA E COMERCIO DE ARTIGOS DE INFORMATICA LTDA ME</t>
  </si>
  <si>
    <t>ADAILTON DE ARAUJO GOMES,</t>
  </si>
  <si>
    <t>ADEILSON DE OLIVEIRA SILVA,</t>
  </si>
  <si>
    <t>AGNIS GABRIELLE KUHL RODRIGUES</t>
  </si>
  <si>
    <t>ALAN LOMEU LAIA,</t>
  </si>
  <si>
    <t>ALESSANDRA DE PAULA MARTINS DA SILVA,</t>
  </si>
  <si>
    <t>ALESSANDRA DIAS RODRIGUES,</t>
  </si>
  <si>
    <t>ALESSANDRO CARVALHO DO ESPIRITO SANTO,</t>
  </si>
  <si>
    <t>ALEXANDRE  MACHADO,</t>
  </si>
  <si>
    <t>ALEXANDRE MELO GOMES,</t>
  </si>
  <si>
    <t>ALINE BATISTA MENDES,</t>
  </si>
  <si>
    <t>ALMIR  BERTOL,</t>
  </si>
  <si>
    <t>ANA PAULA VIEIRA DE MELO,</t>
  </si>
  <si>
    <t>ANDERSON DE OLIVEIRA BARBOSA,</t>
  </si>
  <si>
    <t>ANDERSON FRANKLIN ROQUE DOS SANTOS,</t>
  </si>
  <si>
    <t>ANDRE FELIPE DA SILVA MELLO,</t>
  </si>
  <si>
    <t>ANDRE FRANCISCO FERREIRA,</t>
  </si>
  <si>
    <t>ANDRE LUIS VIEIRA LEMOS,</t>
  </si>
  <si>
    <t>ANDRE LUIZ COSTA,</t>
  </si>
  <si>
    <t>ANSELMO DE OLIVEIRA,</t>
  </si>
  <si>
    <t>ANTONIO MARCIO CARNEIRO ROCHA,</t>
  </si>
  <si>
    <t>ARGEZILDO VIEIRA DE OLIVEIRA,</t>
  </si>
  <si>
    <t>ARIADNE  MOREIRA,</t>
  </si>
  <si>
    <t>BRENNO BADARO MIRANDA,</t>
  </si>
  <si>
    <t>BRUNO GONZAGA MICHELETTO,</t>
  </si>
  <si>
    <t>CARLOS ALBERTO DE SOUZA ALVES,</t>
  </si>
  <si>
    <t>CASSIO ANSOLIN PESSUTTO,</t>
  </si>
  <si>
    <t>CLOVIS RICARDO FLORES GRANDMAISON,</t>
  </si>
  <si>
    <t>CRISTIANE VALARDAN FERREIRA DA SILVA,</t>
  </si>
  <si>
    <t>CRISTIANO MARSENA NOBRE,</t>
  </si>
  <si>
    <t>CRISTINO NUNES SIRQUEIRA,</t>
  </si>
  <si>
    <t>CRISTOVAO CELSO ARCHANJA,</t>
  </si>
  <si>
    <t>CYNTHIA OLIVEIRA DOS SANTOS,</t>
  </si>
  <si>
    <t>DAIVSON RAFAEL SALES LIMA</t>
  </si>
  <si>
    <t>DANIEL FEITOSA MOURA,</t>
  </si>
  <si>
    <t>DANIEL JOAO BORGES,</t>
  </si>
  <si>
    <t>DANIEL LIRA DO VALE,</t>
  </si>
  <si>
    <t>DANIELE CRISTINE DA CRUZ,</t>
  </si>
  <si>
    <t>DANIELLA FANHONI AVERSARI,</t>
  </si>
  <si>
    <t>DANILO GOMES LEONARDO,</t>
  </si>
  <si>
    <t>DANTE DE ALMEIDA CAMPILONGO,</t>
  </si>
  <si>
    <t>DAVID ANTONIO ALVES,</t>
  </si>
  <si>
    <t>DENILSON MARIANO DE OLIVEIRA,</t>
  </si>
  <si>
    <t>DIOGO TEIXEIRA JORGE,</t>
  </si>
  <si>
    <t>DURVAL GUIMARAES CHAVES JUNIOR,</t>
  </si>
  <si>
    <t>DYEGO RICHARDO LOPES MOREIRA DA SILVA,</t>
  </si>
  <si>
    <t>EDIMO DA CRUZ CAMPOS,</t>
  </si>
  <si>
    <t>EDISLEIA APARECIDA DE SOUZA VIEIRA,</t>
  </si>
  <si>
    <t>EDITE ALVES DA SILVA,</t>
  </si>
  <si>
    <t>EDUARDO ALVARES GOMES,</t>
  </si>
  <si>
    <t>ELILSON MENEZES MARTINS,</t>
  </si>
  <si>
    <t>ELISEU SANTOS ASSIS,</t>
  </si>
  <si>
    <t>ELTON LIMA SANTOS,</t>
  </si>
  <si>
    <t>ELYK ALLINY FARIAS VIANA ROCHA,</t>
  </si>
  <si>
    <t>EMANUEL BEZERRA ELOY,</t>
  </si>
  <si>
    <t>ERANDI FREIRE PONTES,</t>
  </si>
  <si>
    <t>ERIVALDO MATIAS FONTES,</t>
  </si>
  <si>
    <t>FABIANO BRASILINO COSTA,</t>
  </si>
  <si>
    <t>FABIO BARBOSA DE MORAIS,</t>
  </si>
  <si>
    <t>FABIO MACELO FERNANDES DE SOUSA,</t>
  </si>
  <si>
    <t>FELLIPE OLIVEIRA ZUMA,</t>
  </si>
  <si>
    <t>FERNANDA APARECIDA MOTA,</t>
  </si>
  <si>
    <t>FERNANDA CRISTINA KAMADA,</t>
  </si>
  <si>
    <t>FERNANDO DA SILVA,</t>
  </si>
  <si>
    <t>FLAVIA MARIA  DOS SANTOS,</t>
  </si>
  <si>
    <t>GEISA ALVES NOGUEIRA,</t>
  </si>
  <si>
    <t>GEORGE DOS SANTOS SILVA,</t>
  </si>
  <si>
    <t>GILBERTO DA MOTA CARVALHO,</t>
  </si>
  <si>
    <t>GILSON MENDES SILVA,</t>
  </si>
  <si>
    <t>GIZEUDA MARTINS ALMEIDA,</t>
  </si>
  <si>
    <t>GLAUBER NILSON ALVES DE OLIVEIRA,</t>
  </si>
  <si>
    <t>GLEIDSON DOS SANTOS MARQUES,</t>
  </si>
  <si>
    <t>GUIDO RUFINO PIRES,</t>
  </si>
  <si>
    <t>GUSTAVO JULIANO TREIS,</t>
  </si>
  <si>
    <t>HAMILTON GIANES DA SILVA,</t>
  </si>
  <si>
    <t>HEBER LUIZ DE FREITAS MELO,</t>
  </si>
  <si>
    <t>HELDER ALEXANDRE LEITE DE OLIVEIRA SANTOS,</t>
  </si>
  <si>
    <t>HUGO GUSMAO DE SOUZA,</t>
  </si>
  <si>
    <t>INECIA PEREIRA DE SANTANA ALEGRANCI,</t>
  </si>
  <si>
    <t>JACQUELINE GRIZELAK CANEDO CAMARGO,</t>
  </si>
  <si>
    <t>JHONYSLLEY OTAVIO COSME DA SILVA,</t>
  </si>
  <si>
    <t>JOANE DA SILVA ALVES,</t>
  </si>
  <si>
    <t>JOAO PAULO SILVEIRA OTTO,</t>
  </si>
  <si>
    <t>JORGE SA DE OLIVEIRA,</t>
  </si>
  <si>
    <t>JOSE CARLOS SANTOS MENDES,</t>
  </si>
  <si>
    <t>JOSE CLAUDIO RODRIGUES,</t>
  </si>
  <si>
    <t>JOSE FERNANDES MUNIZ,</t>
  </si>
  <si>
    <t>JOSE LEVI SOUSA MELO,</t>
  </si>
  <si>
    <t>JOSE MARCELO PEREIRA DE ARAUJO,</t>
  </si>
  <si>
    <t>JOSE PAULO SIMAO,</t>
  </si>
  <si>
    <t>JOSE VITORIO DE OLIVEIRA,</t>
  </si>
  <si>
    <t>KENNIA DIAS DE SOUSA,</t>
  </si>
  <si>
    <t>KLEBERSON ANDRE DOS SANTOS,</t>
  </si>
  <si>
    <t>LAURO MARCHIORO DOS SANTOS,</t>
  </si>
  <si>
    <t>LEANDRO  NAKAGAWA,</t>
  </si>
  <si>
    <t>LEONARDO FERNANDES LEAO,</t>
  </si>
  <si>
    <t>LUANA APARECIDA ZIBIKOSKY,</t>
  </si>
  <si>
    <t>LUANA OLIVEIRA DA SILVA,</t>
  </si>
  <si>
    <t>LUCAS ARRUDA NETO,</t>
  </si>
  <si>
    <t>LUCIANO ALVES PEREIRA,</t>
  </si>
  <si>
    <t>LUCIENE FERREIRA RIBEIRO,</t>
  </si>
  <si>
    <t>LUIZ CARLOS VIEIRA DA ROSA,</t>
  </si>
  <si>
    <t>MARCELO BERTO DE SOUZA E SILVA,</t>
  </si>
  <si>
    <t>MARCO AURELIO DA SILVA BERSOT,</t>
  </si>
  <si>
    <t>MARCOS MOTA DO VALE,</t>
  </si>
  <si>
    <t>MARCOS PAULO ASSIS FONTES,</t>
  </si>
  <si>
    <t>MARCOS PAULO DA SILVA ERBAS JUNIOR</t>
  </si>
  <si>
    <t>MARIA ALDENIR DOS SANTOS SOUSA,</t>
  </si>
  <si>
    <t>MOACYR BRAGA DOS SANTOS JUNIOR,</t>
  </si>
  <si>
    <t>MURILO ALBERTO DE SOUZA AGUIAR,</t>
  </si>
  <si>
    <t>OCTAVIO AUGUSTO MENDES BATISTA GUIMARAES,</t>
  </si>
  <si>
    <t>OLIVIO PAZ DE OLIVEIRA JUNIOR,</t>
  </si>
  <si>
    <t>PATRICIA GOMES VALENTE,</t>
  </si>
  <si>
    <t>PAULO CESAR BRITO DAS NEVES,</t>
  </si>
  <si>
    <t>PAULO FRANCISCO CARVALHO ARAUJO,</t>
  </si>
  <si>
    <t>PAULO LIMA BITTENCOURT,</t>
  </si>
  <si>
    <t>PAULO VIEIRA OLIVEIRA,</t>
  </si>
  <si>
    <t>REGINA CELIA SANTOS,</t>
  </si>
  <si>
    <t>RENATO FERREIRA GONDIM,</t>
  </si>
  <si>
    <t>RINALDO DE LIMA DUARTE,</t>
  </si>
  <si>
    <t>RINALDO DE SENA BIANCO,</t>
  </si>
  <si>
    <t>ROBSON DA SILVA RODRIGUES,</t>
  </si>
  <si>
    <t>ROBSON MARTINI SILVA,</t>
  </si>
  <si>
    <t>ROGERIO CESAR ALVES DO NASCIMENTO,</t>
  </si>
  <si>
    <t>ROGERIO DE OLIVEIRA FELIX,</t>
  </si>
  <si>
    <t>RONALDO DE SOUZA ANUNCIACAO,</t>
  </si>
  <si>
    <t>ROSIMAR JANE DA SILVA,</t>
  </si>
  <si>
    <t>RUBEM DE MELLO CARDOZO,</t>
  </si>
  <si>
    <t>RUBIA PRISCILA WESSLER DE CARVALHO WAGNER,</t>
  </si>
  <si>
    <t>SILENE DO ROCIO ARAUJO SALGADO RIBEIRO,</t>
  </si>
  <si>
    <t>SOLANGE JARINA PANTOJA DA COSTA,</t>
  </si>
  <si>
    <t>SUSAMARA DOS SANTOS,</t>
  </si>
  <si>
    <t>TAYNA DE SA ARRUDA RIBEIRO,</t>
  </si>
  <si>
    <t>THALES ALBERTO CAMBUI,</t>
  </si>
  <si>
    <t>THIAGO JUNIOR DA MATA</t>
  </si>
  <si>
    <t>THIAGO WANDER CARNEIRO PROCOPIO,</t>
  </si>
  <si>
    <t>TULIO OLIVEIRA DE OLIVEIRA,</t>
  </si>
  <si>
    <t>UBIRAJARA GOMES DE ALMEIDA,</t>
  </si>
  <si>
    <t>VALDEMAR FRANCISCO DOS SANTOS JUNIOR,</t>
  </si>
  <si>
    <t>VALMIR LIRA DO NASCIMENTO,</t>
  </si>
  <si>
    <t>VITOR RAFAEL DE CASTRO BARROS,</t>
  </si>
  <si>
    <t>VIVIANE DOS SANTOS PEREIRA,</t>
  </si>
  <si>
    <t>VIVIANE MOTTIN SZOSTAK,</t>
  </si>
  <si>
    <t>WAGNER GONSALVES BARBOSA,</t>
  </si>
  <si>
    <t>WANDERSON ROSA DA SILVA,</t>
  </si>
  <si>
    <t>WANESSA PINHEIRO DE OLIVEIRA FERNANDES,</t>
  </si>
  <si>
    <t>WASHINGTON ANTONIO GALDINO DA COSTA JUNIOR,</t>
  </si>
  <si>
    <t>WEDERSON DA SILVA DE JESUS,</t>
  </si>
  <si>
    <t>WELLINGTON CARLOS DA CONCEICAO SILVA,</t>
  </si>
  <si>
    <t>WILTON SOUZA DOS SANTOS,</t>
  </si>
  <si>
    <t>CARLOS ALBERTO BARRA DE SA,</t>
  </si>
  <si>
    <t>EDSON SOARES TEIXEIRA,</t>
  </si>
  <si>
    <t>FELIPE BARBOSA PALMA,</t>
  </si>
  <si>
    <t>IGOR JOSE NEVES ELIPECHUK,</t>
  </si>
  <si>
    <t>JEAN  WALTRICK,</t>
  </si>
  <si>
    <t>LEONARDO AFIUNE PEREIRA GOMES,</t>
  </si>
  <si>
    <t>MARCELO DE CASTRO STIVALETE,</t>
  </si>
  <si>
    <t>MIGUEL GILBERTO STUPKA,</t>
  </si>
  <si>
    <t>MONICA GUIZZARDI VAILLANT,</t>
  </si>
  <si>
    <t>RAFAEL APARECIDO DE CARVALHO,</t>
  </si>
  <si>
    <t>RAFAEL HENRIQUE PEREIRA CAIXETA,</t>
  </si>
  <si>
    <t>RAPHAEL GRUPILO NASCIMENTO,</t>
  </si>
  <si>
    <t>RENATO CEZAR DOS SANTOS,</t>
  </si>
  <si>
    <t>SANDRA LUIZA DE MOULAZ TOLEDO,</t>
  </si>
  <si>
    <t>SERGIO MARTINS DA SILVA,</t>
  </si>
  <si>
    <t>ALEX DEANS NUNES CUNHA,</t>
  </si>
  <si>
    <t>ANDERSON DE JESUS GUIMARAES,</t>
  </si>
  <si>
    <t>BENEDITO LIMA PEREIRA,</t>
  </si>
  <si>
    <t>CLODOALDO  DINARDI,</t>
  </si>
  <si>
    <t>DAVID ROGERS NOBREGA CAMPOS,</t>
  </si>
  <si>
    <t>DIOGO DA SILVA RAIMUNDO,</t>
  </si>
  <si>
    <t>DUILIO JOSE MONROY CABREJOS,</t>
  </si>
  <si>
    <t>EDILBERTO DOS ANJOS TEIXEIRA,</t>
  </si>
  <si>
    <t>EVERSON PASSOS DA ROCHA,</t>
  </si>
  <si>
    <t>FOSTER HIROYUKI VATANABE,</t>
  </si>
  <si>
    <t>JOSE MURILO CARNEIRO RODRIGUES,</t>
  </si>
  <si>
    <t>JOSE ROBERTO CHRESTENZEN,</t>
  </si>
  <si>
    <t>LUIZ ALBERTO AFONSO VIEIRA,</t>
  </si>
  <si>
    <t>MARCOS APARECIDO SELICANI,</t>
  </si>
  <si>
    <t>MARCOS DE SOUZA CASTILHO,</t>
  </si>
  <si>
    <t>PAULO ROBERTO SIMIÃO MELO</t>
  </si>
  <si>
    <t>PAULO SERGIO DUTRA PEREIRA,</t>
  </si>
  <si>
    <t>RICARDO LENNO DOS SANTOS NAZARE,</t>
  </si>
  <si>
    <t>RODRIGO DUARTE RODRIGUES,</t>
  </si>
  <si>
    <t>SEBASTIAO PIRES DE FREITAS NETO,</t>
  </si>
  <si>
    <t>SERGIO VIEIRA DOS SANTOS,</t>
  </si>
  <si>
    <t>VALQUIRIA  MORAIS,</t>
  </si>
  <si>
    <t>VERONI  GONCALVES,</t>
  </si>
  <si>
    <t>WELINGTON DE LIMA COSTA,</t>
  </si>
  <si>
    <t>TRIBUNAL REGIONAL DO TRABALHO DA 10 REGIAO - DF E TOCANTINS</t>
  </si>
  <si>
    <t>CONDOMINIO CENTURY TOWERS</t>
  </si>
  <si>
    <t>SEC DE ESTADO DA FAZENDA RN</t>
  </si>
  <si>
    <t>Data da  Transação</t>
  </si>
  <si>
    <t>OBSERVAÇÕES</t>
  </si>
  <si>
    <t>Extra/2058</t>
  </si>
  <si>
    <t>Estorno</t>
  </si>
  <si>
    <t>Devolução de valor da linha 171</t>
  </si>
  <si>
    <t>Pagamento Rapido: ID=6555124</t>
  </si>
  <si>
    <t>Pagamento Rapido: ID=6558250</t>
  </si>
  <si>
    <t>Planilha A 147271680</t>
  </si>
  <si>
    <t>Pagamento Rapido: ID=6561225</t>
  </si>
  <si>
    <t>Pagamento Rapido: ID=6562319</t>
  </si>
  <si>
    <t>Desocniliado na linha 78 -Reversão a pedido do contas a pagar</t>
  </si>
  <si>
    <t>Pagamento Rapido: ID=6562892</t>
  </si>
  <si>
    <t>Jefferson/voetur</t>
  </si>
  <si>
    <t>DEBITO CDA</t>
  </si>
  <si>
    <t>Pagamento Rapido: ID=6564662</t>
  </si>
  <si>
    <t>Pagamento Rapido: ID=6575230</t>
  </si>
  <si>
    <t>Reconciliado na linha 78</t>
  </si>
  <si>
    <t>DIRCO / ELBB</t>
  </si>
  <si>
    <t>DESPESAS</t>
  </si>
  <si>
    <t>RESPONSABILIDADE</t>
  </si>
  <si>
    <t>Outras Despesas Admiistrativas</t>
  </si>
  <si>
    <t>VLR RESSARCIDO</t>
  </si>
  <si>
    <t>ALUGUEL CRBB SALVADOR</t>
  </si>
  <si>
    <t>N/A</t>
  </si>
  <si>
    <t>REEMB ALUG DATA CENTER BRA</t>
  </si>
  <si>
    <t>RESSARCIMENTO DE VLR.</t>
  </si>
  <si>
    <t>ADRIANA CORDEIRO (CONTAS A PAGAR)</t>
  </si>
  <si>
    <t xml:space="preserve">TOTAL GERAL </t>
  </si>
  <si>
    <t>DIF A CONCILIAR</t>
  </si>
  <si>
    <t>COm devolução de valor da linha 7</t>
  </si>
  <si>
    <t>Ressarcimento cedidos</t>
  </si>
  <si>
    <t>Pagamento Rapido: ID=6622449</t>
  </si>
  <si>
    <t>ALESSANDRO DA CRUZ SANTOS,</t>
  </si>
  <si>
    <t>ALVARO HIGO QUEIROZ MATOS,</t>
  </si>
  <si>
    <t>ALYSSON COELHO DE FARIAS DOS SANTOS,</t>
  </si>
  <si>
    <t>ANDERSON LEMOS DOS SANTOS,</t>
  </si>
  <si>
    <t>ANDERSON VELOSO GUIMARAES,</t>
  </si>
  <si>
    <t>ANSELMO LAUTENSCHLAGER JUNIOR,</t>
  </si>
  <si>
    <t>ANTONIO LOPES TOMAZ,</t>
  </si>
  <si>
    <t>CARLOS ALBERTO BRONDANI,</t>
  </si>
  <si>
    <t>CESAR HIRSCHMANN PIEPER,</t>
  </si>
  <si>
    <t>CLAUDIO PASCOAL CRUZ,</t>
  </si>
  <si>
    <t>CLEMILTON VIEIRA GOMES,</t>
  </si>
  <si>
    <t>DANIEL FRANCISCO MATOS DE ALMEIDA,</t>
  </si>
  <si>
    <t>DANILO GOMES DA CONCEICAO,</t>
  </si>
  <si>
    <t>DELCIO  BREDA,</t>
  </si>
  <si>
    <t>DIOGO VIEIRA CAIXETA,</t>
  </si>
  <si>
    <t>DOUGLAS DE CASTRO ALMEIDA,</t>
  </si>
  <si>
    <t>EDUARDO MASSAYUKI FUZYI,</t>
  </si>
  <si>
    <t>ELIANE CONFESSOR DO AMARAL PASSOS,</t>
  </si>
  <si>
    <t>ESMON DE OLIVEIRA CARDOSO,</t>
  </si>
  <si>
    <t>FERNANDA BARBOSA DE SOUSA,</t>
  </si>
  <si>
    <t>FRANCISCO DAS CHAGAS DE MORAIS CUNHA,</t>
  </si>
  <si>
    <t>FRANCISCO LUIZLEY ARAUJO CRUZ,</t>
  </si>
  <si>
    <t>HERBERT ALEXANDRE DI PACE,</t>
  </si>
  <si>
    <t>IGOR BEZERRA MANCIOLA,</t>
  </si>
  <si>
    <t>IVANILDO SARMENTO BASILIO,</t>
  </si>
  <si>
    <t>JEAN JACKSON PRIMAVERA DE MATOS,</t>
  </si>
  <si>
    <t>JEREMIAS ANTONIO DE FREITAS NETO,</t>
  </si>
  <si>
    <t>JOAO RICARDO NOGUEIRA DE ALMEIDA,</t>
  </si>
  <si>
    <t>JOEL ALAN PEDROSO,</t>
  </si>
  <si>
    <t>JOVENILSON MOREIRA DA SILVA,</t>
  </si>
  <si>
    <t>JULIANNE CRISTINE LEANDRO CANQUERINO MARQUES,</t>
  </si>
  <si>
    <t>JULIO CEZAR DA SILVA,</t>
  </si>
  <si>
    <t>KESLEY RANGEL SANTOS DE SOUSA,</t>
  </si>
  <si>
    <t>LEANDRO DIAS COSTA</t>
  </si>
  <si>
    <t>LEONARDO DE SENA MAIA,</t>
  </si>
  <si>
    <t>LOURIVAL DA CONCEICAO PEREIRA JUNIOR,</t>
  </si>
  <si>
    <t>LUCAS APARECIDO SARTORELLI,</t>
  </si>
  <si>
    <t>LUCAS MARTINS NASCIMENTO,</t>
  </si>
  <si>
    <t>MANUELA MELISSA SANTANA VIEIRA,</t>
  </si>
  <si>
    <t>MARCELO FARIAS REBELO,</t>
  </si>
  <si>
    <t>MARCIO HENRIQUE PEREIRA GARCIA,</t>
  </si>
  <si>
    <t>MARCO VENICIO DE SOUZA,</t>
  </si>
  <si>
    <t>MARCOS PEREIRA DIAS,</t>
  </si>
  <si>
    <t>MARIA APARECIDA DOS SANTOS,</t>
  </si>
  <si>
    <t>MIGUEL ALEXANDRE ROKITZKI SILVEIRA,</t>
  </si>
  <si>
    <t>NEY MACHADO MAIA,</t>
  </si>
  <si>
    <t>OLEGARIO LOPES CARVALHO E SILVA,</t>
  </si>
  <si>
    <t>OSMAR NOGUEIRA JUNIOR,</t>
  </si>
  <si>
    <t>PATRICIO  LOFY,</t>
  </si>
  <si>
    <t>RAIMUNDO FERREIRA CARVALHO FILHO,</t>
  </si>
  <si>
    <t>RAIMUNDO GEORGE FERREIRA CASTRO,</t>
  </si>
  <si>
    <t>RAIMUNDO NONATO FILHO</t>
  </si>
  <si>
    <t>RENATO BASTOS FERREIRA,</t>
  </si>
  <si>
    <t>RENATO GOMES DOS SANTOS</t>
  </si>
  <si>
    <t>RICARDO  PLOVAS,</t>
  </si>
  <si>
    <t>RINALDO JAMMYSON CORDOVIL MODESTO,</t>
  </si>
  <si>
    <t>RODRIGO FLEURY DE PAULA,</t>
  </si>
  <si>
    <t>SARA PINHEIRO COSTA,</t>
  </si>
  <si>
    <t>SHARLENE SA PAULINO DA SILVA NASCIMENTO,</t>
  </si>
  <si>
    <t>SOLANGE SILVA ROMAO FRANCA,</t>
  </si>
  <si>
    <t>TANIA DOS SANTOS LIMA CUNHA,</t>
  </si>
  <si>
    <t>VALDENIR CALDAS DE MELO,</t>
  </si>
  <si>
    <t>VALDIR SPATAFORA TALARICO,</t>
  </si>
  <si>
    <t>VICTOR NERES DE SOUSA DOS SANTOS,</t>
  </si>
  <si>
    <t>WANILDO JOSE SILVA PEREIRA,</t>
  </si>
  <si>
    <t>WARLEY ALVES SILVA,</t>
  </si>
  <si>
    <t>WILLIAN DE SOUZA PAIVA,</t>
  </si>
  <si>
    <t>WINICIUS ALVES MARTINS,</t>
  </si>
  <si>
    <t>ZAYRA ALMEIDA CANDIDO,</t>
  </si>
  <si>
    <t>PROCOMP INDUSTRIA ELETRONICA LTDA</t>
  </si>
  <si>
    <t>STRIX ASSESSORIA E PLANEJAMENTO RURAL LTDA - ME</t>
  </si>
  <si>
    <t>ABILIO CARLOS OLIVEIRA SIQUEIRA,</t>
  </si>
  <si>
    <t>ADAO ANTONIO CAVALCANTE LOPES,</t>
  </si>
  <si>
    <t>ADRIANA RIBEIRO DO NASCIMENTO,</t>
  </si>
  <si>
    <t>ADRIANO MARCIAL MOREIRA,</t>
  </si>
  <si>
    <t>ADRIANO SILVA DA COSTA,</t>
  </si>
  <si>
    <t>ADSON LOPES DE OLIVEIRA,</t>
  </si>
  <si>
    <t>AFONSO VIDAL SANTOS DA SILVA,</t>
  </si>
  <si>
    <t>AGNALDO RODRIGUES DA SILVA JUNIOR,</t>
  </si>
  <si>
    <t>ALCERY LEMOS BITENCOURT,</t>
  </si>
  <si>
    <t>ALDAIR LEAL CHAVES,</t>
  </si>
  <si>
    <t>ALEX BARBOSA DE ALMEIDA,</t>
  </si>
  <si>
    <t>ALEX SANDRO DE ALMEIDA RODRIGUES PINTO,</t>
  </si>
  <si>
    <t>ALEX SANDRO MARTINS FREITAS,</t>
  </si>
  <si>
    <t>ALEXANDRE  LOURENCO,</t>
  </si>
  <si>
    <t>ALEXANDRE ANDRADE DOS SANTOS,</t>
  </si>
  <si>
    <t>ALEXANDRE BENTO DE OLIVEIRA,</t>
  </si>
  <si>
    <t>ALEXANDRE BERNARDO CHIARENTIN,</t>
  </si>
  <si>
    <t>ALEXANDRE CESAR FRAGOSO CORREIA,</t>
  </si>
  <si>
    <t>ALEXANDRE DE FREITAS MARTINS,</t>
  </si>
  <si>
    <t>ALEXANDRE MAGALHAES SOARES,</t>
  </si>
  <si>
    <t>ALEXANDRE PIANETTI HOFFMEISTER,</t>
  </si>
  <si>
    <t>ALEXANDRE TEIXEIRA DA ROSA,</t>
  </si>
  <si>
    <t>ALEXANDRO DO CARMO SOARES,</t>
  </si>
  <si>
    <t>ALEXSANDRO AMANCIO DE SOUZA FERREIRA,</t>
  </si>
  <si>
    <t>ALEXSANDRO MAGNO DE ALMEIDA,</t>
  </si>
  <si>
    <t>ALEXSANDRO SANTOS DO NASCIMENTO,</t>
  </si>
  <si>
    <t>AMILTON ANGELO DE LIMA,</t>
  </si>
  <si>
    <t>ANA PAULA FERREIRA MARCO,</t>
  </si>
  <si>
    <t>ANDERSON APARECIDO DE SOUZA,</t>
  </si>
  <si>
    <t>ANDERSON CLAYTON NASCIMENTO SILVA,</t>
  </si>
  <si>
    <t>ANDERSON DE SOUZA BOPSIN,</t>
  </si>
  <si>
    <t>ANDERSON LUIZ DE OLIVEIRA,</t>
  </si>
  <si>
    <t>ANDRE COSTA PURIFICACAO,</t>
  </si>
  <si>
    <t>ANDRE LUIZ BENTO DE MORAIS,</t>
  </si>
  <si>
    <t>ANDRE LUIZ NUNES,</t>
  </si>
  <si>
    <t>ANDRE LUIZ PIRES DE OLIVEIRA,</t>
  </si>
  <si>
    <t>ANDRE MARCIO DA SILVA,</t>
  </si>
  <si>
    <t>ANDREA KARINA MELO LINS DE PONTES,</t>
  </si>
  <si>
    <t>ANGELO GIOVANI OLIVEIRA GUIDA,</t>
  </si>
  <si>
    <t>ANTONIO CARLOS DA SILVA,</t>
  </si>
  <si>
    <t>ANTONIO CARLOS MACHADO,</t>
  </si>
  <si>
    <t>ANTONIO CARLOS RAMOS FREITAS JUNIOR,</t>
  </si>
  <si>
    <t>ANTONIO CARLOS SANTOS,</t>
  </si>
  <si>
    <t>ANTONIO JESUS DA SILVA,</t>
  </si>
  <si>
    <t>ANTONIO JUNIOR AZEVEDO,</t>
  </si>
  <si>
    <t>ANTONIO PEREIRA URTIGA,</t>
  </si>
  <si>
    <t>ANTONIO TELMO SOUZA OLIVEIRA JUNIOR</t>
  </si>
  <si>
    <t>ARISTON BARBOSA CHAGAS,</t>
  </si>
  <si>
    <t>ATAIDE TENORIO DE ALBUQUERQUE FILHO,</t>
  </si>
  <si>
    <t>AURELIANO SOBREIRA DE ALENCAR,</t>
  </si>
  <si>
    <t>BAYRON TEODORO DE MELO,</t>
  </si>
  <si>
    <t>BRUNO LEONARDO DE JESUS VICTORIO DA SILVA,</t>
  </si>
  <si>
    <t>CAMILLA AZEVEDO CARNEIRO LEAO,</t>
  </si>
  <si>
    <t>CARLOS ALESSANDRO DE ASSIS,</t>
  </si>
  <si>
    <t>CARLOS CRISTIANO DOS REIS DANTAS,</t>
  </si>
  <si>
    <t>CARLOS EDUARDO APOLINARIO SILVA,</t>
  </si>
  <si>
    <t>CARMEM MARLI STAHNKE,</t>
  </si>
  <si>
    <t>CARTEGEANES  NASCIMENTO,</t>
  </si>
  <si>
    <t>CHRISTIAN DE OLIVEIRA MOURA,</t>
  </si>
  <si>
    <t>CICERO RAMOM BATISTA RIBAS,</t>
  </si>
  <si>
    <t>CLAYTON LIMA MESQUITA,</t>
  </si>
  <si>
    <t>CLEBERTH CARVALHO CRUZ DA ROCHA,</t>
  </si>
  <si>
    <t>CLENE LEOPOLDINO CANTIL,</t>
  </si>
  <si>
    <t>CLESSIO ALVES MENENGUCI</t>
  </si>
  <si>
    <t>CLEY CLEVERTON FERREIRA CASTRO,</t>
  </si>
  <si>
    <t>CLOVES BATISTA SILVA JUNIOR,</t>
  </si>
  <si>
    <t>CORNELIO PEREIRA LEME,</t>
  </si>
  <si>
    <t>CRISTIAN  GUIMARAES,</t>
  </si>
  <si>
    <t>CRISTIANO COSTA DO NASCIMENTO,</t>
  </si>
  <si>
    <t>DANIEL DA SILVA LONGHI,</t>
  </si>
  <si>
    <t>DANIELLE DO CARMO SILVANO SAMORA,</t>
  </si>
  <si>
    <t>DARLAN D AVILA CRESCENCIO,</t>
  </si>
  <si>
    <t>DAVI LEONARDO SILVA,</t>
  </si>
  <si>
    <t>DENILSON ROBERTO LIMA AREA LEAO,</t>
  </si>
  <si>
    <t>DENIS  OCANHA,</t>
  </si>
  <si>
    <t>DENIS AURELIO CORREA DOS SANTOS,</t>
  </si>
  <si>
    <t>DEOGENES JOSE DE VALOIS COUTINHO,</t>
  </si>
  <si>
    <t>DIEGO DE LIMA AVILA,</t>
  </si>
  <si>
    <t>DIEGO FERREIRA DE ASSIS,</t>
  </si>
  <si>
    <t>DIOGO PEREIRA FONSECA,</t>
  </si>
  <si>
    <t>DIRAILTON CONSTANTINO DE ALMEIDA,</t>
  </si>
  <si>
    <t>DURVAL SILVERIO DOS SANTOS,</t>
  </si>
  <si>
    <t>EDDER CARLOS TAVARES GONCALVES,</t>
  </si>
  <si>
    <t>EDENILSON DOS SANTOS SOUSA,</t>
  </si>
  <si>
    <t>EDER LINS PEREIRA,</t>
  </si>
  <si>
    <t>EDER SARDINHA ALVES,</t>
  </si>
  <si>
    <t>EDMAR DE JESUS SANTOS,</t>
  </si>
  <si>
    <t>EDSON HENRIQUE VIVES JUNIOR,</t>
  </si>
  <si>
    <t>EDUARDO DA SILVA PINTO,</t>
  </si>
  <si>
    <t>EDUARDO JOSE DA SILVA JUNIOR,</t>
  </si>
  <si>
    <t>EDUARDO MACHADO TOLEDO,</t>
  </si>
  <si>
    <t>EDUARDO RIBEIRO DE FARIA,</t>
  </si>
  <si>
    <t>ELI ANDERSON PEREIRA VIEIRA,</t>
  </si>
  <si>
    <t>ELILDO SILVINO DOS SANTOS,</t>
  </si>
  <si>
    <t>ELISABETE BEZERRA DE AZEVEDO,</t>
  </si>
  <si>
    <t>ELNA MARIA LEAO LEMOS,</t>
  </si>
  <si>
    <t>ELTON PEREIRA DA ROCHA,</t>
  </si>
  <si>
    <t>ELVIS OLIVEIRA SA,</t>
  </si>
  <si>
    <t>EMERSON  FERNANDES,</t>
  </si>
  <si>
    <t>ERICO DIOGO LIMA DA SILVA,</t>
  </si>
  <si>
    <t>ERICO FABIO CIRNE,</t>
  </si>
  <si>
    <t>ERIK SAMUEL VAZ CAMPOS,</t>
  </si>
  <si>
    <t>EUNADALES BRANDAO DIAS,</t>
  </si>
  <si>
    <t>EVANDRO DA SILVA SOUZA,</t>
  </si>
  <si>
    <t>EVERALDO SOARES DE LIMA,</t>
  </si>
  <si>
    <t>EVERTON VIEIRA ABREU,</t>
  </si>
  <si>
    <t>FABIO  CARRILHO,</t>
  </si>
  <si>
    <t>FABIO APOLINARIO COSTA,</t>
  </si>
  <si>
    <t>FABIO PASSOS BRITO,</t>
  </si>
  <si>
    <t>FABIO QUEIROZ LOPES,</t>
  </si>
  <si>
    <t>FARLEI COSME GOMES DOS SANTOS,</t>
  </si>
  <si>
    <t>FELIPE COQUEIRO DE OLIVEIRA,</t>
  </si>
  <si>
    <t>FERNANDA ALMEIDA CARVALHO,</t>
  </si>
  <si>
    <t>FERNANDO GUEDES DE OLIVEIRA,</t>
  </si>
  <si>
    <t>FERNANDO LIMA TENORIO DA SILVA,</t>
  </si>
  <si>
    <t>FLAUDEMIR  LEOPOLDO,</t>
  </si>
  <si>
    <t>FLAVIO  CARVALHO,</t>
  </si>
  <si>
    <t>FRANCISCO ALEX DE LIMA,</t>
  </si>
  <si>
    <t>FRANCISCO CARLOS ROMERO RUSSO,</t>
  </si>
  <si>
    <t>FRANCISCO DE ASSIS ARAUJO SUZART,</t>
  </si>
  <si>
    <t>FRANCISCO FERNANDES DA SILVA,</t>
  </si>
  <si>
    <t>FRANCISCO FLEURY RATEIRO JUNIOR,</t>
  </si>
  <si>
    <t>FRANCISCO FRANCIER ANGELO DE SOUZA,</t>
  </si>
  <si>
    <t>FRANCISCO JOSE DE MOURA ALVES,</t>
  </si>
  <si>
    <t>FRANCISCO NUNES DE BARROS,</t>
  </si>
  <si>
    <t>FRANKLIN LINDENBERG OLIVEIRA FREITAS,</t>
  </si>
  <si>
    <t>GERALDO ANTONIO PEIXOTO JUNIOR,</t>
  </si>
  <si>
    <t>GILBERTO OLIVEIRA SANTOS JUNIOR,</t>
  </si>
  <si>
    <t>GILCEMAR  TRABACH,</t>
  </si>
  <si>
    <t>GILMAR FERREIRA PINA,</t>
  </si>
  <si>
    <t>GILMAR ROCHA RODRIGUES,</t>
  </si>
  <si>
    <t>GILSON  MURAKAMI,</t>
  </si>
  <si>
    <t>GILSON MUNIZ BARRETO JUNIOR,</t>
  </si>
  <si>
    <t>GILTON CARNEIRO PONTE,</t>
  </si>
  <si>
    <t>GIOVANI DE LIMA TEIXEIRA</t>
  </si>
  <si>
    <t>GRAZIANI DE OLIVEIRA ARAUJO,</t>
  </si>
  <si>
    <t>GUILHERME PEREIRA RODRIGUES</t>
  </si>
  <si>
    <t>GUSTAVO  HEINEN,</t>
  </si>
  <si>
    <t>GUSTAVO   RIPP</t>
  </si>
  <si>
    <t>HEDMICIO DOS SANTOS,</t>
  </si>
  <si>
    <t>HELIO DANTAS YANO,</t>
  </si>
  <si>
    <t>HELIO WAGNER TEIXEIRA SIQUEIRA,</t>
  </si>
  <si>
    <t>HENRIQUE  SALVADOR,</t>
  </si>
  <si>
    <t>HENRY BARROS PALHANO,</t>
  </si>
  <si>
    <t>HERCULIS COLLACHITI CORBI,</t>
  </si>
  <si>
    <t>HERYCK HENRIQUE DA SILVA,</t>
  </si>
  <si>
    <t>HUBERLEIDSON BARROS NOGUEIRA,</t>
  </si>
  <si>
    <t>HUMBERTO BERNARDI DE CAMPOS,</t>
  </si>
  <si>
    <t>INALDO DE CARVALHO SILVA,</t>
  </si>
  <si>
    <t>ISAAC AUGUSTO DA SILVA FERNANDES,</t>
  </si>
  <si>
    <t>ISAAC JOSE BASTOS DE SOUZA,</t>
  </si>
  <si>
    <t>ITELMAR DE OLIVEIRA REIS,</t>
  </si>
  <si>
    <t>IVANILDE DOS SANTOS MOTA,</t>
  </si>
  <si>
    <t>IVO MELO DE JESUS,</t>
  </si>
  <si>
    <t>JADER CRISTHIAN RICARDO CRUZ,</t>
  </si>
  <si>
    <t>JADSON AZEVEDO MOREIRA,</t>
  </si>
  <si>
    <t>JAMIL FRANCISCO DE ARRUDA,</t>
  </si>
  <si>
    <t>JANAINA FERREIRA DINIZ,</t>
  </si>
  <si>
    <t>JANDERSON SOUSA BORGES,</t>
  </si>
  <si>
    <t>JANILSON SILVA DE OLIVEIRA,</t>
  </si>
  <si>
    <t>JEAN CARLOS GAZZONI,</t>
  </si>
  <si>
    <t>JEAN FRANCO DA SILVA,</t>
  </si>
  <si>
    <t>JEFERSON JUNQUEIRA MIRANDA,</t>
  </si>
  <si>
    <t>JEFFERSON CUNHA SILVA,</t>
  </si>
  <si>
    <t>JOAO DARLIS SAMPAIO SANTOS,</t>
  </si>
  <si>
    <t>JOAQUIM FERREIRA CAMPOS NETO,</t>
  </si>
  <si>
    <t>JOELSON PEREIRA NOBRE,</t>
  </si>
  <si>
    <t>JOSE AGENALDO VIDAL,</t>
  </si>
  <si>
    <t>JOSE AILTON DE SOUSA PEREIRA,</t>
  </si>
  <si>
    <t>JOSE ANTONIO CABRAL,</t>
  </si>
  <si>
    <t>JOSE ARTUR ALVES DE SIQUEIRA,</t>
  </si>
  <si>
    <t>JOSE CARLOS DOS SANTOS JUNIOR,</t>
  </si>
  <si>
    <t>JOSE EDUARDO ALEXANDRE BELO,</t>
  </si>
  <si>
    <t>JOSE FRANCISCO COSTA,</t>
  </si>
  <si>
    <t>JOSE GERALDO FAZION BARTALINI,</t>
  </si>
  <si>
    <t>JOSE KENNED DE OLIVEIRA,</t>
  </si>
  <si>
    <t>JOSE NILTO MARROCOS DA SILVA,</t>
  </si>
  <si>
    <t>JOSE RAIMUNDO GARCEZ,</t>
  </si>
  <si>
    <t>JOSE REGINALDO RUFFA ARRABA,</t>
  </si>
  <si>
    <t>JOSE REINALDO DE OLIVEIRA,</t>
  </si>
  <si>
    <t>JOSE RICARDO RODRIGUES DA MOTA,</t>
  </si>
  <si>
    <t>JOSE RODRIGUES NETO,</t>
  </si>
  <si>
    <t>JOSEVAN MARQUES DE BRITO,</t>
  </si>
  <si>
    <t>JOSIMARY LINHARES ASSUNCAO,</t>
  </si>
  <si>
    <t>KAYKY ALEXANDRE RODRIGUES VIEIRA,</t>
  </si>
  <si>
    <t>KEVYN YUDI CARDOSO TAKAHASHI,</t>
  </si>
  <si>
    <t>KLEITON JOSE GOMES MOREIRA BEVILAQUA,</t>
  </si>
  <si>
    <t>LAMEQUE PINHEIRO MONTEIRO,</t>
  </si>
  <si>
    <t>LEANDRO MOLIN NOGUEIRA</t>
  </si>
  <si>
    <t>LEONAM SILVA LIMA,</t>
  </si>
  <si>
    <t>LEONARDO MACHADO BAPTISTA,</t>
  </si>
  <si>
    <t>LIDIANE RIBEIRO ALVES,</t>
  </si>
  <si>
    <t>LUCAS DANIEL DOS RAMOS,</t>
  </si>
  <si>
    <t>LUCAS FERREIRA SUSSTRUNK,</t>
  </si>
  <si>
    <t>LUCAS GOMES DO CARMO,</t>
  </si>
  <si>
    <t>LUCAS ROBERTO SIXEL PEREIRA,</t>
  </si>
  <si>
    <t>LUCIANO DOMINGOS SANTOS DE SOUSA,</t>
  </si>
  <si>
    <t>LUCIANO DOS SANTOS SILVA,</t>
  </si>
  <si>
    <t>LUCIANO MARTINS MOREIRA,</t>
  </si>
  <si>
    <t>LUCIO FLAVIO ALVES DA SILVA,</t>
  </si>
  <si>
    <t>LUIS FERNANDO SILVEIRA ALVES,</t>
  </si>
  <si>
    <t>LUIS HENRIQUE POHREN RIBEIRO,</t>
  </si>
  <si>
    <t>LUIZ AUGUSTO DA COSTA,</t>
  </si>
  <si>
    <t>LUIZ CARLOS JOSE DOS SANTOS,</t>
  </si>
  <si>
    <t>LUIZ GOMES FERNANDES,</t>
  </si>
  <si>
    <t>LUIZ HENRIQUE RESENDE MACIEL,</t>
  </si>
  <si>
    <t>MACIO REGIS CAMPOS SILVA,</t>
  </si>
  <si>
    <t>MAERCIO MAMEDES DA SILVA,</t>
  </si>
  <si>
    <t>MAGNO TARQUINIO MODESTO,</t>
  </si>
  <si>
    <t>MAILTON CARLOS DA SILVA,</t>
  </si>
  <si>
    <t>MAIRON FERREIRA MACHADO,</t>
  </si>
  <si>
    <t>MARCELLO PEREIRA COSTA,</t>
  </si>
  <si>
    <t>MARCELO CAIMI LOPES ORNELLAS,</t>
  </si>
  <si>
    <t>MARCELO JUNIOR DOS SANTOS,</t>
  </si>
  <si>
    <t>MARCELO ROCHA DA SILVA,</t>
  </si>
  <si>
    <t>MARCELO YUDI GOYA,</t>
  </si>
  <si>
    <t>MARCIO  FERREIRA,</t>
  </si>
  <si>
    <t>MARCOS ANTONIO DOS SANTOS PAIXAO,</t>
  </si>
  <si>
    <t>MARCOS DE SOUZA MAIA,</t>
  </si>
  <si>
    <t>MARCOS JOSE BARBOZA DA PAZ JUNIOR,</t>
  </si>
  <si>
    <t>MARCOS LEVI NOGUEIRA FERNANDES,</t>
  </si>
  <si>
    <t>MARCOS VICTOR PEIXOTO,</t>
  </si>
  <si>
    <t>MARCOS VINICIO CONSTANTINO DA CONCEICAO,</t>
  </si>
  <si>
    <t>MARGARETH PINTO VIEIRA,</t>
  </si>
  <si>
    <t>MARIO CARVALHO SOUSA,</t>
  </si>
  <si>
    <t>MARLON JOSE BARBOSA DOS PASSOS,</t>
  </si>
  <si>
    <t>MATHEUS ANDRADE DE LIMA,</t>
  </si>
  <si>
    <t>MAURI LUIS RIETH,</t>
  </si>
  <si>
    <t>MAURICIO DA SILVA MENDES,</t>
  </si>
  <si>
    <t>MAURO DA FONTOURA,</t>
  </si>
  <si>
    <t>MAVERSON SALAS DE MORAES,</t>
  </si>
  <si>
    <t>MAXWELL BARBOZA CORDEIRO DE FREITAS,</t>
  </si>
  <si>
    <t>MICHEL CARNIEL FONTOURA,</t>
  </si>
  <si>
    <t>NAILTON COSTA ASSIS,</t>
  </si>
  <si>
    <t>NELMA SILVA DE SOUZA,</t>
  </si>
  <si>
    <t>NILTON DA SILVA AMARAL,</t>
  </si>
  <si>
    <t>NOEL MODESTO MAGALHAES,</t>
  </si>
  <si>
    <t>OBERVAL ALVES FREITAS,</t>
  </si>
  <si>
    <t>OLAVO SOARES DA CONCEICAO,</t>
  </si>
  <si>
    <t>OSMANI ALVES FREITAS,</t>
  </si>
  <si>
    <t>OSVALDO LUIZ GONCALVES DE SOUZA,</t>
  </si>
  <si>
    <t>OVIDIO GABRIEL DE OLIVEIRA,</t>
  </si>
  <si>
    <t>PABLO MIGUEL FIGUEIREDO,</t>
  </si>
  <si>
    <t>PATRICIA DA SILVA BARROS,</t>
  </si>
  <si>
    <t>PAULO ALDEBARA SANTANA DOS ANJOS,</t>
  </si>
  <si>
    <t>PAULO DANIEL BARCELOS MATOS,</t>
  </si>
  <si>
    <t>PAULO ROBERTO DOS SANTOS MORAES,</t>
  </si>
  <si>
    <t>PAULO VINICIUS DA SILVA SANTOS,</t>
  </si>
  <si>
    <t>PEDRO IVO DE SOUSA,</t>
  </si>
  <si>
    <t>PEDRO MEIRA DA SILVA,</t>
  </si>
  <si>
    <t>PEDRO STEFANO SOUTO SILVA,</t>
  </si>
  <si>
    <t>PRISCILA TAVARES SOUTO MAIOR,</t>
  </si>
  <si>
    <t>RAFAEL BUROK DE SOUZA,</t>
  </si>
  <si>
    <t>RAFAEL CARLOTA DA SILVA,</t>
  </si>
  <si>
    <t>RAFAEL DE OLIVEIRA MOREIRA,</t>
  </si>
  <si>
    <t>RAFAEL GRIMALDI SALLES,</t>
  </si>
  <si>
    <t>RAFAEL LOUSADA SILVA,</t>
  </si>
  <si>
    <t>RAIFE OLIVEIRA DOS SANTOS,</t>
  </si>
  <si>
    <t>RAIMUNDO JOSE ANDRADE DE MACEDO,</t>
  </si>
  <si>
    <t>REGINALDO  MIRANDA,</t>
  </si>
  <si>
    <t>RENATO ALEXANDRE DA SILVA,</t>
  </si>
  <si>
    <t>RENATO BROZZIO FERRUGINE,</t>
  </si>
  <si>
    <t>REYNALDO CELIO BEZERRA MORAES,</t>
  </si>
  <si>
    <t>RICARDO  HIPOLITO,</t>
  </si>
  <si>
    <t>RICARDO ALMEIDA ALVES,</t>
  </si>
  <si>
    <t>RICARDO APARECIDO DE OLIVEIRA MESQUITA,</t>
  </si>
  <si>
    <t>RICARDO DE OLIVEIRA MACHADO,</t>
  </si>
  <si>
    <t>RICARDO DOS SANTOS VIEIRA,</t>
  </si>
  <si>
    <t>RICARDO JOSE SANTA BARBARA FERNANDES,</t>
  </si>
  <si>
    <t>RICARDO LOPES DE JESUS PALMEIRA,</t>
  </si>
  <si>
    <t>RICARDO SOARES DA SILVA,</t>
  </si>
  <si>
    <t>ROBERTO DA COSTA MOLCAN,</t>
  </si>
  <si>
    <t>ROBERTO DE SOUZA MATHEUS,</t>
  </si>
  <si>
    <t>ROBERTO FERNANDO SOARES DOS SANTOS,</t>
  </si>
  <si>
    <t>ROBERTO THOME CAMPELO LIMA,</t>
  </si>
  <si>
    <t>ROBSON ISAAC MOREIRA SANTOS,</t>
  </si>
  <si>
    <t>RODRIGO DUARTE PEREIRA,</t>
  </si>
  <si>
    <t>ROGERIO ALBERTO DA SILVA,</t>
  </si>
  <si>
    <t>ROGERIO ANDRADE E SILVA,</t>
  </si>
  <si>
    <t>ROGERIO DE ORNELAS FREITAS,</t>
  </si>
  <si>
    <t>ROMOS PEREIRA PINTO,</t>
  </si>
  <si>
    <t>RONALDO LUIZ DOS SANTOS,</t>
  </si>
  <si>
    <t>RONANDO GONCALVES DA SILVA,</t>
  </si>
  <si>
    <t>RONIEDSON DA SILVA MARTINS,</t>
  </si>
  <si>
    <t>RONNY CASARIN DA ROCHA BRAGA,</t>
  </si>
  <si>
    <t>SEBASTIAO DELMAR ALBUQUERQUE LEITE,</t>
  </si>
  <si>
    <t>SERGIO AUGUSTO DE AZEVEDO RODRIGUES,</t>
  </si>
  <si>
    <t>SERGIO LIBRELON MACHADO,</t>
  </si>
  <si>
    <t>SERGIO RICARDO ARAUJO,</t>
  </si>
  <si>
    <t>SIMONE  VAILATTI,</t>
  </si>
  <si>
    <t>STEFAN OGINO FIGUEIREDO,</t>
  </si>
  <si>
    <t>STELIO MAURO SANTOS DE ALMEIDA,</t>
  </si>
  <si>
    <t>TATHIANA SCHMELZER SOARES,</t>
  </si>
  <si>
    <t>THIAGO CLEMENTE NOVAES,</t>
  </si>
  <si>
    <t>THIAGO RODRIGO CONTRO DE CAMARGO,</t>
  </si>
  <si>
    <t>UBIRAJARA  GONZAGA,</t>
  </si>
  <si>
    <t>VAGNER LUIS MACHADO SOARES,</t>
  </si>
  <si>
    <t>VALDECY CANDIDO COSTA JUNIOR,</t>
  </si>
  <si>
    <t>VALDEREZ HONORIO MARINHO,</t>
  </si>
  <si>
    <t>VALQUIR JESUS DE OLIVEIRA,</t>
  </si>
  <si>
    <t>VANDERLEI DOURADO MAIA,</t>
  </si>
  <si>
    <t>VICTOR MURILO TRINDADE BELLINI,</t>
  </si>
  <si>
    <t>VITOR GOMES DE LIMA,</t>
  </si>
  <si>
    <t>WALDEMAR MARTINS DOS SANTOS,</t>
  </si>
  <si>
    <t>WALDEMIR FERREIRA CASTRO,</t>
  </si>
  <si>
    <t>WALDOMIRO ALEXANDRE DOS SANTOS,</t>
  </si>
  <si>
    <t>WALLACE DE FRANCA GOMES,</t>
  </si>
  <si>
    <t>WANDER FAVACHO BRAGA,</t>
  </si>
  <si>
    <t>WELLINGTON FELIX DE ARAUJO,</t>
  </si>
  <si>
    <t>WELLINGTON ROOSELVERT ANTES GONCALVES,</t>
  </si>
  <si>
    <t>WELLINGTON TELES DOS SANTOS,</t>
  </si>
  <si>
    <t>WELTON GOMES SILVA,</t>
  </si>
  <si>
    <t>WILIAN ROSANTE LIMA,</t>
  </si>
  <si>
    <t>WILLIAM ROBERTO MARCUCCI,</t>
  </si>
  <si>
    <t>WILSON DE OLIVEIRA LIMA,</t>
  </si>
  <si>
    <t>WILSON RICARDO GARCIA,</t>
  </si>
  <si>
    <t>WINNETOU BEZERRA SALES,</t>
  </si>
  <si>
    <t>YURI BRUNO DE OLIVEIRA FARIA,</t>
  </si>
  <si>
    <t>YURI SILVA BULHOES,</t>
  </si>
  <si>
    <t>AGE DESENVOLVIMENTO DE SISTEMAS LTDA</t>
  </si>
  <si>
    <t>ALARMTEK TECNOLOGIA AUTODEFESA LTDA</t>
  </si>
  <si>
    <t>BL NESHER TRANSPORTES E LOGISTICA LTDA - ME</t>
  </si>
  <si>
    <t>ESPACO Y ENGENHARIA EMPREENDIMENTOS SA</t>
  </si>
  <si>
    <t>GRUPO ELITEC DO BRASIL COMERCIO E SERVICOS DE SISTEMAS DE SEGURANCA LTDA ME</t>
  </si>
  <si>
    <t>INTERMODAL BRASIL LOGISTICA LTDA</t>
  </si>
  <si>
    <t>IRENALDO DE MELO CELANI</t>
  </si>
  <si>
    <t>MICROPAN ASSISTENCIA TECNICA LTDA ME</t>
  </si>
  <si>
    <t>NATAL TECNOLOGIA E SEGURANCA LTDA</t>
  </si>
  <si>
    <t>POSTEC COMERCIO E SERVICO EM TECNOLOGIA LTDA - EPP</t>
  </si>
  <si>
    <t>PREXX COMERCIO E IMPORTAÇÃO LTDA</t>
  </si>
  <si>
    <t>ROBERTO MOTTA COCCIOLI</t>
  </si>
  <si>
    <t>SCOLTT COMERCIO E SERVICOS LTDA</t>
  </si>
  <si>
    <t>SUCESSO PRESTACAO DE SERVICOS TERCEIRIZADOS LTDA - ME</t>
  </si>
  <si>
    <t>TORKS TRANSPORTES LTDA - ME</t>
  </si>
  <si>
    <t>TRANSBRITTO EXPRESS LTDA</t>
  </si>
  <si>
    <t>TRANSPORTADORA CEL E MAR LTDA ME</t>
  </si>
  <si>
    <t>CONSELHO REGIONAL DOS TECNICOS INDUSTRIAIS DA PRIMEIRA REGIAO</t>
  </si>
  <si>
    <t>CONSELHO REGIONAL DOS TECNICOS INDUSTRIAIS DO ESTADO DE SAO PAULO</t>
  </si>
  <si>
    <t>CONSELHO REGIONAL DOS TECNICOS INDUSTRIAIS DO ESTADO DO RIO DE JANEIRO</t>
  </si>
  <si>
    <t>CONSELHO REGIONAL DOS TECNICOS INDUSTRIAIS DA TERCEIRA REGIAO</t>
  </si>
  <si>
    <t>Quantia Reconciliada</t>
  </si>
  <si>
    <t>Flex. Desc.</t>
  </si>
  <si>
    <t>Reconciliado</t>
  </si>
  <si>
    <t>Externo</t>
  </si>
  <si>
    <t>205393/205826</t>
  </si>
  <si>
    <t>200000/205826</t>
  </si>
  <si>
    <t>R$ 69.000,25 Conciliado com a 
devolução do fornecedor na linha 2 do dia 21/08.</t>
  </si>
  <si>
    <t>Atividade: JUROS EMPRESTIMO BB</t>
  </si>
  <si>
    <t>CAP. GIRO AMORTIZAÇÃO</t>
  </si>
  <si>
    <t>Pagamento Rapido: ID=6541123</t>
  </si>
  <si>
    <t>OB SEM SAÍDA NO BANCO</t>
  </si>
  <si>
    <t>Pagamento Rapido: ID=6541216</t>
  </si>
  <si>
    <t>Pagamento Rapido: ID=6541219</t>
  </si>
  <si>
    <t>Pagamento Rapido: ID=6543236</t>
  </si>
  <si>
    <t>Atividade: IOF A RECOLHER</t>
  </si>
  <si>
    <t>COBRANÇA IOF</t>
  </si>
  <si>
    <t>Unidade Operacional</t>
  </si>
  <si>
    <t>Estado</t>
  </si>
  <si>
    <t>Nr. do Recebimento</t>
  </si>
  <si>
    <t>Data do Recebimento</t>
  </si>
  <si>
    <t>Moeda</t>
  </si>
  <si>
    <t>Quantia de Recebimento</t>
  </si>
  <si>
    <t>Qtia. Líquida</t>
  </si>
  <si>
    <t>Quantia Não aplicada</t>
  </si>
  <si>
    <t>Quantia Não Identificada</t>
  </si>
  <si>
    <t>Nome do Cliente</t>
  </si>
  <si>
    <t>Data de Correspondência</t>
  </si>
  <si>
    <t>Data do Depósito</t>
  </si>
  <si>
    <t>Método de Recebimento</t>
  </si>
  <si>
    <t>Conta Bancária para Remessa</t>
  </si>
  <si>
    <t>Encargos Bancários</t>
  </si>
  <si>
    <t>Encargo Bancário-padrão</t>
  </si>
  <si>
    <t>Limite da Tolerância</t>
  </si>
  <si>
    <t>[ ]</t>
  </si>
  <si>
    <t>( )</t>
  </si>
  <si>
    <t>OU_BBTS</t>
  </si>
  <si>
    <t>Aplicado</t>
  </si>
  <si>
    <t>10-SET-24001001205826/157</t>
  </si>
  <si>
    <t>Diversos</t>
  </si>
  <si>
    <t>Estorno de lançamento duplicado.</t>
  </si>
  <si>
    <t>BB ELETRONICO</t>
  </si>
  <si>
    <t>Remetido</t>
  </si>
  <si>
    <t>10-SET-24001001205826/158</t>
  </si>
  <si>
    <t>10-SET-24001001205826/159</t>
  </si>
  <si>
    <t>10-SET-24001001205826/160</t>
  </si>
  <si>
    <t>10-SET-24001001205826/161</t>
  </si>
  <si>
    <t>10-SET-24001001205826/162</t>
  </si>
  <si>
    <t>10-SET-24001001205826/163</t>
  </si>
  <si>
    <t>10-SET-24001001205826/164</t>
  </si>
  <si>
    <t>10-SET-24001001205826/165</t>
  </si>
  <si>
    <t>10-SET-24001001205826/166</t>
  </si>
  <si>
    <t>10-SET-24001001205826/167</t>
  </si>
  <si>
    <t>10-SET-24001001205826/168</t>
  </si>
  <si>
    <t>10-SET-24001001205826/169</t>
  </si>
  <si>
    <t>10-SET-24001001205826/170</t>
  </si>
  <si>
    <t>10-SET-24001001205826/171</t>
  </si>
  <si>
    <t>10-SET-24001001205826/172</t>
  </si>
  <si>
    <t>10-SET-24001001205826/173</t>
  </si>
  <si>
    <t>10-SET-24001001205826/174</t>
  </si>
  <si>
    <t>10-SET-24001001205826/175</t>
  </si>
  <si>
    <t>10-SET-24001001205826/176</t>
  </si>
  <si>
    <t>10-SET-24001001205826/177</t>
  </si>
  <si>
    <t>10-SET-24001001205826/178</t>
  </si>
  <si>
    <t>10-SET-24001001205826/179</t>
  </si>
  <si>
    <t>10-SET-24001001205826/180</t>
  </si>
  <si>
    <t>10-SET-24001001205826/181</t>
  </si>
  <si>
    <t>10-SET-24001001205826/182</t>
  </si>
  <si>
    <t>10-SET-24001001205826/183</t>
  </si>
  <si>
    <t>10-SET-24001001205826/184</t>
  </si>
  <si>
    <t>10-SET-24001001205826/185</t>
  </si>
  <si>
    <t>10-SET-24001001205826/186</t>
  </si>
  <si>
    <t>10-SET-24001001205826/187</t>
  </si>
  <si>
    <t>10-SET-24001001205826/188</t>
  </si>
  <si>
    <t>10-SET-24001001205826/189</t>
  </si>
  <si>
    <t>10-SET-24001001205826/190</t>
  </si>
  <si>
    <t>10-SET-24001001205826/191</t>
  </si>
  <si>
    <t>10-SET-24001001205826/192</t>
  </si>
  <si>
    <t>10-SET-24001001205826/193</t>
  </si>
  <si>
    <t>10-SET-24001001205826/194</t>
  </si>
  <si>
    <t>10-SET-24001001205826/195</t>
  </si>
  <si>
    <t>10-SET-24001001205826/196</t>
  </si>
  <si>
    <t>10-SET-24001001205826/197</t>
  </si>
  <si>
    <t>10-SET-24001001205826/198</t>
  </si>
  <si>
    <t>10-SET-24001001205826/199</t>
  </si>
  <si>
    <t>10-SET-24001001205826/200</t>
  </si>
  <si>
    <t>10-SET-24001001205826/201</t>
  </si>
  <si>
    <t>10-SET-24001001205826/202</t>
  </si>
  <si>
    <t>10-SET-24001001205826/203</t>
  </si>
  <si>
    <t>10-SET-24001001205826/204</t>
  </si>
  <si>
    <t>10-SET-24001001205826/205</t>
  </si>
  <si>
    <t>10-SET-24001001205826/206</t>
  </si>
  <si>
    <t>10-SET-24001001205826/207</t>
  </si>
  <si>
    <t>10-SET-24001001205826/208</t>
  </si>
  <si>
    <t>10-SET-24001001205826/209</t>
  </si>
  <si>
    <t>10-SET-24001001205826/210</t>
  </si>
  <si>
    <t>10-SET-24001001205826/211</t>
  </si>
  <si>
    <t>10-SET-24001001205826/212</t>
  </si>
  <si>
    <t>10-SET-24001001205826/213</t>
  </si>
  <si>
    <t>10-SET-24001001205826/214</t>
  </si>
  <si>
    <t>10-SET-24001001205826/215</t>
  </si>
  <si>
    <t>10-SET-24001001205826/216</t>
  </si>
  <si>
    <t>10-SET-24001001205826/217</t>
  </si>
  <si>
    <t>10-SET-24001001205826/218</t>
  </si>
  <si>
    <t>10-SET-24001001205826/219</t>
  </si>
  <si>
    <t>10-SET-24001001205826/220</t>
  </si>
  <si>
    <t>10-SET-24001001205826/221</t>
  </si>
  <si>
    <t>10-SET-24001001205826/222</t>
  </si>
  <si>
    <t>10-SET-24001001205826/223</t>
  </si>
  <si>
    <t>10-SET-24001001205826/224</t>
  </si>
  <si>
    <t>10-SET-24001001205826/225</t>
  </si>
  <si>
    <t>10-SET-24001001205826/226</t>
  </si>
  <si>
    <t>10-SET-24001001205826/227</t>
  </si>
  <si>
    <t>10-SET-24001001205826/228</t>
  </si>
  <si>
    <t>10-SET-24001001205826/229</t>
  </si>
  <si>
    <t>10-SET-24001001205826/230</t>
  </si>
  <si>
    <t>10-SET-24001001205826/231</t>
  </si>
  <si>
    <t>10-SET-24001001205826/232</t>
  </si>
  <si>
    <t>10-SET-24001001205826/233</t>
  </si>
  <si>
    <t>10-SET-24001001205826/234</t>
  </si>
  <si>
    <t>10-SET-24001001205826/235</t>
  </si>
  <si>
    <t>10-SET-24001001205826/236</t>
  </si>
  <si>
    <t>10-SET-24001001205826/237</t>
  </si>
  <si>
    <t>10-SET-24001001205826/238</t>
  </si>
  <si>
    <t>10-SET-24001001205826/239</t>
  </si>
  <si>
    <t>10-SET-24001001205826/240</t>
  </si>
  <si>
    <t>10-SET-24001001205826/241</t>
  </si>
  <si>
    <t>10-SET-24001001205826/242</t>
  </si>
  <si>
    <t>10-SET-24001001205826/243</t>
  </si>
  <si>
    <t>10-SET-24001001205826/244</t>
  </si>
  <si>
    <t>10-SET-24001001205826/245</t>
  </si>
  <si>
    <t>10-SET-24001001205826/246</t>
  </si>
  <si>
    <t>10-SET-24001001205826/247</t>
  </si>
  <si>
    <t>10-SET-24001001205826/248</t>
  </si>
  <si>
    <t>10-SET-24001001205826/249</t>
  </si>
  <si>
    <t>10-SET-24001001205826/250</t>
  </si>
  <si>
    <t>10-SET-24001001205826/251</t>
  </si>
  <si>
    <t>10-SET-24001001205826/252</t>
  </si>
  <si>
    <t>10-SET-24001001205826/253</t>
  </si>
  <si>
    <t>10-SET-24001001205826/254</t>
  </si>
  <si>
    <t>10-SET-24001001205826/255</t>
  </si>
  <si>
    <t>10-SET-24001001205826/256</t>
  </si>
  <si>
    <t>10-SET-24001001205826/257</t>
  </si>
  <si>
    <t>10-SET-24001001205826/258</t>
  </si>
  <si>
    <t>10-SET-24001001205826/259</t>
  </si>
  <si>
    <t>10-SET-24001001205826/260</t>
  </si>
  <si>
    <t>10-SET-24001001205826/261</t>
  </si>
  <si>
    <t>10-SET-24001001205826/262</t>
  </si>
  <si>
    <t>10-SET-24001001205826/263</t>
  </si>
  <si>
    <t>10-SET-24001001205826/264</t>
  </si>
  <si>
    <t>10-SET-24001001205826/265</t>
  </si>
  <si>
    <t>10-SET-24001001205826/266</t>
  </si>
  <si>
    <t>10-SET-24001001205826/267</t>
  </si>
  <si>
    <t>10-SET-24001001205826/268</t>
  </si>
  <si>
    <t>10-SET-24001001205826/269</t>
  </si>
  <si>
    <t>10-SET-24001001205826/270</t>
  </si>
  <si>
    <t>10-SET-24001001205826/271</t>
  </si>
  <si>
    <t>10-SET-24001001205826/272</t>
  </si>
  <si>
    <t>10-SET-24001001205826/273</t>
  </si>
  <si>
    <t>10-SET-24001001205826/274</t>
  </si>
  <si>
    <t>10-SET-24001001205826/275</t>
  </si>
  <si>
    <t>10-SET-24001001205826/276</t>
  </si>
  <si>
    <t>10-SET-24001001205826/277</t>
  </si>
  <si>
    <t>10-SET-24001001205826/278</t>
  </si>
  <si>
    <t>10-SET-24001001205826/279</t>
  </si>
  <si>
    <t>10-SET-24001001205826/280</t>
  </si>
  <si>
    <t>10-SET-24001001205826/281</t>
  </si>
  <si>
    <t>10-SET-24001001205826/282</t>
  </si>
  <si>
    <t>10-SET-24001001205826/283</t>
  </si>
  <si>
    <t>10-SET-24001001205826/284</t>
  </si>
  <si>
    <t>10-SET-24001001205826/285</t>
  </si>
  <si>
    <t>10-SET-24001001205826/286</t>
  </si>
  <si>
    <t>10-SET-24001001205826/287</t>
  </si>
  <si>
    <t>10-SET-24001001205826/288</t>
  </si>
  <si>
    <t>10-SET-24001001205826/289</t>
  </si>
  <si>
    <t>10-SET-24001001205826/290</t>
  </si>
  <si>
    <t>10-SET-24001001205826/291</t>
  </si>
  <si>
    <t>10-SET-24001001205826/292</t>
  </si>
  <si>
    <t>10-SET-24001001205826/293</t>
  </si>
  <si>
    <t>10-SET-24001001205826/294</t>
  </si>
  <si>
    <t>10-SET-24001001205826/295</t>
  </si>
  <si>
    <t>10-SET-24001001205826/296</t>
  </si>
  <si>
    <t>10-SET-24001001205826/297</t>
  </si>
  <si>
    <t>10-SET-24001001205826/298</t>
  </si>
  <si>
    <t>10-SET-24001001205826/299</t>
  </si>
  <si>
    <t>10-SET-24001001205826/300</t>
  </si>
  <si>
    <t>10-SET-24001001205826/301</t>
  </si>
  <si>
    <t>10-SET-24001001205826/302</t>
  </si>
  <si>
    <t>10-SET-24001001205826/303</t>
  </si>
  <si>
    <t>10-SET-24001001205826/304</t>
  </si>
  <si>
    <t>10-SET-24001001205826/305</t>
  </si>
  <si>
    <t>10-SET-24001001205826/306</t>
  </si>
  <si>
    <t>10-SET-24001001205826/307</t>
  </si>
  <si>
    <t>10-SET-24001001205826/308</t>
  </si>
  <si>
    <t>10-SET-24001001205826/309</t>
  </si>
  <si>
    <t>10-SET-24001001205826/310</t>
  </si>
  <si>
    <t>10-SET-24001001205826/311</t>
  </si>
  <si>
    <t>10-SET-24001001205826/312</t>
  </si>
  <si>
    <t>10-SET-24001001205826/313</t>
  </si>
  <si>
    <t>10-SET-24001001205826/314</t>
  </si>
  <si>
    <t>10-SET-24001001205826/315</t>
  </si>
  <si>
    <t>10-SET-24001001205826/316</t>
  </si>
  <si>
    <t>10-SET-24001001205826/317</t>
  </si>
  <si>
    <t>10-SET-24001001205826/318</t>
  </si>
  <si>
    <t>10-SET-24001001205826/319</t>
  </si>
  <si>
    <t>10-SET-24001001205826/320</t>
  </si>
  <si>
    <t>10-SET-24001001205826/321</t>
  </si>
  <si>
    <t>10-SET-24001001205826/322</t>
  </si>
  <si>
    <t>10-SET-24001001205826/323</t>
  </si>
  <si>
    <t>10-SET-24001001205826/324</t>
  </si>
  <si>
    <t>10-SET-24001001205826/325</t>
  </si>
  <si>
    <t>10-SET-24001001205826/326</t>
  </si>
  <si>
    <t>10-SET-24001001205826/327</t>
  </si>
  <si>
    <t>10-SET-24001001205826/328</t>
  </si>
  <si>
    <t>10-SET-24001001205826/329</t>
  </si>
  <si>
    <t>10-SET-24001001205826/330</t>
  </si>
  <si>
    <t>10-SET-24001001205826/331</t>
  </si>
  <si>
    <t>10-SET-24001001205826/332</t>
  </si>
  <si>
    <t>10-SET-24001001205826/333</t>
  </si>
  <si>
    <t>10-SET-24001001205826/334</t>
  </si>
  <si>
    <t>10-SET-24001001205826/335</t>
  </si>
  <si>
    <t>10-SET-24001001205826/336</t>
  </si>
  <si>
    <t>10-SET-24001001205826/337</t>
  </si>
  <si>
    <t>10-SET-24001001205826/338</t>
  </si>
  <si>
    <t>10-SET-24001001205826/339</t>
  </si>
  <si>
    <t>10-SET-24001001205826/340</t>
  </si>
  <si>
    <t>10-SET-24001001205826/341</t>
  </si>
  <si>
    <t>10-SET-24001001205826/342</t>
  </si>
  <si>
    <t>10-SET-24001001205826/343</t>
  </si>
  <si>
    <t>10-SET-24001001205826/344</t>
  </si>
  <si>
    <t>10-SET-24001001205826/345</t>
  </si>
  <si>
    <t>10-SET-24001001205826/346</t>
  </si>
  <si>
    <t>10-SET-24001001205826/347</t>
  </si>
  <si>
    <t>10-SET-24001001205826/348</t>
  </si>
  <si>
    <t>10-SET-24001001205826/349</t>
  </si>
  <si>
    <t>10-SET-24001001205826/350</t>
  </si>
  <si>
    <t>10-SET-24001001205826/351</t>
  </si>
  <si>
    <t>10-SET-24001001205826/352</t>
  </si>
  <si>
    <t>10-SET-24001001205826/353</t>
  </si>
  <si>
    <t>10-SET-24001001205826/354</t>
  </si>
  <si>
    <t>10-SET-24001001205826/355</t>
  </si>
  <si>
    <t>10-SET-24001001205826/356</t>
  </si>
  <si>
    <t>10-SET-24001001205826/357</t>
  </si>
  <si>
    <t>10-SET-24001001205826/358</t>
  </si>
  <si>
    <t>10-SET-24001001205826/359</t>
  </si>
  <si>
    <t>10-SET-24001001205826/360</t>
  </si>
  <si>
    <t>10-SET-24001001205826/361</t>
  </si>
  <si>
    <t>10-SET-24001001205826/362</t>
  </si>
  <si>
    <t>10-SET-24001001205826/363</t>
  </si>
  <si>
    <t>10-SET-24001001205826/364</t>
  </si>
  <si>
    <t>10-SET-24001001205826/365</t>
  </si>
  <si>
    <t>10-SET-24001001205826/366</t>
  </si>
  <si>
    <t>10-SET-24001001205826/367</t>
  </si>
  <si>
    <t>10-SET-24001001205826/368</t>
  </si>
  <si>
    <t>10-SET-24001001205826/369</t>
  </si>
  <si>
    <t>10-SET-24001001205826/370</t>
  </si>
  <si>
    <t>10-SET-24001001205826/371</t>
  </si>
  <si>
    <t>10-SET-24001001205826/372</t>
  </si>
  <si>
    <t>10-SET-24001001205826/373</t>
  </si>
  <si>
    <t>10-SET-24001001205826/374</t>
  </si>
  <si>
    <t>10-SET-24001001205826/375</t>
  </si>
  <si>
    <t>10-SET-24001001205826/376</t>
  </si>
  <si>
    <t>10-SET-24001001205826/377</t>
  </si>
  <si>
    <t>10-SET-24001001205826/378</t>
  </si>
  <si>
    <t>10-SET-24001001205826/379</t>
  </si>
  <si>
    <t>10-SET-24001001205826/380</t>
  </si>
  <si>
    <t>10-SET-24001001205826/381</t>
  </si>
  <si>
    <t>10-SET-24001001205826/382</t>
  </si>
  <si>
    <t>10-SET-24001001205826/383</t>
  </si>
  <si>
    <t>10-SET-24001001205826/384</t>
  </si>
  <si>
    <t>10-SET-24001001205826/385</t>
  </si>
  <si>
    <t>10-SET-24001001205826/386</t>
  </si>
  <si>
    <t>10-SET-24001001205826/387</t>
  </si>
  <si>
    <t>10-SET-24001001205826/388</t>
  </si>
  <si>
    <t>10-SET-24001001205826/389</t>
  </si>
  <si>
    <t>10-SET-24001001205826/390</t>
  </si>
  <si>
    <t>10-SET-24001001205826/391</t>
  </si>
  <si>
    <t>10-SET-24001001205826/392</t>
  </si>
  <si>
    <t>10-SET-24001001205826/393</t>
  </si>
  <si>
    <t>10-SET-24001001205826/394</t>
  </si>
  <si>
    <t>10-SET-24001001205826/395</t>
  </si>
  <si>
    <t>10-SET-24001001205826/396</t>
  </si>
  <si>
    <t>10-SET-24001001205826/397</t>
  </si>
  <si>
    <t>10-SET-24001001205826/398</t>
  </si>
  <si>
    <t>10-SET-24001001205826/399</t>
  </si>
  <si>
    <t>10-SET-24001001205826/400</t>
  </si>
  <si>
    <t>10-SET-24001001205826/401</t>
  </si>
  <si>
    <t>10-SET-24001001205826/402</t>
  </si>
  <si>
    <t>10-SET-24001001205826/403</t>
  </si>
  <si>
    <t>10-SET-24001001205826/404</t>
  </si>
  <si>
    <t>10-SET-24001001205826/405</t>
  </si>
  <si>
    <t>10-SET-24001001205826/406</t>
  </si>
  <si>
    <t>10-SET-24001001205826/407</t>
  </si>
  <si>
    <t>10-SET-24001001205826/408</t>
  </si>
  <si>
    <t>10-SET-24001001205826/409</t>
  </si>
  <si>
    <t>10-SET-24001001205826/410</t>
  </si>
  <si>
    <t>10-SET-24001001205826/411</t>
  </si>
  <si>
    <t>10-SET-24001001205826/412</t>
  </si>
  <si>
    <t>10-SET-24001001205826/413</t>
  </si>
  <si>
    <t>10-SET-24001001205826/414</t>
  </si>
  <si>
    <t>10-SET-24001001205826/415</t>
  </si>
  <si>
    <t>10-SET-24001001205826/416</t>
  </si>
  <si>
    <t>10-SET-24001001205826/417</t>
  </si>
  <si>
    <t>10-SET-24001001205826/418</t>
  </si>
  <si>
    <t>10-SET-24001001205826/419</t>
  </si>
  <si>
    <t>10-SET-24001001205826/420</t>
  </si>
  <si>
    <t>10-SET-24001001205826/421</t>
  </si>
  <si>
    <t>10-SET-24001001205826/422</t>
  </si>
  <si>
    <t>10-SET-24001001205826/423</t>
  </si>
  <si>
    <t>10-SET-24001001205826/424</t>
  </si>
  <si>
    <t>10-SET-24001001205826/425</t>
  </si>
  <si>
    <t>10-SET-24001001205826/426</t>
  </si>
  <si>
    <t>10-SET-24001001205826/427</t>
  </si>
  <si>
    <t>10-SET-24001001205826/428</t>
  </si>
  <si>
    <t>10-SET-24001001205826/429</t>
  </si>
  <si>
    <t>10-SET-24001001205826/430</t>
  </si>
  <si>
    <t>10-SET-24001001205826/431</t>
  </si>
  <si>
    <t>10-SET-24001001205826/432</t>
  </si>
  <si>
    <t>10-SET-24001001205826/433</t>
  </si>
  <si>
    <t>10-SET-24001001205826/434</t>
  </si>
  <si>
    <t>10-SET-24001001205826/435</t>
  </si>
  <si>
    <t>10-SET-24001001205826/436</t>
  </si>
  <si>
    <t>10-SET-24001001205826/437</t>
  </si>
  <si>
    <t>10-SET-24001001205826/438</t>
  </si>
  <si>
    <t>10-SET-24001001205826/439</t>
  </si>
  <si>
    <t>10-SET-24001001205826/440</t>
  </si>
  <si>
    <t>10-SET-24001001205826/441</t>
  </si>
  <si>
    <t>10-SET-24001001205826/442</t>
  </si>
  <si>
    <t>10-SET-24001001205826/443</t>
  </si>
  <si>
    <t>10-SET-24001001205826/444</t>
  </si>
  <si>
    <t>10-SET-24001001205826/445</t>
  </si>
  <si>
    <t>10-SET-24001001205826/446</t>
  </si>
  <si>
    <t>10-SET-24001001205826/447</t>
  </si>
  <si>
    <t>10-SET-24001001205826/448</t>
  </si>
  <si>
    <t>10-SET-24001001205826/449</t>
  </si>
  <si>
    <t>10-SET-24001001205826/450</t>
  </si>
  <si>
    <t>10-SET-24001001205826/451</t>
  </si>
  <si>
    <t>10-SET-24001001205826/452</t>
  </si>
  <si>
    <t>10-SET-24001001205826/453</t>
  </si>
  <si>
    <t>10-SET-24001001205826/454</t>
  </si>
  <si>
    <t>10-SET-24001001205826/455</t>
  </si>
  <si>
    <t>10-SET-24001001205826/456</t>
  </si>
  <si>
    <t>10-SET-24001001205826/457</t>
  </si>
  <si>
    <t>10-SET-24001001205826/458</t>
  </si>
  <si>
    <t>10-SET-24001001205826/459</t>
  </si>
  <si>
    <t>10-SET-24001001205826/460</t>
  </si>
  <si>
    <t>10-SET-24001001205826/461</t>
  </si>
  <si>
    <t>10-SET-24001001205826/462</t>
  </si>
  <si>
    <t>10-SET-24001001205826/463</t>
  </si>
  <si>
    <t>10-SET-24001001205826/464</t>
  </si>
  <si>
    <t>10-SET-24001001205826/465</t>
  </si>
  <si>
    <t>10-SET-24001001205826/466</t>
  </si>
  <si>
    <t>10-SET-24001001205826/467</t>
  </si>
  <si>
    <t>10-SET-24001001205826/468</t>
  </si>
  <si>
    <t>10-SET-24001001205826/469</t>
  </si>
  <si>
    <t>10-SET-24001001205826/470</t>
  </si>
  <si>
    <t>10-SET-24001001205826/471</t>
  </si>
  <si>
    <t>10-SET-24001001205826/472</t>
  </si>
  <si>
    <t>10-SET-24001001205826/473</t>
  </si>
  <si>
    <t>10-SET-24001001205826/474</t>
  </si>
  <si>
    <t>10-SET-24001001205826/475</t>
  </si>
  <si>
    <t>10-SET-24001001205826/476</t>
  </si>
  <si>
    <t>10-SET-24001001205826/477</t>
  </si>
  <si>
    <t>10-SET-24001001205826/478</t>
  </si>
  <si>
    <t>10-SET-24001001205826/479</t>
  </si>
  <si>
    <t>10-SET-24001001205826/480</t>
  </si>
  <si>
    <t>10-SET-24001001205826/481</t>
  </si>
  <si>
    <t>10-SET-24001001205826/482</t>
  </si>
  <si>
    <t>10-SET-24001001205826/483</t>
  </si>
  <si>
    <t>10-SET-24001001205826/484</t>
  </si>
  <si>
    <t>10-SET-24001001205826/485</t>
  </si>
  <si>
    <t>10-SET-24001001205826/486</t>
  </si>
  <si>
    <t>10-SET-24001001205826/487</t>
  </si>
  <si>
    <t>10-SET-24001001205826/488</t>
  </si>
  <si>
    <t>10-SET-24001001205826/489</t>
  </si>
  <si>
    <t>10-SET-24001001205826/490</t>
  </si>
  <si>
    <t>10-SET-24001001205826/491</t>
  </si>
  <si>
    <t>10-SET-24001001205826/492</t>
  </si>
  <si>
    <t>10-SET-24001001205826/493</t>
  </si>
  <si>
    <t>10-SET-24001001205826/494</t>
  </si>
  <si>
    <t>10-SET-24001001205826/495</t>
  </si>
  <si>
    <t>10-SET-24001001205826/496</t>
  </si>
  <si>
    <t>10-SET-24001001205826/497</t>
  </si>
  <si>
    <t>10-SET-24001001205826/498</t>
  </si>
  <si>
    <t>10-SET-24001001205826/499</t>
  </si>
  <si>
    <t>10-SET-24001001205826/500</t>
  </si>
  <si>
    <t>10-SET-24001001205826/501</t>
  </si>
  <si>
    <t>12-SET-24001001205826/100</t>
  </si>
  <si>
    <t>Compensado</t>
  </si>
  <si>
    <t>12-SET-24001001205826/101</t>
  </si>
  <si>
    <t>12-SET-24001001205826/102</t>
  </si>
  <si>
    <t>12-SET-24001001205826/103</t>
  </si>
  <si>
    <t>12-SET-24001001205826/104</t>
  </si>
  <si>
    <t>12-SET-24001001205826/105</t>
  </si>
  <si>
    <t>12-SET-24001001205826/106</t>
  </si>
  <si>
    <t>12-SET-24001001205826/107</t>
  </si>
  <si>
    <t>12-SET-24001001205826/108</t>
  </si>
  <si>
    <t>12-SET-24001001205826/109</t>
  </si>
  <si>
    <t>12-SET-24001001205826/110</t>
  </si>
  <si>
    <t>12-SET-24001001205826/111</t>
  </si>
  <si>
    <t>12-SET-24001001205826/112</t>
  </si>
  <si>
    <t>12-SET-24001001205826/78</t>
  </si>
  <si>
    <t>12-SET-24001001205826/79</t>
  </si>
  <si>
    <t>12-SET-24001001205826/80</t>
  </si>
  <si>
    <t>12-SET-24001001205826/81</t>
  </si>
  <si>
    <t>12-SET-24001001205826/82</t>
  </si>
  <si>
    <t>12-SET-24001001205826/83</t>
  </si>
  <si>
    <t>12-SET-24001001205826/84</t>
  </si>
  <si>
    <t>12-SET-24001001205826/85</t>
  </si>
  <si>
    <t>12-SET-24001001205826/86</t>
  </si>
  <si>
    <t>12-SET-24001001205826/87</t>
  </si>
  <si>
    <t>12-SET-24001001205826/88</t>
  </si>
  <si>
    <t>12-SET-24001001205826/89</t>
  </si>
  <si>
    <t>12-SET-24001001205826/90</t>
  </si>
  <si>
    <t>12-SET-24001001205826/91</t>
  </si>
  <si>
    <t>12-SET-24001001205826/92</t>
  </si>
  <si>
    <t>12-SET-24001001205826/93</t>
  </si>
  <si>
    <t>12-SET-24001001205826/94</t>
  </si>
  <si>
    <t>12-SET-24001001205826/95</t>
  </si>
  <si>
    <t>12-SET-24001001205826/96</t>
  </si>
  <si>
    <t>12-SET-24001001205826/97</t>
  </si>
  <si>
    <t>12-SET-24001001205826/98</t>
  </si>
  <si>
    <t>12-SET-24001001205826/99</t>
  </si>
  <si>
    <t xml:space="preserve">NF </t>
  </si>
  <si>
    <t>Pagamento Rapido: ID=6686276</t>
  </si>
  <si>
    <t>Data Transação</t>
  </si>
  <si>
    <t xml:space="preserve"> Quantia  </t>
  </si>
  <si>
    <t xml:space="preserve"> VALOR </t>
  </si>
  <si>
    <t>6499/2058</t>
  </si>
  <si>
    <t>6951/2058</t>
  </si>
  <si>
    <t>7250/2058</t>
  </si>
  <si>
    <t>205393/2058</t>
  </si>
  <si>
    <t>extra/2058</t>
  </si>
  <si>
    <t>cartões corporate</t>
  </si>
  <si>
    <t>tarifas cartão</t>
  </si>
  <si>
    <t>Pagamento Rapido: ID=6686667</t>
  </si>
  <si>
    <t>Pagamento Rapido: ID=6686689</t>
  </si>
  <si>
    <t>Pagamento Rapido: ID=6685213</t>
  </si>
  <si>
    <t>Pagamento Rapido: ID=6685214</t>
  </si>
  <si>
    <t>Pagamento Rapido: ID=6686677</t>
  </si>
  <si>
    <t>Pagamento Rapido: ID=6686682</t>
  </si>
  <si>
    <t>dep int</t>
  </si>
  <si>
    <t>6624/2058</t>
  </si>
  <si>
    <t>6952/2058</t>
  </si>
  <si>
    <t>6980/2058</t>
  </si>
  <si>
    <t>Baixas e falhas e fraudes</t>
  </si>
  <si>
    <t>Tarifas</t>
  </si>
  <si>
    <t>Pagamento Rapido: ID=6687146</t>
  </si>
  <si>
    <t>Pagamento Rapido: ID=6687148</t>
  </si>
  <si>
    <t>Pagamento Rapido: ID=6687153</t>
  </si>
  <si>
    <t>Pagamento Rapido: ID=6687162</t>
  </si>
  <si>
    <t>6583/2058</t>
  </si>
  <si>
    <t>TED DEVOLVIDA</t>
  </si>
  <si>
    <t>2058/6527</t>
  </si>
  <si>
    <t>2058/6583</t>
  </si>
  <si>
    <t>2058/6896</t>
  </si>
  <si>
    <t>2058/6951</t>
  </si>
  <si>
    <t>2058/6952</t>
  </si>
  <si>
    <t>2058/6953</t>
  </si>
  <si>
    <t>2058/6954</t>
  </si>
  <si>
    <t>2058/6968</t>
  </si>
  <si>
    <t>2058/6972</t>
  </si>
  <si>
    <t>2058/6980</t>
  </si>
  <si>
    <t>2058/6984</t>
  </si>
  <si>
    <t>2058/6987</t>
  </si>
  <si>
    <t>2058/6992</t>
  </si>
  <si>
    <t>2058/7006</t>
  </si>
  <si>
    <t>2058/7020</t>
  </si>
  <si>
    <t>2058/7236</t>
  </si>
  <si>
    <t>IMPOSTOS</t>
  </si>
  <si>
    <t>TARIFAS</t>
  </si>
  <si>
    <t>PROJEAGRO C P A LTDA</t>
  </si>
  <si>
    <t>Referente a OB 174430</t>
  </si>
  <si>
    <t>Eduardo Silva Mattos/VOETUR</t>
  </si>
  <si>
    <t>TREINAMENTO</t>
  </si>
  <si>
    <t>Outras Despesas Admiistrativas: Auditoria Externa Contabilidade</t>
  </si>
  <si>
    <t>Pagamento Rapido: ID=6685710</t>
  </si>
  <si>
    <t>Pagamento Rapido: ID=6685746</t>
  </si>
  <si>
    <t>Pagamento Rapido: ID=6687406</t>
  </si>
  <si>
    <t>Pagamento Rapido: ID=6687410</t>
  </si>
  <si>
    <t>EXTRA M./2058</t>
  </si>
  <si>
    <t>2058/EXTRA M.</t>
  </si>
  <si>
    <t>Pagamento Rapido: ID=6687417</t>
  </si>
  <si>
    <t>Pagamento Rapido: ID=6687961</t>
  </si>
  <si>
    <t>Pagamento Rapido: ID=6687962</t>
  </si>
  <si>
    <t>Pagamento Rapido: ID=6687963</t>
  </si>
  <si>
    <t>Pagamento Rapido: ID=6687424</t>
  </si>
  <si>
    <t>Pagamento Rapido: ID=6687425</t>
  </si>
  <si>
    <t>DEB AUTORIZADO</t>
  </si>
  <si>
    <t>6530/2058</t>
  </si>
  <si>
    <t>ESTORNO DEBITO</t>
  </si>
  <si>
    <t>2058/7252</t>
  </si>
  <si>
    <t>COLOCATION DF - CONV BB</t>
  </si>
  <si>
    <t>BENEFICIOS FUNCI CEDIDOS</t>
  </si>
  <si>
    <t xml:space="preserve"> COLOCATION SP - CONV BB</t>
  </si>
  <si>
    <t>Pagamento Rapido: ID=6687725</t>
  </si>
  <si>
    <t>Pagamento Rapido: ID=6687726</t>
  </si>
  <si>
    <t>Pagamento Rapido: ID=6687989</t>
  </si>
  <si>
    <t>6499 / 2058</t>
  </si>
  <si>
    <t>6530 / 2058</t>
  </si>
  <si>
    <t>6951 / 2058</t>
  </si>
  <si>
    <t>EXTRA M. / 2058</t>
  </si>
  <si>
    <t>2058 / 7247</t>
  </si>
  <si>
    <t>2058 / 7250</t>
  </si>
  <si>
    <t>2058 / 7251</t>
  </si>
  <si>
    <t>R$ 3.756,58 (CARTAO CORPORATE) + 3,00 (TARIFAS)</t>
  </si>
  <si>
    <t>DIRCO</t>
  </si>
  <si>
    <t>Pagamento Rapido: ID=6687762</t>
  </si>
  <si>
    <t>Pagamento Rapido: ID=6688358</t>
  </si>
  <si>
    <t>2058 / EXTRA M.</t>
  </si>
  <si>
    <t>Pagamento Rapido: ID=6689170</t>
  </si>
  <si>
    <t>Pagamento Rapido: ID=6689878</t>
  </si>
  <si>
    <t>Pagamento Rapido: ID=6689885</t>
  </si>
  <si>
    <t>PG.AUTO-ATENDIM</t>
  </si>
  <si>
    <t>PAG BOLETO</t>
  </si>
  <si>
    <t>Pagamento Rapido: ID=6689365</t>
  </si>
  <si>
    <t>Pagamento Rapido: ID=6689367</t>
  </si>
  <si>
    <t>Pagamento Rapido: ID=6689368</t>
  </si>
  <si>
    <t>Pagamento Rapido: ID=6689369</t>
  </si>
  <si>
    <t>Pagamento Rapido: ID=6689370</t>
  </si>
  <si>
    <t>Pagamento Rapido: ID=6689372</t>
  </si>
  <si>
    <t>Pagamento Rapido: ID=6690316</t>
  </si>
  <si>
    <t>Pagamento Rapido: ID=6690325</t>
  </si>
  <si>
    <t>Pagamento Rapido: ID=6690326</t>
  </si>
  <si>
    <t>2058/6561</t>
  </si>
  <si>
    <t>Pagamento Rapido: ID=6690481</t>
  </si>
  <si>
    <t>Pagamento Rapido: ID=6689515</t>
  </si>
  <si>
    <t>Pagamento Rapido: ID=6690479</t>
  </si>
  <si>
    <t>Pagamento Rapido: ID=6690486</t>
  </si>
  <si>
    <t>Pagamento Rapido: ID=6690488</t>
  </si>
  <si>
    <t>Pagamento Rapido: ID=6690490</t>
  </si>
  <si>
    <t>6534/2058</t>
  </si>
  <si>
    <t>2058/6534</t>
  </si>
  <si>
    <t>2058/7247</t>
  </si>
  <si>
    <t>BB-ESCRITURACAO</t>
  </si>
  <si>
    <t>Pagamento Rapido: ID=6689745</t>
  </si>
  <si>
    <t>Pagamento Rapido: ID=6689746</t>
  </si>
  <si>
    <t>BX PEND PROV</t>
  </si>
  <si>
    <t>ISSQN RETIDO A MENOR</t>
  </si>
  <si>
    <t>Pagamento Rapido: ID=6691947</t>
  </si>
  <si>
    <t>Pagamento Rapido: ID=6691326</t>
  </si>
  <si>
    <t>Pagamento Rapido: ID=6691327</t>
  </si>
  <si>
    <t>Pagamento Rapido: ID=6691329</t>
  </si>
  <si>
    <t>Pagamento Rapido: ID=6691941</t>
  </si>
  <si>
    <t>7006/2058</t>
  </si>
  <si>
    <t>Pagamento Rapido: ID=6691350</t>
  </si>
  <si>
    <t>Pagamento Rapido: ID=6691336</t>
  </si>
  <si>
    <t>Pagamento Rapido: ID=6691337</t>
  </si>
  <si>
    <t>Pagamento Rapido: ID=6691339</t>
  </si>
  <si>
    <t>Pagamento Rapido: ID=6691358</t>
  </si>
  <si>
    <t>Pagamento Rapido: ID=6691359</t>
  </si>
  <si>
    <t>Pagamento Rapido: ID=6692161</t>
  </si>
  <si>
    <t>Pagamento Rapido: ID=6692176</t>
  </si>
  <si>
    <t>6518/2058</t>
  </si>
  <si>
    <t>Pagamento Rapido: ID=6691833</t>
  </si>
  <si>
    <t>2058/6499</t>
  </si>
  <si>
    <t>Pagamento Rapido: ID=6692962</t>
  </si>
  <si>
    <t>Pagamento Rapido: ID=6692963</t>
  </si>
  <si>
    <t>Pagamento Rapido: ID=6692975</t>
  </si>
  <si>
    <t>Pagamento Rapido: ID=6692986</t>
  </si>
  <si>
    <t>BB GES</t>
  </si>
  <si>
    <t>2058/7251</t>
  </si>
  <si>
    <t>2058/extra</t>
  </si>
  <si>
    <t>ATIVIDADE: JUROS EMPRESTIMO BB</t>
  </si>
  <si>
    <t>Pagamento Rapido: ID=6693212</t>
  </si>
  <si>
    <t>Pagamento Rapido: ID=6693206</t>
  </si>
  <si>
    <t>Pagamento Rapido: ID=6693220</t>
  </si>
  <si>
    <t>Pagamento Rapido: ID=6693225</t>
  </si>
  <si>
    <t>Pagamento Rapido: ID=6693233</t>
  </si>
  <si>
    <t>Pagamento Rapido: ID=6693847</t>
  </si>
  <si>
    <t>cda</t>
  </si>
  <si>
    <t>205826/6499</t>
  </si>
  <si>
    <t>205826/7236</t>
  </si>
  <si>
    <t>Pagamento Rapido: ID=6694092</t>
  </si>
  <si>
    <t>Pagamento Rapido: ID=6694113</t>
  </si>
  <si>
    <t>Fatura SPID Corporativo</t>
  </si>
  <si>
    <t>Pagamento Rapido: ID=6694317</t>
  </si>
  <si>
    <t>Pagamento Rapido: ID=6694318</t>
  </si>
  <si>
    <t>Pagamento Rapido: ID=6694347</t>
  </si>
  <si>
    <t>Pagamento Rapido: ID=6694725</t>
  </si>
  <si>
    <t>Pagamento Rapido: ID=6694746</t>
  </si>
  <si>
    <t>EXTRA/2058</t>
  </si>
  <si>
    <t>ORPAG</t>
  </si>
  <si>
    <t>Pagamento Rapido: ID=6694848</t>
  </si>
  <si>
    <t>Pagamento Rapido: ID=6694859</t>
  </si>
  <si>
    <t>Pagamento Rapido: ID=6694865</t>
  </si>
  <si>
    <t>Pagamento Rapido: ID=6694846</t>
  </si>
  <si>
    <t>Pagamento Rapido: ID=6694863</t>
  </si>
  <si>
    <t>Pagamento Rapido: ID=6695151</t>
  </si>
  <si>
    <t>tarifas</t>
  </si>
  <si>
    <t>iof</t>
  </si>
  <si>
    <t>IOF A RECOLHER</t>
  </si>
  <si>
    <t>Pagamento Rapido: ID=6695404</t>
  </si>
  <si>
    <t>Pagamento Rapido: ID=6695295</t>
  </si>
  <si>
    <t>Pagamento Rapido: ID=6695304</t>
  </si>
  <si>
    <t>6972/2058</t>
  </si>
  <si>
    <t>2058/7229</t>
  </si>
  <si>
    <t>baixas e falhas cabb</t>
  </si>
  <si>
    <t>2058/2000</t>
  </si>
  <si>
    <t>DEVOLUCAO APV-ADTO P/ VIAGENS</t>
  </si>
  <si>
    <t>Pagamento Rapido: ID=6695528</t>
  </si>
  <si>
    <t>2058/fae2</t>
  </si>
  <si>
    <t>Pagamento Rapido: ID=6695748</t>
  </si>
  <si>
    <t>Pagamento Rapido: ID=6695760</t>
  </si>
  <si>
    <t>Pagamento Rapido: ID=6695763</t>
  </si>
  <si>
    <t>6632/2058</t>
  </si>
  <si>
    <t>djo</t>
  </si>
  <si>
    <t>R$ 10.500 baixados como BAIXA CAUCAO FORNECEDORES conforme indicado pela contabilidade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</si>
</sst>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&quot;R$&quot;\ #,##0.00"/>
  </numFmts>
  <fonts count="3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FFFF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FF0000"/>
      <name val="Calibri"/>
      <family val="2"/>
    </font>
    <font>
      <strike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name val="Calibri"/>
      <family val="2"/>
    </font>
    <font>
      <sz val="11"/>
      <color rgb="FFFFFFFF"/>
      <name val="Calibri"/>
      <family val="2"/>
    </font>
    <font>
      <sz val="11"/>
      <color rgb="FFFF0000"/>
      <name val="Calibri"/>
      <family val="2"/>
    </font>
    <font>
      <sz val="11"/>
      <name val="Aptos Narrow"/>
      <family val="2"/>
      <scheme val="minor"/>
    </font>
    <font>
      <b/>
      <sz val="11"/>
      <color theme="0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</font>
    <font>
      <b/>
      <sz val="11"/>
      <color rgb="FFFF00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theme="6" tint="0.59999389629810485"/>
      <name val="Aptos Narrow"/>
      <family val="2"/>
      <scheme val="minor"/>
    </font>
    <font>
      <b/>
      <i/>
      <sz val="11"/>
      <color theme="6" tint="0.59999389629810485"/>
      <name val="Aptos Narrow"/>
      <family val="2"/>
      <scheme val="minor"/>
    </font>
    <font>
      <b/>
      <i/>
      <sz val="11"/>
      <color theme="0"/>
      <name val="Aptos Narrow"/>
      <family val="2"/>
      <scheme val="minor"/>
    </font>
    <font>
      <sz val="11"/>
      <color theme="0" tint="-4.9989318521683403E-2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rgb="FFFFFF00"/>
      <name val="Calibri"/>
      <family val="2"/>
    </font>
    <font>
      <b/>
      <sz val="11"/>
      <color theme="4"/>
      <name val="Aptos Narrow"/>
      <family val="2"/>
      <scheme val="minor"/>
    </font>
    <font>
      <sz val="11"/>
      <color rgb="FFFFFF00"/>
      <name val="Aptos Narrow"/>
      <family val="2"/>
      <scheme val="minor"/>
    </font>
    <font>
      <b/>
      <sz val="11"/>
      <color rgb="FF66FF33"/>
      <name val="Aptos Narrow"/>
      <family val="2"/>
      <scheme val="minor"/>
    </font>
    <font>
      <b/>
      <sz val="11"/>
      <color rgb="FF00FFFF"/>
      <name val="Aptos Narrow"/>
      <family val="2"/>
      <scheme val="minor"/>
    </font>
    <font>
      <b/>
      <sz val="11"/>
      <color rgb="FFFF99FF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1"/>
      <color rgb="FFFF8F29"/>
      <name val="Aptos Narrow"/>
      <family val="2"/>
      <scheme val="minor"/>
    </font>
  </fonts>
  <fills count="71">
    <fill>
      <patternFill patternType="none"/>
    </fill>
    <fill>
      <patternFill patternType="gray125"/>
    </fill>
    <fill>
      <patternFill patternType="solid">
        <fgColor rgb="FF0000CC"/>
        <bgColor rgb="FF000000"/>
      </patternFill>
    </fill>
    <fill>
      <patternFill patternType="solid">
        <fgColor rgb="FFFF339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66FF3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0000"/>
        <bgColor rgb="FF000000"/>
      </patternFill>
    </fill>
    <fill>
      <patternFill patternType="solid">
        <fgColor rgb="FFCCECFF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rgb="FF000000"/>
      </patternFill>
    </fill>
    <fill>
      <patternFill patternType="solid">
        <fgColor rgb="FFFF9999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8F2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66003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59999389629810485"/>
        <bgColor rgb="FF0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CC6600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234">
    <xf numFmtId="0" fontId="0" fillId="0" borderId="0" xfId="0"/>
    <xf numFmtId="14" fontId="0" fillId="0" borderId="0" xfId="0" applyNumberFormat="1"/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44" fontId="4" fillId="2" borderId="0" xfId="1" applyFont="1" applyFill="1" applyAlignment="1">
      <alignment horizontal="center" vertical="center"/>
    </xf>
    <xf numFmtId="44" fontId="0" fillId="0" borderId="0" xfId="1" applyFont="1"/>
    <xf numFmtId="44" fontId="4" fillId="2" borderId="2" xfId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4" xfId="0" applyBorder="1"/>
    <xf numFmtId="44" fontId="0" fillId="0" borderId="0" xfId="1" applyFont="1" applyBorder="1"/>
    <xf numFmtId="0" fontId="0" fillId="0" borderId="6" xfId="0" applyBorder="1"/>
    <xf numFmtId="0" fontId="0" fillId="0" borderId="7" xfId="0" applyBorder="1"/>
    <xf numFmtId="44" fontId="0" fillId="0" borderId="7" xfId="1" applyFont="1" applyBorder="1"/>
    <xf numFmtId="0" fontId="0" fillId="3" borderId="0" xfId="0" applyFill="1"/>
    <xf numFmtId="44" fontId="0" fillId="3" borderId="0" xfId="1" applyFont="1" applyFill="1"/>
    <xf numFmtId="0" fontId="0" fillId="4" borderId="0" xfId="0" applyFill="1"/>
    <xf numFmtId="44" fontId="0" fillId="4" borderId="0" xfId="1" applyFont="1" applyFill="1"/>
    <xf numFmtId="0" fontId="0" fillId="5" borderId="0" xfId="0" applyFill="1"/>
    <xf numFmtId="44" fontId="0" fillId="5" borderId="0" xfId="1" applyFont="1" applyFill="1"/>
    <xf numFmtId="0" fontId="2" fillId="5" borderId="0" xfId="0" applyFont="1" applyFill="1" applyAlignment="1">
      <alignment horizontal="center" vertical="center"/>
    </xf>
    <xf numFmtId="0" fontId="0" fillId="6" borderId="0" xfId="0" applyFill="1"/>
    <xf numFmtId="44" fontId="0" fillId="6" borderId="0" xfId="1" applyFont="1" applyFill="1"/>
    <xf numFmtId="14" fontId="0" fillId="4" borderId="0" xfId="0" applyNumberFormat="1" applyFill="1"/>
    <xf numFmtId="14" fontId="0" fillId="3" borderId="0" xfId="0" applyNumberFormat="1" applyFill="1"/>
    <xf numFmtId="0" fontId="0" fillId="8" borderId="0" xfId="0" applyFill="1"/>
    <xf numFmtId="14" fontId="0" fillId="8" borderId="0" xfId="0" applyNumberFormat="1" applyFill="1"/>
    <xf numFmtId="44" fontId="0" fillId="8" borderId="0" xfId="1" applyFont="1" applyFill="1"/>
    <xf numFmtId="0" fontId="2" fillId="8" borderId="0" xfId="0" applyFont="1" applyFill="1" applyAlignment="1">
      <alignment horizontal="center" vertical="center"/>
    </xf>
    <xf numFmtId="0" fontId="0" fillId="9" borderId="0" xfId="0" applyFill="1"/>
    <xf numFmtId="44" fontId="0" fillId="9" borderId="0" xfId="1" applyFont="1" applyFill="1"/>
    <xf numFmtId="14" fontId="0" fillId="5" borderId="0" xfId="0" applyNumberFormat="1" applyFill="1"/>
    <xf numFmtId="14" fontId="0" fillId="6" borderId="0" xfId="0" applyNumberFormat="1" applyFill="1"/>
    <xf numFmtId="44" fontId="0" fillId="10" borderId="0" xfId="1" applyFont="1" applyFill="1"/>
    <xf numFmtId="0" fontId="3" fillId="11" borderId="0" xfId="0" applyFont="1" applyFill="1"/>
    <xf numFmtId="14" fontId="3" fillId="11" borderId="0" xfId="0" applyNumberFormat="1" applyFont="1" applyFill="1"/>
    <xf numFmtId="44" fontId="3" fillId="11" borderId="0" xfId="1" applyFont="1" applyFill="1"/>
    <xf numFmtId="0" fontId="6" fillId="0" borderId="0" xfId="0" applyFont="1" applyAlignment="1">
      <alignment horizontal="center" vertical="center"/>
    </xf>
    <xf numFmtId="0" fontId="7" fillId="0" borderId="0" xfId="0" applyFont="1"/>
    <xf numFmtId="0" fontId="6" fillId="0" borderId="0" xfId="0" applyFont="1"/>
    <xf numFmtId="0" fontId="0" fillId="16" borderId="0" xfId="0" applyFill="1"/>
    <xf numFmtId="14" fontId="0" fillId="16" borderId="0" xfId="0" applyNumberFormat="1" applyFill="1"/>
    <xf numFmtId="44" fontId="0" fillId="16" borderId="0" xfId="1" applyFont="1" applyFill="1"/>
    <xf numFmtId="14" fontId="0" fillId="0" borderId="7" xfId="0" applyNumberFormat="1" applyBorder="1"/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10" borderId="0" xfId="0" applyFill="1" applyAlignment="1">
      <alignment horizontal="center"/>
    </xf>
    <xf numFmtId="0" fontId="0" fillId="18" borderId="0" xfId="0" applyFill="1"/>
    <xf numFmtId="14" fontId="0" fillId="18" borderId="0" xfId="0" applyNumberFormat="1" applyFill="1"/>
    <xf numFmtId="44" fontId="0" fillId="18" borderId="0" xfId="1" applyFont="1" applyFill="1"/>
    <xf numFmtId="0" fontId="2" fillId="18" borderId="0" xfId="0" applyFont="1" applyFill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19" borderId="0" xfId="0" applyFill="1"/>
    <xf numFmtId="14" fontId="0" fillId="19" borderId="0" xfId="0" applyNumberFormat="1" applyFill="1"/>
    <xf numFmtId="44" fontId="0" fillId="19" borderId="0" xfId="1" applyFont="1" applyFill="1"/>
    <xf numFmtId="0" fontId="2" fillId="19" borderId="0" xfId="0" applyFont="1" applyFill="1" applyAlignment="1">
      <alignment horizontal="center" vertical="center"/>
    </xf>
    <xf numFmtId="14" fontId="0" fillId="9" borderId="0" xfId="0" applyNumberFormat="1" applyFill="1"/>
    <xf numFmtId="0" fontId="0" fillId="9" borderId="0" xfId="0" applyFill="1" applyAlignment="1">
      <alignment horizontal="center"/>
    </xf>
    <xf numFmtId="44" fontId="0" fillId="0" borderId="0" xfId="0" applyNumberFormat="1"/>
    <xf numFmtId="0" fontId="0" fillId="20" borderId="0" xfId="0" applyFill="1"/>
    <xf numFmtId="14" fontId="0" fillId="20" borderId="0" xfId="0" applyNumberFormat="1" applyFill="1"/>
    <xf numFmtId="44" fontId="0" fillId="20" borderId="0" xfId="1" applyFont="1" applyFill="1"/>
    <xf numFmtId="0" fontId="2" fillId="20" borderId="0" xfId="0" applyFont="1" applyFill="1" applyAlignment="1">
      <alignment horizontal="center" vertical="center"/>
    </xf>
    <xf numFmtId="0" fontId="0" fillId="20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8" fillId="7" borderId="0" xfId="0" applyFont="1" applyFill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44" fontId="0" fillId="21" borderId="0" xfId="1" applyFont="1" applyFill="1"/>
    <xf numFmtId="0" fontId="0" fillId="21" borderId="0" xfId="0" applyFill="1" applyAlignment="1">
      <alignment horizontal="center"/>
    </xf>
    <xf numFmtId="0" fontId="2" fillId="0" borderId="5" xfId="0" applyFont="1" applyBorder="1" applyAlignment="1">
      <alignment horizontal="center" vertical="center"/>
    </xf>
    <xf numFmtId="0" fontId="10" fillId="11" borderId="0" xfId="0" applyFont="1" applyFill="1" applyAlignment="1">
      <alignment horizontal="center" vertical="center"/>
    </xf>
    <xf numFmtId="0" fontId="0" fillId="22" borderId="0" xfId="0" applyFill="1"/>
    <xf numFmtId="14" fontId="0" fillId="22" borderId="0" xfId="0" applyNumberFormat="1" applyFill="1"/>
    <xf numFmtId="44" fontId="0" fillId="22" borderId="0" xfId="1" applyFont="1" applyFill="1"/>
    <xf numFmtId="0" fontId="0" fillId="22" borderId="0" xfId="0" applyFill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44" fontId="0" fillId="23" borderId="0" xfId="1" applyFont="1" applyFill="1"/>
    <xf numFmtId="0" fontId="0" fillId="23" borderId="0" xfId="0" applyFill="1"/>
    <xf numFmtId="14" fontId="0" fillId="23" borderId="0" xfId="0" applyNumberFormat="1" applyFill="1"/>
    <xf numFmtId="0" fontId="2" fillId="0" borderId="7" xfId="0" applyFont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2" fillId="19" borderId="0" xfId="0" applyFont="1" applyFill="1" applyAlignment="1">
      <alignment horizontal="center"/>
    </xf>
    <xf numFmtId="0" fontId="2" fillId="22" borderId="0" xfId="0" applyFont="1" applyFill="1" applyAlignment="1">
      <alignment horizontal="center"/>
    </xf>
    <xf numFmtId="0" fontId="2" fillId="16" borderId="0" xfId="0" applyFont="1" applyFill="1" applyAlignment="1">
      <alignment horizontal="center"/>
    </xf>
    <xf numFmtId="0" fontId="2" fillId="9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44" fontId="6" fillId="9" borderId="0" xfId="1" applyFont="1" applyFill="1" applyAlignment="1">
      <alignment horizontal="center" vertical="center"/>
    </xf>
    <xf numFmtId="0" fontId="0" fillId="19" borderId="0" xfId="0" applyFill="1" applyAlignment="1">
      <alignment horizontal="center"/>
    </xf>
    <xf numFmtId="0" fontId="0" fillId="18" borderId="0" xfId="0" applyFill="1" applyAlignment="1">
      <alignment horizontal="center"/>
    </xf>
    <xf numFmtId="0" fontId="0" fillId="25" borderId="0" xfId="0" applyFill="1"/>
    <xf numFmtId="14" fontId="0" fillId="25" borderId="0" xfId="0" applyNumberFormat="1" applyFill="1"/>
    <xf numFmtId="44" fontId="0" fillId="25" borderId="0" xfId="1" applyFont="1" applyFill="1"/>
    <xf numFmtId="0" fontId="0" fillId="25" borderId="0" xfId="0" applyFill="1" applyAlignment="1">
      <alignment horizontal="center"/>
    </xf>
    <xf numFmtId="0" fontId="9" fillId="0" borderId="0" xfId="0" applyFont="1" applyAlignment="1">
      <alignment horizontal="center"/>
    </xf>
    <xf numFmtId="44" fontId="0" fillId="0" borderId="0" xfId="1" applyFont="1" applyFill="1"/>
    <xf numFmtId="0" fontId="2" fillId="25" borderId="0" xfId="0" applyFont="1" applyFill="1" applyAlignment="1">
      <alignment horizontal="center"/>
    </xf>
    <xf numFmtId="44" fontId="9" fillId="0" borderId="0" xfId="1" applyFont="1" applyFill="1"/>
    <xf numFmtId="0" fontId="11" fillId="0" borderId="0" xfId="0" applyFont="1" applyAlignment="1">
      <alignment horizontal="center" vertical="center"/>
    </xf>
    <xf numFmtId="0" fontId="2" fillId="16" borderId="0" xfId="0" applyFont="1" applyFill="1" applyAlignment="1">
      <alignment horizontal="center" vertical="center"/>
    </xf>
    <xf numFmtId="0" fontId="9" fillId="0" borderId="0" xfId="0" applyFont="1"/>
    <xf numFmtId="4" fontId="0" fillId="16" borderId="0" xfId="0" applyNumberFormat="1" applyFill="1" applyAlignment="1">
      <alignment horizontal="center"/>
    </xf>
    <xf numFmtId="44" fontId="0" fillId="7" borderId="0" xfId="0" applyNumberFormat="1" applyFill="1"/>
    <xf numFmtId="0" fontId="2" fillId="7" borderId="0" xfId="0" applyFont="1" applyFill="1" applyAlignment="1">
      <alignment horizontal="left" vertical="center" wrapText="1"/>
    </xf>
    <xf numFmtId="164" fontId="4" fillId="2" borderId="2" xfId="0" applyNumberFormat="1" applyFont="1" applyFill="1" applyBorder="1" applyAlignment="1">
      <alignment horizontal="center" vertical="center"/>
    </xf>
    <xf numFmtId="0" fontId="0" fillId="26" borderId="0" xfId="0" applyFill="1"/>
    <xf numFmtId="14" fontId="0" fillId="26" borderId="0" xfId="0" applyNumberFormat="1" applyFill="1"/>
    <xf numFmtId="0" fontId="0" fillId="23" borderId="0" xfId="0" applyFill="1" applyAlignment="1">
      <alignment horizontal="left"/>
    </xf>
    <xf numFmtId="0" fontId="0" fillId="5" borderId="0" xfId="0" applyFill="1" applyAlignment="1">
      <alignment horizontal="left"/>
    </xf>
    <xf numFmtId="0" fontId="0" fillId="22" borderId="0" xfId="0" applyFill="1" applyAlignment="1">
      <alignment horizontal="left"/>
    </xf>
    <xf numFmtId="0" fontId="0" fillId="7" borderId="0" xfId="0" applyFill="1"/>
    <xf numFmtId="0" fontId="0" fillId="9" borderId="0" xfId="0" applyFill="1" applyAlignment="1">
      <alignment horizontal="left"/>
    </xf>
    <xf numFmtId="0" fontId="0" fillId="3" borderId="0" xfId="0" applyFill="1" applyAlignment="1">
      <alignment horizontal="left"/>
    </xf>
    <xf numFmtId="0" fontId="0" fillId="27" borderId="0" xfId="0" applyFill="1" applyAlignment="1">
      <alignment horizontal="left"/>
    </xf>
    <xf numFmtId="44" fontId="0" fillId="27" borderId="0" xfId="1" applyFont="1" applyFill="1"/>
    <xf numFmtId="0" fontId="0" fillId="27" borderId="0" xfId="0" applyFill="1"/>
    <xf numFmtId="14" fontId="0" fillId="27" borderId="0" xfId="0" applyNumberFormat="1" applyFill="1"/>
    <xf numFmtId="0" fontId="0" fillId="6" borderId="0" xfId="0" applyFill="1" applyAlignment="1">
      <alignment horizontal="left"/>
    </xf>
    <xf numFmtId="0" fontId="0" fillId="28" borderId="0" xfId="0" applyFill="1"/>
    <xf numFmtId="14" fontId="0" fillId="28" borderId="0" xfId="0" applyNumberFormat="1" applyFill="1"/>
    <xf numFmtId="44" fontId="0" fillId="28" borderId="0" xfId="1" applyFont="1" applyFill="1"/>
    <xf numFmtId="0" fontId="0" fillId="28" borderId="0" xfId="0" applyFill="1" applyAlignment="1">
      <alignment horizontal="left"/>
    </xf>
    <xf numFmtId="0" fontId="3" fillId="29" borderId="0" xfId="0" applyFont="1" applyFill="1"/>
    <xf numFmtId="14" fontId="3" fillId="29" borderId="0" xfId="0" applyNumberFormat="1" applyFont="1" applyFill="1"/>
    <xf numFmtId="44" fontId="3" fillId="29" borderId="0" xfId="1" applyFont="1" applyFill="1"/>
    <xf numFmtId="0" fontId="3" fillId="29" borderId="0" xfId="0" applyFont="1" applyFill="1" applyAlignment="1">
      <alignment horizontal="left"/>
    </xf>
    <xf numFmtId="44" fontId="3" fillId="30" borderId="0" xfId="1" applyFont="1" applyFill="1"/>
    <xf numFmtId="0" fontId="3" fillId="30" borderId="0" xfId="0" applyFont="1" applyFill="1"/>
    <xf numFmtId="14" fontId="3" fillId="30" borderId="0" xfId="0" applyNumberFormat="1" applyFont="1" applyFill="1"/>
    <xf numFmtId="0" fontId="3" fillId="30" borderId="0" xfId="0" applyFont="1" applyFill="1" applyAlignment="1">
      <alignment horizontal="left"/>
    </xf>
    <xf numFmtId="0" fontId="0" fillId="31" borderId="0" xfId="0" applyFill="1"/>
    <xf numFmtId="14" fontId="0" fillId="31" borderId="0" xfId="0" applyNumberFormat="1" applyFill="1"/>
    <xf numFmtId="44" fontId="0" fillId="31" borderId="0" xfId="1" applyFont="1" applyFill="1"/>
    <xf numFmtId="0" fontId="0" fillId="31" borderId="0" xfId="0" applyFill="1" applyAlignment="1">
      <alignment horizontal="left"/>
    </xf>
    <xf numFmtId="0" fontId="0" fillId="32" borderId="0" xfId="0" applyFill="1"/>
    <xf numFmtId="14" fontId="0" fillId="32" borderId="0" xfId="0" applyNumberFormat="1" applyFill="1"/>
    <xf numFmtId="44" fontId="0" fillId="32" borderId="0" xfId="1" applyFont="1" applyFill="1"/>
    <xf numFmtId="0" fontId="0" fillId="32" borderId="0" xfId="0" applyFill="1" applyAlignment="1">
      <alignment horizontal="left"/>
    </xf>
    <xf numFmtId="44" fontId="3" fillId="33" borderId="0" xfId="1" applyFont="1" applyFill="1"/>
    <xf numFmtId="0" fontId="3" fillId="33" borderId="0" xfId="0" applyFont="1" applyFill="1"/>
    <xf numFmtId="14" fontId="3" fillId="33" borderId="0" xfId="0" applyNumberFormat="1" applyFont="1" applyFill="1"/>
    <xf numFmtId="0" fontId="3" fillId="33" borderId="0" xfId="0" applyFont="1" applyFill="1" applyAlignment="1">
      <alignment horizontal="left"/>
    </xf>
    <xf numFmtId="0" fontId="0" fillId="34" borderId="0" xfId="0" applyFill="1"/>
    <xf numFmtId="14" fontId="0" fillId="34" borderId="0" xfId="0" applyNumberFormat="1" applyFill="1"/>
    <xf numFmtId="44" fontId="0" fillId="34" borderId="0" xfId="1" applyFont="1" applyFill="1"/>
    <xf numFmtId="0" fontId="0" fillId="34" borderId="0" xfId="0" applyFill="1" applyAlignment="1">
      <alignment horizontal="left"/>
    </xf>
    <xf numFmtId="0" fontId="3" fillId="35" borderId="0" xfId="0" applyFont="1" applyFill="1"/>
    <xf numFmtId="14" fontId="3" fillId="35" borderId="0" xfId="0" applyNumberFormat="1" applyFont="1" applyFill="1"/>
    <xf numFmtId="44" fontId="3" fillId="35" borderId="0" xfId="1" applyFont="1" applyFill="1"/>
    <xf numFmtId="0" fontId="3" fillId="35" borderId="0" xfId="0" applyFont="1" applyFill="1" applyAlignment="1">
      <alignment horizontal="left"/>
    </xf>
    <xf numFmtId="0" fontId="0" fillId="36" borderId="0" xfId="0" applyFill="1"/>
    <xf numFmtId="14" fontId="0" fillId="36" borderId="0" xfId="0" applyNumberFormat="1" applyFill="1"/>
    <xf numFmtId="44" fontId="0" fillId="36" borderId="0" xfId="1" applyFont="1" applyFill="1"/>
    <xf numFmtId="0" fontId="0" fillId="36" borderId="0" xfId="0" applyFill="1" applyAlignment="1">
      <alignment horizontal="left"/>
    </xf>
    <xf numFmtId="0" fontId="0" fillId="37" borderId="0" xfId="0" applyFill="1" applyAlignment="1">
      <alignment horizontal="left"/>
    </xf>
    <xf numFmtId="44" fontId="0" fillId="37" borderId="0" xfId="1" applyFont="1" applyFill="1"/>
    <xf numFmtId="0" fontId="0" fillId="37" borderId="0" xfId="0" applyFill="1"/>
    <xf numFmtId="14" fontId="0" fillId="37" borderId="0" xfId="0" applyNumberFormat="1" applyFill="1"/>
    <xf numFmtId="0" fontId="13" fillId="12" borderId="9" xfId="0" applyFont="1" applyFill="1" applyBorder="1" applyAlignment="1">
      <alignment horizontal="center"/>
    </xf>
    <xf numFmtId="0" fontId="7" fillId="13" borderId="9" xfId="0" applyFont="1" applyFill="1" applyBorder="1"/>
    <xf numFmtId="0" fontId="7" fillId="13" borderId="9" xfId="0" applyFont="1" applyFill="1" applyBorder="1" applyAlignment="1">
      <alignment horizontal="center"/>
    </xf>
    <xf numFmtId="8" fontId="7" fillId="13" borderId="9" xfId="0" applyNumberFormat="1" applyFont="1" applyFill="1" applyBorder="1"/>
    <xf numFmtId="0" fontId="12" fillId="13" borderId="9" xfId="0" applyFont="1" applyFill="1" applyBorder="1" applyAlignment="1">
      <alignment horizontal="center"/>
    </xf>
    <xf numFmtId="0" fontId="7" fillId="38" borderId="9" xfId="0" applyFont="1" applyFill="1" applyBorder="1"/>
    <xf numFmtId="0" fontId="7" fillId="38" borderId="9" xfId="0" applyFont="1" applyFill="1" applyBorder="1" applyAlignment="1">
      <alignment horizontal="center"/>
    </xf>
    <xf numFmtId="44" fontId="1" fillId="23" borderId="9" xfId="1" applyFont="1" applyFill="1" applyBorder="1"/>
    <xf numFmtId="0" fontId="12" fillId="38" borderId="9" xfId="0" applyFont="1" applyFill="1" applyBorder="1" applyAlignment="1">
      <alignment horizontal="center"/>
    </xf>
    <xf numFmtId="0" fontId="14" fillId="14" borderId="9" xfId="0" applyFont="1" applyFill="1" applyBorder="1"/>
    <xf numFmtId="0" fontId="14" fillId="14" borderId="9" xfId="0" applyFont="1" applyFill="1" applyBorder="1" applyAlignment="1">
      <alignment horizontal="center"/>
    </xf>
    <xf numFmtId="8" fontId="14" fillId="14" borderId="9" xfId="0" applyNumberFormat="1" applyFont="1" applyFill="1" applyBorder="1"/>
    <xf numFmtId="0" fontId="7" fillId="14" borderId="9" xfId="0" applyFont="1" applyFill="1" applyBorder="1"/>
    <xf numFmtId="0" fontId="7" fillId="14" borderId="9" xfId="0" applyFont="1" applyFill="1" applyBorder="1" applyAlignment="1">
      <alignment horizontal="center"/>
    </xf>
    <xf numFmtId="8" fontId="7" fillId="14" borderId="9" xfId="0" applyNumberFormat="1" applyFont="1" applyFill="1" applyBorder="1"/>
    <xf numFmtId="0" fontId="12" fillId="14" borderId="9" xfId="0" applyFont="1" applyFill="1" applyBorder="1" applyAlignment="1">
      <alignment horizontal="center"/>
    </xf>
    <xf numFmtId="0" fontId="7" fillId="17" borderId="9" xfId="0" applyFont="1" applyFill="1" applyBorder="1"/>
    <xf numFmtId="0" fontId="7" fillId="17" borderId="9" xfId="0" applyFont="1" applyFill="1" applyBorder="1" applyAlignment="1">
      <alignment horizontal="center"/>
    </xf>
    <xf numFmtId="8" fontId="7" fillId="17" borderId="9" xfId="0" applyNumberFormat="1" applyFont="1" applyFill="1" applyBorder="1"/>
    <xf numFmtId="0" fontId="12" fillId="17" borderId="9" xfId="0" applyFont="1" applyFill="1" applyBorder="1" applyAlignment="1">
      <alignment horizontal="center" vertical="center"/>
    </xf>
    <xf numFmtId="0" fontId="7" fillId="15" borderId="9" xfId="0" applyFont="1" applyFill="1" applyBorder="1"/>
    <xf numFmtId="0" fontId="7" fillId="15" borderId="9" xfId="0" applyFont="1" applyFill="1" applyBorder="1" applyAlignment="1">
      <alignment horizontal="center"/>
    </xf>
    <xf numFmtId="8" fontId="7" fillId="15" borderId="9" xfId="0" applyNumberFormat="1" applyFont="1" applyFill="1" applyBorder="1"/>
    <xf numFmtId="0" fontId="7" fillId="0" borderId="9" xfId="0" applyFont="1" applyBorder="1" applyAlignment="1">
      <alignment horizontal="center"/>
    </xf>
    <xf numFmtId="8" fontId="7" fillId="24" borderId="9" xfId="0" applyNumberFormat="1" applyFont="1" applyFill="1" applyBorder="1"/>
    <xf numFmtId="0" fontId="7" fillId="0" borderId="9" xfId="0" applyFont="1" applyBorder="1"/>
    <xf numFmtId="0" fontId="9" fillId="0" borderId="0" xfId="0" applyFont="1" applyAlignment="1">
      <alignment horizontal="left"/>
    </xf>
    <xf numFmtId="44" fontId="9" fillId="0" borderId="0" xfId="1" applyFont="1"/>
    <xf numFmtId="0" fontId="0" fillId="39" borderId="0" xfId="0" applyFill="1"/>
    <xf numFmtId="8" fontId="8" fillId="7" borderId="0" xfId="1" applyNumberFormat="1" applyFont="1" applyFill="1" applyAlignment="1">
      <alignment horizontal="center" vertical="center"/>
    </xf>
    <xf numFmtId="44" fontId="0" fillId="39" borderId="0" xfId="1" applyFont="1" applyFill="1"/>
    <xf numFmtId="0" fontId="15" fillId="39" borderId="0" xfId="0" applyFont="1" applyFill="1"/>
    <xf numFmtId="43" fontId="0" fillId="0" borderId="0" xfId="0" applyNumberFormat="1"/>
    <xf numFmtId="44" fontId="15" fillId="39" borderId="0" xfId="1" applyFont="1" applyFill="1"/>
    <xf numFmtId="0" fontId="0" fillId="39" borderId="7" xfId="0" applyFill="1" applyBorder="1"/>
    <xf numFmtId="14" fontId="0" fillId="39" borderId="7" xfId="0" applyNumberFormat="1" applyFill="1" applyBorder="1"/>
    <xf numFmtId="44" fontId="0" fillId="39" borderId="7" xfId="1" applyFont="1" applyFill="1" applyBorder="1"/>
    <xf numFmtId="8" fontId="0" fillId="0" borderId="0" xfId="0" applyNumberFormat="1"/>
    <xf numFmtId="4" fontId="0" fillId="0" borderId="0" xfId="0" applyNumberFormat="1"/>
    <xf numFmtId="0" fontId="16" fillId="11" borderId="0" xfId="0" applyFont="1" applyFill="1" applyAlignment="1">
      <alignment horizontal="center" vertical="center"/>
    </xf>
    <xf numFmtId="4" fontId="0" fillId="9" borderId="0" xfId="0" applyNumberFormat="1" applyFill="1"/>
    <xf numFmtId="44" fontId="9" fillId="7" borderId="0" xfId="1" applyFont="1" applyFill="1"/>
    <xf numFmtId="4" fontId="0" fillId="26" borderId="0" xfId="0" applyNumberFormat="1" applyFill="1"/>
    <xf numFmtId="0" fontId="9" fillId="7" borderId="0" xfId="0" applyFont="1" applyFill="1"/>
    <xf numFmtId="0" fontId="0" fillId="0" borderId="0" xfId="0" applyAlignment="1">
      <alignment horizontal="left"/>
    </xf>
    <xf numFmtId="15" fontId="0" fillId="0" borderId="0" xfId="0" applyNumberFormat="1"/>
    <xf numFmtId="0" fontId="0" fillId="0" borderId="0" xfId="0" pivotButton="1"/>
    <xf numFmtId="0" fontId="0" fillId="40" borderId="0" xfId="0" applyFill="1"/>
    <xf numFmtId="44" fontId="0" fillId="0" borderId="0" xfId="1" applyFont="1" applyFill="1" applyBorder="1"/>
    <xf numFmtId="44" fontId="2" fillId="0" borderId="0" xfId="1" applyFont="1" applyFill="1" applyBorder="1"/>
    <xf numFmtId="44" fontId="2" fillId="0" borderId="0" xfId="1" applyFont="1" applyFill="1" applyBorder="1" applyAlignment="1">
      <alignment horizontal="left"/>
    </xf>
    <xf numFmtId="44" fontId="15" fillId="0" borderId="0" xfId="1" applyFont="1" applyFill="1" applyBorder="1"/>
    <xf numFmtId="44" fontId="21" fillId="0" borderId="0" xfId="1" applyFont="1" applyFill="1" applyBorder="1" applyAlignment="1">
      <alignment horizontal="left"/>
    </xf>
    <xf numFmtId="44" fontId="15" fillId="0" borderId="0" xfId="1" applyFont="1" applyFill="1" applyBorder="1" applyAlignment="1">
      <alignment horizontal="left"/>
    </xf>
    <xf numFmtId="44" fontId="2" fillId="0" borderId="0" xfId="1" applyFont="1" applyFill="1" applyBorder="1" applyAlignment="1">
      <alignment horizontal="left" vertical="center"/>
    </xf>
    <xf numFmtId="44" fontId="0" fillId="0" borderId="0" xfId="1" applyFont="1" applyFill="1" applyBorder="1" applyAlignment="1">
      <alignment horizontal="left" vertical="center"/>
    </xf>
    <xf numFmtId="44" fontId="18" fillId="0" borderId="0" xfId="1" applyFont="1" applyFill="1" applyBorder="1" applyAlignment="1">
      <alignment horizontal="left" vertical="center"/>
    </xf>
    <xf numFmtId="44" fontId="21" fillId="0" borderId="0" xfId="1" applyFont="1" applyFill="1" applyBorder="1" applyAlignment="1"/>
    <xf numFmtId="44" fontId="21" fillId="0" borderId="0" xfId="1" applyFont="1" applyFill="1" applyBorder="1"/>
    <xf numFmtId="44" fontId="2" fillId="0" borderId="0" xfId="1" applyFont="1" applyFill="1" applyBorder="1" applyAlignment="1"/>
    <xf numFmtId="44" fontId="0" fillId="0" borderId="0" xfId="1" applyFont="1" applyFill="1" applyBorder="1" applyAlignment="1">
      <alignment horizontal="left"/>
    </xf>
    <xf numFmtId="44" fontId="21" fillId="0" borderId="0" xfId="1" applyFont="1" applyFill="1" applyBorder="1" applyAlignment="1">
      <alignment horizontal="center"/>
    </xf>
    <xf numFmtId="44" fontId="15" fillId="0" borderId="0" xfId="1" applyFont="1" applyFill="1" applyBorder="1" applyAlignment="1">
      <alignment horizontal="center"/>
    </xf>
    <xf numFmtId="44" fontId="3" fillId="0" borderId="0" xfId="1" applyFont="1" applyFill="1" applyBorder="1" applyAlignment="1">
      <alignment horizontal="center"/>
    </xf>
    <xf numFmtId="44" fontId="3" fillId="0" borderId="0" xfId="1" applyFont="1" applyFill="1" applyBorder="1"/>
    <xf numFmtId="44" fontId="1" fillId="0" borderId="0" xfId="1" applyFont="1" applyFill="1" applyBorder="1" applyAlignment="1">
      <alignment horizontal="center"/>
    </xf>
    <xf numFmtId="44" fontId="0" fillId="0" borderId="0" xfId="1" applyFont="1" applyFill="1" applyBorder="1" applyAlignment="1">
      <alignment horizontal="center"/>
    </xf>
    <xf numFmtId="44" fontId="10" fillId="0" borderId="0" xfId="1" applyFont="1" applyFill="1" applyBorder="1"/>
    <xf numFmtId="44" fontId="10" fillId="0" borderId="0" xfId="1" applyFont="1" applyFill="1" applyBorder="1" applyAlignment="1">
      <alignment horizontal="center"/>
    </xf>
    <xf numFmtId="44" fontId="2" fillId="0" borderId="0" xfId="1" applyFont="1" applyFill="1" applyBorder="1" applyAlignment="1">
      <alignment horizontal="center"/>
    </xf>
    <xf numFmtId="44" fontId="21" fillId="0" borderId="0" xfId="1" applyFont="1" applyFill="1" applyBorder="1" applyAlignment="1">
      <alignment horizontal="left" vertical="top"/>
    </xf>
    <xf numFmtId="44" fontId="10" fillId="0" borderId="0" xfId="1" applyFont="1" applyFill="1" applyBorder="1" applyAlignment="1">
      <alignment horizontal="left"/>
    </xf>
    <xf numFmtId="44" fontId="10" fillId="0" borderId="0" xfId="1" applyFont="1" applyFill="1" applyBorder="1" applyAlignment="1"/>
    <xf numFmtId="44" fontId="22" fillId="0" borderId="0" xfId="1" applyFont="1" applyFill="1" applyBorder="1" applyAlignment="1">
      <alignment horizontal="left"/>
    </xf>
    <xf numFmtId="44" fontId="22" fillId="0" borderId="0" xfId="1" applyFont="1" applyFill="1" applyBorder="1" applyAlignment="1"/>
    <xf numFmtId="44" fontId="19" fillId="0" borderId="0" xfId="1" applyFont="1" applyFill="1" applyBorder="1" applyAlignment="1">
      <alignment horizontal="left"/>
    </xf>
    <xf numFmtId="15" fontId="2" fillId="0" borderId="0" xfId="0" applyNumberFormat="1" applyFont="1" applyAlignment="1">
      <alignment horizontal="left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0" fontId="21" fillId="0" borderId="0" xfId="0" applyFont="1" applyAlignment="1">
      <alignment horizontal="left"/>
    </xf>
    <xf numFmtId="15" fontId="21" fillId="0" borderId="0" xfId="0" applyNumberFormat="1" applyFont="1" applyAlignment="1">
      <alignment horizontal="left"/>
    </xf>
    <xf numFmtId="0" fontId="15" fillId="0" borderId="0" xfId="0" applyFont="1"/>
    <xf numFmtId="0" fontId="15" fillId="0" borderId="0" xfId="0" applyFont="1" applyAlignment="1">
      <alignment horizontal="left"/>
    </xf>
    <xf numFmtId="0" fontId="21" fillId="0" borderId="0" xfId="0" applyFont="1"/>
    <xf numFmtId="15" fontId="15" fillId="0" borderId="0" xfId="0" applyNumberFormat="1" applyFont="1" applyAlignment="1">
      <alignment horizontal="left"/>
    </xf>
    <xf numFmtId="0" fontId="2" fillId="0" borderId="0" xfId="0" applyFont="1"/>
    <xf numFmtId="0" fontId="1" fillId="0" borderId="0" xfId="0" applyFont="1"/>
    <xf numFmtId="0" fontId="21" fillId="0" borderId="0" xfId="0" applyFont="1" applyAlignment="1">
      <alignment horizontal="center"/>
    </xf>
    <xf numFmtId="15" fontId="21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15" fontId="10" fillId="0" borderId="0" xfId="0" applyNumberFormat="1" applyFont="1" applyAlignment="1">
      <alignment horizontal="center"/>
    </xf>
    <xf numFmtId="0" fontId="10" fillId="0" borderId="0" xfId="0" applyFont="1"/>
    <xf numFmtId="0" fontId="15" fillId="0" borderId="0" xfId="0" applyFont="1" applyAlignment="1">
      <alignment horizontal="center"/>
    </xf>
    <xf numFmtId="44" fontId="15" fillId="0" borderId="0" xfId="0" applyNumberFormat="1" applyFont="1"/>
    <xf numFmtId="44" fontId="21" fillId="0" borderId="0" xfId="0" applyNumberFormat="1" applyFont="1"/>
    <xf numFmtId="0" fontId="19" fillId="0" borderId="0" xfId="0" applyFont="1" applyAlignment="1">
      <alignment horizontal="center"/>
    </xf>
    <xf numFmtId="0" fontId="19" fillId="0" borderId="0" xfId="0" applyFont="1" applyAlignment="1">
      <alignment horizontal="left"/>
    </xf>
    <xf numFmtId="15" fontId="19" fillId="0" borderId="0" xfId="0" applyNumberFormat="1" applyFont="1" applyAlignment="1">
      <alignment horizontal="center"/>
    </xf>
    <xf numFmtId="44" fontId="26" fillId="0" borderId="0" xfId="1" applyFont="1" applyFill="1" applyBorder="1" applyAlignment="1">
      <alignment horizontal="center"/>
    </xf>
    <xf numFmtId="15" fontId="15" fillId="0" borderId="0" xfId="0" applyNumberFormat="1" applyFont="1"/>
    <xf numFmtId="0" fontId="3" fillId="0" borderId="0" xfId="0" applyFont="1" applyAlignment="1">
      <alignment horizontal="center"/>
    </xf>
    <xf numFmtId="15" fontId="2" fillId="0" borderId="0" xfId="0" applyNumberFormat="1" applyFont="1" applyAlignment="1">
      <alignment horizontal="center"/>
    </xf>
    <xf numFmtId="0" fontId="19" fillId="0" borderId="0" xfId="0" applyFont="1"/>
    <xf numFmtId="4" fontId="2" fillId="0" borderId="0" xfId="0" applyNumberFormat="1" applyFont="1"/>
    <xf numFmtId="14" fontId="21" fillId="0" borderId="0" xfId="0" applyNumberFormat="1" applyFont="1" applyAlignment="1">
      <alignment horizontal="center"/>
    </xf>
    <xf numFmtId="44" fontId="2" fillId="0" borderId="0" xfId="0" applyNumberFormat="1" applyFont="1"/>
    <xf numFmtId="0" fontId="22" fillId="0" borderId="0" xfId="0" applyFont="1" applyAlignment="1">
      <alignment horizontal="left"/>
    </xf>
    <xf numFmtId="15" fontId="20" fillId="0" borderId="0" xfId="0" applyNumberFormat="1" applyFont="1" applyAlignment="1">
      <alignment horizontal="center"/>
    </xf>
    <xf numFmtId="15" fontId="24" fillId="0" borderId="0" xfId="0" applyNumberFormat="1" applyFont="1" applyAlignment="1">
      <alignment horizontal="center"/>
    </xf>
    <xf numFmtId="0" fontId="22" fillId="0" borderId="0" xfId="0" applyFont="1" applyAlignment="1">
      <alignment horizontal="center"/>
    </xf>
    <xf numFmtId="15" fontId="23" fillId="0" borderId="0" xfId="0" applyNumberFormat="1" applyFont="1" applyAlignment="1">
      <alignment horizont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center"/>
    </xf>
    <xf numFmtId="15" fontId="0" fillId="0" borderId="0" xfId="0" applyNumberFormat="1" applyAlignment="1">
      <alignment horizontal="left" vertical="center"/>
    </xf>
    <xf numFmtId="0" fontId="6" fillId="0" borderId="0" xfId="0" applyFont="1" applyAlignment="1">
      <alignment horizontal="center"/>
    </xf>
    <xf numFmtId="44" fontId="17" fillId="0" borderId="0" xfId="1" applyFont="1" applyFill="1" applyBorder="1" applyAlignment="1">
      <alignment horizontal="center"/>
    </xf>
    <xf numFmtId="44" fontId="17" fillId="0" borderId="0" xfId="1" applyFont="1" applyFill="1" applyBorder="1" applyAlignment="1">
      <alignment horizontal="center" vertical="center"/>
    </xf>
    <xf numFmtId="44" fontId="6" fillId="0" borderId="0" xfId="1" applyFont="1" applyFill="1" applyBorder="1" applyAlignment="1">
      <alignment horizontal="center"/>
    </xf>
    <xf numFmtId="44" fontId="6" fillId="0" borderId="0" xfId="1" applyFont="1" applyFill="1" applyBorder="1"/>
    <xf numFmtId="44" fontId="7" fillId="0" borderId="0" xfId="1" applyFont="1" applyFill="1" applyBorder="1" applyAlignment="1">
      <alignment horizontal="center"/>
    </xf>
    <xf numFmtId="44" fontId="6" fillId="0" borderId="0" xfId="1" applyFont="1" applyFill="1" applyBorder="1" applyAlignment="1">
      <alignment horizontal="center" vertical="center"/>
    </xf>
    <xf numFmtId="44" fontId="15" fillId="0" borderId="0" xfId="1" applyFont="1" applyAlignment="1">
      <alignment horizontal="left"/>
    </xf>
    <xf numFmtId="44" fontId="15" fillId="0" borderId="0" xfId="1" applyFont="1" applyBorder="1" applyAlignment="1">
      <alignment horizontal="left"/>
    </xf>
    <xf numFmtId="0" fontId="21" fillId="0" borderId="7" xfId="0" applyFont="1" applyBorder="1" applyAlignment="1">
      <alignment horizontal="left"/>
    </xf>
    <xf numFmtId="15" fontId="15" fillId="0" borderId="7" xfId="0" applyNumberFormat="1" applyFont="1" applyBorder="1" applyAlignment="1">
      <alignment horizontal="left"/>
    </xf>
    <xf numFmtId="44" fontId="15" fillId="0" borderId="7" xfId="1" applyFont="1" applyBorder="1" applyAlignment="1">
      <alignment horizontal="left"/>
    </xf>
    <xf numFmtId="0" fontId="15" fillId="0" borderId="7" xfId="0" applyFont="1" applyBorder="1" applyAlignment="1">
      <alignment horizontal="left"/>
    </xf>
    <xf numFmtId="0" fontId="21" fillId="36" borderId="0" xfId="0" applyFont="1" applyFill="1" applyAlignment="1">
      <alignment horizontal="left"/>
    </xf>
    <xf numFmtId="15" fontId="15" fillId="36" borderId="0" xfId="0" applyNumberFormat="1" applyFont="1" applyFill="1" applyAlignment="1">
      <alignment horizontal="left"/>
    </xf>
    <xf numFmtId="44" fontId="15" fillId="36" borderId="0" xfId="1" applyFont="1" applyFill="1" applyAlignment="1">
      <alignment horizontal="left"/>
    </xf>
    <xf numFmtId="0" fontId="15" fillId="36" borderId="0" xfId="0" applyFont="1" applyFill="1" applyAlignment="1">
      <alignment horizontal="left"/>
    </xf>
    <xf numFmtId="44" fontId="15" fillId="36" borderId="0" xfId="1" applyFont="1" applyFill="1" applyBorder="1" applyAlignment="1">
      <alignment horizontal="left"/>
    </xf>
    <xf numFmtId="0" fontId="21" fillId="18" borderId="0" xfId="0" applyFont="1" applyFill="1" applyAlignment="1">
      <alignment horizontal="left"/>
    </xf>
    <xf numFmtId="15" fontId="15" fillId="18" borderId="0" xfId="0" applyNumberFormat="1" applyFont="1" applyFill="1" applyAlignment="1">
      <alignment horizontal="left"/>
    </xf>
    <xf numFmtId="44" fontId="15" fillId="18" borderId="0" xfId="1" applyFont="1" applyFill="1" applyAlignment="1">
      <alignment horizontal="left"/>
    </xf>
    <xf numFmtId="0" fontId="15" fillId="18" borderId="0" xfId="0" applyFont="1" applyFill="1" applyAlignment="1">
      <alignment horizontal="left"/>
    </xf>
    <xf numFmtId="44" fontId="15" fillId="18" borderId="0" xfId="1" applyFont="1" applyFill="1" applyBorder="1" applyAlignment="1">
      <alignment horizontal="left"/>
    </xf>
    <xf numFmtId="0" fontId="21" fillId="10" borderId="0" xfId="0" applyFont="1" applyFill="1" applyAlignment="1">
      <alignment horizontal="left"/>
    </xf>
    <xf numFmtId="15" fontId="15" fillId="10" borderId="0" xfId="0" applyNumberFormat="1" applyFont="1" applyFill="1" applyAlignment="1">
      <alignment horizontal="left"/>
    </xf>
    <xf numFmtId="44" fontId="15" fillId="10" borderId="0" xfId="1" applyFont="1" applyFill="1" applyAlignment="1">
      <alignment horizontal="left"/>
    </xf>
    <xf numFmtId="0" fontId="15" fillId="10" borderId="0" xfId="0" applyFont="1" applyFill="1" applyAlignment="1">
      <alignment horizontal="left"/>
    </xf>
    <xf numFmtId="44" fontId="15" fillId="10" borderId="0" xfId="1" applyFont="1" applyFill="1" applyBorder="1" applyAlignment="1">
      <alignment horizontal="left"/>
    </xf>
    <xf numFmtId="0" fontId="0" fillId="36" borderId="10" xfId="0" applyFill="1" applyBorder="1" applyAlignment="1">
      <alignment horizontal="left"/>
    </xf>
    <xf numFmtId="44" fontId="0" fillId="18" borderId="13" xfId="1" applyFont="1" applyFill="1" applyBorder="1"/>
    <xf numFmtId="0" fontId="15" fillId="0" borderId="14" xfId="0" applyFont="1" applyBorder="1" applyAlignment="1">
      <alignment horizontal="left"/>
    </xf>
    <xf numFmtId="44" fontId="0" fillId="10" borderId="15" xfId="1" applyFont="1" applyFill="1" applyBorder="1"/>
    <xf numFmtId="0" fontId="0" fillId="10" borderId="16" xfId="0" applyFill="1" applyBorder="1" applyAlignment="1">
      <alignment horizontal="left"/>
    </xf>
    <xf numFmtId="44" fontId="0" fillId="36" borderId="10" xfId="1" applyFont="1" applyFill="1" applyBorder="1"/>
    <xf numFmtId="0" fontId="0" fillId="18" borderId="10" xfId="0" applyFill="1" applyBorder="1" applyAlignment="1">
      <alignment horizontal="left"/>
    </xf>
    <xf numFmtId="0" fontId="15" fillId="0" borderId="0" xfId="1" applyNumberFormat="1" applyFont="1" applyFill="1" applyBorder="1" applyAlignment="1">
      <alignment horizontal="left"/>
    </xf>
    <xf numFmtId="0" fontId="15" fillId="0" borderId="0" xfId="1" applyNumberFormat="1" applyFont="1" applyFill="1" applyBorder="1"/>
    <xf numFmtId="44" fontId="15" fillId="0" borderId="0" xfId="1" applyFont="1"/>
    <xf numFmtId="0" fontId="15" fillId="0" borderId="7" xfId="0" applyFont="1" applyBorder="1"/>
    <xf numFmtId="15" fontId="15" fillId="0" borderId="7" xfId="0" applyNumberFormat="1" applyFont="1" applyBorder="1"/>
    <xf numFmtId="44" fontId="15" fillId="0" borderId="7" xfId="1" applyFont="1" applyBorder="1"/>
    <xf numFmtId="0" fontId="15" fillId="43" borderId="0" xfId="0" applyFont="1" applyFill="1"/>
    <xf numFmtId="15" fontId="15" fillId="43" borderId="0" xfId="0" applyNumberFormat="1" applyFont="1" applyFill="1"/>
    <xf numFmtId="44" fontId="15" fillId="43" borderId="0" xfId="1" applyFont="1" applyFill="1"/>
    <xf numFmtId="0" fontId="0" fillId="43" borderId="0" xfId="0" applyFill="1" applyAlignment="1">
      <alignment horizontal="left"/>
    </xf>
    <xf numFmtId="44" fontId="0" fillId="43" borderId="0" xfId="1" applyFont="1" applyFill="1"/>
    <xf numFmtId="0" fontId="15" fillId="44" borderId="0" xfId="0" applyFont="1" applyFill="1"/>
    <xf numFmtId="15" fontId="15" fillId="44" borderId="0" xfId="0" applyNumberFormat="1" applyFont="1" applyFill="1"/>
    <xf numFmtId="44" fontId="15" fillId="44" borderId="0" xfId="1" applyFont="1" applyFill="1"/>
    <xf numFmtId="0" fontId="0" fillId="44" borderId="0" xfId="0" applyFill="1" applyAlignment="1">
      <alignment horizontal="left"/>
    </xf>
    <xf numFmtId="44" fontId="0" fillId="44" borderId="0" xfId="1" applyFont="1" applyFill="1"/>
    <xf numFmtId="0" fontId="25" fillId="45" borderId="0" xfId="0" applyFont="1" applyFill="1"/>
    <xf numFmtId="15" fontId="25" fillId="45" borderId="0" xfId="0" applyNumberFormat="1" applyFont="1" applyFill="1"/>
    <xf numFmtId="44" fontId="25" fillId="45" borderId="0" xfId="1" applyFont="1" applyFill="1"/>
    <xf numFmtId="44" fontId="25" fillId="45" borderId="0" xfId="1" applyFont="1" applyFill="1" applyAlignment="1">
      <alignment horizontal="left"/>
    </xf>
    <xf numFmtId="0" fontId="25" fillId="45" borderId="0" xfId="0" applyFont="1" applyFill="1" applyAlignment="1">
      <alignment horizontal="left"/>
    </xf>
    <xf numFmtId="0" fontId="15" fillId="41" borderId="0" xfId="0" applyFont="1" applyFill="1"/>
    <xf numFmtId="15" fontId="15" fillId="41" borderId="0" xfId="0" applyNumberFormat="1" applyFont="1" applyFill="1"/>
    <xf numFmtId="44" fontId="15" fillId="41" borderId="0" xfId="1" applyFont="1" applyFill="1"/>
    <xf numFmtId="0" fontId="0" fillId="41" borderId="0" xfId="0" applyFill="1" applyAlignment="1">
      <alignment horizontal="left"/>
    </xf>
    <xf numFmtId="44" fontId="0" fillId="41" borderId="0" xfId="1" applyFont="1" applyFill="1"/>
    <xf numFmtId="0" fontId="15" fillId="25" borderId="0" xfId="0" applyFont="1" applyFill="1"/>
    <xf numFmtId="15" fontId="15" fillId="25" borderId="0" xfId="0" applyNumberFormat="1" applyFont="1" applyFill="1"/>
    <xf numFmtId="44" fontId="15" fillId="25" borderId="0" xfId="1" applyFont="1" applyFill="1"/>
    <xf numFmtId="0" fontId="0" fillId="25" borderId="0" xfId="0" applyFill="1" applyAlignment="1">
      <alignment horizontal="left"/>
    </xf>
    <xf numFmtId="0" fontId="15" fillId="46" borderId="0" xfId="0" applyFont="1" applyFill="1"/>
    <xf numFmtId="15" fontId="15" fillId="46" borderId="0" xfId="0" applyNumberFormat="1" applyFont="1" applyFill="1"/>
    <xf numFmtId="44" fontId="15" fillId="46" borderId="0" xfId="1" applyFont="1" applyFill="1"/>
    <xf numFmtId="0" fontId="0" fillId="46" borderId="0" xfId="0" applyFill="1" applyAlignment="1">
      <alignment horizontal="left"/>
    </xf>
    <xf numFmtId="44" fontId="0" fillId="46" borderId="0" xfId="1" applyFont="1" applyFill="1"/>
    <xf numFmtId="0" fontId="15" fillId="4" borderId="0" xfId="0" applyFont="1" applyFill="1"/>
    <xf numFmtId="15" fontId="15" fillId="4" borderId="0" xfId="0" applyNumberFormat="1" applyFont="1" applyFill="1"/>
    <xf numFmtId="44" fontId="15" fillId="4" borderId="0" xfId="1" applyFont="1" applyFill="1"/>
    <xf numFmtId="0" fontId="0" fillId="4" borderId="0" xfId="0" applyFill="1" applyAlignment="1">
      <alignment horizontal="left"/>
    </xf>
    <xf numFmtId="0" fontId="15" fillId="47" borderId="0" xfId="0" applyFont="1" applyFill="1"/>
    <xf numFmtId="15" fontId="15" fillId="47" borderId="0" xfId="0" applyNumberFormat="1" applyFont="1" applyFill="1"/>
    <xf numFmtId="44" fontId="15" fillId="47" borderId="0" xfId="1" applyFont="1" applyFill="1"/>
    <xf numFmtId="0" fontId="0" fillId="47" borderId="0" xfId="0" applyFill="1" applyAlignment="1">
      <alignment horizontal="left"/>
    </xf>
    <xf numFmtId="44" fontId="0" fillId="47" borderId="0" xfId="1" applyFont="1" applyFill="1"/>
    <xf numFmtId="0" fontId="15" fillId="6" borderId="0" xfId="0" applyFont="1" applyFill="1"/>
    <xf numFmtId="15" fontId="15" fillId="6" borderId="0" xfId="0" applyNumberFormat="1" applyFont="1" applyFill="1"/>
    <xf numFmtId="44" fontId="15" fillId="6" borderId="0" xfId="1" applyFont="1" applyFill="1"/>
    <xf numFmtId="0" fontId="25" fillId="48" borderId="0" xfId="0" applyFont="1" applyFill="1"/>
    <xf numFmtId="15" fontId="25" fillId="48" borderId="0" xfId="0" applyNumberFormat="1" applyFont="1" applyFill="1"/>
    <xf numFmtId="44" fontId="25" fillId="48" borderId="0" xfId="1" applyFont="1" applyFill="1"/>
    <xf numFmtId="0" fontId="25" fillId="48" borderId="0" xfId="0" applyFont="1" applyFill="1" applyAlignment="1">
      <alignment horizontal="left"/>
    </xf>
    <xf numFmtId="0" fontId="25" fillId="42" borderId="0" xfId="0" applyFont="1" applyFill="1"/>
    <xf numFmtId="15" fontId="25" fillId="42" borderId="0" xfId="0" applyNumberFormat="1" applyFont="1" applyFill="1"/>
    <xf numFmtId="44" fontId="25" fillId="42" borderId="0" xfId="1" applyFont="1" applyFill="1"/>
    <xf numFmtId="0" fontId="25" fillId="42" borderId="0" xfId="0" applyFont="1" applyFill="1" applyAlignment="1">
      <alignment horizontal="left"/>
    </xf>
    <xf numFmtId="0" fontId="4" fillId="42" borderId="0" xfId="0" applyFont="1" applyFill="1" applyAlignment="1">
      <alignment horizontal="center" vertical="center"/>
    </xf>
    <xf numFmtId="0" fontId="4" fillId="42" borderId="0" xfId="0" applyFont="1" applyFill="1" applyAlignment="1">
      <alignment horizontal="center"/>
    </xf>
    <xf numFmtId="44" fontId="4" fillId="42" borderId="0" xfId="1" applyFont="1" applyFill="1" applyAlignment="1">
      <alignment horizontal="center" vertical="center"/>
    </xf>
    <xf numFmtId="44" fontId="4" fillId="42" borderId="12" xfId="1" applyFont="1" applyFill="1" applyBorder="1" applyAlignment="1">
      <alignment horizontal="center"/>
    </xf>
    <xf numFmtId="15" fontId="0" fillId="0" borderId="0" xfId="0" applyNumberFormat="1" applyAlignment="1">
      <alignment horizontal="center"/>
    </xf>
    <xf numFmtId="15" fontId="3" fillId="0" borderId="0" xfId="0" applyNumberFormat="1" applyFont="1" applyAlignment="1">
      <alignment horizontal="center"/>
    </xf>
    <xf numFmtId="0" fontId="2" fillId="0" borderId="2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15" fontId="2" fillId="0" borderId="12" xfId="0" applyNumberFormat="1" applyFont="1" applyBorder="1" applyAlignment="1">
      <alignment horizontal="center"/>
    </xf>
    <xf numFmtId="44" fontId="2" fillId="0" borderId="12" xfId="1" applyFont="1" applyFill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2" fillId="40" borderId="20" xfId="0" applyFont="1" applyFill="1" applyBorder="1" applyAlignment="1">
      <alignment horizontal="center"/>
    </xf>
    <xf numFmtId="0" fontId="2" fillId="40" borderId="0" xfId="0" applyFont="1" applyFill="1" applyAlignment="1">
      <alignment horizontal="center"/>
    </xf>
    <xf numFmtId="15" fontId="2" fillId="40" borderId="0" xfId="0" applyNumberFormat="1" applyFont="1" applyFill="1" applyAlignment="1">
      <alignment horizontal="center"/>
    </xf>
    <xf numFmtId="44" fontId="2" fillId="40" borderId="0" xfId="1" applyFont="1" applyFill="1" applyBorder="1" applyAlignment="1">
      <alignment horizontal="center"/>
    </xf>
    <xf numFmtId="0" fontId="2" fillId="40" borderId="14" xfId="0" applyFont="1" applyFill="1" applyBorder="1" applyAlignment="1">
      <alignment horizontal="center"/>
    </xf>
    <xf numFmtId="0" fontId="2" fillId="4" borderId="20" xfId="0" applyFont="1" applyFill="1" applyBorder="1" applyAlignment="1">
      <alignment horizontal="center"/>
    </xf>
    <xf numFmtId="15" fontId="2" fillId="4" borderId="0" xfId="0" applyNumberFormat="1" applyFont="1" applyFill="1" applyAlignment="1">
      <alignment horizontal="center"/>
    </xf>
    <xf numFmtId="44" fontId="2" fillId="4" borderId="0" xfId="1" applyFont="1" applyFill="1" applyBorder="1" applyAlignment="1">
      <alignment horizontal="center"/>
    </xf>
    <xf numFmtId="0" fontId="2" fillId="4" borderId="14" xfId="0" applyFont="1" applyFill="1" applyBorder="1" applyAlignment="1">
      <alignment horizontal="center"/>
    </xf>
    <xf numFmtId="0" fontId="2" fillId="46" borderId="20" xfId="0" applyFont="1" applyFill="1" applyBorder="1" applyAlignment="1">
      <alignment horizontal="center"/>
    </xf>
    <xf numFmtId="0" fontId="2" fillId="46" borderId="0" xfId="0" applyFont="1" applyFill="1" applyAlignment="1">
      <alignment horizontal="center"/>
    </xf>
    <xf numFmtId="15" fontId="2" fillId="46" borderId="0" xfId="0" applyNumberFormat="1" applyFont="1" applyFill="1" applyAlignment="1">
      <alignment horizontal="center"/>
    </xf>
    <xf numFmtId="44" fontId="2" fillId="46" borderId="0" xfId="1" applyFont="1" applyFill="1" applyBorder="1" applyAlignment="1">
      <alignment horizontal="center"/>
    </xf>
    <xf numFmtId="0" fontId="2" fillId="46" borderId="14" xfId="0" applyFont="1" applyFill="1" applyBorder="1" applyAlignment="1">
      <alignment horizontal="center"/>
    </xf>
    <xf numFmtId="44" fontId="2" fillId="9" borderId="0" xfId="1" applyFont="1" applyFill="1" applyBorder="1" applyAlignment="1">
      <alignment horizontal="center"/>
    </xf>
    <xf numFmtId="0" fontId="2" fillId="9" borderId="20" xfId="0" applyFont="1" applyFill="1" applyBorder="1" applyAlignment="1">
      <alignment horizontal="center"/>
    </xf>
    <xf numFmtId="15" fontId="2" fillId="9" borderId="0" xfId="0" applyNumberFormat="1" applyFont="1" applyFill="1" applyAlignment="1">
      <alignment horizontal="center"/>
    </xf>
    <xf numFmtId="0" fontId="2" fillId="9" borderId="14" xfId="0" applyFont="1" applyFill="1" applyBorder="1" applyAlignment="1">
      <alignment horizontal="center"/>
    </xf>
    <xf numFmtId="0" fontId="10" fillId="49" borderId="20" xfId="0" applyFont="1" applyFill="1" applyBorder="1" applyAlignment="1">
      <alignment horizontal="center"/>
    </xf>
    <xf numFmtId="0" fontId="10" fillId="49" borderId="0" xfId="0" applyFont="1" applyFill="1" applyAlignment="1">
      <alignment horizontal="center"/>
    </xf>
    <xf numFmtId="15" fontId="10" fillId="49" borderId="0" xfId="0" applyNumberFormat="1" applyFont="1" applyFill="1" applyAlignment="1">
      <alignment horizontal="center"/>
    </xf>
    <xf numFmtId="44" fontId="10" fillId="49" borderId="0" xfId="1" applyFont="1" applyFill="1" applyBorder="1" applyAlignment="1">
      <alignment horizontal="center"/>
    </xf>
    <xf numFmtId="0" fontId="10" fillId="49" borderId="14" xfId="0" applyFont="1" applyFill="1" applyBorder="1" applyAlignment="1">
      <alignment horizontal="center"/>
    </xf>
    <xf numFmtId="0" fontId="10" fillId="50" borderId="20" xfId="0" applyFont="1" applyFill="1" applyBorder="1" applyAlignment="1">
      <alignment horizontal="center"/>
    </xf>
    <xf numFmtId="0" fontId="10" fillId="50" borderId="0" xfId="0" applyFont="1" applyFill="1" applyAlignment="1">
      <alignment horizontal="center"/>
    </xf>
    <xf numFmtId="15" fontId="10" fillId="50" borderId="0" xfId="0" applyNumberFormat="1" applyFont="1" applyFill="1" applyAlignment="1">
      <alignment horizontal="center"/>
    </xf>
    <xf numFmtId="44" fontId="10" fillId="50" borderId="0" xfId="1" applyFont="1" applyFill="1" applyBorder="1" applyAlignment="1">
      <alignment horizontal="center"/>
    </xf>
    <xf numFmtId="0" fontId="10" fillId="50" borderId="14" xfId="0" applyFont="1" applyFill="1" applyBorder="1" applyAlignment="1">
      <alignment horizontal="center"/>
    </xf>
    <xf numFmtId="0" fontId="10" fillId="51" borderId="20" xfId="0" applyFont="1" applyFill="1" applyBorder="1" applyAlignment="1">
      <alignment horizontal="center"/>
    </xf>
    <xf numFmtId="0" fontId="10" fillId="51" borderId="0" xfId="0" applyFont="1" applyFill="1" applyAlignment="1">
      <alignment horizontal="center"/>
    </xf>
    <xf numFmtId="15" fontId="10" fillId="51" borderId="0" xfId="0" applyNumberFormat="1" applyFont="1" applyFill="1" applyAlignment="1">
      <alignment horizontal="center"/>
    </xf>
    <xf numFmtId="44" fontId="10" fillId="51" borderId="0" xfId="1" applyFont="1" applyFill="1" applyBorder="1" applyAlignment="1">
      <alignment horizontal="center"/>
    </xf>
    <xf numFmtId="0" fontId="10" fillId="51" borderId="14" xfId="0" applyFont="1" applyFill="1" applyBorder="1" applyAlignment="1">
      <alignment horizontal="center"/>
    </xf>
    <xf numFmtId="0" fontId="2" fillId="5" borderId="20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15" fontId="2" fillId="5" borderId="0" xfId="0" applyNumberFormat="1" applyFont="1" applyFill="1" applyAlignment="1">
      <alignment horizontal="center"/>
    </xf>
    <xf numFmtId="44" fontId="2" fillId="5" borderId="0" xfId="1" applyFont="1" applyFill="1" applyBorder="1" applyAlignment="1">
      <alignment horizontal="center"/>
    </xf>
    <xf numFmtId="0" fontId="2" fillId="5" borderId="14" xfId="0" applyFont="1" applyFill="1" applyBorder="1" applyAlignment="1">
      <alignment horizontal="center"/>
    </xf>
    <xf numFmtId="0" fontId="2" fillId="8" borderId="20" xfId="0" applyFont="1" applyFill="1" applyBorder="1" applyAlignment="1">
      <alignment horizontal="center"/>
    </xf>
    <xf numFmtId="0" fontId="2" fillId="8" borderId="0" xfId="0" applyFont="1" applyFill="1" applyAlignment="1">
      <alignment horizontal="center"/>
    </xf>
    <xf numFmtId="15" fontId="2" fillId="8" borderId="0" xfId="0" applyNumberFormat="1" applyFont="1" applyFill="1" applyAlignment="1">
      <alignment horizontal="center"/>
    </xf>
    <xf numFmtId="44" fontId="2" fillId="8" borderId="0" xfId="1" applyFont="1" applyFill="1" applyBorder="1" applyAlignment="1">
      <alignment horizontal="center"/>
    </xf>
    <xf numFmtId="0" fontId="2" fillId="8" borderId="14" xfId="0" applyFont="1" applyFill="1" applyBorder="1" applyAlignment="1">
      <alignment horizontal="center"/>
    </xf>
    <xf numFmtId="0" fontId="10" fillId="45" borderId="20" xfId="0" applyFont="1" applyFill="1" applyBorder="1" applyAlignment="1">
      <alignment horizontal="center"/>
    </xf>
    <xf numFmtId="0" fontId="10" fillId="45" borderId="0" xfId="0" applyFont="1" applyFill="1" applyAlignment="1">
      <alignment horizontal="center"/>
    </xf>
    <xf numFmtId="15" fontId="10" fillId="45" borderId="0" xfId="0" applyNumberFormat="1" applyFont="1" applyFill="1" applyAlignment="1">
      <alignment horizontal="center"/>
    </xf>
    <xf numFmtId="44" fontId="10" fillId="45" borderId="0" xfId="1" applyFont="1" applyFill="1" applyBorder="1" applyAlignment="1">
      <alignment horizontal="center"/>
    </xf>
    <xf numFmtId="0" fontId="10" fillId="45" borderId="14" xfId="0" applyFont="1" applyFill="1" applyBorder="1" applyAlignment="1">
      <alignment horizontal="center"/>
    </xf>
    <xf numFmtId="0" fontId="2" fillId="7" borderId="0" xfId="0" applyFont="1" applyFill="1" applyAlignment="1">
      <alignment horizontal="center"/>
    </xf>
    <xf numFmtId="44" fontId="2" fillId="7" borderId="0" xfId="1" applyFont="1" applyFill="1" applyBorder="1" applyAlignment="1">
      <alignment horizontal="center"/>
    </xf>
    <xf numFmtId="0" fontId="2" fillId="7" borderId="20" xfId="0" applyFont="1" applyFill="1" applyBorder="1" applyAlignment="1">
      <alignment horizontal="center"/>
    </xf>
    <xf numFmtId="15" fontId="2" fillId="7" borderId="0" xfId="0" applyNumberFormat="1" applyFont="1" applyFill="1" applyAlignment="1">
      <alignment horizontal="center"/>
    </xf>
    <xf numFmtId="0" fontId="21" fillId="37" borderId="0" xfId="0" applyFont="1" applyFill="1"/>
    <xf numFmtId="15" fontId="21" fillId="37" borderId="0" xfId="0" applyNumberFormat="1" applyFont="1" applyFill="1"/>
    <xf numFmtId="44" fontId="21" fillId="37" borderId="0" xfId="1" applyFont="1" applyFill="1"/>
    <xf numFmtId="0" fontId="0" fillId="0" borderId="14" xfId="0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15" fillId="43" borderId="18" xfId="0" applyFont="1" applyFill="1" applyBorder="1"/>
    <xf numFmtId="0" fontId="15" fillId="43" borderId="19" xfId="1" applyNumberFormat="1" applyFont="1" applyFill="1" applyBorder="1"/>
    <xf numFmtId="0" fontId="15" fillId="43" borderId="14" xfId="1" applyNumberFormat="1" applyFont="1" applyFill="1" applyBorder="1"/>
    <xf numFmtId="0" fontId="21" fillId="37" borderId="14" xfId="1" applyNumberFormat="1" applyFont="1" applyFill="1" applyBorder="1"/>
    <xf numFmtId="0" fontId="25" fillId="45" borderId="14" xfId="1" applyNumberFormat="1" applyFont="1" applyFill="1" applyBorder="1"/>
    <xf numFmtId="0" fontId="15" fillId="46" borderId="14" xfId="1" applyNumberFormat="1" applyFont="1" applyFill="1" applyBorder="1"/>
    <xf numFmtId="0" fontId="15" fillId="25" borderId="14" xfId="1" applyNumberFormat="1" applyFont="1" applyFill="1" applyBorder="1"/>
    <xf numFmtId="0" fontId="15" fillId="44" borderId="14" xfId="1" applyNumberFormat="1" applyFont="1" applyFill="1" applyBorder="1"/>
    <xf numFmtId="0" fontId="15" fillId="41" borderId="14" xfId="1" applyNumberFormat="1" applyFont="1" applyFill="1" applyBorder="1"/>
    <xf numFmtId="0" fontId="15" fillId="4" borderId="14" xfId="1" applyNumberFormat="1" applyFont="1" applyFill="1" applyBorder="1"/>
    <xf numFmtId="0" fontId="25" fillId="48" borderId="14" xfId="1" applyNumberFormat="1" applyFont="1" applyFill="1" applyBorder="1"/>
    <xf numFmtId="0" fontId="15" fillId="47" borderId="14" xfId="1" applyNumberFormat="1" applyFont="1" applyFill="1" applyBorder="1"/>
    <xf numFmtId="0" fontId="25" fillId="42" borderId="14" xfId="1" applyNumberFormat="1" applyFont="1" applyFill="1" applyBorder="1"/>
    <xf numFmtId="0" fontId="15" fillId="6" borderId="14" xfId="1" applyNumberFormat="1" applyFont="1" applyFill="1" applyBorder="1"/>
    <xf numFmtId="15" fontId="0" fillId="0" borderId="0" xfId="0" applyNumberFormat="1" applyAlignment="1">
      <alignment horizontal="left"/>
    </xf>
    <xf numFmtId="44" fontId="1" fillId="0" borderId="0" xfId="1" applyFont="1" applyFill="1" applyBorder="1" applyAlignment="1">
      <alignment horizontal="left"/>
    </xf>
    <xf numFmtId="0" fontId="2" fillId="0" borderId="17" xfId="0" applyFont="1" applyBorder="1" applyAlignment="1">
      <alignment horizontal="left"/>
    </xf>
    <xf numFmtId="0" fontId="2" fillId="0" borderId="18" xfId="0" applyFont="1" applyBorder="1" applyAlignment="1">
      <alignment horizontal="left"/>
    </xf>
    <xf numFmtId="15" fontId="2" fillId="0" borderId="18" xfId="0" applyNumberFormat="1" applyFont="1" applyBorder="1" applyAlignment="1">
      <alignment horizontal="left"/>
    </xf>
    <xf numFmtId="44" fontId="2" fillId="0" borderId="18" xfId="1" applyFont="1" applyFill="1" applyBorder="1" applyAlignment="1">
      <alignment horizontal="left"/>
    </xf>
    <xf numFmtId="0" fontId="2" fillId="0" borderId="20" xfId="0" applyFont="1" applyBorder="1" applyAlignment="1">
      <alignment horizontal="left"/>
    </xf>
    <xf numFmtId="0" fontId="2" fillId="0" borderId="21" xfId="0" applyFont="1" applyBorder="1" applyAlignment="1">
      <alignment horizontal="left"/>
    </xf>
    <xf numFmtId="0" fontId="2" fillId="0" borderId="12" xfId="0" applyFont="1" applyBorder="1" applyAlignment="1">
      <alignment horizontal="left"/>
    </xf>
    <xf numFmtId="44" fontId="2" fillId="0" borderId="12" xfId="1" applyFont="1" applyFill="1" applyBorder="1" applyAlignment="1">
      <alignment horizontal="left"/>
    </xf>
    <xf numFmtId="44" fontId="2" fillId="40" borderId="0" xfId="1" applyFont="1" applyFill="1" applyBorder="1" applyAlignment="1">
      <alignment horizontal="left"/>
    </xf>
    <xf numFmtId="0" fontId="2" fillId="40" borderId="20" xfId="0" applyFont="1" applyFill="1" applyBorder="1" applyAlignment="1">
      <alignment horizontal="left"/>
    </xf>
    <xf numFmtId="0" fontId="2" fillId="40" borderId="0" xfId="0" applyFont="1" applyFill="1" applyAlignment="1">
      <alignment horizontal="left"/>
    </xf>
    <xf numFmtId="15" fontId="2" fillId="40" borderId="0" xfId="0" applyNumberFormat="1" applyFont="1" applyFill="1" applyAlignment="1">
      <alignment horizontal="left"/>
    </xf>
    <xf numFmtId="0" fontId="2" fillId="52" borderId="20" xfId="0" applyFont="1" applyFill="1" applyBorder="1" applyAlignment="1">
      <alignment horizontal="left"/>
    </xf>
    <xf numFmtId="0" fontId="2" fillId="52" borderId="0" xfId="0" applyFont="1" applyFill="1" applyAlignment="1">
      <alignment horizontal="left"/>
    </xf>
    <xf numFmtId="15" fontId="2" fillId="52" borderId="0" xfId="0" applyNumberFormat="1" applyFont="1" applyFill="1" applyAlignment="1">
      <alignment horizontal="left"/>
    </xf>
    <xf numFmtId="44" fontId="2" fillId="52" borderId="0" xfId="1" applyFont="1" applyFill="1" applyBorder="1" applyAlignment="1">
      <alignment horizontal="left"/>
    </xf>
    <xf numFmtId="0" fontId="2" fillId="52" borderId="0" xfId="0" applyFont="1" applyFill="1" applyAlignment="1">
      <alignment horizontal="center"/>
    </xf>
    <xf numFmtId="44" fontId="2" fillId="52" borderId="0" xfId="1" applyFont="1" applyFill="1" applyBorder="1" applyAlignment="1">
      <alignment horizontal="center"/>
    </xf>
    <xf numFmtId="0" fontId="2" fillId="4" borderId="20" xfId="0" applyFont="1" applyFill="1" applyBorder="1" applyAlignment="1">
      <alignment horizontal="left"/>
    </xf>
    <xf numFmtId="0" fontId="2" fillId="4" borderId="0" xfId="0" applyFont="1" applyFill="1" applyAlignment="1">
      <alignment horizontal="left"/>
    </xf>
    <xf numFmtId="15" fontId="2" fillId="4" borderId="0" xfId="0" applyNumberFormat="1" applyFont="1" applyFill="1" applyAlignment="1">
      <alignment horizontal="left"/>
    </xf>
    <xf numFmtId="44" fontId="2" fillId="4" borderId="0" xfId="1" applyFont="1" applyFill="1" applyBorder="1" applyAlignment="1">
      <alignment horizontal="left"/>
    </xf>
    <xf numFmtId="0" fontId="2" fillId="53" borderId="20" xfId="0" applyFont="1" applyFill="1" applyBorder="1" applyAlignment="1">
      <alignment horizontal="left"/>
    </xf>
    <xf numFmtId="0" fontId="2" fillId="53" borderId="0" xfId="0" applyFont="1" applyFill="1" applyAlignment="1">
      <alignment horizontal="left"/>
    </xf>
    <xf numFmtId="15" fontId="2" fillId="53" borderId="0" xfId="0" applyNumberFormat="1" applyFont="1" applyFill="1" applyAlignment="1">
      <alignment horizontal="left"/>
    </xf>
    <xf numFmtId="44" fontId="2" fillId="53" borderId="0" xfId="1" applyFont="1" applyFill="1" applyBorder="1" applyAlignment="1">
      <alignment horizontal="left"/>
    </xf>
    <xf numFmtId="0" fontId="2" fillId="53" borderId="0" xfId="0" applyFont="1" applyFill="1" applyAlignment="1">
      <alignment horizontal="center"/>
    </xf>
    <xf numFmtId="44" fontId="2" fillId="53" borderId="0" xfId="1" applyFont="1" applyFill="1" applyBorder="1" applyAlignment="1">
      <alignment horizontal="center"/>
    </xf>
    <xf numFmtId="0" fontId="10" fillId="50" borderId="20" xfId="0" applyFont="1" applyFill="1" applyBorder="1" applyAlignment="1">
      <alignment horizontal="left"/>
    </xf>
    <xf numFmtId="0" fontId="10" fillId="50" borderId="0" xfId="0" applyFont="1" applyFill="1" applyAlignment="1">
      <alignment horizontal="left"/>
    </xf>
    <xf numFmtId="15" fontId="10" fillId="50" borderId="0" xfId="0" applyNumberFormat="1" applyFont="1" applyFill="1" applyAlignment="1">
      <alignment horizontal="left"/>
    </xf>
    <xf numFmtId="44" fontId="10" fillId="50" borderId="0" xfId="1" applyFont="1" applyFill="1" applyBorder="1" applyAlignment="1">
      <alignment horizontal="left"/>
    </xf>
    <xf numFmtId="0" fontId="2" fillId="5" borderId="20" xfId="0" applyFont="1" applyFill="1" applyBorder="1" applyAlignment="1">
      <alignment horizontal="left"/>
    </xf>
    <xf numFmtId="0" fontId="2" fillId="5" borderId="0" xfId="0" applyFont="1" applyFill="1" applyAlignment="1">
      <alignment horizontal="left"/>
    </xf>
    <xf numFmtId="15" fontId="2" fillId="5" borderId="0" xfId="0" applyNumberFormat="1" applyFont="1" applyFill="1" applyAlignment="1">
      <alignment horizontal="left"/>
    </xf>
    <xf numFmtId="44" fontId="2" fillId="5" borderId="0" xfId="1" applyFont="1" applyFill="1" applyBorder="1" applyAlignment="1">
      <alignment horizontal="left"/>
    </xf>
    <xf numFmtId="0" fontId="10" fillId="49" borderId="20" xfId="0" applyFont="1" applyFill="1" applyBorder="1" applyAlignment="1">
      <alignment horizontal="left"/>
    </xf>
    <xf numFmtId="0" fontId="10" fillId="49" borderId="0" xfId="0" applyFont="1" applyFill="1" applyAlignment="1">
      <alignment horizontal="left"/>
    </xf>
    <xf numFmtId="15" fontId="10" fillId="49" borderId="0" xfId="0" applyNumberFormat="1" applyFont="1" applyFill="1" applyAlignment="1">
      <alignment horizontal="left"/>
    </xf>
    <xf numFmtId="44" fontId="10" fillId="49" borderId="0" xfId="1" applyFont="1" applyFill="1" applyBorder="1" applyAlignment="1">
      <alignment horizontal="left"/>
    </xf>
    <xf numFmtId="0" fontId="10" fillId="30" borderId="20" xfId="0" applyFont="1" applyFill="1" applyBorder="1" applyAlignment="1">
      <alignment horizontal="left"/>
    </xf>
    <xf numFmtId="0" fontId="10" fillId="30" borderId="0" xfId="0" applyFont="1" applyFill="1" applyAlignment="1">
      <alignment horizontal="left"/>
    </xf>
    <xf numFmtId="15" fontId="10" fillId="30" borderId="0" xfId="0" applyNumberFormat="1" applyFont="1" applyFill="1" applyAlignment="1">
      <alignment horizontal="left"/>
    </xf>
    <xf numFmtId="44" fontId="10" fillId="30" borderId="0" xfId="1" applyFont="1" applyFill="1" applyBorder="1" applyAlignment="1">
      <alignment horizontal="left"/>
    </xf>
    <xf numFmtId="0" fontId="10" fillId="30" borderId="0" xfId="0" applyFont="1" applyFill="1" applyAlignment="1">
      <alignment horizontal="center"/>
    </xf>
    <xf numFmtId="44" fontId="10" fillId="30" borderId="0" xfId="1" applyFont="1" applyFill="1" applyBorder="1" applyAlignment="1">
      <alignment horizontal="center"/>
    </xf>
    <xf numFmtId="0" fontId="4" fillId="54" borderId="20" xfId="0" applyFont="1" applyFill="1" applyBorder="1" applyAlignment="1">
      <alignment horizontal="left"/>
    </xf>
    <xf numFmtId="0" fontId="4" fillId="54" borderId="0" xfId="0" applyFont="1" applyFill="1" applyAlignment="1">
      <alignment horizontal="left"/>
    </xf>
    <xf numFmtId="44" fontId="4" fillId="54" borderId="0" xfId="1" applyFont="1" applyFill="1" applyBorder="1" applyAlignment="1">
      <alignment horizontal="left"/>
    </xf>
    <xf numFmtId="0" fontId="4" fillId="54" borderId="0" xfId="0" applyFont="1" applyFill="1" applyAlignment="1">
      <alignment horizontal="center"/>
    </xf>
    <xf numFmtId="44" fontId="4" fillId="54" borderId="0" xfId="1" applyFont="1" applyFill="1" applyBorder="1" applyAlignment="1">
      <alignment horizontal="center"/>
    </xf>
    <xf numFmtId="0" fontId="2" fillId="39" borderId="20" xfId="0" applyFont="1" applyFill="1" applyBorder="1" applyAlignment="1">
      <alignment horizontal="left"/>
    </xf>
    <xf numFmtId="0" fontId="2" fillId="39" borderId="0" xfId="0" applyFont="1" applyFill="1" applyAlignment="1">
      <alignment horizontal="left"/>
    </xf>
    <xf numFmtId="44" fontId="2" fillId="39" borderId="0" xfId="1" applyFont="1" applyFill="1" applyBorder="1" applyAlignment="1">
      <alignment horizontal="left"/>
    </xf>
    <xf numFmtId="0" fontId="2" fillId="39" borderId="0" xfId="0" applyFont="1" applyFill="1" applyAlignment="1">
      <alignment horizontal="center"/>
    </xf>
    <xf numFmtId="44" fontId="2" fillId="39" borderId="0" xfId="1" applyFont="1" applyFill="1" applyBorder="1" applyAlignment="1">
      <alignment horizontal="center"/>
    </xf>
    <xf numFmtId="44" fontId="2" fillId="8" borderId="0" xfId="1" applyFont="1" applyFill="1" applyBorder="1" applyAlignment="1">
      <alignment horizontal="left"/>
    </xf>
    <xf numFmtId="0" fontId="2" fillId="8" borderId="20" xfId="0" applyFont="1" applyFill="1" applyBorder="1" applyAlignment="1">
      <alignment horizontal="left"/>
    </xf>
    <xf numFmtId="0" fontId="2" fillId="8" borderId="0" xfId="0" applyFont="1" applyFill="1" applyAlignment="1">
      <alignment horizontal="left"/>
    </xf>
    <xf numFmtId="15" fontId="2" fillId="8" borderId="0" xfId="0" applyNumberFormat="1" applyFont="1" applyFill="1" applyAlignment="1">
      <alignment horizontal="left"/>
    </xf>
    <xf numFmtId="0" fontId="10" fillId="45" borderId="20" xfId="0" applyFont="1" applyFill="1" applyBorder="1" applyAlignment="1">
      <alignment horizontal="left"/>
    </xf>
    <xf numFmtId="0" fontId="10" fillId="45" borderId="0" xfId="0" applyFont="1" applyFill="1" applyAlignment="1">
      <alignment horizontal="left"/>
    </xf>
    <xf numFmtId="15" fontId="10" fillId="45" borderId="0" xfId="0" applyNumberFormat="1" applyFont="1" applyFill="1" applyAlignment="1">
      <alignment horizontal="left"/>
    </xf>
    <xf numFmtId="44" fontId="10" fillId="45" borderId="0" xfId="1" applyFont="1" applyFill="1" applyBorder="1" applyAlignment="1">
      <alignment horizontal="left"/>
    </xf>
    <xf numFmtId="0" fontId="2" fillId="0" borderId="19" xfId="0" applyFont="1" applyBorder="1" applyAlignment="1">
      <alignment horizontal="center"/>
    </xf>
    <xf numFmtId="0" fontId="2" fillId="52" borderId="14" xfId="0" applyFont="1" applyFill="1" applyBorder="1" applyAlignment="1">
      <alignment horizontal="center"/>
    </xf>
    <xf numFmtId="0" fontId="2" fillId="53" borderId="14" xfId="0" applyFont="1" applyFill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10" fillId="30" borderId="14" xfId="0" applyFont="1" applyFill="1" applyBorder="1" applyAlignment="1">
      <alignment horizontal="center"/>
    </xf>
    <xf numFmtId="0" fontId="2" fillId="39" borderId="14" xfId="0" applyFont="1" applyFill="1" applyBorder="1" applyAlignment="1">
      <alignment horizontal="center"/>
    </xf>
    <xf numFmtId="0" fontId="4" fillId="54" borderId="14" xfId="0" applyFont="1" applyFill="1" applyBorder="1" applyAlignment="1">
      <alignment horizontal="center"/>
    </xf>
    <xf numFmtId="0" fontId="2" fillId="9" borderId="20" xfId="0" applyFont="1" applyFill="1" applyBorder="1" applyAlignment="1">
      <alignment horizontal="left"/>
    </xf>
    <xf numFmtId="0" fontId="2" fillId="9" borderId="0" xfId="0" applyFont="1" applyFill="1" applyAlignment="1">
      <alignment horizontal="left"/>
    </xf>
    <xf numFmtId="15" fontId="2" fillId="9" borderId="0" xfId="0" applyNumberFormat="1" applyFont="1" applyFill="1" applyAlignment="1">
      <alignment horizontal="left"/>
    </xf>
    <xf numFmtId="44" fontId="2" fillId="9" borderId="0" xfId="1" applyFont="1" applyFill="1" applyBorder="1" applyAlignment="1">
      <alignment horizontal="left"/>
    </xf>
    <xf numFmtId="44" fontId="10" fillId="11" borderId="0" xfId="1" applyFont="1" applyFill="1" applyBorder="1" applyAlignment="1">
      <alignment horizontal="left"/>
    </xf>
    <xf numFmtId="0" fontId="10" fillId="11" borderId="20" xfId="0" applyFont="1" applyFill="1" applyBorder="1" applyAlignment="1">
      <alignment horizontal="left"/>
    </xf>
    <xf numFmtId="0" fontId="10" fillId="11" borderId="0" xfId="0" applyFont="1" applyFill="1" applyAlignment="1">
      <alignment horizontal="left"/>
    </xf>
    <xf numFmtId="15" fontId="10" fillId="11" borderId="0" xfId="0" applyNumberFormat="1" applyFont="1" applyFill="1" applyAlignment="1">
      <alignment horizontal="left"/>
    </xf>
    <xf numFmtId="0" fontId="10" fillId="11" borderId="14" xfId="0" applyFont="1" applyFill="1" applyBorder="1" applyAlignment="1">
      <alignment horizontal="center"/>
    </xf>
    <xf numFmtId="0" fontId="10" fillId="11" borderId="0" xfId="0" applyFont="1" applyFill="1" applyAlignment="1">
      <alignment horizontal="center"/>
    </xf>
    <xf numFmtId="44" fontId="10" fillId="11" borderId="0" xfId="1" applyFont="1" applyFill="1" applyAlignment="1">
      <alignment horizontal="center"/>
    </xf>
    <xf numFmtId="0" fontId="2" fillId="55" borderId="0" xfId="0" applyFont="1" applyFill="1"/>
    <xf numFmtId="44" fontId="2" fillId="55" borderId="0" xfId="1" applyFont="1" applyFill="1" applyBorder="1"/>
    <xf numFmtId="0" fontId="2" fillId="55" borderId="17" xfId="0" applyFont="1" applyFill="1" applyBorder="1" applyAlignment="1">
      <alignment horizontal="center"/>
    </xf>
    <xf numFmtId="0" fontId="2" fillId="55" borderId="18" xfId="0" applyFont="1" applyFill="1" applyBorder="1" applyAlignment="1">
      <alignment horizontal="center"/>
    </xf>
    <xf numFmtId="15" fontId="2" fillId="55" borderId="18" xfId="0" applyNumberFormat="1" applyFont="1" applyFill="1" applyBorder="1" applyAlignment="1">
      <alignment horizontal="center"/>
    </xf>
    <xf numFmtId="44" fontId="2" fillId="55" borderId="18" xfId="1" applyFont="1" applyFill="1" applyBorder="1" applyAlignment="1">
      <alignment horizontal="center"/>
    </xf>
    <xf numFmtId="0" fontId="2" fillId="55" borderId="19" xfId="0" applyFont="1" applyFill="1" applyBorder="1" applyAlignment="1">
      <alignment horizontal="center"/>
    </xf>
    <xf numFmtId="0" fontId="21" fillId="53" borderId="0" xfId="0" applyFont="1" applyFill="1"/>
    <xf numFmtId="44" fontId="21" fillId="53" borderId="0" xfId="1" applyFont="1" applyFill="1"/>
    <xf numFmtId="15" fontId="21" fillId="53" borderId="0" xfId="0" applyNumberFormat="1" applyFont="1" applyFill="1"/>
    <xf numFmtId="0" fontId="21" fillId="53" borderId="14" xfId="1" applyNumberFormat="1" applyFont="1" applyFill="1" applyBorder="1"/>
    <xf numFmtId="0" fontId="21" fillId="7" borderId="0" xfId="0" applyFont="1" applyFill="1" applyAlignment="1">
      <alignment horizontal="center"/>
    </xf>
    <xf numFmtId="44" fontId="2" fillId="0" borderId="18" xfId="1" applyFont="1" applyFill="1" applyBorder="1" applyAlignment="1">
      <alignment horizontal="left" vertical="center"/>
    </xf>
    <xf numFmtId="0" fontId="2" fillId="0" borderId="20" xfId="0" applyFont="1" applyBorder="1" applyAlignment="1">
      <alignment horizontal="left" vertical="center"/>
    </xf>
    <xf numFmtId="15" fontId="18" fillId="0" borderId="0" xfId="0" applyNumberFormat="1" applyFont="1" applyAlignment="1">
      <alignment horizontal="left" vertical="center"/>
    </xf>
    <xf numFmtId="0" fontId="2" fillId="40" borderId="20" xfId="0" applyFont="1" applyFill="1" applyBorder="1" applyAlignment="1">
      <alignment horizontal="left" vertical="center"/>
    </xf>
    <xf numFmtId="44" fontId="2" fillId="40" borderId="0" xfId="1" applyFont="1" applyFill="1" applyBorder="1" applyAlignment="1">
      <alignment horizontal="left" vertical="center"/>
    </xf>
    <xf numFmtId="0" fontId="2" fillId="40" borderId="0" xfId="0" applyFont="1" applyFill="1" applyAlignment="1">
      <alignment horizontal="left" vertical="center"/>
    </xf>
    <xf numFmtId="15" fontId="2" fillId="40" borderId="0" xfId="0" applyNumberFormat="1" applyFont="1" applyFill="1" applyAlignment="1">
      <alignment horizontal="left" vertical="center"/>
    </xf>
    <xf numFmtId="44" fontId="2" fillId="40" borderId="0" xfId="1" applyFont="1" applyFill="1" applyBorder="1"/>
    <xf numFmtId="0" fontId="2" fillId="4" borderId="20" xfId="0" applyFont="1" applyFill="1" applyBorder="1" applyAlignment="1">
      <alignment horizontal="left" vertical="center"/>
    </xf>
    <xf numFmtId="44" fontId="2" fillId="4" borderId="0" xfId="1" applyFont="1" applyFill="1" applyBorder="1" applyAlignment="1">
      <alignment horizontal="left" vertical="center"/>
    </xf>
    <xf numFmtId="0" fontId="2" fillId="4" borderId="0" xfId="0" applyFont="1" applyFill="1" applyAlignment="1">
      <alignment horizontal="left" vertical="center"/>
    </xf>
    <xf numFmtId="15" fontId="2" fillId="4" borderId="0" xfId="1" applyNumberFormat="1" applyFont="1" applyFill="1" applyBorder="1" applyAlignment="1">
      <alignment horizontal="left" vertical="center"/>
    </xf>
    <xf numFmtId="44" fontId="2" fillId="4" borderId="0" xfId="1" applyFont="1" applyFill="1" applyBorder="1"/>
    <xf numFmtId="0" fontId="2" fillId="52" borderId="20" xfId="0" applyFont="1" applyFill="1" applyBorder="1" applyAlignment="1">
      <alignment horizontal="left" vertical="center"/>
    </xf>
    <xf numFmtId="44" fontId="2" fillId="52" borderId="0" xfId="1" applyFont="1" applyFill="1" applyBorder="1" applyAlignment="1">
      <alignment horizontal="left" vertical="center"/>
    </xf>
    <xf numFmtId="0" fontId="2" fillId="52" borderId="0" xfId="0" applyFont="1" applyFill="1" applyAlignment="1">
      <alignment horizontal="left" vertical="center"/>
    </xf>
    <xf numFmtId="15" fontId="2" fillId="52" borderId="0" xfId="0" applyNumberFormat="1" applyFont="1" applyFill="1" applyAlignment="1">
      <alignment horizontal="left" vertical="center"/>
    </xf>
    <xf numFmtId="44" fontId="2" fillId="52" borderId="0" xfId="1" applyFont="1" applyFill="1" applyBorder="1"/>
    <xf numFmtId="0" fontId="10" fillId="30" borderId="20" xfId="0" applyFont="1" applyFill="1" applyBorder="1" applyAlignment="1">
      <alignment horizontal="left" vertical="center"/>
    </xf>
    <xf numFmtId="44" fontId="10" fillId="30" borderId="0" xfId="1" applyFont="1" applyFill="1" applyBorder="1" applyAlignment="1">
      <alignment horizontal="left" vertical="center"/>
    </xf>
    <xf numFmtId="0" fontId="10" fillId="30" borderId="0" xfId="0" applyFont="1" applyFill="1" applyAlignment="1">
      <alignment horizontal="left" vertical="center"/>
    </xf>
    <xf numFmtId="15" fontId="10" fillId="30" borderId="0" xfId="0" applyNumberFormat="1" applyFont="1" applyFill="1" applyAlignment="1">
      <alignment horizontal="left" vertical="center"/>
    </xf>
    <xf numFmtId="44" fontId="10" fillId="30" borderId="0" xfId="1" applyFont="1" applyFill="1" applyBorder="1"/>
    <xf numFmtId="0" fontId="10" fillId="49" borderId="20" xfId="0" applyFont="1" applyFill="1" applyBorder="1" applyAlignment="1">
      <alignment horizontal="left" vertical="center"/>
    </xf>
    <xf numFmtId="44" fontId="10" fillId="49" borderId="0" xfId="1" applyFont="1" applyFill="1" applyBorder="1" applyAlignment="1">
      <alignment horizontal="left" vertical="center"/>
    </xf>
    <xf numFmtId="0" fontId="10" fillId="49" borderId="0" xfId="0" applyFont="1" applyFill="1" applyAlignment="1">
      <alignment horizontal="left" vertical="center"/>
    </xf>
    <xf numFmtId="15" fontId="16" fillId="49" borderId="0" xfId="0" applyNumberFormat="1" applyFont="1" applyFill="1" applyAlignment="1">
      <alignment horizontal="left" vertical="center"/>
    </xf>
    <xf numFmtId="44" fontId="16" fillId="49" borderId="0" xfId="1" applyFont="1" applyFill="1" applyBorder="1" applyAlignment="1">
      <alignment horizontal="left" vertical="center"/>
    </xf>
    <xf numFmtId="44" fontId="10" fillId="49" borderId="0" xfId="1" applyFont="1" applyFill="1" applyBorder="1"/>
    <xf numFmtId="0" fontId="10" fillId="50" borderId="20" xfId="0" applyFont="1" applyFill="1" applyBorder="1" applyAlignment="1">
      <alignment horizontal="left" vertical="center"/>
    </xf>
    <xf numFmtId="44" fontId="10" fillId="50" borderId="0" xfId="1" applyFont="1" applyFill="1" applyBorder="1" applyAlignment="1">
      <alignment horizontal="left" vertical="center"/>
    </xf>
    <xf numFmtId="0" fontId="10" fillId="50" borderId="0" xfId="0" applyFont="1" applyFill="1" applyAlignment="1">
      <alignment horizontal="left" vertical="center"/>
    </xf>
    <xf numFmtId="15" fontId="16" fillId="50" borderId="0" xfId="0" applyNumberFormat="1" applyFont="1" applyFill="1" applyAlignment="1">
      <alignment horizontal="left" vertical="center"/>
    </xf>
    <xf numFmtId="44" fontId="16" fillId="50" borderId="0" xfId="1" applyFont="1" applyFill="1" applyBorder="1" applyAlignment="1">
      <alignment horizontal="left" vertical="center"/>
    </xf>
    <xf numFmtId="44" fontId="10" fillId="50" borderId="0" xfId="1" applyFont="1" applyFill="1" applyBorder="1"/>
    <xf numFmtId="0" fontId="2" fillId="8" borderId="20" xfId="0" applyFont="1" applyFill="1" applyBorder="1" applyAlignment="1">
      <alignment horizontal="left" vertical="center"/>
    </xf>
    <xf numFmtId="44" fontId="2" fillId="8" borderId="0" xfId="1" applyFont="1" applyFill="1" applyBorder="1" applyAlignment="1">
      <alignment horizontal="left" vertical="center"/>
    </xf>
    <xf numFmtId="0" fontId="2" fillId="8" borderId="0" xfId="0" applyFont="1" applyFill="1" applyAlignment="1">
      <alignment horizontal="left" vertical="center"/>
    </xf>
    <xf numFmtId="15" fontId="18" fillId="8" borderId="0" xfId="0" applyNumberFormat="1" applyFont="1" applyFill="1" applyAlignment="1">
      <alignment horizontal="left" vertical="center"/>
    </xf>
    <xf numFmtId="44" fontId="18" fillId="8" borderId="0" xfId="1" applyFont="1" applyFill="1" applyBorder="1" applyAlignment="1">
      <alignment horizontal="left" vertical="center"/>
    </xf>
    <xf numFmtId="44" fontId="2" fillId="8" borderId="0" xfId="1" applyFont="1" applyFill="1" applyBorder="1"/>
    <xf numFmtId="0" fontId="2" fillId="5" borderId="20" xfId="0" applyFont="1" applyFill="1" applyBorder="1" applyAlignment="1">
      <alignment horizontal="left" vertical="center"/>
    </xf>
    <xf numFmtId="44" fontId="2" fillId="5" borderId="0" xfId="1" applyFont="1" applyFill="1" applyBorder="1" applyAlignment="1">
      <alignment horizontal="left" vertical="center"/>
    </xf>
    <xf numFmtId="0" fontId="2" fillId="5" borderId="0" xfId="0" applyFont="1" applyFill="1" applyAlignment="1">
      <alignment horizontal="left" vertical="center"/>
    </xf>
    <xf numFmtId="15" fontId="18" fillId="5" borderId="0" xfId="0" applyNumberFormat="1" applyFont="1" applyFill="1" applyAlignment="1">
      <alignment horizontal="left" vertical="center"/>
    </xf>
    <xf numFmtId="44" fontId="18" fillId="5" borderId="0" xfId="1" applyFont="1" applyFill="1" applyBorder="1" applyAlignment="1">
      <alignment horizontal="left" vertical="center"/>
    </xf>
    <xf numFmtId="44" fontId="2" fillId="5" borderId="0" xfId="1" applyFont="1" applyFill="1" applyBorder="1"/>
    <xf numFmtId="0" fontId="4" fillId="42" borderId="20" xfId="0" applyFont="1" applyFill="1" applyBorder="1" applyAlignment="1">
      <alignment horizontal="left" vertical="center"/>
    </xf>
    <xf numFmtId="44" fontId="4" fillId="42" borderId="0" xfId="1" applyFont="1" applyFill="1" applyBorder="1" applyAlignment="1">
      <alignment horizontal="left" vertical="center"/>
    </xf>
    <xf numFmtId="0" fontId="4" fillId="42" borderId="0" xfId="0" applyFont="1" applyFill="1" applyAlignment="1">
      <alignment horizontal="left" vertical="center"/>
    </xf>
    <xf numFmtId="15" fontId="27" fillId="42" borderId="0" xfId="0" applyNumberFormat="1" applyFont="1" applyFill="1" applyAlignment="1">
      <alignment horizontal="left" vertical="center"/>
    </xf>
    <xf numFmtId="44" fontId="27" fillId="42" borderId="0" xfId="1" applyFont="1" applyFill="1" applyBorder="1" applyAlignment="1">
      <alignment horizontal="left" vertical="center"/>
    </xf>
    <xf numFmtId="44" fontId="4" fillId="42" borderId="0" xfId="1" applyFont="1" applyFill="1" applyBorder="1"/>
    <xf numFmtId="0" fontId="2" fillId="40" borderId="14" xfId="0" applyFont="1" applyFill="1" applyBorder="1" applyAlignment="1">
      <alignment horizontal="center" vertical="center"/>
    </xf>
    <xf numFmtId="0" fontId="2" fillId="52" borderId="14" xfId="0" applyFont="1" applyFill="1" applyBorder="1" applyAlignment="1">
      <alignment horizontal="center" vertical="center"/>
    </xf>
    <xf numFmtId="0" fontId="10" fillId="30" borderId="14" xfId="0" applyFont="1" applyFill="1" applyBorder="1" applyAlignment="1">
      <alignment horizontal="center" vertical="center"/>
    </xf>
    <xf numFmtId="0" fontId="2" fillId="4" borderId="14" xfId="0" applyFont="1" applyFill="1" applyBorder="1" applyAlignment="1">
      <alignment horizontal="center" vertical="center"/>
    </xf>
    <xf numFmtId="0" fontId="10" fillId="49" borderId="14" xfId="0" applyFont="1" applyFill="1" applyBorder="1" applyAlignment="1">
      <alignment horizontal="center" vertical="center"/>
    </xf>
    <xf numFmtId="0" fontId="10" fillId="50" borderId="14" xfId="0" applyFont="1" applyFill="1" applyBorder="1" applyAlignment="1">
      <alignment horizontal="center" vertical="center"/>
    </xf>
    <xf numFmtId="0" fontId="16" fillId="50" borderId="14" xfId="0" applyFont="1" applyFill="1" applyBorder="1" applyAlignment="1">
      <alignment horizontal="center" vertical="center"/>
    </xf>
    <xf numFmtId="0" fontId="18" fillId="8" borderId="14" xfId="0" applyFont="1" applyFill="1" applyBorder="1" applyAlignment="1">
      <alignment horizontal="center" vertical="center"/>
    </xf>
    <xf numFmtId="0" fontId="2" fillId="8" borderId="14" xfId="0" applyFont="1" applyFill="1" applyBorder="1" applyAlignment="1">
      <alignment horizontal="center" vertical="center"/>
    </xf>
    <xf numFmtId="0" fontId="18" fillId="5" borderId="14" xfId="0" applyFont="1" applyFill="1" applyBorder="1" applyAlignment="1">
      <alignment horizontal="center" vertical="center"/>
    </xf>
    <xf numFmtId="0" fontId="27" fillId="42" borderId="14" xfId="0" applyFont="1" applyFill="1" applyBorder="1" applyAlignment="1">
      <alignment horizontal="center" vertical="center"/>
    </xf>
    <xf numFmtId="0" fontId="4" fillId="42" borderId="14" xfId="0" applyFont="1" applyFill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28" fillId="52" borderId="20" xfId="0" applyFont="1" applyFill="1" applyBorder="1" applyAlignment="1">
      <alignment horizontal="left" vertical="center"/>
    </xf>
    <xf numFmtId="44" fontId="28" fillId="52" borderId="0" xfId="1" applyFont="1" applyFill="1" applyBorder="1" applyAlignment="1">
      <alignment horizontal="left" vertical="center"/>
    </xf>
    <xf numFmtId="0" fontId="28" fillId="52" borderId="0" xfId="0" applyFont="1" applyFill="1" applyAlignment="1">
      <alignment horizontal="left" vertical="center"/>
    </xf>
    <xf numFmtId="15" fontId="28" fillId="52" borderId="0" xfId="1" applyNumberFormat="1" applyFont="1" applyFill="1" applyBorder="1" applyAlignment="1">
      <alignment horizontal="left" vertical="center"/>
    </xf>
    <xf numFmtId="0" fontId="28" fillId="52" borderId="14" xfId="0" applyFont="1" applyFill="1" applyBorder="1" applyAlignment="1">
      <alignment horizontal="center" vertical="center"/>
    </xf>
    <xf numFmtId="0" fontId="2" fillId="40" borderId="0" xfId="0" applyFont="1" applyFill="1" applyAlignment="1">
      <alignment horizontal="center" vertical="center"/>
    </xf>
    <xf numFmtId="0" fontId="2" fillId="52" borderId="0" xfId="0" applyFont="1" applyFill="1" applyAlignment="1">
      <alignment horizontal="center" vertical="center"/>
    </xf>
    <xf numFmtId="0" fontId="10" fillId="30" borderId="0" xfId="0" applyFont="1" applyFill="1" applyAlignment="1">
      <alignment horizontal="center" vertical="center"/>
    </xf>
    <xf numFmtId="44" fontId="2" fillId="4" borderId="0" xfId="1" applyFont="1" applyFill="1" applyBorder="1" applyAlignment="1">
      <alignment horizontal="center" vertical="center"/>
    </xf>
    <xf numFmtId="44" fontId="28" fillId="52" borderId="0" xfId="1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6" fillId="49" borderId="0" xfId="0" applyFont="1" applyFill="1" applyAlignment="1">
      <alignment horizontal="center" vertical="center"/>
    </xf>
    <xf numFmtId="0" fontId="16" fillId="50" borderId="0" xfId="0" applyFont="1" applyFill="1" applyAlignment="1">
      <alignment horizontal="center" vertical="center"/>
    </xf>
    <xf numFmtId="0" fontId="10" fillId="50" borderId="0" xfId="0" applyFont="1" applyFill="1" applyAlignment="1">
      <alignment horizontal="center" vertical="center"/>
    </xf>
    <xf numFmtId="0" fontId="18" fillId="8" borderId="0" xfId="0" applyFont="1" applyFill="1" applyAlignment="1">
      <alignment horizontal="center" vertical="center"/>
    </xf>
    <xf numFmtId="0" fontId="18" fillId="5" borderId="0" xfId="0" applyFont="1" applyFill="1" applyAlignment="1">
      <alignment horizontal="center" vertical="center"/>
    </xf>
    <xf numFmtId="0" fontId="27" fillId="42" borderId="0" xfId="0" applyFont="1" applyFill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15" fontId="2" fillId="0" borderId="0" xfId="0" applyNumberFormat="1" applyFont="1" applyAlignment="1">
      <alignment horizontal="left" vertical="center"/>
    </xf>
    <xf numFmtId="0" fontId="2" fillId="0" borderId="17" xfId="0" applyFont="1" applyBorder="1" applyAlignment="1">
      <alignment horizontal="left" vertical="center"/>
    </xf>
    <xf numFmtId="0" fontId="2" fillId="0" borderId="18" xfId="0" applyFont="1" applyBorder="1" applyAlignment="1">
      <alignment horizontal="left" vertical="center"/>
    </xf>
    <xf numFmtId="15" fontId="2" fillId="0" borderId="18" xfId="0" applyNumberFormat="1" applyFont="1" applyBorder="1" applyAlignment="1">
      <alignment horizontal="left" vertical="center"/>
    </xf>
    <xf numFmtId="0" fontId="2" fillId="0" borderId="18" xfId="0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10" fillId="11" borderId="20" xfId="0" applyFont="1" applyFill="1" applyBorder="1" applyAlignment="1">
      <alignment horizontal="left" vertical="center"/>
    </xf>
    <xf numFmtId="44" fontId="10" fillId="11" borderId="0" xfId="1" applyFont="1" applyFill="1" applyBorder="1" applyAlignment="1">
      <alignment horizontal="left" vertical="center"/>
    </xf>
    <xf numFmtId="0" fontId="10" fillId="11" borderId="0" xfId="0" applyFont="1" applyFill="1" applyAlignment="1">
      <alignment horizontal="left" vertical="center"/>
    </xf>
    <xf numFmtId="15" fontId="16" fillId="11" borderId="0" xfId="0" applyNumberFormat="1" applyFont="1" applyFill="1" applyAlignment="1">
      <alignment horizontal="left" vertical="center"/>
    </xf>
    <xf numFmtId="0" fontId="10" fillId="11" borderId="14" xfId="0" applyFont="1" applyFill="1" applyBorder="1" applyAlignment="1">
      <alignment horizontal="center" vertical="center"/>
    </xf>
    <xf numFmtId="15" fontId="10" fillId="11" borderId="0" xfId="0" applyNumberFormat="1" applyFont="1" applyFill="1" applyAlignment="1">
      <alignment horizontal="left" vertical="center"/>
    </xf>
    <xf numFmtId="44" fontId="10" fillId="11" borderId="0" xfId="1" applyFont="1" applyFill="1" applyBorder="1" applyAlignment="1">
      <alignment horizontal="center" vertical="center"/>
    </xf>
    <xf numFmtId="44" fontId="10" fillId="11" borderId="14" xfId="0" applyNumberFormat="1" applyFont="1" applyFill="1" applyBorder="1" applyAlignment="1">
      <alignment horizontal="center" vertical="center"/>
    </xf>
    <xf numFmtId="44" fontId="10" fillId="11" borderId="14" xfId="1" applyFont="1" applyFill="1" applyBorder="1" applyAlignment="1">
      <alignment horizontal="center" vertical="center"/>
    </xf>
    <xf numFmtId="0" fontId="10" fillId="11" borderId="21" xfId="0" applyFont="1" applyFill="1" applyBorder="1" applyAlignment="1">
      <alignment horizontal="left" vertical="center"/>
    </xf>
    <xf numFmtId="44" fontId="10" fillId="11" borderId="12" xfId="1" applyFont="1" applyFill="1" applyBorder="1" applyAlignment="1">
      <alignment horizontal="left" vertical="center"/>
    </xf>
    <xf numFmtId="0" fontId="10" fillId="11" borderId="12" xfId="0" applyFont="1" applyFill="1" applyBorder="1" applyAlignment="1">
      <alignment horizontal="left" vertical="center"/>
    </xf>
    <xf numFmtId="15" fontId="10" fillId="11" borderId="12" xfId="0" applyNumberFormat="1" applyFont="1" applyFill="1" applyBorder="1" applyAlignment="1">
      <alignment horizontal="left" vertical="center"/>
    </xf>
    <xf numFmtId="0" fontId="10" fillId="11" borderId="12" xfId="0" applyFont="1" applyFill="1" applyBorder="1" applyAlignment="1">
      <alignment horizontal="center" vertical="center"/>
    </xf>
    <xf numFmtId="0" fontId="10" fillId="11" borderId="22" xfId="0" applyFont="1" applyFill="1" applyBorder="1" applyAlignment="1">
      <alignment horizontal="center" vertical="center"/>
    </xf>
    <xf numFmtId="44" fontId="2" fillId="0" borderId="0" xfId="0" applyNumberFormat="1" applyFont="1" applyAlignment="1">
      <alignment horizontal="center"/>
    </xf>
    <xf numFmtId="44" fontId="2" fillId="0" borderId="18" xfId="1" applyFont="1" applyFill="1" applyBorder="1" applyAlignment="1">
      <alignment horizontal="center"/>
    </xf>
    <xf numFmtId="44" fontId="2" fillId="0" borderId="19" xfId="1" applyFont="1" applyFill="1" applyBorder="1" applyAlignment="1">
      <alignment horizontal="center"/>
    </xf>
    <xf numFmtId="44" fontId="2" fillId="0" borderId="14" xfId="1" applyFont="1" applyFill="1" applyBorder="1" applyAlignment="1">
      <alignment horizontal="center"/>
    </xf>
    <xf numFmtId="44" fontId="2" fillId="0" borderId="22" xfId="1" applyFont="1" applyFill="1" applyBorder="1" applyAlignment="1">
      <alignment horizontal="center"/>
    </xf>
    <xf numFmtId="44" fontId="2" fillId="4" borderId="14" xfId="1" applyFont="1" applyFill="1" applyBorder="1" applyAlignment="1">
      <alignment horizontal="center"/>
    </xf>
    <xf numFmtId="0" fontId="2" fillId="52" borderId="20" xfId="0" applyFont="1" applyFill="1" applyBorder="1" applyAlignment="1">
      <alignment horizontal="center"/>
    </xf>
    <xf numFmtId="15" fontId="2" fillId="52" borderId="0" xfId="0" applyNumberFormat="1" applyFont="1" applyFill="1" applyAlignment="1">
      <alignment horizontal="center"/>
    </xf>
    <xf numFmtId="44" fontId="2" fillId="52" borderId="14" xfId="1" applyFont="1" applyFill="1" applyBorder="1" applyAlignment="1">
      <alignment horizontal="center"/>
    </xf>
    <xf numFmtId="44" fontId="2" fillId="9" borderId="14" xfId="1" applyFont="1" applyFill="1" applyBorder="1" applyAlignment="1">
      <alignment horizontal="center"/>
    </xf>
    <xf numFmtId="44" fontId="2" fillId="8" borderId="14" xfId="1" applyFont="1" applyFill="1" applyBorder="1" applyAlignment="1">
      <alignment horizontal="center"/>
    </xf>
    <xf numFmtId="0" fontId="4" fillId="42" borderId="20" xfId="0" applyFont="1" applyFill="1" applyBorder="1" applyAlignment="1">
      <alignment horizontal="center"/>
    </xf>
    <xf numFmtId="15" fontId="4" fillId="42" borderId="0" xfId="0" applyNumberFormat="1" applyFont="1" applyFill="1" applyAlignment="1">
      <alignment horizontal="center"/>
    </xf>
    <xf numFmtId="44" fontId="4" fillId="42" borderId="0" xfId="1" applyFont="1" applyFill="1" applyBorder="1" applyAlignment="1">
      <alignment horizontal="center"/>
    </xf>
    <xf numFmtId="44" fontId="4" fillId="42" borderId="14" xfId="1" applyFont="1" applyFill="1" applyBorder="1" applyAlignment="1">
      <alignment horizontal="center"/>
    </xf>
    <xf numFmtId="44" fontId="10" fillId="49" borderId="14" xfId="1" applyFont="1" applyFill="1" applyBorder="1" applyAlignment="1">
      <alignment horizontal="center"/>
    </xf>
    <xf numFmtId="44" fontId="10" fillId="45" borderId="14" xfId="1" applyFont="1" applyFill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15" fontId="2" fillId="0" borderId="18" xfId="0" applyNumberFormat="1" applyFont="1" applyBorder="1" applyAlignment="1">
      <alignment horizontal="center"/>
    </xf>
    <xf numFmtId="0" fontId="21" fillId="53" borderId="0" xfId="0" applyFont="1" applyFill="1" applyAlignment="1">
      <alignment horizontal="left"/>
    </xf>
    <xf numFmtId="15" fontId="15" fillId="53" borderId="0" xfId="0" applyNumberFormat="1" applyFont="1" applyFill="1" applyAlignment="1">
      <alignment horizontal="left"/>
    </xf>
    <xf numFmtId="44" fontId="15" fillId="53" borderId="0" xfId="1" applyFont="1" applyFill="1" applyAlignment="1">
      <alignment horizontal="left"/>
    </xf>
    <xf numFmtId="0" fontId="15" fillId="53" borderId="0" xfId="0" applyFont="1" applyFill="1" applyAlignment="1">
      <alignment horizontal="left"/>
    </xf>
    <xf numFmtId="44" fontId="15" fillId="53" borderId="0" xfId="1" applyFont="1" applyFill="1" applyBorder="1" applyAlignment="1">
      <alignment horizontal="left"/>
    </xf>
    <xf numFmtId="44" fontId="15" fillId="0" borderId="0" xfId="0" applyNumberFormat="1" applyFont="1" applyAlignment="1">
      <alignment horizontal="left"/>
    </xf>
    <xf numFmtId="15" fontId="0" fillId="8" borderId="0" xfId="0" applyNumberFormat="1" applyFill="1" applyAlignment="1">
      <alignment horizontal="left"/>
    </xf>
    <xf numFmtId="44" fontId="0" fillId="8" borderId="0" xfId="1" applyFont="1" applyFill="1" applyAlignment="1">
      <alignment horizontal="left"/>
    </xf>
    <xf numFmtId="0" fontId="0" fillId="8" borderId="0" xfId="0" applyFill="1" applyAlignment="1">
      <alignment horizontal="left"/>
    </xf>
    <xf numFmtId="44" fontId="0" fillId="8" borderId="0" xfId="1" applyFont="1" applyFill="1" applyBorder="1" applyAlignment="1">
      <alignment horizontal="left"/>
    </xf>
    <xf numFmtId="0" fontId="0" fillId="8" borderId="11" xfId="0" applyFill="1" applyBorder="1" applyAlignment="1">
      <alignment horizontal="left"/>
    </xf>
    <xf numFmtId="44" fontId="0" fillId="8" borderId="11" xfId="1" applyFont="1" applyFill="1" applyBorder="1"/>
    <xf numFmtId="0" fontId="4" fillId="42" borderId="0" xfId="0" applyFont="1" applyFill="1" applyAlignment="1">
      <alignment horizontal="left"/>
    </xf>
    <xf numFmtId="15" fontId="29" fillId="42" borderId="0" xfId="0" applyNumberFormat="1" applyFont="1" applyFill="1" applyAlignment="1">
      <alignment horizontal="left"/>
    </xf>
    <xf numFmtId="44" fontId="29" fillId="42" borderId="0" xfId="1" applyFont="1" applyFill="1" applyAlignment="1">
      <alignment horizontal="left"/>
    </xf>
    <xf numFmtId="0" fontId="29" fillId="42" borderId="0" xfId="0" applyFont="1" applyFill="1" applyAlignment="1">
      <alignment horizontal="left"/>
    </xf>
    <xf numFmtId="44" fontId="29" fillId="42" borderId="0" xfId="1" applyFont="1" applyFill="1" applyBorder="1" applyAlignment="1">
      <alignment horizontal="left"/>
    </xf>
    <xf numFmtId="44" fontId="2" fillId="46" borderId="14" xfId="1" applyFont="1" applyFill="1" applyBorder="1" applyAlignment="1">
      <alignment horizontal="center"/>
    </xf>
    <xf numFmtId="44" fontId="2" fillId="46" borderId="0" xfId="1" applyFont="1" applyFill="1" applyBorder="1"/>
    <xf numFmtId="44" fontId="2" fillId="5" borderId="14" xfId="1" applyFont="1" applyFill="1" applyBorder="1" applyAlignment="1">
      <alignment horizontal="center"/>
    </xf>
    <xf numFmtId="44" fontId="2" fillId="9" borderId="0" xfId="1" applyFont="1" applyFill="1" applyBorder="1"/>
    <xf numFmtId="0" fontId="10" fillId="56" borderId="20" xfId="0" applyFont="1" applyFill="1" applyBorder="1" applyAlignment="1">
      <alignment horizontal="center"/>
    </xf>
    <xf numFmtId="0" fontId="10" fillId="56" borderId="0" xfId="0" applyFont="1" applyFill="1" applyAlignment="1">
      <alignment horizontal="center"/>
    </xf>
    <xf numFmtId="15" fontId="10" fillId="56" borderId="0" xfId="0" applyNumberFormat="1" applyFont="1" applyFill="1" applyAlignment="1">
      <alignment horizontal="center"/>
    </xf>
    <xf numFmtId="44" fontId="10" fillId="56" borderId="0" xfId="1" applyFont="1" applyFill="1" applyBorder="1" applyAlignment="1">
      <alignment horizontal="center"/>
    </xf>
    <xf numFmtId="44" fontId="10" fillId="56" borderId="14" xfId="1" applyFont="1" applyFill="1" applyBorder="1" applyAlignment="1">
      <alignment horizontal="center"/>
    </xf>
    <xf numFmtId="44" fontId="10" fillId="56" borderId="0" xfId="1" applyFont="1" applyFill="1" applyBorder="1"/>
    <xf numFmtId="0" fontId="10" fillId="45" borderId="17" xfId="0" applyFont="1" applyFill="1" applyBorder="1" applyAlignment="1">
      <alignment horizontal="center"/>
    </xf>
    <xf numFmtId="0" fontId="10" fillId="45" borderId="18" xfId="0" applyFont="1" applyFill="1" applyBorder="1" applyAlignment="1">
      <alignment horizontal="center"/>
    </xf>
    <xf numFmtId="15" fontId="10" fillId="45" borderId="18" xfId="0" applyNumberFormat="1" applyFont="1" applyFill="1" applyBorder="1" applyAlignment="1">
      <alignment horizontal="center"/>
    </xf>
    <xf numFmtId="44" fontId="10" fillId="45" borderId="18" xfId="1" applyFont="1" applyFill="1" applyBorder="1" applyAlignment="1">
      <alignment horizontal="center"/>
    </xf>
    <xf numFmtId="44" fontId="10" fillId="45" borderId="19" xfId="1" applyFont="1" applyFill="1" applyBorder="1" applyAlignment="1">
      <alignment horizontal="center"/>
    </xf>
    <xf numFmtId="44" fontId="10" fillId="45" borderId="0" xfId="1" applyFont="1" applyFill="1" applyBorder="1"/>
    <xf numFmtId="44" fontId="2" fillId="7" borderId="14" xfId="1" applyFont="1" applyFill="1" applyBorder="1" applyAlignment="1">
      <alignment horizontal="center"/>
    </xf>
    <xf numFmtId="44" fontId="2" fillId="40" borderId="14" xfId="1" applyFont="1" applyFill="1" applyBorder="1" applyAlignment="1">
      <alignment horizontal="center"/>
    </xf>
    <xf numFmtId="44" fontId="10" fillId="50" borderId="14" xfId="1" applyFont="1" applyFill="1" applyBorder="1" applyAlignment="1">
      <alignment horizontal="center"/>
    </xf>
    <xf numFmtId="0" fontId="2" fillId="18" borderId="20" xfId="0" applyFont="1" applyFill="1" applyBorder="1" applyAlignment="1">
      <alignment horizontal="center"/>
    </xf>
    <xf numFmtId="0" fontId="2" fillId="18" borderId="0" xfId="0" applyFont="1" applyFill="1" applyAlignment="1">
      <alignment horizontal="center"/>
    </xf>
    <xf numFmtId="15" fontId="2" fillId="18" borderId="0" xfId="0" applyNumberFormat="1" applyFont="1" applyFill="1" applyAlignment="1">
      <alignment horizontal="center"/>
    </xf>
    <xf numFmtId="44" fontId="2" fillId="18" borderId="0" xfId="1" applyFont="1" applyFill="1" applyBorder="1" applyAlignment="1">
      <alignment horizontal="center"/>
    </xf>
    <xf numFmtId="44" fontId="2" fillId="18" borderId="14" xfId="1" applyFont="1" applyFill="1" applyBorder="1" applyAlignment="1">
      <alignment horizontal="center"/>
    </xf>
    <xf numFmtId="44" fontId="2" fillId="0" borderId="0" xfId="1" applyFont="1" applyAlignment="1">
      <alignment horizontal="center"/>
    </xf>
    <xf numFmtId="0" fontId="10" fillId="57" borderId="20" xfId="0" applyFont="1" applyFill="1" applyBorder="1" applyAlignment="1">
      <alignment horizontal="center"/>
    </xf>
    <xf numFmtId="0" fontId="10" fillId="57" borderId="0" xfId="0" applyFont="1" applyFill="1" applyAlignment="1">
      <alignment horizontal="center"/>
    </xf>
    <xf numFmtId="15" fontId="10" fillId="57" borderId="0" xfId="0" applyNumberFormat="1" applyFont="1" applyFill="1" applyAlignment="1">
      <alignment horizontal="center"/>
    </xf>
    <xf numFmtId="44" fontId="10" fillId="57" borderId="0" xfId="1" applyFont="1" applyFill="1" applyBorder="1" applyAlignment="1">
      <alignment horizontal="center"/>
    </xf>
    <xf numFmtId="44" fontId="10" fillId="57" borderId="14" xfId="1" applyFont="1" applyFill="1" applyBorder="1" applyAlignment="1">
      <alignment horizontal="center"/>
    </xf>
    <xf numFmtId="0" fontId="4" fillId="58" borderId="20" xfId="0" applyFont="1" applyFill="1" applyBorder="1" applyAlignment="1">
      <alignment horizontal="center"/>
    </xf>
    <xf numFmtId="0" fontId="4" fillId="58" borderId="0" xfId="0" applyFont="1" applyFill="1" applyAlignment="1">
      <alignment horizontal="center"/>
    </xf>
    <xf numFmtId="15" fontId="4" fillId="58" borderId="0" xfId="0" applyNumberFormat="1" applyFont="1" applyFill="1" applyAlignment="1">
      <alignment horizontal="center"/>
    </xf>
    <xf numFmtId="44" fontId="4" fillId="58" borderId="0" xfId="1" applyFont="1" applyFill="1" applyBorder="1" applyAlignment="1">
      <alignment horizontal="center"/>
    </xf>
    <xf numFmtId="44" fontId="4" fillId="58" borderId="14" xfId="1" applyFont="1" applyFill="1" applyBorder="1" applyAlignment="1">
      <alignment horizontal="center"/>
    </xf>
    <xf numFmtId="0" fontId="2" fillId="16" borderId="20" xfId="0" applyFont="1" applyFill="1" applyBorder="1" applyAlignment="1">
      <alignment horizontal="center"/>
    </xf>
    <xf numFmtId="15" fontId="2" fillId="16" borderId="0" xfId="0" applyNumberFormat="1" applyFont="1" applyFill="1" applyAlignment="1">
      <alignment horizontal="center"/>
    </xf>
    <xf numFmtId="44" fontId="2" fillId="16" borderId="0" xfId="1" applyFont="1" applyFill="1" applyBorder="1" applyAlignment="1">
      <alignment horizontal="center"/>
    </xf>
    <xf numFmtId="44" fontId="2" fillId="16" borderId="14" xfId="1" applyFont="1" applyFill="1" applyBorder="1" applyAlignment="1">
      <alignment horizontal="center"/>
    </xf>
    <xf numFmtId="0" fontId="10" fillId="19" borderId="20" xfId="0" applyFont="1" applyFill="1" applyBorder="1" applyAlignment="1">
      <alignment horizontal="center"/>
    </xf>
    <xf numFmtId="0" fontId="10" fillId="19" borderId="0" xfId="0" applyFont="1" applyFill="1" applyAlignment="1">
      <alignment horizontal="center"/>
    </xf>
    <xf numFmtId="15" fontId="10" fillId="19" borderId="0" xfId="0" applyNumberFormat="1" applyFont="1" applyFill="1" applyAlignment="1">
      <alignment horizontal="center"/>
    </xf>
    <xf numFmtId="44" fontId="10" fillId="19" borderId="0" xfId="1" applyFont="1" applyFill="1" applyBorder="1" applyAlignment="1">
      <alignment horizontal="center"/>
    </xf>
    <xf numFmtId="44" fontId="10" fillId="19" borderId="14" xfId="1" applyFont="1" applyFill="1" applyBorder="1" applyAlignment="1">
      <alignment horizontal="center"/>
    </xf>
    <xf numFmtId="0" fontId="4" fillId="59" borderId="20" xfId="0" applyFont="1" applyFill="1" applyBorder="1" applyAlignment="1">
      <alignment horizontal="center"/>
    </xf>
    <xf numFmtId="0" fontId="4" fillId="59" borderId="0" xfId="0" applyFont="1" applyFill="1" applyAlignment="1">
      <alignment horizontal="center"/>
    </xf>
    <xf numFmtId="15" fontId="4" fillId="59" borderId="0" xfId="0" applyNumberFormat="1" applyFont="1" applyFill="1" applyAlignment="1">
      <alignment horizontal="center"/>
    </xf>
    <xf numFmtId="44" fontId="4" fillId="59" borderId="0" xfId="1" applyFont="1" applyFill="1" applyBorder="1" applyAlignment="1">
      <alignment horizontal="center"/>
    </xf>
    <xf numFmtId="44" fontId="4" fillId="59" borderId="14" xfId="1" applyFont="1" applyFill="1" applyBorder="1" applyAlignment="1">
      <alignment horizontal="center"/>
    </xf>
    <xf numFmtId="0" fontId="4" fillId="21" borderId="20" xfId="0" applyFont="1" applyFill="1" applyBorder="1" applyAlignment="1">
      <alignment horizontal="center"/>
    </xf>
    <xf numFmtId="0" fontId="4" fillId="21" borderId="0" xfId="0" applyFont="1" applyFill="1" applyAlignment="1">
      <alignment horizontal="center"/>
    </xf>
    <xf numFmtId="15" fontId="4" fillId="21" borderId="0" xfId="0" applyNumberFormat="1" applyFont="1" applyFill="1" applyAlignment="1">
      <alignment horizontal="center"/>
    </xf>
    <xf numFmtId="44" fontId="4" fillId="21" borderId="0" xfId="1" applyFont="1" applyFill="1" applyBorder="1" applyAlignment="1">
      <alignment horizontal="center"/>
    </xf>
    <xf numFmtId="44" fontId="4" fillId="21" borderId="14" xfId="1" applyFont="1" applyFill="1" applyBorder="1" applyAlignment="1">
      <alignment horizontal="center"/>
    </xf>
    <xf numFmtId="0" fontId="10" fillId="60" borderId="20" xfId="0" applyFont="1" applyFill="1" applyBorder="1" applyAlignment="1">
      <alignment horizontal="center"/>
    </xf>
    <xf numFmtId="0" fontId="10" fillId="60" borderId="0" xfId="0" applyFont="1" applyFill="1" applyAlignment="1">
      <alignment horizontal="center"/>
    </xf>
    <xf numFmtId="15" fontId="10" fillId="60" borderId="0" xfId="0" applyNumberFormat="1" applyFont="1" applyFill="1" applyAlignment="1">
      <alignment horizontal="center"/>
    </xf>
    <xf numFmtId="44" fontId="10" fillId="60" borderId="0" xfId="1" applyFont="1" applyFill="1" applyBorder="1" applyAlignment="1">
      <alignment horizontal="center"/>
    </xf>
    <xf numFmtId="44" fontId="10" fillId="60" borderId="14" xfId="1" applyFont="1" applyFill="1" applyBorder="1" applyAlignment="1">
      <alignment horizontal="center"/>
    </xf>
    <xf numFmtId="0" fontId="10" fillId="11" borderId="20" xfId="0" applyFont="1" applyFill="1" applyBorder="1" applyAlignment="1">
      <alignment horizontal="center"/>
    </xf>
    <xf numFmtId="15" fontId="10" fillId="11" borderId="0" xfId="0" applyNumberFormat="1" applyFont="1" applyFill="1" applyAlignment="1">
      <alignment horizontal="center"/>
    </xf>
    <xf numFmtId="44" fontId="10" fillId="11" borderId="0" xfId="1" applyFont="1" applyFill="1" applyBorder="1" applyAlignment="1">
      <alignment horizontal="center"/>
    </xf>
    <xf numFmtId="44" fontId="10" fillId="11" borderId="14" xfId="1" applyFont="1" applyFill="1" applyBorder="1" applyAlignment="1">
      <alignment horizontal="center"/>
    </xf>
    <xf numFmtId="0" fontId="30" fillId="30" borderId="20" xfId="0" applyFont="1" applyFill="1" applyBorder="1" applyAlignment="1">
      <alignment horizontal="center"/>
    </xf>
    <xf numFmtId="0" fontId="30" fillId="30" borderId="0" xfId="0" applyFont="1" applyFill="1" applyAlignment="1">
      <alignment horizontal="center"/>
    </xf>
    <xf numFmtId="15" fontId="30" fillId="30" borderId="0" xfId="0" applyNumberFormat="1" applyFont="1" applyFill="1" applyAlignment="1">
      <alignment horizontal="center"/>
    </xf>
    <xf numFmtId="44" fontId="30" fillId="30" borderId="0" xfId="1" applyFont="1" applyFill="1" applyBorder="1" applyAlignment="1">
      <alignment horizontal="center"/>
    </xf>
    <xf numFmtId="44" fontId="30" fillId="30" borderId="14" xfId="1" applyFont="1" applyFill="1" applyBorder="1" applyAlignment="1">
      <alignment horizontal="center"/>
    </xf>
    <xf numFmtId="0" fontId="30" fillId="60" borderId="0" xfId="0" applyFont="1" applyFill="1" applyAlignment="1">
      <alignment horizontal="left"/>
    </xf>
    <xf numFmtId="44" fontId="30" fillId="60" borderId="0" xfId="1" applyFont="1" applyFill="1" applyBorder="1"/>
    <xf numFmtId="0" fontId="30" fillId="60" borderId="20" xfId="0" applyFont="1" applyFill="1" applyBorder="1" applyAlignment="1">
      <alignment horizontal="center"/>
    </xf>
    <xf numFmtId="0" fontId="30" fillId="60" borderId="0" xfId="0" applyFont="1" applyFill="1" applyAlignment="1">
      <alignment horizontal="center"/>
    </xf>
    <xf numFmtId="15" fontId="30" fillId="60" borderId="0" xfId="0" applyNumberFormat="1" applyFont="1" applyFill="1" applyAlignment="1">
      <alignment horizontal="center"/>
    </xf>
    <xf numFmtId="44" fontId="30" fillId="60" borderId="0" xfId="1" applyFont="1" applyFill="1" applyBorder="1" applyAlignment="1">
      <alignment horizontal="center"/>
    </xf>
    <xf numFmtId="44" fontId="30" fillId="60" borderId="14" xfId="1" applyFont="1" applyFill="1" applyBorder="1" applyAlignment="1">
      <alignment horizontal="center"/>
    </xf>
    <xf numFmtId="44" fontId="2" fillId="0" borderId="0" xfId="1" applyFont="1" applyFill="1" applyBorder="1" applyAlignment="1">
      <alignment horizontal="center" vertical="top"/>
    </xf>
    <xf numFmtId="44" fontId="2" fillId="0" borderId="18" xfId="1" applyFont="1" applyFill="1" applyBorder="1" applyAlignment="1">
      <alignment horizontal="center" vertical="top"/>
    </xf>
    <xf numFmtId="14" fontId="2" fillId="0" borderId="0" xfId="0" applyNumberFormat="1" applyFont="1" applyAlignment="1">
      <alignment horizontal="center"/>
    </xf>
    <xf numFmtId="14" fontId="2" fillId="0" borderId="12" xfId="0" applyNumberFormat="1" applyFont="1" applyBorder="1" applyAlignment="1">
      <alignment horizontal="center"/>
    </xf>
    <xf numFmtId="44" fontId="2" fillId="0" borderId="12" xfId="1" applyFont="1" applyFill="1" applyBorder="1" applyAlignment="1">
      <alignment horizontal="center" vertical="top"/>
    </xf>
    <xf numFmtId="14" fontId="2" fillId="52" borderId="0" xfId="0" applyNumberFormat="1" applyFont="1" applyFill="1" applyAlignment="1">
      <alignment horizontal="center"/>
    </xf>
    <xf numFmtId="44" fontId="2" fillId="52" borderId="0" xfId="1" applyFont="1" applyFill="1" applyBorder="1" applyAlignment="1">
      <alignment horizontal="center" vertical="top"/>
    </xf>
    <xf numFmtId="0" fontId="2" fillId="61" borderId="20" xfId="0" applyFont="1" applyFill="1" applyBorder="1" applyAlignment="1">
      <alignment horizontal="center"/>
    </xf>
    <xf numFmtId="0" fontId="2" fillId="61" borderId="0" xfId="0" applyFont="1" applyFill="1" applyAlignment="1">
      <alignment horizontal="center"/>
    </xf>
    <xf numFmtId="14" fontId="2" fillId="61" borderId="0" xfId="0" applyNumberFormat="1" applyFont="1" applyFill="1" applyAlignment="1">
      <alignment horizontal="center"/>
    </xf>
    <xf numFmtId="44" fontId="2" fillId="61" borderId="0" xfId="1" applyFont="1" applyFill="1" applyBorder="1" applyAlignment="1">
      <alignment horizontal="center" vertical="top"/>
    </xf>
    <xf numFmtId="44" fontId="2" fillId="61" borderId="14" xfId="1" applyFont="1" applyFill="1" applyBorder="1" applyAlignment="1">
      <alignment horizontal="center"/>
    </xf>
    <xf numFmtId="44" fontId="2" fillId="61" borderId="0" xfId="1" applyFont="1" applyFill="1" applyBorder="1" applyAlignment="1">
      <alignment horizontal="center"/>
    </xf>
    <xf numFmtId="14" fontId="2" fillId="16" borderId="0" xfId="0" applyNumberFormat="1" applyFont="1" applyFill="1" applyAlignment="1">
      <alignment horizontal="center"/>
    </xf>
    <xf numFmtId="44" fontId="2" fillId="16" borderId="0" xfId="1" applyFont="1" applyFill="1" applyBorder="1" applyAlignment="1">
      <alignment horizontal="center" vertical="top"/>
    </xf>
    <xf numFmtId="44" fontId="2" fillId="5" borderId="0" xfId="1" applyFont="1" applyFill="1" applyBorder="1" applyAlignment="1">
      <alignment horizontal="center" vertical="top"/>
    </xf>
    <xf numFmtId="14" fontId="2" fillId="5" borderId="0" xfId="0" applyNumberFormat="1" applyFont="1" applyFill="1" applyAlignment="1">
      <alignment horizontal="center"/>
    </xf>
    <xf numFmtId="0" fontId="2" fillId="28" borderId="20" xfId="0" applyFont="1" applyFill="1" applyBorder="1" applyAlignment="1">
      <alignment horizontal="center"/>
    </xf>
    <xf numFmtId="0" fontId="2" fillId="28" borderId="0" xfId="0" applyFont="1" applyFill="1" applyAlignment="1">
      <alignment horizontal="center"/>
    </xf>
    <xf numFmtId="14" fontId="2" fillId="28" borderId="0" xfId="0" applyNumberFormat="1" applyFont="1" applyFill="1" applyAlignment="1">
      <alignment horizontal="center"/>
    </xf>
    <xf numFmtId="44" fontId="2" fillId="28" borderId="0" xfId="1" applyFont="1" applyFill="1" applyBorder="1" applyAlignment="1">
      <alignment horizontal="center" vertical="top"/>
    </xf>
    <xf numFmtId="44" fontId="2" fillId="28" borderId="14" xfId="1" applyFont="1" applyFill="1" applyBorder="1" applyAlignment="1">
      <alignment horizontal="center"/>
    </xf>
    <xf numFmtId="44" fontId="2" fillId="28" borderId="0" xfId="1" applyFont="1" applyFill="1" applyBorder="1" applyAlignment="1">
      <alignment horizontal="center"/>
    </xf>
    <xf numFmtId="14" fontId="10" fillId="49" borderId="0" xfId="0" applyNumberFormat="1" applyFont="1" applyFill="1" applyAlignment="1">
      <alignment horizontal="center"/>
    </xf>
    <xf numFmtId="44" fontId="10" fillId="49" borderId="0" xfId="1" applyFont="1" applyFill="1" applyBorder="1" applyAlignment="1">
      <alignment horizontal="center" vertical="top"/>
    </xf>
    <xf numFmtId="14" fontId="10" fillId="50" borderId="0" xfId="0" applyNumberFormat="1" applyFont="1" applyFill="1" applyAlignment="1">
      <alignment horizontal="center"/>
    </xf>
    <xf numFmtId="44" fontId="10" fillId="50" borderId="0" xfId="1" applyFont="1" applyFill="1" applyBorder="1" applyAlignment="1">
      <alignment horizontal="center" vertical="top"/>
    </xf>
    <xf numFmtId="44" fontId="2" fillId="8" borderId="0" xfId="1" applyFont="1" applyFill="1" applyBorder="1" applyAlignment="1">
      <alignment horizontal="center" vertical="top"/>
    </xf>
    <xf numFmtId="14" fontId="2" fillId="8" borderId="0" xfId="0" applyNumberFormat="1" applyFont="1" applyFill="1" applyAlignment="1">
      <alignment horizontal="center"/>
    </xf>
    <xf numFmtId="14" fontId="2" fillId="9" borderId="0" xfId="0" applyNumberFormat="1" applyFont="1" applyFill="1" applyAlignment="1">
      <alignment horizontal="center"/>
    </xf>
    <xf numFmtId="44" fontId="2" fillId="9" borderId="0" xfId="1" applyFont="1" applyFill="1" applyBorder="1" applyAlignment="1">
      <alignment horizontal="center" vertical="top"/>
    </xf>
    <xf numFmtId="14" fontId="10" fillId="56" borderId="0" xfId="0" applyNumberFormat="1" applyFont="1" applyFill="1" applyAlignment="1">
      <alignment horizontal="center"/>
    </xf>
    <xf numFmtId="44" fontId="10" fillId="56" borderId="0" xfId="1" applyFont="1" applyFill="1" applyBorder="1" applyAlignment="1">
      <alignment horizontal="center" vertical="top"/>
    </xf>
    <xf numFmtId="0" fontId="2" fillId="3" borderId="20" xfId="0" applyFont="1" applyFill="1" applyBorder="1" applyAlignment="1">
      <alignment horizontal="center"/>
    </xf>
    <xf numFmtId="14" fontId="2" fillId="3" borderId="0" xfId="0" applyNumberFormat="1" applyFont="1" applyFill="1" applyAlignment="1">
      <alignment horizontal="center"/>
    </xf>
    <xf numFmtId="44" fontId="2" fillId="3" borderId="0" xfId="1" applyFont="1" applyFill="1" applyBorder="1" applyAlignment="1">
      <alignment horizontal="center" vertical="top"/>
    </xf>
    <xf numFmtId="44" fontId="2" fillId="3" borderId="14" xfId="1" applyFont="1" applyFill="1" applyBorder="1" applyAlignment="1">
      <alignment horizontal="center"/>
    </xf>
    <xf numFmtId="44" fontId="2" fillId="3" borderId="0" xfId="1" applyFont="1" applyFill="1" applyBorder="1" applyAlignment="1">
      <alignment horizontal="center"/>
    </xf>
    <xf numFmtId="14" fontId="10" fillId="45" borderId="0" xfId="0" applyNumberFormat="1" applyFont="1" applyFill="1" applyAlignment="1">
      <alignment horizontal="center"/>
    </xf>
    <xf numFmtId="44" fontId="10" fillId="45" borderId="0" xfId="1" applyFont="1" applyFill="1" applyBorder="1" applyAlignment="1">
      <alignment horizontal="center" vertical="top"/>
    </xf>
    <xf numFmtId="44" fontId="21" fillId="0" borderId="0" xfId="0" applyNumberFormat="1" applyFont="1" applyAlignment="1">
      <alignment horizontal="center"/>
    </xf>
    <xf numFmtId="14" fontId="2" fillId="0" borderId="18" xfId="0" applyNumberFormat="1" applyFont="1" applyBorder="1" applyAlignment="1">
      <alignment horizontal="center"/>
    </xf>
    <xf numFmtId="15" fontId="2" fillId="3" borderId="0" xfId="0" applyNumberFormat="1" applyFont="1" applyFill="1" applyAlignment="1">
      <alignment horizontal="center"/>
    </xf>
    <xf numFmtId="0" fontId="10" fillId="56" borderId="0" xfId="0" applyFont="1" applyFill="1"/>
    <xf numFmtId="0" fontId="2" fillId="9" borderId="0" xfId="0" applyFont="1" applyFill="1"/>
    <xf numFmtId="0" fontId="4" fillId="42" borderId="21" xfId="0" applyFont="1" applyFill="1" applyBorder="1" applyAlignment="1">
      <alignment horizontal="center"/>
    </xf>
    <xf numFmtId="0" fontId="4" fillId="42" borderId="12" xfId="0" applyFont="1" applyFill="1" applyBorder="1" applyAlignment="1">
      <alignment horizontal="center"/>
    </xf>
    <xf numFmtId="15" fontId="4" fillId="42" borderId="12" xfId="0" applyNumberFormat="1" applyFont="1" applyFill="1" applyBorder="1" applyAlignment="1">
      <alignment horizontal="center"/>
    </xf>
    <xf numFmtId="44" fontId="4" fillId="42" borderId="22" xfId="1" applyFont="1" applyFill="1" applyBorder="1" applyAlignment="1">
      <alignment horizontal="center"/>
    </xf>
    <xf numFmtId="0" fontId="4" fillId="42" borderId="0" xfId="0" applyFont="1" applyFill="1"/>
    <xf numFmtId="0" fontId="10" fillId="11" borderId="0" xfId="0" applyFont="1" applyFill="1"/>
    <xf numFmtId="44" fontId="10" fillId="11" borderId="0" xfId="1" applyFont="1" applyFill="1" applyBorder="1"/>
    <xf numFmtId="0" fontId="21" fillId="55" borderId="0" xfId="0" applyFont="1" applyFill="1" applyAlignment="1">
      <alignment horizontal="left"/>
    </xf>
    <xf numFmtId="44" fontId="21" fillId="55" borderId="0" xfId="1" applyFont="1" applyFill="1" applyBorder="1"/>
    <xf numFmtId="0" fontId="2" fillId="55" borderId="20" xfId="0" applyFont="1" applyFill="1" applyBorder="1" applyAlignment="1">
      <alignment horizontal="center"/>
    </xf>
    <xf numFmtId="0" fontId="2" fillId="55" borderId="0" xfId="0" applyFont="1" applyFill="1" applyAlignment="1">
      <alignment horizontal="center"/>
    </xf>
    <xf numFmtId="14" fontId="2" fillId="55" borderId="0" xfId="0" applyNumberFormat="1" applyFont="1" applyFill="1" applyAlignment="1">
      <alignment horizontal="center"/>
    </xf>
    <xf numFmtId="44" fontId="2" fillId="55" borderId="0" xfId="1" applyFont="1" applyFill="1" applyBorder="1" applyAlignment="1">
      <alignment horizontal="center" vertical="top"/>
    </xf>
    <xf numFmtId="44" fontId="2" fillId="55" borderId="14" xfId="1" applyFont="1" applyFill="1" applyBorder="1" applyAlignment="1">
      <alignment horizontal="center"/>
    </xf>
    <xf numFmtId="15" fontId="21" fillId="0" borderId="0" xfId="0" applyNumberFormat="1" applyFont="1"/>
    <xf numFmtId="15" fontId="10" fillId="0" borderId="0" xfId="0" applyNumberFormat="1" applyFont="1"/>
    <xf numFmtId="15" fontId="21" fillId="0" borderId="0" xfId="1" applyNumberFormat="1" applyFont="1" applyFill="1" applyBorder="1"/>
    <xf numFmtId="15" fontId="2" fillId="0" borderId="0" xfId="0" applyNumberFormat="1" applyFont="1"/>
    <xf numFmtId="15" fontId="2" fillId="28" borderId="0" xfId="0" applyNumberFormat="1" applyFont="1" applyFill="1" applyAlignment="1">
      <alignment horizontal="center"/>
    </xf>
    <xf numFmtId="15" fontId="10" fillId="50" borderId="0" xfId="1" applyNumberFormat="1" applyFont="1" applyFill="1" applyBorder="1" applyAlignment="1">
      <alignment horizontal="center"/>
    </xf>
    <xf numFmtId="0" fontId="2" fillId="28" borderId="0" xfId="0" applyFont="1" applyFill="1" applyAlignment="1">
      <alignment horizontal="left"/>
    </xf>
    <xf numFmtId="0" fontId="2" fillId="3" borderId="0" xfId="0" applyFont="1" applyFill="1" applyAlignment="1">
      <alignment horizontal="left"/>
    </xf>
    <xf numFmtId="0" fontId="2" fillId="3" borderId="21" xfId="0" applyFont="1" applyFill="1" applyBorder="1" applyAlignment="1">
      <alignment horizontal="center"/>
    </xf>
    <xf numFmtId="0" fontId="2" fillId="3" borderId="12" xfId="0" applyFont="1" applyFill="1" applyBorder="1" applyAlignment="1">
      <alignment horizontal="left"/>
    </xf>
    <xf numFmtId="0" fontId="2" fillId="3" borderId="12" xfId="0" applyFont="1" applyFill="1" applyBorder="1" applyAlignment="1">
      <alignment horizontal="center"/>
    </xf>
    <xf numFmtId="15" fontId="2" fillId="3" borderId="12" xfId="0" applyNumberFormat="1" applyFont="1" applyFill="1" applyBorder="1" applyAlignment="1">
      <alignment horizontal="center"/>
    </xf>
    <xf numFmtId="44" fontId="2" fillId="3" borderId="12" xfId="1" applyFont="1" applyFill="1" applyBorder="1" applyAlignment="1">
      <alignment horizontal="center"/>
    </xf>
    <xf numFmtId="0" fontId="10" fillId="56" borderId="0" xfId="0" applyFont="1" applyFill="1" applyAlignment="1">
      <alignment horizontal="left"/>
    </xf>
    <xf numFmtId="44" fontId="2" fillId="3" borderId="22" xfId="1" applyFont="1" applyFill="1" applyBorder="1" applyAlignment="1">
      <alignment horizontal="center"/>
    </xf>
    <xf numFmtId="0" fontId="26" fillId="0" borderId="0" xfId="0" applyFont="1" applyAlignment="1">
      <alignment horizontal="center"/>
    </xf>
    <xf numFmtId="0" fontId="2" fillId="7" borderId="0" xfId="0" applyFont="1" applyFill="1" applyAlignment="1">
      <alignment horizontal="left"/>
    </xf>
    <xf numFmtId="0" fontId="4" fillId="11" borderId="0" xfId="0" applyFont="1" applyFill="1" applyAlignment="1">
      <alignment horizontal="center"/>
    </xf>
    <xf numFmtId="44" fontId="4" fillId="11" borderId="0" xfId="1" applyFont="1" applyFill="1" applyBorder="1" applyAlignment="1">
      <alignment horizontal="center"/>
    </xf>
    <xf numFmtId="0" fontId="4" fillId="11" borderId="20" xfId="0" applyFont="1" applyFill="1" applyBorder="1" applyAlignment="1">
      <alignment horizontal="center"/>
    </xf>
    <xf numFmtId="15" fontId="4" fillId="11" borderId="0" xfId="0" applyNumberFormat="1" applyFont="1" applyFill="1" applyAlignment="1">
      <alignment horizontal="center"/>
    </xf>
    <xf numFmtId="0" fontId="4" fillId="11" borderId="14" xfId="0" applyFont="1" applyFill="1" applyBorder="1" applyAlignment="1">
      <alignment horizontal="center"/>
    </xf>
    <xf numFmtId="0" fontId="31" fillId="11" borderId="0" xfId="0" applyFont="1" applyFill="1" applyAlignment="1">
      <alignment horizontal="center"/>
    </xf>
    <xf numFmtId="44" fontId="31" fillId="11" borderId="0" xfId="1" applyFont="1" applyFill="1" applyBorder="1" applyAlignment="1">
      <alignment horizontal="center"/>
    </xf>
    <xf numFmtId="0" fontId="30" fillId="11" borderId="0" xfId="0" applyFont="1" applyFill="1" applyAlignment="1">
      <alignment horizontal="center"/>
    </xf>
    <xf numFmtId="44" fontId="30" fillId="11" borderId="0" xfId="1" applyFont="1" applyFill="1" applyBorder="1" applyAlignment="1">
      <alignment horizontal="center"/>
    </xf>
    <xf numFmtId="0" fontId="30" fillId="11" borderId="20" xfId="0" applyFont="1" applyFill="1" applyBorder="1" applyAlignment="1">
      <alignment horizontal="center"/>
    </xf>
    <xf numFmtId="15" fontId="30" fillId="11" borderId="0" xfId="0" applyNumberFormat="1" applyFont="1" applyFill="1" applyAlignment="1">
      <alignment horizontal="center"/>
    </xf>
    <xf numFmtId="0" fontId="30" fillId="11" borderId="14" xfId="0" applyFont="1" applyFill="1" applyBorder="1" applyAlignment="1">
      <alignment horizontal="center"/>
    </xf>
    <xf numFmtId="44" fontId="16" fillId="11" borderId="0" xfId="1" applyFont="1" applyFill="1" applyBorder="1" applyAlignment="1">
      <alignment horizontal="left" vertical="center"/>
    </xf>
    <xf numFmtId="0" fontId="21" fillId="0" borderId="0" xfId="1" applyNumberFormat="1" applyFont="1" applyFill="1" applyBorder="1" applyAlignment="1">
      <alignment horizontal="center"/>
    </xf>
    <xf numFmtId="0" fontId="31" fillId="11" borderId="20" xfId="0" applyFont="1" applyFill="1" applyBorder="1" applyAlignment="1">
      <alignment horizontal="left" vertical="center"/>
    </xf>
    <xf numFmtId="44" fontId="31" fillId="11" borderId="0" xfId="1" applyFont="1" applyFill="1" applyBorder="1" applyAlignment="1">
      <alignment horizontal="left" vertical="center"/>
    </xf>
    <xf numFmtId="0" fontId="31" fillId="11" borderId="0" xfId="0" applyFont="1" applyFill="1" applyAlignment="1">
      <alignment horizontal="left" vertical="center"/>
    </xf>
    <xf numFmtId="15" fontId="31" fillId="11" borderId="0" xfId="1" applyNumberFormat="1" applyFont="1" applyFill="1" applyBorder="1" applyAlignment="1">
      <alignment horizontal="left" vertical="center"/>
    </xf>
    <xf numFmtId="44" fontId="31" fillId="11" borderId="0" xfId="1" applyFont="1" applyFill="1" applyBorder="1" applyAlignment="1">
      <alignment horizontal="center" vertical="center"/>
    </xf>
    <xf numFmtId="0" fontId="31" fillId="11" borderId="14" xfId="0" applyFont="1" applyFill="1" applyBorder="1" applyAlignment="1">
      <alignment horizontal="center" vertical="center"/>
    </xf>
    <xf numFmtId="0" fontId="30" fillId="11" borderId="20" xfId="0" applyFont="1" applyFill="1" applyBorder="1" applyAlignment="1">
      <alignment horizontal="left" vertical="center"/>
    </xf>
    <xf numFmtId="44" fontId="30" fillId="11" borderId="0" xfId="1" applyFont="1" applyFill="1" applyBorder="1" applyAlignment="1">
      <alignment horizontal="left" vertical="center"/>
    </xf>
    <xf numFmtId="0" fontId="30" fillId="11" borderId="0" xfId="0" applyFont="1" applyFill="1" applyAlignment="1">
      <alignment horizontal="left" vertical="center"/>
    </xf>
    <xf numFmtId="15" fontId="30" fillId="11" borderId="0" xfId="1" applyNumberFormat="1" applyFont="1" applyFill="1" applyBorder="1" applyAlignment="1">
      <alignment horizontal="left" vertical="center"/>
    </xf>
    <xf numFmtId="44" fontId="30" fillId="11" borderId="0" xfId="1" applyFont="1" applyFill="1" applyBorder="1" applyAlignment="1">
      <alignment horizontal="center" vertical="center"/>
    </xf>
    <xf numFmtId="0" fontId="30" fillId="11" borderId="14" xfId="0" applyFont="1" applyFill="1" applyBorder="1" applyAlignment="1">
      <alignment horizontal="center" vertical="center"/>
    </xf>
    <xf numFmtId="44" fontId="30" fillId="11" borderId="14" xfId="1" applyFont="1" applyFill="1" applyBorder="1" applyAlignment="1">
      <alignment horizontal="center"/>
    </xf>
    <xf numFmtId="0" fontId="21" fillId="53" borderId="0" xfId="0" applyFont="1" applyFill="1" applyAlignment="1">
      <alignment horizontal="center"/>
    </xf>
    <xf numFmtId="44" fontId="21" fillId="53" borderId="0" xfId="1" applyFont="1" applyFill="1" applyBorder="1" applyAlignment="1">
      <alignment horizontal="center"/>
    </xf>
    <xf numFmtId="0" fontId="32" fillId="11" borderId="0" xfId="0" applyFont="1" applyFill="1" applyAlignment="1">
      <alignment horizontal="center"/>
    </xf>
    <xf numFmtId="44" fontId="32" fillId="11" borderId="0" xfId="1" applyFont="1" applyFill="1" applyBorder="1" applyAlignment="1">
      <alignment horizontal="center"/>
    </xf>
    <xf numFmtId="0" fontId="31" fillId="11" borderId="20" xfId="0" applyFont="1" applyFill="1" applyBorder="1" applyAlignment="1">
      <alignment horizontal="center"/>
    </xf>
    <xf numFmtId="15" fontId="31" fillId="11" borderId="0" xfId="0" applyNumberFormat="1" applyFont="1" applyFill="1" applyAlignment="1">
      <alignment horizontal="center"/>
    </xf>
    <xf numFmtId="44" fontId="31" fillId="11" borderId="14" xfId="1" applyFont="1" applyFill="1" applyBorder="1" applyAlignment="1">
      <alignment horizontal="center"/>
    </xf>
    <xf numFmtId="0" fontId="32" fillId="11" borderId="20" xfId="0" applyFont="1" applyFill="1" applyBorder="1" applyAlignment="1">
      <alignment horizontal="center"/>
    </xf>
    <xf numFmtId="15" fontId="32" fillId="11" borderId="0" xfId="0" applyNumberFormat="1" applyFont="1" applyFill="1" applyAlignment="1">
      <alignment horizontal="center"/>
    </xf>
    <xf numFmtId="44" fontId="32" fillId="11" borderId="14" xfId="1" applyFont="1" applyFill="1" applyBorder="1" applyAlignment="1">
      <alignment horizontal="center"/>
    </xf>
    <xf numFmtId="0" fontId="33" fillId="0" borderId="0" xfId="0" applyFont="1" applyAlignment="1">
      <alignment horizontal="center"/>
    </xf>
    <xf numFmtId="0" fontId="33" fillId="0" borderId="0" xfId="0" applyFont="1"/>
    <xf numFmtId="15" fontId="33" fillId="0" borderId="0" xfId="0" applyNumberFormat="1" applyFont="1" applyAlignment="1">
      <alignment horizontal="center"/>
    </xf>
    <xf numFmtId="44" fontId="33" fillId="0" borderId="0" xfId="1" applyFont="1" applyFill="1" applyBorder="1"/>
    <xf numFmtId="0" fontId="33" fillId="0" borderId="0" xfId="0" applyFont="1" applyAlignment="1">
      <alignment horizontal="left"/>
    </xf>
    <xf numFmtId="44" fontId="33" fillId="0" borderId="0" xfId="0" applyNumberFormat="1" applyFont="1"/>
    <xf numFmtId="0" fontId="4" fillId="0" borderId="0" xfId="0" applyFont="1"/>
    <xf numFmtId="44" fontId="33" fillId="0" borderId="0" xfId="1" applyFont="1"/>
    <xf numFmtId="0" fontId="33" fillId="0" borderId="23" xfId="0" applyFont="1" applyBorder="1" applyAlignment="1">
      <alignment horizontal="center"/>
    </xf>
    <xf numFmtId="0" fontId="33" fillId="47" borderId="0" xfId="0" applyFont="1" applyFill="1" applyAlignment="1">
      <alignment horizontal="center"/>
    </xf>
    <xf numFmtId="0" fontId="33" fillId="23" borderId="0" xfId="0" applyFont="1" applyFill="1" applyAlignment="1">
      <alignment horizontal="center"/>
    </xf>
    <xf numFmtId="15" fontId="33" fillId="0" borderId="23" xfId="0" applyNumberFormat="1" applyFont="1" applyBorder="1" applyAlignment="1">
      <alignment horizontal="center"/>
    </xf>
    <xf numFmtId="15" fontId="33" fillId="47" borderId="0" xfId="0" applyNumberFormat="1" applyFont="1" applyFill="1" applyAlignment="1">
      <alignment horizontal="center"/>
    </xf>
    <xf numFmtId="15" fontId="33" fillId="23" borderId="0" xfId="0" applyNumberFormat="1" applyFont="1" applyFill="1" applyAlignment="1">
      <alignment horizontal="center"/>
    </xf>
    <xf numFmtId="0" fontId="2" fillId="47" borderId="0" xfId="0" applyFont="1" applyFill="1" applyAlignment="1">
      <alignment horizontal="center"/>
    </xf>
    <xf numFmtId="44" fontId="2" fillId="47" borderId="0" xfId="1" applyFont="1" applyFill="1" applyAlignment="1">
      <alignment horizontal="center"/>
    </xf>
    <xf numFmtId="0" fontId="2" fillId="23" borderId="0" xfId="0" applyFont="1" applyFill="1" applyAlignment="1">
      <alignment horizontal="center"/>
    </xf>
    <xf numFmtId="44" fontId="2" fillId="23" borderId="0" xfId="1" applyFont="1" applyFill="1" applyAlignment="1">
      <alignment horizontal="center"/>
    </xf>
    <xf numFmtId="44" fontId="4" fillId="42" borderId="0" xfId="1" applyFont="1" applyFill="1" applyAlignment="1">
      <alignment horizontal="center"/>
    </xf>
    <xf numFmtId="44" fontId="33" fillId="0" borderId="0" xfId="1" applyFont="1" applyFill="1" applyBorder="1" applyAlignment="1">
      <alignment horizontal="center"/>
    </xf>
    <xf numFmtId="44" fontId="33" fillId="0" borderId="23" xfId="1" applyFont="1" applyFill="1" applyBorder="1" applyAlignment="1">
      <alignment horizontal="center"/>
    </xf>
    <xf numFmtId="44" fontId="33" fillId="47" borderId="0" xfId="1" applyFont="1" applyFill="1" applyBorder="1" applyAlignment="1">
      <alignment horizontal="center"/>
    </xf>
    <xf numFmtId="44" fontId="33" fillId="23" borderId="0" xfId="1" applyFont="1" applyFill="1" applyBorder="1" applyAlignment="1">
      <alignment horizontal="center"/>
    </xf>
    <xf numFmtId="44" fontId="2" fillId="52" borderId="0" xfId="1" applyFont="1" applyFill="1" applyAlignment="1">
      <alignment horizontal="center"/>
    </xf>
    <xf numFmtId="0" fontId="21" fillId="52" borderId="0" xfId="0" applyFont="1" applyFill="1" applyAlignment="1">
      <alignment horizontal="center"/>
    </xf>
    <xf numFmtId="15" fontId="21" fillId="52" borderId="0" xfId="0" applyNumberFormat="1" applyFont="1" applyFill="1" applyAlignment="1">
      <alignment horizontal="center"/>
    </xf>
    <xf numFmtId="44" fontId="21" fillId="52" borderId="0" xfId="1" applyFont="1" applyFill="1" applyBorder="1" applyAlignment="1">
      <alignment horizontal="center"/>
    </xf>
    <xf numFmtId="44" fontId="21" fillId="9" borderId="0" xfId="1" applyFont="1" applyFill="1" applyBorder="1" applyAlignment="1">
      <alignment horizontal="center"/>
    </xf>
    <xf numFmtId="44" fontId="33" fillId="9" borderId="0" xfId="1" applyFont="1" applyFill="1" applyBorder="1" applyAlignment="1">
      <alignment horizontal="center"/>
    </xf>
    <xf numFmtId="0" fontId="21" fillId="9" borderId="0" xfId="0" applyFont="1" applyFill="1" applyAlignment="1">
      <alignment horizontal="center"/>
    </xf>
    <xf numFmtId="15" fontId="21" fillId="9" borderId="0" xfId="0" applyNumberFormat="1" applyFont="1" applyFill="1" applyAlignment="1">
      <alignment horizontal="center"/>
    </xf>
    <xf numFmtId="0" fontId="33" fillId="9" borderId="0" xfId="0" applyFont="1" applyFill="1" applyAlignment="1">
      <alignment horizontal="center"/>
    </xf>
    <xf numFmtId="15" fontId="33" fillId="9" borderId="0" xfId="0" applyNumberFormat="1" applyFont="1" applyFill="1" applyAlignment="1">
      <alignment horizontal="center"/>
    </xf>
    <xf numFmtId="44" fontId="2" fillId="9" borderId="0" xfId="1" applyFont="1" applyFill="1" applyAlignment="1">
      <alignment horizontal="center"/>
    </xf>
    <xf numFmtId="44" fontId="21" fillId="8" borderId="0" xfId="1" applyFont="1" applyFill="1" applyBorder="1" applyAlignment="1">
      <alignment horizontal="center"/>
    </xf>
    <xf numFmtId="44" fontId="33" fillId="8" borderId="0" xfId="1" applyFont="1" applyFill="1" applyBorder="1" applyAlignment="1">
      <alignment horizontal="center"/>
    </xf>
    <xf numFmtId="0" fontId="21" fillId="8" borderId="0" xfId="0" applyFont="1" applyFill="1" applyAlignment="1">
      <alignment horizontal="center"/>
    </xf>
    <xf numFmtId="15" fontId="21" fillId="8" borderId="0" xfId="0" applyNumberFormat="1" applyFont="1" applyFill="1" applyAlignment="1">
      <alignment horizontal="center"/>
    </xf>
    <xf numFmtId="0" fontId="33" fillId="8" borderId="0" xfId="0" applyFont="1" applyFill="1" applyAlignment="1">
      <alignment horizontal="center"/>
    </xf>
    <xf numFmtId="15" fontId="33" fillId="8" borderId="0" xfId="0" applyNumberFormat="1" applyFont="1" applyFill="1" applyAlignment="1">
      <alignment horizontal="center"/>
    </xf>
    <xf numFmtId="44" fontId="2" fillId="8" borderId="0" xfId="1" applyFont="1" applyFill="1" applyAlignment="1">
      <alignment horizontal="center"/>
    </xf>
    <xf numFmtId="44" fontId="10" fillId="49" borderId="0" xfId="1" applyFont="1" applyFill="1" applyAlignment="1">
      <alignment horizontal="center"/>
    </xf>
    <xf numFmtId="44" fontId="10" fillId="50" borderId="0" xfId="1" applyFont="1" applyFill="1" applyAlignment="1">
      <alignment horizontal="center"/>
    </xf>
    <xf numFmtId="44" fontId="33" fillId="7" borderId="0" xfId="1" applyFont="1" applyFill="1" applyBorder="1" applyAlignment="1">
      <alignment horizontal="center"/>
    </xf>
    <xf numFmtId="0" fontId="33" fillId="40" borderId="0" xfId="0" applyFont="1" applyFill="1" applyAlignment="1">
      <alignment horizontal="center"/>
    </xf>
    <xf numFmtId="15" fontId="33" fillId="40" borderId="0" xfId="0" applyNumberFormat="1" applyFont="1" applyFill="1" applyAlignment="1">
      <alignment horizontal="center"/>
    </xf>
    <xf numFmtId="44" fontId="33" fillId="40" borderId="0" xfId="1" applyFont="1" applyFill="1" applyBorder="1" applyAlignment="1">
      <alignment horizontal="center"/>
    </xf>
    <xf numFmtId="44" fontId="2" fillId="40" borderId="0" xfId="1" applyFont="1" applyFill="1" applyAlignment="1">
      <alignment horizontal="center"/>
    </xf>
    <xf numFmtId="0" fontId="4" fillId="11" borderId="0" xfId="0" applyFont="1" applyFill="1"/>
    <xf numFmtId="44" fontId="4" fillId="11" borderId="0" xfId="1" applyFont="1" applyFill="1" applyBorder="1"/>
    <xf numFmtId="44" fontId="4" fillId="11" borderId="14" xfId="1" applyFont="1" applyFill="1" applyBorder="1" applyAlignment="1">
      <alignment horizontal="center"/>
    </xf>
    <xf numFmtId="44" fontId="34" fillId="11" borderId="0" xfId="1" applyFont="1" applyFill="1" applyBorder="1" applyAlignment="1">
      <alignment horizontal="center"/>
    </xf>
    <xf numFmtId="44" fontId="2" fillId="56" borderId="0" xfId="1" applyFont="1" applyFill="1" applyBorder="1" applyAlignment="1">
      <alignment horizontal="center"/>
    </xf>
    <xf numFmtId="0" fontId="2" fillId="56" borderId="0" xfId="0" applyFont="1" applyFill="1" applyAlignment="1">
      <alignment horizontal="center"/>
    </xf>
    <xf numFmtId="0" fontId="2" fillId="56" borderId="20" xfId="0" applyFont="1" applyFill="1" applyBorder="1" applyAlignment="1">
      <alignment horizontal="center"/>
    </xf>
    <xf numFmtId="15" fontId="2" fillId="56" borderId="0" xfId="0" applyNumberFormat="1" applyFont="1" applyFill="1" applyAlignment="1">
      <alignment horizontal="center"/>
    </xf>
    <xf numFmtId="44" fontId="2" fillId="56" borderId="14" xfId="1" applyFont="1" applyFill="1" applyBorder="1" applyAlignment="1">
      <alignment horizontal="center"/>
    </xf>
    <xf numFmtId="0" fontId="34" fillId="11" borderId="0" xfId="0" applyFont="1" applyFill="1" applyAlignment="1">
      <alignment horizontal="center"/>
    </xf>
    <xf numFmtId="0" fontId="34" fillId="11" borderId="20" xfId="0" applyFont="1" applyFill="1" applyBorder="1" applyAlignment="1">
      <alignment horizontal="center"/>
    </xf>
    <xf numFmtId="15" fontId="34" fillId="11" borderId="0" xfId="0" applyNumberFormat="1" applyFont="1" applyFill="1" applyAlignment="1">
      <alignment horizontal="center"/>
    </xf>
    <xf numFmtId="44" fontId="34" fillId="11" borderId="14" xfId="1" applyFont="1" applyFill="1" applyBorder="1" applyAlignment="1">
      <alignment horizontal="center"/>
    </xf>
    <xf numFmtId="44" fontId="33" fillId="0" borderId="0" xfId="1" applyFont="1" applyFill="1" applyAlignment="1">
      <alignment horizontal="center"/>
    </xf>
    <xf numFmtId="15" fontId="0" fillId="0" borderId="7" xfId="0" applyNumberFormat="1" applyBorder="1"/>
    <xf numFmtId="44" fontId="0" fillId="0" borderId="7" xfId="1" applyFont="1" applyFill="1" applyBorder="1"/>
    <xf numFmtId="0" fontId="0" fillId="0" borderId="7" xfId="0" applyBorder="1" applyAlignment="1">
      <alignment horizontal="left"/>
    </xf>
    <xf numFmtId="0" fontId="2" fillId="10" borderId="0" xfId="0" applyFont="1" applyFill="1" applyAlignment="1">
      <alignment horizontal="center"/>
    </xf>
    <xf numFmtId="15" fontId="0" fillId="10" borderId="0" xfId="0" applyNumberFormat="1" applyFill="1"/>
    <xf numFmtId="44" fontId="0" fillId="10" borderId="0" xfId="1" applyFont="1" applyFill="1" applyBorder="1"/>
    <xf numFmtId="0" fontId="0" fillId="10" borderId="0" xfId="0" applyFill="1"/>
    <xf numFmtId="0" fontId="0" fillId="10" borderId="0" xfId="0" applyFill="1" applyAlignment="1">
      <alignment horizontal="left"/>
    </xf>
    <xf numFmtId="0" fontId="2" fillId="41" borderId="0" xfId="0" applyFont="1" applyFill="1" applyAlignment="1">
      <alignment horizontal="center"/>
    </xf>
    <xf numFmtId="15" fontId="0" fillId="41" borderId="0" xfId="0" applyNumberFormat="1" applyFill="1"/>
    <xf numFmtId="44" fontId="0" fillId="41" borderId="0" xfId="1" applyFont="1" applyFill="1" applyBorder="1"/>
    <xf numFmtId="0" fontId="0" fillId="41" borderId="0" xfId="0" applyFill="1"/>
    <xf numFmtId="0" fontId="2" fillId="44" borderId="0" xfId="0" applyFont="1" applyFill="1" applyAlignment="1">
      <alignment horizontal="center"/>
    </xf>
    <xf numFmtId="15" fontId="0" fillId="44" borderId="0" xfId="0" applyNumberFormat="1" applyFill="1"/>
    <xf numFmtId="44" fontId="0" fillId="44" borderId="0" xfId="1" applyFont="1" applyFill="1" applyBorder="1"/>
    <xf numFmtId="0" fontId="0" fillId="44" borderId="0" xfId="0" applyFill="1"/>
    <xf numFmtId="15" fontId="3" fillId="45" borderId="0" xfId="0" applyNumberFormat="1" applyFont="1" applyFill="1"/>
    <xf numFmtId="44" fontId="3" fillId="45" borderId="0" xfId="1" applyFont="1" applyFill="1" applyBorder="1"/>
    <xf numFmtId="0" fontId="3" fillId="45" borderId="0" xfId="0" applyFont="1" applyFill="1"/>
    <xf numFmtId="0" fontId="3" fillId="45" borderId="0" xfId="0" applyFont="1" applyFill="1" applyAlignment="1">
      <alignment horizontal="left"/>
    </xf>
    <xf numFmtId="44" fontId="3" fillId="45" borderId="0" xfId="1" applyFont="1" applyFill="1"/>
    <xf numFmtId="15" fontId="0" fillId="18" borderId="0" xfId="0" applyNumberFormat="1" applyFill="1"/>
    <xf numFmtId="44" fontId="0" fillId="18" borderId="0" xfId="1" applyFont="1" applyFill="1" applyBorder="1"/>
    <xf numFmtId="0" fontId="0" fillId="18" borderId="0" xfId="0" applyFill="1" applyAlignment="1">
      <alignment horizontal="left"/>
    </xf>
    <xf numFmtId="15" fontId="0" fillId="40" borderId="0" xfId="0" applyNumberFormat="1" applyFill="1"/>
    <xf numFmtId="44" fontId="0" fillId="40" borderId="0" xfId="1" applyFont="1" applyFill="1" applyBorder="1"/>
    <xf numFmtId="0" fontId="0" fillId="40" borderId="0" xfId="0" applyFill="1" applyAlignment="1">
      <alignment horizontal="left"/>
    </xf>
    <xf numFmtId="44" fontId="0" fillId="40" borderId="0" xfId="1" applyFont="1" applyFill="1"/>
    <xf numFmtId="0" fontId="10" fillId="58" borderId="0" xfId="0" applyFont="1" applyFill="1" applyAlignment="1">
      <alignment horizontal="center"/>
    </xf>
    <xf numFmtId="15" fontId="3" fillId="58" borderId="0" xfId="0" applyNumberFormat="1" applyFont="1" applyFill="1"/>
    <xf numFmtId="44" fontId="3" fillId="58" borderId="0" xfId="1" applyFont="1" applyFill="1" applyBorder="1"/>
    <xf numFmtId="0" fontId="3" fillId="58" borderId="0" xfId="0" applyFont="1" applyFill="1"/>
    <xf numFmtId="0" fontId="3" fillId="58" borderId="0" xfId="0" applyFont="1" applyFill="1" applyAlignment="1">
      <alignment horizontal="left"/>
    </xf>
    <xf numFmtId="44" fontId="3" fillId="58" borderId="0" xfId="1" applyFont="1" applyFill="1"/>
    <xf numFmtId="15" fontId="0" fillId="25" borderId="0" xfId="0" applyNumberFormat="1" applyFill="1"/>
    <xf numFmtId="44" fontId="0" fillId="25" borderId="0" xfId="1" applyFont="1" applyFill="1" applyBorder="1"/>
    <xf numFmtId="15" fontId="0" fillId="5" borderId="0" xfId="0" applyNumberFormat="1" applyFill="1"/>
    <xf numFmtId="44" fontId="0" fillId="5" borderId="0" xfId="1" applyFont="1" applyFill="1" applyBorder="1"/>
    <xf numFmtId="44" fontId="21" fillId="0" borderId="0" xfId="1" applyFont="1"/>
    <xf numFmtId="0" fontId="21" fillId="0" borderId="23" xfId="0" applyFont="1" applyBorder="1" applyAlignment="1">
      <alignment horizontal="center"/>
    </xf>
    <xf numFmtId="15" fontId="21" fillId="0" borderId="23" xfId="0" applyNumberFormat="1" applyFont="1" applyBorder="1" applyAlignment="1">
      <alignment horizontal="left"/>
    </xf>
    <xf numFmtId="44" fontId="21" fillId="0" borderId="23" xfId="1" applyFont="1" applyFill="1" applyBorder="1"/>
    <xf numFmtId="0" fontId="21" fillId="0" borderId="23" xfId="0" applyFont="1" applyBorder="1"/>
    <xf numFmtId="0" fontId="21" fillId="6" borderId="0" xfId="0" applyFont="1" applyFill="1" applyAlignment="1">
      <alignment horizontal="center"/>
    </xf>
    <xf numFmtId="15" fontId="21" fillId="6" borderId="0" xfId="0" applyNumberFormat="1" applyFont="1" applyFill="1"/>
    <xf numFmtId="44" fontId="21" fillId="6" borderId="0" xfId="1" applyFont="1" applyFill="1" applyBorder="1"/>
    <xf numFmtId="0" fontId="21" fillId="6" borderId="0" xfId="0" applyFont="1" applyFill="1"/>
    <xf numFmtId="0" fontId="15" fillId="6" borderId="0" xfId="0" applyFont="1" applyFill="1" applyAlignment="1">
      <alignment horizontal="left"/>
    </xf>
    <xf numFmtId="0" fontId="21" fillId="62" borderId="0" xfId="0" applyFont="1" applyFill="1" applyAlignment="1">
      <alignment horizontal="center"/>
    </xf>
    <xf numFmtId="15" fontId="21" fillId="62" borderId="0" xfId="0" applyNumberFormat="1" applyFont="1" applyFill="1"/>
    <xf numFmtId="44" fontId="21" fillId="62" borderId="0" xfId="1" applyFont="1" applyFill="1" applyBorder="1"/>
    <xf numFmtId="0" fontId="21" fillId="62" borderId="0" xfId="0" applyFont="1" applyFill="1"/>
    <xf numFmtId="0" fontId="15" fillId="62" borderId="0" xfId="0" applyFont="1" applyFill="1" applyAlignment="1">
      <alignment horizontal="left"/>
    </xf>
    <xf numFmtId="44" fontId="15" fillId="62" borderId="0" xfId="1" applyFont="1" applyFill="1"/>
    <xf numFmtId="44" fontId="21" fillId="46" borderId="0" xfId="1" applyFont="1" applyFill="1" applyBorder="1"/>
    <xf numFmtId="0" fontId="21" fillId="46" borderId="0" xfId="0" applyFont="1" applyFill="1" applyAlignment="1">
      <alignment horizontal="center"/>
    </xf>
    <xf numFmtId="15" fontId="21" fillId="46" borderId="0" xfId="0" applyNumberFormat="1" applyFont="1" applyFill="1"/>
    <xf numFmtId="0" fontId="21" fillId="46" borderId="0" xfId="0" applyFont="1" applyFill="1"/>
    <xf numFmtId="0" fontId="15" fillId="46" borderId="0" xfId="0" applyFont="1" applyFill="1" applyAlignment="1">
      <alignment horizontal="left"/>
    </xf>
    <xf numFmtId="0" fontId="10" fillId="42" borderId="0" xfId="0" applyFont="1" applyFill="1" applyAlignment="1">
      <alignment horizontal="center"/>
    </xf>
    <xf numFmtId="15" fontId="10" fillId="42" borderId="0" xfId="0" applyNumberFormat="1" applyFont="1" applyFill="1"/>
    <xf numFmtId="44" fontId="10" fillId="42" borderId="0" xfId="1" applyFont="1" applyFill="1" applyBorder="1"/>
    <xf numFmtId="0" fontId="10" fillId="42" borderId="0" xfId="0" applyFont="1" applyFill="1"/>
    <xf numFmtId="0" fontId="3" fillId="42" borderId="0" xfId="0" applyFont="1" applyFill="1" applyAlignment="1">
      <alignment horizontal="left"/>
    </xf>
    <xf numFmtId="44" fontId="3" fillId="42" borderId="0" xfId="1" applyFont="1" applyFill="1"/>
    <xf numFmtId="0" fontId="21" fillId="63" borderId="0" xfId="0" applyFont="1" applyFill="1" applyAlignment="1">
      <alignment horizontal="center"/>
    </xf>
    <xf numFmtId="15" fontId="21" fillId="63" borderId="0" xfId="0" applyNumberFormat="1" applyFont="1" applyFill="1"/>
    <xf numFmtId="44" fontId="21" fillId="63" borderId="0" xfId="1" applyFont="1" applyFill="1" applyBorder="1"/>
    <xf numFmtId="0" fontId="21" fillId="63" borderId="0" xfId="0" applyFont="1" applyFill="1"/>
    <xf numFmtId="0" fontId="15" fillId="63" borderId="0" xfId="0" applyFont="1" applyFill="1" applyAlignment="1">
      <alignment horizontal="left"/>
    </xf>
    <xf numFmtId="44" fontId="15" fillId="63" borderId="0" xfId="1" applyFont="1" applyFill="1"/>
    <xf numFmtId="44" fontId="21" fillId="3" borderId="0" xfId="1" applyFont="1" applyFill="1" applyBorder="1"/>
    <xf numFmtId="0" fontId="21" fillId="3" borderId="0" xfId="0" applyFont="1" applyFill="1" applyAlignment="1">
      <alignment horizontal="center"/>
    </xf>
    <xf numFmtId="15" fontId="21" fillId="3" borderId="0" xfId="0" applyNumberFormat="1" applyFont="1" applyFill="1"/>
    <xf numFmtId="0" fontId="21" fillId="3" borderId="0" xfId="0" applyFont="1" applyFill="1"/>
    <xf numFmtId="0" fontId="15" fillId="3" borderId="0" xfId="0" applyFont="1" applyFill="1" applyAlignment="1">
      <alignment horizontal="left"/>
    </xf>
    <xf numFmtId="44" fontId="15" fillId="3" borderId="0" xfId="1" applyFont="1" applyFill="1"/>
    <xf numFmtId="0" fontId="21" fillId="0" borderId="7" xfId="0" applyFont="1" applyBorder="1" applyAlignment="1">
      <alignment horizontal="center"/>
    </xf>
    <xf numFmtId="15" fontId="21" fillId="0" borderId="7" xfId="0" applyNumberFormat="1" applyFont="1" applyBorder="1" applyAlignment="1">
      <alignment horizontal="left"/>
    </xf>
    <xf numFmtId="44" fontId="21" fillId="0" borderId="7" xfId="1" applyFont="1" applyFill="1" applyBorder="1"/>
    <xf numFmtId="0" fontId="21" fillId="0" borderId="7" xfId="0" applyFont="1" applyBorder="1"/>
    <xf numFmtId="44" fontId="21" fillId="47" borderId="0" xfId="1" applyFont="1" applyFill="1" applyBorder="1"/>
    <xf numFmtId="0" fontId="21" fillId="47" borderId="0" xfId="0" applyFont="1" applyFill="1" applyAlignment="1">
      <alignment horizontal="center"/>
    </xf>
    <xf numFmtId="15" fontId="21" fillId="47" borderId="0" xfId="0" applyNumberFormat="1" applyFont="1" applyFill="1"/>
    <xf numFmtId="0" fontId="21" fillId="47" borderId="0" xfId="0" applyFont="1" applyFill="1"/>
    <xf numFmtId="0" fontId="15" fillId="47" borderId="0" xfId="0" applyFont="1" applyFill="1" applyAlignment="1">
      <alignment horizontal="left"/>
    </xf>
    <xf numFmtId="0" fontId="21" fillId="37" borderId="0" xfId="0" applyFont="1" applyFill="1" applyAlignment="1">
      <alignment horizontal="center"/>
    </xf>
    <xf numFmtId="44" fontId="21" fillId="37" borderId="0" xfId="1" applyFont="1" applyFill="1" applyBorder="1"/>
    <xf numFmtId="0" fontId="15" fillId="37" borderId="0" xfId="0" applyFont="1" applyFill="1" applyAlignment="1">
      <alignment horizontal="left"/>
    </xf>
    <xf numFmtId="44" fontId="15" fillId="37" borderId="0" xfId="1" applyFont="1" applyFill="1"/>
    <xf numFmtId="15" fontId="10" fillId="58" borderId="0" xfId="0" applyNumberFormat="1" applyFont="1" applyFill="1"/>
    <xf numFmtId="44" fontId="10" fillId="58" borderId="0" xfId="1" applyFont="1" applyFill="1" applyBorder="1"/>
    <xf numFmtId="0" fontId="10" fillId="58" borderId="0" xfId="0" applyFont="1" applyFill="1"/>
    <xf numFmtId="0" fontId="21" fillId="28" borderId="0" xfId="0" applyFont="1" applyFill="1" applyAlignment="1">
      <alignment horizontal="center"/>
    </xf>
    <xf numFmtId="15" fontId="21" fillId="28" borderId="0" xfId="0" applyNumberFormat="1" applyFont="1" applyFill="1"/>
    <xf numFmtId="44" fontId="21" fillId="28" borderId="0" xfId="1" applyFont="1" applyFill="1" applyBorder="1"/>
    <xf numFmtId="0" fontId="21" fillId="28" borderId="0" xfId="0" applyFont="1" applyFill="1"/>
    <xf numFmtId="0" fontId="15" fillId="28" borderId="0" xfId="0" applyFont="1" applyFill="1" applyAlignment="1">
      <alignment horizontal="left"/>
    </xf>
    <xf numFmtId="44" fontId="15" fillId="28" borderId="0" xfId="1" applyFont="1" applyFill="1"/>
    <xf numFmtId="0" fontId="21" fillId="31" borderId="0" xfId="0" applyFont="1" applyFill="1" applyAlignment="1">
      <alignment horizontal="center"/>
    </xf>
    <xf numFmtId="15" fontId="15" fillId="31" borderId="0" xfId="0" applyNumberFormat="1" applyFont="1" applyFill="1"/>
    <xf numFmtId="44" fontId="15" fillId="31" borderId="0" xfId="1" applyFont="1" applyFill="1" applyBorder="1"/>
    <xf numFmtId="0" fontId="15" fillId="31" borderId="0" xfId="0" applyFont="1" applyFill="1"/>
    <xf numFmtId="0" fontId="15" fillId="31" borderId="0" xfId="0" applyFont="1" applyFill="1" applyAlignment="1">
      <alignment horizontal="left"/>
    </xf>
    <xf numFmtId="44" fontId="15" fillId="31" borderId="0" xfId="1" applyFont="1" applyFill="1"/>
    <xf numFmtId="0" fontId="21" fillId="64" borderId="0" xfId="0" applyFont="1" applyFill="1" applyAlignment="1">
      <alignment horizontal="center"/>
    </xf>
    <xf numFmtId="15" fontId="15" fillId="64" borderId="0" xfId="0" applyNumberFormat="1" applyFont="1" applyFill="1"/>
    <xf numFmtId="44" fontId="15" fillId="64" borderId="0" xfId="1" applyFont="1" applyFill="1" applyBorder="1"/>
    <xf numFmtId="0" fontId="15" fillId="64" borderId="0" xfId="0" applyFont="1" applyFill="1"/>
    <xf numFmtId="0" fontId="15" fillId="64" borderId="0" xfId="0" applyFont="1" applyFill="1" applyAlignment="1">
      <alignment horizontal="left"/>
    </xf>
    <xf numFmtId="44" fontId="15" fillId="64" borderId="0" xfId="1" applyFont="1" applyFill="1"/>
    <xf numFmtId="0" fontId="21" fillId="5" borderId="0" xfId="0" applyFont="1" applyFill="1" applyAlignment="1">
      <alignment horizontal="center"/>
    </xf>
    <xf numFmtId="15" fontId="15" fillId="5" borderId="0" xfId="0" applyNumberFormat="1" applyFont="1" applyFill="1"/>
    <xf numFmtId="44" fontId="15" fillId="5" borderId="0" xfId="1" applyFont="1" applyFill="1" applyBorder="1"/>
    <xf numFmtId="0" fontId="15" fillId="5" borderId="0" xfId="0" applyFont="1" applyFill="1"/>
    <xf numFmtId="0" fontId="15" fillId="5" borderId="0" xfId="0" applyFont="1" applyFill="1" applyAlignment="1">
      <alignment horizontal="left"/>
    </xf>
    <xf numFmtId="44" fontId="15" fillId="5" borderId="0" xfId="1" applyFont="1" applyFill="1"/>
    <xf numFmtId="0" fontId="10" fillId="65" borderId="0" xfId="0" applyFont="1" applyFill="1" applyAlignment="1">
      <alignment horizontal="center"/>
    </xf>
    <xf numFmtId="15" fontId="3" fillId="65" borderId="0" xfId="0" applyNumberFormat="1" applyFont="1" applyFill="1"/>
    <xf numFmtId="44" fontId="3" fillId="65" borderId="0" xfId="1" applyFont="1" applyFill="1" applyBorder="1"/>
    <xf numFmtId="0" fontId="3" fillId="65" borderId="0" xfId="0" applyFont="1" applyFill="1"/>
    <xf numFmtId="0" fontId="3" fillId="65" borderId="0" xfId="0" applyFont="1" applyFill="1" applyAlignment="1">
      <alignment horizontal="left"/>
    </xf>
    <xf numFmtId="44" fontId="3" fillId="65" borderId="0" xfId="1" applyFont="1" applyFill="1"/>
    <xf numFmtId="0" fontId="0" fillId="62" borderId="0" xfId="0" applyFill="1" applyAlignment="1">
      <alignment horizontal="left"/>
    </xf>
    <xf numFmtId="44" fontId="0" fillId="62" borderId="0" xfId="1" applyFont="1" applyFill="1"/>
    <xf numFmtId="44" fontId="15" fillId="10" borderId="0" xfId="1" applyFont="1" applyFill="1" applyBorder="1"/>
    <xf numFmtId="0" fontId="15" fillId="10" borderId="0" xfId="0" applyFont="1" applyFill="1"/>
    <xf numFmtId="0" fontId="3" fillId="42" borderId="0" xfId="0" applyFont="1" applyFill="1"/>
    <xf numFmtId="15" fontId="3" fillId="42" borderId="0" xfId="0" applyNumberFormat="1" applyFont="1" applyFill="1" applyAlignment="1">
      <alignment horizontal="left"/>
    </xf>
    <xf numFmtId="44" fontId="3" fillId="42" borderId="0" xfId="1" applyFont="1" applyFill="1" applyBorder="1"/>
    <xf numFmtId="0" fontId="0" fillId="20" borderId="0" xfId="0" applyFill="1" applyAlignment="1">
      <alignment horizontal="left"/>
    </xf>
    <xf numFmtId="0" fontId="3" fillId="41" borderId="0" xfId="0" applyFont="1" applyFill="1"/>
    <xf numFmtId="15" fontId="3" fillId="41" borderId="0" xfId="0" applyNumberFormat="1" applyFont="1" applyFill="1" applyAlignment="1">
      <alignment horizontal="left"/>
    </xf>
    <xf numFmtId="44" fontId="3" fillId="41" borderId="0" xfId="1" applyFont="1" applyFill="1" applyBorder="1"/>
    <xf numFmtId="0" fontId="3" fillId="41" borderId="0" xfId="0" applyFont="1" applyFill="1" applyAlignment="1">
      <alignment horizontal="left"/>
    </xf>
    <xf numFmtId="44" fontId="3" fillId="41" borderId="0" xfId="1" applyFont="1" applyFill="1"/>
    <xf numFmtId="0" fontId="0" fillId="64" borderId="0" xfId="0" applyFill="1" applyAlignment="1">
      <alignment horizontal="left"/>
    </xf>
    <xf numFmtId="44" fontId="0" fillId="64" borderId="0" xfId="1" applyFont="1" applyFill="1"/>
    <xf numFmtId="0" fontId="0" fillId="66" borderId="0" xfId="0" applyFill="1" applyAlignment="1">
      <alignment horizontal="left"/>
    </xf>
    <xf numFmtId="44" fontId="0" fillId="66" borderId="0" xfId="1" applyFont="1" applyFill="1"/>
    <xf numFmtId="0" fontId="3" fillId="49" borderId="0" xfId="0" applyFont="1" applyFill="1" applyAlignment="1">
      <alignment horizontal="left"/>
    </xf>
    <xf numFmtId="44" fontId="3" fillId="49" borderId="0" xfId="1" applyFont="1" applyFill="1"/>
    <xf numFmtId="0" fontId="15" fillId="3" borderId="0" xfId="0" applyFont="1" applyFill="1"/>
    <xf numFmtId="15" fontId="15" fillId="3" borderId="0" xfId="0" applyNumberFormat="1" applyFont="1" applyFill="1" applyAlignment="1">
      <alignment horizontal="left"/>
    </xf>
    <xf numFmtId="44" fontId="15" fillId="3" borderId="0" xfId="1" applyFont="1" applyFill="1" applyBorder="1"/>
    <xf numFmtId="0" fontId="0" fillId="61" borderId="0" xfId="0" applyFill="1" applyAlignment="1">
      <alignment horizontal="left"/>
    </xf>
    <xf numFmtId="44" fontId="0" fillId="61" borderId="0" xfId="1" applyFont="1" applyFill="1"/>
    <xf numFmtId="0" fontId="15" fillId="9" borderId="0" xfId="0" applyFont="1" applyFill="1"/>
    <xf numFmtId="15" fontId="15" fillId="9" borderId="0" xfId="0" applyNumberFormat="1" applyFont="1" applyFill="1" applyAlignment="1">
      <alignment horizontal="left"/>
    </xf>
    <xf numFmtId="44" fontId="15" fillId="9" borderId="0" xfId="1" applyFont="1" applyFill="1" applyBorder="1"/>
    <xf numFmtId="0" fontId="21" fillId="55" borderId="0" xfId="0" applyFont="1" applyFill="1" applyAlignment="1">
      <alignment horizontal="center"/>
    </xf>
    <xf numFmtId="15" fontId="21" fillId="55" borderId="0" xfId="0" applyNumberFormat="1" applyFont="1" applyFill="1"/>
    <xf numFmtId="0" fontId="21" fillId="55" borderId="0" xfId="0" applyFont="1" applyFill="1"/>
    <xf numFmtId="44" fontId="21" fillId="55" borderId="0" xfId="1" applyFont="1" applyFill="1"/>
    <xf numFmtId="0" fontId="15" fillId="0" borderId="23" xfId="0" applyFont="1" applyBorder="1"/>
    <xf numFmtId="15" fontId="15" fillId="0" borderId="23" xfId="0" applyNumberFormat="1" applyFont="1" applyBorder="1" applyAlignment="1">
      <alignment horizontal="left"/>
    </xf>
    <xf numFmtId="44" fontId="15" fillId="0" borderId="23" xfId="1" applyFont="1" applyFill="1" applyBorder="1"/>
    <xf numFmtId="0" fontId="15" fillId="9" borderId="0" xfId="0" applyFont="1" applyFill="1" applyAlignment="1">
      <alignment horizontal="left"/>
    </xf>
    <xf numFmtId="0" fontId="15" fillId="67" borderId="0" xfId="0" applyFont="1" applyFill="1"/>
    <xf numFmtId="15" fontId="15" fillId="67" borderId="0" xfId="0" applyNumberFormat="1" applyFont="1" applyFill="1" applyAlignment="1">
      <alignment horizontal="left"/>
    </xf>
    <xf numFmtId="44" fontId="15" fillId="67" borderId="0" xfId="1" applyFont="1" applyFill="1" applyBorder="1"/>
    <xf numFmtId="0" fontId="0" fillId="67" borderId="0" xfId="0" applyFill="1" applyAlignment="1">
      <alignment horizontal="left"/>
    </xf>
    <xf numFmtId="44" fontId="0" fillId="67" borderId="0" xfId="1" applyFont="1" applyFill="1"/>
    <xf numFmtId="0" fontId="15" fillId="27" borderId="0" xfId="0" applyFont="1" applyFill="1"/>
    <xf numFmtId="15" fontId="15" fillId="27" borderId="0" xfId="0" applyNumberFormat="1" applyFont="1" applyFill="1" applyAlignment="1">
      <alignment horizontal="left"/>
    </xf>
    <xf numFmtId="44" fontId="15" fillId="27" borderId="0" xfId="1" applyFont="1" applyFill="1" applyBorder="1"/>
    <xf numFmtId="15" fontId="3" fillId="58" borderId="0" xfId="0" applyNumberFormat="1" applyFont="1" applyFill="1" applyAlignment="1">
      <alignment horizontal="left"/>
    </xf>
    <xf numFmtId="0" fontId="15" fillId="22" borderId="0" xfId="0" applyFont="1" applyFill="1"/>
    <xf numFmtId="15" fontId="15" fillId="22" borderId="0" xfId="0" applyNumberFormat="1" applyFont="1" applyFill="1" applyAlignment="1">
      <alignment horizontal="left"/>
    </xf>
    <xf numFmtId="44" fontId="15" fillId="22" borderId="0" xfId="1" applyFont="1" applyFill="1" applyBorder="1"/>
    <xf numFmtId="0" fontId="26" fillId="68" borderId="0" xfId="0" applyFont="1" applyFill="1"/>
    <xf numFmtId="15" fontId="26" fillId="68" borderId="0" xfId="0" applyNumberFormat="1" applyFont="1" applyFill="1" applyAlignment="1">
      <alignment horizontal="left"/>
    </xf>
    <xf numFmtId="44" fontId="26" fillId="68" borderId="0" xfId="1" applyFont="1" applyFill="1" applyBorder="1"/>
    <xf numFmtId="0" fontId="26" fillId="68" borderId="0" xfId="0" applyFont="1" applyFill="1" applyAlignment="1">
      <alignment horizontal="left"/>
    </xf>
    <xf numFmtId="44" fontId="26" fillId="68" borderId="0" xfId="1" applyFont="1" applyFill="1"/>
    <xf numFmtId="0" fontId="15" fillId="18" borderId="0" xfId="0" applyFont="1" applyFill="1"/>
    <xf numFmtId="44" fontId="15" fillId="18" borderId="0" xfId="1" applyFont="1" applyFill="1" applyBorder="1"/>
    <xf numFmtId="15" fontId="3" fillId="65" borderId="0" xfId="0" applyNumberFormat="1" applyFont="1" applyFill="1" applyAlignment="1">
      <alignment horizontal="left"/>
    </xf>
    <xf numFmtId="44" fontId="15" fillId="8" borderId="0" xfId="1" applyFont="1" applyFill="1" applyBorder="1"/>
    <xf numFmtId="0" fontId="15" fillId="8" borderId="0" xfId="0" applyFont="1" applyFill="1"/>
    <xf numFmtId="15" fontId="15" fillId="8" borderId="0" xfId="0" applyNumberFormat="1" applyFont="1" applyFill="1" applyAlignment="1">
      <alignment horizontal="left"/>
    </xf>
    <xf numFmtId="0" fontId="21" fillId="8" borderId="0" xfId="0" applyFont="1" applyFill="1"/>
    <xf numFmtId="15" fontId="21" fillId="62" borderId="0" xfId="0" applyNumberFormat="1" applyFont="1" applyFill="1" applyAlignment="1">
      <alignment horizontal="center"/>
    </xf>
    <xf numFmtId="44" fontId="21" fillId="62" borderId="0" xfId="1" applyFont="1" applyFill="1" applyBorder="1" applyAlignment="1">
      <alignment horizontal="center"/>
    </xf>
    <xf numFmtId="0" fontId="21" fillId="10" borderId="0" xfId="0" applyFont="1" applyFill="1" applyAlignment="1">
      <alignment horizontal="center"/>
    </xf>
    <xf numFmtId="15" fontId="21" fillId="10" borderId="0" xfId="0" applyNumberFormat="1" applyFont="1" applyFill="1" applyAlignment="1">
      <alignment horizontal="center"/>
    </xf>
    <xf numFmtId="44" fontId="21" fillId="10" borderId="0" xfId="1" applyFont="1" applyFill="1" applyBorder="1" applyAlignment="1">
      <alignment horizontal="center"/>
    </xf>
    <xf numFmtId="15" fontId="10" fillId="42" borderId="0" xfId="0" applyNumberFormat="1" applyFont="1" applyFill="1" applyAlignment="1">
      <alignment horizontal="center"/>
    </xf>
    <xf numFmtId="44" fontId="10" fillId="42" borderId="0" xfId="1" applyFont="1" applyFill="1" applyBorder="1" applyAlignment="1">
      <alignment horizontal="center"/>
    </xf>
    <xf numFmtId="15" fontId="21" fillId="46" borderId="0" xfId="0" applyNumberFormat="1" applyFont="1" applyFill="1" applyAlignment="1">
      <alignment horizontal="center"/>
    </xf>
    <xf numFmtId="44" fontId="21" fillId="46" borderId="0" xfId="1" applyFont="1" applyFill="1" applyBorder="1" applyAlignment="1">
      <alignment horizontal="center"/>
    </xf>
    <xf numFmtId="0" fontId="21" fillId="66" borderId="0" xfId="0" applyFont="1" applyFill="1" applyAlignment="1">
      <alignment horizontal="center"/>
    </xf>
    <xf numFmtId="15" fontId="21" fillId="66" borderId="0" xfId="0" applyNumberFormat="1" applyFont="1" applyFill="1" applyAlignment="1">
      <alignment horizontal="center"/>
    </xf>
    <xf numFmtId="44" fontId="21" fillId="66" borderId="0" xfId="1" applyFont="1" applyFill="1" applyBorder="1" applyAlignment="1">
      <alignment horizontal="center"/>
    </xf>
    <xf numFmtId="0" fontId="21" fillId="20" borderId="0" xfId="0" applyFont="1" applyFill="1" applyAlignment="1">
      <alignment horizontal="center"/>
    </xf>
    <xf numFmtId="15" fontId="21" fillId="20" borderId="0" xfId="0" applyNumberFormat="1" applyFont="1" applyFill="1" applyAlignment="1">
      <alignment horizontal="center"/>
    </xf>
    <xf numFmtId="44" fontId="21" fillId="20" borderId="0" xfId="1" applyFont="1" applyFill="1" applyBorder="1" applyAlignment="1">
      <alignment horizontal="center"/>
    </xf>
    <xf numFmtId="0" fontId="10" fillId="41" borderId="0" xfId="0" applyFont="1" applyFill="1" applyAlignment="1">
      <alignment horizontal="center"/>
    </xf>
    <xf numFmtId="15" fontId="10" fillId="41" borderId="0" xfId="0" applyNumberFormat="1" applyFont="1" applyFill="1" applyAlignment="1">
      <alignment horizontal="center"/>
    </xf>
    <xf numFmtId="44" fontId="10" fillId="41" borderId="0" xfId="1" applyFont="1" applyFill="1" applyBorder="1" applyAlignment="1">
      <alignment horizontal="center"/>
    </xf>
    <xf numFmtId="15" fontId="21" fillId="64" borderId="0" xfId="0" applyNumberFormat="1" applyFont="1" applyFill="1" applyAlignment="1">
      <alignment horizontal="center"/>
    </xf>
    <xf numFmtId="44" fontId="21" fillId="64" borderId="0" xfId="1" applyFont="1" applyFill="1" applyBorder="1" applyAlignment="1">
      <alignment horizontal="center"/>
    </xf>
    <xf numFmtId="0" fontId="21" fillId="61" borderId="0" xfId="0" applyFont="1" applyFill="1" applyAlignment="1">
      <alignment horizontal="center"/>
    </xf>
    <xf numFmtId="15" fontId="21" fillId="61" borderId="0" xfId="0" applyNumberFormat="1" applyFont="1" applyFill="1" applyAlignment="1">
      <alignment horizontal="center"/>
    </xf>
    <xf numFmtId="44" fontId="21" fillId="61" borderId="0" xfId="1" applyFont="1" applyFill="1" applyBorder="1" applyAlignment="1">
      <alignment horizontal="center"/>
    </xf>
    <xf numFmtId="15" fontId="21" fillId="6" borderId="0" xfId="0" applyNumberFormat="1" applyFont="1" applyFill="1" applyAlignment="1">
      <alignment horizontal="center"/>
    </xf>
    <xf numFmtId="44" fontId="21" fillId="6" borderId="0" xfId="1" applyFont="1" applyFill="1" applyBorder="1" applyAlignment="1">
      <alignment horizontal="center"/>
    </xf>
    <xf numFmtId="15" fontId="21" fillId="3" borderId="0" xfId="0" applyNumberFormat="1" applyFont="1" applyFill="1" applyAlignment="1">
      <alignment horizontal="center"/>
    </xf>
    <xf numFmtId="44" fontId="21" fillId="3" borderId="0" xfId="1" applyFont="1" applyFill="1" applyBorder="1" applyAlignment="1">
      <alignment horizontal="center"/>
    </xf>
    <xf numFmtId="0" fontId="21" fillId="0" borderId="17" xfId="0" applyFont="1" applyBorder="1" applyAlignment="1">
      <alignment horizontal="center"/>
    </xf>
    <xf numFmtId="0" fontId="21" fillId="0" borderId="18" xfId="0" applyFont="1" applyBorder="1" applyAlignment="1">
      <alignment horizontal="center"/>
    </xf>
    <xf numFmtId="15" fontId="21" fillId="0" borderId="18" xfId="0" applyNumberFormat="1" applyFont="1" applyBorder="1" applyAlignment="1">
      <alignment horizontal="center"/>
    </xf>
    <xf numFmtId="44" fontId="21" fillId="0" borderId="18" xfId="1" applyFont="1" applyFill="1" applyBorder="1" applyAlignment="1">
      <alignment horizontal="center"/>
    </xf>
    <xf numFmtId="0" fontId="21" fillId="0" borderId="20" xfId="0" applyFont="1" applyBorder="1" applyAlignment="1">
      <alignment horizontal="center"/>
    </xf>
    <xf numFmtId="0" fontId="21" fillId="62" borderId="20" xfId="0" applyFont="1" applyFill="1" applyBorder="1" applyAlignment="1">
      <alignment horizontal="center"/>
    </xf>
    <xf numFmtId="0" fontId="2" fillId="62" borderId="14" xfId="0" applyFont="1" applyFill="1" applyBorder="1" applyAlignment="1">
      <alignment horizontal="center"/>
    </xf>
    <xf numFmtId="0" fontId="21" fillId="10" borderId="20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1" fillId="10" borderId="14" xfId="0" applyFont="1" applyFill="1" applyBorder="1" applyAlignment="1">
      <alignment horizontal="center"/>
    </xf>
    <xf numFmtId="0" fontId="10" fillId="42" borderId="20" xfId="0" applyFont="1" applyFill="1" applyBorder="1" applyAlignment="1">
      <alignment horizontal="center"/>
    </xf>
    <xf numFmtId="0" fontId="10" fillId="42" borderId="14" xfId="0" applyFont="1" applyFill="1" applyBorder="1" applyAlignment="1">
      <alignment horizontal="center"/>
    </xf>
    <xf numFmtId="0" fontId="21" fillId="46" borderId="20" xfId="0" applyFont="1" applyFill="1" applyBorder="1" applyAlignment="1">
      <alignment horizontal="center"/>
    </xf>
    <xf numFmtId="0" fontId="21" fillId="46" borderId="14" xfId="0" applyFont="1" applyFill="1" applyBorder="1" applyAlignment="1">
      <alignment horizontal="center"/>
    </xf>
    <xf numFmtId="0" fontId="21" fillId="66" borderId="20" xfId="0" applyFont="1" applyFill="1" applyBorder="1" applyAlignment="1">
      <alignment horizontal="center"/>
    </xf>
    <xf numFmtId="0" fontId="21" fillId="66" borderId="14" xfId="0" applyFont="1" applyFill="1" applyBorder="1" applyAlignment="1">
      <alignment horizontal="center"/>
    </xf>
    <xf numFmtId="0" fontId="4" fillId="42" borderId="14" xfId="0" applyFont="1" applyFill="1" applyBorder="1" applyAlignment="1">
      <alignment horizontal="center"/>
    </xf>
    <xf numFmtId="0" fontId="21" fillId="20" borderId="20" xfId="0" applyFont="1" applyFill="1" applyBorder="1" applyAlignment="1">
      <alignment horizontal="center"/>
    </xf>
    <xf numFmtId="0" fontId="21" fillId="20" borderId="14" xfId="0" applyFont="1" applyFill="1" applyBorder="1" applyAlignment="1">
      <alignment horizontal="center"/>
    </xf>
    <xf numFmtId="0" fontId="10" fillId="41" borderId="20" xfId="0" applyFont="1" applyFill="1" applyBorder="1" applyAlignment="1">
      <alignment horizontal="center"/>
    </xf>
    <xf numFmtId="0" fontId="10" fillId="41" borderId="14" xfId="0" applyFont="1" applyFill="1" applyBorder="1" applyAlignment="1">
      <alignment horizontal="center"/>
    </xf>
    <xf numFmtId="0" fontId="21" fillId="64" borderId="20" xfId="0" applyFont="1" applyFill="1" applyBorder="1" applyAlignment="1">
      <alignment horizontal="center"/>
    </xf>
    <xf numFmtId="0" fontId="21" fillId="64" borderId="14" xfId="0" applyFont="1" applyFill="1" applyBorder="1" applyAlignment="1">
      <alignment horizontal="center"/>
    </xf>
    <xf numFmtId="0" fontId="21" fillId="61" borderId="20" xfId="0" applyFont="1" applyFill="1" applyBorder="1" applyAlignment="1">
      <alignment horizontal="center"/>
    </xf>
    <xf numFmtId="0" fontId="21" fillId="61" borderId="14" xfId="0" applyFont="1" applyFill="1" applyBorder="1" applyAlignment="1">
      <alignment horizontal="center"/>
    </xf>
    <xf numFmtId="0" fontId="21" fillId="6" borderId="20" xfId="0" applyFont="1" applyFill="1" applyBorder="1" applyAlignment="1">
      <alignment horizontal="center"/>
    </xf>
    <xf numFmtId="0" fontId="21" fillId="6" borderId="14" xfId="0" applyFont="1" applyFill="1" applyBorder="1" applyAlignment="1">
      <alignment horizontal="center"/>
    </xf>
    <xf numFmtId="0" fontId="21" fillId="9" borderId="20" xfId="0" applyFont="1" applyFill="1" applyBorder="1" applyAlignment="1">
      <alignment horizontal="center"/>
    </xf>
    <xf numFmtId="0" fontId="21" fillId="9" borderId="14" xfId="0" applyFont="1" applyFill="1" applyBorder="1" applyAlignment="1">
      <alignment horizontal="center"/>
    </xf>
    <xf numFmtId="0" fontId="21" fillId="3" borderId="20" xfId="0" applyFont="1" applyFill="1" applyBorder="1" applyAlignment="1">
      <alignment horizontal="center"/>
    </xf>
    <xf numFmtId="0" fontId="21" fillId="3" borderId="14" xfId="0" applyFont="1" applyFill="1" applyBorder="1" applyAlignment="1">
      <alignment horizontal="center"/>
    </xf>
    <xf numFmtId="0" fontId="21" fillId="3" borderId="21" xfId="0" applyFont="1" applyFill="1" applyBorder="1" applyAlignment="1">
      <alignment horizontal="center"/>
    </xf>
    <xf numFmtId="0" fontId="21" fillId="3" borderId="12" xfId="0" applyFont="1" applyFill="1" applyBorder="1" applyAlignment="1">
      <alignment horizontal="center"/>
    </xf>
    <xf numFmtId="15" fontId="21" fillId="3" borderId="12" xfId="0" applyNumberFormat="1" applyFont="1" applyFill="1" applyBorder="1" applyAlignment="1">
      <alignment horizontal="center"/>
    </xf>
    <xf numFmtId="44" fontId="21" fillId="3" borderId="12" xfId="1" applyFont="1" applyFill="1" applyBorder="1" applyAlignment="1">
      <alignment horizontal="center"/>
    </xf>
    <xf numFmtId="0" fontId="21" fillId="3" borderId="22" xfId="0" applyFont="1" applyFill="1" applyBorder="1" applyAlignment="1">
      <alignment horizontal="center"/>
    </xf>
    <xf numFmtId="15" fontId="15" fillId="0" borderId="23" xfId="0" applyNumberFormat="1" applyFont="1" applyBorder="1"/>
    <xf numFmtId="0" fontId="15" fillId="0" borderId="23" xfId="0" applyFont="1" applyBorder="1" applyAlignment="1">
      <alignment horizontal="left"/>
    </xf>
    <xf numFmtId="15" fontId="15" fillId="10" borderId="0" xfId="0" applyNumberFormat="1" applyFont="1" applyFill="1"/>
    <xf numFmtId="15" fontId="15" fillId="18" borderId="0" xfId="0" applyNumberFormat="1" applyFont="1" applyFill="1"/>
    <xf numFmtId="15" fontId="3" fillId="42" borderId="0" xfId="0" applyNumberFormat="1" applyFont="1" applyFill="1"/>
    <xf numFmtId="44" fontId="15" fillId="46" borderId="0" xfId="1" applyFont="1" applyFill="1" applyBorder="1"/>
    <xf numFmtId="44" fontId="15" fillId="4" borderId="0" xfId="1" applyFont="1" applyFill="1" applyBorder="1"/>
    <xf numFmtId="0" fontId="15" fillId="69" borderId="0" xfId="0" applyFont="1" applyFill="1"/>
    <xf numFmtId="15" fontId="15" fillId="69" borderId="0" xfId="0" applyNumberFormat="1" applyFont="1" applyFill="1"/>
    <xf numFmtId="44" fontId="15" fillId="69" borderId="0" xfId="1" applyFont="1" applyFill="1" applyBorder="1"/>
    <xf numFmtId="0" fontId="0" fillId="69" borderId="0" xfId="0" applyFill="1" applyAlignment="1">
      <alignment horizontal="left"/>
    </xf>
    <xf numFmtId="44" fontId="0" fillId="69" borderId="0" xfId="1" applyFont="1" applyFill="1"/>
    <xf numFmtId="0" fontId="15" fillId="23" borderId="0" xfId="0" applyFont="1" applyFill="1"/>
    <xf numFmtId="15" fontId="15" fillId="23" borderId="0" xfId="0" applyNumberFormat="1" applyFont="1" applyFill="1"/>
    <xf numFmtId="44" fontId="15" fillId="23" borderId="0" xfId="1" applyFont="1" applyFill="1" applyBorder="1"/>
    <xf numFmtId="0" fontId="21" fillId="0" borderId="23" xfId="0" applyFont="1" applyBorder="1" applyAlignment="1">
      <alignment horizontal="left"/>
    </xf>
    <xf numFmtId="44" fontId="21" fillId="0" borderId="23" xfId="1" applyFont="1" applyFill="1" applyBorder="1" applyAlignment="1">
      <alignment horizontal="left"/>
    </xf>
    <xf numFmtId="44" fontId="21" fillId="0" borderId="0" xfId="1" applyFont="1" applyAlignment="1">
      <alignment horizontal="left"/>
    </xf>
    <xf numFmtId="0" fontId="10" fillId="41" borderId="0" xfId="0" applyFont="1" applyFill="1" applyAlignment="1">
      <alignment horizontal="left"/>
    </xf>
    <xf numFmtId="15" fontId="10" fillId="41" borderId="0" xfId="0" applyNumberFormat="1" applyFont="1" applyFill="1" applyAlignment="1">
      <alignment horizontal="left"/>
    </xf>
    <xf numFmtId="44" fontId="10" fillId="41" borderId="0" xfId="1" applyFont="1" applyFill="1" applyBorder="1" applyAlignment="1">
      <alignment horizontal="left"/>
    </xf>
    <xf numFmtId="0" fontId="21" fillId="47" borderId="0" xfId="0" applyFont="1" applyFill="1" applyAlignment="1">
      <alignment horizontal="left"/>
    </xf>
    <xf numFmtId="15" fontId="21" fillId="47" borderId="0" xfId="0" applyNumberFormat="1" applyFont="1" applyFill="1" applyAlignment="1">
      <alignment horizontal="left"/>
    </xf>
    <xf numFmtId="44" fontId="21" fillId="47" borderId="0" xfId="1" applyFont="1" applyFill="1" applyBorder="1" applyAlignment="1">
      <alignment horizontal="left"/>
    </xf>
    <xf numFmtId="0" fontId="21" fillId="5" borderId="0" xfId="0" applyFont="1" applyFill="1" applyAlignment="1">
      <alignment horizontal="left"/>
    </xf>
    <xf numFmtId="15" fontId="21" fillId="5" borderId="0" xfId="0" applyNumberFormat="1" applyFont="1" applyFill="1" applyAlignment="1">
      <alignment horizontal="left"/>
    </xf>
    <xf numFmtId="44" fontId="21" fillId="5" borderId="0" xfId="1" applyFont="1" applyFill="1" applyBorder="1" applyAlignment="1">
      <alignment horizontal="left"/>
    </xf>
    <xf numFmtId="15" fontId="21" fillId="10" borderId="0" xfId="0" applyNumberFormat="1" applyFont="1" applyFill="1" applyAlignment="1">
      <alignment horizontal="left"/>
    </xf>
    <xf numFmtId="44" fontId="21" fillId="10" borderId="0" xfId="1" applyFont="1" applyFill="1" applyBorder="1" applyAlignment="1">
      <alignment horizontal="left"/>
    </xf>
    <xf numFmtId="44" fontId="21" fillId="0" borderId="7" xfId="1" applyFont="1" applyFill="1" applyBorder="1" applyAlignment="1">
      <alignment horizontal="left"/>
    </xf>
    <xf numFmtId="0" fontId="21" fillId="22" borderId="0" xfId="0" applyFont="1" applyFill="1" applyAlignment="1">
      <alignment horizontal="left"/>
    </xf>
    <xf numFmtId="15" fontId="21" fillId="22" borderId="0" xfId="0" applyNumberFormat="1" applyFont="1" applyFill="1" applyAlignment="1">
      <alignment horizontal="left"/>
    </xf>
    <xf numFmtId="44" fontId="21" fillId="22" borderId="0" xfId="1" applyFont="1" applyFill="1" applyBorder="1" applyAlignment="1">
      <alignment horizontal="left"/>
    </xf>
    <xf numFmtId="0" fontId="21" fillId="20" borderId="0" xfId="0" applyFont="1" applyFill="1" applyAlignment="1">
      <alignment horizontal="left"/>
    </xf>
    <xf numFmtId="15" fontId="21" fillId="20" borderId="0" xfId="0" applyNumberFormat="1" applyFont="1" applyFill="1" applyAlignment="1">
      <alignment horizontal="left"/>
    </xf>
    <xf numFmtId="44" fontId="21" fillId="20" borderId="0" xfId="1" applyFont="1" applyFill="1" applyBorder="1" applyAlignment="1">
      <alignment horizontal="left"/>
    </xf>
    <xf numFmtId="0" fontId="10" fillId="58" borderId="0" xfId="0" applyFont="1" applyFill="1" applyAlignment="1">
      <alignment horizontal="left"/>
    </xf>
    <xf numFmtId="15" fontId="10" fillId="58" borderId="0" xfId="0" applyNumberFormat="1" applyFont="1" applyFill="1" applyAlignment="1">
      <alignment horizontal="left"/>
    </xf>
    <xf numFmtId="44" fontId="10" fillId="58" borderId="0" xfId="1" applyFont="1" applyFill="1" applyBorder="1" applyAlignment="1">
      <alignment horizontal="left"/>
    </xf>
    <xf numFmtId="44" fontId="21" fillId="0" borderId="0" xfId="0" applyNumberFormat="1" applyFont="1" applyAlignment="1">
      <alignment horizontal="left"/>
    </xf>
    <xf numFmtId="0" fontId="2" fillId="22" borderId="0" xfId="0" applyFont="1" applyFill="1" applyAlignment="1">
      <alignment horizontal="left"/>
    </xf>
    <xf numFmtId="0" fontId="2" fillId="20" borderId="0" xfId="0" applyFont="1" applyFill="1" applyAlignment="1">
      <alignment horizontal="left"/>
    </xf>
    <xf numFmtId="0" fontId="2" fillId="10" borderId="0" xfId="0" applyFont="1" applyFill="1" applyAlignment="1">
      <alignment horizontal="left"/>
    </xf>
    <xf numFmtId="0" fontId="21" fillId="3" borderId="0" xfId="0" applyFont="1" applyFill="1" applyAlignment="1">
      <alignment horizontal="left"/>
    </xf>
    <xf numFmtId="15" fontId="21" fillId="3" borderId="0" xfId="0" applyNumberFormat="1" applyFont="1" applyFill="1" applyAlignment="1">
      <alignment horizontal="left"/>
    </xf>
    <xf numFmtId="44" fontId="21" fillId="3" borderId="0" xfId="1" applyFont="1" applyFill="1" applyBorder="1" applyAlignment="1">
      <alignment horizontal="left"/>
    </xf>
    <xf numFmtId="0" fontId="21" fillId="70" borderId="0" xfId="0" applyFont="1" applyFill="1" applyAlignment="1">
      <alignment horizontal="left"/>
    </xf>
    <xf numFmtId="15" fontId="21" fillId="70" borderId="0" xfId="0" applyNumberFormat="1" applyFont="1" applyFill="1" applyAlignment="1">
      <alignment horizontal="left"/>
    </xf>
    <xf numFmtId="44" fontId="21" fillId="70" borderId="0" xfId="1" applyFont="1" applyFill="1" applyBorder="1" applyAlignment="1">
      <alignment horizontal="left"/>
    </xf>
    <xf numFmtId="4" fontId="21" fillId="0" borderId="0" xfId="0" applyNumberFormat="1" applyFont="1" applyAlignment="1">
      <alignment horizontal="center"/>
    </xf>
  </cellXfs>
  <cellStyles count="3">
    <cellStyle name="Moeda" xfId="1" builtinId="4"/>
    <cellStyle name="Moeda 2" xfId="2" xr:uid="{4CF521D7-BD81-418F-83E3-9F67913FD54D}"/>
    <cellStyle name="Normal" xfId="0" builtinId="0"/>
  </cellStyles>
  <dxfs count="0"/>
  <tableStyles count="0" defaultTableStyle="TableStyleMedium2" defaultPivotStyle="PivotStyleMedium9"/>
  <colors>
    <mruColors>
      <color rgb="FFFF9999"/>
      <color rgb="FF66FF99"/>
      <color rgb="FF66FF33"/>
      <color rgb="FFFF3399"/>
      <color rgb="FFFF99FF"/>
      <color rgb="FF00FFFF"/>
      <color rgb="FF800000"/>
      <color rgb="FFFF7C80"/>
      <color rgb="FFFF8F29"/>
      <color rgb="FFCC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pivotCacheDefinition" Target="pivotCache/pivotCacheDefinition1.xml"/><Relationship Id="rId42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40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pivotCacheDefinition" Target="pivotCache/pivotCacheDefinition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cas Moreira do Vale" refreshedDate="45685.412550462963" createdVersion="8" refreshedVersion="8" minRefreshableVersion="3" recordCount="579" xr:uid="{801E75AE-AF5D-4C23-A5F2-E5BF7B51C4CB}">
  <cacheSource type="worksheet">
    <worksheetSource ref="A1:T1048576" sheet="Planilha23"/>
  </cacheSource>
  <cacheFields count="20">
    <cacheField name="Selecionar Registro" numFmtId="0">
      <sharedItems containsNonDate="0" containsString="0" containsBlank="1"/>
    </cacheField>
    <cacheField name="Tipo" numFmtId="0">
      <sharedItems containsBlank="1"/>
    </cacheField>
    <cacheField name="Número" numFmtId="0">
      <sharedItems containsString="0" containsBlank="1" containsNumber="1" containsInteger="1" minValue="330421415" maxValue="910037183"/>
    </cacheField>
    <cacheField name="Cód. Moeda Original" numFmtId="0">
      <sharedItems containsBlank="1"/>
    </cacheField>
    <cacheField name="Quantia Original" numFmtId="0">
      <sharedItems containsString="0" containsBlank="1" containsNumber="1" minValue="12" maxValue="2887796.78"/>
    </cacheField>
    <cacheField name="Quantia na moeda da conta" numFmtId="0">
      <sharedItems containsString="0" containsBlank="1" containsNumber="1" minValue="12" maxValue="2887796.78"/>
    </cacheField>
    <cacheField name="Quantia Compensada da Moeda da Conta" numFmtId="0">
      <sharedItems containsNonDate="0" containsString="0" containsBlank="1"/>
    </cacheField>
    <cacheField name="Data de Compensação da Moeda da Conta" numFmtId="0">
      <sharedItems containsNonDate="0" containsString="0" containsBlank="1"/>
    </cacheField>
    <cacheField name="Data do  Valor" numFmtId="0">
      <sharedItems containsNonDate="0" containsString="0" containsBlank="1"/>
    </cacheField>
    <cacheField name="Data GL" numFmtId="0">
      <sharedItems containsNonDate="0" containsDate="1" containsString="0" containsBlank="1" minDate="2025-01-27T00:00:00" maxDate="2025-01-28T00:00:00"/>
    </cacheField>
    <cacheField name="Data da Transação" numFmtId="0">
      <sharedItems containsNonDate="0" containsDate="1" containsString="0" containsBlank="1" minDate="2025-01-27T00:00:00" maxDate="2025-01-28T00:00:00"/>
    </cacheField>
    <cacheField name="Selecionar Registro2" numFmtId="0">
      <sharedItems containsNonDate="0" containsString="0" containsBlank="1"/>
    </cacheField>
    <cacheField name="Tipo2" numFmtId="0">
      <sharedItems containsBlank="1"/>
    </cacheField>
    <cacheField name="Número2" numFmtId="0">
      <sharedItems containsString="0" containsBlank="1" containsNumber="1" containsInteger="1" minValue="330421415" maxValue="910037183"/>
    </cacheField>
    <cacheField name="Nome do Lote" numFmtId="0">
      <sharedItems containsBlank="1" containsMixedTypes="1" containsNumber="1" containsInteger="1" minValue="170282" maxValue="170319" count="9">
        <n v="170297"/>
        <n v="170282"/>
        <n v="170288"/>
        <n v="170311"/>
        <n v="170283"/>
        <n v="170285"/>
        <s v="Pagamento Rapido: ID=6622449"/>
        <n v="170319"/>
        <m/>
      </sharedItems>
    </cacheField>
    <cacheField name="PSON" numFmtId="0">
      <sharedItems containsNonDate="0" containsString="0" containsBlank="1"/>
    </cacheField>
    <cacheField name="Nome do Agente" numFmtId="0">
      <sharedItems containsBlank="1"/>
    </cacheField>
    <cacheField name="Número do Fluxo de Caixa Depósito" numFmtId="0">
      <sharedItems containsString="0" containsBlank="1" containsNumber="1" containsInteger="1" minValue="170282" maxValue="170319"/>
    </cacheField>
    <cacheField name="Tipo de Referência" numFmtId="0">
      <sharedItems containsNonDate="0" containsString="0" containsBlank="1"/>
    </cacheField>
    <cacheField name="Nr. Referência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cas Moreira do Vale" refreshedDate="45695.606485185184" createdVersion="8" refreshedVersion="8" minRefreshableVersion="3" recordCount="342" xr:uid="{2D9FEFA4-E47A-4A6C-96AB-E515E364AB41}">
  <cacheSource type="worksheet">
    <worksheetSource ref="A1:T1048576" sheet="Planilha9"/>
  </cacheSource>
  <cacheFields count="20">
    <cacheField name="Selecionar Registro" numFmtId="0">
      <sharedItems containsNonDate="0" containsString="0" containsBlank="1"/>
    </cacheField>
    <cacheField name="Tipo" numFmtId="0">
      <sharedItems containsBlank="1"/>
    </cacheField>
    <cacheField name="Número" numFmtId="0">
      <sharedItems containsString="0" containsBlank="1" containsNumber="1" containsInteger="1" minValue="559799" maxValue="910037391"/>
    </cacheField>
    <cacheField name="Cód. Moeda Original" numFmtId="0">
      <sharedItems containsBlank="1"/>
    </cacheField>
    <cacheField name="Quantia Original" numFmtId="0">
      <sharedItems containsString="0" containsBlank="1" containsNumber="1" minValue="0" maxValue="732084.2"/>
    </cacheField>
    <cacheField name="Quantia na moeda da conta" numFmtId="0">
      <sharedItems containsString="0" containsBlank="1" containsNumber="1" minValue="0" maxValue="732084.2"/>
    </cacheField>
    <cacheField name="Quantia Compensada da Moeda da Conta" numFmtId="0">
      <sharedItems containsNonDate="0" containsString="0" containsBlank="1"/>
    </cacheField>
    <cacheField name="Data de Compensação da Moeda da Conta" numFmtId="0">
      <sharedItems containsNonDate="0" containsString="0" containsBlank="1"/>
    </cacheField>
    <cacheField name="Data do  Valor" numFmtId="0">
      <sharedItems containsNonDate="0" containsString="0" containsBlank="1"/>
    </cacheField>
    <cacheField name="Data GL" numFmtId="0">
      <sharedItems containsNonDate="0" containsDate="1" containsString="0" containsBlank="1" minDate="2025-02-05T00:00:00" maxDate="2025-02-06T00:00:00"/>
    </cacheField>
    <cacheField name="Data da Transação" numFmtId="0">
      <sharedItems containsNonDate="0" containsDate="1" containsString="0" containsBlank="1" minDate="2025-02-05T00:00:00" maxDate="2025-02-06T00:00:00"/>
    </cacheField>
    <cacheField name="Selecionar Registro2" numFmtId="0">
      <sharedItems containsNonDate="0" containsString="0" containsBlank="1"/>
    </cacheField>
    <cacheField name="Tipo2" numFmtId="0">
      <sharedItems containsBlank="1"/>
    </cacheField>
    <cacheField name="Número2" numFmtId="0">
      <sharedItems containsString="0" containsBlank="1" containsNumber="1" containsInteger="1" minValue="559799" maxValue="910037391"/>
    </cacheField>
    <cacheField name="Nome do Lote" numFmtId="0">
      <sharedItems containsBlank="1" containsMixedTypes="1" containsNumber="1" containsInteger="1" minValue="170522" maxValue="170571" count="11">
        <s v="Pagamento Rapido: ID=6628863"/>
        <n v="170522"/>
        <n v="170525"/>
        <n v="170526"/>
        <n v="170571"/>
        <n v="170527"/>
        <n v="170546"/>
        <n v="170530"/>
        <s v="Pagamento Rapido: ID=6629110"/>
        <n v="170558"/>
        <m/>
      </sharedItems>
    </cacheField>
    <cacheField name="PSON" numFmtId="0">
      <sharedItems containsNonDate="0" containsString="0" containsBlank="1"/>
    </cacheField>
    <cacheField name="Nome do Agente" numFmtId="0">
      <sharedItems containsBlank="1"/>
    </cacheField>
    <cacheField name="Número do Fluxo de Caixa Depósito" numFmtId="0">
      <sharedItems containsString="0" containsBlank="1" containsNumber="1" containsInteger="1" minValue="170522" maxValue="170571"/>
    </cacheField>
    <cacheField name="Tipo de Referência" numFmtId="0">
      <sharedItems containsNonDate="0" containsString="0" containsBlank="1"/>
    </cacheField>
    <cacheField name="Nr. Referência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79">
  <r>
    <m/>
    <s v="Pagamento"/>
    <n v="330421415"/>
    <s v="BRL"/>
    <n v="87"/>
    <n v="87"/>
    <m/>
    <m/>
    <m/>
    <d v="2025-01-27T00:00:00"/>
    <d v="2025-01-27T00:00:00"/>
    <m/>
    <s v="Pagamento"/>
    <n v="330421415"/>
    <x v="0"/>
    <m/>
    <s v="ALESSANDRO DA CRUZ SANTOS,"/>
    <n v="170297"/>
    <m/>
    <m/>
  </r>
  <r>
    <m/>
    <s v="Pagamento"/>
    <n v="330421416"/>
    <s v="BRL"/>
    <n v="1304.52"/>
    <n v="1304.52"/>
    <m/>
    <m/>
    <m/>
    <d v="2025-01-27T00:00:00"/>
    <d v="2025-01-27T00:00:00"/>
    <m/>
    <s v="Pagamento"/>
    <n v="330421416"/>
    <x v="0"/>
    <m/>
    <s v="ALVARO HIGO QUEIROZ MATOS,"/>
    <n v="170297"/>
    <m/>
    <m/>
  </r>
  <r>
    <m/>
    <s v="Pagamento"/>
    <n v="330421417"/>
    <s v="BRL"/>
    <n v="455.24"/>
    <n v="455.24"/>
    <m/>
    <m/>
    <m/>
    <d v="2025-01-27T00:00:00"/>
    <d v="2025-01-27T00:00:00"/>
    <m/>
    <s v="Pagamento"/>
    <n v="330421417"/>
    <x v="0"/>
    <m/>
    <s v="ALYSSON COELHO DE FARIAS DOS SANTOS,"/>
    <n v="170297"/>
    <m/>
    <m/>
  </r>
  <r>
    <m/>
    <s v="Pagamento"/>
    <n v="330421418"/>
    <s v="BRL"/>
    <n v="91.59"/>
    <n v="91.59"/>
    <m/>
    <m/>
    <m/>
    <d v="2025-01-27T00:00:00"/>
    <d v="2025-01-27T00:00:00"/>
    <m/>
    <s v="Pagamento"/>
    <n v="330421418"/>
    <x v="0"/>
    <m/>
    <s v="ANDERSON LEMOS DOS SANTOS,"/>
    <n v="170297"/>
    <m/>
    <m/>
  </r>
  <r>
    <m/>
    <s v="Pagamento"/>
    <n v="330421419"/>
    <s v="BRL"/>
    <n v="82.75"/>
    <n v="82.75"/>
    <m/>
    <m/>
    <m/>
    <d v="2025-01-27T00:00:00"/>
    <d v="2025-01-27T00:00:00"/>
    <m/>
    <s v="Pagamento"/>
    <n v="330421419"/>
    <x v="0"/>
    <m/>
    <s v="ANDERSON VELOSO GUIMARAES,"/>
    <n v="170297"/>
    <m/>
    <m/>
  </r>
  <r>
    <m/>
    <s v="Pagamento"/>
    <n v="330421420"/>
    <s v="BRL"/>
    <n v="1050"/>
    <n v="1050"/>
    <m/>
    <m/>
    <m/>
    <d v="2025-01-27T00:00:00"/>
    <d v="2025-01-27T00:00:00"/>
    <m/>
    <s v="Pagamento"/>
    <n v="330421420"/>
    <x v="0"/>
    <m/>
    <s v="ANSELMO LAUTENSCHLAGER JUNIOR,"/>
    <n v="170297"/>
    <m/>
    <m/>
  </r>
  <r>
    <m/>
    <s v="Pagamento"/>
    <n v="330421421"/>
    <s v="BRL"/>
    <n v="127"/>
    <n v="127"/>
    <m/>
    <m/>
    <m/>
    <d v="2025-01-27T00:00:00"/>
    <d v="2025-01-27T00:00:00"/>
    <m/>
    <s v="Pagamento"/>
    <n v="330421421"/>
    <x v="0"/>
    <m/>
    <s v="ANTONIO LOPES TOMAZ,"/>
    <n v="170297"/>
    <m/>
    <m/>
  </r>
  <r>
    <m/>
    <s v="Pagamento"/>
    <n v="330421422"/>
    <s v="BRL"/>
    <n v="965.66"/>
    <n v="965.66"/>
    <m/>
    <m/>
    <m/>
    <d v="2025-01-27T00:00:00"/>
    <d v="2025-01-27T00:00:00"/>
    <m/>
    <s v="Pagamento"/>
    <n v="330421422"/>
    <x v="0"/>
    <m/>
    <s v="AURIO DOS SANTOS,"/>
    <n v="170297"/>
    <m/>
    <m/>
  </r>
  <r>
    <m/>
    <s v="Pagamento"/>
    <n v="330421423"/>
    <s v="BRL"/>
    <n v="500"/>
    <n v="500"/>
    <m/>
    <m/>
    <m/>
    <d v="2025-01-27T00:00:00"/>
    <d v="2025-01-27T00:00:00"/>
    <m/>
    <s v="Pagamento"/>
    <n v="330421423"/>
    <x v="0"/>
    <m/>
    <s v="CAIO HERING BEZERRA DA CUNHA,"/>
    <n v="170297"/>
    <m/>
    <m/>
  </r>
  <r>
    <m/>
    <s v="Pagamento"/>
    <n v="330421424"/>
    <s v="BRL"/>
    <n v="192.87"/>
    <n v="192.87"/>
    <m/>
    <m/>
    <m/>
    <d v="2025-01-27T00:00:00"/>
    <d v="2025-01-27T00:00:00"/>
    <m/>
    <s v="Pagamento"/>
    <n v="330421424"/>
    <x v="0"/>
    <m/>
    <s v="CARLOS ALBERTO BRONDANI,"/>
    <n v="170297"/>
    <m/>
    <m/>
  </r>
  <r>
    <m/>
    <s v="Pagamento"/>
    <n v="330421425"/>
    <s v="BRL"/>
    <n v="1050"/>
    <n v="1050"/>
    <m/>
    <m/>
    <m/>
    <d v="2025-01-27T00:00:00"/>
    <d v="2025-01-27T00:00:00"/>
    <m/>
    <s v="Pagamento"/>
    <n v="330421425"/>
    <x v="0"/>
    <m/>
    <s v="CESAR HIRSCHMANN PIEPER,"/>
    <n v="170297"/>
    <m/>
    <m/>
  </r>
  <r>
    <m/>
    <s v="Pagamento"/>
    <n v="330421426"/>
    <s v="BRL"/>
    <n v="60"/>
    <n v="60"/>
    <m/>
    <m/>
    <m/>
    <d v="2025-01-27T00:00:00"/>
    <d v="2025-01-27T00:00:00"/>
    <m/>
    <s v="Pagamento"/>
    <n v="330421426"/>
    <x v="0"/>
    <m/>
    <s v="CLAUDIO PASCOAL CRUZ,"/>
    <n v="170297"/>
    <m/>
    <m/>
  </r>
  <r>
    <m/>
    <s v="Pagamento"/>
    <n v="330421427"/>
    <s v="BRL"/>
    <n v="18.39"/>
    <n v="18.39"/>
    <m/>
    <m/>
    <m/>
    <d v="2025-01-27T00:00:00"/>
    <d v="2025-01-27T00:00:00"/>
    <m/>
    <s v="Pagamento"/>
    <n v="330421427"/>
    <x v="0"/>
    <m/>
    <s v="CLEMILTON VIEIRA GOMES,"/>
    <n v="170297"/>
    <m/>
    <m/>
  </r>
  <r>
    <m/>
    <s v="Pagamento"/>
    <n v="330421428"/>
    <s v="BRL"/>
    <n v="94.58"/>
    <n v="94.58"/>
    <m/>
    <m/>
    <m/>
    <d v="2025-01-27T00:00:00"/>
    <d v="2025-01-27T00:00:00"/>
    <m/>
    <s v="Pagamento"/>
    <n v="330421428"/>
    <x v="0"/>
    <m/>
    <s v="COSME PEDROSA MATOS,"/>
    <n v="170297"/>
    <m/>
    <m/>
  </r>
  <r>
    <m/>
    <s v="Pagamento"/>
    <n v="330421429"/>
    <s v="BRL"/>
    <n v="465.14"/>
    <n v="465.14"/>
    <m/>
    <m/>
    <m/>
    <d v="2025-01-27T00:00:00"/>
    <d v="2025-01-27T00:00:00"/>
    <m/>
    <s v="Pagamento"/>
    <n v="330421429"/>
    <x v="0"/>
    <m/>
    <s v="DANIEL BARBOSA DE MOURA,"/>
    <n v="170297"/>
    <m/>
    <m/>
  </r>
  <r>
    <m/>
    <s v="Pagamento"/>
    <n v="330421430"/>
    <s v="BRL"/>
    <n v="1641.78"/>
    <n v="1641.78"/>
    <m/>
    <m/>
    <m/>
    <d v="2025-01-27T00:00:00"/>
    <d v="2025-01-27T00:00:00"/>
    <m/>
    <s v="Pagamento"/>
    <n v="330421430"/>
    <x v="0"/>
    <m/>
    <s v="DANIEL BRELAZ DA SILVA,"/>
    <n v="170297"/>
    <m/>
    <m/>
  </r>
  <r>
    <m/>
    <s v="Pagamento"/>
    <n v="330421431"/>
    <s v="BRL"/>
    <n v="474.26"/>
    <n v="474.26"/>
    <m/>
    <m/>
    <m/>
    <d v="2025-01-27T00:00:00"/>
    <d v="2025-01-27T00:00:00"/>
    <m/>
    <s v="Pagamento"/>
    <n v="330421431"/>
    <x v="0"/>
    <m/>
    <s v="DANIEL FRANCISCO MATOS DE ALMEIDA,"/>
    <n v="170297"/>
    <m/>
    <m/>
  </r>
  <r>
    <m/>
    <s v="Pagamento"/>
    <n v="330421432"/>
    <s v="BRL"/>
    <n v="1448.94"/>
    <n v="1448.94"/>
    <m/>
    <m/>
    <m/>
    <d v="2025-01-27T00:00:00"/>
    <d v="2025-01-27T00:00:00"/>
    <m/>
    <s v="Pagamento"/>
    <n v="330421432"/>
    <x v="0"/>
    <m/>
    <s v="DANILO GOMES DA CONCEICAO,"/>
    <n v="170297"/>
    <m/>
    <m/>
  </r>
  <r>
    <m/>
    <s v="Pagamento"/>
    <n v="330421433"/>
    <s v="BRL"/>
    <n v="69.58"/>
    <n v="69.58"/>
    <m/>
    <m/>
    <m/>
    <d v="2025-01-27T00:00:00"/>
    <d v="2025-01-27T00:00:00"/>
    <m/>
    <s v="Pagamento"/>
    <n v="330421433"/>
    <x v="0"/>
    <m/>
    <s v="DELCIO  BREDA,"/>
    <n v="170297"/>
    <m/>
    <m/>
  </r>
  <r>
    <m/>
    <s v="Pagamento"/>
    <n v="330421434"/>
    <s v="BRL"/>
    <n v="66.599999999999994"/>
    <n v="66.599999999999994"/>
    <m/>
    <m/>
    <m/>
    <d v="2025-01-27T00:00:00"/>
    <d v="2025-01-27T00:00:00"/>
    <m/>
    <s v="Pagamento"/>
    <n v="330421434"/>
    <x v="0"/>
    <m/>
    <s v="DIOGO VIEIRA CAIXETA,"/>
    <n v="170297"/>
    <m/>
    <m/>
  </r>
  <r>
    <m/>
    <s v="Pagamento"/>
    <n v="330421435"/>
    <s v="BRL"/>
    <n v="60.75"/>
    <n v="60.75"/>
    <m/>
    <m/>
    <m/>
    <d v="2025-01-27T00:00:00"/>
    <d v="2025-01-27T00:00:00"/>
    <m/>
    <s v="Pagamento"/>
    <n v="330421435"/>
    <x v="0"/>
    <m/>
    <s v="DOUGLAS DE CASTRO ALMEIDA,"/>
    <n v="170297"/>
    <m/>
    <m/>
  </r>
  <r>
    <m/>
    <s v="Pagamento"/>
    <n v="330421436"/>
    <s v="BRL"/>
    <n v="64.790000000000006"/>
    <n v="64.790000000000006"/>
    <m/>
    <m/>
    <m/>
    <d v="2025-01-27T00:00:00"/>
    <d v="2025-01-27T00:00:00"/>
    <m/>
    <s v="Pagamento"/>
    <n v="330421436"/>
    <x v="0"/>
    <m/>
    <s v="EDUARDO MASSAYUKI FUZYI,"/>
    <n v="170297"/>
    <m/>
    <m/>
  </r>
  <r>
    <m/>
    <s v="Pagamento"/>
    <n v="330421437"/>
    <s v="BRL"/>
    <n v="25.8"/>
    <n v="25.8"/>
    <m/>
    <m/>
    <m/>
    <d v="2025-01-27T00:00:00"/>
    <d v="2025-01-27T00:00:00"/>
    <m/>
    <s v="Pagamento"/>
    <n v="330421437"/>
    <x v="0"/>
    <m/>
    <s v="ELIANE CONFESSOR DO AMARAL PASSOS,"/>
    <n v="170297"/>
    <m/>
    <m/>
  </r>
  <r>
    <m/>
    <s v="Pagamento"/>
    <n v="330421438"/>
    <s v="BRL"/>
    <n v="35"/>
    <n v="35"/>
    <m/>
    <m/>
    <m/>
    <d v="2025-01-27T00:00:00"/>
    <d v="2025-01-27T00:00:00"/>
    <m/>
    <s v="Pagamento"/>
    <n v="330421438"/>
    <x v="0"/>
    <m/>
    <s v="ELIZEU CARVALHO DE MESQUITA,"/>
    <n v="170297"/>
    <m/>
    <m/>
  </r>
  <r>
    <m/>
    <s v="Pagamento"/>
    <n v="330421439"/>
    <s v="BRL"/>
    <n v="161.72999999999999"/>
    <n v="161.72999999999999"/>
    <m/>
    <m/>
    <m/>
    <d v="2025-01-27T00:00:00"/>
    <d v="2025-01-27T00:00:00"/>
    <m/>
    <s v="Pagamento"/>
    <n v="330421439"/>
    <x v="0"/>
    <m/>
    <s v="ESMON DE OLIVEIRA CARDOSO,"/>
    <n v="170297"/>
    <m/>
    <m/>
  </r>
  <r>
    <m/>
    <s v="Pagamento"/>
    <n v="330421440"/>
    <s v="BRL"/>
    <n v="455.24"/>
    <n v="455.24"/>
    <m/>
    <m/>
    <m/>
    <d v="2025-01-27T00:00:00"/>
    <d v="2025-01-27T00:00:00"/>
    <m/>
    <s v="Pagamento"/>
    <n v="330421440"/>
    <x v="0"/>
    <m/>
    <s v="FERNANDA BARBOSA DE SOUSA,"/>
    <n v="170297"/>
    <m/>
    <m/>
  </r>
  <r>
    <m/>
    <s v="Pagamento"/>
    <n v="330421441"/>
    <s v="BRL"/>
    <n v="31.2"/>
    <n v="31.2"/>
    <m/>
    <m/>
    <m/>
    <d v="2025-01-27T00:00:00"/>
    <d v="2025-01-27T00:00:00"/>
    <m/>
    <s v="Pagamento"/>
    <n v="330421441"/>
    <x v="0"/>
    <m/>
    <s v="FERNANDO DA SILVA,"/>
    <n v="170297"/>
    <m/>
    <m/>
  </r>
  <r>
    <m/>
    <s v="Pagamento"/>
    <n v="330421442"/>
    <s v="BRL"/>
    <n v="13.3"/>
    <n v="13.3"/>
    <m/>
    <m/>
    <m/>
    <d v="2025-01-27T00:00:00"/>
    <d v="2025-01-27T00:00:00"/>
    <m/>
    <s v="Pagamento"/>
    <n v="330421442"/>
    <x v="0"/>
    <m/>
    <s v="FOSTER HIROYUKI VATANABE,"/>
    <n v="170297"/>
    <m/>
    <m/>
  </r>
  <r>
    <m/>
    <s v="Pagamento"/>
    <n v="330421443"/>
    <s v="BRL"/>
    <n v="389"/>
    <n v="389"/>
    <m/>
    <m/>
    <m/>
    <d v="2025-01-27T00:00:00"/>
    <d v="2025-01-27T00:00:00"/>
    <m/>
    <s v="Pagamento"/>
    <n v="330421443"/>
    <x v="0"/>
    <m/>
    <s v="FRANCISCO DAS CHAGAS DE MORAIS CUNHA,"/>
    <n v="170297"/>
    <m/>
    <m/>
  </r>
  <r>
    <m/>
    <s v="Pagamento"/>
    <n v="330421444"/>
    <s v="BRL"/>
    <n v="455.24"/>
    <n v="455.24"/>
    <m/>
    <m/>
    <m/>
    <d v="2025-01-27T00:00:00"/>
    <d v="2025-01-27T00:00:00"/>
    <m/>
    <s v="Pagamento"/>
    <n v="330421444"/>
    <x v="0"/>
    <m/>
    <s v="FRANCISCO LUIZLEY ARAUJO CRUZ,"/>
    <n v="170297"/>
    <m/>
    <m/>
  </r>
  <r>
    <m/>
    <s v="Pagamento"/>
    <n v="330421445"/>
    <s v="BRL"/>
    <n v="1820.99"/>
    <n v="1820.99"/>
    <m/>
    <m/>
    <m/>
    <d v="2025-01-27T00:00:00"/>
    <d v="2025-01-27T00:00:00"/>
    <m/>
    <s v="Pagamento"/>
    <n v="330421445"/>
    <x v="0"/>
    <m/>
    <s v="GLAUBER NILSON ALVES DE OLIVEIRA,"/>
    <n v="170297"/>
    <m/>
    <m/>
  </r>
  <r>
    <m/>
    <s v="Pagamento"/>
    <n v="330421447"/>
    <s v="BRL"/>
    <n v="984.05"/>
    <n v="984.05"/>
    <m/>
    <m/>
    <m/>
    <d v="2025-01-27T00:00:00"/>
    <d v="2025-01-27T00:00:00"/>
    <m/>
    <s v="Pagamento"/>
    <n v="330421447"/>
    <x v="0"/>
    <m/>
    <s v="GUSTAVO JULIANO TREIS,"/>
    <n v="170297"/>
    <m/>
    <m/>
  </r>
  <r>
    <m/>
    <s v="Pagamento"/>
    <n v="330421448"/>
    <s v="BRL"/>
    <n v="82.75"/>
    <n v="82.75"/>
    <m/>
    <m/>
    <m/>
    <d v="2025-01-27T00:00:00"/>
    <d v="2025-01-27T00:00:00"/>
    <m/>
    <s v="Pagamento"/>
    <n v="330421448"/>
    <x v="0"/>
    <m/>
    <s v="HERBERT ALEXANDRE DI PACE,"/>
    <n v="170297"/>
    <m/>
    <m/>
  </r>
  <r>
    <m/>
    <s v="Pagamento"/>
    <n v="330421449"/>
    <s v="BRL"/>
    <n v="1560"/>
    <n v="1560"/>
    <m/>
    <m/>
    <m/>
    <d v="2025-01-27T00:00:00"/>
    <d v="2025-01-27T00:00:00"/>
    <m/>
    <s v="Pagamento"/>
    <n v="330421449"/>
    <x v="0"/>
    <m/>
    <s v="IGOR BEZERRA MANCIOLA,"/>
    <n v="170297"/>
    <m/>
    <m/>
  </r>
  <r>
    <m/>
    <s v="Pagamento"/>
    <n v="330421450"/>
    <s v="BRL"/>
    <n v="1215.79"/>
    <n v="1215.79"/>
    <m/>
    <m/>
    <m/>
    <d v="2025-01-27T00:00:00"/>
    <d v="2025-01-27T00:00:00"/>
    <m/>
    <s v="Pagamento"/>
    <n v="330421450"/>
    <x v="0"/>
    <m/>
    <s v="IVANILDO SARMENTO BASILIO,"/>
    <n v="170297"/>
    <m/>
    <m/>
  </r>
  <r>
    <m/>
    <s v="Pagamento"/>
    <n v="330421451"/>
    <s v="BRL"/>
    <n v="823.88"/>
    <n v="823.88"/>
    <m/>
    <m/>
    <m/>
    <d v="2025-01-27T00:00:00"/>
    <d v="2025-01-27T00:00:00"/>
    <m/>
    <s v="Pagamento"/>
    <n v="330421451"/>
    <x v="0"/>
    <m/>
    <s v="JEAN JACKSON PRIMAVERA DE MATOS,"/>
    <n v="170297"/>
    <m/>
    <m/>
  </r>
  <r>
    <m/>
    <s v="Pagamento"/>
    <n v="330421452"/>
    <s v="BRL"/>
    <n v="820"/>
    <n v="820"/>
    <m/>
    <m/>
    <m/>
    <d v="2025-01-27T00:00:00"/>
    <d v="2025-01-27T00:00:00"/>
    <m/>
    <s v="Pagamento"/>
    <n v="330421452"/>
    <x v="0"/>
    <m/>
    <s v="JENNEFER FERREIRA DE SOUZA,"/>
    <n v="170297"/>
    <m/>
    <m/>
  </r>
  <r>
    <m/>
    <s v="Pagamento"/>
    <n v="330421453"/>
    <s v="BRL"/>
    <n v="102"/>
    <n v="102"/>
    <m/>
    <m/>
    <m/>
    <d v="2025-01-27T00:00:00"/>
    <d v="2025-01-27T00:00:00"/>
    <m/>
    <s v="Pagamento"/>
    <n v="330421453"/>
    <x v="0"/>
    <m/>
    <s v="JEREMIAS ANTONIO DE FREITAS NETO,"/>
    <n v="170297"/>
    <m/>
    <m/>
  </r>
  <r>
    <m/>
    <s v="Pagamento"/>
    <n v="330421454"/>
    <s v="BRL"/>
    <n v="455.24"/>
    <n v="455.24"/>
    <m/>
    <m/>
    <m/>
    <d v="2025-01-27T00:00:00"/>
    <d v="2025-01-27T00:00:00"/>
    <m/>
    <s v="Pagamento"/>
    <n v="330421454"/>
    <x v="0"/>
    <m/>
    <s v="JOAO RICARDO NOGUEIRA DE ALMEIDA,"/>
    <n v="170297"/>
    <m/>
    <m/>
  </r>
  <r>
    <m/>
    <s v="Pagamento"/>
    <n v="330421455"/>
    <s v="BRL"/>
    <n v="20"/>
    <n v="20"/>
    <m/>
    <m/>
    <m/>
    <d v="2025-01-27T00:00:00"/>
    <d v="2025-01-27T00:00:00"/>
    <m/>
    <s v="Pagamento"/>
    <n v="330421455"/>
    <x v="0"/>
    <m/>
    <s v="JOEL ALAN PEDROSO,"/>
    <n v="170297"/>
    <m/>
    <m/>
  </r>
  <r>
    <m/>
    <s v="Pagamento"/>
    <n v="330421456"/>
    <s v="BRL"/>
    <n v="400"/>
    <n v="400"/>
    <m/>
    <m/>
    <m/>
    <d v="2025-01-27T00:00:00"/>
    <d v="2025-01-27T00:00:00"/>
    <m/>
    <s v="Pagamento"/>
    <n v="330421456"/>
    <x v="0"/>
    <m/>
    <s v="JONAS GOMES DE LIMA JUNIOR"/>
    <n v="170297"/>
    <m/>
    <m/>
  </r>
  <r>
    <m/>
    <s v="Pagamento"/>
    <n v="330421457"/>
    <s v="BRL"/>
    <n v="601.29999999999995"/>
    <n v="601.29999999999995"/>
    <m/>
    <m/>
    <m/>
    <d v="2025-01-27T00:00:00"/>
    <d v="2025-01-27T00:00:00"/>
    <m/>
    <s v="Pagamento"/>
    <n v="330421457"/>
    <x v="0"/>
    <m/>
    <s v="JOSADAQUE  LOPES,"/>
    <n v="170297"/>
    <m/>
    <m/>
  </r>
  <r>
    <m/>
    <s v="Pagamento"/>
    <n v="330421458"/>
    <s v="BRL"/>
    <n v="100"/>
    <n v="100"/>
    <m/>
    <m/>
    <m/>
    <d v="2025-01-27T00:00:00"/>
    <d v="2025-01-27T00:00:00"/>
    <m/>
    <s v="Pagamento"/>
    <n v="330421458"/>
    <x v="0"/>
    <m/>
    <s v="JOVENILSON MOREIRA DA SILVA,"/>
    <n v="170297"/>
    <m/>
    <m/>
  </r>
  <r>
    <m/>
    <s v="Pagamento"/>
    <n v="330421459"/>
    <s v="BRL"/>
    <n v="455.24"/>
    <n v="455.24"/>
    <m/>
    <m/>
    <m/>
    <d v="2025-01-27T00:00:00"/>
    <d v="2025-01-27T00:00:00"/>
    <m/>
    <s v="Pagamento"/>
    <n v="330421459"/>
    <x v="0"/>
    <m/>
    <s v="JULIANNE CRISTINE LEANDRO CANQUERINO MARQUES,"/>
    <n v="170297"/>
    <m/>
    <m/>
  </r>
  <r>
    <m/>
    <s v="Pagamento"/>
    <n v="330421460"/>
    <s v="BRL"/>
    <n v="253.17"/>
    <n v="253.17"/>
    <m/>
    <m/>
    <m/>
    <d v="2025-01-27T00:00:00"/>
    <d v="2025-01-27T00:00:00"/>
    <m/>
    <s v="Pagamento"/>
    <n v="330421460"/>
    <x v="0"/>
    <m/>
    <s v="JULIO CEZAR DA SILVA,"/>
    <n v="170297"/>
    <m/>
    <m/>
  </r>
  <r>
    <m/>
    <s v="Pagamento"/>
    <n v="330421461"/>
    <s v="BRL"/>
    <n v="1164.52"/>
    <n v="1164.52"/>
    <m/>
    <m/>
    <m/>
    <d v="2025-01-27T00:00:00"/>
    <d v="2025-01-27T00:00:00"/>
    <m/>
    <s v="Pagamento"/>
    <n v="330421461"/>
    <x v="0"/>
    <m/>
    <s v="KESLEY RANGEL SANTOS DE SOUSA,"/>
    <n v="170297"/>
    <m/>
    <m/>
  </r>
  <r>
    <m/>
    <s v="Pagamento"/>
    <n v="330421462"/>
    <s v="BRL"/>
    <n v="65.099999999999994"/>
    <n v="65.099999999999994"/>
    <m/>
    <m/>
    <m/>
    <d v="2025-01-27T00:00:00"/>
    <d v="2025-01-27T00:00:00"/>
    <m/>
    <s v="Pagamento"/>
    <n v="330421462"/>
    <x v="0"/>
    <m/>
    <s v="LAURO MARCHIORO DOS SANTOS,"/>
    <n v="170297"/>
    <m/>
    <m/>
  </r>
  <r>
    <m/>
    <s v="Pagamento"/>
    <n v="330421463"/>
    <s v="BRL"/>
    <n v="27.99"/>
    <n v="27.99"/>
    <m/>
    <m/>
    <m/>
    <d v="2025-01-27T00:00:00"/>
    <d v="2025-01-27T00:00:00"/>
    <m/>
    <s v="Pagamento"/>
    <n v="330421463"/>
    <x v="0"/>
    <m/>
    <s v="LEANDRO DIAS COSTA"/>
    <n v="170297"/>
    <m/>
    <m/>
  </r>
  <r>
    <m/>
    <s v="Pagamento"/>
    <n v="330421464"/>
    <s v="BRL"/>
    <n v="455.24"/>
    <n v="455.24"/>
    <m/>
    <m/>
    <m/>
    <d v="2025-01-27T00:00:00"/>
    <d v="2025-01-27T00:00:00"/>
    <m/>
    <s v="Pagamento"/>
    <n v="330421464"/>
    <x v="0"/>
    <m/>
    <s v="LEONARDO DE SENA MAIA,"/>
    <n v="170297"/>
    <m/>
    <m/>
  </r>
  <r>
    <m/>
    <s v="Pagamento"/>
    <n v="330421465"/>
    <s v="BRL"/>
    <n v="200"/>
    <n v="200"/>
    <m/>
    <m/>
    <m/>
    <d v="2025-01-27T00:00:00"/>
    <d v="2025-01-27T00:00:00"/>
    <m/>
    <s v="Pagamento"/>
    <n v="330421465"/>
    <x v="0"/>
    <m/>
    <s v="LEVI MORENO SALVADOR,"/>
    <n v="170297"/>
    <m/>
    <m/>
  </r>
  <r>
    <m/>
    <s v="Pagamento"/>
    <n v="330421466"/>
    <s v="BRL"/>
    <n v="201.3"/>
    <n v="201.3"/>
    <m/>
    <m/>
    <m/>
    <d v="2025-01-27T00:00:00"/>
    <d v="2025-01-27T00:00:00"/>
    <m/>
    <s v="Pagamento"/>
    <n v="330421466"/>
    <x v="0"/>
    <m/>
    <s v="LOURIVAL DA CONCEICAO PEREIRA JUNIOR,"/>
    <n v="170297"/>
    <m/>
    <m/>
  </r>
  <r>
    <m/>
    <s v="Pagamento"/>
    <n v="330421467"/>
    <s v="BRL"/>
    <n v="200.44"/>
    <n v="200.44"/>
    <m/>
    <m/>
    <m/>
    <d v="2025-01-27T00:00:00"/>
    <d v="2025-01-27T00:00:00"/>
    <m/>
    <s v="Pagamento"/>
    <n v="330421467"/>
    <x v="0"/>
    <m/>
    <s v="LUCAS APARECIDO SARTORELLI,"/>
    <n v="170297"/>
    <m/>
    <m/>
  </r>
  <r>
    <m/>
    <s v="Pagamento"/>
    <n v="330421468"/>
    <s v="BRL"/>
    <n v="57"/>
    <n v="57"/>
    <m/>
    <m/>
    <m/>
    <d v="2025-01-27T00:00:00"/>
    <d v="2025-01-27T00:00:00"/>
    <m/>
    <s v="Pagamento"/>
    <n v="330421468"/>
    <x v="0"/>
    <m/>
    <s v="LUCAS MARTINS NASCIMENTO,"/>
    <n v="170297"/>
    <m/>
    <m/>
  </r>
  <r>
    <m/>
    <s v="Pagamento"/>
    <n v="330421469"/>
    <s v="BRL"/>
    <n v="294.22000000000003"/>
    <n v="294.22000000000003"/>
    <m/>
    <m/>
    <m/>
    <d v="2025-01-27T00:00:00"/>
    <d v="2025-01-27T00:00:00"/>
    <m/>
    <s v="Pagamento"/>
    <n v="330421469"/>
    <x v="0"/>
    <m/>
    <s v="MANUELA MELISSA SANTANA VIEIRA,"/>
    <n v="170297"/>
    <m/>
    <m/>
  </r>
  <r>
    <m/>
    <s v="Pagamento"/>
    <n v="330421470"/>
    <s v="BRL"/>
    <n v="455.24"/>
    <n v="455.24"/>
    <m/>
    <m/>
    <m/>
    <d v="2025-01-27T00:00:00"/>
    <d v="2025-01-27T00:00:00"/>
    <m/>
    <s v="Pagamento"/>
    <n v="330421470"/>
    <x v="0"/>
    <m/>
    <s v="MARCELO FARIAS REBELO,"/>
    <n v="170297"/>
    <m/>
    <m/>
  </r>
  <r>
    <m/>
    <s v="Pagamento"/>
    <n v="330421471"/>
    <s v="BRL"/>
    <n v="15.52"/>
    <n v="15.52"/>
    <m/>
    <m/>
    <m/>
    <d v="2025-01-27T00:00:00"/>
    <d v="2025-01-27T00:00:00"/>
    <m/>
    <s v="Pagamento"/>
    <n v="330421471"/>
    <x v="0"/>
    <m/>
    <s v="MARCIO HENRIQUE PEREIRA GARCIA,"/>
    <n v="170297"/>
    <m/>
    <m/>
  </r>
  <r>
    <m/>
    <s v="Pagamento"/>
    <n v="330421472"/>
    <s v="BRL"/>
    <n v="350"/>
    <n v="350"/>
    <m/>
    <m/>
    <m/>
    <d v="2025-01-27T00:00:00"/>
    <d v="2025-01-27T00:00:00"/>
    <m/>
    <s v="Pagamento"/>
    <n v="330421472"/>
    <x v="0"/>
    <m/>
    <s v="MARCO ANTONIO FARJANI,"/>
    <n v="170297"/>
    <m/>
    <m/>
  </r>
  <r>
    <m/>
    <s v="Pagamento"/>
    <n v="330421473"/>
    <s v="BRL"/>
    <n v="420.99"/>
    <n v="420.99"/>
    <m/>
    <m/>
    <m/>
    <d v="2025-01-27T00:00:00"/>
    <d v="2025-01-27T00:00:00"/>
    <m/>
    <s v="Pagamento"/>
    <n v="330421473"/>
    <x v="0"/>
    <m/>
    <s v="MARCO VENICIO DE SOUZA,"/>
    <n v="170297"/>
    <m/>
    <m/>
  </r>
  <r>
    <m/>
    <s v="Pagamento"/>
    <n v="330421474"/>
    <s v="BRL"/>
    <n v="100"/>
    <n v="100"/>
    <m/>
    <m/>
    <m/>
    <d v="2025-01-27T00:00:00"/>
    <d v="2025-01-27T00:00:00"/>
    <m/>
    <s v="Pagamento"/>
    <n v="330421474"/>
    <x v="0"/>
    <m/>
    <s v="MARCOS FIGUEIRA PINTO,"/>
    <n v="170297"/>
    <m/>
    <m/>
  </r>
  <r>
    <m/>
    <s v="Pagamento"/>
    <n v="330421475"/>
    <s v="BRL"/>
    <n v="31.28"/>
    <n v="31.28"/>
    <m/>
    <m/>
    <m/>
    <d v="2025-01-27T00:00:00"/>
    <d v="2025-01-27T00:00:00"/>
    <m/>
    <s v="Pagamento"/>
    <n v="330421475"/>
    <x v="0"/>
    <m/>
    <s v="MARCOS PEREIRA DIAS,"/>
    <n v="170297"/>
    <m/>
    <m/>
  </r>
  <r>
    <m/>
    <s v="Pagamento"/>
    <n v="330421476"/>
    <s v="BRL"/>
    <n v="18.8"/>
    <n v="18.8"/>
    <m/>
    <m/>
    <m/>
    <d v="2025-01-27T00:00:00"/>
    <d v="2025-01-27T00:00:00"/>
    <m/>
    <s v="Pagamento"/>
    <n v="330421476"/>
    <x v="0"/>
    <m/>
    <s v="MARIA APARECIDA DOS SANTOS,"/>
    <n v="170297"/>
    <m/>
    <m/>
  </r>
  <r>
    <m/>
    <s v="Pagamento"/>
    <n v="330421477"/>
    <s v="BRL"/>
    <n v="147"/>
    <n v="147"/>
    <m/>
    <m/>
    <m/>
    <d v="2025-01-27T00:00:00"/>
    <d v="2025-01-27T00:00:00"/>
    <m/>
    <s v="Pagamento"/>
    <n v="330421477"/>
    <x v="0"/>
    <m/>
    <s v="MIGUEL ALEXANDRE ROKITZKI SILVEIRA,"/>
    <n v="170297"/>
    <m/>
    <m/>
  </r>
  <r>
    <m/>
    <s v="Pagamento"/>
    <n v="330421478"/>
    <s v="BRL"/>
    <n v="103.36"/>
    <n v="103.36"/>
    <m/>
    <m/>
    <m/>
    <d v="2025-01-27T00:00:00"/>
    <d v="2025-01-27T00:00:00"/>
    <m/>
    <s v="Pagamento"/>
    <n v="330421478"/>
    <x v="0"/>
    <m/>
    <s v="MURILO ALBERTO DE SOUZA AGUIAR,"/>
    <n v="170297"/>
    <m/>
    <m/>
  </r>
  <r>
    <m/>
    <s v="Pagamento"/>
    <n v="330421479"/>
    <s v="BRL"/>
    <n v="18.8"/>
    <n v="18.8"/>
    <m/>
    <m/>
    <m/>
    <d v="2025-01-27T00:00:00"/>
    <d v="2025-01-27T00:00:00"/>
    <m/>
    <s v="Pagamento"/>
    <n v="330421479"/>
    <x v="0"/>
    <m/>
    <s v="NEY MACHADO MAIA,"/>
    <n v="170297"/>
    <m/>
    <m/>
  </r>
  <r>
    <m/>
    <s v="Pagamento"/>
    <n v="330421480"/>
    <s v="BRL"/>
    <n v="19.2"/>
    <n v="19.2"/>
    <m/>
    <m/>
    <m/>
    <d v="2025-01-27T00:00:00"/>
    <d v="2025-01-27T00:00:00"/>
    <m/>
    <s v="Pagamento"/>
    <n v="330421480"/>
    <x v="0"/>
    <m/>
    <s v="OLEGARIO LOPES CARVALHO E SILVA,"/>
    <n v="170297"/>
    <m/>
    <m/>
  </r>
  <r>
    <m/>
    <s v="Pagamento"/>
    <n v="330421481"/>
    <s v="BRL"/>
    <n v="13.45"/>
    <n v="13.45"/>
    <m/>
    <m/>
    <m/>
    <d v="2025-01-27T00:00:00"/>
    <d v="2025-01-27T00:00:00"/>
    <m/>
    <s v="Pagamento"/>
    <n v="330421481"/>
    <x v="0"/>
    <m/>
    <s v="OSMAR NOGUEIRA JUNIOR,"/>
    <n v="170297"/>
    <m/>
    <m/>
  </r>
  <r>
    <m/>
    <s v="Pagamento"/>
    <n v="330421482"/>
    <s v="BRL"/>
    <n v="88.6"/>
    <n v="88.6"/>
    <m/>
    <m/>
    <m/>
    <d v="2025-01-27T00:00:00"/>
    <d v="2025-01-27T00:00:00"/>
    <m/>
    <s v="Pagamento"/>
    <n v="330421482"/>
    <x v="0"/>
    <m/>
    <s v="OTAVIO MARANGON DANTAS DE MORAIS"/>
    <n v="170297"/>
    <m/>
    <m/>
  </r>
  <r>
    <m/>
    <s v="Pagamento"/>
    <n v="330421483"/>
    <s v="BRL"/>
    <n v="455.24"/>
    <n v="455.24"/>
    <m/>
    <m/>
    <m/>
    <d v="2025-01-27T00:00:00"/>
    <d v="2025-01-27T00:00:00"/>
    <m/>
    <s v="Pagamento"/>
    <n v="330421483"/>
    <x v="0"/>
    <m/>
    <s v="PATRICIO  LOFY,"/>
    <n v="170297"/>
    <m/>
    <m/>
  </r>
  <r>
    <m/>
    <s v="Pagamento"/>
    <n v="330421484"/>
    <s v="BRL"/>
    <n v="1304.52"/>
    <n v="1304.52"/>
    <m/>
    <m/>
    <m/>
    <d v="2025-01-27T00:00:00"/>
    <d v="2025-01-27T00:00:00"/>
    <m/>
    <s v="Pagamento"/>
    <n v="330421484"/>
    <x v="0"/>
    <m/>
    <s v="RAIMUNDO FERREIRA CARVALHO FILHO,"/>
    <n v="170297"/>
    <m/>
    <m/>
  </r>
  <r>
    <m/>
    <s v="Pagamento"/>
    <n v="330421485"/>
    <s v="BRL"/>
    <n v="937"/>
    <n v="937"/>
    <m/>
    <m/>
    <m/>
    <d v="2025-01-27T00:00:00"/>
    <d v="2025-01-27T00:00:00"/>
    <m/>
    <s v="Pagamento"/>
    <n v="330421485"/>
    <x v="0"/>
    <m/>
    <s v="RAIMUNDO GEORGE FERREIRA CASTRO,"/>
    <n v="170297"/>
    <m/>
    <m/>
  </r>
  <r>
    <m/>
    <s v="Pagamento"/>
    <n v="330421486"/>
    <s v="BRL"/>
    <n v="350"/>
    <n v="350"/>
    <m/>
    <m/>
    <m/>
    <d v="2025-01-27T00:00:00"/>
    <d v="2025-01-27T00:00:00"/>
    <m/>
    <s v="Pagamento"/>
    <n v="330421486"/>
    <x v="0"/>
    <m/>
    <s v="RAIMUNDO NONATO FILHO"/>
    <n v="170297"/>
    <m/>
    <m/>
  </r>
  <r>
    <m/>
    <s v="Pagamento"/>
    <n v="330421487"/>
    <s v="BRL"/>
    <n v="450.65"/>
    <n v="450.65"/>
    <m/>
    <m/>
    <m/>
    <d v="2025-01-27T00:00:00"/>
    <d v="2025-01-27T00:00:00"/>
    <m/>
    <s v="Pagamento"/>
    <n v="330421487"/>
    <x v="0"/>
    <m/>
    <s v="RENATO BASTOS FERREIRA,"/>
    <n v="170297"/>
    <m/>
    <m/>
  </r>
  <r>
    <m/>
    <s v="Pagamento"/>
    <n v="330421488"/>
    <s v="BRL"/>
    <n v="300"/>
    <n v="300"/>
    <m/>
    <m/>
    <m/>
    <d v="2025-01-27T00:00:00"/>
    <d v="2025-01-27T00:00:00"/>
    <m/>
    <s v="Pagamento"/>
    <n v="330421488"/>
    <x v="0"/>
    <m/>
    <s v="RENATO GOMES DOS SANTOS"/>
    <n v="170297"/>
    <m/>
    <m/>
  </r>
  <r>
    <m/>
    <s v="Pagamento"/>
    <n v="330421489"/>
    <s v="BRL"/>
    <n v="518.57000000000005"/>
    <n v="518.57000000000005"/>
    <m/>
    <m/>
    <m/>
    <d v="2025-01-27T00:00:00"/>
    <d v="2025-01-27T00:00:00"/>
    <m/>
    <s v="Pagamento"/>
    <n v="330421489"/>
    <x v="0"/>
    <m/>
    <s v="RICARDO  PLOVAS,"/>
    <n v="170297"/>
    <m/>
    <m/>
  </r>
  <r>
    <m/>
    <s v="Pagamento"/>
    <n v="330421490"/>
    <s v="BRL"/>
    <n v="455.24"/>
    <n v="455.24"/>
    <m/>
    <m/>
    <m/>
    <d v="2025-01-27T00:00:00"/>
    <d v="2025-01-27T00:00:00"/>
    <m/>
    <s v="Pagamento"/>
    <n v="330421490"/>
    <x v="0"/>
    <m/>
    <s v="RINALDO JAMMYSON CORDOVIL MODESTO,"/>
    <n v="170297"/>
    <m/>
    <m/>
  </r>
  <r>
    <m/>
    <s v="Pagamento"/>
    <n v="330421491"/>
    <s v="BRL"/>
    <n v="455.24"/>
    <n v="455.24"/>
    <m/>
    <m/>
    <m/>
    <d v="2025-01-27T00:00:00"/>
    <d v="2025-01-27T00:00:00"/>
    <m/>
    <s v="Pagamento"/>
    <n v="330421491"/>
    <x v="0"/>
    <m/>
    <s v="RODRIGO FLEURY DE PAULA,"/>
    <n v="170297"/>
    <m/>
    <m/>
  </r>
  <r>
    <m/>
    <s v="Pagamento"/>
    <n v="330421492"/>
    <s v="BRL"/>
    <n v="360"/>
    <n v="360"/>
    <m/>
    <m/>
    <m/>
    <d v="2025-01-27T00:00:00"/>
    <d v="2025-01-27T00:00:00"/>
    <m/>
    <s v="Pagamento"/>
    <n v="330421492"/>
    <x v="0"/>
    <m/>
    <s v="ROGERIO NUNES SILVA,"/>
    <n v="170297"/>
    <m/>
    <m/>
  </r>
  <r>
    <m/>
    <s v="Pagamento"/>
    <n v="330421493"/>
    <s v="BRL"/>
    <n v="66.150000000000006"/>
    <n v="66.150000000000006"/>
    <m/>
    <m/>
    <m/>
    <d v="2025-01-27T00:00:00"/>
    <d v="2025-01-27T00:00:00"/>
    <m/>
    <s v="Pagamento"/>
    <n v="330421493"/>
    <x v="0"/>
    <m/>
    <s v="SARA PINHEIRO COSTA,"/>
    <n v="170297"/>
    <m/>
    <m/>
  </r>
  <r>
    <m/>
    <s v="Pagamento"/>
    <n v="330421494"/>
    <s v="BRL"/>
    <n v="455.24"/>
    <n v="455.24"/>
    <m/>
    <m/>
    <m/>
    <d v="2025-01-27T00:00:00"/>
    <d v="2025-01-27T00:00:00"/>
    <m/>
    <s v="Pagamento"/>
    <n v="330421494"/>
    <x v="0"/>
    <m/>
    <s v="SHARLENE SA PAULINO DA SILVA NASCIMENTO,"/>
    <n v="170297"/>
    <m/>
    <m/>
  </r>
  <r>
    <m/>
    <s v="Pagamento"/>
    <n v="330421495"/>
    <s v="BRL"/>
    <n v="86.92"/>
    <n v="86.92"/>
    <m/>
    <m/>
    <m/>
    <d v="2025-01-27T00:00:00"/>
    <d v="2025-01-27T00:00:00"/>
    <m/>
    <s v="Pagamento"/>
    <n v="330421495"/>
    <x v="0"/>
    <m/>
    <s v="SOLANGE SILVA ROMAO FRANCA,"/>
    <n v="170297"/>
    <m/>
    <m/>
  </r>
  <r>
    <m/>
    <s v="Pagamento"/>
    <n v="330421496"/>
    <s v="BRL"/>
    <n v="455.24"/>
    <n v="455.24"/>
    <m/>
    <m/>
    <m/>
    <d v="2025-01-27T00:00:00"/>
    <d v="2025-01-27T00:00:00"/>
    <m/>
    <s v="Pagamento"/>
    <n v="330421496"/>
    <x v="0"/>
    <m/>
    <s v="TANIA DOS SANTOS LIMA CUNHA,"/>
    <n v="170297"/>
    <m/>
    <m/>
  </r>
  <r>
    <m/>
    <s v="Pagamento"/>
    <n v="330421497"/>
    <s v="BRL"/>
    <n v="172.99"/>
    <n v="172.99"/>
    <m/>
    <m/>
    <m/>
    <d v="2025-01-27T00:00:00"/>
    <d v="2025-01-27T00:00:00"/>
    <m/>
    <s v="Pagamento"/>
    <n v="330421497"/>
    <x v="0"/>
    <m/>
    <s v="VALDENIR CALDAS DE MELO,"/>
    <n v="170297"/>
    <m/>
    <m/>
  </r>
  <r>
    <m/>
    <s v="Pagamento"/>
    <n v="330421498"/>
    <s v="BRL"/>
    <n v="39"/>
    <n v="39"/>
    <m/>
    <m/>
    <m/>
    <d v="2025-01-27T00:00:00"/>
    <d v="2025-01-27T00:00:00"/>
    <m/>
    <s v="Pagamento"/>
    <n v="330421498"/>
    <x v="0"/>
    <m/>
    <s v="VALDIR SPATAFORA TALARICO,"/>
    <n v="170297"/>
    <m/>
    <m/>
  </r>
  <r>
    <m/>
    <s v="Pagamento"/>
    <n v="330421499"/>
    <s v="BRL"/>
    <n v="86.51"/>
    <n v="86.51"/>
    <m/>
    <m/>
    <m/>
    <d v="2025-01-27T00:00:00"/>
    <d v="2025-01-27T00:00:00"/>
    <m/>
    <s v="Pagamento"/>
    <n v="330421499"/>
    <x v="0"/>
    <m/>
    <s v="VICTOR NERES DE SOUSA DOS SANTOS,"/>
    <n v="170297"/>
    <m/>
    <m/>
  </r>
  <r>
    <m/>
    <s v="Pagamento"/>
    <n v="330421500"/>
    <s v="BRL"/>
    <n v="2020.99"/>
    <n v="2020.99"/>
    <m/>
    <m/>
    <m/>
    <d v="2025-01-27T00:00:00"/>
    <d v="2025-01-27T00:00:00"/>
    <m/>
    <s v="Pagamento"/>
    <n v="330421500"/>
    <x v="0"/>
    <m/>
    <s v="WANILDO JOSE SILVA PEREIRA,"/>
    <n v="170297"/>
    <m/>
    <m/>
  </r>
  <r>
    <m/>
    <s v="Pagamento"/>
    <n v="330421501"/>
    <s v="BRL"/>
    <n v="432.26"/>
    <n v="432.26"/>
    <m/>
    <m/>
    <m/>
    <d v="2025-01-27T00:00:00"/>
    <d v="2025-01-27T00:00:00"/>
    <m/>
    <s v="Pagamento"/>
    <n v="330421501"/>
    <x v="0"/>
    <m/>
    <s v="WARLEY ALVES SILVA,"/>
    <n v="170297"/>
    <m/>
    <m/>
  </r>
  <r>
    <m/>
    <s v="Pagamento"/>
    <n v="330421502"/>
    <s v="BRL"/>
    <n v="1443.89"/>
    <n v="1443.89"/>
    <m/>
    <m/>
    <m/>
    <d v="2025-01-27T00:00:00"/>
    <d v="2025-01-27T00:00:00"/>
    <m/>
    <s v="Pagamento"/>
    <n v="330421502"/>
    <x v="0"/>
    <m/>
    <s v="WENDELL DA SILVA MOTA,"/>
    <n v="170297"/>
    <m/>
    <m/>
  </r>
  <r>
    <m/>
    <s v="Pagamento"/>
    <n v="330421503"/>
    <s v="BRL"/>
    <n v="55.66"/>
    <n v="55.66"/>
    <m/>
    <m/>
    <m/>
    <d v="2025-01-27T00:00:00"/>
    <d v="2025-01-27T00:00:00"/>
    <m/>
    <s v="Pagamento"/>
    <n v="330421503"/>
    <x v="0"/>
    <m/>
    <s v="WILLIAM DE ABREU SILVA,"/>
    <n v="170297"/>
    <m/>
    <m/>
  </r>
  <r>
    <m/>
    <s v="Pagamento"/>
    <n v="330421504"/>
    <s v="BRL"/>
    <n v="332.4"/>
    <n v="332.4"/>
    <m/>
    <m/>
    <m/>
    <d v="2025-01-27T00:00:00"/>
    <d v="2025-01-27T00:00:00"/>
    <m/>
    <s v="Pagamento"/>
    <n v="330421504"/>
    <x v="0"/>
    <m/>
    <s v="WILLIAN DE SOUZA PAIVA,"/>
    <n v="170297"/>
    <m/>
    <m/>
  </r>
  <r>
    <m/>
    <s v="Pagamento"/>
    <n v="330421505"/>
    <s v="BRL"/>
    <n v="455.24"/>
    <n v="455.24"/>
    <m/>
    <m/>
    <m/>
    <d v="2025-01-27T00:00:00"/>
    <d v="2025-01-27T00:00:00"/>
    <m/>
    <s v="Pagamento"/>
    <n v="330421505"/>
    <x v="0"/>
    <m/>
    <s v="WINICIUS ALVES MARTINS,"/>
    <n v="170297"/>
    <m/>
    <m/>
  </r>
  <r>
    <m/>
    <s v="Pagamento"/>
    <n v="330421506"/>
    <s v="BRL"/>
    <n v="43.88"/>
    <n v="43.88"/>
    <m/>
    <m/>
    <m/>
    <d v="2025-01-27T00:00:00"/>
    <d v="2025-01-27T00:00:00"/>
    <m/>
    <s v="Pagamento"/>
    <n v="330421506"/>
    <x v="0"/>
    <m/>
    <s v="ZAYRA ALMEIDA CANDIDO,"/>
    <n v="170297"/>
    <m/>
    <m/>
  </r>
  <r>
    <m/>
    <s v="Pagamento"/>
    <n v="330421507"/>
    <s v="BRL"/>
    <n v="3159.82"/>
    <n v="3159.82"/>
    <m/>
    <m/>
    <m/>
    <d v="2025-01-27T00:00:00"/>
    <d v="2025-01-27T00:00:00"/>
    <m/>
    <s v="Pagamento"/>
    <n v="330421507"/>
    <x v="1"/>
    <m/>
    <s v="ALVO TERCEIRIZACAO EM SERVICOS ESPECIALIZADOS LTDA - EPP"/>
    <n v="170282"/>
    <m/>
    <m/>
  </r>
  <r>
    <m/>
    <s v="Pagamento"/>
    <n v="330421509"/>
    <s v="BRL"/>
    <n v="2887796.78"/>
    <n v="2887796.78"/>
    <m/>
    <m/>
    <m/>
    <d v="2025-01-27T00:00:00"/>
    <d v="2025-01-27T00:00:00"/>
    <m/>
    <s v="Pagamento"/>
    <n v="330421509"/>
    <x v="1"/>
    <m/>
    <s v="PROCOMP INDUSTRIA ELETRONICA LTDA"/>
    <n v="170282"/>
    <m/>
    <m/>
  </r>
  <r>
    <m/>
    <s v="Pagamento"/>
    <n v="330421511"/>
    <s v="BRL"/>
    <n v="792.62"/>
    <n v="792.62"/>
    <m/>
    <m/>
    <m/>
    <d v="2025-01-27T00:00:00"/>
    <d v="2025-01-27T00:00:00"/>
    <m/>
    <s v="Pagamento"/>
    <n v="330421511"/>
    <x v="1"/>
    <m/>
    <s v="STRIX ASSESSORIA E PLANEJAMENTO RURAL LTDA - ME"/>
    <n v="170282"/>
    <m/>
    <m/>
  </r>
  <r>
    <m/>
    <s v="Pagamento"/>
    <n v="330421512"/>
    <s v="BRL"/>
    <n v="2327.16"/>
    <n v="2327.16"/>
    <m/>
    <m/>
    <m/>
    <d v="2025-01-27T00:00:00"/>
    <d v="2025-01-27T00:00:00"/>
    <m/>
    <s v="Pagamento"/>
    <n v="330421512"/>
    <x v="1"/>
    <m/>
    <s v="TRANSPORTADORA TURISTICA SUZANO LTDA"/>
    <n v="170282"/>
    <m/>
    <m/>
  </r>
  <r>
    <m/>
    <s v="Pagamento"/>
    <n v="330421513"/>
    <s v="BRL"/>
    <n v="3560.32"/>
    <n v="3560.32"/>
    <m/>
    <m/>
    <m/>
    <d v="2025-01-27T00:00:00"/>
    <d v="2025-01-27T00:00:00"/>
    <m/>
    <s v="Pagamento"/>
    <n v="330421513"/>
    <x v="1"/>
    <m/>
    <s v="VERITAS ASSESSORIA CONTABIL SS LTDA ME"/>
    <n v="170282"/>
    <m/>
    <m/>
  </r>
  <r>
    <m/>
    <s v="Pagamento"/>
    <n v="330421514"/>
    <s v="BRL"/>
    <n v="1672.98"/>
    <n v="1672.98"/>
    <m/>
    <m/>
    <m/>
    <d v="2025-01-27T00:00:00"/>
    <d v="2025-01-27T00:00:00"/>
    <m/>
    <s v="Pagamento"/>
    <n v="330421514"/>
    <x v="2"/>
    <m/>
    <s v="ABILIO CARLOS OLIVEIRA SIQUEIRA,"/>
    <n v="170288"/>
    <m/>
    <m/>
  </r>
  <r>
    <m/>
    <s v="Pagamento"/>
    <n v="330421515"/>
    <s v="BRL"/>
    <n v="1493.92"/>
    <n v="1493.92"/>
    <m/>
    <m/>
    <m/>
    <d v="2025-01-27T00:00:00"/>
    <d v="2025-01-27T00:00:00"/>
    <m/>
    <s v="Pagamento"/>
    <n v="330421515"/>
    <x v="2"/>
    <m/>
    <s v="ADAO ANTONIO CAVALCANTE LOPES,"/>
    <n v="170288"/>
    <m/>
    <m/>
  </r>
  <r>
    <m/>
    <s v="Pagamento"/>
    <n v="330421516"/>
    <s v="BRL"/>
    <n v="89.37"/>
    <n v="89.37"/>
    <m/>
    <m/>
    <m/>
    <d v="2025-01-27T00:00:00"/>
    <d v="2025-01-27T00:00:00"/>
    <m/>
    <s v="Pagamento"/>
    <n v="330421516"/>
    <x v="2"/>
    <m/>
    <s v="ADRIANA RIBEIRO DO NASCIMENTO,"/>
    <n v="170288"/>
    <m/>
    <m/>
  </r>
  <r>
    <m/>
    <s v="Pagamento"/>
    <n v="330421517"/>
    <s v="BRL"/>
    <n v="1398.52"/>
    <n v="1398.52"/>
    <m/>
    <m/>
    <m/>
    <d v="2025-01-27T00:00:00"/>
    <d v="2025-01-27T00:00:00"/>
    <m/>
    <s v="Pagamento"/>
    <n v="330421517"/>
    <x v="2"/>
    <m/>
    <s v="ADRIANO MARCIAL MOREIRA,"/>
    <n v="170288"/>
    <m/>
    <m/>
  </r>
  <r>
    <m/>
    <s v="Pagamento"/>
    <n v="330421518"/>
    <s v="BRL"/>
    <n v="1672.98"/>
    <n v="1672.98"/>
    <m/>
    <m/>
    <m/>
    <d v="2025-01-27T00:00:00"/>
    <d v="2025-01-27T00:00:00"/>
    <m/>
    <s v="Pagamento"/>
    <n v="330421518"/>
    <x v="2"/>
    <m/>
    <s v="ADRIANO SILVA DA COSTA,"/>
    <n v="170288"/>
    <m/>
    <m/>
  </r>
  <r>
    <m/>
    <s v="Pagamento"/>
    <n v="330421519"/>
    <s v="BRL"/>
    <n v="1493.92"/>
    <n v="1493.92"/>
    <m/>
    <m/>
    <m/>
    <d v="2025-01-27T00:00:00"/>
    <d v="2025-01-27T00:00:00"/>
    <m/>
    <s v="Pagamento"/>
    <n v="330421519"/>
    <x v="2"/>
    <m/>
    <s v="ADSON LOPES DE OLIVEIRA,"/>
    <n v="170288"/>
    <m/>
    <m/>
  </r>
  <r>
    <m/>
    <s v="Pagamento"/>
    <n v="330421520"/>
    <s v="BRL"/>
    <n v="1511.97"/>
    <n v="1511.97"/>
    <m/>
    <m/>
    <m/>
    <d v="2025-01-27T00:00:00"/>
    <d v="2025-01-27T00:00:00"/>
    <m/>
    <s v="Pagamento"/>
    <n v="330421520"/>
    <x v="2"/>
    <m/>
    <s v="AFONSO VIDAL SANTOS DA SILVA,"/>
    <n v="170288"/>
    <m/>
    <m/>
  </r>
  <r>
    <m/>
    <s v="Pagamento"/>
    <n v="330421521"/>
    <s v="BRL"/>
    <n v="651.55999999999995"/>
    <n v="651.55999999999995"/>
    <m/>
    <m/>
    <m/>
    <d v="2025-01-27T00:00:00"/>
    <d v="2025-01-27T00:00:00"/>
    <m/>
    <s v="Pagamento"/>
    <n v="330421521"/>
    <x v="2"/>
    <m/>
    <s v="AGNALDO RODRIGUES DA SILVA JUNIOR,"/>
    <n v="170288"/>
    <m/>
    <m/>
  </r>
  <r>
    <m/>
    <s v="Pagamento"/>
    <n v="330421522"/>
    <s v="BRL"/>
    <n v="50.56"/>
    <n v="50.56"/>
    <m/>
    <m/>
    <m/>
    <d v="2025-01-27T00:00:00"/>
    <d v="2025-01-27T00:00:00"/>
    <m/>
    <s v="Pagamento"/>
    <n v="330421522"/>
    <x v="2"/>
    <m/>
    <s v="ALAN LOMEU LAIA,"/>
    <n v="170288"/>
    <m/>
    <m/>
  </r>
  <r>
    <m/>
    <s v="Pagamento"/>
    <n v="330421523"/>
    <s v="BRL"/>
    <n v="2818.74"/>
    <n v="2818.74"/>
    <m/>
    <m/>
    <m/>
    <d v="2025-01-27T00:00:00"/>
    <d v="2025-01-27T00:00:00"/>
    <m/>
    <s v="Pagamento"/>
    <n v="330421523"/>
    <x v="2"/>
    <m/>
    <s v="ALCERY LEMOS BITENCOURT,"/>
    <n v="170288"/>
    <m/>
    <m/>
  </r>
  <r>
    <m/>
    <s v="Pagamento"/>
    <n v="330421524"/>
    <s v="BRL"/>
    <n v="1255.42"/>
    <n v="1255.42"/>
    <m/>
    <m/>
    <m/>
    <d v="2025-01-27T00:00:00"/>
    <d v="2025-01-27T00:00:00"/>
    <m/>
    <s v="Pagamento"/>
    <n v="330421524"/>
    <x v="2"/>
    <m/>
    <s v="ALDAIR LEAL CHAVES,"/>
    <n v="170288"/>
    <m/>
    <m/>
  </r>
  <r>
    <m/>
    <s v="Pagamento"/>
    <n v="330421525"/>
    <s v="BRL"/>
    <n v="1207.72"/>
    <n v="1207.72"/>
    <m/>
    <m/>
    <m/>
    <d v="2025-01-27T00:00:00"/>
    <d v="2025-01-27T00:00:00"/>
    <m/>
    <s v="Pagamento"/>
    <n v="330421525"/>
    <x v="2"/>
    <m/>
    <s v="ALESSANDRO DA CRUZ SANTOS,"/>
    <n v="170288"/>
    <m/>
    <m/>
  </r>
  <r>
    <m/>
    <s v="Pagamento"/>
    <n v="330421526"/>
    <s v="BRL"/>
    <n v="1706.85"/>
    <n v="1706.85"/>
    <m/>
    <m/>
    <m/>
    <d v="2025-01-27T00:00:00"/>
    <d v="2025-01-27T00:00:00"/>
    <m/>
    <s v="Pagamento"/>
    <n v="330421526"/>
    <x v="2"/>
    <m/>
    <s v="ALEX BARBOSA DE ALMEIDA,"/>
    <n v="170288"/>
    <m/>
    <m/>
  </r>
  <r>
    <m/>
    <s v="Pagamento"/>
    <n v="330421527"/>
    <s v="BRL"/>
    <n v="873.81"/>
    <n v="873.81"/>
    <m/>
    <m/>
    <m/>
    <d v="2025-01-27T00:00:00"/>
    <d v="2025-01-27T00:00:00"/>
    <m/>
    <s v="Pagamento"/>
    <n v="330421527"/>
    <x v="2"/>
    <m/>
    <s v="ALEX SANDRO DE ALMEIDA RODRIGUES PINTO,"/>
    <n v="170288"/>
    <m/>
    <m/>
  </r>
  <r>
    <m/>
    <s v="Pagamento"/>
    <n v="330421528"/>
    <s v="BRL"/>
    <n v="1511.97"/>
    <n v="1511.97"/>
    <m/>
    <m/>
    <m/>
    <d v="2025-01-27T00:00:00"/>
    <d v="2025-01-27T00:00:00"/>
    <m/>
    <s v="Pagamento"/>
    <n v="330421528"/>
    <x v="2"/>
    <m/>
    <s v="ALEX SANDRO MARTINS FREITAS,"/>
    <n v="170288"/>
    <m/>
    <m/>
  </r>
  <r>
    <m/>
    <s v="Pagamento"/>
    <n v="330421529"/>
    <s v="BRL"/>
    <n v="1505.92"/>
    <n v="1505.92"/>
    <m/>
    <m/>
    <m/>
    <d v="2025-01-27T00:00:00"/>
    <d v="2025-01-27T00:00:00"/>
    <m/>
    <s v="Pagamento"/>
    <n v="330421529"/>
    <x v="2"/>
    <m/>
    <s v="ALEXANDRE  LOURENCO,"/>
    <n v="170288"/>
    <m/>
    <m/>
  </r>
  <r>
    <m/>
    <s v="Pagamento"/>
    <n v="330421530"/>
    <s v="BRL"/>
    <n v="130"/>
    <n v="130"/>
    <m/>
    <m/>
    <m/>
    <d v="2025-01-27T00:00:00"/>
    <d v="2025-01-27T00:00:00"/>
    <m/>
    <s v="Pagamento"/>
    <n v="330421530"/>
    <x v="2"/>
    <m/>
    <s v="ALEXANDRE  MACHADO,"/>
    <n v="170288"/>
    <m/>
    <m/>
  </r>
  <r>
    <m/>
    <s v="Pagamento"/>
    <n v="330421531"/>
    <s v="BRL"/>
    <n v="1493.92"/>
    <n v="1493.92"/>
    <m/>
    <m/>
    <m/>
    <d v="2025-01-27T00:00:00"/>
    <d v="2025-01-27T00:00:00"/>
    <m/>
    <s v="Pagamento"/>
    <n v="330421531"/>
    <x v="2"/>
    <m/>
    <s v="ALEXANDRE ANDRADE DOS SANTOS,"/>
    <n v="170288"/>
    <m/>
    <m/>
  </r>
  <r>
    <m/>
    <s v="Pagamento"/>
    <n v="330421532"/>
    <s v="BRL"/>
    <n v="3158.19"/>
    <n v="3158.19"/>
    <m/>
    <m/>
    <m/>
    <d v="2025-01-27T00:00:00"/>
    <d v="2025-01-27T00:00:00"/>
    <m/>
    <s v="Pagamento"/>
    <n v="330421532"/>
    <x v="2"/>
    <m/>
    <s v="ALEXANDRE BENTO DE OLIVEIRA,"/>
    <n v="170288"/>
    <m/>
    <m/>
  </r>
  <r>
    <m/>
    <s v="Pagamento"/>
    <n v="330421533"/>
    <s v="BRL"/>
    <n v="699.26"/>
    <n v="699.26"/>
    <m/>
    <m/>
    <m/>
    <d v="2025-01-27T00:00:00"/>
    <d v="2025-01-27T00:00:00"/>
    <m/>
    <s v="Pagamento"/>
    <n v="330421533"/>
    <x v="2"/>
    <m/>
    <s v="ALEXANDRE BERNARDO CHIARENTIN,"/>
    <n v="170288"/>
    <m/>
    <m/>
  </r>
  <r>
    <m/>
    <s v="Pagamento"/>
    <n v="330421534"/>
    <s v="BRL"/>
    <n v="699.26"/>
    <n v="699.26"/>
    <m/>
    <m/>
    <m/>
    <d v="2025-01-27T00:00:00"/>
    <d v="2025-01-27T00:00:00"/>
    <m/>
    <s v="Pagamento"/>
    <n v="330421534"/>
    <x v="2"/>
    <m/>
    <s v="ALEXANDRE CESAR FRAGOSO CORREIA,"/>
    <n v="170288"/>
    <m/>
    <m/>
  </r>
  <r>
    <m/>
    <s v="Pagamento"/>
    <n v="330421535"/>
    <s v="BRL"/>
    <n v="174.55"/>
    <n v="174.55"/>
    <m/>
    <m/>
    <m/>
    <d v="2025-01-27T00:00:00"/>
    <d v="2025-01-27T00:00:00"/>
    <m/>
    <s v="Pagamento"/>
    <n v="330421535"/>
    <x v="2"/>
    <m/>
    <s v="ALEXANDRE DE FREITAS MARTINS,"/>
    <n v="170288"/>
    <m/>
    <m/>
  </r>
  <r>
    <m/>
    <s v="Pagamento"/>
    <n v="330421536"/>
    <s v="BRL"/>
    <n v="1493.92"/>
    <n v="1493.92"/>
    <m/>
    <m/>
    <m/>
    <d v="2025-01-27T00:00:00"/>
    <d v="2025-01-27T00:00:00"/>
    <m/>
    <s v="Pagamento"/>
    <n v="330421536"/>
    <x v="2"/>
    <m/>
    <s v="ALEXANDRE MAGALHAES SOARES,"/>
    <n v="170288"/>
    <m/>
    <m/>
  </r>
  <r>
    <m/>
    <s v="Pagamento"/>
    <n v="330421537"/>
    <s v="BRL"/>
    <n v="1350.82"/>
    <n v="1350.82"/>
    <m/>
    <m/>
    <m/>
    <d v="2025-01-27T00:00:00"/>
    <d v="2025-01-27T00:00:00"/>
    <m/>
    <s v="Pagamento"/>
    <n v="330421537"/>
    <x v="2"/>
    <m/>
    <s v="ALEXANDRE PIANETTI HOFFMEISTER,"/>
    <n v="170288"/>
    <m/>
    <m/>
  </r>
  <r>
    <m/>
    <s v="Pagamento"/>
    <n v="330421538"/>
    <s v="BRL"/>
    <n v="826.11"/>
    <n v="826.11"/>
    <m/>
    <m/>
    <m/>
    <d v="2025-01-27T00:00:00"/>
    <d v="2025-01-27T00:00:00"/>
    <m/>
    <s v="Pagamento"/>
    <n v="330421538"/>
    <x v="2"/>
    <m/>
    <s v="ALEXANDRE TEIXEIRA DA ROSA,"/>
    <n v="170288"/>
    <m/>
    <m/>
  </r>
  <r>
    <m/>
    <s v="Pagamento"/>
    <n v="330421539"/>
    <s v="BRL"/>
    <n v="1511.97"/>
    <n v="1511.97"/>
    <m/>
    <m/>
    <m/>
    <d v="2025-01-27T00:00:00"/>
    <d v="2025-01-27T00:00:00"/>
    <m/>
    <s v="Pagamento"/>
    <n v="330421539"/>
    <x v="2"/>
    <m/>
    <s v="ALEXANDRO DO CARMO SOARES,"/>
    <n v="170288"/>
    <m/>
    <m/>
  </r>
  <r>
    <m/>
    <s v="Pagamento"/>
    <n v="330421540"/>
    <s v="BRL"/>
    <n v="78"/>
    <n v="78"/>
    <m/>
    <m/>
    <m/>
    <d v="2025-01-27T00:00:00"/>
    <d v="2025-01-27T00:00:00"/>
    <m/>
    <s v="Pagamento"/>
    <n v="330421540"/>
    <x v="2"/>
    <m/>
    <s v="ALEXSANDRO AMANCIO DE SOUZA FERREIRA,"/>
    <n v="170288"/>
    <m/>
    <m/>
  </r>
  <r>
    <m/>
    <s v="Pagamento"/>
    <n v="330421541"/>
    <s v="BRL"/>
    <n v="729.15"/>
    <n v="729.15"/>
    <m/>
    <m/>
    <m/>
    <d v="2025-01-27T00:00:00"/>
    <d v="2025-01-27T00:00:00"/>
    <m/>
    <s v="Pagamento"/>
    <n v="330421541"/>
    <x v="2"/>
    <m/>
    <s v="ALEXSANDRO MAGNO DE ALMEIDA,"/>
    <n v="170288"/>
    <m/>
    <m/>
  </r>
  <r>
    <m/>
    <s v="Pagamento"/>
    <n v="330421542"/>
    <s v="BRL"/>
    <n v="1398.52"/>
    <n v="1398.52"/>
    <m/>
    <m/>
    <m/>
    <d v="2025-01-27T00:00:00"/>
    <d v="2025-01-27T00:00:00"/>
    <m/>
    <s v="Pagamento"/>
    <n v="330421542"/>
    <x v="2"/>
    <m/>
    <s v="ALEXSANDRO SANTOS DO NASCIMENTO,"/>
    <n v="170288"/>
    <m/>
    <m/>
  </r>
  <r>
    <m/>
    <s v="Pagamento"/>
    <n v="330421543"/>
    <s v="BRL"/>
    <n v="140"/>
    <n v="140"/>
    <m/>
    <m/>
    <m/>
    <d v="2025-01-27T00:00:00"/>
    <d v="2025-01-27T00:00:00"/>
    <m/>
    <s v="Pagamento"/>
    <n v="330421543"/>
    <x v="2"/>
    <m/>
    <s v="ALINE BATISTA MENDES,"/>
    <n v="170288"/>
    <m/>
    <m/>
  </r>
  <r>
    <m/>
    <s v="Pagamento"/>
    <n v="330421544"/>
    <s v="BRL"/>
    <n v="1350.82"/>
    <n v="1350.82"/>
    <m/>
    <m/>
    <m/>
    <d v="2025-01-27T00:00:00"/>
    <d v="2025-01-27T00:00:00"/>
    <m/>
    <s v="Pagamento"/>
    <n v="330421544"/>
    <x v="2"/>
    <m/>
    <s v="ALMIR BENEDITO RINALDI,"/>
    <n v="170288"/>
    <m/>
    <m/>
  </r>
  <r>
    <m/>
    <s v="Pagamento"/>
    <n v="330421545"/>
    <s v="BRL"/>
    <n v="1565.64"/>
    <n v="1565.64"/>
    <m/>
    <m/>
    <m/>
    <d v="2025-01-27T00:00:00"/>
    <d v="2025-01-27T00:00:00"/>
    <m/>
    <s v="Pagamento"/>
    <n v="330421545"/>
    <x v="2"/>
    <m/>
    <s v="ALVARO HIGO QUEIROZ MATOS,"/>
    <n v="170288"/>
    <m/>
    <m/>
  </r>
  <r>
    <m/>
    <s v="Pagamento"/>
    <n v="330421546"/>
    <s v="BRL"/>
    <n v="826.11"/>
    <n v="826.11"/>
    <m/>
    <m/>
    <m/>
    <d v="2025-01-27T00:00:00"/>
    <d v="2025-01-27T00:00:00"/>
    <m/>
    <s v="Pagamento"/>
    <n v="330421546"/>
    <x v="2"/>
    <m/>
    <s v="ALYSON SANTANA VARELA,"/>
    <n v="170288"/>
    <m/>
    <m/>
  </r>
  <r>
    <m/>
    <s v="Pagamento"/>
    <n v="330421547"/>
    <s v="BRL"/>
    <n v="1398.52"/>
    <n v="1398.52"/>
    <m/>
    <m/>
    <m/>
    <d v="2025-01-27T00:00:00"/>
    <d v="2025-01-27T00:00:00"/>
    <m/>
    <s v="Pagamento"/>
    <n v="330421547"/>
    <x v="2"/>
    <m/>
    <s v="AMILTON ANGELO DE LIMA,"/>
    <n v="170288"/>
    <m/>
    <m/>
  </r>
  <r>
    <m/>
    <s v="Pagamento"/>
    <n v="330421548"/>
    <s v="BRL"/>
    <n v="44.97"/>
    <n v="44.97"/>
    <m/>
    <m/>
    <m/>
    <d v="2025-01-27T00:00:00"/>
    <d v="2025-01-27T00:00:00"/>
    <m/>
    <s v="Pagamento"/>
    <n v="330421548"/>
    <x v="2"/>
    <m/>
    <s v="ANA PAULA FERREIRA MARCO,"/>
    <n v="170288"/>
    <m/>
    <m/>
  </r>
  <r>
    <m/>
    <s v="Pagamento"/>
    <n v="330421549"/>
    <s v="BRL"/>
    <n v="1398.52"/>
    <n v="1398.52"/>
    <m/>
    <m/>
    <m/>
    <d v="2025-01-27T00:00:00"/>
    <d v="2025-01-27T00:00:00"/>
    <m/>
    <s v="Pagamento"/>
    <n v="330421549"/>
    <x v="2"/>
    <m/>
    <s v="ANDERSON APARECIDO DE SOUZA,"/>
    <n v="170288"/>
    <m/>
    <m/>
  </r>
  <r>
    <m/>
    <s v="Pagamento"/>
    <n v="330421550"/>
    <s v="BRL"/>
    <n v="137.6"/>
    <n v="137.6"/>
    <m/>
    <m/>
    <m/>
    <d v="2025-01-27T00:00:00"/>
    <d v="2025-01-27T00:00:00"/>
    <m/>
    <s v="Pagamento"/>
    <n v="330421550"/>
    <x v="2"/>
    <m/>
    <s v="ANDERSON CARLOS MENEZES,"/>
    <n v="170288"/>
    <m/>
    <m/>
  </r>
  <r>
    <m/>
    <s v="Pagamento"/>
    <n v="330421551"/>
    <s v="BRL"/>
    <n v="1672.98"/>
    <n v="1672.98"/>
    <m/>
    <m/>
    <m/>
    <d v="2025-01-27T00:00:00"/>
    <d v="2025-01-27T00:00:00"/>
    <m/>
    <s v="Pagamento"/>
    <n v="330421551"/>
    <x v="2"/>
    <m/>
    <s v="ANDERSON CLAYTON NASCIMENTO SILVA,"/>
    <n v="170288"/>
    <m/>
    <m/>
  </r>
  <r>
    <m/>
    <s v="Pagamento"/>
    <n v="330421552"/>
    <s v="BRL"/>
    <n v="1398.52"/>
    <n v="1398.52"/>
    <m/>
    <m/>
    <m/>
    <d v="2025-01-27T00:00:00"/>
    <d v="2025-01-27T00:00:00"/>
    <m/>
    <s v="Pagamento"/>
    <n v="330421552"/>
    <x v="2"/>
    <m/>
    <s v="ANDERSON DE SOUZA BOPSIN,"/>
    <n v="170288"/>
    <m/>
    <m/>
  </r>
  <r>
    <m/>
    <s v="Pagamento"/>
    <n v="330421553"/>
    <s v="BRL"/>
    <n v="1165.8599999999999"/>
    <n v="1165.8599999999999"/>
    <m/>
    <m/>
    <m/>
    <d v="2025-01-27T00:00:00"/>
    <d v="2025-01-27T00:00:00"/>
    <m/>
    <s v="Pagamento"/>
    <n v="330421553"/>
    <x v="2"/>
    <m/>
    <s v="ANDERSON LEMOS DOS SANTOS,"/>
    <n v="170288"/>
    <m/>
    <m/>
  </r>
  <r>
    <m/>
    <s v="Pagamento"/>
    <n v="330421554"/>
    <s v="BRL"/>
    <n v="1350.82"/>
    <n v="1350.82"/>
    <m/>
    <m/>
    <m/>
    <d v="2025-01-27T00:00:00"/>
    <d v="2025-01-27T00:00:00"/>
    <m/>
    <s v="Pagamento"/>
    <n v="330421554"/>
    <x v="2"/>
    <m/>
    <s v="ANDERSON LUIZ DE OLIVEIRA,"/>
    <n v="170288"/>
    <m/>
    <m/>
  </r>
  <r>
    <m/>
    <s v="Pagamento"/>
    <n v="330421555"/>
    <s v="BRL"/>
    <n v="2501.16"/>
    <n v="2501.16"/>
    <m/>
    <m/>
    <m/>
    <d v="2025-01-27T00:00:00"/>
    <d v="2025-01-27T00:00:00"/>
    <m/>
    <s v="Pagamento"/>
    <n v="330421555"/>
    <x v="2"/>
    <m/>
    <s v="ANDERSON VELOSO GUIMARAES,"/>
    <n v="170288"/>
    <m/>
    <m/>
  </r>
  <r>
    <m/>
    <s v="Pagamento"/>
    <n v="330421556"/>
    <s v="BRL"/>
    <n v="1672.98"/>
    <n v="1672.98"/>
    <m/>
    <m/>
    <m/>
    <d v="2025-01-27T00:00:00"/>
    <d v="2025-01-27T00:00:00"/>
    <m/>
    <s v="Pagamento"/>
    <n v="330421556"/>
    <x v="2"/>
    <m/>
    <s v="ANDRE COSTA PURIFICACAO,"/>
    <n v="170288"/>
    <m/>
    <m/>
  </r>
  <r>
    <m/>
    <s v="Pagamento"/>
    <n v="330421557"/>
    <s v="BRL"/>
    <n v="1493.92"/>
    <n v="1493.92"/>
    <m/>
    <m/>
    <m/>
    <d v="2025-01-27T00:00:00"/>
    <d v="2025-01-27T00:00:00"/>
    <m/>
    <s v="Pagamento"/>
    <n v="330421557"/>
    <x v="2"/>
    <m/>
    <s v="ANDRE LUIZ BENTO DE MORAIS,"/>
    <n v="170288"/>
    <m/>
    <m/>
  </r>
  <r>
    <m/>
    <s v="Pagamento"/>
    <n v="330421558"/>
    <s v="BRL"/>
    <n v="451.95"/>
    <n v="451.95"/>
    <m/>
    <m/>
    <m/>
    <d v="2025-01-27T00:00:00"/>
    <d v="2025-01-27T00:00:00"/>
    <m/>
    <s v="Pagamento"/>
    <n v="330421558"/>
    <x v="2"/>
    <m/>
    <s v="ANDRE LUIZ NUNES,"/>
    <n v="170288"/>
    <m/>
    <m/>
  </r>
  <r>
    <m/>
    <s v="Pagamento"/>
    <n v="330421559"/>
    <s v="BRL"/>
    <n v="1398.52"/>
    <n v="1398.52"/>
    <m/>
    <m/>
    <m/>
    <d v="2025-01-27T00:00:00"/>
    <d v="2025-01-27T00:00:00"/>
    <m/>
    <s v="Pagamento"/>
    <n v="330421559"/>
    <x v="2"/>
    <m/>
    <s v="ANDRE LUIZ PIRES DE OLIVEIRA,"/>
    <n v="170288"/>
    <m/>
    <m/>
  </r>
  <r>
    <m/>
    <s v="Pagamento"/>
    <n v="330421560"/>
    <s v="BRL"/>
    <n v="1243.6300000000001"/>
    <n v="1243.6300000000001"/>
    <m/>
    <m/>
    <m/>
    <d v="2025-01-27T00:00:00"/>
    <d v="2025-01-27T00:00:00"/>
    <m/>
    <s v="Pagamento"/>
    <n v="330421560"/>
    <x v="2"/>
    <m/>
    <s v="ANDRE MARCIO DA SILVA,"/>
    <n v="170288"/>
    <m/>
    <m/>
  </r>
  <r>
    <m/>
    <s v="Pagamento"/>
    <n v="330421561"/>
    <s v="BRL"/>
    <n v="921.61"/>
    <n v="921.61"/>
    <m/>
    <m/>
    <m/>
    <d v="2025-01-27T00:00:00"/>
    <d v="2025-01-27T00:00:00"/>
    <m/>
    <s v="Pagamento"/>
    <n v="330421561"/>
    <x v="2"/>
    <m/>
    <s v="ANDREA KARINA MELO LINS DE PONTES,"/>
    <n v="170288"/>
    <m/>
    <m/>
  </r>
  <r>
    <m/>
    <s v="Pagamento"/>
    <n v="330421562"/>
    <s v="BRL"/>
    <n v="1350.82"/>
    <n v="1350.82"/>
    <m/>
    <m/>
    <m/>
    <d v="2025-01-27T00:00:00"/>
    <d v="2025-01-27T00:00:00"/>
    <m/>
    <s v="Pagamento"/>
    <n v="330421562"/>
    <x v="2"/>
    <m/>
    <s v="ANGELO GIOVANI OLIVEIRA GUIDA,"/>
    <n v="170288"/>
    <m/>
    <m/>
  </r>
  <r>
    <m/>
    <s v="Pagamento"/>
    <n v="330421563"/>
    <s v="BRL"/>
    <n v="1493.92"/>
    <n v="1493.92"/>
    <m/>
    <m/>
    <m/>
    <d v="2025-01-27T00:00:00"/>
    <d v="2025-01-27T00:00:00"/>
    <m/>
    <s v="Pagamento"/>
    <n v="330421563"/>
    <x v="2"/>
    <m/>
    <s v="ANSELMO LAUTENSCHLAGER JUNIOR,"/>
    <n v="170288"/>
    <m/>
    <m/>
  </r>
  <r>
    <m/>
    <s v="Pagamento"/>
    <n v="330421564"/>
    <s v="BRL"/>
    <n v="1350.82"/>
    <n v="1350.82"/>
    <m/>
    <m/>
    <m/>
    <d v="2025-01-27T00:00:00"/>
    <d v="2025-01-27T00:00:00"/>
    <m/>
    <s v="Pagamento"/>
    <n v="330421564"/>
    <x v="2"/>
    <m/>
    <s v="ANTONIO CARLOS DA SILVA,"/>
    <n v="170288"/>
    <m/>
    <m/>
  </r>
  <r>
    <m/>
    <s v="Pagamento"/>
    <n v="330421565"/>
    <s v="BRL"/>
    <n v="556.16"/>
    <n v="556.16"/>
    <m/>
    <m/>
    <m/>
    <d v="2025-01-27T00:00:00"/>
    <d v="2025-01-27T00:00:00"/>
    <m/>
    <s v="Pagamento"/>
    <n v="330421565"/>
    <x v="2"/>
    <m/>
    <s v="ANTONIO CARLOS MACHADO,"/>
    <n v="170288"/>
    <m/>
    <m/>
  </r>
  <r>
    <m/>
    <s v="Pagamento"/>
    <n v="330421566"/>
    <s v="BRL"/>
    <n v="1672.98"/>
    <n v="1672.98"/>
    <m/>
    <m/>
    <m/>
    <d v="2025-01-27T00:00:00"/>
    <d v="2025-01-27T00:00:00"/>
    <m/>
    <s v="Pagamento"/>
    <n v="330421566"/>
    <x v="2"/>
    <m/>
    <s v="ANTONIO CARLOS RAMOS FREITAS JUNIOR,"/>
    <n v="170288"/>
    <m/>
    <m/>
  </r>
  <r>
    <m/>
    <s v="Pagamento"/>
    <n v="330421567"/>
    <s v="BRL"/>
    <n v="120"/>
    <n v="120"/>
    <m/>
    <m/>
    <m/>
    <d v="2025-01-27T00:00:00"/>
    <d v="2025-01-27T00:00:00"/>
    <m/>
    <s v="Pagamento"/>
    <n v="330421567"/>
    <x v="2"/>
    <m/>
    <s v="ANTONIO CARLOS SANTOS,"/>
    <n v="170288"/>
    <m/>
    <m/>
  </r>
  <r>
    <m/>
    <s v="Pagamento"/>
    <n v="330421568"/>
    <s v="BRL"/>
    <n v="1398.52"/>
    <n v="1398.52"/>
    <m/>
    <m/>
    <m/>
    <d v="2025-01-27T00:00:00"/>
    <d v="2025-01-27T00:00:00"/>
    <m/>
    <s v="Pagamento"/>
    <n v="330421568"/>
    <x v="2"/>
    <m/>
    <s v="ANTONIO JESUS DA SILVA,"/>
    <n v="170288"/>
    <m/>
    <m/>
  </r>
  <r>
    <m/>
    <s v="Pagamento"/>
    <n v="330421569"/>
    <s v="BRL"/>
    <n v="1672.98"/>
    <n v="1672.98"/>
    <m/>
    <m/>
    <m/>
    <d v="2025-01-27T00:00:00"/>
    <d v="2025-01-27T00:00:00"/>
    <m/>
    <s v="Pagamento"/>
    <n v="330421569"/>
    <x v="2"/>
    <m/>
    <s v="ANTONIO JUNIOR AZEVEDO,"/>
    <n v="170288"/>
    <m/>
    <m/>
  </r>
  <r>
    <m/>
    <s v="Pagamento"/>
    <n v="330421570"/>
    <s v="BRL"/>
    <n v="1493.92"/>
    <n v="1493.92"/>
    <m/>
    <m/>
    <m/>
    <d v="2025-01-27T00:00:00"/>
    <d v="2025-01-27T00:00:00"/>
    <m/>
    <s v="Pagamento"/>
    <n v="330421570"/>
    <x v="2"/>
    <m/>
    <s v="ANTONIO LOPES TOMAZ,"/>
    <n v="170288"/>
    <m/>
    <m/>
  </r>
  <r>
    <m/>
    <s v="Pagamento"/>
    <n v="330421571"/>
    <s v="BRL"/>
    <n v="556.16"/>
    <n v="556.16"/>
    <m/>
    <m/>
    <m/>
    <d v="2025-01-27T00:00:00"/>
    <d v="2025-01-27T00:00:00"/>
    <m/>
    <s v="Pagamento"/>
    <n v="330421571"/>
    <x v="2"/>
    <m/>
    <s v="ANTONIO PEREIRA URTIGA,"/>
    <n v="170288"/>
    <m/>
    <m/>
  </r>
  <r>
    <m/>
    <s v="Pagamento"/>
    <n v="330421572"/>
    <s v="BRL"/>
    <n v="1493.92"/>
    <n v="1493.92"/>
    <m/>
    <m/>
    <m/>
    <d v="2025-01-27T00:00:00"/>
    <d v="2025-01-27T00:00:00"/>
    <m/>
    <s v="Pagamento"/>
    <n v="330421572"/>
    <x v="2"/>
    <m/>
    <s v="ANTONIO TELMO SOUZA OLIVEIRA JUNIOR"/>
    <n v="170288"/>
    <m/>
    <m/>
  </r>
  <r>
    <m/>
    <s v="Pagamento"/>
    <n v="330421573"/>
    <s v="BRL"/>
    <n v="1398.52"/>
    <n v="1398.52"/>
    <m/>
    <m/>
    <m/>
    <d v="2025-01-27T00:00:00"/>
    <d v="2025-01-27T00:00:00"/>
    <m/>
    <s v="Pagamento"/>
    <n v="330421573"/>
    <x v="2"/>
    <m/>
    <s v="ARISTON BARBOSA CHAGAS,"/>
    <n v="170288"/>
    <m/>
    <m/>
  </r>
  <r>
    <m/>
    <s v="Pagamento"/>
    <n v="330421574"/>
    <s v="BRL"/>
    <n v="1511.97"/>
    <n v="1511.97"/>
    <m/>
    <m/>
    <m/>
    <d v="2025-01-27T00:00:00"/>
    <d v="2025-01-27T00:00:00"/>
    <m/>
    <s v="Pagamento"/>
    <n v="330421574"/>
    <x v="2"/>
    <m/>
    <s v="ATAIDE TENORIO DE ALBUQUERQUE FILHO,"/>
    <n v="170288"/>
    <m/>
    <m/>
  </r>
  <r>
    <m/>
    <s v="Pagamento"/>
    <n v="330421575"/>
    <s v="BRL"/>
    <n v="1207.72"/>
    <n v="1207.72"/>
    <m/>
    <m/>
    <m/>
    <d v="2025-01-27T00:00:00"/>
    <d v="2025-01-27T00:00:00"/>
    <m/>
    <s v="Pagamento"/>
    <n v="330421575"/>
    <x v="2"/>
    <m/>
    <s v="AURELIANO SOBREIRA DE ALENCAR,"/>
    <n v="170288"/>
    <m/>
    <m/>
  </r>
  <r>
    <m/>
    <s v="Pagamento"/>
    <n v="330421576"/>
    <s v="BRL"/>
    <n v="1493.92"/>
    <n v="1493.92"/>
    <m/>
    <m/>
    <m/>
    <d v="2025-01-27T00:00:00"/>
    <d v="2025-01-27T00:00:00"/>
    <m/>
    <s v="Pagamento"/>
    <n v="330421576"/>
    <x v="2"/>
    <m/>
    <s v="BAYRON TEODORO DE MELO,"/>
    <n v="170288"/>
    <m/>
    <m/>
  </r>
  <r>
    <m/>
    <s v="Pagamento"/>
    <n v="330421577"/>
    <s v="BRL"/>
    <n v="1672.98"/>
    <n v="1672.98"/>
    <m/>
    <m/>
    <m/>
    <d v="2025-01-27T00:00:00"/>
    <d v="2025-01-27T00:00:00"/>
    <m/>
    <s v="Pagamento"/>
    <n v="330421577"/>
    <x v="2"/>
    <m/>
    <s v="BENEDITO LIMA PEREIRA,"/>
    <n v="170288"/>
    <m/>
    <m/>
  </r>
  <r>
    <m/>
    <s v="Pagamento"/>
    <n v="330421578"/>
    <s v="BRL"/>
    <n v="1672.98"/>
    <n v="1672.98"/>
    <m/>
    <m/>
    <m/>
    <d v="2025-01-27T00:00:00"/>
    <d v="2025-01-27T00:00:00"/>
    <m/>
    <s v="Pagamento"/>
    <n v="330421578"/>
    <x v="2"/>
    <m/>
    <s v="BRENNO BADARO MIRANDA,"/>
    <n v="170288"/>
    <m/>
    <m/>
  </r>
  <r>
    <m/>
    <s v="Pagamento"/>
    <n v="330421579"/>
    <s v="BRL"/>
    <n v="1082.6199999999999"/>
    <n v="1082.6199999999999"/>
    <m/>
    <m/>
    <m/>
    <d v="2025-01-27T00:00:00"/>
    <d v="2025-01-27T00:00:00"/>
    <m/>
    <s v="Pagamento"/>
    <n v="330421579"/>
    <x v="2"/>
    <m/>
    <s v="BRUNO ANTONIO DO VALE,"/>
    <n v="170288"/>
    <m/>
    <m/>
  </r>
  <r>
    <m/>
    <s v="Pagamento"/>
    <n v="330421580"/>
    <s v="BRL"/>
    <n v="51.86"/>
    <n v="51.86"/>
    <m/>
    <m/>
    <m/>
    <d v="2025-01-27T00:00:00"/>
    <d v="2025-01-27T00:00:00"/>
    <m/>
    <s v="Pagamento"/>
    <n v="330421580"/>
    <x v="2"/>
    <m/>
    <s v="BRUNO GUIMARAES DA SILVA,"/>
    <n v="170288"/>
    <m/>
    <m/>
  </r>
  <r>
    <m/>
    <s v="Pagamento"/>
    <n v="330421581"/>
    <s v="BRL"/>
    <n v="1207.72"/>
    <n v="1207.72"/>
    <m/>
    <m/>
    <m/>
    <d v="2025-01-27T00:00:00"/>
    <d v="2025-01-27T00:00:00"/>
    <m/>
    <s v="Pagamento"/>
    <n v="330421581"/>
    <x v="2"/>
    <m/>
    <s v="BRUNO LEONARDO DE JESUS VICTORIO DA SILVA,"/>
    <n v="170288"/>
    <m/>
    <m/>
  </r>
  <r>
    <m/>
    <s v="Pagamento"/>
    <n v="330421582"/>
    <s v="BRL"/>
    <n v="1761.07"/>
    <n v="1761.07"/>
    <m/>
    <m/>
    <m/>
    <d v="2025-01-27T00:00:00"/>
    <d v="2025-01-27T00:00:00"/>
    <m/>
    <s v="Pagamento"/>
    <n v="330421582"/>
    <x v="2"/>
    <m/>
    <s v="CAMILLA AZEVEDO CARNEIRO LEAO,"/>
    <n v="170288"/>
    <m/>
    <m/>
  </r>
  <r>
    <m/>
    <s v="Pagamento"/>
    <n v="330421583"/>
    <s v="BRL"/>
    <n v="1255.42"/>
    <n v="1255.42"/>
    <m/>
    <m/>
    <m/>
    <d v="2025-01-27T00:00:00"/>
    <d v="2025-01-27T00:00:00"/>
    <m/>
    <s v="Pagamento"/>
    <n v="330421583"/>
    <x v="2"/>
    <m/>
    <s v="CARLOS ALESSANDRO DE ASSIS,"/>
    <n v="170288"/>
    <m/>
    <m/>
  </r>
  <r>
    <m/>
    <s v="Pagamento"/>
    <n v="330421584"/>
    <s v="BRL"/>
    <n v="1398.52"/>
    <n v="1398.52"/>
    <m/>
    <m/>
    <m/>
    <d v="2025-01-27T00:00:00"/>
    <d v="2025-01-27T00:00:00"/>
    <m/>
    <s v="Pagamento"/>
    <n v="330421584"/>
    <x v="2"/>
    <m/>
    <s v="CARLOS CRISTIANO DOS REIS DANTAS,"/>
    <n v="170288"/>
    <m/>
    <m/>
  </r>
  <r>
    <m/>
    <s v="Pagamento"/>
    <n v="330421585"/>
    <s v="BRL"/>
    <n v="237.29"/>
    <n v="237.29"/>
    <m/>
    <m/>
    <m/>
    <d v="2025-01-27T00:00:00"/>
    <d v="2025-01-27T00:00:00"/>
    <m/>
    <s v="Pagamento"/>
    <n v="330421585"/>
    <x v="2"/>
    <m/>
    <s v="CARLOS EDUARDO APOLINARIO SILVA,"/>
    <n v="170288"/>
    <m/>
    <m/>
  </r>
  <r>
    <m/>
    <s v="Pagamento"/>
    <n v="330421586"/>
    <s v="BRL"/>
    <n v="1493.92"/>
    <n v="1493.92"/>
    <m/>
    <m/>
    <m/>
    <d v="2025-01-27T00:00:00"/>
    <d v="2025-01-27T00:00:00"/>
    <m/>
    <s v="Pagamento"/>
    <n v="330421586"/>
    <x v="2"/>
    <m/>
    <s v="CARLOS EDUARDO DE FREITAS SANT ANA,"/>
    <n v="170288"/>
    <m/>
    <m/>
  </r>
  <r>
    <m/>
    <s v="Pagamento"/>
    <n v="330421587"/>
    <s v="BRL"/>
    <n v="699.26"/>
    <n v="699.26"/>
    <m/>
    <m/>
    <m/>
    <d v="2025-01-27T00:00:00"/>
    <d v="2025-01-27T00:00:00"/>
    <m/>
    <s v="Pagamento"/>
    <n v="330421587"/>
    <x v="2"/>
    <m/>
    <s v="CARLOS KAYSER DUARTE DE MIRANDA,"/>
    <n v="170288"/>
    <m/>
    <m/>
  </r>
  <r>
    <m/>
    <s v="Pagamento"/>
    <n v="330421588"/>
    <s v="BRL"/>
    <n v="52.35"/>
    <n v="52.35"/>
    <m/>
    <m/>
    <m/>
    <d v="2025-01-27T00:00:00"/>
    <d v="2025-01-27T00:00:00"/>
    <m/>
    <s v="Pagamento"/>
    <n v="330421588"/>
    <x v="2"/>
    <m/>
    <s v="CARMEM MARLI STAHNKE,"/>
    <n v="170288"/>
    <m/>
    <m/>
  </r>
  <r>
    <m/>
    <s v="Pagamento"/>
    <n v="330421589"/>
    <s v="BRL"/>
    <n v="460.8"/>
    <n v="460.8"/>
    <m/>
    <m/>
    <m/>
    <d v="2025-01-27T00:00:00"/>
    <d v="2025-01-27T00:00:00"/>
    <m/>
    <s v="Pagamento"/>
    <n v="330421589"/>
    <x v="2"/>
    <m/>
    <s v="CARTEGEANES  NASCIMENTO,"/>
    <n v="170288"/>
    <m/>
    <m/>
  </r>
  <r>
    <m/>
    <s v="Pagamento"/>
    <n v="330421590"/>
    <s v="BRL"/>
    <n v="1565.64"/>
    <n v="1565.64"/>
    <m/>
    <m/>
    <m/>
    <d v="2025-01-27T00:00:00"/>
    <d v="2025-01-27T00:00:00"/>
    <m/>
    <s v="Pagamento"/>
    <n v="330421590"/>
    <x v="2"/>
    <m/>
    <s v="CASSIO ANSOLIN PESSUTTO,"/>
    <n v="170288"/>
    <m/>
    <m/>
  </r>
  <r>
    <m/>
    <s v="Pagamento"/>
    <n v="330421591"/>
    <s v="BRL"/>
    <n v="1672.98"/>
    <n v="1672.98"/>
    <m/>
    <m/>
    <m/>
    <d v="2025-01-27T00:00:00"/>
    <d v="2025-01-27T00:00:00"/>
    <m/>
    <s v="Pagamento"/>
    <n v="330421591"/>
    <x v="2"/>
    <m/>
    <s v="CESAR AUGUSTO ENGLER,"/>
    <n v="170288"/>
    <m/>
    <m/>
  </r>
  <r>
    <m/>
    <s v="Pagamento"/>
    <n v="330421592"/>
    <s v="BRL"/>
    <n v="1351.95"/>
    <n v="1351.95"/>
    <m/>
    <m/>
    <m/>
    <d v="2025-01-27T00:00:00"/>
    <d v="2025-01-27T00:00:00"/>
    <m/>
    <s v="Pagamento"/>
    <n v="330421592"/>
    <x v="2"/>
    <m/>
    <s v="CESAR CARLOS ARAUJO PINTO,"/>
    <n v="170288"/>
    <m/>
    <m/>
  </r>
  <r>
    <m/>
    <s v="Pagamento"/>
    <n v="330421593"/>
    <s v="BRL"/>
    <n v="39"/>
    <n v="39"/>
    <m/>
    <m/>
    <m/>
    <d v="2025-01-27T00:00:00"/>
    <d v="2025-01-27T00:00:00"/>
    <m/>
    <s v="Pagamento"/>
    <n v="330421593"/>
    <x v="2"/>
    <m/>
    <s v="CHRISTIAN DE OLIVEIRA MOURA,"/>
    <n v="170288"/>
    <m/>
    <m/>
  </r>
  <r>
    <m/>
    <s v="Pagamento"/>
    <n v="330421594"/>
    <s v="BRL"/>
    <n v="782.82"/>
    <n v="782.82"/>
    <m/>
    <m/>
    <m/>
    <d v="2025-01-27T00:00:00"/>
    <d v="2025-01-27T00:00:00"/>
    <m/>
    <s v="Pagamento"/>
    <n v="330421594"/>
    <x v="2"/>
    <m/>
    <s v="CICERO RAMOM BATISTA RIBAS,"/>
    <n v="170288"/>
    <m/>
    <m/>
  </r>
  <r>
    <m/>
    <s v="Pagamento"/>
    <n v="330421595"/>
    <s v="BRL"/>
    <n v="1511.97"/>
    <n v="1511.97"/>
    <m/>
    <m/>
    <m/>
    <d v="2025-01-27T00:00:00"/>
    <d v="2025-01-27T00:00:00"/>
    <m/>
    <s v="Pagamento"/>
    <n v="330421595"/>
    <x v="2"/>
    <m/>
    <s v="CLAUDIO HENRIQUE MOURA CARVALHAL,"/>
    <n v="170288"/>
    <m/>
    <m/>
  </r>
  <r>
    <m/>
    <s v="Pagamento"/>
    <n v="330421596"/>
    <s v="BRL"/>
    <n v="1404.63"/>
    <n v="1404.63"/>
    <m/>
    <m/>
    <m/>
    <d v="2025-01-27T00:00:00"/>
    <d v="2025-01-27T00:00:00"/>
    <m/>
    <s v="Pagamento"/>
    <n v="330421596"/>
    <x v="2"/>
    <m/>
    <s v="CLAYTON LIMA MESQUITA,"/>
    <n v="170288"/>
    <m/>
    <m/>
  </r>
  <r>
    <m/>
    <s v="Pagamento"/>
    <n v="330421597"/>
    <s v="BRL"/>
    <n v="1565.64"/>
    <n v="1565.64"/>
    <m/>
    <m/>
    <m/>
    <d v="2025-01-27T00:00:00"/>
    <d v="2025-01-27T00:00:00"/>
    <m/>
    <s v="Pagamento"/>
    <n v="330421597"/>
    <x v="2"/>
    <m/>
    <s v="CLEBER AUGUSTO DOS SANTOS SOUZA,"/>
    <n v="170288"/>
    <m/>
    <m/>
  </r>
  <r>
    <m/>
    <s v="Pagamento"/>
    <n v="330421598"/>
    <s v="BRL"/>
    <n v="1112.31"/>
    <n v="1112.31"/>
    <m/>
    <m/>
    <m/>
    <d v="2025-01-27T00:00:00"/>
    <d v="2025-01-27T00:00:00"/>
    <m/>
    <s v="Pagamento"/>
    <n v="330421598"/>
    <x v="2"/>
    <m/>
    <s v="CLEBERTH CARVALHO CRUZ DA ROCHA,"/>
    <n v="170288"/>
    <m/>
    <m/>
  </r>
  <r>
    <m/>
    <s v="Pagamento"/>
    <n v="330421599"/>
    <s v="BRL"/>
    <n v="782.82"/>
    <n v="782.82"/>
    <m/>
    <m/>
    <m/>
    <d v="2025-01-27T00:00:00"/>
    <d v="2025-01-27T00:00:00"/>
    <m/>
    <s v="Pagamento"/>
    <n v="330421599"/>
    <x v="2"/>
    <m/>
    <s v="CLENE LEOPOLDINO CANTIL,"/>
    <n v="170288"/>
    <m/>
    <m/>
  </r>
  <r>
    <m/>
    <s v="Pagamento"/>
    <n v="330421600"/>
    <s v="BRL"/>
    <n v="1493.92"/>
    <n v="1493.92"/>
    <m/>
    <m/>
    <m/>
    <d v="2025-01-27T00:00:00"/>
    <d v="2025-01-27T00:00:00"/>
    <m/>
    <s v="Pagamento"/>
    <n v="330421600"/>
    <x v="2"/>
    <m/>
    <s v="CLESSIO ALVES MENENGUCI"/>
    <n v="170288"/>
    <m/>
    <m/>
  </r>
  <r>
    <m/>
    <s v="Pagamento"/>
    <n v="330421601"/>
    <s v="BRL"/>
    <n v="1398.52"/>
    <n v="1398.52"/>
    <m/>
    <m/>
    <m/>
    <d v="2025-01-27T00:00:00"/>
    <d v="2025-01-27T00:00:00"/>
    <m/>
    <s v="Pagamento"/>
    <n v="330421601"/>
    <x v="2"/>
    <m/>
    <s v="CLEY CLEVERTON FERREIRA CASTRO,"/>
    <n v="170288"/>
    <m/>
    <m/>
  </r>
  <r>
    <m/>
    <s v="Pagamento"/>
    <n v="330421602"/>
    <s v="BRL"/>
    <n v="1672.98"/>
    <n v="1672.98"/>
    <m/>
    <m/>
    <m/>
    <d v="2025-01-27T00:00:00"/>
    <d v="2025-01-27T00:00:00"/>
    <m/>
    <s v="Pagamento"/>
    <n v="330421602"/>
    <x v="2"/>
    <m/>
    <s v="CLOVES BATISTA SILVA JUNIOR,"/>
    <n v="170288"/>
    <m/>
    <m/>
  </r>
  <r>
    <m/>
    <s v="Pagamento"/>
    <n v="330421603"/>
    <s v="BRL"/>
    <n v="1207.72"/>
    <n v="1207.72"/>
    <m/>
    <m/>
    <m/>
    <d v="2025-01-27T00:00:00"/>
    <d v="2025-01-27T00:00:00"/>
    <m/>
    <s v="Pagamento"/>
    <n v="330421603"/>
    <x v="2"/>
    <m/>
    <s v="CORNELIO PEREIRA LEME,"/>
    <n v="170288"/>
    <m/>
    <m/>
  </r>
  <r>
    <m/>
    <s v="Pagamento"/>
    <n v="330421604"/>
    <s v="BRL"/>
    <n v="699.26"/>
    <n v="699.26"/>
    <m/>
    <m/>
    <m/>
    <d v="2025-01-27T00:00:00"/>
    <d v="2025-01-27T00:00:00"/>
    <m/>
    <s v="Pagamento"/>
    <n v="330421604"/>
    <x v="2"/>
    <m/>
    <s v="CRISTIAN  GUIMARAES,"/>
    <n v="170288"/>
    <m/>
    <m/>
  </r>
  <r>
    <m/>
    <s v="Pagamento"/>
    <n v="330421605"/>
    <s v="BRL"/>
    <n v="1672.98"/>
    <n v="1672.98"/>
    <m/>
    <m/>
    <m/>
    <d v="2025-01-27T00:00:00"/>
    <d v="2025-01-27T00:00:00"/>
    <m/>
    <s v="Pagamento"/>
    <n v="330421605"/>
    <x v="2"/>
    <m/>
    <s v="CRISTIANO COSTA DO NASCIMENTO,"/>
    <n v="170288"/>
    <m/>
    <m/>
  </r>
  <r>
    <m/>
    <s v="Pagamento"/>
    <n v="330421606"/>
    <s v="BRL"/>
    <n v="782.82"/>
    <n v="782.82"/>
    <m/>
    <m/>
    <m/>
    <d v="2025-01-27T00:00:00"/>
    <d v="2025-01-27T00:00:00"/>
    <m/>
    <s v="Pagamento"/>
    <n v="330421606"/>
    <x v="2"/>
    <m/>
    <s v="CRISTIANO MARSENA NOBRE,"/>
    <n v="170288"/>
    <m/>
    <m/>
  </r>
  <r>
    <m/>
    <s v="Pagamento"/>
    <n v="330421607"/>
    <s v="BRL"/>
    <n v="1207.72"/>
    <n v="1207.72"/>
    <m/>
    <m/>
    <m/>
    <d v="2025-01-27T00:00:00"/>
    <d v="2025-01-27T00:00:00"/>
    <m/>
    <s v="Pagamento"/>
    <n v="330421607"/>
    <x v="2"/>
    <m/>
    <s v="CRISTINO NUNES SIRQUEIRA,"/>
    <n v="170288"/>
    <m/>
    <m/>
  </r>
  <r>
    <m/>
    <s v="Pagamento"/>
    <n v="330421608"/>
    <s v="BRL"/>
    <n v="1672.98"/>
    <n v="1672.98"/>
    <m/>
    <m/>
    <m/>
    <d v="2025-01-27T00:00:00"/>
    <d v="2025-01-27T00:00:00"/>
    <m/>
    <s v="Pagamento"/>
    <n v="330421608"/>
    <x v="2"/>
    <m/>
    <s v="DANIEL BARBOSA DE MOURA,"/>
    <n v="170288"/>
    <m/>
    <m/>
  </r>
  <r>
    <m/>
    <s v="Pagamento"/>
    <n v="330421609"/>
    <s v="BRL"/>
    <n v="1255.42"/>
    <n v="1255.42"/>
    <m/>
    <m/>
    <m/>
    <d v="2025-01-27T00:00:00"/>
    <d v="2025-01-27T00:00:00"/>
    <m/>
    <s v="Pagamento"/>
    <n v="330421609"/>
    <x v="2"/>
    <m/>
    <s v="DANIEL DA SILVA LONGHI,"/>
    <n v="170288"/>
    <m/>
    <m/>
  </r>
  <r>
    <m/>
    <s v="Pagamento"/>
    <n v="330421610"/>
    <s v="BRL"/>
    <n v="1672.98"/>
    <n v="1672.98"/>
    <m/>
    <m/>
    <m/>
    <d v="2025-01-27T00:00:00"/>
    <d v="2025-01-27T00:00:00"/>
    <m/>
    <s v="Pagamento"/>
    <n v="330421610"/>
    <x v="2"/>
    <m/>
    <s v="DANIEL FRANCISCO MATOS DE ALMEIDA,"/>
    <n v="170288"/>
    <m/>
    <m/>
  </r>
  <r>
    <m/>
    <s v="Pagamento"/>
    <n v="330421611"/>
    <s v="BRL"/>
    <n v="1350.82"/>
    <n v="1350.82"/>
    <m/>
    <m/>
    <m/>
    <d v="2025-01-27T00:00:00"/>
    <d v="2025-01-27T00:00:00"/>
    <m/>
    <s v="Pagamento"/>
    <n v="330421611"/>
    <x v="2"/>
    <m/>
    <s v="DANIELLE DO CARMO SILVANO SAMORA,"/>
    <n v="170288"/>
    <m/>
    <m/>
  </r>
  <r>
    <m/>
    <s v="Pagamento"/>
    <n v="330421612"/>
    <s v="BRL"/>
    <n v="1672.98"/>
    <n v="1672.98"/>
    <m/>
    <m/>
    <m/>
    <d v="2025-01-27T00:00:00"/>
    <d v="2025-01-27T00:00:00"/>
    <m/>
    <s v="Pagamento"/>
    <n v="330421612"/>
    <x v="2"/>
    <m/>
    <s v="DANILO GUILHERME DOS SANTOS ANDRADE,"/>
    <n v="170288"/>
    <m/>
    <m/>
  </r>
  <r>
    <m/>
    <s v="Pagamento"/>
    <n v="330421613"/>
    <s v="BRL"/>
    <n v="2583.46"/>
    <n v="2583.46"/>
    <m/>
    <m/>
    <m/>
    <d v="2025-01-27T00:00:00"/>
    <d v="2025-01-27T00:00:00"/>
    <m/>
    <s v="Pagamento"/>
    <n v="330421613"/>
    <x v="2"/>
    <m/>
    <s v="DARLAN D AVILA CRESCENCIO,"/>
    <n v="170288"/>
    <m/>
    <m/>
  </r>
  <r>
    <m/>
    <s v="Pagamento"/>
    <n v="330421614"/>
    <s v="BRL"/>
    <n v="1493.92"/>
    <n v="1493.92"/>
    <m/>
    <m/>
    <m/>
    <d v="2025-01-27T00:00:00"/>
    <d v="2025-01-27T00:00:00"/>
    <m/>
    <s v="Pagamento"/>
    <n v="330421614"/>
    <x v="2"/>
    <m/>
    <s v="DAVI LEONARDO SILVA,"/>
    <n v="170288"/>
    <m/>
    <m/>
  </r>
  <r>
    <m/>
    <s v="Pagamento"/>
    <n v="330421615"/>
    <s v="BRL"/>
    <n v="1398.52"/>
    <n v="1398.52"/>
    <m/>
    <m/>
    <m/>
    <d v="2025-01-27T00:00:00"/>
    <d v="2025-01-27T00:00:00"/>
    <m/>
    <s v="Pagamento"/>
    <n v="330421615"/>
    <x v="2"/>
    <m/>
    <s v="DENILSON ROBERTO LIMA AREA LEAO,"/>
    <n v="170288"/>
    <m/>
    <m/>
  </r>
  <r>
    <m/>
    <s v="Pagamento"/>
    <n v="330421616"/>
    <s v="BRL"/>
    <n v="1493.92"/>
    <n v="1493.92"/>
    <m/>
    <m/>
    <m/>
    <d v="2025-01-27T00:00:00"/>
    <d v="2025-01-27T00:00:00"/>
    <m/>
    <s v="Pagamento"/>
    <n v="330421616"/>
    <x v="2"/>
    <m/>
    <s v="DENIS  OCANHA,"/>
    <n v="170288"/>
    <m/>
    <m/>
  </r>
  <r>
    <m/>
    <s v="Pagamento"/>
    <n v="330421617"/>
    <s v="BRL"/>
    <n v="1565.64"/>
    <n v="1565.64"/>
    <m/>
    <m/>
    <m/>
    <d v="2025-01-27T00:00:00"/>
    <d v="2025-01-27T00:00:00"/>
    <m/>
    <s v="Pagamento"/>
    <n v="330421617"/>
    <x v="2"/>
    <m/>
    <s v="DENIS AURELIO CORREA DOS SANTOS,"/>
    <n v="170288"/>
    <m/>
    <m/>
  </r>
  <r>
    <m/>
    <s v="Pagamento"/>
    <n v="330421618"/>
    <s v="BRL"/>
    <n v="969.21"/>
    <n v="969.21"/>
    <m/>
    <m/>
    <m/>
    <d v="2025-01-27T00:00:00"/>
    <d v="2025-01-27T00:00:00"/>
    <m/>
    <s v="Pagamento"/>
    <n v="330421618"/>
    <x v="2"/>
    <m/>
    <s v="DEOGENES JOSE DE VALOIS COUTINHO,"/>
    <n v="170288"/>
    <m/>
    <m/>
  </r>
  <r>
    <m/>
    <s v="Pagamento"/>
    <n v="330421619"/>
    <s v="BRL"/>
    <n v="1398.52"/>
    <n v="1398.52"/>
    <m/>
    <m/>
    <m/>
    <d v="2025-01-27T00:00:00"/>
    <d v="2025-01-27T00:00:00"/>
    <m/>
    <s v="Pagamento"/>
    <n v="330421619"/>
    <x v="2"/>
    <m/>
    <s v="DIEGO ARMBRUST XAVIER DA MATA,"/>
    <n v="170288"/>
    <m/>
    <m/>
  </r>
  <r>
    <m/>
    <s v="Pagamento"/>
    <n v="330421620"/>
    <s v="BRL"/>
    <n v="1493.92"/>
    <n v="1493.92"/>
    <m/>
    <m/>
    <m/>
    <d v="2025-01-27T00:00:00"/>
    <d v="2025-01-27T00:00:00"/>
    <m/>
    <s v="Pagamento"/>
    <n v="330421620"/>
    <x v="2"/>
    <m/>
    <s v="DIEGO DE LIMA AVILA,"/>
    <n v="170288"/>
    <m/>
    <m/>
  </r>
  <r>
    <m/>
    <s v="Pagamento"/>
    <n v="330421621"/>
    <s v="BRL"/>
    <n v="1243.6300000000001"/>
    <n v="1243.6300000000001"/>
    <m/>
    <m/>
    <m/>
    <d v="2025-01-27T00:00:00"/>
    <d v="2025-01-27T00:00:00"/>
    <m/>
    <s v="Pagamento"/>
    <n v="330421621"/>
    <x v="2"/>
    <m/>
    <s v="DIEGO FERREIRA DE ASSIS,"/>
    <n v="170288"/>
    <m/>
    <m/>
  </r>
  <r>
    <m/>
    <s v="Pagamento"/>
    <n v="330421622"/>
    <s v="BRL"/>
    <n v="1207.72"/>
    <n v="1207.72"/>
    <m/>
    <m/>
    <m/>
    <d v="2025-01-27T00:00:00"/>
    <d v="2025-01-27T00:00:00"/>
    <m/>
    <s v="Pagamento"/>
    <n v="330421622"/>
    <x v="2"/>
    <m/>
    <s v="DIOGO PEREIRA FONSECA,"/>
    <n v="170288"/>
    <m/>
    <m/>
  </r>
  <r>
    <m/>
    <s v="Pagamento"/>
    <n v="330421623"/>
    <s v="BRL"/>
    <n v="1493.92"/>
    <n v="1493.92"/>
    <m/>
    <m/>
    <m/>
    <d v="2025-01-27T00:00:00"/>
    <d v="2025-01-27T00:00:00"/>
    <m/>
    <s v="Pagamento"/>
    <n v="330421623"/>
    <x v="2"/>
    <m/>
    <s v="DIOGO VIEIRA CAIXETA,"/>
    <n v="170288"/>
    <m/>
    <m/>
  </r>
  <r>
    <m/>
    <s v="Pagamento"/>
    <n v="330421624"/>
    <s v="BRL"/>
    <n v="1825.89"/>
    <n v="1825.89"/>
    <m/>
    <m/>
    <m/>
    <d v="2025-01-27T00:00:00"/>
    <d v="2025-01-27T00:00:00"/>
    <m/>
    <s v="Pagamento"/>
    <n v="330421624"/>
    <x v="2"/>
    <m/>
    <s v="DIRAILTON CONSTANTINO DE ALMEIDA,"/>
    <n v="170288"/>
    <m/>
    <m/>
  </r>
  <r>
    <m/>
    <s v="Pagamento"/>
    <n v="330421625"/>
    <s v="BRL"/>
    <n v="100"/>
    <n v="100"/>
    <m/>
    <m/>
    <m/>
    <d v="2025-01-27T00:00:00"/>
    <d v="2025-01-27T00:00:00"/>
    <m/>
    <s v="Pagamento"/>
    <n v="330421625"/>
    <x v="2"/>
    <m/>
    <s v="DURVAL GUIMARAES CHAVES JUNIOR,"/>
    <n v="170288"/>
    <m/>
    <m/>
  </r>
  <r>
    <m/>
    <s v="Pagamento"/>
    <n v="330421626"/>
    <s v="BRL"/>
    <n v="1350.82"/>
    <n v="1350.82"/>
    <m/>
    <m/>
    <m/>
    <d v="2025-01-27T00:00:00"/>
    <d v="2025-01-27T00:00:00"/>
    <m/>
    <s v="Pagamento"/>
    <n v="330421626"/>
    <x v="2"/>
    <m/>
    <s v="DURVAL SILVERIO DOS SANTOS,"/>
    <n v="170288"/>
    <m/>
    <m/>
  </r>
  <r>
    <m/>
    <s v="Pagamento"/>
    <n v="330421627"/>
    <s v="BRL"/>
    <n v="2514.2600000000002"/>
    <n v="2514.2600000000002"/>
    <m/>
    <m/>
    <m/>
    <d v="2025-01-27T00:00:00"/>
    <d v="2025-01-27T00:00:00"/>
    <m/>
    <s v="Pagamento"/>
    <n v="330421627"/>
    <x v="2"/>
    <m/>
    <s v="DYEGO RICHARDO LOPES MOREIRA DA SILVA,"/>
    <n v="170288"/>
    <m/>
    <m/>
  </r>
  <r>
    <m/>
    <s v="Pagamento"/>
    <n v="330421628"/>
    <s v="BRL"/>
    <n v="3224.92"/>
    <n v="3224.92"/>
    <m/>
    <m/>
    <m/>
    <d v="2025-01-27T00:00:00"/>
    <d v="2025-01-27T00:00:00"/>
    <m/>
    <s v="Pagamento"/>
    <n v="330421628"/>
    <x v="2"/>
    <m/>
    <s v="EDDER CARLOS TAVARES GONCALVES,"/>
    <n v="170288"/>
    <m/>
    <m/>
  </r>
  <r>
    <m/>
    <s v="Pagamento"/>
    <n v="330421629"/>
    <s v="BRL"/>
    <n v="1243.6300000000001"/>
    <n v="1243.6300000000001"/>
    <m/>
    <m/>
    <m/>
    <d v="2025-01-27T00:00:00"/>
    <d v="2025-01-27T00:00:00"/>
    <m/>
    <s v="Pagamento"/>
    <n v="330421629"/>
    <x v="2"/>
    <m/>
    <s v="EDENILSON DOS SANTOS SOUSA,"/>
    <n v="170288"/>
    <m/>
    <m/>
  </r>
  <r>
    <m/>
    <s v="Pagamento"/>
    <n v="330421630"/>
    <s v="BRL"/>
    <n v="1672.98"/>
    <n v="1672.98"/>
    <m/>
    <m/>
    <m/>
    <d v="2025-01-27T00:00:00"/>
    <d v="2025-01-27T00:00:00"/>
    <m/>
    <s v="Pagamento"/>
    <n v="330421630"/>
    <x v="2"/>
    <m/>
    <s v="EDER LINS PEREIRA,"/>
    <n v="170288"/>
    <m/>
    <m/>
  </r>
  <r>
    <m/>
    <s v="Pagamento"/>
    <n v="330421631"/>
    <s v="BRL"/>
    <n v="621.80999999999995"/>
    <n v="621.80999999999995"/>
    <m/>
    <m/>
    <m/>
    <d v="2025-01-27T00:00:00"/>
    <d v="2025-01-27T00:00:00"/>
    <m/>
    <s v="Pagamento"/>
    <n v="330421631"/>
    <x v="2"/>
    <m/>
    <s v="EDER OLIVEIRA ALMEIDA BRITO,"/>
    <n v="170288"/>
    <m/>
    <m/>
  </r>
  <r>
    <m/>
    <s v="Pagamento"/>
    <n v="330421632"/>
    <s v="BRL"/>
    <n v="1082.6199999999999"/>
    <n v="1082.6199999999999"/>
    <m/>
    <m/>
    <m/>
    <d v="2025-01-27T00:00:00"/>
    <d v="2025-01-27T00:00:00"/>
    <m/>
    <s v="Pagamento"/>
    <n v="330421632"/>
    <x v="2"/>
    <m/>
    <s v="EDER SARDINHA ALVES,"/>
    <n v="170288"/>
    <m/>
    <m/>
  </r>
  <r>
    <m/>
    <s v="Pagamento"/>
    <n v="330421634"/>
    <s v="BRL"/>
    <n v="1350.82"/>
    <n v="1350.82"/>
    <m/>
    <m/>
    <m/>
    <d v="2025-01-27T00:00:00"/>
    <d v="2025-01-27T00:00:00"/>
    <m/>
    <s v="Pagamento"/>
    <n v="330421634"/>
    <x v="2"/>
    <m/>
    <s v="EDMAR DE JESUS SANTOS,"/>
    <n v="170288"/>
    <m/>
    <m/>
  </r>
  <r>
    <m/>
    <s v="Pagamento"/>
    <n v="330421635"/>
    <s v="BRL"/>
    <n v="1350.82"/>
    <n v="1350.82"/>
    <m/>
    <m/>
    <m/>
    <d v="2025-01-27T00:00:00"/>
    <d v="2025-01-27T00:00:00"/>
    <m/>
    <s v="Pagamento"/>
    <n v="330421635"/>
    <x v="2"/>
    <m/>
    <s v="EDSON HENRIQUE VIVES JUNIOR,"/>
    <n v="170288"/>
    <m/>
    <m/>
  </r>
  <r>
    <m/>
    <s v="Pagamento"/>
    <n v="330421636"/>
    <s v="BRL"/>
    <n v="1565.64"/>
    <n v="1565.64"/>
    <m/>
    <m/>
    <m/>
    <d v="2025-01-27T00:00:00"/>
    <d v="2025-01-27T00:00:00"/>
    <m/>
    <s v="Pagamento"/>
    <n v="330421636"/>
    <x v="2"/>
    <m/>
    <s v="EDUARDO ALVARES GOMES,"/>
    <n v="170288"/>
    <m/>
    <m/>
  </r>
  <r>
    <m/>
    <s v="Pagamento"/>
    <n v="330421637"/>
    <s v="BRL"/>
    <n v="229.2"/>
    <n v="229.2"/>
    <m/>
    <m/>
    <m/>
    <d v="2025-01-27T00:00:00"/>
    <d v="2025-01-27T00:00:00"/>
    <m/>
    <s v="Pagamento"/>
    <n v="330421637"/>
    <x v="2"/>
    <m/>
    <s v="EDUARDO DA SILVA PINTO,"/>
    <n v="170288"/>
    <m/>
    <m/>
  </r>
  <r>
    <m/>
    <s v="Pagamento"/>
    <n v="330421638"/>
    <s v="BRL"/>
    <n v="1672.98"/>
    <n v="1672.98"/>
    <m/>
    <m/>
    <m/>
    <d v="2025-01-27T00:00:00"/>
    <d v="2025-01-27T00:00:00"/>
    <m/>
    <s v="Pagamento"/>
    <n v="330421638"/>
    <x v="2"/>
    <m/>
    <s v="EDUARDO ELIAS DA SILVA,"/>
    <n v="170288"/>
    <m/>
    <m/>
  </r>
  <r>
    <m/>
    <s v="Pagamento"/>
    <n v="330421639"/>
    <s v="BRL"/>
    <n v="1398.52"/>
    <n v="1398.52"/>
    <m/>
    <m/>
    <m/>
    <d v="2025-01-27T00:00:00"/>
    <d v="2025-01-27T00:00:00"/>
    <m/>
    <s v="Pagamento"/>
    <n v="330421639"/>
    <x v="2"/>
    <m/>
    <s v="EDUARDO JOSE DA SILVA JUNIOR,"/>
    <n v="170288"/>
    <m/>
    <m/>
  </r>
  <r>
    <m/>
    <s v="Pagamento"/>
    <n v="330421640"/>
    <s v="BRL"/>
    <n v="17.93"/>
    <n v="17.93"/>
    <m/>
    <m/>
    <m/>
    <d v="2025-01-27T00:00:00"/>
    <d v="2025-01-27T00:00:00"/>
    <m/>
    <s v="Pagamento"/>
    <n v="330421640"/>
    <x v="2"/>
    <m/>
    <s v="EDUARDO JOSE DE ARAUJO,"/>
    <n v="170288"/>
    <m/>
    <m/>
  </r>
  <r>
    <m/>
    <s v="Pagamento"/>
    <n v="330421641"/>
    <s v="BRL"/>
    <n v="1672.98"/>
    <n v="1672.98"/>
    <m/>
    <m/>
    <m/>
    <d v="2025-01-27T00:00:00"/>
    <d v="2025-01-27T00:00:00"/>
    <m/>
    <s v="Pagamento"/>
    <n v="330421641"/>
    <x v="2"/>
    <m/>
    <s v="EDUARDO MACHADO TOLEDO,"/>
    <n v="170288"/>
    <m/>
    <m/>
  </r>
  <r>
    <m/>
    <s v="Pagamento"/>
    <n v="330421642"/>
    <s v="BRL"/>
    <n v="460.76"/>
    <n v="460.76"/>
    <m/>
    <m/>
    <m/>
    <d v="2025-01-27T00:00:00"/>
    <d v="2025-01-27T00:00:00"/>
    <m/>
    <s v="Pagamento"/>
    <n v="330421642"/>
    <x v="2"/>
    <m/>
    <s v="EDUARDO RIBEIRO DE FARIA,"/>
    <n v="170288"/>
    <m/>
    <m/>
  </r>
  <r>
    <m/>
    <s v="Pagamento"/>
    <n v="330421643"/>
    <s v="BRL"/>
    <n v="1398.52"/>
    <n v="1398.52"/>
    <m/>
    <m/>
    <m/>
    <d v="2025-01-27T00:00:00"/>
    <d v="2025-01-27T00:00:00"/>
    <m/>
    <s v="Pagamento"/>
    <n v="330421643"/>
    <x v="2"/>
    <m/>
    <s v="ELI ANDERSON PEREIRA VIEIRA,"/>
    <n v="170288"/>
    <m/>
    <m/>
  </r>
  <r>
    <m/>
    <s v="Pagamento"/>
    <n v="330421644"/>
    <s v="BRL"/>
    <n v="1565.64"/>
    <n v="1565.64"/>
    <m/>
    <m/>
    <m/>
    <d v="2025-01-27T00:00:00"/>
    <d v="2025-01-27T00:00:00"/>
    <m/>
    <s v="Pagamento"/>
    <n v="330421644"/>
    <x v="2"/>
    <m/>
    <s v="ELILDO SILVINO DOS SANTOS,"/>
    <n v="170288"/>
    <m/>
    <m/>
  </r>
  <r>
    <m/>
    <s v="Pagamento"/>
    <n v="330421645"/>
    <s v="BRL"/>
    <n v="699.26"/>
    <n v="699.26"/>
    <m/>
    <m/>
    <m/>
    <d v="2025-01-27T00:00:00"/>
    <d v="2025-01-27T00:00:00"/>
    <m/>
    <s v="Pagamento"/>
    <n v="330421645"/>
    <x v="2"/>
    <m/>
    <s v="ELILSON MENEZES MARTINS,"/>
    <n v="170288"/>
    <m/>
    <m/>
  </r>
  <r>
    <m/>
    <s v="Pagamento"/>
    <n v="330421646"/>
    <s v="BRL"/>
    <n v="60.01"/>
    <n v="60.01"/>
    <m/>
    <m/>
    <m/>
    <d v="2025-01-27T00:00:00"/>
    <d v="2025-01-27T00:00:00"/>
    <m/>
    <s v="Pagamento"/>
    <n v="330421646"/>
    <x v="2"/>
    <m/>
    <s v="ELISABETE BEZERRA DE AZEVEDO,"/>
    <n v="170288"/>
    <m/>
    <m/>
  </r>
  <r>
    <m/>
    <s v="Pagamento"/>
    <n v="330421647"/>
    <s v="BRL"/>
    <n v="1672.98"/>
    <n v="1672.98"/>
    <m/>
    <m/>
    <m/>
    <d v="2025-01-27T00:00:00"/>
    <d v="2025-01-27T00:00:00"/>
    <m/>
    <s v="Pagamento"/>
    <n v="330421647"/>
    <x v="2"/>
    <m/>
    <s v="ELISEU SANTOS ASSIS,"/>
    <n v="170288"/>
    <m/>
    <m/>
  </r>
  <r>
    <m/>
    <s v="Pagamento"/>
    <n v="330421648"/>
    <s v="BRL"/>
    <n v="1493.92"/>
    <n v="1493.92"/>
    <m/>
    <m/>
    <m/>
    <d v="2025-01-27T00:00:00"/>
    <d v="2025-01-27T00:00:00"/>
    <m/>
    <s v="Pagamento"/>
    <n v="330421648"/>
    <x v="2"/>
    <m/>
    <s v="ELIZEU CARVALHO DE MESQUITA,"/>
    <n v="170288"/>
    <m/>
    <m/>
  </r>
  <r>
    <m/>
    <s v="Pagamento"/>
    <n v="330421649"/>
    <s v="BRL"/>
    <n v="1350.82"/>
    <n v="1350.82"/>
    <m/>
    <m/>
    <m/>
    <d v="2025-01-27T00:00:00"/>
    <d v="2025-01-27T00:00:00"/>
    <m/>
    <s v="Pagamento"/>
    <n v="330421649"/>
    <x v="2"/>
    <m/>
    <s v="ELNA MARIA LEAO LEMOS,"/>
    <n v="170288"/>
    <m/>
    <m/>
  </r>
  <r>
    <m/>
    <s v="Pagamento"/>
    <n v="330421650"/>
    <s v="BRL"/>
    <n v="1842.49"/>
    <n v="1842.49"/>
    <m/>
    <m/>
    <m/>
    <d v="2025-01-27T00:00:00"/>
    <d v="2025-01-27T00:00:00"/>
    <m/>
    <s v="Pagamento"/>
    <n v="330421650"/>
    <x v="2"/>
    <m/>
    <s v="ELTON PEREIRA DA ROCHA,"/>
    <n v="170288"/>
    <m/>
    <m/>
  </r>
  <r>
    <m/>
    <s v="Pagamento"/>
    <n v="330421651"/>
    <s v="BRL"/>
    <n v="1672.98"/>
    <n v="1672.98"/>
    <m/>
    <m/>
    <m/>
    <d v="2025-01-27T00:00:00"/>
    <d v="2025-01-27T00:00:00"/>
    <m/>
    <s v="Pagamento"/>
    <n v="330421651"/>
    <x v="2"/>
    <m/>
    <s v="ELVIS OLIVEIRA SA,"/>
    <n v="170288"/>
    <m/>
    <m/>
  </r>
  <r>
    <m/>
    <s v="Pagamento"/>
    <n v="330421652"/>
    <s v="BRL"/>
    <n v="1350.82"/>
    <n v="1350.82"/>
    <m/>
    <m/>
    <m/>
    <d v="2025-01-27T00:00:00"/>
    <d v="2025-01-27T00:00:00"/>
    <m/>
    <s v="Pagamento"/>
    <n v="330421652"/>
    <x v="2"/>
    <m/>
    <s v="EMANUEL BEZERRA ELOY,"/>
    <n v="170288"/>
    <m/>
    <m/>
  </r>
  <r>
    <m/>
    <s v="Pagamento"/>
    <n v="330421653"/>
    <s v="BRL"/>
    <n v="1064.6099999999999"/>
    <n v="1064.6099999999999"/>
    <m/>
    <m/>
    <m/>
    <d v="2025-01-27T00:00:00"/>
    <d v="2025-01-27T00:00:00"/>
    <m/>
    <s v="Pagamento"/>
    <n v="330421653"/>
    <x v="2"/>
    <m/>
    <s v="EMERSON  FERNANDES,"/>
    <n v="170288"/>
    <m/>
    <m/>
  </r>
  <r>
    <m/>
    <s v="Pagamento"/>
    <n v="330421654"/>
    <s v="BRL"/>
    <n v="1672.98"/>
    <n v="1672.98"/>
    <m/>
    <m/>
    <m/>
    <d v="2025-01-27T00:00:00"/>
    <d v="2025-01-27T00:00:00"/>
    <m/>
    <s v="Pagamento"/>
    <n v="330421654"/>
    <x v="2"/>
    <m/>
    <s v="ERICO DIOGO LIMA DA SILVA,"/>
    <n v="170288"/>
    <m/>
    <m/>
  </r>
  <r>
    <m/>
    <s v="Pagamento"/>
    <n v="330421655"/>
    <s v="BRL"/>
    <n v="1064.6099999999999"/>
    <n v="1064.6099999999999"/>
    <m/>
    <m/>
    <m/>
    <d v="2025-01-27T00:00:00"/>
    <d v="2025-01-27T00:00:00"/>
    <m/>
    <s v="Pagamento"/>
    <n v="330421655"/>
    <x v="2"/>
    <m/>
    <s v="ERICO FABIO CIRNE,"/>
    <n v="170288"/>
    <m/>
    <m/>
  </r>
  <r>
    <m/>
    <s v="Pagamento"/>
    <n v="330421656"/>
    <s v="BRL"/>
    <n v="1543.92"/>
    <n v="1543.92"/>
    <m/>
    <m/>
    <m/>
    <d v="2025-01-27T00:00:00"/>
    <d v="2025-01-27T00:00:00"/>
    <m/>
    <s v="Pagamento"/>
    <n v="330421656"/>
    <x v="2"/>
    <m/>
    <s v="ERIK SAMUEL VAZ CAMPOS,"/>
    <n v="170288"/>
    <m/>
    <m/>
  </r>
  <r>
    <m/>
    <s v="Pagamento"/>
    <n v="330421657"/>
    <s v="BRL"/>
    <n v="921.61"/>
    <n v="921.61"/>
    <m/>
    <m/>
    <m/>
    <d v="2025-01-27T00:00:00"/>
    <d v="2025-01-27T00:00:00"/>
    <m/>
    <s v="Pagamento"/>
    <n v="330421657"/>
    <x v="2"/>
    <m/>
    <s v="ERIVALDO MATIAS FONTES,"/>
    <n v="170288"/>
    <m/>
    <m/>
  </r>
  <r>
    <m/>
    <s v="Pagamento"/>
    <n v="330421658"/>
    <s v="BRL"/>
    <n v="1493.92"/>
    <n v="1493.92"/>
    <m/>
    <m/>
    <m/>
    <d v="2025-01-27T00:00:00"/>
    <d v="2025-01-27T00:00:00"/>
    <m/>
    <s v="Pagamento"/>
    <n v="330421658"/>
    <x v="2"/>
    <m/>
    <s v="EUNADALES BRANDAO DIAS,"/>
    <n v="170288"/>
    <m/>
    <m/>
  </r>
  <r>
    <m/>
    <s v="Pagamento"/>
    <n v="330421659"/>
    <s v="BRL"/>
    <n v="1189.96"/>
    <n v="1189.96"/>
    <m/>
    <m/>
    <m/>
    <d v="2025-01-27T00:00:00"/>
    <d v="2025-01-27T00:00:00"/>
    <m/>
    <s v="Pagamento"/>
    <n v="330421659"/>
    <x v="2"/>
    <m/>
    <s v="EVANDRO DA SILVA SOUZA,"/>
    <n v="170288"/>
    <m/>
    <m/>
  </r>
  <r>
    <m/>
    <s v="Pagamento"/>
    <n v="330421660"/>
    <s v="BRL"/>
    <n v="1493.92"/>
    <n v="1493.92"/>
    <m/>
    <m/>
    <m/>
    <d v="2025-01-27T00:00:00"/>
    <d v="2025-01-27T00:00:00"/>
    <m/>
    <s v="Pagamento"/>
    <n v="330421660"/>
    <x v="2"/>
    <m/>
    <s v="EVERALDO SOARES DE LIMA,"/>
    <n v="170288"/>
    <m/>
    <m/>
  </r>
  <r>
    <m/>
    <s v="Pagamento"/>
    <n v="330421661"/>
    <s v="BRL"/>
    <n v="1255.42"/>
    <n v="1255.42"/>
    <m/>
    <m/>
    <m/>
    <d v="2025-01-27T00:00:00"/>
    <d v="2025-01-27T00:00:00"/>
    <m/>
    <s v="Pagamento"/>
    <n v="330421661"/>
    <x v="2"/>
    <m/>
    <s v="EVERSON PASSOS DA ROCHA,"/>
    <n v="170288"/>
    <m/>
    <m/>
  </r>
  <r>
    <m/>
    <s v="Pagamento"/>
    <n v="330421662"/>
    <s v="BRL"/>
    <n v="460.76"/>
    <n v="460.76"/>
    <m/>
    <m/>
    <m/>
    <d v="2025-01-27T00:00:00"/>
    <d v="2025-01-27T00:00:00"/>
    <m/>
    <s v="Pagamento"/>
    <n v="330421662"/>
    <x v="2"/>
    <m/>
    <s v="EVERTON VIEIRA ABREU,"/>
    <n v="170288"/>
    <m/>
    <m/>
  </r>
  <r>
    <m/>
    <s v="Pagamento"/>
    <n v="330421663"/>
    <s v="BRL"/>
    <n v="826.11"/>
    <n v="826.11"/>
    <m/>
    <m/>
    <m/>
    <d v="2025-01-27T00:00:00"/>
    <d v="2025-01-27T00:00:00"/>
    <m/>
    <s v="Pagamento"/>
    <n v="330421663"/>
    <x v="2"/>
    <m/>
    <s v="FABIO  CARRILHO,"/>
    <n v="170288"/>
    <m/>
    <m/>
  </r>
  <r>
    <m/>
    <s v="Pagamento"/>
    <n v="330421664"/>
    <s v="BRL"/>
    <n v="1511.97"/>
    <n v="1511.97"/>
    <m/>
    <m/>
    <m/>
    <d v="2025-01-27T00:00:00"/>
    <d v="2025-01-27T00:00:00"/>
    <m/>
    <s v="Pagamento"/>
    <n v="330421664"/>
    <x v="2"/>
    <m/>
    <s v="FABIO APOLINARIO COSTA,"/>
    <n v="170288"/>
    <m/>
    <m/>
  </r>
  <r>
    <m/>
    <s v="Pagamento"/>
    <n v="330421665"/>
    <s v="BRL"/>
    <n v="1493.92"/>
    <n v="1493.92"/>
    <m/>
    <m/>
    <m/>
    <d v="2025-01-27T00:00:00"/>
    <d v="2025-01-27T00:00:00"/>
    <m/>
    <s v="Pagamento"/>
    <n v="330421665"/>
    <x v="2"/>
    <m/>
    <s v="FABIO MACELO FERNANDES DE SOUSA,"/>
    <n v="170288"/>
    <m/>
    <m/>
  </r>
  <r>
    <m/>
    <s v="Pagamento"/>
    <n v="330421666"/>
    <s v="BRL"/>
    <n v="1672.98"/>
    <n v="1672.98"/>
    <m/>
    <m/>
    <m/>
    <d v="2025-01-27T00:00:00"/>
    <d v="2025-01-27T00:00:00"/>
    <m/>
    <s v="Pagamento"/>
    <n v="330421666"/>
    <x v="2"/>
    <m/>
    <s v="FABIO PASSOS BRITO,"/>
    <n v="170288"/>
    <m/>
    <m/>
  </r>
  <r>
    <m/>
    <s v="Pagamento"/>
    <n v="330421667"/>
    <s v="BRL"/>
    <n v="1493.92"/>
    <n v="1493.92"/>
    <m/>
    <m/>
    <m/>
    <d v="2025-01-27T00:00:00"/>
    <d v="2025-01-27T00:00:00"/>
    <m/>
    <s v="Pagamento"/>
    <n v="330421667"/>
    <x v="2"/>
    <m/>
    <s v="FABIO QUEIROZ LOPES,"/>
    <n v="170288"/>
    <m/>
    <m/>
  </r>
  <r>
    <m/>
    <s v="Pagamento"/>
    <n v="330421668"/>
    <s v="BRL"/>
    <n v="1565.64"/>
    <n v="1565.64"/>
    <m/>
    <m/>
    <m/>
    <d v="2025-01-27T00:00:00"/>
    <d v="2025-01-27T00:00:00"/>
    <m/>
    <s v="Pagamento"/>
    <n v="330421668"/>
    <x v="2"/>
    <m/>
    <s v="FARLEI COSME GOMES DOS SANTOS,"/>
    <n v="170288"/>
    <m/>
    <m/>
  </r>
  <r>
    <m/>
    <s v="Pagamento"/>
    <n v="330421669"/>
    <s v="BRL"/>
    <n v="729.15"/>
    <n v="729.15"/>
    <m/>
    <m/>
    <m/>
    <d v="2025-01-27T00:00:00"/>
    <d v="2025-01-27T00:00:00"/>
    <m/>
    <s v="Pagamento"/>
    <n v="330421669"/>
    <x v="2"/>
    <m/>
    <s v="FELIPE COQUEIRO DE OLIVEIRA,"/>
    <n v="170288"/>
    <m/>
    <m/>
  </r>
  <r>
    <m/>
    <s v="Pagamento"/>
    <n v="330421670"/>
    <s v="BRL"/>
    <n v="110.84"/>
    <n v="110.84"/>
    <m/>
    <m/>
    <m/>
    <d v="2025-01-27T00:00:00"/>
    <d v="2025-01-27T00:00:00"/>
    <m/>
    <s v="Pagamento"/>
    <n v="330421670"/>
    <x v="2"/>
    <m/>
    <s v="FERNANDA ALMEIDA CARVALHO,"/>
    <n v="170288"/>
    <m/>
    <m/>
  </r>
  <r>
    <m/>
    <s v="Pagamento"/>
    <n v="330421671"/>
    <s v="BRL"/>
    <n v="1511.97"/>
    <n v="1511.97"/>
    <m/>
    <m/>
    <m/>
    <d v="2025-01-27T00:00:00"/>
    <d v="2025-01-27T00:00:00"/>
    <m/>
    <s v="Pagamento"/>
    <n v="330421671"/>
    <x v="2"/>
    <m/>
    <s v="FERNANDO DA SILVA,"/>
    <n v="170288"/>
    <m/>
    <m/>
  </r>
  <r>
    <m/>
    <s v="Pagamento"/>
    <n v="330421672"/>
    <s v="BRL"/>
    <n v="1350.96"/>
    <n v="1350.96"/>
    <m/>
    <m/>
    <m/>
    <d v="2025-01-27T00:00:00"/>
    <d v="2025-01-27T00:00:00"/>
    <m/>
    <s v="Pagamento"/>
    <n v="330421672"/>
    <x v="2"/>
    <m/>
    <s v="FERNANDO FERREIRA SOARES,"/>
    <n v="170288"/>
    <m/>
    <m/>
  </r>
  <r>
    <m/>
    <s v="Pagamento"/>
    <n v="330421673"/>
    <s v="BRL"/>
    <n v="1672.98"/>
    <n v="1672.98"/>
    <m/>
    <m/>
    <m/>
    <d v="2025-01-27T00:00:00"/>
    <d v="2025-01-27T00:00:00"/>
    <m/>
    <s v="Pagamento"/>
    <n v="330421673"/>
    <x v="2"/>
    <m/>
    <s v="FERNANDO GUEDES DE OLIVEIRA,"/>
    <n v="170288"/>
    <m/>
    <m/>
  </r>
  <r>
    <m/>
    <s v="Pagamento"/>
    <n v="330421674"/>
    <s v="BRL"/>
    <n v="1672.98"/>
    <n v="1672.98"/>
    <m/>
    <m/>
    <m/>
    <d v="2025-01-27T00:00:00"/>
    <d v="2025-01-27T00:00:00"/>
    <m/>
    <s v="Pagamento"/>
    <n v="330421674"/>
    <x v="2"/>
    <m/>
    <s v="FERNANDO LIMA TENORIO DA SILVA,"/>
    <n v="170288"/>
    <m/>
    <m/>
  </r>
  <r>
    <m/>
    <s v="Pagamento"/>
    <n v="330421675"/>
    <s v="BRL"/>
    <n v="1207.72"/>
    <n v="1207.72"/>
    <m/>
    <m/>
    <m/>
    <d v="2025-01-27T00:00:00"/>
    <d v="2025-01-27T00:00:00"/>
    <m/>
    <s v="Pagamento"/>
    <n v="330421675"/>
    <x v="2"/>
    <m/>
    <s v="FILIPE RENATO VIGATTO,"/>
    <n v="170288"/>
    <m/>
    <m/>
  </r>
  <r>
    <m/>
    <s v="Pagamento"/>
    <n v="330421676"/>
    <s v="BRL"/>
    <n v="1493.92"/>
    <n v="1493.92"/>
    <m/>
    <m/>
    <m/>
    <d v="2025-01-27T00:00:00"/>
    <d v="2025-01-27T00:00:00"/>
    <m/>
    <s v="Pagamento"/>
    <n v="330421676"/>
    <x v="2"/>
    <m/>
    <s v="FLAUDEMIR  LEOPOLDO,"/>
    <n v="170288"/>
    <m/>
    <m/>
  </r>
  <r>
    <m/>
    <s v="Pagamento"/>
    <n v="330421677"/>
    <s v="BRL"/>
    <n v="1398.52"/>
    <n v="1398.52"/>
    <m/>
    <m/>
    <m/>
    <d v="2025-01-27T00:00:00"/>
    <d v="2025-01-27T00:00:00"/>
    <m/>
    <s v="Pagamento"/>
    <n v="330421677"/>
    <x v="2"/>
    <m/>
    <s v="FLAVIO  CARVALHO,"/>
    <n v="170288"/>
    <m/>
    <m/>
  </r>
  <r>
    <m/>
    <s v="Pagamento"/>
    <n v="330421678"/>
    <s v="BRL"/>
    <n v="1493.92"/>
    <n v="1493.92"/>
    <m/>
    <m/>
    <m/>
    <d v="2025-01-27T00:00:00"/>
    <d v="2025-01-27T00:00:00"/>
    <m/>
    <s v="Pagamento"/>
    <n v="330421678"/>
    <x v="2"/>
    <m/>
    <s v="FLORISVALDO SOARES SANTANA,"/>
    <n v="170288"/>
    <m/>
    <m/>
  </r>
  <r>
    <m/>
    <s v="Pagamento"/>
    <n v="330421679"/>
    <s v="BRL"/>
    <n v="1398.52"/>
    <n v="1398.52"/>
    <m/>
    <m/>
    <m/>
    <d v="2025-01-27T00:00:00"/>
    <d v="2025-01-27T00:00:00"/>
    <m/>
    <s v="Pagamento"/>
    <n v="330421679"/>
    <x v="2"/>
    <m/>
    <s v="FRANCIS ALBERT DANTAS DE SOUSA,"/>
    <n v="170288"/>
    <m/>
    <m/>
  </r>
  <r>
    <m/>
    <s v="Pagamento"/>
    <n v="330421680"/>
    <s v="BRL"/>
    <n v="921.61"/>
    <n v="921.61"/>
    <m/>
    <m/>
    <m/>
    <d v="2025-01-27T00:00:00"/>
    <d v="2025-01-27T00:00:00"/>
    <m/>
    <s v="Pagamento"/>
    <n v="330421680"/>
    <x v="2"/>
    <m/>
    <s v="FRANCISCO ALEX DE LIMA,"/>
    <n v="170288"/>
    <m/>
    <m/>
  </r>
  <r>
    <m/>
    <s v="Pagamento"/>
    <n v="330421681"/>
    <s v="BRL"/>
    <n v="1398.52"/>
    <n v="1398.52"/>
    <m/>
    <m/>
    <m/>
    <d v="2025-01-27T00:00:00"/>
    <d v="2025-01-27T00:00:00"/>
    <m/>
    <s v="Pagamento"/>
    <n v="330421681"/>
    <x v="2"/>
    <m/>
    <s v="FRANCISCO CARLOS ROMERO RUSSO,"/>
    <n v="170288"/>
    <m/>
    <m/>
  </r>
  <r>
    <m/>
    <s v="Pagamento"/>
    <n v="330421682"/>
    <s v="BRL"/>
    <n v="1398.52"/>
    <n v="1398.52"/>
    <m/>
    <m/>
    <m/>
    <d v="2025-01-27T00:00:00"/>
    <d v="2025-01-27T00:00:00"/>
    <m/>
    <s v="Pagamento"/>
    <n v="330421682"/>
    <x v="2"/>
    <m/>
    <s v="FRANCISCO DAS CHAGAS DE MORAIS CUNHA,"/>
    <n v="170288"/>
    <m/>
    <m/>
  </r>
  <r>
    <m/>
    <s v="Pagamento"/>
    <n v="330421683"/>
    <s v="BRL"/>
    <n v="1493.92"/>
    <n v="1493.92"/>
    <m/>
    <m/>
    <m/>
    <d v="2025-01-27T00:00:00"/>
    <d v="2025-01-27T00:00:00"/>
    <m/>
    <s v="Pagamento"/>
    <n v="330421683"/>
    <x v="2"/>
    <m/>
    <s v="FRANCISCO DE ASSIS ARAUJO SUZART,"/>
    <n v="170288"/>
    <m/>
    <m/>
  </r>
  <r>
    <m/>
    <s v="Pagamento"/>
    <n v="330421684"/>
    <s v="BRL"/>
    <n v="969.21"/>
    <n v="969.21"/>
    <m/>
    <m/>
    <m/>
    <d v="2025-01-27T00:00:00"/>
    <d v="2025-01-27T00:00:00"/>
    <m/>
    <s v="Pagamento"/>
    <n v="330421684"/>
    <x v="2"/>
    <m/>
    <s v="FRANCISCO FERNANDES DA SILVA,"/>
    <n v="170288"/>
    <m/>
    <m/>
  </r>
  <r>
    <m/>
    <s v="Pagamento"/>
    <n v="330421685"/>
    <s v="BRL"/>
    <n v="190"/>
    <n v="190"/>
    <m/>
    <m/>
    <m/>
    <d v="2025-01-27T00:00:00"/>
    <d v="2025-01-27T00:00:00"/>
    <m/>
    <s v="Pagamento"/>
    <n v="330421685"/>
    <x v="2"/>
    <m/>
    <s v="FRANCISCO FLEURY RATEIRO JUNIOR,"/>
    <n v="170288"/>
    <m/>
    <m/>
  </r>
  <r>
    <m/>
    <s v="Pagamento"/>
    <n v="330421686"/>
    <s v="BRL"/>
    <n v="1350.82"/>
    <n v="1350.82"/>
    <m/>
    <m/>
    <m/>
    <d v="2025-01-27T00:00:00"/>
    <d v="2025-01-27T00:00:00"/>
    <m/>
    <s v="Pagamento"/>
    <n v="330421686"/>
    <x v="2"/>
    <m/>
    <s v="FRANCISCO FRANCIER ANGELO DE SOUZA,"/>
    <n v="170288"/>
    <m/>
    <m/>
  </r>
  <r>
    <m/>
    <s v="Pagamento"/>
    <n v="330421687"/>
    <s v="BRL"/>
    <n v="514.47"/>
    <n v="514.47"/>
    <m/>
    <m/>
    <m/>
    <d v="2025-01-27T00:00:00"/>
    <d v="2025-01-27T00:00:00"/>
    <m/>
    <s v="Pagamento"/>
    <n v="330421687"/>
    <x v="2"/>
    <m/>
    <s v="FRANCISCO JOSE DE MOURA ALVES,"/>
    <n v="170288"/>
    <m/>
    <m/>
  </r>
  <r>
    <m/>
    <s v="Pagamento"/>
    <n v="330421688"/>
    <s v="BRL"/>
    <n v="1672.98"/>
    <n v="1672.98"/>
    <m/>
    <m/>
    <m/>
    <d v="2025-01-27T00:00:00"/>
    <d v="2025-01-27T00:00:00"/>
    <m/>
    <s v="Pagamento"/>
    <n v="330421688"/>
    <x v="2"/>
    <m/>
    <s v="FRANCISCO NUNES DE BARROS,"/>
    <n v="170288"/>
    <m/>
    <m/>
  </r>
  <r>
    <m/>
    <s v="Pagamento"/>
    <n v="330421689"/>
    <s v="BRL"/>
    <n v="1565.64"/>
    <n v="1565.64"/>
    <m/>
    <m/>
    <m/>
    <d v="2025-01-27T00:00:00"/>
    <d v="2025-01-27T00:00:00"/>
    <m/>
    <s v="Pagamento"/>
    <n v="330421689"/>
    <x v="2"/>
    <m/>
    <s v="FRANKLIN LINDENBERG OLIVEIRA FREITAS,"/>
    <n v="170288"/>
    <m/>
    <m/>
  </r>
  <r>
    <m/>
    <s v="Pagamento"/>
    <n v="330421690"/>
    <s v="BRL"/>
    <n v="1672.98"/>
    <n v="1672.98"/>
    <m/>
    <m/>
    <m/>
    <d v="2025-01-27T00:00:00"/>
    <d v="2025-01-27T00:00:00"/>
    <m/>
    <s v="Pagamento"/>
    <n v="330421690"/>
    <x v="2"/>
    <m/>
    <s v="GENIVAL  LIMA,"/>
    <n v="170288"/>
    <m/>
    <m/>
  </r>
  <r>
    <m/>
    <s v="Pagamento"/>
    <n v="330421691"/>
    <s v="BRL"/>
    <n v="82.24"/>
    <n v="82.24"/>
    <m/>
    <m/>
    <m/>
    <d v="2025-01-27T00:00:00"/>
    <d v="2025-01-27T00:00:00"/>
    <m/>
    <s v="Pagamento"/>
    <n v="330421691"/>
    <x v="2"/>
    <m/>
    <s v="GERALDO ANTONIO PEIXOTO JUNIOR,"/>
    <n v="170288"/>
    <m/>
    <m/>
  </r>
  <r>
    <m/>
    <s v="Pagamento"/>
    <n v="330421692"/>
    <s v="BRL"/>
    <n v="1398.52"/>
    <n v="1398.52"/>
    <m/>
    <m/>
    <m/>
    <d v="2025-01-27T00:00:00"/>
    <d v="2025-01-27T00:00:00"/>
    <m/>
    <s v="Pagamento"/>
    <n v="330421692"/>
    <x v="2"/>
    <m/>
    <s v="GERALDO EUSTAQUIO MARQUES,"/>
    <n v="170288"/>
    <m/>
    <m/>
  </r>
  <r>
    <m/>
    <s v="Pagamento"/>
    <n v="330421693"/>
    <s v="BRL"/>
    <n v="1511.97"/>
    <n v="1511.97"/>
    <m/>
    <m/>
    <m/>
    <d v="2025-01-27T00:00:00"/>
    <d v="2025-01-27T00:00:00"/>
    <m/>
    <s v="Pagamento"/>
    <n v="330421693"/>
    <x v="2"/>
    <m/>
    <s v="GILBERTO DA MOTA CARVALHO,"/>
    <n v="170288"/>
    <m/>
    <m/>
  </r>
  <r>
    <m/>
    <s v="Pagamento"/>
    <n v="330421694"/>
    <s v="BRL"/>
    <n v="1404.63"/>
    <n v="1404.63"/>
    <m/>
    <m/>
    <m/>
    <d v="2025-01-27T00:00:00"/>
    <d v="2025-01-27T00:00:00"/>
    <m/>
    <s v="Pagamento"/>
    <n v="330421694"/>
    <x v="2"/>
    <m/>
    <s v="GILBERTO OLIVEIRA SANTOS JUNIOR,"/>
    <n v="170288"/>
    <m/>
    <m/>
  </r>
  <r>
    <m/>
    <s v="Pagamento"/>
    <n v="330421695"/>
    <s v="BRL"/>
    <n v="1493.92"/>
    <n v="1493.92"/>
    <m/>
    <m/>
    <m/>
    <d v="2025-01-27T00:00:00"/>
    <d v="2025-01-27T00:00:00"/>
    <m/>
    <s v="Pagamento"/>
    <n v="330421695"/>
    <x v="2"/>
    <m/>
    <s v="GILCEMAR  TRABACH,"/>
    <n v="170288"/>
    <m/>
    <m/>
  </r>
  <r>
    <m/>
    <s v="Pagamento"/>
    <n v="330421696"/>
    <s v="BRL"/>
    <n v="1064.6099999999999"/>
    <n v="1064.6099999999999"/>
    <m/>
    <m/>
    <m/>
    <d v="2025-01-27T00:00:00"/>
    <d v="2025-01-27T00:00:00"/>
    <m/>
    <s v="Pagamento"/>
    <n v="330421696"/>
    <x v="2"/>
    <m/>
    <s v="GILMAR FERREIRA PINA,"/>
    <n v="170288"/>
    <m/>
    <m/>
  </r>
  <r>
    <m/>
    <s v="Pagamento"/>
    <n v="330421697"/>
    <s v="BRL"/>
    <n v="1207.72"/>
    <n v="1207.72"/>
    <m/>
    <m/>
    <m/>
    <d v="2025-01-27T00:00:00"/>
    <d v="2025-01-27T00:00:00"/>
    <m/>
    <s v="Pagamento"/>
    <n v="330421697"/>
    <x v="2"/>
    <m/>
    <s v="GILMAR ROCHA RODRIGUES,"/>
    <n v="170288"/>
    <m/>
    <m/>
  </r>
  <r>
    <m/>
    <s v="Pagamento"/>
    <n v="330421698"/>
    <s v="BRL"/>
    <n v="1398.52"/>
    <n v="1398.52"/>
    <m/>
    <m/>
    <m/>
    <d v="2025-01-27T00:00:00"/>
    <d v="2025-01-27T00:00:00"/>
    <m/>
    <s v="Pagamento"/>
    <n v="330421698"/>
    <x v="2"/>
    <m/>
    <s v="GILSON  MURAKAMI,"/>
    <n v="170288"/>
    <m/>
    <m/>
  </r>
  <r>
    <m/>
    <s v="Pagamento"/>
    <n v="330421699"/>
    <s v="BRL"/>
    <n v="1112.31"/>
    <n v="1112.31"/>
    <m/>
    <m/>
    <m/>
    <d v="2025-01-27T00:00:00"/>
    <d v="2025-01-27T00:00:00"/>
    <m/>
    <s v="Pagamento"/>
    <n v="330421699"/>
    <x v="2"/>
    <m/>
    <s v="GILSON MENDES SILVA,"/>
    <n v="170288"/>
    <m/>
    <m/>
  </r>
  <r>
    <m/>
    <s v="Pagamento"/>
    <n v="330421700"/>
    <s v="BRL"/>
    <n v="1565.64"/>
    <n v="1565.64"/>
    <m/>
    <m/>
    <m/>
    <d v="2025-01-27T00:00:00"/>
    <d v="2025-01-27T00:00:00"/>
    <m/>
    <s v="Pagamento"/>
    <n v="330421700"/>
    <x v="2"/>
    <m/>
    <s v="GILSON MUNIZ BARRETO JUNIOR,"/>
    <n v="170288"/>
    <m/>
    <m/>
  </r>
  <r>
    <m/>
    <s v="Pagamento"/>
    <n v="330421701"/>
    <s v="BRL"/>
    <n v="729.15"/>
    <n v="729.15"/>
    <m/>
    <m/>
    <m/>
    <d v="2025-01-27T00:00:00"/>
    <d v="2025-01-27T00:00:00"/>
    <m/>
    <s v="Pagamento"/>
    <n v="330421701"/>
    <x v="2"/>
    <m/>
    <s v="GILTON CARNEIRO PONTE,"/>
    <n v="170288"/>
    <m/>
    <m/>
  </r>
  <r>
    <m/>
    <s v="Pagamento"/>
    <n v="330421702"/>
    <s v="BRL"/>
    <n v="651.55999999999995"/>
    <n v="651.55999999999995"/>
    <m/>
    <m/>
    <m/>
    <d v="2025-01-27T00:00:00"/>
    <d v="2025-01-27T00:00:00"/>
    <m/>
    <s v="Pagamento"/>
    <n v="330421702"/>
    <x v="2"/>
    <m/>
    <s v="GIOVANE BRUNEL PAES,"/>
    <n v="170288"/>
    <m/>
    <m/>
  </r>
  <r>
    <m/>
    <s v="Pagamento"/>
    <n v="330421703"/>
    <s v="BRL"/>
    <n v="108.1"/>
    <n v="108.1"/>
    <m/>
    <m/>
    <m/>
    <d v="2025-01-27T00:00:00"/>
    <d v="2025-01-27T00:00:00"/>
    <m/>
    <s v="Pagamento"/>
    <n v="330421703"/>
    <x v="2"/>
    <m/>
    <s v="GIOVANI DE LIMA TEIXEIRA"/>
    <n v="170288"/>
    <m/>
    <m/>
  </r>
  <r>
    <m/>
    <s v="Pagamento"/>
    <n v="330421704"/>
    <s v="BRL"/>
    <n v="49"/>
    <n v="49"/>
    <m/>
    <m/>
    <m/>
    <d v="2025-01-27T00:00:00"/>
    <d v="2025-01-27T00:00:00"/>
    <m/>
    <s v="Pagamento"/>
    <n v="330421704"/>
    <x v="2"/>
    <m/>
    <s v="GLEIDSON DOS SANTOS MARQUES,"/>
    <n v="170288"/>
    <m/>
    <m/>
  </r>
  <r>
    <m/>
    <s v="Pagamento"/>
    <n v="330421705"/>
    <s v="BRL"/>
    <n v="1493.92"/>
    <n v="1493.92"/>
    <m/>
    <m/>
    <m/>
    <d v="2025-01-27T00:00:00"/>
    <d v="2025-01-27T00:00:00"/>
    <m/>
    <s v="Pagamento"/>
    <n v="330421705"/>
    <x v="2"/>
    <m/>
    <s v="GRAZIANI DE OLIVEIRA ARAUJO,"/>
    <n v="170288"/>
    <m/>
    <m/>
  </r>
  <r>
    <m/>
    <s v="Pagamento"/>
    <n v="330421706"/>
    <s v="BRL"/>
    <n v="1511.97"/>
    <n v="1511.97"/>
    <m/>
    <m/>
    <m/>
    <d v="2025-01-27T00:00:00"/>
    <d v="2025-01-27T00:00:00"/>
    <m/>
    <s v="Pagamento"/>
    <n v="330421706"/>
    <x v="2"/>
    <m/>
    <s v="GUIDO RUFINO PIRES,"/>
    <n v="170288"/>
    <m/>
    <m/>
  </r>
  <r>
    <m/>
    <s v="Pagamento"/>
    <n v="330421707"/>
    <s v="BRL"/>
    <n v="1493.92"/>
    <n v="1493.92"/>
    <m/>
    <m/>
    <m/>
    <d v="2025-01-27T00:00:00"/>
    <d v="2025-01-27T00:00:00"/>
    <m/>
    <s v="Pagamento"/>
    <n v="330421707"/>
    <x v="2"/>
    <m/>
    <s v="GUILHERME PEREIRA RODRIGUES"/>
    <n v="170288"/>
    <m/>
    <m/>
  </r>
  <r>
    <m/>
    <s v="Pagamento"/>
    <n v="330421708"/>
    <s v="BRL"/>
    <n v="621.80999999999995"/>
    <n v="621.80999999999995"/>
    <m/>
    <m/>
    <m/>
    <d v="2025-01-27T00:00:00"/>
    <d v="2025-01-27T00:00:00"/>
    <m/>
    <s v="Pagamento"/>
    <n v="330421708"/>
    <x v="2"/>
    <m/>
    <s v="GUSTAVO  HEINEN,"/>
    <n v="170288"/>
    <m/>
    <m/>
  </r>
  <r>
    <m/>
    <s v="Pagamento"/>
    <n v="330421709"/>
    <s v="BRL"/>
    <n v="281.99"/>
    <n v="281.99"/>
    <m/>
    <m/>
    <m/>
    <d v="2025-01-27T00:00:00"/>
    <d v="2025-01-27T00:00:00"/>
    <m/>
    <s v="Pagamento"/>
    <n v="330421709"/>
    <x v="2"/>
    <m/>
    <s v="GUSTAVO   RIPP"/>
    <n v="170288"/>
    <m/>
    <m/>
  </r>
  <r>
    <m/>
    <s v="Pagamento"/>
    <n v="330421710"/>
    <s v="BRL"/>
    <n v="1398.52"/>
    <n v="1398.52"/>
    <m/>
    <m/>
    <m/>
    <d v="2025-01-27T00:00:00"/>
    <d v="2025-01-27T00:00:00"/>
    <m/>
    <s v="Pagamento"/>
    <n v="330421710"/>
    <x v="2"/>
    <m/>
    <s v="HAUSBLENO MOREIRA PORTO,"/>
    <n v="170288"/>
    <m/>
    <m/>
  </r>
  <r>
    <m/>
    <s v="Pagamento"/>
    <n v="330421711"/>
    <s v="BRL"/>
    <n v="1672.98"/>
    <n v="1672.98"/>
    <m/>
    <m/>
    <m/>
    <d v="2025-01-27T00:00:00"/>
    <d v="2025-01-27T00:00:00"/>
    <m/>
    <s v="Pagamento"/>
    <n v="330421711"/>
    <x v="2"/>
    <m/>
    <s v="HEDMICIO DOS SANTOS,"/>
    <n v="170288"/>
    <m/>
    <m/>
  </r>
  <r>
    <m/>
    <s v="Pagamento"/>
    <n v="330421712"/>
    <s v="BRL"/>
    <n v="1398.52"/>
    <n v="1398.52"/>
    <m/>
    <m/>
    <m/>
    <d v="2025-01-27T00:00:00"/>
    <d v="2025-01-27T00:00:00"/>
    <m/>
    <s v="Pagamento"/>
    <n v="330421712"/>
    <x v="2"/>
    <m/>
    <s v="HELIO DANTAS YANO,"/>
    <n v="170288"/>
    <m/>
    <m/>
  </r>
  <r>
    <m/>
    <s v="Pagamento"/>
    <n v="330421713"/>
    <s v="BRL"/>
    <n v="98"/>
    <n v="98"/>
    <m/>
    <m/>
    <m/>
    <d v="2025-01-27T00:00:00"/>
    <d v="2025-01-27T00:00:00"/>
    <m/>
    <s v="Pagamento"/>
    <n v="330421713"/>
    <x v="2"/>
    <m/>
    <s v="HELIO WAGNER TEIXEIRA SIQUEIRA,"/>
    <n v="170288"/>
    <m/>
    <m/>
  </r>
  <r>
    <m/>
    <s v="Pagamento"/>
    <n v="330421714"/>
    <s v="BRL"/>
    <n v="1672.98"/>
    <n v="1672.98"/>
    <m/>
    <m/>
    <m/>
    <d v="2025-01-27T00:00:00"/>
    <d v="2025-01-27T00:00:00"/>
    <m/>
    <s v="Pagamento"/>
    <n v="330421714"/>
    <x v="2"/>
    <m/>
    <s v="HENRIQUE  SALVADOR,"/>
    <n v="170288"/>
    <m/>
    <m/>
  </r>
  <r>
    <m/>
    <s v="Pagamento"/>
    <n v="330421715"/>
    <s v="BRL"/>
    <n v="1493.92"/>
    <n v="1493.92"/>
    <m/>
    <m/>
    <m/>
    <d v="2025-01-27T00:00:00"/>
    <d v="2025-01-27T00:00:00"/>
    <m/>
    <s v="Pagamento"/>
    <n v="330421715"/>
    <x v="2"/>
    <m/>
    <s v="HENRY BARROS PALHANO,"/>
    <n v="170288"/>
    <m/>
    <m/>
  </r>
  <r>
    <m/>
    <s v="Pagamento"/>
    <n v="330421716"/>
    <s v="BRL"/>
    <n v="1493.92"/>
    <n v="1493.92"/>
    <m/>
    <m/>
    <m/>
    <d v="2025-01-27T00:00:00"/>
    <d v="2025-01-27T00:00:00"/>
    <m/>
    <s v="Pagamento"/>
    <n v="330421716"/>
    <x v="2"/>
    <m/>
    <s v="HERBERT ALEXANDRE DI PACE,"/>
    <n v="170288"/>
    <m/>
    <m/>
  </r>
  <r>
    <m/>
    <s v="Pagamento"/>
    <n v="330421717"/>
    <s v="BRL"/>
    <n v="1207.72"/>
    <n v="1207.72"/>
    <m/>
    <m/>
    <m/>
    <d v="2025-01-27T00:00:00"/>
    <d v="2025-01-27T00:00:00"/>
    <m/>
    <s v="Pagamento"/>
    <n v="330421717"/>
    <x v="2"/>
    <m/>
    <s v="HERCULIS COLLACHITI CORBI,"/>
    <n v="170288"/>
    <m/>
    <m/>
  </r>
  <r>
    <m/>
    <s v="Pagamento"/>
    <n v="330421718"/>
    <s v="BRL"/>
    <n v="1350.96"/>
    <n v="1350.96"/>
    <m/>
    <m/>
    <m/>
    <d v="2025-01-27T00:00:00"/>
    <d v="2025-01-27T00:00:00"/>
    <m/>
    <s v="Pagamento"/>
    <n v="330421718"/>
    <x v="2"/>
    <m/>
    <s v="HERYCK HENRIQUE DA SILVA,"/>
    <n v="170288"/>
    <m/>
    <m/>
  </r>
  <r>
    <m/>
    <s v="Pagamento"/>
    <n v="330421719"/>
    <s v="BRL"/>
    <n v="307.8"/>
    <n v="307.8"/>
    <m/>
    <m/>
    <m/>
    <d v="2025-01-27T00:00:00"/>
    <d v="2025-01-27T00:00:00"/>
    <m/>
    <s v="Pagamento"/>
    <n v="330421719"/>
    <x v="2"/>
    <m/>
    <s v="HILTON DA PAZ LEONARDO PEREIRA,"/>
    <n v="170288"/>
    <m/>
    <m/>
  </r>
  <r>
    <m/>
    <s v="Pagamento"/>
    <n v="330421720"/>
    <s v="BRL"/>
    <n v="1082.6199999999999"/>
    <n v="1082.6199999999999"/>
    <m/>
    <m/>
    <m/>
    <d v="2025-01-27T00:00:00"/>
    <d v="2025-01-27T00:00:00"/>
    <m/>
    <s v="Pagamento"/>
    <n v="330421720"/>
    <x v="2"/>
    <m/>
    <s v="HUBERLEIDSON BARROS NOGUEIRA,"/>
    <n v="170288"/>
    <m/>
    <m/>
  </r>
  <r>
    <m/>
    <s v="Pagamento"/>
    <n v="330421721"/>
    <s v="BRL"/>
    <n v="317.64999999999998"/>
    <n v="317.64999999999998"/>
    <m/>
    <m/>
    <m/>
    <d v="2025-01-27T00:00:00"/>
    <d v="2025-01-27T00:00:00"/>
    <m/>
    <s v="Pagamento"/>
    <n v="330421721"/>
    <x v="2"/>
    <m/>
    <s v="HUMBERTO BERNARDI DE CAMPOS,"/>
    <n v="170288"/>
    <m/>
    <m/>
  </r>
  <r>
    <m/>
    <s v="Pagamento"/>
    <n v="330421722"/>
    <s v="BRL"/>
    <n v="1672.98"/>
    <n v="1672.98"/>
    <m/>
    <m/>
    <m/>
    <d v="2025-01-27T00:00:00"/>
    <d v="2025-01-27T00:00:00"/>
    <m/>
    <s v="Pagamento"/>
    <n v="330421722"/>
    <x v="2"/>
    <m/>
    <s v="HUMBERTO PEREIRA DE LIMA,"/>
    <n v="170288"/>
    <m/>
    <m/>
  </r>
  <r>
    <m/>
    <s v="Pagamento"/>
    <n v="330421723"/>
    <s v="BRL"/>
    <n v="1672.98"/>
    <n v="1672.98"/>
    <m/>
    <m/>
    <m/>
    <d v="2025-01-27T00:00:00"/>
    <d v="2025-01-27T00:00:00"/>
    <m/>
    <s v="Pagamento"/>
    <n v="330421723"/>
    <x v="2"/>
    <m/>
    <s v="IGOR BEZERRA MANCIOLA,"/>
    <n v="170288"/>
    <m/>
    <m/>
  </r>
  <r>
    <m/>
    <s v="Pagamento"/>
    <n v="330421724"/>
    <s v="BRL"/>
    <n v="1404.63"/>
    <n v="1404.63"/>
    <m/>
    <m/>
    <m/>
    <d v="2025-01-27T00:00:00"/>
    <d v="2025-01-27T00:00:00"/>
    <m/>
    <s v="Pagamento"/>
    <n v="330421724"/>
    <x v="2"/>
    <m/>
    <s v="INALDO DE CARVALHO SILVA,"/>
    <n v="170288"/>
    <m/>
    <m/>
  </r>
  <r>
    <m/>
    <s v="Pagamento"/>
    <n v="330421725"/>
    <s v="BRL"/>
    <n v="1672.98"/>
    <n v="1672.98"/>
    <m/>
    <m/>
    <m/>
    <d v="2025-01-27T00:00:00"/>
    <d v="2025-01-27T00:00:00"/>
    <m/>
    <s v="Pagamento"/>
    <n v="330421725"/>
    <x v="2"/>
    <m/>
    <s v="ISAAC AUGUSTO DA SILVA FERNANDES,"/>
    <n v="170288"/>
    <m/>
    <m/>
  </r>
  <r>
    <m/>
    <s v="Pagamento"/>
    <n v="330421726"/>
    <s v="BRL"/>
    <n v="1398.52"/>
    <n v="1398.52"/>
    <m/>
    <m/>
    <m/>
    <d v="2025-01-27T00:00:00"/>
    <d v="2025-01-27T00:00:00"/>
    <m/>
    <s v="Pagamento"/>
    <n v="330421726"/>
    <x v="2"/>
    <m/>
    <s v="ISAAC JOSE BASTOS DE SOUZA,"/>
    <n v="170288"/>
    <m/>
    <m/>
  </r>
  <r>
    <m/>
    <s v="Pagamento"/>
    <n v="330421727"/>
    <s v="BRL"/>
    <n v="1255.42"/>
    <n v="1255.42"/>
    <m/>
    <m/>
    <m/>
    <d v="2025-01-27T00:00:00"/>
    <d v="2025-01-27T00:00:00"/>
    <m/>
    <s v="Pagamento"/>
    <n v="330421727"/>
    <x v="2"/>
    <m/>
    <s v="ITELMAR DE OLIVEIRA REIS,"/>
    <n v="170288"/>
    <m/>
    <m/>
  </r>
  <r>
    <m/>
    <s v="Pagamento"/>
    <n v="330421728"/>
    <s v="BRL"/>
    <n v="132.49"/>
    <n v="132.49"/>
    <m/>
    <m/>
    <m/>
    <d v="2025-01-27T00:00:00"/>
    <d v="2025-01-27T00:00:00"/>
    <m/>
    <s v="Pagamento"/>
    <n v="330421728"/>
    <x v="2"/>
    <m/>
    <s v="IVANILDE DOS SANTOS MOTA,"/>
    <n v="170288"/>
    <m/>
    <m/>
  </r>
  <r>
    <m/>
    <s v="Pagamento"/>
    <n v="330421729"/>
    <s v="BRL"/>
    <n v="1493.92"/>
    <n v="1493.92"/>
    <m/>
    <m/>
    <m/>
    <d v="2025-01-27T00:00:00"/>
    <d v="2025-01-27T00:00:00"/>
    <m/>
    <s v="Pagamento"/>
    <n v="330421729"/>
    <x v="2"/>
    <m/>
    <s v="IVO MELO DE JESUS,"/>
    <n v="170288"/>
    <m/>
    <m/>
  </r>
  <r>
    <m/>
    <s v="Pagamento"/>
    <n v="330421730"/>
    <s v="BRL"/>
    <n v="460.76"/>
    <n v="460.76"/>
    <m/>
    <m/>
    <m/>
    <d v="2025-01-27T00:00:00"/>
    <d v="2025-01-27T00:00:00"/>
    <m/>
    <s v="Pagamento"/>
    <n v="330421730"/>
    <x v="2"/>
    <m/>
    <s v="JADER CRISTHIAN RICARDO CRUZ,"/>
    <n v="170288"/>
    <m/>
    <m/>
  </r>
  <r>
    <m/>
    <s v="Pagamento"/>
    <n v="330421731"/>
    <s v="BRL"/>
    <n v="1404.63"/>
    <n v="1404.63"/>
    <m/>
    <m/>
    <m/>
    <d v="2025-01-27T00:00:00"/>
    <d v="2025-01-27T00:00:00"/>
    <m/>
    <s v="Pagamento"/>
    <n v="330421731"/>
    <x v="2"/>
    <m/>
    <s v="JADSON AZEVEDO MOREIRA,"/>
    <n v="170288"/>
    <m/>
    <m/>
  </r>
  <r>
    <m/>
    <s v="Pagamento"/>
    <n v="330421732"/>
    <s v="BRL"/>
    <n v="782.82"/>
    <n v="782.82"/>
    <m/>
    <m/>
    <m/>
    <d v="2025-01-27T00:00:00"/>
    <d v="2025-01-27T00:00:00"/>
    <m/>
    <s v="Pagamento"/>
    <n v="330421732"/>
    <x v="2"/>
    <m/>
    <s v="JAMERSON BARBOSA DA SILVA,"/>
    <n v="170288"/>
    <m/>
    <m/>
  </r>
  <r>
    <m/>
    <s v="Pagamento"/>
    <n v="330421733"/>
    <s v="BRL"/>
    <n v="1398.52"/>
    <n v="1398.52"/>
    <m/>
    <m/>
    <m/>
    <d v="2025-01-27T00:00:00"/>
    <d v="2025-01-27T00:00:00"/>
    <m/>
    <s v="Pagamento"/>
    <n v="330421733"/>
    <x v="2"/>
    <m/>
    <s v="JAMIL FRANCISCO DE ARRUDA,"/>
    <n v="170288"/>
    <m/>
    <m/>
  </r>
  <r>
    <m/>
    <s v="Pagamento"/>
    <n v="330421734"/>
    <s v="BRL"/>
    <n v="101.45"/>
    <n v="101.45"/>
    <m/>
    <m/>
    <m/>
    <d v="2025-01-27T00:00:00"/>
    <d v="2025-01-27T00:00:00"/>
    <m/>
    <s v="Pagamento"/>
    <n v="330421734"/>
    <x v="2"/>
    <m/>
    <s v="JANAINA FERREIRA DINIZ,"/>
    <n v="170288"/>
    <m/>
    <m/>
  </r>
  <r>
    <m/>
    <s v="Pagamento"/>
    <n v="330421735"/>
    <s v="BRL"/>
    <n v="1511.97"/>
    <n v="1511.97"/>
    <m/>
    <m/>
    <m/>
    <d v="2025-01-27T00:00:00"/>
    <d v="2025-01-27T00:00:00"/>
    <m/>
    <s v="Pagamento"/>
    <n v="330421735"/>
    <x v="2"/>
    <m/>
    <s v="JANDERSON SOUSA BORGES,"/>
    <n v="170288"/>
    <m/>
    <m/>
  </r>
  <r>
    <m/>
    <s v="Pagamento"/>
    <n v="330421736"/>
    <s v="BRL"/>
    <n v="1493.92"/>
    <n v="1493.92"/>
    <m/>
    <m/>
    <m/>
    <d v="2025-01-27T00:00:00"/>
    <d v="2025-01-27T00:00:00"/>
    <m/>
    <s v="Pagamento"/>
    <n v="330421736"/>
    <x v="2"/>
    <m/>
    <s v="JANILSON SILVA DE OLIVEIRA,"/>
    <n v="170288"/>
    <m/>
    <m/>
  </r>
  <r>
    <m/>
    <s v="Pagamento"/>
    <n v="330421737"/>
    <s v="BRL"/>
    <n v="12"/>
    <n v="12"/>
    <m/>
    <m/>
    <m/>
    <d v="2025-01-27T00:00:00"/>
    <d v="2025-01-27T00:00:00"/>
    <m/>
    <s v="Pagamento"/>
    <n v="330421737"/>
    <x v="2"/>
    <m/>
    <s v="JEAN  WALTRICK,"/>
    <n v="170288"/>
    <m/>
    <m/>
  </r>
  <r>
    <m/>
    <s v="Pagamento"/>
    <n v="330421738"/>
    <s v="BRL"/>
    <n v="130.01"/>
    <n v="130.01"/>
    <m/>
    <m/>
    <m/>
    <d v="2025-01-27T00:00:00"/>
    <d v="2025-01-27T00:00:00"/>
    <m/>
    <s v="Pagamento"/>
    <n v="330421738"/>
    <x v="2"/>
    <m/>
    <s v="JEAN CARLOS GAZZONI,"/>
    <n v="170288"/>
    <m/>
    <m/>
  </r>
  <r>
    <m/>
    <s v="Pagamento"/>
    <n v="330421739"/>
    <s v="BRL"/>
    <n v="1350.82"/>
    <n v="1350.82"/>
    <m/>
    <m/>
    <m/>
    <d v="2025-01-27T00:00:00"/>
    <d v="2025-01-27T00:00:00"/>
    <m/>
    <s v="Pagamento"/>
    <n v="330421739"/>
    <x v="2"/>
    <m/>
    <s v="JEAN CLEBER ALENCAR LOUREIRO,"/>
    <n v="170288"/>
    <m/>
    <m/>
  </r>
  <r>
    <m/>
    <s v="Pagamento"/>
    <n v="330421740"/>
    <s v="BRL"/>
    <n v="1082.6199999999999"/>
    <n v="1082.6199999999999"/>
    <m/>
    <m/>
    <m/>
    <d v="2025-01-27T00:00:00"/>
    <d v="2025-01-27T00:00:00"/>
    <m/>
    <s v="Pagamento"/>
    <n v="330421740"/>
    <x v="2"/>
    <m/>
    <s v="JEAN FRANCO DA SILVA,"/>
    <n v="170288"/>
    <m/>
    <m/>
  </r>
  <r>
    <m/>
    <s v="Pagamento"/>
    <n v="330421741"/>
    <s v="BRL"/>
    <n v="1672.98"/>
    <n v="1672.98"/>
    <m/>
    <m/>
    <m/>
    <d v="2025-01-27T00:00:00"/>
    <d v="2025-01-27T00:00:00"/>
    <m/>
    <s v="Pagamento"/>
    <n v="330421741"/>
    <x v="2"/>
    <m/>
    <s v="JEAN JACKSON PRIMAVERA DE MATOS,"/>
    <n v="170288"/>
    <m/>
    <m/>
  </r>
  <r>
    <m/>
    <s v="Pagamento"/>
    <n v="330421742"/>
    <s v="BRL"/>
    <n v="1402.32"/>
    <n v="1402.32"/>
    <m/>
    <m/>
    <m/>
    <d v="2025-01-27T00:00:00"/>
    <d v="2025-01-27T00:00:00"/>
    <m/>
    <s v="Pagamento"/>
    <n v="330421742"/>
    <x v="2"/>
    <m/>
    <s v="JEFERSON JUNQUEIRA MIRANDA,"/>
    <n v="170288"/>
    <m/>
    <m/>
  </r>
  <r>
    <m/>
    <s v="Pagamento"/>
    <n v="330421743"/>
    <s v="BRL"/>
    <n v="299.8"/>
    <n v="299.8"/>
    <m/>
    <m/>
    <m/>
    <d v="2025-01-27T00:00:00"/>
    <d v="2025-01-27T00:00:00"/>
    <m/>
    <s v="Pagamento"/>
    <n v="330421743"/>
    <x v="2"/>
    <m/>
    <s v="JEFFERSON CUNHA SILVA,"/>
    <n v="170288"/>
    <m/>
    <m/>
  </r>
  <r>
    <m/>
    <s v="Pagamento"/>
    <n v="330421744"/>
    <s v="BRL"/>
    <n v="1511.97"/>
    <n v="1511.97"/>
    <m/>
    <m/>
    <m/>
    <d v="2025-01-27T00:00:00"/>
    <d v="2025-01-27T00:00:00"/>
    <m/>
    <s v="Pagamento"/>
    <n v="330421744"/>
    <x v="2"/>
    <m/>
    <s v="JOAO BATISTA RAIMUNDO JUNIOR,"/>
    <n v="170288"/>
    <m/>
    <m/>
  </r>
  <r>
    <m/>
    <s v="Pagamento"/>
    <n v="330421745"/>
    <s v="BRL"/>
    <n v="699.26"/>
    <n v="699.26"/>
    <m/>
    <m/>
    <m/>
    <d v="2025-01-27T00:00:00"/>
    <d v="2025-01-27T00:00:00"/>
    <m/>
    <s v="Pagamento"/>
    <n v="330421745"/>
    <x v="2"/>
    <m/>
    <s v="JOAO DAMASCENO DE SOUZA NETO,"/>
    <n v="170288"/>
    <m/>
    <m/>
  </r>
  <r>
    <m/>
    <s v="Pagamento"/>
    <n v="330421746"/>
    <s v="BRL"/>
    <n v="299.8"/>
    <n v="299.8"/>
    <m/>
    <m/>
    <m/>
    <d v="2025-01-27T00:00:00"/>
    <d v="2025-01-27T00:00:00"/>
    <m/>
    <s v="Pagamento"/>
    <n v="330421746"/>
    <x v="2"/>
    <m/>
    <s v="JOAO DARLIS SAMPAIO SANTOS,"/>
    <n v="170288"/>
    <m/>
    <m/>
  </r>
  <r>
    <m/>
    <s v="Pagamento"/>
    <n v="330421747"/>
    <s v="BRL"/>
    <n v="1255.42"/>
    <n v="1255.42"/>
    <m/>
    <m/>
    <m/>
    <d v="2025-01-27T00:00:00"/>
    <d v="2025-01-27T00:00:00"/>
    <m/>
    <s v="Pagamento"/>
    <n v="330421747"/>
    <x v="2"/>
    <m/>
    <s v="JOAQUIM FERREIRA CAMPOS NETO,"/>
    <n v="170288"/>
    <m/>
    <m/>
  </r>
  <r>
    <m/>
    <s v="Pagamento"/>
    <n v="330421748"/>
    <s v="BRL"/>
    <n v="1350.82"/>
    <n v="1350.82"/>
    <m/>
    <m/>
    <m/>
    <d v="2025-01-27T00:00:00"/>
    <d v="2025-01-27T00:00:00"/>
    <m/>
    <s v="Pagamento"/>
    <n v="330421748"/>
    <x v="2"/>
    <m/>
    <s v="JOEL TOMAZ DE AMORIM FILHO,"/>
    <n v="170288"/>
    <m/>
    <m/>
  </r>
  <r>
    <m/>
    <s v="Pagamento"/>
    <n v="330421749"/>
    <s v="BRL"/>
    <n v="782.82"/>
    <n v="782.82"/>
    <m/>
    <m/>
    <m/>
    <d v="2025-01-27T00:00:00"/>
    <d v="2025-01-27T00:00:00"/>
    <m/>
    <s v="Pagamento"/>
    <n v="330421749"/>
    <x v="2"/>
    <m/>
    <s v="JOELSON PEREIRA NOBRE,"/>
    <n v="170288"/>
    <m/>
    <m/>
  </r>
  <r>
    <m/>
    <s v="Pagamento"/>
    <n v="330421750"/>
    <s v="BRL"/>
    <n v="195.39"/>
    <n v="195.39"/>
    <m/>
    <m/>
    <m/>
    <d v="2025-01-27T00:00:00"/>
    <d v="2025-01-27T00:00:00"/>
    <m/>
    <s v="Pagamento"/>
    <n v="330421750"/>
    <x v="2"/>
    <m/>
    <s v="JONES MARCOS EMILIANO,"/>
    <n v="170288"/>
    <m/>
    <m/>
  </r>
  <r>
    <m/>
    <s v="Pagamento"/>
    <n v="330421751"/>
    <s v="BRL"/>
    <n v="1493.92"/>
    <n v="1493.92"/>
    <m/>
    <m/>
    <m/>
    <d v="2025-01-27T00:00:00"/>
    <d v="2025-01-27T00:00:00"/>
    <m/>
    <s v="Pagamento"/>
    <n v="330421751"/>
    <x v="2"/>
    <m/>
    <s v="JORGE JOSE DE MORAIS SOARES,"/>
    <n v="170288"/>
    <m/>
    <m/>
  </r>
  <r>
    <m/>
    <s v="Pagamento"/>
    <n v="330421752"/>
    <s v="BRL"/>
    <n v="1398.52"/>
    <n v="1398.52"/>
    <m/>
    <m/>
    <m/>
    <d v="2025-01-27T00:00:00"/>
    <d v="2025-01-27T00:00:00"/>
    <m/>
    <s v="Pagamento"/>
    <n v="330421752"/>
    <x v="2"/>
    <m/>
    <s v="JORGE SA DE OLIVEIRA,"/>
    <n v="170288"/>
    <m/>
    <m/>
  </r>
  <r>
    <m/>
    <s v="Pagamento"/>
    <n v="330421753"/>
    <s v="BRL"/>
    <n v="621.80999999999995"/>
    <n v="621.80999999999995"/>
    <m/>
    <m/>
    <m/>
    <d v="2025-01-27T00:00:00"/>
    <d v="2025-01-27T00:00:00"/>
    <m/>
    <s v="Pagamento"/>
    <n v="330421753"/>
    <x v="2"/>
    <m/>
    <s v="JOSAFA ALVES DE BARROS,"/>
    <n v="170288"/>
    <m/>
    <m/>
  </r>
  <r>
    <m/>
    <s v="Pagamento"/>
    <n v="330421754"/>
    <s v="BRL"/>
    <n v="413.06"/>
    <n v="413.06"/>
    <m/>
    <m/>
    <m/>
    <d v="2025-01-27T00:00:00"/>
    <d v="2025-01-27T00:00:00"/>
    <m/>
    <s v="Pagamento"/>
    <n v="330421754"/>
    <x v="2"/>
    <m/>
    <s v="JOSE AGENALDO VIDAL,"/>
    <n v="170288"/>
    <m/>
    <m/>
  </r>
  <r>
    <m/>
    <s v="Pagamento"/>
    <n v="330421755"/>
    <s v="BRL"/>
    <n v="1672.98"/>
    <n v="1672.98"/>
    <m/>
    <m/>
    <m/>
    <d v="2025-01-27T00:00:00"/>
    <d v="2025-01-27T00:00:00"/>
    <m/>
    <s v="Pagamento"/>
    <n v="330421755"/>
    <x v="2"/>
    <m/>
    <s v="JOSE AILTON DE SOUSA PEREIRA,"/>
    <n v="170288"/>
    <m/>
    <m/>
  </r>
  <r>
    <m/>
    <s v="Pagamento"/>
    <n v="330421756"/>
    <s v="BRL"/>
    <n v="1064.6099999999999"/>
    <n v="1064.6099999999999"/>
    <m/>
    <m/>
    <m/>
    <d v="2025-01-27T00:00:00"/>
    <d v="2025-01-27T00:00:00"/>
    <m/>
    <s v="Pagamento"/>
    <n v="330421756"/>
    <x v="2"/>
    <m/>
    <s v="JOSE ANTONIO CABRAL,"/>
    <n v="170288"/>
    <m/>
    <m/>
  </r>
  <r>
    <m/>
    <s v="Pagamento"/>
    <n v="330421757"/>
    <s v="BRL"/>
    <n v="1404.63"/>
    <n v="1404.63"/>
    <m/>
    <m/>
    <m/>
    <d v="2025-01-27T00:00:00"/>
    <d v="2025-01-27T00:00:00"/>
    <m/>
    <s v="Pagamento"/>
    <n v="330421757"/>
    <x v="2"/>
    <m/>
    <s v="JOSE ARTUR ALVES DE SIQUEIRA,"/>
    <n v="170288"/>
    <m/>
    <m/>
  </r>
  <r>
    <m/>
    <s v="Pagamento"/>
    <n v="330421758"/>
    <s v="BRL"/>
    <n v="1565.64"/>
    <n v="1565.64"/>
    <m/>
    <m/>
    <m/>
    <d v="2025-01-27T00:00:00"/>
    <d v="2025-01-27T00:00:00"/>
    <m/>
    <s v="Pagamento"/>
    <n v="330421758"/>
    <x v="2"/>
    <m/>
    <s v="JOSE CARLOS DOS SANTOS JUNIOR,"/>
    <n v="170288"/>
    <m/>
    <m/>
  </r>
  <r>
    <m/>
    <s v="Pagamento"/>
    <n v="330421759"/>
    <s v="BRL"/>
    <n v="1511.97"/>
    <n v="1511.97"/>
    <m/>
    <m/>
    <m/>
    <d v="2025-01-27T00:00:00"/>
    <d v="2025-01-27T00:00:00"/>
    <m/>
    <s v="Pagamento"/>
    <n v="330421759"/>
    <x v="2"/>
    <m/>
    <s v="JOSE CARLOS SANTOS MENDES,"/>
    <n v="170288"/>
    <m/>
    <m/>
  </r>
  <r>
    <m/>
    <s v="Pagamento"/>
    <n v="330421760"/>
    <s v="BRL"/>
    <n v="2375.7800000000002"/>
    <n v="2375.7800000000002"/>
    <m/>
    <m/>
    <m/>
    <d v="2025-01-27T00:00:00"/>
    <d v="2025-01-27T00:00:00"/>
    <m/>
    <s v="Pagamento"/>
    <n v="330421760"/>
    <x v="2"/>
    <m/>
    <s v="JOSE EDUARDO ALEXANDRE BELO,"/>
    <n v="170288"/>
    <m/>
    <m/>
  </r>
  <r>
    <m/>
    <s v="Pagamento"/>
    <n v="330421761"/>
    <s v="BRL"/>
    <n v="524.52"/>
    <n v="524.52"/>
    <m/>
    <m/>
    <m/>
    <d v="2025-01-27T00:00:00"/>
    <d v="2025-01-27T00:00:00"/>
    <m/>
    <s v="Pagamento"/>
    <n v="330421761"/>
    <x v="2"/>
    <m/>
    <s v="JOSE FERNANDES MUNIZ,"/>
    <n v="170288"/>
    <m/>
    <m/>
  </r>
  <r>
    <m/>
    <s v="Pagamento"/>
    <n v="330421762"/>
    <s v="BRL"/>
    <n v="1672.98"/>
    <n v="1672.98"/>
    <m/>
    <m/>
    <m/>
    <d v="2025-01-27T00:00:00"/>
    <d v="2025-01-27T00:00:00"/>
    <m/>
    <s v="Pagamento"/>
    <n v="330421762"/>
    <x v="2"/>
    <m/>
    <s v="JOSE FRANCISCO COSTA,"/>
    <n v="170288"/>
    <m/>
    <m/>
  </r>
  <r>
    <m/>
    <s v="Pagamento"/>
    <n v="330421763"/>
    <s v="BRL"/>
    <n v="460.76"/>
    <n v="460.76"/>
    <m/>
    <m/>
    <m/>
    <d v="2025-01-27T00:00:00"/>
    <d v="2025-01-27T00:00:00"/>
    <m/>
    <s v="Pagamento"/>
    <n v="330421763"/>
    <x v="2"/>
    <m/>
    <s v="JOSE GERALDO FAZION BARTALINI,"/>
    <n v="170288"/>
    <m/>
    <m/>
  </r>
  <r>
    <m/>
    <s v="Pagamento"/>
    <n v="330421764"/>
    <s v="BRL"/>
    <n v="1493.92"/>
    <n v="1493.92"/>
    <m/>
    <m/>
    <m/>
    <d v="2025-01-27T00:00:00"/>
    <d v="2025-01-27T00:00:00"/>
    <m/>
    <s v="Pagamento"/>
    <n v="330421764"/>
    <x v="2"/>
    <m/>
    <s v="JOSE KENNED DE OLIVEIRA,"/>
    <n v="170288"/>
    <m/>
    <m/>
  </r>
  <r>
    <m/>
    <s v="Pagamento"/>
    <n v="330421765"/>
    <s v="BRL"/>
    <n v="699.26"/>
    <n v="699.26"/>
    <m/>
    <m/>
    <m/>
    <d v="2025-01-27T00:00:00"/>
    <d v="2025-01-27T00:00:00"/>
    <m/>
    <s v="Pagamento"/>
    <n v="330421765"/>
    <x v="2"/>
    <m/>
    <s v="JOSE LAUDIMIRO GOMES MOURA,"/>
    <n v="170288"/>
    <m/>
    <m/>
  </r>
  <r>
    <m/>
    <s v="Pagamento"/>
    <n v="330421766"/>
    <s v="BRL"/>
    <n v="1672.98"/>
    <n v="1672.98"/>
    <m/>
    <m/>
    <m/>
    <d v="2025-01-27T00:00:00"/>
    <d v="2025-01-27T00:00:00"/>
    <m/>
    <s v="Pagamento"/>
    <n v="330421766"/>
    <x v="2"/>
    <m/>
    <s v="JOSE LEVI SOUSA MELO,"/>
    <n v="170288"/>
    <m/>
    <m/>
  </r>
  <r>
    <m/>
    <s v="Pagamento"/>
    <n v="330421767"/>
    <s v="BRL"/>
    <n v="3859.1"/>
    <n v="3859.1"/>
    <m/>
    <m/>
    <m/>
    <d v="2025-01-27T00:00:00"/>
    <d v="2025-01-27T00:00:00"/>
    <m/>
    <s v="Pagamento"/>
    <n v="330421767"/>
    <x v="2"/>
    <m/>
    <s v="JOSE NILTO MARROCOS DA SILVA,"/>
    <n v="170288"/>
    <m/>
    <m/>
  </r>
  <r>
    <m/>
    <s v="Pagamento"/>
    <n v="330421768"/>
    <s v="BRL"/>
    <n v="1511.97"/>
    <n v="1511.97"/>
    <m/>
    <m/>
    <m/>
    <d v="2025-01-27T00:00:00"/>
    <d v="2025-01-27T00:00:00"/>
    <m/>
    <s v="Pagamento"/>
    <n v="330421768"/>
    <x v="2"/>
    <m/>
    <s v="JOSE RAIMUNDO GARCEZ,"/>
    <n v="170288"/>
    <m/>
    <m/>
  </r>
  <r>
    <m/>
    <s v="Pagamento"/>
    <n v="330421769"/>
    <s v="BRL"/>
    <n v="1398.52"/>
    <n v="1398.52"/>
    <m/>
    <m/>
    <m/>
    <d v="2025-01-27T00:00:00"/>
    <d v="2025-01-27T00:00:00"/>
    <m/>
    <s v="Pagamento"/>
    <n v="330421769"/>
    <x v="2"/>
    <m/>
    <s v="JOSE REGINALDO RUFFA ARRABA,"/>
    <n v="170288"/>
    <m/>
    <m/>
  </r>
  <r>
    <m/>
    <s v="Pagamento"/>
    <n v="330421770"/>
    <s v="BRL"/>
    <n v="1398.52"/>
    <n v="1398.52"/>
    <m/>
    <m/>
    <m/>
    <d v="2025-01-27T00:00:00"/>
    <d v="2025-01-27T00:00:00"/>
    <m/>
    <s v="Pagamento"/>
    <n v="330421770"/>
    <x v="2"/>
    <m/>
    <s v="JOSE REINALDO DE OLIVEIRA,"/>
    <n v="170288"/>
    <m/>
    <m/>
  </r>
  <r>
    <m/>
    <s v="Pagamento"/>
    <n v="330421771"/>
    <s v="BRL"/>
    <n v="1255.42"/>
    <n v="1255.42"/>
    <m/>
    <m/>
    <m/>
    <d v="2025-01-27T00:00:00"/>
    <d v="2025-01-27T00:00:00"/>
    <m/>
    <s v="Pagamento"/>
    <n v="330421771"/>
    <x v="2"/>
    <m/>
    <s v="JOSE RICARDO RODRIGUES DA MOTA,"/>
    <n v="170288"/>
    <m/>
    <m/>
  </r>
  <r>
    <m/>
    <s v="Pagamento"/>
    <n v="330421772"/>
    <s v="BRL"/>
    <n v="1350.82"/>
    <n v="1350.82"/>
    <m/>
    <m/>
    <m/>
    <d v="2025-01-27T00:00:00"/>
    <d v="2025-01-27T00:00:00"/>
    <m/>
    <s v="Pagamento"/>
    <n v="330421772"/>
    <x v="2"/>
    <m/>
    <s v="JOSE ROBERTO CHRESTENZEN,"/>
    <n v="170288"/>
    <m/>
    <m/>
  </r>
  <r>
    <m/>
    <s v="Pagamento"/>
    <n v="330421773"/>
    <s v="BRL"/>
    <n v="3402.02"/>
    <n v="3402.02"/>
    <m/>
    <m/>
    <m/>
    <d v="2025-01-27T00:00:00"/>
    <d v="2025-01-27T00:00:00"/>
    <m/>
    <s v="Pagamento"/>
    <n v="330421773"/>
    <x v="2"/>
    <m/>
    <s v="JOSE RODRIGUES NETO,"/>
    <n v="170288"/>
    <m/>
    <m/>
  </r>
  <r>
    <m/>
    <s v="Pagamento"/>
    <n v="330421774"/>
    <s v="BRL"/>
    <n v="556.16"/>
    <n v="556.16"/>
    <m/>
    <m/>
    <m/>
    <d v="2025-01-27T00:00:00"/>
    <d v="2025-01-27T00:00:00"/>
    <m/>
    <s v="Pagamento"/>
    <n v="330421774"/>
    <x v="2"/>
    <m/>
    <s v="JOSE VITORIO DE OLIVEIRA,"/>
    <n v="170288"/>
    <m/>
    <m/>
  </r>
  <r>
    <m/>
    <s v="Pagamento"/>
    <n v="330421775"/>
    <s v="BRL"/>
    <n v="1493.92"/>
    <n v="1493.92"/>
    <m/>
    <m/>
    <m/>
    <d v="2025-01-27T00:00:00"/>
    <d v="2025-01-27T00:00:00"/>
    <m/>
    <s v="Pagamento"/>
    <n v="330421775"/>
    <x v="2"/>
    <m/>
    <s v="JOSEAS GOMES HERCULANO JUNIOR,"/>
    <n v="170288"/>
    <m/>
    <m/>
  </r>
  <r>
    <m/>
    <s v="Pagamento"/>
    <n v="330421776"/>
    <s v="BRL"/>
    <n v="1672.98"/>
    <n v="1672.98"/>
    <m/>
    <m/>
    <m/>
    <d v="2025-01-27T00:00:00"/>
    <d v="2025-01-27T00:00:00"/>
    <m/>
    <s v="Pagamento"/>
    <n v="330421776"/>
    <x v="2"/>
    <m/>
    <s v="JOSEVAN MARQUES DE BRITO,"/>
    <n v="170288"/>
    <m/>
    <m/>
  </r>
  <r>
    <m/>
    <s v="Pagamento"/>
    <n v="330421777"/>
    <s v="BRL"/>
    <n v="651.55999999999995"/>
    <n v="651.55999999999995"/>
    <m/>
    <m/>
    <m/>
    <d v="2025-01-27T00:00:00"/>
    <d v="2025-01-27T00:00:00"/>
    <m/>
    <s v="Pagamento"/>
    <n v="330421777"/>
    <x v="2"/>
    <m/>
    <s v="JOSIMARY LINHARES ASSUNCAO,"/>
    <n v="170288"/>
    <m/>
    <m/>
  </r>
  <r>
    <m/>
    <s v="Pagamento"/>
    <n v="330421778"/>
    <s v="BRL"/>
    <n v="1493.92"/>
    <n v="1493.92"/>
    <m/>
    <m/>
    <m/>
    <d v="2025-01-27T00:00:00"/>
    <d v="2025-01-27T00:00:00"/>
    <m/>
    <s v="Pagamento"/>
    <n v="330421778"/>
    <x v="2"/>
    <m/>
    <s v="JULIO CEZAR DA SILVA,"/>
    <n v="170288"/>
    <m/>
    <m/>
  </r>
  <r>
    <m/>
    <s v="Pagamento"/>
    <n v="330421779"/>
    <s v="BRL"/>
    <n v="1672.98"/>
    <n v="1672.98"/>
    <m/>
    <m/>
    <m/>
    <d v="2025-01-27T00:00:00"/>
    <d v="2025-01-27T00:00:00"/>
    <m/>
    <s v="Pagamento"/>
    <n v="330421779"/>
    <x v="2"/>
    <m/>
    <s v="JUNIOR CESAR TOMAZ"/>
    <n v="170288"/>
    <m/>
    <m/>
  </r>
  <r>
    <m/>
    <s v="Pagamento"/>
    <n v="330421780"/>
    <s v="BRL"/>
    <n v="550"/>
    <n v="550"/>
    <m/>
    <m/>
    <m/>
    <d v="2025-01-27T00:00:00"/>
    <d v="2025-01-27T00:00:00"/>
    <m/>
    <s v="Pagamento"/>
    <n v="330421780"/>
    <x v="2"/>
    <m/>
    <s v="KAYKY ALEXANDRE RODRIGUES VIEIRA,"/>
    <n v="170288"/>
    <m/>
    <m/>
  </r>
  <r>
    <m/>
    <s v="Pagamento"/>
    <n v="330421781"/>
    <s v="BRL"/>
    <n v="1672.98"/>
    <n v="1672.98"/>
    <m/>
    <m/>
    <m/>
    <d v="2025-01-27T00:00:00"/>
    <d v="2025-01-27T00:00:00"/>
    <m/>
    <s v="Pagamento"/>
    <n v="330421781"/>
    <x v="2"/>
    <m/>
    <s v="KESLEY RANGEL SANTOS DE SOUSA,"/>
    <n v="170288"/>
    <m/>
    <m/>
  </r>
  <r>
    <m/>
    <s v="Pagamento"/>
    <n v="330421782"/>
    <s v="BRL"/>
    <n v="1207.72"/>
    <n v="1207.72"/>
    <m/>
    <m/>
    <m/>
    <d v="2025-01-27T00:00:00"/>
    <d v="2025-01-27T00:00:00"/>
    <m/>
    <s v="Pagamento"/>
    <n v="330421782"/>
    <x v="2"/>
    <m/>
    <s v="KEVYN YUDI CARDOSO TAKAHASHI,"/>
    <n v="170288"/>
    <m/>
    <m/>
  </r>
  <r>
    <m/>
    <s v="Pagamento"/>
    <n v="330421783"/>
    <s v="BRL"/>
    <n v="1350.82"/>
    <n v="1350.82"/>
    <m/>
    <m/>
    <m/>
    <d v="2025-01-27T00:00:00"/>
    <d v="2025-01-27T00:00:00"/>
    <m/>
    <s v="Pagamento"/>
    <n v="330421783"/>
    <x v="2"/>
    <m/>
    <s v="KLEITON JOSE GOMES MOREIRA BEVILAQUA,"/>
    <n v="170288"/>
    <m/>
    <m/>
  </r>
  <r>
    <m/>
    <s v="Pagamento"/>
    <n v="330421784"/>
    <s v="BRL"/>
    <n v="1493.92"/>
    <n v="1493.92"/>
    <m/>
    <m/>
    <m/>
    <d v="2025-01-27T00:00:00"/>
    <d v="2025-01-27T00:00:00"/>
    <m/>
    <s v="Pagamento"/>
    <n v="330421784"/>
    <x v="2"/>
    <m/>
    <s v="LAMEQUE PINHEIRO MONTEIRO,"/>
    <n v="170288"/>
    <m/>
    <m/>
  </r>
  <r>
    <m/>
    <s v="Pagamento"/>
    <n v="330421785"/>
    <s v="BRL"/>
    <n v="621.80999999999995"/>
    <n v="621.80999999999995"/>
    <m/>
    <m/>
    <m/>
    <d v="2025-01-27T00:00:00"/>
    <d v="2025-01-27T00:00:00"/>
    <m/>
    <s v="Pagamento"/>
    <n v="330421785"/>
    <x v="2"/>
    <m/>
    <s v="LEANDRO GERTRUDES ESTEVES,"/>
    <n v="170288"/>
    <m/>
    <m/>
  </r>
  <r>
    <m/>
    <s v="Pagamento"/>
    <n v="330421786"/>
    <s v="BRL"/>
    <n v="1493.92"/>
    <n v="1493.92"/>
    <m/>
    <m/>
    <m/>
    <d v="2025-01-27T00:00:00"/>
    <d v="2025-01-27T00:00:00"/>
    <m/>
    <s v="Pagamento"/>
    <n v="330421786"/>
    <x v="2"/>
    <m/>
    <s v="LEANDRO MOLIN NOGUEIRA"/>
    <n v="170288"/>
    <m/>
    <m/>
  </r>
  <r>
    <m/>
    <s v="Pagamento"/>
    <n v="330421787"/>
    <s v="BRL"/>
    <n v="111.48"/>
    <n v="111.48"/>
    <m/>
    <m/>
    <m/>
    <d v="2025-01-27T00:00:00"/>
    <d v="2025-01-27T00:00:00"/>
    <m/>
    <s v="Pagamento"/>
    <n v="330421787"/>
    <x v="2"/>
    <m/>
    <s v="LEONAM SILVA LIMA,"/>
    <n v="170288"/>
    <m/>
    <m/>
  </r>
  <r>
    <m/>
    <s v="Pagamento"/>
    <n v="330421788"/>
    <s v="BRL"/>
    <n v="1207.72"/>
    <n v="1207.72"/>
    <m/>
    <m/>
    <m/>
    <d v="2025-01-27T00:00:00"/>
    <d v="2025-01-27T00:00:00"/>
    <m/>
    <s v="Pagamento"/>
    <n v="330421788"/>
    <x v="2"/>
    <m/>
    <s v="LEONARDO BRAVIM LAURO,"/>
    <n v="170288"/>
    <m/>
    <m/>
  </r>
  <r>
    <m/>
    <s v="Pagamento"/>
    <n v="330421789"/>
    <s v="BRL"/>
    <n v="455.24"/>
    <n v="455.24"/>
    <m/>
    <m/>
    <m/>
    <d v="2025-01-27T00:00:00"/>
    <d v="2025-01-27T00:00:00"/>
    <m/>
    <s v="Pagamento"/>
    <n v="330421789"/>
    <x v="2"/>
    <m/>
    <s v="LEONARDO DE SENA MAIA,"/>
    <n v="170288"/>
    <m/>
    <m/>
  </r>
  <r>
    <m/>
    <s v="Pagamento"/>
    <n v="330421790"/>
    <s v="BRL"/>
    <n v="2021.9"/>
    <n v="2021.9"/>
    <m/>
    <m/>
    <m/>
    <d v="2025-01-27T00:00:00"/>
    <d v="2025-01-27T00:00:00"/>
    <m/>
    <s v="Pagamento"/>
    <n v="330421790"/>
    <x v="2"/>
    <m/>
    <s v="LEONARDO MACHADO BAPTISTA,"/>
    <n v="170288"/>
    <m/>
    <m/>
  </r>
  <r>
    <m/>
    <s v="Pagamento"/>
    <n v="330421791"/>
    <s v="BRL"/>
    <n v="1255.42"/>
    <n v="1255.42"/>
    <m/>
    <m/>
    <m/>
    <d v="2025-01-27T00:00:00"/>
    <d v="2025-01-27T00:00:00"/>
    <m/>
    <s v="Pagamento"/>
    <n v="330421791"/>
    <x v="2"/>
    <m/>
    <s v="LEVI MORENO SALVADOR,"/>
    <n v="170288"/>
    <m/>
    <m/>
  </r>
  <r>
    <m/>
    <s v="Pagamento"/>
    <n v="330421792"/>
    <s v="BRL"/>
    <n v="1493.92"/>
    <n v="1493.92"/>
    <m/>
    <m/>
    <m/>
    <d v="2025-01-27T00:00:00"/>
    <d v="2025-01-27T00:00:00"/>
    <m/>
    <s v="Pagamento"/>
    <n v="330421792"/>
    <x v="2"/>
    <m/>
    <s v="LIDIANE RIBEIRO ALVES,"/>
    <n v="170288"/>
    <m/>
    <m/>
  </r>
  <r>
    <m/>
    <s v="Pagamento"/>
    <n v="330421793"/>
    <s v="BRL"/>
    <n v="1493.92"/>
    <n v="1493.92"/>
    <m/>
    <m/>
    <m/>
    <d v="2025-01-27T00:00:00"/>
    <d v="2025-01-27T00:00:00"/>
    <m/>
    <s v="Pagamento"/>
    <n v="330421793"/>
    <x v="2"/>
    <m/>
    <s v="LUCAS ARRUDA NETO,"/>
    <n v="170288"/>
    <m/>
    <m/>
  </r>
  <r>
    <m/>
    <s v="Pagamento"/>
    <n v="330421794"/>
    <s v="BRL"/>
    <n v="1493.92"/>
    <n v="1493.92"/>
    <m/>
    <m/>
    <m/>
    <d v="2025-01-27T00:00:00"/>
    <d v="2025-01-27T00:00:00"/>
    <m/>
    <s v="Pagamento"/>
    <n v="330421794"/>
    <x v="2"/>
    <m/>
    <s v="LUCAS DANIEL DOS RAMOS,"/>
    <n v="170288"/>
    <m/>
    <m/>
  </r>
  <r>
    <m/>
    <s v="Pagamento"/>
    <n v="330421795"/>
    <s v="BRL"/>
    <n v="1350.82"/>
    <n v="1350.82"/>
    <m/>
    <m/>
    <m/>
    <d v="2025-01-27T00:00:00"/>
    <d v="2025-01-27T00:00:00"/>
    <m/>
    <s v="Pagamento"/>
    <n v="330421795"/>
    <x v="2"/>
    <m/>
    <s v="LUCAS FERREIRA SUSSTRUNK,"/>
    <n v="170288"/>
    <m/>
    <m/>
  </r>
  <r>
    <m/>
    <s v="Pagamento"/>
    <n v="330421796"/>
    <s v="BRL"/>
    <n v="1255.42"/>
    <n v="1255.42"/>
    <m/>
    <m/>
    <m/>
    <d v="2025-01-27T00:00:00"/>
    <d v="2025-01-27T00:00:00"/>
    <m/>
    <s v="Pagamento"/>
    <n v="330421796"/>
    <x v="2"/>
    <m/>
    <s v="LUCAS GOMES DO CARMO,"/>
    <n v="170288"/>
    <m/>
    <m/>
  </r>
  <r>
    <m/>
    <s v="Pagamento"/>
    <n v="330421797"/>
    <s v="BRL"/>
    <n v="270"/>
    <n v="270"/>
    <m/>
    <m/>
    <m/>
    <d v="2025-01-27T00:00:00"/>
    <d v="2025-01-27T00:00:00"/>
    <m/>
    <s v="Pagamento"/>
    <n v="330421797"/>
    <x v="2"/>
    <m/>
    <s v="LUCAS ROBERTO SIXEL PEREIRA,"/>
    <n v="170288"/>
    <m/>
    <m/>
  </r>
  <r>
    <m/>
    <s v="Pagamento"/>
    <n v="330421798"/>
    <s v="BRL"/>
    <n v="1672.98"/>
    <n v="1672.98"/>
    <m/>
    <m/>
    <m/>
    <d v="2025-01-27T00:00:00"/>
    <d v="2025-01-27T00:00:00"/>
    <m/>
    <s v="Pagamento"/>
    <n v="330421798"/>
    <x v="2"/>
    <m/>
    <s v="LUCIANO ALVES PEREIRA,"/>
    <n v="170288"/>
    <m/>
    <m/>
  </r>
  <r>
    <m/>
    <s v="Pagamento"/>
    <n v="330421799"/>
    <s v="BRL"/>
    <n v="1398.52"/>
    <n v="1398.52"/>
    <m/>
    <m/>
    <m/>
    <d v="2025-01-27T00:00:00"/>
    <d v="2025-01-27T00:00:00"/>
    <m/>
    <s v="Pagamento"/>
    <n v="330421799"/>
    <x v="2"/>
    <m/>
    <s v="LUCIANO DOMINGOS SANTOS DE SOUSA,"/>
    <n v="170288"/>
    <m/>
    <m/>
  </r>
  <r>
    <m/>
    <s v="Pagamento"/>
    <n v="330421800"/>
    <s v="BRL"/>
    <n v="621.80999999999995"/>
    <n v="621.80999999999995"/>
    <m/>
    <m/>
    <m/>
    <d v="2025-01-27T00:00:00"/>
    <d v="2025-01-27T00:00:00"/>
    <m/>
    <s v="Pagamento"/>
    <n v="330421800"/>
    <x v="2"/>
    <m/>
    <s v="LUCIANO DOS SANTOS SILVA,"/>
    <n v="170288"/>
    <m/>
    <m/>
  </r>
  <r>
    <m/>
    <s v="Pagamento"/>
    <n v="330421801"/>
    <s v="BRL"/>
    <n v="1511.97"/>
    <n v="1511.97"/>
    <m/>
    <m/>
    <m/>
    <d v="2025-01-27T00:00:00"/>
    <d v="2025-01-27T00:00:00"/>
    <m/>
    <s v="Pagamento"/>
    <n v="330421801"/>
    <x v="2"/>
    <m/>
    <s v="LUCIANO MARTINS MOREIRA,"/>
    <n v="170288"/>
    <m/>
    <m/>
  </r>
  <r>
    <m/>
    <s v="Pagamento"/>
    <n v="330421802"/>
    <s v="BRL"/>
    <n v="1243.6300000000001"/>
    <n v="1243.6300000000001"/>
    <m/>
    <m/>
    <m/>
    <d v="2025-01-27T00:00:00"/>
    <d v="2025-01-27T00:00:00"/>
    <m/>
    <s v="Pagamento"/>
    <n v="330421802"/>
    <x v="2"/>
    <m/>
    <s v="LUCIO FLAVIO ALVES DA SILVA,"/>
    <n v="170288"/>
    <m/>
    <m/>
  </r>
  <r>
    <m/>
    <s v="Pagamento"/>
    <n v="330421803"/>
    <s v="BRL"/>
    <n v="1672.98"/>
    <n v="1672.98"/>
    <m/>
    <m/>
    <m/>
    <d v="2025-01-27T00:00:00"/>
    <d v="2025-01-27T00:00:00"/>
    <m/>
    <s v="Pagamento"/>
    <n v="330421803"/>
    <x v="2"/>
    <m/>
    <s v="LUCIVAL BRITO LIMA,"/>
    <n v="170288"/>
    <m/>
    <m/>
  </r>
  <r>
    <m/>
    <s v="Pagamento"/>
    <n v="330421804"/>
    <s v="BRL"/>
    <n v="1398.52"/>
    <n v="1398.52"/>
    <m/>
    <m/>
    <m/>
    <d v="2025-01-27T00:00:00"/>
    <d v="2025-01-27T00:00:00"/>
    <m/>
    <s v="Pagamento"/>
    <n v="330421804"/>
    <x v="2"/>
    <m/>
    <s v="LUIS FERNANDO SILVEIRA ALVES,"/>
    <n v="170288"/>
    <m/>
    <m/>
  </r>
  <r>
    <m/>
    <s v="Pagamento"/>
    <n v="330421805"/>
    <s v="BRL"/>
    <n v="1255.42"/>
    <n v="1255.42"/>
    <m/>
    <m/>
    <m/>
    <d v="2025-01-27T00:00:00"/>
    <d v="2025-01-27T00:00:00"/>
    <m/>
    <s v="Pagamento"/>
    <n v="330421805"/>
    <x v="2"/>
    <m/>
    <s v="LUIS HENRIQUE POHREN RIBEIRO,"/>
    <n v="170288"/>
    <m/>
    <m/>
  </r>
  <r>
    <m/>
    <s v="Pagamento"/>
    <n v="330421806"/>
    <s v="BRL"/>
    <n v="84.89"/>
    <n v="84.89"/>
    <m/>
    <m/>
    <m/>
    <d v="2025-01-27T00:00:00"/>
    <d v="2025-01-27T00:00:00"/>
    <m/>
    <s v="Pagamento"/>
    <n v="330421806"/>
    <x v="2"/>
    <m/>
    <s v="LUIZ ALBERTO SICHIERI,"/>
    <n v="170288"/>
    <m/>
    <m/>
  </r>
  <r>
    <m/>
    <s v="Pagamento"/>
    <n v="330421807"/>
    <s v="BRL"/>
    <n v="460.76"/>
    <n v="460.76"/>
    <m/>
    <m/>
    <m/>
    <d v="2025-01-27T00:00:00"/>
    <d v="2025-01-27T00:00:00"/>
    <m/>
    <s v="Pagamento"/>
    <n v="330421807"/>
    <x v="2"/>
    <m/>
    <s v="LUIZ AUGUSTO DA COSTA,"/>
    <n v="170288"/>
    <m/>
    <m/>
  </r>
  <r>
    <m/>
    <s v="Pagamento"/>
    <n v="330421808"/>
    <s v="BRL"/>
    <n v="1548.37"/>
    <n v="1548.37"/>
    <m/>
    <m/>
    <m/>
    <d v="2025-01-27T00:00:00"/>
    <d v="2025-01-27T00:00:00"/>
    <m/>
    <s v="Pagamento"/>
    <n v="330421808"/>
    <x v="2"/>
    <m/>
    <s v="LUIZ CARLOS JOSE DOS SANTOS,"/>
    <n v="170288"/>
    <m/>
    <m/>
  </r>
  <r>
    <m/>
    <s v="Pagamento"/>
    <n v="330421809"/>
    <s v="BRL"/>
    <n v="621.80999999999995"/>
    <n v="621.80999999999995"/>
    <m/>
    <m/>
    <m/>
    <d v="2025-01-27T00:00:00"/>
    <d v="2025-01-27T00:00:00"/>
    <m/>
    <s v="Pagamento"/>
    <n v="330421809"/>
    <x v="2"/>
    <m/>
    <s v="LUIZ GOMES FERNANDES,"/>
    <n v="170288"/>
    <m/>
    <m/>
  </r>
  <r>
    <m/>
    <s v="Pagamento"/>
    <n v="330421810"/>
    <s v="BRL"/>
    <n v="826.11"/>
    <n v="826.11"/>
    <m/>
    <m/>
    <m/>
    <d v="2025-01-27T00:00:00"/>
    <d v="2025-01-27T00:00:00"/>
    <m/>
    <s v="Pagamento"/>
    <n v="330421810"/>
    <x v="2"/>
    <m/>
    <s v="LUIZ GUSTAVO MOREIRA DOS REIS,"/>
    <n v="170288"/>
    <m/>
    <m/>
  </r>
  <r>
    <m/>
    <s v="Pagamento"/>
    <n v="330421811"/>
    <s v="BRL"/>
    <n v="1255.42"/>
    <n v="1255.42"/>
    <m/>
    <m/>
    <m/>
    <d v="2025-01-27T00:00:00"/>
    <d v="2025-01-27T00:00:00"/>
    <m/>
    <s v="Pagamento"/>
    <n v="330421811"/>
    <x v="2"/>
    <m/>
    <s v="LUIZ HENRIQUE RESENDE MACIEL,"/>
    <n v="170288"/>
    <m/>
    <m/>
  </r>
  <r>
    <m/>
    <s v="Pagamento"/>
    <n v="330421812"/>
    <s v="BRL"/>
    <n v="660.46"/>
    <n v="660.46"/>
    <m/>
    <m/>
    <m/>
    <d v="2025-01-27T00:00:00"/>
    <d v="2025-01-27T00:00:00"/>
    <m/>
    <s v="Pagamento"/>
    <n v="330421812"/>
    <x v="2"/>
    <m/>
    <s v="MACIO REGIS CAMPOS SILVA,"/>
    <n v="170288"/>
    <m/>
    <m/>
  </r>
  <r>
    <m/>
    <s v="Pagamento"/>
    <n v="330421813"/>
    <s v="BRL"/>
    <n v="1255.42"/>
    <n v="1255.42"/>
    <m/>
    <m/>
    <m/>
    <d v="2025-01-27T00:00:00"/>
    <d v="2025-01-27T00:00:00"/>
    <m/>
    <s v="Pagamento"/>
    <n v="330421813"/>
    <x v="2"/>
    <m/>
    <s v="MAERCIO MAMEDES DA SILVA,"/>
    <n v="170288"/>
    <m/>
    <m/>
  </r>
  <r>
    <m/>
    <s v="Pagamento"/>
    <n v="330421814"/>
    <s v="BRL"/>
    <n v="1518"/>
    <n v="1518"/>
    <m/>
    <m/>
    <m/>
    <d v="2025-01-27T00:00:00"/>
    <d v="2025-01-27T00:00:00"/>
    <m/>
    <s v="Pagamento"/>
    <n v="330421814"/>
    <x v="2"/>
    <m/>
    <s v="MAGNO TARQUINIO MODESTO,"/>
    <n v="170288"/>
    <m/>
    <m/>
  </r>
  <r>
    <m/>
    <s v="Pagamento"/>
    <n v="330421815"/>
    <s v="BRL"/>
    <n v="1398.52"/>
    <n v="1398.52"/>
    <m/>
    <m/>
    <m/>
    <d v="2025-01-27T00:00:00"/>
    <d v="2025-01-27T00:00:00"/>
    <m/>
    <s v="Pagamento"/>
    <n v="330421815"/>
    <x v="2"/>
    <m/>
    <s v="MAILTON CARLOS DA SILVA,"/>
    <n v="170288"/>
    <m/>
    <m/>
  </r>
  <r>
    <m/>
    <s v="Pagamento"/>
    <n v="330421816"/>
    <s v="BRL"/>
    <n v="3854.26"/>
    <n v="3854.26"/>
    <m/>
    <m/>
    <m/>
    <d v="2025-01-27T00:00:00"/>
    <d v="2025-01-27T00:00:00"/>
    <m/>
    <s v="Pagamento"/>
    <n v="330421816"/>
    <x v="2"/>
    <m/>
    <s v="MAIRON FERREIRA MACHADO,"/>
    <n v="170288"/>
    <m/>
    <m/>
  </r>
  <r>
    <m/>
    <s v="Pagamento"/>
    <n v="330421818"/>
    <s v="BRL"/>
    <n v="1404.63"/>
    <n v="1404.63"/>
    <m/>
    <m/>
    <m/>
    <d v="2025-01-27T00:00:00"/>
    <d v="2025-01-27T00:00:00"/>
    <m/>
    <s v="Pagamento"/>
    <n v="330421818"/>
    <x v="2"/>
    <m/>
    <s v="MARCELLO PEREIRA COSTA,"/>
    <n v="170288"/>
    <m/>
    <m/>
  </r>
  <r>
    <m/>
    <s v="Pagamento"/>
    <n v="330421819"/>
    <s v="BRL"/>
    <n v="621.80999999999995"/>
    <n v="621.80999999999995"/>
    <m/>
    <m/>
    <m/>
    <d v="2025-01-27T00:00:00"/>
    <d v="2025-01-27T00:00:00"/>
    <m/>
    <s v="Pagamento"/>
    <n v="330421819"/>
    <x v="2"/>
    <m/>
    <s v="MARCELO CAIMI LOPES ORNELLAS,"/>
    <n v="170288"/>
    <m/>
    <m/>
  </r>
  <r>
    <m/>
    <s v="Pagamento"/>
    <n v="330421820"/>
    <s v="BRL"/>
    <n v="1112.31"/>
    <n v="1112.31"/>
    <m/>
    <m/>
    <m/>
    <d v="2025-01-27T00:00:00"/>
    <d v="2025-01-27T00:00:00"/>
    <m/>
    <s v="Pagamento"/>
    <n v="330421820"/>
    <x v="2"/>
    <m/>
    <s v="MARCELO JUNIOR DOS SANTOS,"/>
    <n v="170288"/>
    <m/>
    <m/>
  </r>
  <r>
    <m/>
    <s v="Pagamento"/>
    <n v="330421821"/>
    <s v="BRL"/>
    <n v="1672.98"/>
    <n v="1672.98"/>
    <m/>
    <m/>
    <m/>
    <d v="2025-01-27T00:00:00"/>
    <d v="2025-01-27T00:00:00"/>
    <m/>
    <s v="Pagamento"/>
    <n v="330421821"/>
    <x v="2"/>
    <m/>
    <s v="MARCELO ROCHA DA SILVA,"/>
    <n v="170288"/>
    <m/>
    <m/>
  </r>
  <r>
    <m/>
    <s v="Pagamento"/>
    <n v="330421822"/>
    <s v="BRL"/>
    <n v="873.81"/>
    <n v="873.81"/>
    <m/>
    <m/>
    <m/>
    <d v="2025-01-27T00:00:00"/>
    <d v="2025-01-27T00:00:00"/>
    <m/>
    <s v="Pagamento"/>
    <n v="330421822"/>
    <x v="2"/>
    <m/>
    <s v="MARCELO YUDI GOYA,"/>
    <n v="170288"/>
    <m/>
    <m/>
  </r>
  <r>
    <m/>
    <s v="Pagamento"/>
    <n v="330421823"/>
    <s v="BRL"/>
    <n v="74.16"/>
    <n v="74.16"/>
    <m/>
    <m/>
    <m/>
    <d v="2025-01-27T00:00:00"/>
    <d v="2025-01-27T00:00:00"/>
    <m/>
    <s v="Pagamento"/>
    <n v="330421823"/>
    <x v="2"/>
    <m/>
    <s v="MARCIO  FERREIRA,"/>
    <n v="170288"/>
    <m/>
    <m/>
  </r>
  <r>
    <m/>
    <s v="Pagamento"/>
    <n v="330421824"/>
    <s v="BRL"/>
    <n v="1493.92"/>
    <n v="1493.92"/>
    <m/>
    <m/>
    <m/>
    <d v="2025-01-27T00:00:00"/>
    <d v="2025-01-27T00:00:00"/>
    <m/>
    <s v="Pagamento"/>
    <n v="330421824"/>
    <x v="2"/>
    <m/>
    <s v="MARCO ANTONIO FARJANI,"/>
    <n v="170288"/>
    <m/>
    <m/>
  </r>
  <r>
    <m/>
    <s v="Pagamento"/>
    <n v="330421825"/>
    <s v="BRL"/>
    <n v="36.69"/>
    <n v="36.69"/>
    <m/>
    <m/>
    <m/>
    <d v="2025-01-27T00:00:00"/>
    <d v="2025-01-27T00:00:00"/>
    <m/>
    <s v="Pagamento"/>
    <n v="330421825"/>
    <x v="2"/>
    <m/>
    <s v="MARCO AURELIO DA SILVA BERSOT,"/>
    <n v="170288"/>
    <m/>
    <m/>
  </r>
  <r>
    <m/>
    <s v="Pagamento"/>
    <n v="330421826"/>
    <s v="BRL"/>
    <n v="1511.97"/>
    <n v="1511.97"/>
    <m/>
    <m/>
    <m/>
    <d v="2025-01-27T00:00:00"/>
    <d v="2025-01-27T00:00:00"/>
    <m/>
    <s v="Pagamento"/>
    <n v="330421826"/>
    <x v="2"/>
    <m/>
    <s v="MARCOS ANTONIO DOS SANTOS PAIXAO,"/>
    <n v="170288"/>
    <m/>
    <m/>
  </r>
  <r>
    <m/>
    <s v="Pagamento"/>
    <n v="330421827"/>
    <s v="BRL"/>
    <n v="3157.17"/>
    <n v="3157.17"/>
    <m/>
    <m/>
    <m/>
    <d v="2025-01-27T00:00:00"/>
    <d v="2025-01-27T00:00:00"/>
    <m/>
    <s v="Pagamento"/>
    <n v="330421827"/>
    <x v="2"/>
    <m/>
    <s v="MARCOS DE SOUZA MAIA,"/>
    <n v="170288"/>
    <m/>
    <m/>
  </r>
  <r>
    <m/>
    <s v="Pagamento"/>
    <n v="330421828"/>
    <s v="BRL"/>
    <n v="1812.22"/>
    <n v="1812.22"/>
    <m/>
    <m/>
    <m/>
    <d v="2025-01-27T00:00:00"/>
    <d v="2025-01-27T00:00:00"/>
    <m/>
    <s v="Pagamento"/>
    <n v="330421828"/>
    <x v="2"/>
    <m/>
    <s v="MARCOS EVANDRO DE ALMEIDA SERRADEIRA,"/>
    <n v="170288"/>
    <m/>
    <m/>
  </r>
  <r>
    <m/>
    <s v="Pagamento"/>
    <n v="330421829"/>
    <s v="BRL"/>
    <n v="1243.6300000000001"/>
    <n v="1243.6300000000001"/>
    <m/>
    <m/>
    <m/>
    <d v="2025-01-27T00:00:00"/>
    <d v="2025-01-27T00:00:00"/>
    <m/>
    <s v="Pagamento"/>
    <n v="330421829"/>
    <x v="2"/>
    <m/>
    <s v="MARCOS FIGUEIRA PINTO,"/>
    <n v="170288"/>
    <m/>
    <m/>
  </r>
  <r>
    <m/>
    <s v="Pagamento"/>
    <n v="330421830"/>
    <s v="BRL"/>
    <n v="1672.98"/>
    <n v="1672.98"/>
    <m/>
    <m/>
    <m/>
    <d v="2025-01-27T00:00:00"/>
    <d v="2025-01-27T00:00:00"/>
    <m/>
    <s v="Pagamento"/>
    <n v="330421830"/>
    <x v="2"/>
    <m/>
    <s v="MARCOS JOSE BARBOZA DA PAZ JUNIOR,"/>
    <n v="170288"/>
    <m/>
    <m/>
  </r>
  <r>
    <m/>
    <s v="Pagamento"/>
    <n v="330421831"/>
    <s v="BRL"/>
    <n v="556.16"/>
    <n v="556.16"/>
    <m/>
    <m/>
    <m/>
    <d v="2025-01-27T00:00:00"/>
    <d v="2025-01-27T00:00:00"/>
    <m/>
    <s v="Pagamento"/>
    <n v="330421831"/>
    <x v="2"/>
    <m/>
    <s v="MARCOS LEVI NOGUEIRA FERNANDES,"/>
    <n v="170288"/>
    <m/>
    <m/>
  </r>
  <r>
    <m/>
    <s v="Pagamento"/>
    <n v="330421832"/>
    <s v="BRL"/>
    <n v="144.46"/>
    <n v="144.46"/>
    <m/>
    <m/>
    <m/>
    <d v="2025-01-27T00:00:00"/>
    <d v="2025-01-27T00:00:00"/>
    <m/>
    <s v="Pagamento"/>
    <n v="330421832"/>
    <x v="2"/>
    <m/>
    <s v="MARCOS PEREIRA DIAS,"/>
    <n v="170288"/>
    <m/>
    <m/>
  </r>
  <r>
    <m/>
    <s v="Pagamento"/>
    <n v="330421833"/>
    <s v="BRL"/>
    <n v="1493.92"/>
    <n v="1493.92"/>
    <m/>
    <m/>
    <m/>
    <d v="2025-01-27T00:00:00"/>
    <d v="2025-01-27T00:00:00"/>
    <m/>
    <s v="Pagamento"/>
    <n v="330421833"/>
    <x v="2"/>
    <m/>
    <s v="MARCOS ROBERTO PADOVAN,"/>
    <n v="170288"/>
    <m/>
    <m/>
  </r>
  <r>
    <m/>
    <s v="Pagamento"/>
    <n v="330421834"/>
    <s v="BRL"/>
    <n v="729.15"/>
    <n v="729.15"/>
    <m/>
    <m/>
    <m/>
    <d v="2025-01-27T00:00:00"/>
    <d v="2025-01-27T00:00:00"/>
    <m/>
    <s v="Pagamento"/>
    <n v="330421834"/>
    <x v="2"/>
    <m/>
    <s v="MARCOS VICTOR PEIXOTO,"/>
    <n v="170288"/>
    <m/>
    <m/>
  </r>
  <r>
    <m/>
    <s v="Pagamento"/>
    <n v="330421835"/>
    <s v="BRL"/>
    <n v="1672.98"/>
    <n v="1672.98"/>
    <m/>
    <m/>
    <m/>
    <d v="2025-01-27T00:00:00"/>
    <d v="2025-01-27T00:00:00"/>
    <m/>
    <s v="Pagamento"/>
    <n v="330421835"/>
    <x v="2"/>
    <m/>
    <s v="MARCOS VINICIO CONSTANTINO DA CONCEICAO,"/>
    <n v="170288"/>
    <m/>
    <m/>
  </r>
  <r>
    <m/>
    <s v="Pagamento"/>
    <n v="330421836"/>
    <s v="BRL"/>
    <n v="48.75"/>
    <n v="48.75"/>
    <m/>
    <m/>
    <m/>
    <d v="2025-01-27T00:00:00"/>
    <d v="2025-01-27T00:00:00"/>
    <m/>
    <s v="Pagamento"/>
    <n v="330421836"/>
    <x v="2"/>
    <m/>
    <s v="MARGARETH PINTO VIEIRA,"/>
    <n v="170288"/>
    <m/>
    <m/>
  </r>
  <r>
    <m/>
    <s v="Pagamento"/>
    <n v="330421837"/>
    <s v="BRL"/>
    <n v="1672.98"/>
    <n v="1672.98"/>
    <m/>
    <m/>
    <m/>
    <d v="2025-01-27T00:00:00"/>
    <d v="2025-01-27T00:00:00"/>
    <m/>
    <s v="Pagamento"/>
    <n v="330421837"/>
    <x v="2"/>
    <m/>
    <s v="MARILDO MEIRELES DE SA MOUSINHO,"/>
    <n v="170288"/>
    <m/>
    <m/>
  </r>
  <r>
    <m/>
    <s v="Pagamento"/>
    <n v="330421838"/>
    <s v="BRL"/>
    <n v="1672.98"/>
    <n v="1672.98"/>
    <m/>
    <m/>
    <m/>
    <d v="2025-01-27T00:00:00"/>
    <d v="2025-01-27T00:00:00"/>
    <m/>
    <s v="Pagamento"/>
    <n v="330421838"/>
    <x v="2"/>
    <m/>
    <s v="MARIO CARVALHO SOUSA,"/>
    <n v="170288"/>
    <m/>
    <m/>
  </r>
  <r>
    <m/>
    <s v="Pagamento"/>
    <n v="330421839"/>
    <s v="BRL"/>
    <n v="455.24"/>
    <n v="455.24"/>
    <m/>
    <m/>
    <m/>
    <d v="2025-01-27T00:00:00"/>
    <d v="2025-01-27T00:00:00"/>
    <m/>
    <s v="Pagamento"/>
    <n v="330421839"/>
    <x v="2"/>
    <m/>
    <s v="MARLON JOSE BARBOSA DOS PASSOS,"/>
    <n v="170288"/>
    <m/>
    <m/>
  </r>
  <r>
    <m/>
    <s v="Pagamento"/>
    <n v="330421840"/>
    <s v="BRL"/>
    <n v="1398.52"/>
    <n v="1398.52"/>
    <m/>
    <m/>
    <m/>
    <d v="2025-01-27T00:00:00"/>
    <d v="2025-01-27T00:00:00"/>
    <m/>
    <s v="Pagamento"/>
    <n v="330421840"/>
    <x v="2"/>
    <m/>
    <s v="MATHEUS ANDRADE DE LIMA,"/>
    <n v="170288"/>
    <m/>
    <m/>
  </r>
  <r>
    <m/>
    <s v="Pagamento"/>
    <n v="330421841"/>
    <s v="BRL"/>
    <n v="1672.98"/>
    <n v="1672.98"/>
    <m/>
    <m/>
    <m/>
    <d v="2025-01-27T00:00:00"/>
    <d v="2025-01-27T00:00:00"/>
    <m/>
    <s v="Pagamento"/>
    <n v="330421841"/>
    <x v="2"/>
    <m/>
    <s v="MAURI LUIS RIETH,"/>
    <n v="170288"/>
    <m/>
    <m/>
  </r>
  <r>
    <m/>
    <s v="Pagamento"/>
    <n v="330421842"/>
    <s v="BRL"/>
    <n v="1398.52"/>
    <n v="1398.52"/>
    <m/>
    <m/>
    <m/>
    <d v="2025-01-27T00:00:00"/>
    <d v="2025-01-27T00:00:00"/>
    <m/>
    <s v="Pagamento"/>
    <n v="330421842"/>
    <x v="2"/>
    <m/>
    <s v="MAURICIO DA SILVA MENDES,"/>
    <n v="170288"/>
    <m/>
    <m/>
  </r>
  <r>
    <m/>
    <s v="Pagamento"/>
    <n v="330421843"/>
    <s v="BRL"/>
    <n v="1350.82"/>
    <n v="1350.82"/>
    <m/>
    <m/>
    <m/>
    <d v="2025-01-27T00:00:00"/>
    <d v="2025-01-27T00:00:00"/>
    <m/>
    <s v="Pagamento"/>
    <n v="330421843"/>
    <x v="2"/>
    <m/>
    <s v="MAURICIO TOMOHISSA SUZUKI,"/>
    <n v="170288"/>
    <m/>
    <m/>
  </r>
  <r>
    <m/>
    <s v="Pagamento"/>
    <n v="330421844"/>
    <s v="BRL"/>
    <n v="1112.31"/>
    <n v="1112.31"/>
    <m/>
    <m/>
    <m/>
    <d v="2025-01-27T00:00:00"/>
    <d v="2025-01-27T00:00:00"/>
    <m/>
    <s v="Pagamento"/>
    <n v="330421844"/>
    <x v="2"/>
    <m/>
    <s v="MAURO DA FONTOURA,"/>
    <n v="170288"/>
    <m/>
    <m/>
  </r>
  <r>
    <m/>
    <s v="Pagamento"/>
    <n v="330421845"/>
    <s v="BRL"/>
    <n v="1493.92"/>
    <n v="1493.92"/>
    <m/>
    <m/>
    <m/>
    <d v="2025-01-27T00:00:00"/>
    <d v="2025-01-27T00:00:00"/>
    <m/>
    <s v="Pagamento"/>
    <n v="330421845"/>
    <x v="2"/>
    <m/>
    <s v="MAVERSON SALAS DE MORAES,"/>
    <n v="170288"/>
    <m/>
    <m/>
  </r>
  <r>
    <m/>
    <s v="Pagamento"/>
    <n v="330421846"/>
    <s v="BRL"/>
    <n v="1565.64"/>
    <n v="1565.64"/>
    <m/>
    <m/>
    <m/>
    <d v="2025-01-27T00:00:00"/>
    <d v="2025-01-27T00:00:00"/>
    <m/>
    <s v="Pagamento"/>
    <n v="330421846"/>
    <x v="2"/>
    <m/>
    <s v="MAXWELL BARBOZA CORDEIRO DE FREITAS,"/>
    <n v="170288"/>
    <m/>
    <m/>
  </r>
  <r>
    <m/>
    <s v="Pagamento"/>
    <n v="330421847"/>
    <s v="BRL"/>
    <n v="1350.82"/>
    <n v="1350.82"/>
    <m/>
    <m/>
    <m/>
    <d v="2025-01-27T00:00:00"/>
    <d v="2025-01-27T00:00:00"/>
    <m/>
    <s v="Pagamento"/>
    <n v="330421847"/>
    <x v="2"/>
    <m/>
    <s v="MICHEL CARNIEL FONTOURA,"/>
    <n v="170288"/>
    <m/>
    <m/>
  </r>
  <r>
    <m/>
    <s v="Pagamento"/>
    <n v="330421848"/>
    <s v="BRL"/>
    <n v="1410.82"/>
    <n v="1410.82"/>
    <m/>
    <m/>
    <m/>
    <d v="2025-01-27T00:00:00"/>
    <d v="2025-01-27T00:00:00"/>
    <m/>
    <s v="Pagamento"/>
    <n v="330421848"/>
    <x v="2"/>
    <m/>
    <s v="MOISES FERNANDO MONTENEGRO DAIUBE DOS SANTOS,"/>
    <n v="170288"/>
    <m/>
    <m/>
  </r>
  <r>
    <m/>
    <s v="Pagamento"/>
    <n v="330421849"/>
    <s v="BRL"/>
    <n v="1672.98"/>
    <n v="1672.98"/>
    <m/>
    <m/>
    <m/>
    <d v="2025-01-27T00:00:00"/>
    <d v="2025-01-27T00:00:00"/>
    <m/>
    <s v="Pagamento"/>
    <n v="330421849"/>
    <x v="2"/>
    <m/>
    <s v="MURILO ALBERTO DE SOUZA AGUIAR,"/>
    <n v="170288"/>
    <m/>
    <m/>
  </r>
  <r>
    <m/>
    <s v="Pagamento"/>
    <n v="330421850"/>
    <s v="BRL"/>
    <n v="1672.98"/>
    <n v="1672.98"/>
    <m/>
    <m/>
    <m/>
    <d v="2025-01-27T00:00:00"/>
    <d v="2025-01-27T00:00:00"/>
    <m/>
    <s v="Pagamento"/>
    <n v="330421850"/>
    <x v="2"/>
    <m/>
    <s v="NAILTON COSTA ASSIS,"/>
    <n v="170288"/>
    <m/>
    <m/>
  </r>
  <r>
    <m/>
    <s v="Pagamento"/>
    <n v="330421851"/>
    <s v="BRL"/>
    <n v="1255.42"/>
    <n v="1255.42"/>
    <m/>
    <m/>
    <m/>
    <d v="2025-01-27T00:00:00"/>
    <d v="2025-01-27T00:00:00"/>
    <m/>
    <s v="Pagamento"/>
    <n v="330421851"/>
    <x v="2"/>
    <m/>
    <s v="NELMA SILVA DE SOUZA,"/>
    <n v="170288"/>
    <m/>
    <m/>
  </r>
  <r>
    <m/>
    <s v="Pagamento"/>
    <n v="330421852"/>
    <s v="BRL"/>
    <n v="1565.64"/>
    <n v="1565.64"/>
    <m/>
    <m/>
    <m/>
    <d v="2025-01-27T00:00:00"/>
    <d v="2025-01-27T00:00:00"/>
    <m/>
    <s v="Pagamento"/>
    <n v="330421852"/>
    <x v="2"/>
    <m/>
    <s v="NERONI BRITO CAMPOS,"/>
    <n v="170288"/>
    <m/>
    <m/>
  </r>
  <r>
    <m/>
    <s v="Pagamento"/>
    <n v="330421853"/>
    <s v="BRL"/>
    <n v="2475.31"/>
    <n v="2475.31"/>
    <m/>
    <m/>
    <m/>
    <d v="2025-01-27T00:00:00"/>
    <d v="2025-01-27T00:00:00"/>
    <m/>
    <s v="Pagamento"/>
    <n v="330421853"/>
    <x v="2"/>
    <m/>
    <s v="NILTON DA SILVA AMARAL,"/>
    <n v="170288"/>
    <m/>
    <m/>
  </r>
  <r>
    <m/>
    <s v="Pagamento"/>
    <n v="330421854"/>
    <s v="BRL"/>
    <n v="25.99"/>
    <n v="25.99"/>
    <m/>
    <m/>
    <m/>
    <d v="2025-01-27T00:00:00"/>
    <d v="2025-01-27T00:00:00"/>
    <m/>
    <s v="Pagamento"/>
    <n v="330421854"/>
    <x v="2"/>
    <m/>
    <s v="NOEL MODESTO MAGALHAES,"/>
    <n v="170288"/>
    <m/>
    <m/>
  </r>
  <r>
    <m/>
    <s v="Pagamento"/>
    <n v="330421855"/>
    <s v="BRL"/>
    <n v="1672.98"/>
    <n v="1672.98"/>
    <m/>
    <m/>
    <m/>
    <d v="2025-01-27T00:00:00"/>
    <d v="2025-01-27T00:00:00"/>
    <m/>
    <s v="Pagamento"/>
    <n v="330421855"/>
    <x v="2"/>
    <m/>
    <s v="OBERVAL ALVES FREITAS,"/>
    <n v="170288"/>
    <m/>
    <m/>
  </r>
  <r>
    <m/>
    <s v="Pagamento"/>
    <n v="330421856"/>
    <s v="BRL"/>
    <n v="1112.31"/>
    <n v="1112.31"/>
    <m/>
    <m/>
    <m/>
    <d v="2025-01-27T00:00:00"/>
    <d v="2025-01-27T00:00:00"/>
    <m/>
    <s v="Pagamento"/>
    <n v="330421856"/>
    <x v="2"/>
    <m/>
    <s v="OLAVO SOARES DA CONCEICAO,"/>
    <n v="170288"/>
    <m/>
    <m/>
  </r>
  <r>
    <m/>
    <s v="Pagamento"/>
    <n v="330421857"/>
    <s v="BRL"/>
    <n v="1493.92"/>
    <n v="1493.92"/>
    <m/>
    <m/>
    <m/>
    <d v="2025-01-27T00:00:00"/>
    <d v="2025-01-27T00:00:00"/>
    <m/>
    <s v="Pagamento"/>
    <n v="330421857"/>
    <x v="2"/>
    <m/>
    <s v="OLEGARIO LOPES CARVALHO E SILVA,"/>
    <n v="170288"/>
    <m/>
    <m/>
  </r>
  <r>
    <m/>
    <s v="Pagamento"/>
    <n v="330421858"/>
    <s v="BRL"/>
    <n v="1064.6099999999999"/>
    <n v="1064.6099999999999"/>
    <m/>
    <m/>
    <m/>
    <d v="2025-01-27T00:00:00"/>
    <d v="2025-01-27T00:00:00"/>
    <m/>
    <s v="Pagamento"/>
    <n v="330421858"/>
    <x v="2"/>
    <m/>
    <s v="OLIVIO PAZ DE OLIVEIRA JUNIOR,"/>
    <n v="170288"/>
    <m/>
    <m/>
  </r>
  <r>
    <m/>
    <s v="Pagamento"/>
    <n v="330421859"/>
    <s v="BRL"/>
    <n v="1672.98"/>
    <n v="1672.98"/>
    <m/>
    <m/>
    <m/>
    <d v="2025-01-27T00:00:00"/>
    <d v="2025-01-27T00:00:00"/>
    <m/>
    <s v="Pagamento"/>
    <n v="330421859"/>
    <x v="2"/>
    <m/>
    <s v="OSMANI ALVES FREITAS,"/>
    <n v="170288"/>
    <m/>
    <m/>
  </r>
  <r>
    <m/>
    <s v="Pagamento"/>
    <n v="330421860"/>
    <s v="BRL"/>
    <n v="1493.92"/>
    <n v="1493.92"/>
    <m/>
    <m/>
    <m/>
    <d v="2025-01-27T00:00:00"/>
    <d v="2025-01-27T00:00:00"/>
    <m/>
    <s v="Pagamento"/>
    <n v="330421860"/>
    <x v="2"/>
    <m/>
    <s v="OSVALDO LUIZ GONCALVES DE SOUZA,"/>
    <n v="170288"/>
    <m/>
    <m/>
  </r>
  <r>
    <m/>
    <s v="Pagamento"/>
    <n v="330421861"/>
    <s v="BRL"/>
    <n v="1255.42"/>
    <n v="1255.42"/>
    <m/>
    <m/>
    <m/>
    <d v="2025-01-27T00:00:00"/>
    <d v="2025-01-27T00:00:00"/>
    <m/>
    <s v="Pagamento"/>
    <n v="330421861"/>
    <x v="2"/>
    <m/>
    <s v="OVIDIO GABRIEL DE OLIVEIRA,"/>
    <n v="170288"/>
    <m/>
    <m/>
  </r>
  <r>
    <m/>
    <s v="Pagamento"/>
    <n v="330421862"/>
    <s v="BRL"/>
    <n v="173.15"/>
    <n v="173.15"/>
    <m/>
    <m/>
    <m/>
    <d v="2025-01-27T00:00:00"/>
    <d v="2025-01-27T00:00:00"/>
    <m/>
    <s v="Pagamento"/>
    <n v="330421862"/>
    <x v="2"/>
    <m/>
    <s v="PABLO MIGUEL FIGUEIREDO,"/>
    <n v="170288"/>
    <m/>
    <m/>
  </r>
  <r>
    <m/>
    <s v="Pagamento"/>
    <n v="330421863"/>
    <s v="BRL"/>
    <n v="935"/>
    <n v="935"/>
    <m/>
    <m/>
    <m/>
    <d v="2025-01-27T00:00:00"/>
    <d v="2025-01-27T00:00:00"/>
    <m/>
    <s v="Pagamento"/>
    <n v="330421863"/>
    <x v="2"/>
    <m/>
    <s v="PATRICIA DA SILVA BARROS,"/>
    <n v="170288"/>
    <m/>
    <m/>
  </r>
  <r>
    <m/>
    <s v="Pagamento"/>
    <n v="330421864"/>
    <s v="BRL"/>
    <n v="1511.97"/>
    <n v="1511.97"/>
    <m/>
    <m/>
    <m/>
    <d v="2025-01-27T00:00:00"/>
    <d v="2025-01-27T00:00:00"/>
    <m/>
    <s v="Pagamento"/>
    <n v="330421864"/>
    <x v="2"/>
    <m/>
    <s v="PAULO ALDEBARA SANTANA DOS ANJOS,"/>
    <n v="170288"/>
    <m/>
    <m/>
  </r>
  <r>
    <m/>
    <s v="Pagamento"/>
    <n v="330421865"/>
    <s v="BRL"/>
    <n v="86.66"/>
    <n v="86.66"/>
    <m/>
    <m/>
    <m/>
    <d v="2025-01-27T00:00:00"/>
    <d v="2025-01-27T00:00:00"/>
    <m/>
    <s v="Pagamento"/>
    <n v="330421865"/>
    <x v="2"/>
    <m/>
    <s v="PAULO CESAR OLIVATO,"/>
    <n v="170288"/>
    <m/>
    <m/>
  </r>
  <r>
    <m/>
    <s v="Pagamento"/>
    <n v="330421866"/>
    <s v="BRL"/>
    <n v="300"/>
    <n v="300"/>
    <m/>
    <m/>
    <m/>
    <d v="2025-01-27T00:00:00"/>
    <d v="2025-01-27T00:00:00"/>
    <m/>
    <s v="Pagamento"/>
    <n v="330421866"/>
    <x v="2"/>
    <m/>
    <s v="PAULO DANIEL BARCELOS MATOS,"/>
    <n v="170288"/>
    <m/>
    <m/>
  </r>
  <r>
    <m/>
    <s v="Pagamento"/>
    <n v="330421867"/>
    <s v="BRL"/>
    <n v="1189.96"/>
    <n v="1189.96"/>
    <m/>
    <m/>
    <m/>
    <d v="2025-01-27T00:00:00"/>
    <d v="2025-01-27T00:00:00"/>
    <m/>
    <s v="Pagamento"/>
    <n v="330421867"/>
    <x v="2"/>
    <m/>
    <s v="PAULO LIMA BITTENCOURT,"/>
    <n v="170288"/>
    <m/>
    <m/>
  </r>
  <r>
    <m/>
    <s v="Pagamento"/>
    <n v="330421868"/>
    <s v="BRL"/>
    <n v="66.89"/>
    <n v="66.89"/>
    <m/>
    <m/>
    <m/>
    <d v="2025-01-27T00:00:00"/>
    <d v="2025-01-27T00:00:00"/>
    <m/>
    <s v="Pagamento"/>
    <n v="330421868"/>
    <x v="2"/>
    <m/>
    <s v="PAULO ROBERTO DOS SANTOS MORAES,"/>
    <n v="170288"/>
    <m/>
    <m/>
  </r>
  <r>
    <m/>
    <s v="Pagamento"/>
    <n v="330421869"/>
    <s v="BRL"/>
    <n v="84.37"/>
    <n v="84.37"/>
    <m/>
    <m/>
    <m/>
    <d v="2025-01-27T00:00:00"/>
    <d v="2025-01-27T00:00:00"/>
    <m/>
    <s v="Pagamento"/>
    <n v="330421869"/>
    <x v="2"/>
    <m/>
    <s v="PAULO VIEIRA OLIVEIRA,"/>
    <n v="170288"/>
    <m/>
    <m/>
  </r>
  <r>
    <m/>
    <s v="Pagamento"/>
    <n v="330421870"/>
    <s v="BRL"/>
    <n v="1398.52"/>
    <n v="1398.52"/>
    <m/>
    <m/>
    <m/>
    <d v="2025-01-27T00:00:00"/>
    <d v="2025-01-27T00:00:00"/>
    <m/>
    <s v="Pagamento"/>
    <n v="330421870"/>
    <x v="2"/>
    <m/>
    <s v="PAULO VINICIUS DA SILVA SANTOS,"/>
    <n v="170288"/>
    <m/>
    <m/>
  </r>
  <r>
    <m/>
    <s v="Pagamento"/>
    <n v="330421871"/>
    <s v="BRL"/>
    <n v="1493.92"/>
    <n v="1493.92"/>
    <m/>
    <m/>
    <m/>
    <d v="2025-01-27T00:00:00"/>
    <d v="2025-01-27T00:00:00"/>
    <m/>
    <s v="Pagamento"/>
    <n v="330421871"/>
    <x v="2"/>
    <m/>
    <s v="PEDRO IVO DE SOUSA,"/>
    <n v="170288"/>
    <m/>
    <m/>
  </r>
  <r>
    <m/>
    <s v="Pagamento"/>
    <n v="330421872"/>
    <s v="BRL"/>
    <n v="1493.92"/>
    <n v="1493.92"/>
    <m/>
    <m/>
    <m/>
    <d v="2025-01-27T00:00:00"/>
    <d v="2025-01-27T00:00:00"/>
    <m/>
    <s v="Pagamento"/>
    <n v="330421872"/>
    <x v="2"/>
    <m/>
    <s v="PEDRO MEIRA DA SILVA,"/>
    <n v="170288"/>
    <m/>
    <m/>
  </r>
  <r>
    <m/>
    <s v="Pagamento"/>
    <n v="330421873"/>
    <s v="BRL"/>
    <n v="1672.98"/>
    <n v="1672.98"/>
    <m/>
    <m/>
    <m/>
    <d v="2025-01-27T00:00:00"/>
    <d v="2025-01-27T00:00:00"/>
    <m/>
    <s v="Pagamento"/>
    <n v="330421873"/>
    <x v="2"/>
    <m/>
    <s v="PEDRO STEFANO SOUTO SILVA,"/>
    <n v="170288"/>
    <m/>
    <m/>
  </r>
  <r>
    <m/>
    <s v="Pagamento"/>
    <n v="330421874"/>
    <s v="BRL"/>
    <n v="460.8"/>
    <n v="460.8"/>
    <m/>
    <m/>
    <m/>
    <d v="2025-01-27T00:00:00"/>
    <d v="2025-01-27T00:00:00"/>
    <m/>
    <s v="Pagamento"/>
    <n v="330421874"/>
    <x v="2"/>
    <m/>
    <s v="PRISCILA TAVARES SOUTO MAIOR,"/>
    <n v="170288"/>
    <m/>
    <m/>
  </r>
  <r>
    <m/>
    <s v="Pagamento"/>
    <n v="330421875"/>
    <s v="BRL"/>
    <n v="728.47"/>
    <n v="728.47"/>
    <m/>
    <m/>
    <m/>
    <d v="2025-01-27T00:00:00"/>
    <d v="2025-01-27T00:00:00"/>
    <m/>
    <s v="Pagamento"/>
    <n v="330421875"/>
    <x v="2"/>
    <m/>
    <s v="RAFAEL BUROK DE SOUZA,"/>
    <n v="170288"/>
    <m/>
    <m/>
  </r>
  <r>
    <m/>
    <s v="Pagamento"/>
    <n v="330421876"/>
    <s v="BRL"/>
    <n v="30"/>
    <n v="30"/>
    <m/>
    <m/>
    <m/>
    <d v="2025-01-27T00:00:00"/>
    <d v="2025-01-27T00:00:00"/>
    <m/>
    <s v="Pagamento"/>
    <n v="330421876"/>
    <x v="2"/>
    <m/>
    <s v="RAFAEL CARLOTA DA SILVA,"/>
    <n v="170288"/>
    <m/>
    <m/>
  </r>
  <r>
    <m/>
    <s v="Pagamento"/>
    <n v="330421877"/>
    <s v="BRL"/>
    <n v="320.33999999999997"/>
    <n v="320.33999999999997"/>
    <m/>
    <m/>
    <m/>
    <d v="2025-01-27T00:00:00"/>
    <d v="2025-01-27T00:00:00"/>
    <m/>
    <s v="Pagamento"/>
    <n v="330421877"/>
    <x v="2"/>
    <m/>
    <s v="RAFAEL DE OLIVEIRA MOREIRA,"/>
    <n v="170288"/>
    <m/>
    <m/>
  </r>
  <r>
    <m/>
    <s v="Pagamento"/>
    <n v="330421878"/>
    <s v="BRL"/>
    <n v="708.56"/>
    <n v="708.56"/>
    <m/>
    <m/>
    <m/>
    <d v="2025-01-27T00:00:00"/>
    <d v="2025-01-27T00:00:00"/>
    <m/>
    <s v="Pagamento"/>
    <n v="330421878"/>
    <x v="2"/>
    <m/>
    <s v="RAFAEL GRIMALDI SALLES,"/>
    <n v="170288"/>
    <m/>
    <m/>
  </r>
  <r>
    <m/>
    <s v="Pagamento"/>
    <n v="330421879"/>
    <s v="BRL"/>
    <n v="3263.36"/>
    <n v="3263.36"/>
    <m/>
    <m/>
    <m/>
    <d v="2025-01-27T00:00:00"/>
    <d v="2025-01-27T00:00:00"/>
    <m/>
    <s v="Pagamento"/>
    <n v="330421879"/>
    <x v="2"/>
    <m/>
    <s v="RAFAEL LOUSADA SILVA,"/>
    <n v="170288"/>
    <m/>
    <m/>
  </r>
  <r>
    <m/>
    <s v="Pagamento"/>
    <n v="330421880"/>
    <s v="BRL"/>
    <n v="729.15"/>
    <n v="729.15"/>
    <m/>
    <m/>
    <m/>
    <d v="2025-01-27T00:00:00"/>
    <d v="2025-01-27T00:00:00"/>
    <m/>
    <s v="Pagamento"/>
    <n v="330421880"/>
    <x v="2"/>
    <m/>
    <s v="RAIFE OLIVEIRA DOS SANTOS,"/>
    <n v="170288"/>
    <m/>
    <m/>
  </r>
  <r>
    <m/>
    <s v="Pagamento"/>
    <n v="330421881"/>
    <s v="BRL"/>
    <n v="1565.64"/>
    <n v="1565.64"/>
    <m/>
    <m/>
    <m/>
    <d v="2025-01-27T00:00:00"/>
    <d v="2025-01-27T00:00:00"/>
    <m/>
    <s v="Pagamento"/>
    <n v="330421881"/>
    <x v="2"/>
    <m/>
    <s v="RAIMUNDO FERREIRA CARVALHO FILHO,"/>
    <n v="170288"/>
    <m/>
    <m/>
  </r>
  <r>
    <m/>
    <s v="Pagamento"/>
    <n v="330421882"/>
    <s v="BRL"/>
    <n v="1565.64"/>
    <n v="1565.64"/>
    <m/>
    <m/>
    <m/>
    <d v="2025-01-27T00:00:00"/>
    <d v="2025-01-27T00:00:00"/>
    <m/>
    <s v="Pagamento"/>
    <n v="330421882"/>
    <x v="2"/>
    <m/>
    <s v="RAIMUNDO GEORGE FERREIRA CASTRO,"/>
    <n v="170288"/>
    <m/>
    <m/>
  </r>
  <r>
    <m/>
    <s v="Pagamento"/>
    <n v="330421883"/>
    <s v="BRL"/>
    <n v="1511.97"/>
    <n v="1511.97"/>
    <m/>
    <m/>
    <m/>
    <d v="2025-01-27T00:00:00"/>
    <d v="2025-01-27T00:00:00"/>
    <m/>
    <s v="Pagamento"/>
    <n v="330421883"/>
    <x v="2"/>
    <m/>
    <s v="RAIMUNDO JOSE ANDRADE DE MACEDO,"/>
    <n v="170288"/>
    <m/>
    <m/>
  </r>
  <r>
    <m/>
    <s v="Pagamento"/>
    <n v="330421884"/>
    <s v="BRL"/>
    <n v="1398.52"/>
    <n v="1398.52"/>
    <m/>
    <m/>
    <m/>
    <d v="2025-01-27T00:00:00"/>
    <d v="2025-01-27T00:00:00"/>
    <m/>
    <s v="Pagamento"/>
    <n v="330421884"/>
    <x v="2"/>
    <m/>
    <s v="REGINALDO  MIRANDA,"/>
    <n v="170288"/>
    <m/>
    <m/>
  </r>
  <r>
    <m/>
    <s v="Pagamento"/>
    <n v="330421885"/>
    <s v="BRL"/>
    <n v="1255.42"/>
    <n v="1255.42"/>
    <m/>
    <m/>
    <m/>
    <d v="2025-01-27T00:00:00"/>
    <d v="2025-01-27T00:00:00"/>
    <m/>
    <s v="Pagamento"/>
    <n v="330421885"/>
    <x v="2"/>
    <m/>
    <s v="RENATO ALEXANDRE DA SILVA,"/>
    <n v="170288"/>
    <m/>
    <m/>
  </r>
  <r>
    <m/>
    <s v="Pagamento"/>
    <n v="330421886"/>
    <s v="BRL"/>
    <n v="1207.72"/>
    <n v="1207.72"/>
    <m/>
    <m/>
    <m/>
    <d v="2025-01-27T00:00:00"/>
    <d v="2025-01-27T00:00:00"/>
    <m/>
    <s v="Pagamento"/>
    <n v="330421886"/>
    <x v="2"/>
    <m/>
    <s v="RENATO BASTOS FERREIRA,"/>
    <n v="170288"/>
    <m/>
    <m/>
  </r>
  <r>
    <m/>
    <s v="Pagamento"/>
    <n v="330421887"/>
    <s v="BRL"/>
    <n v="1672.98"/>
    <n v="1672.98"/>
    <m/>
    <m/>
    <m/>
    <d v="2025-01-27T00:00:00"/>
    <d v="2025-01-27T00:00:00"/>
    <m/>
    <s v="Pagamento"/>
    <n v="330421887"/>
    <x v="2"/>
    <m/>
    <s v="RENATO BROZZIO FERRUGINE,"/>
    <n v="170288"/>
    <m/>
    <m/>
  </r>
  <r>
    <m/>
    <s v="Pagamento"/>
    <n v="330421888"/>
    <s v="BRL"/>
    <n v="1398.52"/>
    <n v="1398.52"/>
    <m/>
    <m/>
    <m/>
    <d v="2025-01-27T00:00:00"/>
    <d v="2025-01-27T00:00:00"/>
    <m/>
    <s v="Pagamento"/>
    <n v="330421888"/>
    <x v="2"/>
    <m/>
    <s v="REYNALDO CELIO BEZERRA MORAES,"/>
    <n v="170288"/>
    <m/>
    <m/>
  </r>
  <r>
    <m/>
    <s v="Pagamento"/>
    <n v="330421889"/>
    <s v="BRL"/>
    <n v="1350.82"/>
    <n v="1350.82"/>
    <m/>
    <m/>
    <m/>
    <d v="2025-01-27T00:00:00"/>
    <d v="2025-01-27T00:00:00"/>
    <m/>
    <s v="Pagamento"/>
    <n v="330421889"/>
    <x v="2"/>
    <m/>
    <s v="RICARDO  HIPOLITO,"/>
    <n v="170288"/>
    <m/>
    <m/>
  </r>
  <r>
    <m/>
    <s v="Pagamento"/>
    <n v="330421890"/>
    <s v="BRL"/>
    <n v="1565.64"/>
    <n v="1565.64"/>
    <m/>
    <m/>
    <m/>
    <d v="2025-01-27T00:00:00"/>
    <d v="2025-01-27T00:00:00"/>
    <m/>
    <s v="Pagamento"/>
    <n v="330421890"/>
    <x v="2"/>
    <m/>
    <s v="RICARDO  PLOVAS,"/>
    <n v="170288"/>
    <m/>
    <m/>
  </r>
  <r>
    <m/>
    <s v="Pagamento"/>
    <n v="330421891"/>
    <s v="BRL"/>
    <n v="1350.82"/>
    <n v="1350.82"/>
    <m/>
    <m/>
    <m/>
    <d v="2025-01-27T00:00:00"/>
    <d v="2025-01-27T00:00:00"/>
    <m/>
    <s v="Pagamento"/>
    <n v="330421891"/>
    <x v="2"/>
    <m/>
    <s v="RICARDO ALMEIDA ALVES,"/>
    <n v="170288"/>
    <m/>
    <m/>
  </r>
  <r>
    <m/>
    <s v="Pagamento"/>
    <n v="330421892"/>
    <s v="BRL"/>
    <n v="873.81"/>
    <n v="873.81"/>
    <m/>
    <m/>
    <m/>
    <d v="2025-01-27T00:00:00"/>
    <d v="2025-01-27T00:00:00"/>
    <m/>
    <s v="Pagamento"/>
    <n v="330421892"/>
    <x v="2"/>
    <m/>
    <s v="RICARDO APARECIDO DE OLIVEIRA MESQUITA,"/>
    <n v="170288"/>
    <m/>
    <m/>
  </r>
  <r>
    <m/>
    <s v="Pagamento"/>
    <n v="330421893"/>
    <s v="BRL"/>
    <n v="873.81"/>
    <n v="873.81"/>
    <m/>
    <m/>
    <m/>
    <d v="2025-01-27T00:00:00"/>
    <d v="2025-01-27T00:00:00"/>
    <m/>
    <s v="Pagamento"/>
    <n v="330421893"/>
    <x v="2"/>
    <m/>
    <s v="RICARDO DE OLIVEIRA MACHADO,"/>
    <n v="170288"/>
    <m/>
    <m/>
  </r>
  <r>
    <m/>
    <s v="Pagamento"/>
    <n v="330421894"/>
    <s v="BRL"/>
    <n v="651.55999999999995"/>
    <n v="651.55999999999995"/>
    <m/>
    <m/>
    <m/>
    <d v="2025-01-27T00:00:00"/>
    <d v="2025-01-27T00:00:00"/>
    <m/>
    <s v="Pagamento"/>
    <n v="330421894"/>
    <x v="2"/>
    <m/>
    <s v="RICARDO DOS SANTOS VIEIRA,"/>
    <n v="170288"/>
    <m/>
    <m/>
  </r>
  <r>
    <m/>
    <s v="Pagamento"/>
    <n v="330421895"/>
    <s v="BRL"/>
    <n v="1404.63"/>
    <n v="1404.63"/>
    <m/>
    <m/>
    <m/>
    <d v="2025-01-27T00:00:00"/>
    <d v="2025-01-27T00:00:00"/>
    <m/>
    <s v="Pagamento"/>
    <n v="330421895"/>
    <x v="2"/>
    <m/>
    <s v="RICARDO JOSE SANTA BARBARA FERNANDES,"/>
    <n v="170288"/>
    <m/>
    <m/>
  </r>
  <r>
    <m/>
    <s v="Pagamento"/>
    <n v="330421896"/>
    <s v="BRL"/>
    <n v="1493.92"/>
    <n v="1493.92"/>
    <m/>
    <m/>
    <m/>
    <d v="2025-01-27T00:00:00"/>
    <d v="2025-01-27T00:00:00"/>
    <m/>
    <s v="Pagamento"/>
    <n v="330421896"/>
    <x v="2"/>
    <m/>
    <s v="RICARDO LOPES DE JESUS PALMEIRA,"/>
    <n v="170288"/>
    <m/>
    <m/>
  </r>
  <r>
    <m/>
    <s v="Pagamento"/>
    <n v="330421897"/>
    <s v="BRL"/>
    <n v="1255.42"/>
    <n v="1255.42"/>
    <m/>
    <m/>
    <m/>
    <d v="2025-01-27T00:00:00"/>
    <d v="2025-01-27T00:00:00"/>
    <m/>
    <s v="Pagamento"/>
    <n v="330421897"/>
    <x v="2"/>
    <m/>
    <s v="RICARDO SOARES DA SILVA,"/>
    <n v="170288"/>
    <m/>
    <m/>
  </r>
  <r>
    <m/>
    <s v="Pagamento"/>
    <n v="330421898"/>
    <s v="BRL"/>
    <n v="365.4"/>
    <n v="365.4"/>
    <m/>
    <m/>
    <m/>
    <d v="2025-01-27T00:00:00"/>
    <d v="2025-01-27T00:00:00"/>
    <m/>
    <s v="Pagamento"/>
    <n v="330421898"/>
    <x v="2"/>
    <m/>
    <s v="RINALDO DE SENA BIANCO,"/>
    <n v="170288"/>
    <m/>
    <m/>
  </r>
  <r>
    <m/>
    <s v="Pagamento"/>
    <n v="330421899"/>
    <s v="BRL"/>
    <n v="1511.97"/>
    <n v="1511.97"/>
    <m/>
    <m/>
    <m/>
    <d v="2025-01-27T00:00:00"/>
    <d v="2025-01-27T00:00:00"/>
    <m/>
    <s v="Pagamento"/>
    <n v="330421899"/>
    <x v="2"/>
    <m/>
    <s v="ROBERTO DA COSTA MOLCAN,"/>
    <n v="170288"/>
    <m/>
    <m/>
  </r>
  <r>
    <m/>
    <s v="Pagamento"/>
    <n v="330421900"/>
    <s v="BRL"/>
    <n v="1350.82"/>
    <n v="1350.82"/>
    <m/>
    <m/>
    <m/>
    <d v="2025-01-27T00:00:00"/>
    <d v="2025-01-27T00:00:00"/>
    <m/>
    <s v="Pagamento"/>
    <n v="330421900"/>
    <x v="2"/>
    <m/>
    <s v="ROBERTO DE SOUZA MATHEUS,"/>
    <n v="170288"/>
    <m/>
    <m/>
  </r>
  <r>
    <m/>
    <s v="Pagamento"/>
    <n v="330421901"/>
    <s v="BRL"/>
    <n v="1112.31"/>
    <n v="1112.31"/>
    <m/>
    <m/>
    <m/>
    <d v="2025-01-27T00:00:00"/>
    <d v="2025-01-27T00:00:00"/>
    <m/>
    <s v="Pagamento"/>
    <n v="330421901"/>
    <x v="2"/>
    <m/>
    <s v="ROBERTO FERNANDO SOARES DOS SANTOS,"/>
    <n v="170288"/>
    <m/>
    <m/>
  </r>
  <r>
    <m/>
    <s v="Pagamento"/>
    <n v="330421902"/>
    <s v="BRL"/>
    <n v="2537.5"/>
    <n v="2537.5"/>
    <m/>
    <m/>
    <m/>
    <d v="2025-01-27T00:00:00"/>
    <d v="2025-01-27T00:00:00"/>
    <m/>
    <s v="Pagamento"/>
    <n v="330421902"/>
    <x v="2"/>
    <m/>
    <s v="ROBERTO THOME CAMPELO LIMA,"/>
    <n v="170288"/>
    <m/>
    <m/>
  </r>
  <r>
    <m/>
    <s v="Pagamento"/>
    <n v="330421903"/>
    <s v="BRL"/>
    <n v="1350.82"/>
    <n v="1350.82"/>
    <m/>
    <m/>
    <m/>
    <d v="2025-01-27T00:00:00"/>
    <d v="2025-01-27T00:00:00"/>
    <m/>
    <s v="Pagamento"/>
    <n v="330421903"/>
    <x v="2"/>
    <m/>
    <s v="ROBSON DA SILVA RODRIGUES,"/>
    <n v="170288"/>
    <m/>
    <m/>
  </r>
  <r>
    <m/>
    <s v="Pagamento"/>
    <n v="330421904"/>
    <s v="BRL"/>
    <n v="1404.63"/>
    <n v="1404.63"/>
    <m/>
    <m/>
    <m/>
    <d v="2025-01-27T00:00:00"/>
    <d v="2025-01-27T00:00:00"/>
    <m/>
    <s v="Pagamento"/>
    <n v="330421904"/>
    <x v="2"/>
    <m/>
    <s v="ROBSON ISAAC MOREIRA SANTOS,"/>
    <n v="170288"/>
    <m/>
    <m/>
  </r>
  <r>
    <m/>
    <s v="Pagamento"/>
    <n v="330421905"/>
    <s v="BRL"/>
    <n v="607"/>
    <n v="607"/>
    <m/>
    <m/>
    <m/>
    <d v="2025-01-27T00:00:00"/>
    <d v="2025-01-27T00:00:00"/>
    <m/>
    <s v="Pagamento"/>
    <n v="330421905"/>
    <x v="2"/>
    <m/>
    <s v="RODRIGO DUARTE PEREIRA,"/>
    <n v="170288"/>
    <m/>
    <m/>
  </r>
  <r>
    <m/>
    <s v="Pagamento"/>
    <n v="330421906"/>
    <s v="BRL"/>
    <n v="1511.97"/>
    <n v="1511.97"/>
    <m/>
    <m/>
    <m/>
    <d v="2025-01-27T00:00:00"/>
    <d v="2025-01-27T00:00:00"/>
    <m/>
    <s v="Pagamento"/>
    <n v="330421906"/>
    <x v="2"/>
    <m/>
    <s v="RODRIGO GALVAO DE ALMEIDA,"/>
    <n v="170288"/>
    <m/>
    <m/>
  </r>
  <r>
    <m/>
    <s v="Pagamento"/>
    <n v="330421907"/>
    <s v="BRL"/>
    <n v="1398.52"/>
    <n v="1398.52"/>
    <m/>
    <m/>
    <m/>
    <d v="2025-01-27T00:00:00"/>
    <d v="2025-01-27T00:00:00"/>
    <m/>
    <s v="Pagamento"/>
    <n v="330421907"/>
    <x v="2"/>
    <m/>
    <s v="ROGERIO ALBERTO DA SILVA,"/>
    <n v="170288"/>
    <m/>
    <m/>
  </r>
  <r>
    <m/>
    <s v="Pagamento"/>
    <n v="330421908"/>
    <s v="BRL"/>
    <n v="1255.42"/>
    <n v="1255.42"/>
    <m/>
    <m/>
    <m/>
    <d v="2025-01-27T00:00:00"/>
    <d v="2025-01-27T00:00:00"/>
    <m/>
    <s v="Pagamento"/>
    <n v="330421908"/>
    <x v="2"/>
    <m/>
    <s v="ROGERIO ANDRADE E SILVA,"/>
    <n v="170288"/>
    <m/>
    <m/>
  </r>
  <r>
    <m/>
    <s v="Pagamento"/>
    <n v="330421909"/>
    <s v="BRL"/>
    <n v="1493.92"/>
    <n v="1493.92"/>
    <m/>
    <m/>
    <m/>
    <d v="2025-01-27T00:00:00"/>
    <d v="2025-01-27T00:00:00"/>
    <m/>
    <s v="Pagamento"/>
    <n v="330421909"/>
    <x v="2"/>
    <m/>
    <s v="ROGERIO CESAR ALVES DO NASCIMENTO,"/>
    <n v="170288"/>
    <m/>
    <m/>
  </r>
  <r>
    <m/>
    <s v="Pagamento"/>
    <n v="330421911"/>
    <s v="BRL"/>
    <n v="460.76"/>
    <n v="460.76"/>
    <m/>
    <m/>
    <m/>
    <d v="2025-01-27T00:00:00"/>
    <d v="2025-01-27T00:00:00"/>
    <m/>
    <s v="Pagamento"/>
    <n v="330421911"/>
    <x v="2"/>
    <m/>
    <s v="ROGERIO DE ORNELAS FREITAS,"/>
    <n v="170288"/>
    <m/>
    <m/>
  </r>
  <r>
    <m/>
    <s v="Pagamento"/>
    <n v="330421912"/>
    <s v="BRL"/>
    <n v="1565.64"/>
    <n v="1565.64"/>
    <m/>
    <m/>
    <m/>
    <d v="2025-01-27T00:00:00"/>
    <d v="2025-01-27T00:00:00"/>
    <m/>
    <s v="Pagamento"/>
    <n v="330421912"/>
    <x v="2"/>
    <m/>
    <s v="ROGERIO NUNES SILVA,"/>
    <n v="170288"/>
    <m/>
    <m/>
  </r>
  <r>
    <m/>
    <s v="Pagamento"/>
    <n v="330421913"/>
    <s v="BRL"/>
    <n v="143.19999999999999"/>
    <n v="143.19999999999999"/>
    <m/>
    <m/>
    <m/>
    <d v="2025-01-27T00:00:00"/>
    <d v="2025-01-27T00:00:00"/>
    <m/>
    <s v="Pagamento"/>
    <n v="330421913"/>
    <x v="2"/>
    <m/>
    <s v="ROMOS PEREIRA PINTO,"/>
    <n v="170288"/>
    <m/>
    <m/>
  </r>
  <r>
    <m/>
    <s v="Pagamento"/>
    <n v="330421914"/>
    <s v="BRL"/>
    <n v="1398.52"/>
    <n v="1398.52"/>
    <m/>
    <m/>
    <m/>
    <d v="2025-01-27T00:00:00"/>
    <d v="2025-01-27T00:00:00"/>
    <m/>
    <s v="Pagamento"/>
    <n v="330421914"/>
    <x v="2"/>
    <m/>
    <s v="RONALDO DE SOUZA ANUNCIACAO,"/>
    <n v="170288"/>
    <m/>
    <m/>
  </r>
  <r>
    <m/>
    <s v="Pagamento"/>
    <n v="330421915"/>
    <s v="BRL"/>
    <n v="1493.92"/>
    <n v="1493.92"/>
    <m/>
    <m/>
    <m/>
    <d v="2025-01-27T00:00:00"/>
    <d v="2025-01-27T00:00:00"/>
    <m/>
    <s v="Pagamento"/>
    <n v="330421915"/>
    <x v="2"/>
    <m/>
    <s v="RONALDO LUIZ DOS SANTOS,"/>
    <n v="170288"/>
    <m/>
    <m/>
  </r>
  <r>
    <m/>
    <s v="Pagamento"/>
    <n v="330421916"/>
    <s v="BRL"/>
    <n v="1398.52"/>
    <n v="1398.52"/>
    <m/>
    <m/>
    <m/>
    <d v="2025-01-27T00:00:00"/>
    <d v="2025-01-27T00:00:00"/>
    <m/>
    <s v="Pagamento"/>
    <n v="330421916"/>
    <x v="2"/>
    <m/>
    <s v="RONANDO GONCALVES DA SILVA,"/>
    <n v="170288"/>
    <m/>
    <m/>
  </r>
  <r>
    <m/>
    <s v="Pagamento"/>
    <n v="330421917"/>
    <s v="BRL"/>
    <n v="1530.34"/>
    <n v="1530.34"/>
    <m/>
    <m/>
    <m/>
    <d v="2025-01-27T00:00:00"/>
    <d v="2025-01-27T00:00:00"/>
    <m/>
    <s v="Pagamento"/>
    <n v="330421917"/>
    <x v="2"/>
    <m/>
    <s v="RONIEDSON DA SILVA MARTINS,"/>
    <n v="170288"/>
    <m/>
    <m/>
  </r>
  <r>
    <m/>
    <s v="Pagamento"/>
    <n v="330421918"/>
    <s v="BRL"/>
    <n v="1493.92"/>
    <n v="1493.92"/>
    <m/>
    <m/>
    <m/>
    <d v="2025-01-27T00:00:00"/>
    <d v="2025-01-27T00:00:00"/>
    <m/>
    <s v="Pagamento"/>
    <n v="330421918"/>
    <x v="2"/>
    <m/>
    <s v="RONNY CASARIN DA ROCHA BRAGA,"/>
    <n v="170288"/>
    <m/>
    <m/>
  </r>
  <r>
    <m/>
    <s v="Pagamento"/>
    <n v="330421919"/>
    <s v="BRL"/>
    <n v="1493.92"/>
    <n v="1493.92"/>
    <m/>
    <m/>
    <m/>
    <d v="2025-01-27T00:00:00"/>
    <d v="2025-01-27T00:00:00"/>
    <m/>
    <s v="Pagamento"/>
    <n v="330421919"/>
    <x v="2"/>
    <m/>
    <s v="SANDRO RICARDO GONCALO COELHO,"/>
    <n v="170288"/>
    <m/>
    <m/>
  </r>
  <r>
    <m/>
    <s v="Pagamento"/>
    <n v="330421920"/>
    <s v="BRL"/>
    <n v="1207.72"/>
    <n v="1207.72"/>
    <m/>
    <m/>
    <m/>
    <d v="2025-01-27T00:00:00"/>
    <d v="2025-01-27T00:00:00"/>
    <m/>
    <s v="Pagamento"/>
    <n v="330421920"/>
    <x v="2"/>
    <m/>
    <s v="SEBASTIAO DELMAR ALBUQUERQUE LEITE,"/>
    <n v="170288"/>
    <m/>
    <m/>
  </r>
  <r>
    <m/>
    <s v="Pagamento"/>
    <n v="330421921"/>
    <s v="BRL"/>
    <n v="873.81"/>
    <n v="873.81"/>
    <m/>
    <m/>
    <m/>
    <d v="2025-01-27T00:00:00"/>
    <d v="2025-01-27T00:00:00"/>
    <m/>
    <s v="Pagamento"/>
    <n v="330421921"/>
    <x v="2"/>
    <m/>
    <s v="SERGIO AUGUSTO DE AZEVEDO RODRIGUES,"/>
    <n v="170288"/>
    <m/>
    <m/>
  </r>
  <r>
    <m/>
    <s v="Pagamento"/>
    <n v="330421922"/>
    <s v="BRL"/>
    <n v="2138.12"/>
    <n v="2138.12"/>
    <m/>
    <m/>
    <m/>
    <d v="2025-01-27T00:00:00"/>
    <d v="2025-01-27T00:00:00"/>
    <m/>
    <s v="Pagamento"/>
    <n v="330421922"/>
    <x v="2"/>
    <m/>
    <s v="SERGIO LIBRELON MACHADO,"/>
    <n v="170288"/>
    <m/>
    <m/>
  </r>
  <r>
    <m/>
    <s v="Pagamento"/>
    <n v="330421923"/>
    <s v="BRL"/>
    <n v="873.81"/>
    <n v="873.81"/>
    <m/>
    <m/>
    <m/>
    <d v="2025-01-27T00:00:00"/>
    <d v="2025-01-27T00:00:00"/>
    <m/>
    <s v="Pagamento"/>
    <n v="330421923"/>
    <x v="2"/>
    <m/>
    <s v="SERGIO RICARDO ARAUJO,"/>
    <n v="170288"/>
    <m/>
    <m/>
  </r>
  <r>
    <m/>
    <s v="Pagamento"/>
    <n v="330421924"/>
    <s v="BRL"/>
    <n v="1493.92"/>
    <n v="1493.92"/>
    <m/>
    <m/>
    <m/>
    <d v="2025-01-27T00:00:00"/>
    <d v="2025-01-27T00:00:00"/>
    <m/>
    <s v="Pagamento"/>
    <n v="330421924"/>
    <x v="2"/>
    <m/>
    <s v="SERGIO VIEIRA DOS SANTOS,"/>
    <n v="170288"/>
    <m/>
    <m/>
  </r>
  <r>
    <m/>
    <s v="Pagamento"/>
    <n v="330421925"/>
    <s v="BRL"/>
    <n v="1398.52"/>
    <n v="1398.52"/>
    <m/>
    <m/>
    <m/>
    <d v="2025-01-27T00:00:00"/>
    <d v="2025-01-27T00:00:00"/>
    <m/>
    <s v="Pagamento"/>
    <n v="330421925"/>
    <x v="2"/>
    <m/>
    <s v="SILVIO FERNANDO BEDIN,"/>
    <n v="170288"/>
    <m/>
    <m/>
  </r>
  <r>
    <m/>
    <s v="Pagamento"/>
    <n v="330421926"/>
    <s v="BRL"/>
    <n v="34.950000000000003"/>
    <n v="34.950000000000003"/>
    <m/>
    <m/>
    <m/>
    <d v="2025-01-27T00:00:00"/>
    <d v="2025-01-27T00:00:00"/>
    <m/>
    <s v="Pagamento"/>
    <n v="330421926"/>
    <x v="2"/>
    <m/>
    <s v="SIMONE  VAILATTI,"/>
    <n v="170288"/>
    <m/>
    <m/>
  </r>
  <r>
    <m/>
    <s v="Pagamento"/>
    <n v="330421927"/>
    <s v="BRL"/>
    <n v="1493.92"/>
    <n v="1493.92"/>
    <m/>
    <m/>
    <m/>
    <d v="2025-01-27T00:00:00"/>
    <d v="2025-01-27T00:00:00"/>
    <m/>
    <s v="Pagamento"/>
    <n v="330421927"/>
    <x v="2"/>
    <m/>
    <s v="STEFAN OGINO FIGUEIREDO,"/>
    <n v="170288"/>
    <m/>
    <m/>
  </r>
  <r>
    <m/>
    <s v="Pagamento"/>
    <n v="330421928"/>
    <s v="BRL"/>
    <n v="4719.4399999999996"/>
    <n v="4719.4399999999996"/>
    <m/>
    <m/>
    <m/>
    <d v="2025-01-27T00:00:00"/>
    <d v="2025-01-27T00:00:00"/>
    <m/>
    <s v="Pagamento"/>
    <n v="330421928"/>
    <x v="2"/>
    <m/>
    <s v="STELIO MAURO SANTOS DE ALMEIDA,"/>
    <n v="170288"/>
    <m/>
    <m/>
  </r>
  <r>
    <m/>
    <s v="Pagamento"/>
    <n v="330421929"/>
    <s v="BRL"/>
    <n v="650.85"/>
    <n v="650.85"/>
    <m/>
    <m/>
    <m/>
    <d v="2025-01-27T00:00:00"/>
    <d v="2025-01-27T00:00:00"/>
    <m/>
    <s v="Pagamento"/>
    <n v="330421929"/>
    <x v="2"/>
    <m/>
    <s v="TATHIANA SCHMELZER SOARES,"/>
    <n v="170288"/>
    <m/>
    <m/>
  </r>
  <r>
    <m/>
    <s v="Pagamento"/>
    <n v="330421930"/>
    <s v="BRL"/>
    <n v="455.24"/>
    <n v="455.24"/>
    <m/>
    <m/>
    <m/>
    <d v="2025-01-27T00:00:00"/>
    <d v="2025-01-27T00:00:00"/>
    <m/>
    <s v="Pagamento"/>
    <n v="330421930"/>
    <x v="2"/>
    <m/>
    <s v="THALES ALBERTO CAMBUI,"/>
    <n v="170288"/>
    <m/>
    <m/>
  </r>
  <r>
    <m/>
    <s v="Pagamento"/>
    <n v="330421931"/>
    <s v="BRL"/>
    <n v="1398.52"/>
    <n v="1398.52"/>
    <m/>
    <m/>
    <m/>
    <d v="2025-01-27T00:00:00"/>
    <d v="2025-01-27T00:00:00"/>
    <m/>
    <s v="Pagamento"/>
    <n v="330421931"/>
    <x v="2"/>
    <m/>
    <s v="THIAGO BARBOSA DA SILVA,"/>
    <n v="170288"/>
    <m/>
    <m/>
  </r>
  <r>
    <m/>
    <s v="Pagamento"/>
    <n v="330421932"/>
    <s v="BRL"/>
    <n v="1350.82"/>
    <n v="1350.82"/>
    <m/>
    <m/>
    <m/>
    <d v="2025-01-27T00:00:00"/>
    <d v="2025-01-27T00:00:00"/>
    <m/>
    <s v="Pagamento"/>
    <n v="330421932"/>
    <x v="2"/>
    <m/>
    <s v="THIAGO CLEMENTE NOVAES,"/>
    <n v="170288"/>
    <m/>
    <m/>
  </r>
  <r>
    <m/>
    <s v="Pagamento"/>
    <n v="330421933"/>
    <s v="BRL"/>
    <n v="651.55999999999995"/>
    <n v="651.55999999999995"/>
    <m/>
    <m/>
    <m/>
    <d v="2025-01-27T00:00:00"/>
    <d v="2025-01-27T00:00:00"/>
    <m/>
    <s v="Pagamento"/>
    <n v="330421933"/>
    <x v="2"/>
    <m/>
    <s v="THIAGO RODRIGO CONTRO DE CAMARGO,"/>
    <n v="170288"/>
    <m/>
    <m/>
  </r>
  <r>
    <m/>
    <s v="Pagamento"/>
    <n v="330421934"/>
    <s v="BRL"/>
    <n v="1493.92"/>
    <n v="1493.92"/>
    <m/>
    <m/>
    <m/>
    <d v="2025-01-27T00:00:00"/>
    <d v="2025-01-27T00:00:00"/>
    <m/>
    <s v="Pagamento"/>
    <n v="330421934"/>
    <x v="2"/>
    <m/>
    <s v="UBIRAJARA  GONZAGA,"/>
    <n v="170288"/>
    <m/>
    <m/>
  </r>
  <r>
    <m/>
    <s v="Pagamento"/>
    <n v="330421935"/>
    <s v="BRL"/>
    <n v="201.3"/>
    <n v="201.3"/>
    <m/>
    <m/>
    <m/>
    <d v="2025-01-27T00:00:00"/>
    <d v="2025-01-27T00:00:00"/>
    <m/>
    <s v="Pagamento"/>
    <n v="330421935"/>
    <x v="2"/>
    <m/>
    <s v="VAGNER LUIS MACHADO SOARES,"/>
    <n v="170288"/>
    <m/>
    <m/>
  </r>
  <r>
    <m/>
    <s v="Pagamento"/>
    <n v="330421936"/>
    <s v="BRL"/>
    <n v="138.79"/>
    <n v="138.79"/>
    <m/>
    <m/>
    <m/>
    <d v="2025-01-27T00:00:00"/>
    <d v="2025-01-27T00:00:00"/>
    <m/>
    <s v="Pagamento"/>
    <n v="330421936"/>
    <x v="2"/>
    <m/>
    <s v="VALDECY CANDIDO COSTA JUNIOR,"/>
    <n v="170288"/>
    <m/>
    <m/>
  </r>
  <r>
    <m/>
    <s v="Pagamento"/>
    <n v="330421937"/>
    <s v="BRL"/>
    <n v="122.2"/>
    <n v="122.2"/>
    <m/>
    <m/>
    <m/>
    <d v="2025-01-27T00:00:00"/>
    <d v="2025-01-27T00:00:00"/>
    <m/>
    <s v="Pagamento"/>
    <n v="330421937"/>
    <x v="2"/>
    <m/>
    <s v="VALDEREZ HONORIO MARINHO,"/>
    <n v="170288"/>
    <m/>
    <m/>
  </r>
  <r>
    <m/>
    <s v="Pagamento"/>
    <n v="330421938"/>
    <s v="BRL"/>
    <n v="1350.82"/>
    <n v="1350.82"/>
    <m/>
    <m/>
    <m/>
    <d v="2025-01-27T00:00:00"/>
    <d v="2025-01-27T00:00:00"/>
    <m/>
    <s v="Pagamento"/>
    <n v="330421938"/>
    <x v="2"/>
    <m/>
    <s v="VALDIR SPATAFORA TALARICO,"/>
    <n v="170288"/>
    <m/>
    <m/>
  </r>
  <r>
    <m/>
    <s v="Pagamento"/>
    <n v="330421939"/>
    <s v="BRL"/>
    <n v="1398.52"/>
    <n v="1398.52"/>
    <m/>
    <m/>
    <m/>
    <d v="2025-01-27T00:00:00"/>
    <d v="2025-01-27T00:00:00"/>
    <m/>
    <s v="Pagamento"/>
    <n v="330421939"/>
    <x v="2"/>
    <m/>
    <s v="VALMIR LIRA DO NASCIMENTO,"/>
    <n v="170288"/>
    <m/>
    <m/>
  </r>
  <r>
    <m/>
    <s v="Pagamento"/>
    <n v="330421940"/>
    <s v="BRL"/>
    <n v="1493.92"/>
    <n v="1493.92"/>
    <m/>
    <m/>
    <m/>
    <d v="2025-01-27T00:00:00"/>
    <d v="2025-01-27T00:00:00"/>
    <m/>
    <s v="Pagamento"/>
    <n v="330421940"/>
    <x v="2"/>
    <m/>
    <s v="VALQUIR JESUS DE OLIVEIRA,"/>
    <n v="170288"/>
    <m/>
    <m/>
  </r>
  <r>
    <m/>
    <s v="Pagamento"/>
    <n v="330421941"/>
    <s v="BRL"/>
    <n v="1064.6099999999999"/>
    <n v="1064.6099999999999"/>
    <m/>
    <m/>
    <m/>
    <d v="2025-01-27T00:00:00"/>
    <d v="2025-01-27T00:00:00"/>
    <m/>
    <s v="Pagamento"/>
    <n v="330421941"/>
    <x v="2"/>
    <m/>
    <s v="VANDERLEI DOURADO MAIA,"/>
    <n v="170288"/>
    <m/>
    <m/>
  </r>
  <r>
    <m/>
    <s v="Pagamento"/>
    <n v="330421942"/>
    <s v="BRL"/>
    <n v="174.95"/>
    <n v="174.95"/>
    <m/>
    <m/>
    <m/>
    <d v="2025-01-27T00:00:00"/>
    <d v="2025-01-27T00:00:00"/>
    <m/>
    <s v="Pagamento"/>
    <n v="330421942"/>
    <x v="2"/>
    <m/>
    <s v="VICTOR MURILO TRINDADE BELLINI,"/>
    <n v="170288"/>
    <m/>
    <m/>
  </r>
  <r>
    <m/>
    <s v="Pagamento"/>
    <n v="330421943"/>
    <s v="BRL"/>
    <n v="1493.92"/>
    <n v="1493.92"/>
    <m/>
    <m/>
    <m/>
    <d v="2025-01-27T00:00:00"/>
    <d v="2025-01-27T00:00:00"/>
    <m/>
    <s v="Pagamento"/>
    <n v="330421943"/>
    <x v="2"/>
    <m/>
    <s v="VITOR GOMES DE LIMA,"/>
    <n v="170288"/>
    <m/>
    <m/>
  </r>
  <r>
    <m/>
    <s v="Pagamento"/>
    <n v="330421944"/>
    <s v="BRL"/>
    <n v="1493.92"/>
    <n v="1493.92"/>
    <m/>
    <m/>
    <m/>
    <d v="2025-01-27T00:00:00"/>
    <d v="2025-01-27T00:00:00"/>
    <m/>
    <s v="Pagamento"/>
    <n v="330421944"/>
    <x v="2"/>
    <m/>
    <s v="WALDEMAR MARTINS DOS SANTOS,"/>
    <n v="170288"/>
    <m/>
    <m/>
  </r>
  <r>
    <m/>
    <s v="Pagamento"/>
    <n v="330421945"/>
    <s v="BRL"/>
    <n v="299.8"/>
    <n v="299.8"/>
    <m/>
    <m/>
    <m/>
    <d v="2025-01-27T00:00:00"/>
    <d v="2025-01-27T00:00:00"/>
    <m/>
    <s v="Pagamento"/>
    <n v="330421945"/>
    <x v="2"/>
    <m/>
    <s v="WALDEMIR FERREIRA CASTRO,"/>
    <n v="170288"/>
    <m/>
    <m/>
  </r>
  <r>
    <m/>
    <s v="Pagamento"/>
    <n v="330421946"/>
    <s v="BRL"/>
    <n v="2153.9499999999998"/>
    <n v="2153.9499999999998"/>
    <m/>
    <m/>
    <m/>
    <d v="2025-01-27T00:00:00"/>
    <d v="2025-01-27T00:00:00"/>
    <m/>
    <s v="Pagamento"/>
    <n v="330421946"/>
    <x v="2"/>
    <m/>
    <s v="WALDOMIRO ALEXANDRE DOS SANTOS,"/>
    <n v="170288"/>
    <m/>
    <m/>
  </r>
  <r>
    <m/>
    <s v="Pagamento"/>
    <n v="330421947"/>
    <s v="BRL"/>
    <n v="1398.52"/>
    <n v="1398.52"/>
    <m/>
    <m/>
    <m/>
    <d v="2025-01-27T00:00:00"/>
    <d v="2025-01-27T00:00:00"/>
    <m/>
    <s v="Pagamento"/>
    <n v="330421947"/>
    <x v="2"/>
    <m/>
    <s v="WALLACE DE FRANCA GOMES,"/>
    <n v="170288"/>
    <m/>
    <m/>
  </r>
  <r>
    <m/>
    <s v="Pagamento"/>
    <n v="330421948"/>
    <s v="BRL"/>
    <n v="1398.52"/>
    <n v="1398.52"/>
    <m/>
    <m/>
    <m/>
    <d v="2025-01-27T00:00:00"/>
    <d v="2025-01-27T00:00:00"/>
    <m/>
    <s v="Pagamento"/>
    <n v="330421948"/>
    <x v="2"/>
    <m/>
    <s v="WANDER FAVACHO BRAGA,"/>
    <n v="170288"/>
    <m/>
    <m/>
  </r>
  <r>
    <m/>
    <s v="Pagamento"/>
    <n v="330421949"/>
    <s v="BRL"/>
    <n v="1672.98"/>
    <n v="1672.98"/>
    <m/>
    <m/>
    <m/>
    <d v="2025-01-27T00:00:00"/>
    <d v="2025-01-27T00:00:00"/>
    <m/>
    <s v="Pagamento"/>
    <n v="330421949"/>
    <x v="2"/>
    <m/>
    <s v="WANDERSON ROSA DA SILVA,"/>
    <n v="170288"/>
    <m/>
    <m/>
  </r>
  <r>
    <m/>
    <s v="Pagamento"/>
    <n v="330421950"/>
    <s v="BRL"/>
    <n v="1511.97"/>
    <n v="1511.97"/>
    <m/>
    <m/>
    <m/>
    <d v="2025-01-27T00:00:00"/>
    <d v="2025-01-27T00:00:00"/>
    <m/>
    <s v="Pagamento"/>
    <n v="330421950"/>
    <x v="2"/>
    <m/>
    <s v="WEDERSON DA SILVA DE JESUS,"/>
    <n v="170288"/>
    <m/>
    <m/>
  </r>
  <r>
    <m/>
    <s v="Pagamento"/>
    <n v="330421951"/>
    <s v="BRL"/>
    <n v="651.55999999999995"/>
    <n v="651.55999999999995"/>
    <m/>
    <m/>
    <m/>
    <d v="2025-01-27T00:00:00"/>
    <d v="2025-01-27T00:00:00"/>
    <m/>
    <s v="Pagamento"/>
    <n v="330421951"/>
    <x v="2"/>
    <m/>
    <s v="WELINGTON DE LIMA COSTA,"/>
    <n v="170288"/>
    <m/>
    <m/>
  </r>
  <r>
    <m/>
    <s v="Pagamento"/>
    <n v="330421952"/>
    <s v="BRL"/>
    <n v="1672.98"/>
    <n v="1672.98"/>
    <m/>
    <m/>
    <m/>
    <d v="2025-01-27T00:00:00"/>
    <d v="2025-01-27T00:00:00"/>
    <m/>
    <s v="Pagamento"/>
    <n v="330421952"/>
    <x v="2"/>
    <m/>
    <s v="WELLINGTON CARLOS DA CONCEICAO SILVA,"/>
    <n v="170288"/>
    <m/>
    <m/>
  </r>
  <r>
    <m/>
    <s v="Pagamento"/>
    <n v="330421953"/>
    <s v="BRL"/>
    <n v="805.2"/>
    <n v="805.2"/>
    <m/>
    <m/>
    <m/>
    <d v="2025-01-27T00:00:00"/>
    <d v="2025-01-27T00:00:00"/>
    <m/>
    <s v="Pagamento"/>
    <n v="330421953"/>
    <x v="2"/>
    <m/>
    <s v="WELLINGTON FELIX DE ARAUJO,"/>
    <n v="170288"/>
    <m/>
    <m/>
  </r>
  <r>
    <m/>
    <s v="Pagamento"/>
    <n v="330421954"/>
    <s v="BRL"/>
    <n v="1672.98"/>
    <n v="1672.98"/>
    <m/>
    <m/>
    <m/>
    <d v="2025-01-27T00:00:00"/>
    <d v="2025-01-27T00:00:00"/>
    <m/>
    <s v="Pagamento"/>
    <n v="330421954"/>
    <x v="2"/>
    <m/>
    <s v="WELLINGTON ROOSELVERT ANTES GONCALVES,"/>
    <n v="170288"/>
    <m/>
    <m/>
  </r>
  <r>
    <m/>
    <s v="Pagamento"/>
    <n v="330421955"/>
    <s v="BRL"/>
    <n v="1493.92"/>
    <n v="1493.92"/>
    <m/>
    <m/>
    <m/>
    <d v="2025-01-27T00:00:00"/>
    <d v="2025-01-27T00:00:00"/>
    <m/>
    <s v="Pagamento"/>
    <n v="330421955"/>
    <x v="2"/>
    <m/>
    <s v="WELLINGTON TELES DOS SANTOS,"/>
    <n v="170288"/>
    <m/>
    <m/>
  </r>
  <r>
    <m/>
    <s v="Pagamento"/>
    <n v="330421956"/>
    <s v="BRL"/>
    <n v="826.11"/>
    <n v="826.11"/>
    <m/>
    <m/>
    <m/>
    <d v="2025-01-27T00:00:00"/>
    <d v="2025-01-27T00:00:00"/>
    <m/>
    <s v="Pagamento"/>
    <n v="330421956"/>
    <x v="2"/>
    <m/>
    <s v="WELSON DA SILVA RODRIGUES,"/>
    <n v="170288"/>
    <m/>
    <m/>
  </r>
  <r>
    <m/>
    <s v="Pagamento"/>
    <n v="330421957"/>
    <s v="BRL"/>
    <n v="621.80999999999995"/>
    <n v="621.80999999999995"/>
    <m/>
    <m/>
    <m/>
    <d v="2025-01-27T00:00:00"/>
    <d v="2025-01-27T00:00:00"/>
    <m/>
    <s v="Pagamento"/>
    <n v="330421957"/>
    <x v="2"/>
    <m/>
    <s v="WELTON GOMES SILVA,"/>
    <n v="170288"/>
    <m/>
    <m/>
  </r>
  <r>
    <m/>
    <s v="Pagamento"/>
    <n v="330421958"/>
    <s v="BRL"/>
    <n v="1672.98"/>
    <n v="1672.98"/>
    <m/>
    <m/>
    <m/>
    <d v="2025-01-27T00:00:00"/>
    <d v="2025-01-27T00:00:00"/>
    <m/>
    <s v="Pagamento"/>
    <n v="330421958"/>
    <x v="2"/>
    <m/>
    <s v="WENDELL DA SILVA MOTA,"/>
    <n v="170288"/>
    <m/>
    <m/>
  </r>
  <r>
    <m/>
    <s v="Pagamento"/>
    <n v="330421959"/>
    <s v="BRL"/>
    <n v="1350.82"/>
    <n v="1350.82"/>
    <m/>
    <m/>
    <m/>
    <d v="2025-01-27T00:00:00"/>
    <d v="2025-01-27T00:00:00"/>
    <m/>
    <s v="Pagamento"/>
    <n v="330421959"/>
    <x v="2"/>
    <m/>
    <s v="WILIAN ROSANTE LIMA,"/>
    <n v="170288"/>
    <m/>
    <m/>
  </r>
  <r>
    <m/>
    <s v="Pagamento"/>
    <n v="330421960"/>
    <s v="BRL"/>
    <n v="1243.6300000000001"/>
    <n v="1243.6300000000001"/>
    <m/>
    <m/>
    <m/>
    <d v="2025-01-27T00:00:00"/>
    <d v="2025-01-27T00:00:00"/>
    <m/>
    <s v="Pagamento"/>
    <n v="330421960"/>
    <x v="2"/>
    <m/>
    <s v="WILLIAM DE ABREU SILVA,"/>
    <n v="170288"/>
    <m/>
    <m/>
  </r>
  <r>
    <m/>
    <s v="Pagamento"/>
    <n v="330421961"/>
    <s v="BRL"/>
    <n v="1255.42"/>
    <n v="1255.42"/>
    <m/>
    <m/>
    <m/>
    <d v="2025-01-27T00:00:00"/>
    <d v="2025-01-27T00:00:00"/>
    <m/>
    <s v="Pagamento"/>
    <n v="330421961"/>
    <x v="2"/>
    <m/>
    <s v="WILLIAM ROBERTO MARCUCCI,"/>
    <n v="170288"/>
    <m/>
    <m/>
  </r>
  <r>
    <m/>
    <s v="Pagamento"/>
    <n v="330421962"/>
    <s v="BRL"/>
    <n v="1255.42"/>
    <n v="1255.42"/>
    <m/>
    <m/>
    <m/>
    <d v="2025-01-27T00:00:00"/>
    <d v="2025-01-27T00:00:00"/>
    <m/>
    <s v="Pagamento"/>
    <n v="330421962"/>
    <x v="2"/>
    <m/>
    <s v="WILLIAN DE SOUZA PAIVA,"/>
    <n v="170288"/>
    <m/>
    <m/>
  </r>
  <r>
    <m/>
    <s v="Pagamento"/>
    <n v="330421963"/>
    <s v="BRL"/>
    <n v="1398.52"/>
    <n v="1398.52"/>
    <m/>
    <m/>
    <m/>
    <d v="2025-01-27T00:00:00"/>
    <d v="2025-01-27T00:00:00"/>
    <m/>
    <s v="Pagamento"/>
    <n v="330421963"/>
    <x v="2"/>
    <m/>
    <s v="WILLYAN  POLETO,"/>
    <n v="170288"/>
    <m/>
    <m/>
  </r>
  <r>
    <m/>
    <s v="Pagamento"/>
    <n v="330421964"/>
    <s v="BRL"/>
    <n v="53.67"/>
    <n v="53.67"/>
    <m/>
    <m/>
    <m/>
    <d v="2025-01-27T00:00:00"/>
    <d v="2025-01-27T00:00:00"/>
    <m/>
    <s v="Pagamento"/>
    <n v="330421964"/>
    <x v="2"/>
    <m/>
    <s v="WILSON DE OLIVEIRA LIMA,"/>
    <n v="170288"/>
    <m/>
    <m/>
  </r>
  <r>
    <m/>
    <s v="Pagamento"/>
    <n v="330421965"/>
    <s v="BRL"/>
    <n v="1493.92"/>
    <n v="1493.92"/>
    <m/>
    <m/>
    <m/>
    <d v="2025-01-27T00:00:00"/>
    <d v="2025-01-27T00:00:00"/>
    <m/>
    <s v="Pagamento"/>
    <n v="330421965"/>
    <x v="2"/>
    <m/>
    <s v="WILSON RICARDO GARCIA,"/>
    <n v="170288"/>
    <m/>
    <m/>
  </r>
  <r>
    <m/>
    <s v="Pagamento"/>
    <n v="330421966"/>
    <s v="BRL"/>
    <n v="975.28"/>
    <n v="975.28"/>
    <m/>
    <m/>
    <m/>
    <d v="2025-01-27T00:00:00"/>
    <d v="2025-01-27T00:00:00"/>
    <m/>
    <s v="Pagamento"/>
    <n v="330421966"/>
    <x v="2"/>
    <m/>
    <s v="WINNETOU BEZERRA SALES,"/>
    <n v="170288"/>
    <m/>
    <m/>
  </r>
  <r>
    <m/>
    <s v="Pagamento"/>
    <n v="330421967"/>
    <s v="BRL"/>
    <n v="1493.92"/>
    <n v="1493.92"/>
    <m/>
    <m/>
    <m/>
    <d v="2025-01-27T00:00:00"/>
    <d v="2025-01-27T00:00:00"/>
    <m/>
    <s v="Pagamento"/>
    <n v="330421967"/>
    <x v="2"/>
    <m/>
    <s v="WOLGRAND FELIPE DE SOUSA,"/>
    <n v="170288"/>
    <m/>
    <m/>
  </r>
  <r>
    <m/>
    <s v="Pagamento"/>
    <n v="330421968"/>
    <s v="BRL"/>
    <n v="1350.82"/>
    <n v="1350.82"/>
    <m/>
    <m/>
    <m/>
    <d v="2025-01-27T00:00:00"/>
    <d v="2025-01-27T00:00:00"/>
    <m/>
    <s v="Pagamento"/>
    <n v="330421968"/>
    <x v="2"/>
    <m/>
    <s v="YURI BRUNO DE OLIVEIRA FARIA,"/>
    <n v="170288"/>
    <m/>
    <m/>
  </r>
  <r>
    <m/>
    <s v="Pagamento"/>
    <n v="330421969"/>
    <s v="BRL"/>
    <n v="1112.31"/>
    <n v="1112.31"/>
    <m/>
    <m/>
    <m/>
    <d v="2025-01-27T00:00:00"/>
    <d v="2025-01-27T00:00:00"/>
    <m/>
    <s v="Pagamento"/>
    <n v="330421969"/>
    <x v="2"/>
    <m/>
    <s v="YURI SILVA BULHOES,"/>
    <n v="170288"/>
    <m/>
    <m/>
  </r>
  <r>
    <m/>
    <s v="Pagamento"/>
    <n v="330421970"/>
    <s v="BRL"/>
    <n v="9150"/>
    <n v="9150"/>
    <m/>
    <m/>
    <m/>
    <d v="2025-01-27T00:00:00"/>
    <d v="2025-01-27T00:00:00"/>
    <m/>
    <s v="Pagamento"/>
    <n v="330421970"/>
    <x v="3"/>
    <m/>
    <s v="AGE DESENVOLVIMENTO DE SISTEMAS LTDA"/>
    <n v="170311"/>
    <m/>
    <m/>
  </r>
  <r>
    <m/>
    <s v="Pagamento"/>
    <n v="330421971"/>
    <s v="BRL"/>
    <n v="695551.99"/>
    <n v="695551.99"/>
    <m/>
    <m/>
    <m/>
    <d v="2025-01-27T00:00:00"/>
    <d v="2025-01-27T00:00:00"/>
    <m/>
    <s v="Pagamento"/>
    <n v="330421971"/>
    <x v="3"/>
    <m/>
    <s v="ALARMTEK TECNOLOGIA AUTODEFESA LTDA"/>
    <n v="170311"/>
    <m/>
    <m/>
  </r>
  <r>
    <m/>
    <s v="Pagamento"/>
    <n v="330421972"/>
    <s v="BRL"/>
    <n v="6931.41"/>
    <n v="6931.41"/>
    <m/>
    <m/>
    <m/>
    <d v="2025-01-27T00:00:00"/>
    <d v="2025-01-27T00:00:00"/>
    <m/>
    <s v="Pagamento"/>
    <n v="330421972"/>
    <x v="3"/>
    <m/>
    <s v="ALVO TERCEIRIZACAO EM SERVICOS ESPECIALIZADOS LTDA - EPP"/>
    <n v="170311"/>
    <m/>
    <m/>
  </r>
  <r>
    <m/>
    <s v="Pagamento"/>
    <n v="330421973"/>
    <s v="BRL"/>
    <n v="15900"/>
    <n v="15900"/>
    <m/>
    <m/>
    <m/>
    <d v="2025-01-27T00:00:00"/>
    <d v="2025-01-27T00:00:00"/>
    <m/>
    <s v="Pagamento"/>
    <n v="330421973"/>
    <x v="3"/>
    <m/>
    <s v="BL NESHER TRANSPORTES E LOGISTICA LTDA - ME"/>
    <n v="170311"/>
    <m/>
    <m/>
  </r>
  <r>
    <m/>
    <s v="Pagamento"/>
    <n v="330421974"/>
    <s v="BRL"/>
    <n v="6829.56"/>
    <n v="6829.56"/>
    <m/>
    <m/>
    <m/>
    <d v="2025-01-27T00:00:00"/>
    <d v="2025-01-27T00:00:00"/>
    <m/>
    <s v="Pagamento"/>
    <n v="330421974"/>
    <x v="3"/>
    <m/>
    <s v="CONTMAX CONTABILIDADE LTDA - EPP"/>
    <n v="170311"/>
    <m/>
    <m/>
  </r>
  <r>
    <m/>
    <s v="Pagamento"/>
    <n v="330421975"/>
    <s v="BRL"/>
    <n v="1202191.44"/>
    <n v="1202191.44"/>
    <m/>
    <m/>
    <m/>
    <d v="2025-01-27T00:00:00"/>
    <d v="2025-01-27T00:00:00"/>
    <m/>
    <s v="Pagamento"/>
    <n v="330421975"/>
    <x v="3"/>
    <m/>
    <s v="ESPACO Y ENGENHARIA EMPREENDIMENTOS SA"/>
    <n v="170311"/>
    <m/>
    <m/>
  </r>
  <r>
    <m/>
    <s v="Pagamento"/>
    <n v="330421976"/>
    <s v="BRL"/>
    <n v="6648.17"/>
    <n v="6648.17"/>
    <m/>
    <m/>
    <m/>
    <d v="2025-01-27T00:00:00"/>
    <d v="2025-01-27T00:00:00"/>
    <m/>
    <s v="Pagamento"/>
    <n v="330421976"/>
    <x v="3"/>
    <m/>
    <s v="EXPRESSO CANTUARIA LTDA - EPP"/>
    <n v="170311"/>
    <m/>
    <m/>
  </r>
  <r>
    <m/>
    <s v="Pagamento"/>
    <n v="330421977"/>
    <s v="BRL"/>
    <n v="3371.46"/>
    <n v="3371.46"/>
    <m/>
    <m/>
    <m/>
    <d v="2025-01-27T00:00:00"/>
    <d v="2025-01-27T00:00:00"/>
    <m/>
    <s v="Pagamento"/>
    <n v="330421977"/>
    <x v="3"/>
    <m/>
    <s v="GRUPO ELITEC DO BRASIL COMERCIO E SERVICOS DE SISTEMAS DE SEGURANCA LTDA ME"/>
    <n v="170311"/>
    <m/>
    <m/>
  </r>
  <r>
    <m/>
    <s v="Pagamento"/>
    <n v="330421978"/>
    <s v="BRL"/>
    <n v="70557.39"/>
    <n v="70557.39"/>
    <m/>
    <m/>
    <m/>
    <d v="2025-01-27T00:00:00"/>
    <d v="2025-01-27T00:00:00"/>
    <m/>
    <s v="Pagamento"/>
    <n v="330421978"/>
    <x v="3"/>
    <m/>
    <s v="INTERMODAL BRASIL LOGISTICA LTDA"/>
    <n v="170311"/>
    <m/>
    <m/>
  </r>
  <r>
    <m/>
    <s v="Pagamento"/>
    <n v="330421979"/>
    <s v="BRL"/>
    <n v="2295"/>
    <n v="2295"/>
    <m/>
    <m/>
    <m/>
    <d v="2025-01-27T00:00:00"/>
    <d v="2025-01-27T00:00:00"/>
    <m/>
    <s v="Pagamento"/>
    <n v="330421979"/>
    <x v="3"/>
    <m/>
    <s v="IRENALDO DE MELO CELANI"/>
    <n v="170311"/>
    <m/>
    <m/>
  </r>
  <r>
    <m/>
    <s v="Pagamento"/>
    <n v="330421980"/>
    <s v="BRL"/>
    <n v="8795.3799999999992"/>
    <n v="8795.3799999999992"/>
    <m/>
    <m/>
    <m/>
    <d v="2025-01-27T00:00:00"/>
    <d v="2025-01-27T00:00:00"/>
    <m/>
    <s v="Pagamento"/>
    <n v="330421980"/>
    <x v="3"/>
    <m/>
    <s v="MICROPAN ASSISTENCIA TECNICA LTDA ME"/>
    <n v="170311"/>
    <m/>
    <m/>
  </r>
  <r>
    <m/>
    <s v="Pagamento"/>
    <n v="330421981"/>
    <s v="BRL"/>
    <n v="542.1"/>
    <n v="542.1"/>
    <m/>
    <m/>
    <m/>
    <d v="2025-01-27T00:00:00"/>
    <d v="2025-01-27T00:00:00"/>
    <m/>
    <s v="Pagamento"/>
    <n v="330421981"/>
    <x v="3"/>
    <m/>
    <s v="NATAL TECNOLOGIA E SEGURANCA LTDA"/>
    <n v="170311"/>
    <m/>
    <m/>
  </r>
  <r>
    <m/>
    <s v="Pagamento"/>
    <n v="330421982"/>
    <s v="BRL"/>
    <n v="1163.8499999999999"/>
    <n v="1163.8499999999999"/>
    <m/>
    <m/>
    <m/>
    <d v="2025-01-27T00:00:00"/>
    <d v="2025-01-27T00:00:00"/>
    <m/>
    <s v="Pagamento"/>
    <n v="330421982"/>
    <x v="3"/>
    <m/>
    <s v="POSTEC COMERCIO E SERVICO EM TECNOLOGIA LTDA - EPP"/>
    <n v="170311"/>
    <m/>
    <m/>
  </r>
  <r>
    <m/>
    <s v="Pagamento"/>
    <n v="330421983"/>
    <s v="BRL"/>
    <n v="11850"/>
    <n v="11850"/>
    <m/>
    <m/>
    <m/>
    <d v="2025-01-27T00:00:00"/>
    <d v="2025-01-27T00:00:00"/>
    <m/>
    <s v="Pagamento"/>
    <n v="330421983"/>
    <x v="3"/>
    <m/>
    <s v="PREXX COMERCIO E IMPORTAÇÃO LTDA"/>
    <n v="170311"/>
    <m/>
    <m/>
  </r>
  <r>
    <m/>
    <s v="Pagamento"/>
    <n v="330421984"/>
    <s v="BRL"/>
    <n v="9738.7099999999991"/>
    <n v="9738.7099999999991"/>
    <m/>
    <m/>
    <m/>
    <d v="2025-01-27T00:00:00"/>
    <d v="2025-01-27T00:00:00"/>
    <m/>
    <s v="Pagamento"/>
    <n v="330421984"/>
    <x v="3"/>
    <m/>
    <s v="ROBERTO MOTTA COCCIOLI"/>
    <n v="170311"/>
    <m/>
    <m/>
  </r>
  <r>
    <m/>
    <s v="Pagamento"/>
    <n v="330421985"/>
    <s v="BRL"/>
    <n v="295.73"/>
    <n v="295.73"/>
    <m/>
    <m/>
    <m/>
    <d v="2025-01-27T00:00:00"/>
    <d v="2025-01-27T00:00:00"/>
    <m/>
    <s v="Pagamento"/>
    <n v="330421985"/>
    <x v="3"/>
    <m/>
    <s v="SCOLTT COMERCIO E SERVICOS LTDA"/>
    <n v="170311"/>
    <m/>
    <m/>
  </r>
  <r>
    <m/>
    <s v="Pagamento"/>
    <n v="330421986"/>
    <s v="BRL"/>
    <n v="14908.42"/>
    <n v="14908.42"/>
    <m/>
    <m/>
    <m/>
    <d v="2025-01-27T00:00:00"/>
    <d v="2025-01-27T00:00:00"/>
    <m/>
    <s v="Pagamento"/>
    <n v="330421986"/>
    <x v="3"/>
    <m/>
    <s v="SUCESSO PRESTACAO DE SERVICOS TERCEIRIZADOS LTDA - ME"/>
    <n v="170311"/>
    <m/>
    <m/>
  </r>
  <r>
    <m/>
    <s v="Pagamento"/>
    <n v="330421987"/>
    <s v="BRL"/>
    <n v="85406.54"/>
    <n v="85406.54"/>
    <m/>
    <m/>
    <m/>
    <d v="2025-01-27T00:00:00"/>
    <d v="2025-01-27T00:00:00"/>
    <m/>
    <s v="Pagamento"/>
    <n v="330421987"/>
    <x v="3"/>
    <m/>
    <s v="TORKS TRANSPORTES LTDA - ME"/>
    <n v="170311"/>
    <m/>
    <m/>
  </r>
  <r>
    <m/>
    <s v="Pagamento"/>
    <n v="330421988"/>
    <s v="BRL"/>
    <n v="32513.200000000001"/>
    <n v="32513.200000000001"/>
    <m/>
    <m/>
    <m/>
    <d v="2025-01-27T00:00:00"/>
    <d v="2025-01-27T00:00:00"/>
    <m/>
    <s v="Pagamento"/>
    <n v="330421988"/>
    <x v="3"/>
    <m/>
    <s v="TRANSBRITTO EXPRESS LTDA"/>
    <n v="170311"/>
    <m/>
    <m/>
  </r>
  <r>
    <m/>
    <s v="Pagamento"/>
    <n v="330421989"/>
    <s v="BRL"/>
    <n v="176333.18"/>
    <n v="176333.18"/>
    <m/>
    <m/>
    <m/>
    <d v="2025-01-27T00:00:00"/>
    <d v="2025-01-27T00:00:00"/>
    <m/>
    <s v="Pagamento"/>
    <n v="330421989"/>
    <x v="3"/>
    <m/>
    <s v="TRANSPORTADORA CEL E MAR LTDA ME"/>
    <n v="170311"/>
    <m/>
    <m/>
  </r>
  <r>
    <m/>
    <s v="Pagamento"/>
    <n v="910037152"/>
    <s v="BRL"/>
    <n v="2676.93"/>
    <n v="2676.93"/>
    <m/>
    <m/>
    <m/>
    <d v="2025-01-27T00:00:00"/>
    <d v="2025-01-27T00:00:00"/>
    <m/>
    <s v="Pagamento"/>
    <n v="910037152"/>
    <x v="4"/>
    <m/>
    <s v="CONSELHO REGIONAL DOS TECNICOS INDUSTRIAIS DA PRIMEIRA REGIAO"/>
    <n v="170283"/>
    <m/>
    <m/>
  </r>
  <r>
    <m/>
    <s v="Pagamento"/>
    <n v="910037156"/>
    <s v="BRL"/>
    <n v="892.31"/>
    <n v="892.31"/>
    <m/>
    <m/>
    <m/>
    <d v="2025-01-27T00:00:00"/>
    <d v="2025-01-27T00:00:00"/>
    <m/>
    <s v="Pagamento"/>
    <n v="910037156"/>
    <x v="4"/>
    <m/>
    <s v="CONSELHO REGIONAL DOS TECNICOS INDUSTRIAIS DO ESTADO DE SAO PAULO"/>
    <n v="170283"/>
    <m/>
    <m/>
  </r>
  <r>
    <m/>
    <s v="Pagamento"/>
    <n v="910037157"/>
    <s v="BRL"/>
    <n v="594.87"/>
    <n v="594.87"/>
    <m/>
    <m/>
    <m/>
    <d v="2025-01-27T00:00:00"/>
    <d v="2025-01-27T00:00:00"/>
    <m/>
    <s v="Pagamento"/>
    <n v="910037157"/>
    <x v="4"/>
    <m/>
    <s v="CONSELHO REGIONAL DOS TECNICOS INDUSTRIAIS DO ESTADO DO RIO DE JANEIRO"/>
    <n v="170283"/>
    <m/>
    <m/>
  </r>
  <r>
    <m/>
    <s v="Pagamento"/>
    <n v="910037159"/>
    <s v="BRL"/>
    <n v="1189.76"/>
    <n v="1189.76"/>
    <m/>
    <m/>
    <m/>
    <d v="2025-01-27T00:00:00"/>
    <d v="2025-01-27T00:00:00"/>
    <m/>
    <s v="Pagamento"/>
    <n v="910037159"/>
    <x v="5"/>
    <m/>
    <s v="CONSELHO REGIONAL DOS TECNICOS INDUSTRIAIS DO ESTADO DO RIO DE JANEIRO"/>
    <n v="170285"/>
    <m/>
    <m/>
  </r>
  <r>
    <m/>
    <s v="Pagamento"/>
    <n v="910037160"/>
    <s v="BRL"/>
    <n v="444.4"/>
    <n v="444.4"/>
    <m/>
    <m/>
    <m/>
    <d v="2025-01-27T00:00:00"/>
    <d v="2025-01-27T00:00:00"/>
    <m/>
    <s v="Pagamento"/>
    <n v="910037160"/>
    <x v="6"/>
    <m/>
    <s v="SEC DE ESTADO DA FAZENDA RON"/>
    <m/>
    <m/>
    <m/>
  </r>
  <r>
    <m/>
    <s v="Pagamento"/>
    <n v="910037176"/>
    <s v="BRL"/>
    <n v="594.88"/>
    <n v="594.88"/>
    <m/>
    <m/>
    <m/>
    <d v="2025-01-27T00:00:00"/>
    <d v="2025-01-27T00:00:00"/>
    <m/>
    <s v="Pagamento"/>
    <n v="910037176"/>
    <x v="7"/>
    <m/>
    <s v="CONSELHO REGIONAL DOS TECNICOS INDUSTRIAIS DA PRIMEIRA REGIAO"/>
    <n v="170319"/>
    <m/>
    <m/>
  </r>
  <r>
    <m/>
    <s v="Pagamento"/>
    <n v="910037179"/>
    <s v="BRL"/>
    <n v="594.88"/>
    <n v="594.88"/>
    <m/>
    <m/>
    <m/>
    <d v="2025-01-27T00:00:00"/>
    <d v="2025-01-27T00:00:00"/>
    <m/>
    <s v="Pagamento"/>
    <n v="910037179"/>
    <x v="7"/>
    <m/>
    <s v="CONSELHO REGIONAL DOS TECNICOS INDUSTRIAIS DA TERCEIRA REGIAO"/>
    <n v="170319"/>
    <m/>
    <m/>
  </r>
  <r>
    <m/>
    <s v="Pagamento"/>
    <n v="910037181"/>
    <s v="BRL"/>
    <n v="892.31"/>
    <n v="892.31"/>
    <m/>
    <m/>
    <m/>
    <d v="2025-01-27T00:00:00"/>
    <d v="2025-01-27T00:00:00"/>
    <m/>
    <s v="Pagamento"/>
    <n v="910037181"/>
    <x v="7"/>
    <m/>
    <s v="CONSELHO REGIONAL DOS TECNICOS INDUSTRIAIS DO ESTADO DE SAO PAULO"/>
    <n v="170319"/>
    <m/>
    <m/>
  </r>
  <r>
    <m/>
    <s v="Pagamento"/>
    <n v="910037183"/>
    <s v="BRL"/>
    <n v="521.66"/>
    <n v="521.66"/>
    <m/>
    <m/>
    <m/>
    <d v="2025-01-27T00:00:00"/>
    <d v="2025-01-27T00:00:00"/>
    <m/>
    <s v="Pagamento"/>
    <n v="910037183"/>
    <x v="7"/>
    <m/>
    <s v="COPEL DISTRIBUICAO S A"/>
    <n v="170319"/>
    <m/>
    <m/>
  </r>
  <r>
    <m/>
    <m/>
    <m/>
    <m/>
    <m/>
    <m/>
    <m/>
    <m/>
    <m/>
    <m/>
    <m/>
    <m/>
    <m/>
    <m/>
    <x v="8"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2">
  <r>
    <m/>
    <s v="Pagamento"/>
    <n v="559799"/>
    <s v="BRL"/>
    <n v="0"/>
    <n v="0"/>
    <m/>
    <m/>
    <m/>
    <d v="2025-02-05T00:00:00"/>
    <d v="2025-02-05T00:00:00"/>
    <m/>
    <s v="Pagamento"/>
    <n v="559799"/>
    <x v="0"/>
    <m/>
    <s v="BARATA E CIA LTDA - EPP"/>
    <m/>
    <m/>
    <m/>
  </r>
  <r>
    <m/>
    <s v="Pagamento"/>
    <n v="330423188"/>
    <s v="BRL"/>
    <n v="15240"/>
    <n v="15240"/>
    <m/>
    <m/>
    <m/>
    <d v="2025-02-05T00:00:00"/>
    <d v="2025-02-05T00:00:00"/>
    <m/>
    <s v="Pagamento"/>
    <n v="330423188"/>
    <x v="1"/>
    <m/>
    <s v="39.445.650 GABRIELA VIAN LOPES - ME"/>
    <n v="170522"/>
    <m/>
    <m/>
  </r>
  <r>
    <m/>
    <s v="Pagamento"/>
    <n v="330423189"/>
    <s v="BRL"/>
    <n v="11240.58"/>
    <n v="11240.58"/>
    <m/>
    <m/>
    <m/>
    <d v="2025-02-05T00:00:00"/>
    <d v="2025-02-05T00:00:00"/>
    <m/>
    <s v="Pagamento"/>
    <n v="330423189"/>
    <x v="1"/>
    <m/>
    <s v="43.912.272 BASILIO ROTA - ME"/>
    <n v="170522"/>
    <m/>
    <m/>
  </r>
  <r>
    <m/>
    <s v="Pagamento"/>
    <n v="330423190"/>
    <s v="BRL"/>
    <n v="12239.75"/>
    <n v="12239.75"/>
    <m/>
    <m/>
    <m/>
    <d v="2025-02-05T00:00:00"/>
    <d v="2025-02-05T00:00:00"/>
    <m/>
    <s v="Pagamento"/>
    <n v="330423190"/>
    <x v="1"/>
    <m/>
    <s v="44.713.953 JOSE RODRIGUES DOS SANTOS NETO - ME"/>
    <n v="170522"/>
    <m/>
    <m/>
  </r>
  <r>
    <m/>
    <s v="Pagamento"/>
    <n v="330423191"/>
    <s v="BRL"/>
    <n v="14577.42"/>
    <n v="14577.42"/>
    <m/>
    <m/>
    <m/>
    <d v="2025-02-05T00:00:00"/>
    <d v="2025-02-05T00:00:00"/>
    <m/>
    <s v="Pagamento"/>
    <n v="330423191"/>
    <x v="1"/>
    <m/>
    <s v="49.266.436 JOAQUIM RANIERIO VIANA TAVARES - ME"/>
    <n v="170522"/>
    <m/>
    <m/>
  </r>
  <r>
    <m/>
    <s v="Pagamento"/>
    <n v="330423192"/>
    <s v="BRL"/>
    <n v="12545.13"/>
    <n v="12545.13"/>
    <m/>
    <m/>
    <m/>
    <d v="2025-02-05T00:00:00"/>
    <d v="2025-02-05T00:00:00"/>
    <m/>
    <s v="Pagamento"/>
    <n v="330423192"/>
    <x v="1"/>
    <m/>
    <s v="49.306.714 CAROLINE DA SILVA DE AGUIAR ALVES - ME"/>
    <n v="170522"/>
    <m/>
    <m/>
  </r>
  <r>
    <m/>
    <s v="Pagamento"/>
    <n v="330423193"/>
    <s v="BRL"/>
    <n v="15068.82"/>
    <n v="15068.82"/>
    <m/>
    <m/>
    <m/>
    <d v="2025-02-05T00:00:00"/>
    <d v="2025-02-05T00:00:00"/>
    <m/>
    <s v="Pagamento"/>
    <n v="330423193"/>
    <x v="1"/>
    <m/>
    <s v="49.793.312 IRINEU DE SOUZA NETO - ME"/>
    <n v="170522"/>
    <m/>
    <m/>
  </r>
  <r>
    <m/>
    <s v="Pagamento"/>
    <n v="330423194"/>
    <s v="BRL"/>
    <n v="11317.8"/>
    <n v="11317.8"/>
    <m/>
    <m/>
    <m/>
    <d v="2025-02-05T00:00:00"/>
    <d v="2025-02-05T00:00:00"/>
    <m/>
    <s v="Pagamento"/>
    <n v="330423194"/>
    <x v="1"/>
    <m/>
    <s v="49.829.193 MARCOS VINICIUS BARBOSA DO AMARAL - ME"/>
    <n v="170522"/>
    <m/>
    <m/>
  </r>
  <r>
    <m/>
    <s v="Pagamento"/>
    <n v="330423195"/>
    <s v="BRL"/>
    <n v="14577.42"/>
    <n v="14577.42"/>
    <m/>
    <m/>
    <m/>
    <d v="2025-02-05T00:00:00"/>
    <d v="2025-02-05T00:00:00"/>
    <m/>
    <s v="Pagamento"/>
    <n v="330423195"/>
    <x v="1"/>
    <m/>
    <s v="49.832.830 FAGNER DOURADO MATOS OLIVEIRA - ME"/>
    <n v="170522"/>
    <m/>
    <m/>
  </r>
  <r>
    <m/>
    <s v="Pagamento"/>
    <n v="330423196"/>
    <s v="BRL"/>
    <n v="13904.67"/>
    <n v="13904.67"/>
    <m/>
    <m/>
    <m/>
    <d v="2025-02-05T00:00:00"/>
    <d v="2025-02-05T00:00:00"/>
    <m/>
    <s v="Pagamento"/>
    <n v="330423196"/>
    <x v="1"/>
    <m/>
    <s v="49.835.723 PAULO CEZAR ALVES ANDRADE - ME"/>
    <n v="170522"/>
    <m/>
    <m/>
  </r>
  <r>
    <m/>
    <s v="Pagamento"/>
    <n v="330423197"/>
    <s v="BRL"/>
    <n v="10912.98"/>
    <n v="10912.98"/>
    <m/>
    <m/>
    <m/>
    <d v="2025-02-05T00:00:00"/>
    <d v="2025-02-05T00:00:00"/>
    <m/>
    <s v="Pagamento"/>
    <n v="330423197"/>
    <x v="1"/>
    <m/>
    <s v="49.868.883 MARNO EMILIO ARTMANN"/>
    <n v="170522"/>
    <m/>
    <m/>
  </r>
  <r>
    <m/>
    <s v="Pagamento"/>
    <n v="330423198"/>
    <s v="BRL"/>
    <n v="15396.42"/>
    <n v="15396.42"/>
    <m/>
    <m/>
    <m/>
    <d v="2025-02-05T00:00:00"/>
    <d v="2025-02-05T00:00:00"/>
    <m/>
    <s v="Pagamento"/>
    <n v="330423198"/>
    <x v="1"/>
    <m/>
    <s v="49.874.566 ALEXANDRE ISHIZUKA GOMES"/>
    <n v="170522"/>
    <m/>
    <m/>
  </r>
  <r>
    <m/>
    <s v="Pagamento"/>
    <n v="330423199"/>
    <s v="BRL"/>
    <n v="13271.7"/>
    <n v="13271.7"/>
    <m/>
    <m/>
    <m/>
    <d v="2025-02-05T00:00:00"/>
    <d v="2025-02-05T00:00:00"/>
    <m/>
    <s v="Pagamento"/>
    <n v="330423199"/>
    <x v="1"/>
    <m/>
    <s v="49.880.979 MARCELO ROCHA MENEZES - ME"/>
    <n v="170522"/>
    <m/>
    <m/>
  </r>
  <r>
    <m/>
    <s v="Pagamento"/>
    <n v="330423200"/>
    <s v="BRL"/>
    <n v="11749.53"/>
    <n v="11749.53"/>
    <m/>
    <m/>
    <m/>
    <d v="2025-02-05T00:00:00"/>
    <d v="2025-02-05T00:00:00"/>
    <m/>
    <s v="Pagamento"/>
    <n v="330423200"/>
    <x v="1"/>
    <m/>
    <s v="49.889.019 HENRIQUE DAMASCENO RAIMUNDO - ME"/>
    <n v="170522"/>
    <m/>
    <m/>
  </r>
  <r>
    <m/>
    <s v="Pagamento"/>
    <n v="330423201"/>
    <s v="BRL"/>
    <n v="9883.3700000000008"/>
    <n v="9883.3700000000008"/>
    <m/>
    <m/>
    <m/>
    <d v="2025-02-05T00:00:00"/>
    <d v="2025-02-05T00:00:00"/>
    <m/>
    <s v="Pagamento"/>
    <n v="330423201"/>
    <x v="1"/>
    <m/>
    <s v="50.390.631 CARLA CRISTINA ORTEGA MIRANDA - ME"/>
    <n v="170522"/>
    <m/>
    <m/>
  </r>
  <r>
    <m/>
    <s v="Pagamento"/>
    <n v="330423202"/>
    <s v="BRL"/>
    <n v="12008.1"/>
    <n v="12008.1"/>
    <m/>
    <m/>
    <m/>
    <d v="2025-02-05T00:00:00"/>
    <d v="2025-02-05T00:00:00"/>
    <m/>
    <s v="Pagamento"/>
    <n v="330423202"/>
    <x v="1"/>
    <m/>
    <s v="50.413.085 MARCELO FERNANDO GAVA - ME"/>
    <n v="170522"/>
    <m/>
    <m/>
  </r>
  <r>
    <m/>
    <s v="Pagamento"/>
    <n v="330423203"/>
    <s v="BRL"/>
    <n v="11739"/>
    <n v="11739"/>
    <m/>
    <m/>
    <m/>
    <d v="2025-02-05T00:00:00"/>
    <d v="2025-02-05T00:00:00"/>
    <m/>
    <s v="Pagamento"/>
    <n v="330423203"/>
    <x v="1"/>
    <m/>
    <s v="50.461.605 THIAGO GRANJA VOLPIANI - ME"/>
    <n v="170522"/>
    <m/>
    <m/>
  </r>
  <r>
    <m/>
    <s v="Pagamento"/>
    <n v="330423204"/>
    <s v="BRL"/>
    <n v="14279.07"/>
    <n v="14279.07"/>
    <m/>
    <m/>
    <m/>
    <d v="2025-02-05T00:00:00"/>
    <d v="2025-02-05T00:00:00"/>
    <m/>
    <s v="Pagamento"/>
    <n v="330423204"/>
    <x v="1"/>
    <m/>
    <s v="50.474.848 ALESSANDRA CRISTYANE TORRES KNOB - ME"/>
    <n v="170522"/>
    <m/>
    <m/>
  </r>
  <r>
    <m/>
    <s v="Pagamento"/>
    <n v="330423205"/>
    <s v="BRL"/>
    <n v="12360"/>
    <n v="12360"/>
    <m/>
    <m/>
    <m/>
    <d v="2025-02-05T00:00:00"/>
    <d v="2025-02-05T00:00:00"/>
    <m/>
    <s v="Pagamento"/>
    <n v="330423205"/>
    <x v="1"/>
    <m/>
    <s v="50.478.822 JUCIELEN RENATA CAUNETO LUCAS DE LIMA - ME"/>
    <n v="170522"/>
    <m/>
    <m/>
  </r>
  <r>
    <m/>
    <s v="Pagamento"/>
    <n v="330423206"/>
    <s v="BRL"/>
    <n v="12780.3"/>
    <n v="12780.3"/>
    <m/>
    <m/>
    <m/>
    <d v="2025-02-05T00:00:00"/>
    <d v="2025-02-05T00:00:00"/>
    <m/>
    <s v="Pagamento"/>
    <n v="330423206"/>
    <x v="1"/>
    <m/>
    <s v="50.526.942 JOSUE ALVES DE SOUZA - ME"/>
    <n v="170522"/>
    <m/>
    <m/>
  </r>
  <r>
    <m/>
    <s v="Pagamento"/>
    <n v="330423207"/>
    <s v="BRL"/>
    <n v="14325.87"/>
    <n v="14325.87"/>
    <m/>
    <m/>
    <m/>
    <d v="2025-02-05T00:00:00"/>
    <d v="2025-02-05T00:00:00"/>
    <m/>
    <s v="Pagamento"/>
    <n v="330423207"/>
    <x v="1"/>
    <m/>
    <s v="53.362.079 ANDRESSA LORRANA RODRIGUES DE OLIVEIRA CORREA - ME"/>
    <n v="170522"/>
    <m/>
    <m/>
  </r>
  <r>
    <m/>
    <s v="Pagamento"/>
    <n v="330423208"/>
    <s v="BRL"/>
    <n v="11521.38"/>
    <n v="11521.38"/>
    <m/>
    <m/>
    <m/>
    <d v="2025-02-05T00:00:00"/>
    <d v="2025-02-05T00:00:00"/>
    <m/>
    <s v="Pagamento"/>
    <n v="330423208"/>
    <x v="1"/>
    <m/>
    <s v="54.741.635 LETICIA DE GASPERI FURLAN LOPES - ME"/>
    <n v="170522"/>
    <m/>
    <m/>
  </r>
  <r>
    <m/>
    <s v="Pagamento"/>
    <n v="330423209"/>
    <s v="BRL"/>
    <n v="10632.17"/>
    <n v="10632.17"/>
    <m/>
    <m/>
    <m/>
    <d v="2025-02-05T00:00:00"/>
    <d v="2025-02-05T00:00:00"/>
    <m/>
    <s v="Pagamento"/>
    <n v="330423209"/>
    <x v="1"/>
    <m/>
    <s v="55.618.892 FABIO SIDNEI GOMES - ME"/>
    <n v="170522"/>
    <m/>
    <m/>
  </r>
  <r>
    <m/>
    <s v="Pagamento"/>
    <n v="330423211"/>
    <s v="BRL"/>
    <n v="15192.84"/>
    <n v="15192.84"/>
    <m/>
    <m/>
    <m/>
    <d v="2025-02-05T00:00:00"/>
    <d v="2025-02-05T00:00:00"/>
    <m/>
    <s v="Pagamento"/>
    <n v="330423211"/>
    <x v="1"/>
    <m/>
    <s v="57.678.611 MARIA LUANA NOGUEIRA BARBOSA DE OLIVEIRA - ME"/>
    <n v="170522"/>
    <m/>
    <m/>
  </r>
  <r>
    <m/>
    <s v="Pagamento"/>
    <n v="330423212"/>
    <s v="BRL"/>
    <n v="15272.4"/>
    <n v="15272.4"/>
    <m/>
    <m/>
    <m/>
    <d v="2025-02-05T00:00:00"/>
    <d v="2025-02-05T00:00:00"/>
    <m/>
    <s v="Pagamento"/>
    <n v="330423212"/>
    <x v="1"/>
    <m/>
    <s v="A. L. CORREA - ME"/>
    <n v="170522"/>
    <m/>
    <m/>
  </r>
  <r>
    <m/>
    <s v="Pagamento"/>
    <n v="330423213"/>
    <s v="BRL"/>
    <n v="10905.96"/>
    <n v="10905.96"/>
    <m/>
    <m/>
    <m/>
    <d v="2025-02-05T00:00:00"/>
    <d v="2025-02-05T00:00:00"/>
    <m/>
    <s v="Pagamento"/>
    <n v="330423213"/>
    <x v="1"/>
    <m/>
    <s v="ALINE VANESSA BORTOLON GUERRA 02352343038 - ME"/>
    <n v="170522"/>
    <m/>
    <m/>
  </r>
  <r>
    <m/>
    <s v="Pagamento"/>
    <n v="330423214"/>
    <s v="BRL"/>
    <n v="7273.26"/>
    <n v="7273.26"/>
    <m/>
    <m/>
    <m/>
    <d v="2025-02-05T00:00:00"/>
    <d v="2025-02-05T00:00:00"/>
    <m/>
    <s v="Pagamento"/>
    <n v="330423214"/>
    <x v="1"/>
    <m/>
    <s v="ALVO TERCEIRIZACAO EM SERVICOS ESPECIALIZADOS LTDA - EPP"/>
    <n v="170522"/>
    <m/>
    <m/>
  </r>
  <r>
    <m/>
    <s v="Pagamento"/>
    <n v="330423215"/>
    <s v="BRL"/>
    <n v="11954.28"/>
    <n v="11954.28"/>
    <m/>
    <m/>
    <m/>
    <d v="2025-02-05T00:00:00"/>
    <d v="2025-02-05T00:00:00"/>
    <m/>
    <s v="Pagamento"/>
    <n v="330423215"/>
    <x v="1"/>
    <m/>
    <s v="AOVS SISTEMAS DE INFORMATICA SA"/>
    <n v="170522"/>
    <m/>
    <m/>
  </r>
  <r>
    <m/>
    <s v="Pagamento"/>
    <n v="330423216"/>
    <s v="BRL"/>
    <n v="15068.82"/>
    <n v="15068.82"/>
    <m/>
    <m/>
    <m/>
    <d v="2025-02-05T00:00:00"/>
    <d v="2025-02-05T00:00:00"/>
    <m/>
    <s v="Pagamento"/>
    <n v="330423216"/>
    <x v="1"/>
    <m/>
    <s v="AVANTE NEGOCIOS COLABORATIVOS LTDA"/>
    <n v="170522"/>
    <m/>
    <m/>
  </r>
  <r>
    <m/>
    <s v="Pagamento"/>
    <n v="330423217"/>
    <s v="BRL"/>
    <n v="13973.7"/>
    <n v="13973.7"/>
    <m/>
    <m/>
    <m/>
    <d v="2025-02-05T00:00:00"/>
    <d v="2025-02-05T00:00:00"/>
    <m/>
    <s v="Pagamento"/>
    <n v="330423217"/>
    <x v="1"/>
    <m/>
    <s v="BMF REPRESENTACOES EIRELI - ME"/>
    <n v="170522"/>
    <m/>
    <m/>
  </r>
  <r>
    <m/>
    <s v="Pagamento"/>
    <n v="330423218"/>
    <s v="BRL"/>
    <n v="14068.47"/>
    <n v="14068.47"/>
    <m/>
    <m/>
    <m/>
    <d v="2025-02-05T00:00:00"/>
    <d v="2025-02-05T00:00:00"/>
    <m/>
    <s v="Pagamento"/>
    <n v="330423218"/>
    <x v="1"/>
    <m/>
    <s v="CAMILA PONTES COSTA 09028413430 - ME"/>
    <n v="170522"/>
    <m/>
    <m/>
  </r>
  <r>
    <m/>
    <s v="Pagamento"/>
    <n v="330423219"/>
    <s v="BRL"/>
    <n v="6920.44"/>
    <n v="6920.44"/>
    <m/>
    <m/>
    <m/>
    <d v="2025-02-05T00:00:00"/>
    <d v="2025-02-05T00:00:00"/>
    <m/>
    <s v="Pagamento"/>
    <n v="330423219"/>
    <x v="1"/>
    <m/>
    <s v="CONTMAX CONTABILIDADE LTDA - EPP"/>
    <n v="170522"/>
    <m/>
    <m/>
  </r>
  <r>
    <m/>
    <s v="Pagamento"/>
    <n v="330423220"/>
    <s v="BRL"/>
    <n v="11025.3"/>
    <n v="11025.3"/>
    <m/>
    <m/>
    <m/>
    <d v="2025-02-05T00:00:00"/>
    <d v="2025-02-05T00:00:00"/>
    <m/>
    <s v="Pagamento"/>
    <n v="330423220"/>
    <x v="1"/>
    <m/>
    <s v="CRISTIAN FERREIRA LTDA - ME"/>
    <n v="170522"/>
    <m/>
    <m/>
  </r>
  <r>
    <m/>
    <s v="Pagamento"/>
    <n v="330423221"/>
    <s v="BRL"/>
    <n v="11193.78"/>
    <n v="11193.78"/>
    <m/>
    <m/>
    <m/>
    <d v="2025-02-05T00:00:00"/>
    <d v="2025-02-05T00:00:00"/>
    <m/>
    <s v="Pagamento"/>
    <n v="330423221"/>
    <x v="1"/>
    <m/>
    <s v="CRISTIANE RIBEIRO TARDIO LTDA - ME"/>
    <n v="170522"/>
    <m/>
    <m/>
  </r>
  <r>
    <m/>
    <s v="Pagamento"/>
    <n v="330423222"/>
    <s v="BRL"/>
    <n v="267.06"/>
    <n v="267.06"/>
    <m/>
    <m/>
    <m/>
    <d v="2025-02-05T00:00:00"/>
    <d v="2025-02-05T00:00:00"/>
    <m/>
    <s v="Pagamento"/>
    <n v="330423222"/>
    <x v="1"/>
    <m/>
    <s v="CS CONSULTORIA E PLANEJAMENTO AGRICOLA LTDA"/>
    <n v="170522"/>
    <m/>
    <m/>
  </r>
  <r>
    <m/>
    <s v="Pagamento"/>
    <n v="330423223"/>
    <s v="BRL"/>
    <n v="11680.5"/>
    <n v="11680.5"/>
    <m/>
    <m/>
    <m/>
    <d v="2025-02-05T00:00:00"/>
    <d v="2025-02-05T00:00:00"/>
    <m/>
    <s v="Pagamento"/>
    <n v="330423223"/>
    <x v="1"/>
    <m/>
    <s v="D CASTRO CONSULTORIA LTDA ME"/>
    <n v="170522"/>
    <m/>
    <m/>
  </r>
  <r>
    <m/>
    <s v="Pagamento"/>
    <n v="330423224"/>
    <s v="BRL"/>
    <n v="14887.47"/>
    <n v="14887.47"/>
    <m/>
    <m/>
    <m/>
    <d v="2025-02-05T00:00:00"/>
    <d v="2025-02-05T00:00:00"/>
    <m/>
    <s v="Pagamento"/>
    <n v="330423224"/>
    <x v="1"/>
    <m/>
    <s v="D. DE OLIVEIRA DUARTE LTDA - ME"/>
    <n v="170522"/>
    <m/>
    <m/>
  </r>
  <r>
    <m/>
    <s v="Pagamento"/>
    <n v="330423225"/>
    <s v="BRL"/>
    <n v="12784.98"/>
    <n v="12784.98"/>
    <m/>
    <m/>
    <m/>
    <d v="2025-02-05T00:00:00"/>
    <d v="2025-02-05T00:00:00"/>
    <m/>
    <s v="Pagamento"/>
    <n v="330423225"/>
    <x v="1"/>
    <m/>
    <s v="DANIEL GOYA GONCALVES 28219840811 - ME"/>
    <n v="170522"/>
    <m/>
    <m/>
  </r>
  <r>
    <m/>
    <s v="Pagamento"/>
    <n v="330423226"/>
    <s v="BRL"/>
    <n v="13483.47"/>
    <n v="13483.47"/>
    <m/>
    <m/>
    <m/>
    <d v="2025-02-05T00:00:00"/>
    <d v="2025-02-05T00:00:00"/>
    <m/>
    <s v="Pagamento"/>
    <n v="330423226"/>
    <x v="1"/>
    <m/>
    <s v="DANIELA DE LEMOS NENE 03113806038 - ME"/>
    <n v="170522"/>
    <m/>
    <m/>
  </r>
  <r>
    <m/>
    <s v="Pagamento"/>
    <n v="330423227"/>
    <s v="BRL"/>
    <n v="13599.3"/>
    <n v="13599.3"/>
    <m/>
    <m/>
    <m/>
    <d v="2025-02-05T00:00:00"/>
    <d v="2025-02-05T00:00:00"/>
    <m/>
    <s v="Pagamento"/>
    <n v="330423227"/>
    <x v="1"/>
    <m/>
    <s v="DANILO XAVIER RAIMUNDO ME"/>
    <n v="170522"/>
    <m/>
    <m/>
  </r>
  <r>
    <m/>
    <s v="Pagamento"/>
    <n v="330423228"/>
    <s v="BRL"/>
    <n v="2145.71"/>
    <n v="2145.71"/>
    <m/>
    <m/>
    <m/>
    <d v="2025-02-05T00:00:00"/>
    <d v="2025-02-05T00:00:00"/>
    <m/>
    <s v="Pagamento"/>
    <n v="330423228"/>
    <x v="1"/>
    <m/>
    <s v="DATAPOLICY TECNOLOGIA E DESENVOLVIMENTO DE PROGRAMAS S.A"/>
    <n v="170522"/>
    <m/>
    <m/>
  </r>
  <r>
    <m/>
    <s v="Pagamento"/>
    <n v="330423229"/>
    <s v="BRL"/>
    <n v="247631.23"/>
    <n v="247631.23"/>
    <m/>
    <m/>
    <m/>
    <d v="2025-02-05T00:00:00"/>
    <d v="2025-02-05T00:00:00"/>
    <m/>
    <s v="Pagamento"/>
    <n v="330423229"/>
    <x v="1"/>
    <m/>
    <s v="DIVI LESTE INDUSTRIA E COMERCIO LTDA"/>
    <n v="170522"/>
    <m/>
    <m/>
  </r>
  <r>
    <m/>
    <s v="Pagamento"/>
    <n v="330423230"/>
    <s v="BRL"/>
    <n v="14086.02"/>
    <n v="14086.02"/>
    <m/>
    <m/>
    <m/>
    <d v="2025-02-05T00:00:00"/>
    <d v="2025-02-05T00:00:00"/>
    <m/>
    <s v="Pagamento"/>
    <n v="330423230"/>
    <x v="1"/>
    <m/>
    <s v="E. DE OLIVEIRA DUARTE CONSULTORIA - ME"/>
    <n v="170522"/>
    <m/>
    <m/>
  </r>
  <r>
    <m/>
    <s v="Pagamento"/>
    <n v="330423231"/>
    <s v="BRL"/>
    <n v="62500.97"/>
    <n v="62500.97"/>
    <m/>
    <m/>
    <m/>
    <d v="2025-02-05T00:00:00"/>
    <d v="2025-02-05T00:00:00"/>
    <m/>
    <s v="Pagamento"/>
    <n v="330423231"/>
    <x v="1"/>
    <m/>
    <s v="ELETRO FORMA LTDA"/>
    <n v="170522"/>
    <m/>
    <m/>
  </r>
  <r>
    <m/>
    <s v="Pagamento"/>
    <n v="330423232"/>
    <s v="BRL"/>
    <n v="59963.22"/>
    <n v="59963.22"/>
    <m/>
    <m/>
    <m/>
    <d v="2025-02-05T00:00:00"/>
    <d v="2025-02-05T00:00:00"/>
    <m/>
    <s v="Pagamento"/>
    <n v="330423232"/>
    <x v="1"/>
    <m/>
    <s v="EXPRESSO CANTUARIA LTDA - EPP"/>
    <n v="170522"/>
    <m/>
    <m/>
  </r>
  <r>
    <m/>
    <s v="Pagamento"/>
    <n v="330423233"/>
    <s v="BRL"/>
    <n v="228163.01"/>
    <n v="228163.01"/>
    <m/>
    <m/>
    <m/>
    <d v="2025-02-05T00:00:00"/>
    <d v="2025-02-05T00:00:00"/>
    <m/>
    <s v="Pagamento"/>
    <n v="330423233"/>
    <x v="1"/>
    <m/>
    <s v="GARTNER DO BRASIL SERVICOS DE PESQUISAS LTDA"/>
    <n v="170522"/>
    <m/>
    <m/>
  </r>
  <r>
    <m/>
    <s v="Pagamento"/>
    <n v="330423234"/>
    <s v="BRL"/>
    <n v="4114.6899999999996"/>
    <n v="4114.6899999999996"/>
    <m/>
    <m/>
    <m/>
    <d v="2025-02-05T00:00:00"/>
    <d v="2025-02-05T00:00:00"/>
    <m/>
    <s v="Pagamento"/>
    <n v="330423234"/>
    <x v="1"/>
    <m/>
    <s v="GRANT THORNTON CORPORATE CONSULTORES DE NEGOCIOS LTDA"/>
    <n v="170522"/>
    <m/>
    <m/>
  </r>
  <r>
    <m/>
    <s v="Pagamento"/>
    <n v="330423235"/>
    <s v="BRL"/>
    <n v="13554.84"/>
    <n v="13554.84"/>
    <m/>
    <m/>
    <m/>
    <d v="2025-02-05T00:00:00"/>
    <d v="2025-02-05T00:00:00"/>
    <m/>
    <s v="Pagamento"/>
    <n v="330423235"/>
    <x v="1"/>
    <m/>
    <s v="GUILHERME JARDIM CAMARGOS 00308195639 - ME"/>
    <n v="170522"/>
    <m/>
    <m/>
  </r>
  <r>
    <m/>
    <s v="Pagamento"/>
    <n v="330423236"/>
    <s v="BRL"/>
    <n v="10907.13"/>
    <n v="10907.13"/>
    <m/>
    <m/>
    <m/>
    <d v="2025-02-05T00:00:00"/>
    <d v="2025-02-05T00:00:00"/>
    <m/>
    <s v="Pagamento"/>
    <n v="330423236"/>
    <x v="1"/>
    <m/>
    <s v="GUSTAVO ALVES DE SOUZA COSTA 00252809297 - ME"/>
    <n v="170522"/>
    <m/>
    <m/>
  </r>
  <r>
    <m/>
    <s v="Pagamento"/>
    <n v="330423237"/>
    <s v="BRL"/>
    <n v="1315.07"/>
    <n v="1315.07"/>
    <m/>
    <m/>
    <m/>
    <d v="2025-02-05T00:00:00"/>
    <d v="2025-02-05T00:00:00"/>
    <m/>
    <s v="Pagamento"/>
    <n v="330423237"/>
    <x v="1"/>
    <m/>
    <s v="HASTINGS ENGENHARIA LTDA"/>
    <n v="170522"/>
    <m/>
    <m/>
  </r>
  <r>
    <m/>
    <s v="Pagamento"/>
    <n v="330423238"/>
    <s v="BRL"/>
    <n v="11842.74"/>
    <n v="11842.74"/>
    <m/>
    <m/>
    <m/>
    <d v="2025-02-05T00:00:00"/>
    <d v="2025-02-05T00:00:00"/>
    <m/>
    <s v="Pagamento"/>
    <n v="330423238"/>
    <x v="1"/>
    <m/>
    <s v="HENDRICK IVAN COSTA CORREA - ME"/>
    <n v="170522"/>
    <m/>
    <m/>
  </r>
  <r>
    <m/>
    <s v="Pagamento"/>
    <n v="330423239"/>
    <s v="BRL"/>
    <n v="906.56"/>
    <n v="906.56"/>
    <m/>
    <m/>
    <m/>
    <d v="2025-02-05T00:00:00"/>
    <d v="2025-02-05T00:00:00"/>
    <m/>
    <s v="Pagamento"/>
    <n v="330423239"/>
    <x v="1"/>
    <m/>
    <s v="HITACHI VANTARA ADMINISTRACAO DE DADOS DO BRASIL LTDA"/>
    <n v="170522"/>
    <m/>
    <m/>
  </r>
  <r>
    <m/>
    <s v="Pagamento"/>
    <n v="330423240"/>
    <s v="BRL"/>
    <n v="12451.53"/>
    <n v="12451.53"/>
    <m/>
    <m/>
    <m/>
    <d v="2025-02-05T00:00:00"/>
    <d v="2025-02-05T00:00:00"/>
    <m/>
    <s v="Pagamento"/>
    <n v="330423240"/>
    <x v="1"/>
    <m/>
    <s v="IAGO RODRIGUES DE OLIVEIRA - ME"/>
    <n v="170522"/>
    <m/>
    <m/>
  </r>
  <r>
    <m/>
    <s v="Pagamento"/>
    <n v="330423241"/>
    <s v="BRL"/>
    <n v="10542"/>
    <n v="10542"/>
    <m/>
    <m/>
    <m/>
    <d v="2025-02-05T00:00:00"/>
    <d v="2025-02-05T00:00:00"/>
    <m/>
    <s v="Pagamento"/>
    <n v="330423241"/>
    <x v="1"/>
    <m/>
    <s v="J NOGUEIRA FILHO ME"/>
    <n v="170522"/>
    <m/>
    <m/>
  </r>
  <r>
    <m/>
    <s v="Pagamento"/>
    <n v="330423242"/>
    <s v="BRL"/>
    <n v="12631.46"/>
    <n v="12631.46"/>
    <m/>
    <m/>
    <m/>
    <d v="2025-02-05T00:00:00"/>
    <d v="2025-02-05T00:00:00"/>
    <m/>
    <s v="Pagamento"/>
    <n v="330423242"/>
    <x v="1"/>
    <m/>
    <s v="JCARVALHO CONSULTORIA LTDA - ME"/>
    <n v="170522"/>
    <m/>
    <m/>
  </r>
  <r>
    <m/>
    <s v="Pagamento"/>
    <n v="330423243"/>
    <s v="BRL"/>
    <n v="11521.38"/>
    <n v="11521.38"/>
    <m/>
    <m/>
    <m/>
    <d v="2025-02-05T00:00:00"/>
    <d v="2025-02-05T00:00:00"/>
    <m/>
    <s v="Pagamento"/>
    <n v="330423243"/>
    <x v="1"/>
    <m/>
    <s v="JORGE MARCELO RODRIGUES DOS SANTOS 94097755749 - ME"/>
    <n v="170522"/>
    <m/>
    <m/>
  </r>
  <r>
    <m/>
    <s v="Pagamento"/>
    <n v="330423244"/>
    <s v="BRL"/>
    <n v="14577.42"/>
    <n v="14577.42"/>
    <m/>
    <m/>
    <m/>
    <d v="2025-02-05T00:00:00"/>
    <d v="2025-02-05T00:00:00"/>
    <m/>
    <s v="Pagamento"/>
    <n v="330423244"/>
    <x v="1"/>
    <m/>
    <s v="JOSEMAR SILVA CORDEIRO 39385949500 - ME"/>
    <n v="170522"/>
    <m/>
    <m/>
  </r>
  <r>
    <m/>
    <s v="Pagamento"/>
    <n v="330423245"/>
    <s v="BRL"/>
    <n v="14865.24"/>
    <n v="14865.24"/>
    <m/>
    <m/>
    <m/>
    <d v="2025-02-05T00:00:00"/>
    <d v="2025-02-05T00:00:00"/>
    <m/>
    <s v="Pagamento"/>
    <n v="330423245"/>
    <x v="1"/>
    <m/>
    <s v="JOSIAS DE BARROS PINHEIRO 60699086787 - ME"/>
    <n v="170522"/>
    <m/>
    <m/>
  </r>
  <r>
    <m/>
    <s v="Pagamento"/>
    <n v="330423246"/>
    <s v="BRL"/>
    <n v="12457.38"/>
    <n v="12457.38"/>
    <m/>
    <m/>
    <m/>
    <d v="2025-02-05T00:00:00"/>
    <d v="2025-02-05T00:00:00"/>
    <m/>
    <s v="Pagamento"/>
    <n v="330423246"/>
    <x v="1"/>
    <m/>
    <s v="L A CONSORCIO E SEGUROS LTDA - ME"/>
    <n v="170522"/>
    <m/>
    <m/>
  </r>
  <r>
    <m/>
    <s v="Pagamento"/>
    <n v="330423247"/>
    <s v="BRL"/>
    <n v="19289.63"/>
    <n v="19289.63"/>
    <m/>
    <m/>
    <m/>
    <d v="2025-02-05T00:00:00"/>
    <d v="2025-02-05T00:00:00"/>
    <m/>
    <s v="Pagamento"/>
    <n v="330423247"/>
    <x v="1"/>
    <m/>
    <s v="LEE HECHT HARRISON CONSULTORIA EM RECURSOS HUMANOS LTDA"/>
    <n v="170522"/>
    <m/>
    <m/>
  </r>
  <r>
    <m/>
    <s v="Pagamento"/>
    <n v="330423248"/>
    <s v="BRL"/>
    <n v="732084.2"/>
    <n v="732084.2"/>
    <m/>
    <m/>
    <m/>
    <d v="2025-02-05T00:00:00"/>
    <d v="2025-02-05T00:00:00"/>
    <m/>
    <s v="Pagamento"/>
    <n v="330423248"/>
    <x v="1"/>
    <m/>
    <s v="LM TRANSPORTES INTERESTADUAIS SERVICOS E COMERCIO S.A"/>
    <n v="170522"/>
    <m/>
    <m/>
  </r>
  <r>
    <m/>
    <s v="Pagamento"/>
    <n v="330423249"/>
    <s v="BRL"/>
    <n v="13187.23"/>
    <n v="13187.23"/>
    <m/>
    <m/>
    <m/>
    <d v="2025-02-05T00:00:00"/>
    <d v="2025-02-05T00:00:00"/>
    <m/>
    <s v="Pagamento"/>
    <n v="330423249"/>
    <x v="1"/>
    <m/>
    <s v="LUIS GUSTAVO GIACONE 13078482812 - ME"/>
    <n v="170522"/>
    <m/>
    <m/>
  </r>
  <r>
    <m/>
    <s v="Pagamento"/>
    <n v="330423250"/>
    <s v="BRL"/>
    <n v="10920"/>
    <n v="10920"/>
    <m/>
    <m/>
    <m/>
    <d v="2025-02-05T00:00:00"/>
    <d v="2025-02-05T00:00:00"/>
    <m/>
    <s v="Pagamento"/>
    <n v="330423250"/>
    <x v="1"/>
    <m/>
    <s v="M SANCHEZ SOLUCOES EMPRESARIAIS LTDA ME"/>
    <n v="170522"/>
    <m/>
    <m/>
  </r>
  <r>
    <m/>
    <s v="Pagamento"/>
    <n v="330423251"/>
    <s v="BRL"/>
    <n v="37289.980000000003"/>
    <n v="37289.980000000003"/>
    <m/>
    <m/>
    <m/>
    <d v="2025-02-05T00:00:00"/>
    <d v="2025-02-05T00:00:00"/>
    <m/>
    <s v="Pagamento"/>
    <n v="330423251"/>
    <x v="1"/>
    <m/>
    <s v="MA2 TRANSPORTES LTDA - ME"/>
    <n v="170522"/>
    <m/>
    <m/>
  </r>
  <r>
    <m/>
    <s v="Pagamento"/>
    <n v="330423252"/>
    <s v="BRL"/>
    <n v="12878.58"/>
    <n v="12878.58"/>
    <m/>
    <m/>
    <m/>
    <d v="2025-02-05T00:00:00"/>
    <d v="2025-02-05T00:00:00"/>
    <m/>
    <s v="Pagamento"/>
    <n v="330423252"/>
    <x v="1"/>
    <m/>
    <s v="MARINA ROMAO DE SOUSA 39744682850 - ME"/>
    <n v="170522"/>
    <m/>
    <m/>
  </r>
  <r>
    <m/>
    <s v="Pagamento"/>
    <n v="330423253"/>
    <s v="BRL"/>
    <n v="14887.47"/>
    <n v="14887.47"/>
    <m/>
    <m/>
    <m/>
    <d v="2025-02-05T00:00:00"/>
    <d v="2025-02-05T00:00:00"/>
    <m/>
    <s v="Pagamento"/>
    <n v="330423253"/>
    <x v="1"/>
    <m/>
    <s v="MIRELLA CAVALCANTI QUARESMA BRASIL 05106590477 - ME"/>
    <n v="170522"/>
    <m/>
    <m/>
  </r>
  <r>
    <m/>
    <s v="Pagamento"/>
    <n v="330423254"/>
    <s v="BRL"/>
    <n v="14606.67"/>
    <n v="14606.67"/>
    <m/>
    <m/>
    <m/>
    <d v="2025-02-05T00:00:00"/>
    <d v="2025-02-05T00:00:00"/>
    <m/>
    <s v="Pagamento"/>
    <n v="330423254"/>
    <x v="1"/>
    <m/>
    <s v="MJ3 TECNOLOGIA DA INFORMACAO LTDA"/>
    <n v="170522"/>
    <m/>
    <m/>
  </r>
  <r>
    <m/>
    <s v="Pagamento"/>
    <n v="330423255"/>
    <s v="BRL"/>
    <n v="11516.7"/>
    <n v="11516.7"/>
    <m/>
    <m/>
    <m/>
    <d v="2025-02-05T00:00:00"/>
    <d v="2025-02-05T00:00:00"/>
    <m/>
    <s v="Pagamento"/>
    <n v="330423255"/>
    <x v="1"/>
    <m/>
    <s v="MRJ SERVICOS LTDA - ME"/>
    <n v="170522"/>
    <m/>
    <m/>
  </r>
  <r>
    <m/>
    <s v="Pagamento"/>
    <n v="330423256"/>
    <s v="BRL"/>
    <n v="2125.9499999999998"/>
    <n v="2125.9499999999998"/>
    <m/>
    <m/>
    <m/>
    <d v="2025-02-05T00:00:00"/>
    <d v="2025-02-05T00:00:00"/>
    <m/>
    <s v="Pagamento"/>
    <n v="330423256"/>
    <x v="1"/>
    <m/>
    <s v="OCIREMA SCHIRMER NEVES - ME"/>
    <n v="170522"/>
    <m/>
    <m/>
  </r>
  <r>
    <m/>
    <s v="Pagamento"/>
    <n v="330423257"/>
    <s v="BRL"/>
    <n v="12872.73"/>
    <n v="12872.73"/>
    <m/>
    <m/>
    <m/>
    <d v="2025-02-05T00:00:00"/>
    <d v="2025-02-05T00:00:00"/>
    <m/>
    <s v="Pagamento"/>
    <n v="330423257"/>
    <x v="1"/>
    <m/>
    <s v="OLIVEIRAS CONSULTORIA E ASSESSORIA LTDA - ME"/>
    <n v="170522"/>
    <m/>
    <m/>
  </r>
  <r>
    <m/>
    <s v="Pagamento"/>
    <n v="330423258"/>
    <s v="BRL"/>
    <n v="12115.27"/>
    <n v="12115.27"/>
    <m/>
    <m/>
    <m/>
    <d v="2025-02-05T00:00:00"/>
    <d v="2025-02-05T00:00:00"/>
    <m/>
    <s v="Pagamento"/>
    <n v="330423258"/>
    <x v="1"/>
    <m/>
    <s v="PGMN CONSULTORIA LTDA - ME"/>
    <n v="170522"/>
    <m/>
    <m/>
  </r>
  <r>
    <m/>
    <s v="Pagamento"/>
    <n v="330423259"/>
    <s v="BRL"/>
    <n v="235.78"/>
    <n v="235.78"/>
    <m/>
    <m/>
    <m/>
    <d v="2025-02-05T00:00:00"/>
    <d v="2025-02-05T00:00:00"/>
    <m/>
    <s v="Pagamento"/>
    <n v="330423259"/>
    <x v="1"/>
    <m/>
    <s v="REDE NACIONAL DE APRENDIZAGEM, PROMOCAO SOCIAL E INTEGRACAO"/>
    <n v="170522"/>
    <m/>
    <m/>
  </r>
  <r>
    <m/>
    <s v="Pagamento"/>
    <n v="330423260"/>
    <s v="BRL"/>
    <n v="760.53"/>
    <n v="760.53"/>
    <m/>
    <m/>
    <m/>
    <d v="2025-02-05T00:00:00"/>
    <d v="2025-02-05T00:00:00"/>
    <m/>
    <s v="Pagamento"/>
    <n v="330423260"/>
    <x v="1"/>
    <m/>
    <s v="RN ASSESSORIA AGRICOLA LTDA - ME"/>
    <n v="170522"/>
    <m/>
    <m/>
  </r>
  <r>
    <m/>
    <s v="Pagamento"/>
    <n v="330423261"/>
    <s v="BRL"/>
    <n v="13554.84"/>
    <n v="13554.84"/>
    <m/>
    <m/>
    <m/>
    <d v="2025-02-05T00:00:00"/>
    <d v="2025-02-05T00:00:00"/>
    <m/>
    <s v="Pagamento"/>
    <n v="330423261"/>
    <x v="1"/>
    <m/>
    <s v="RODRIGO MARTINS DOS SANTOS ALVES - UTILIDADES DOMESTICAS ME"/>
    <n v="170522"/>
    <m/>
    <m/>
  </r>
  <r>
    <m/>
    <s v="Pagamento"/>
    <n v="330423262"/>
    <s v="BRL"/>
    <n v="22299.9"/>
    <n v="22299.9"/>
    <m/>
    <m/>
    <m/>
    <d v="2025-02-05T00:00:00"/>
    <d v="2025-02-05T00:00:00"/>
    <m/>
    <s v="Pagamento"/>
    <n v="330423262"/>
    <x v="1"/>
    <m/>
    <s v="ROMARIO ALVES DA SILVA - ME"/>
    <n v="170522"/>
    <m/>
    <m/>
  </r>
  <r>
    <m/>
    <s v="Pagamento"/>
    <n v="330423263"/>
    <s v="BRL"/>
    <n v="15396.42"/>
    <n v="15396.42"/>
    <m/>
    <m/>
    <m/>
    <d v="2025-02-05T00:00:00"/>
    <d v="2025-02-05T00:00:00"/>
    <m/>
    <s v="Pagamento"/>
    <n v="330423263"/>
    <x v="1"/>
    <m/>
    <s v="ROSANGELA ANTUNES DE QUEIROGA RIBEIRO 03181497452 - ME"/>
    <n v="170522"/>
    <m/>
    <m/>
  </r>
  <r>
    <m/>
    <s v="Pagamento"/>
    <n v="330423264"/>
    <s v="BRL"/>
    <n v="12775.62"/>
    <n v="12775.62"/>
    <m/>
    <m/>
    <m/>
    <d v="2025-02-05T00:00:00"/>
    <d v="2025-02-05T00:00:00"/>
    <m/>
    <s v="Pagamento"/>
    <n v="330423264"/>
    <x v="1"/>
    <m/>
    <s v="SILVIO CESAR DA SILVA 28974670100 - ME"/>
    <n v="170522"/>
    <m/>
    <m/>
  </r>
  <r>
    <m/>
    <s v="Pagamento"/>
    <n v="330423265"/>
    <s v="BRL"/>
    <n v="151.13"/>
    <n v="151.13"/>
    <m/>
    <m/>
    <m/>
    <d v="2025-02-05T00:00:00"/>
    <d v="2025-02-05T00:00:00"/>
    <m/>
    <s v="Pagamento"/>
    <n v="330423265"/>
    <x v="1"/>
    <m/>
    <s v="SIND DOS TRAB EM EMP E ORGAOS PUBLICOS E PRIVADOS DE PROC DE DADOS SERV DE INFORMAT SIMIL, E PROF DE PROC DADOS PB"/>
    <n v="170522"/>
    <m/>
    <m/>
  </r>
  <r>
    <m/>
    <s v="Pagamento"/>
    <n v="330423266"/>
    <s v="BRL"/>
    <n v="359.09"/>
    <n v="359.09"/>
    <m/>
    <m/>
    <m/>
    <d v="2025-02-05T00:00:00"/>
    <d v="2025-02-05T00:00:00"/>
    <m/>
    <s v="Pagamento"/>
    <n v="330423266"/>
    <x v="1"/>
    <m/>
    <s v="SIND DOS TRAB EM PROCESSAMENTO DADOS DO ESTADO DO PI"/>
    <n v="170522"/>
    <m/>
    <m/>
  </r>
  <r>
    <m/>
    <s v="Pagamento"/>
    <n v="330423267"/>
    <s v="BRL"/>
    <n v="175.98"/>
    <n v="175.98"/>
    <m/>
    <m/>
    <m/>
    <d v="2025-02-05T00:00:00"/>
    <d v="2025-02-05T00:00:00"/>
    <m/>
    <s v="Pagamento"/>
    <n v="330423267"/>
    <x v="1"/>
    <m/>
    <s v="SIND TR P D EMP E O P PRO DA S INF EST DO AMAZONAS SINDPDP AM"/>
    <n v="170522"/>
    <m/>
    <m/>
  </r>
  <r>
    <m/>
    <s v="Pagamento"/>
    <n v="330423268"/>
    <s v="BRL"/>
    <n v="1067.33"/>
    <n v="1067.33"/>
    <m/>
    <m/>
    <m/>
    <d v="2025-02-05T00:00:00"/>
    <d v="2025-02-05T00:00:00"/>
    <m/>
    <s v="Pagamento"/>
    <n v="330423268"/>
    <x v="1"/>
    <m/>
    <s v="SIND TRAB EMPRESAS E ORGAOS PUBL PROC DAD S I S DO DF"/>
    <n v="170522"/>
    <m/>
    <m/>
  </r>
  <r>
    <m/>
    <s v="Pagamento"/>
    <n v="330423269"/>
    <s v="BRL"/>
    <n v="233.87"/>
    <n v="233.87"/>
    <m/>
    <m/>
    <m/>
    <d v="2025-02-05T00:00:00"/>
    <d v="2025-02-05T00:00:00"/>
    <m/>
    <s v="Pagamento"/>
    <n v="330423269"/>
    <x v="1"/>
    <m/>
    <s v="SIND. TRAB.EMPR.ORGAOS PUBPROC.DADOS SERV.INF.SIMIL. RN"/>
    <n v="170522"/>
    <m/>
    <m/>
  </r>
  <r>
    <m/>
    <s v="Pagamento"/>
    <n v="330423270"/>
    <s v="BRL"/>
    <n v="777.57"/>
    <n v="777.57"/>
    <m/>
    <m/>
    <m/>
    <d v="2025-02-05T00:00:00"/>
    <d v="2025-02-05T00:00:00"/>
    <m/>
    <s v="Pagamento"/>
    <n v="330423270"/>
    <x v="1"/>
    <m/>
    <s v="SINDADOS - SIND DOS TRAB E TRABALHADORAS EM EMPR E ORG PUBL PROC DADOS SEV INFORM TECNO DA INFO E COMUN EST DA BAHIA"/>
    <n v="170522"/>
    <m/>
    <m/>
  </r>
  <r>
    <m/>
    <s v="Pagamento"/>
    <n v="330423271"/>
    <s v="BRL"/>
    <n v="150.82"/>
    <n v="150.82"/>
    <m/>
    <m/>
    <m/>
    <d v="2025-02-05T00:00:00"/>
    <d v="2025-02-05T00:00:00"/>
    <m/>
    <s v="Pagamento"/>
    <n v="330423271"/>
    <x v="1"/>
    <m/>
    <s v="SINDICATO DOS E E E DE P DE D S DE INFORMATICA S EST MG"/>
    <n v="170522"/>
    <m/>
    <m/>
  </r>
  <r>
    <m/>
    <s v="Pagamento"/>
    <n v="330423272"/>
    <s v="BRL"/>
    <n v="312.89999999999998"/>
    <n v="312.89999999999998"/>
    <m/>
    <m/>
    <m/>
    <d v="2025-02-05T00:00:00"/>
    <d v="2025-02-05T00:00:00"/>
    <m/>
    <s v="Pagamento"/>
    <n v="330423272"/>
    <x v="1"/>
    <m/>
    <s v="SINDICATO DOS EMPREGADOS PROC DE DADOS NO EST MARANHAO"/>
    <n v="170522"/>
    <m/>
    <m/>
  </r>
  <r>
    <m/>
    <s v="Pagamento"/>
    <n v="330423273"/>
    <s v="BRL"/>
    <n v="68.069999999999993"/>
    <n v="68.069999999999993"/>
    <m/>
    <m/>
    <m/>
    <d v="2025-02-05T00:00:00"/>
    <d v="2025-02-05T00:00:00"/>
    <m/>
    <s v="Pagamento"/>
    <n v="330423273"/>
    <x v="1"/>
    <m/>
    <s v="SINDICATO DOS METALURGICOS DO RIO DE JANEIRO"/>
    <n v="170522"/>
    <m/>
    <m/>
  </r>
  <r>
    <m/>
    <s v="Pagamento"/>
    <n v="330423274"/>
    <s v="BRL"/>
    <n v="883.39"/>
    <n v="883.39"/>
    <m/>
    <m/>
    <m/>
    <d v="2025-02-05T00:00:00"/>
    <d v="2025-02-05T00:00:00"/>
    <m/>
    <s v="Pagamento"/>
    <n v="330423274"/>
    <x v="1"/>
    <m/>
    <s v="SINDICATO DOS PROFISSIONAIS DE PROCESSAMENTO DE DADOS E TECNOLOGIA DA INFORMACAO DE MATO GROSSO DO SUL"/>
    <n v="170522"/>
    <m/>
    <m/>
  </r>
  <r>
    <m/>
    <s v="Pagamento"/>
    <n v="330423275"/>
    <s v="BRL"/>
    <n v="4020.65"/>
    <n v="4020.65"/>
    <m/>
    <m/>
    <m/>
    <d v="2025-02-05T00:00:00"/>
    <d v="2025-02-05T00:00:00"/>
    <m/>
    <s v="Pagamento"/>
    <n v="330423275"/>
    <x v="1"/>
    <m/>
    <s v="SINDICATO DOS TRAB EM EMPRESAS E SERV PUBLICOS E PRIVADOS, DE INF E INTERNET, E SIMILARES, DO EST RIO DE JANEIRO"/>
    <n v="170522"/>
    <m/>
    <m/>
  </r>
  <r>
    <m/>
    <s v="Pagamento"/>
    <n v="330423276"/>
    <s v="BRL"/>
    <n v="843.63"/>
    <n v="843.63"/>
    <m/>
    <m/>
    <m/>
    <d v="2025-02-05T00:00:00"/>
    <d v="2025-02-05T00:00:00"/>
    <m/>
    <s v="Pagamento"/>
    <n v="330423276"/>
    <x v="1"/>
    <m/>
    <s v="SINDICATO DOS TRAB. EM EMP. E ORGAOS PUB. E PRIV. DE PROC. DE DADOS SERV. INF. SIML.E PROF. DE DADOS DE MATO GROSSO"/>
    <n v="170522"/>
    <m/>
    <m/>
  </r>
  <r>
    <m/>
    <s v="Pagamento"/>
    <n v="330423277"/>
    <s v="BRL"/>
    <n v="264.36"/>
    <n v="264.36"/>
    <m/>
    <m/>
    <m/>
    <d v="2025-02-05T00:00:00"/>
    <d v="2025-02-05T00:00:00"/>
    <m/>
    <s v="Pagamento"/>
    <n v="330423277"/>
    <x v="1"/>
    <m/>
    <s v="SINDICATO DOS TRABALHADORES DE EMPR. E O RG. PUB. E PRIV. DE PROC. DE DADOS SERV. DE INF.S E PROFIS. DE PROC. DADOS DO EST. GO"/>
    <n v="170522"/>
    <m/>
    <m/>
  </r>
  <r>
    <m/>
    <s v="Pagamento"/>
    <n v="330423278"/>
    <s v="BRL"/>
    <n v="666.91"/>
    <n v="666.91"/>
    <m/>
    <m/>
    <m/>
    <d v="2025-02-05T00:00:00"/>
    <d v="2025-02-05T00:00:00"/>
    <m/>
    <s v="Pagamento"/>
    <n v="330423278"/>
    <x v="1"/>
    <m/>
    <s v="SINDICATO DOS TRABALHADORES E TRABALHADORAS EM TECNOLOGIA DA INFORMACAO NO ESTADO DO PARA"/>
    <n v="170522"/>
    <m/>
    <m/>
  </r>
  <r>
    <m/>
    <s v="Pagamento"/>
    <n v="330423279"/>
    <s v="BRL"/>
    <n v="183.21"/>
    <n v="183.21"/>
    <m/>
    <m/>
    <m/>
    <d v="2025-02-05T00:00:00"/>
    <d v="2025-02-05T00:00:00"/>
    <m/>
    <s v="Pagamento"/>
    <n v="330423279"/>
    <x v="1"/>
    <m/>
    <s v="SINDICATO DOS TRABALHADORES EM EMPRESAS E ORGAOS PUBLICOS E PRIVADOS DE PROCESSAMENTO DE DADOS SERVICOS DE INFORMATICA E SIMILARES E PROFISSIONA"/>
    <n v="170522"/>
    <m/>
    <m/>
  </r>
  <r>
    <m/>
    <s v="Pagamento"/>
    <n v="330423280"/>
    <s v="BRL"/>
    <n v="643.29999999999995"/>
    <n v="643.29999999999995"/>
    <m/>
    <m/>
    <m/>
    <d v="2025-02-05T00:00:00"/>
    <d v="2025-02-05T00:00:00"/>
    <m/>
    <s v="Pagamento"/>
    <n v="330423280"/>
    <x v="1"/>
    <m/>
    <s v="SINDICATO DOS TRABALHADORES EM PRECESSAMENTO DE DADOS, INFORMATICA E TECNOLOGIA DA INFORMACAO DO ESTADO DE PERNAMBUCO"/>
    <n v="170522"/>
    <m/>
    <m/>
  </r>
  <r>
    <m/>
    <s v="Pagamento"/>
    <n v="330423281"/>
    <s v="BRL"/>
    <n v="1178.54"/>
    <n v="1178.54"/>
    <m/>
    <m/>
    <m/>
    <d v="2025-02-05T00:00:00"/>
    <d v="2025-02-05T00:00:00"/>
    <m/>
    <s v="Pagamento"/>
    <n v="330423281"/>
    <x v="1"/>
    <m/>
    <s v="SINDICATO DOS TRABALHADORES EM PROC DADOS E INF DO CEARA."/>
    <n v="170522"/>
    <m/>
    <m/>
  </r>
  <r>
    <m/>
    <s v="Pagamento"/>
    <n v="330423282"/>
    <s v="BRL"/>
    <n v="109.1"/>
    <n v="109.1"/>
    <m/>
    <m/>
    <m/>
    <d v="2025-02-05T00:00:00"/>
    <d v="2025-02-05T00:00:00"/>
    <m/>
    <s v="Pagamento"/>
    <n v="330423282"/>
    <x v="1"/>
    <m/>
    <s v="SINDICATO DOS TRABALHADORES EM TEC. DA INFORMACAO E PROC. DADOS DO ESTADO DO ESP. SANTO - SINDPD/ES"/>
    <n v="170522"/>
    <m/>
    <m/>
  </r>
  <r>
    <m/>
    <s v="Pagamento"/>
    <n v="330423283"/>
    <s v="BRL"/>
    <n v="963.56"/>
    <n v="963.56"/>
    <m/>
    <m/>
    <m/>
    <d v="2025-02-05T00:00:00"/>
    <d v="2025-02-05T00:00:00"/>
    <m/>
    <s v="Pagamento"/>
    <n v="330423283"/>
    <x v="1"/>
    <m/>
    <s v="SINDICATO EMPREGADOS EMP PROC DE DADOS ESTADO PARANA"/>
    <n v="170522"/>
    <m/>
    <m/>
  </r>
  <r>
    <m/>
    <s v="Pagamento"/>
    <n v="330423284"/>
    <s v="BRL"/>
    <n v="2110.9"/>
    <n v="2110.9"/>
    <m/>
    <m/>
    <m/>
    <d v="2025-02-05T00:00:00"/>
    <d v="2025-02-05T00:00:00"/>
    <m/>
    <s v="Pagamento"/>
    <n v="330423284"/>
    <x v="1"/>
    <m/>
    <s v="SUPER ESTAGIOS LTDA - EPP"/>
    <n v="170522"/>
    <m/>
    <m/>
  </r>
  <r>
    <m/>
    <s v="Pagamento"/>
    <n v="330423285"/>
    <s v="BRL"/>
    <n v="108.9"/>
    <n v="108.9"/>
    <m/>
    <m/>
    <m/>
    <d v="2025-02-05T00:00:00"/>
    <d v="2025-02-05T00:00:00"/>
    <m/>
    <s v="Pagamento"/>
    <n v="330423285"/>
    <x v="1"/>
    <m/>
    <s v="TOTAL PASS PARTICIPACOES LTDA"/>
    <n v="170522"/>
    <m/>
    <m/>
  </r>
  <r>
    <m/>
    <s v="Pagamento"/>
    <n v="330423286"/>
    <s v="BRL"/>
    <n v="6579.3"/>
    <n v="6579.3"/>
    <m/>
    <m/>
    <m/>
    <d v="2025-02-05T00:00:00"/>
    <d v="2025-02-05T00:00:00"/>
    <m/>
    <s v="Pagamento"/>
    <n v="330423286"/>
    <x v="1"/>
    <m/>
    <s v="UNITECH RIO COMERCIO E SERVICOS LTDA"/>
    <n v="170522"/>
    <m/>
    <m/>
  </r>
  <r>
    <m/>
    <s v="Pagamento"/>
    <n v="330423287"/>
    <s v="BRL"/>
    <n v="13746.3"/>
    <n v="13746.3"/>
    <m/>
    <m/>
    <m/>
    <d v="2025-02-05T00:00:00"/>
    <d v="2025-02-05T00:00:00"/>
    <m/>
    <s v="Pagamento"/>
    <n v="330423287"/>
    <x v="1"/>
    <m/>
    <s v="V. LOPES DA SILVA LTDA - ME"/>
    <n v="170522"/>
    <m/>
    <m/>
  </r>
  <r>
    <m/>
    <s v="Pagamento"/>
    <n v="330423288"/>
    <s v="BRL"/>
    <n v="35122.83"/>
    <n v="35122.83"/>
    <m/>
    <m/>
    <m/>
    <d v="2025-02-05T00:00:00"/>
    <d v="2025-02-05T00:00:00"/>
    <m/>
    <s v="Pagamento"/>
    <n v="330423288"/>
    <x v="1"/>
    <m/>
    <s v="VAS EXPRESS CARGO TRANSPORTE LTDA EPP"/>
    <n v="170522"/>
    <m/>
    <m/>
  </r>
  <r>
    <m/>
    <s v="Pagamento"/>
    <n v="330423289"/>
    <s v="BRL"/>
    <n v="17707.5"/>
    <n v="17707.5"/>
    <m/>
    <m/>
    <m/>
    <d v="2025-02-05T00:00:00"/>
    <d v="2025-02-05T00:00:00"/>
    <m/>
    <s v="Pagamento"/>
    <n v="330423289"/>
    <x v="1"/>
    <m/>
    <s v="VERITAS ASSESSORIA CONTABIL SS LTDA ME"/>
    <n v="170522"/>
    <m/>
    <m/>
  </r>
  <r>
    <m/>
    <s v="Pagamento"/>
    <n v="330423290"/>
    <s v="BRL"/>
    <n v="12182.04"/>
    <n v="12182.04"/>
    <m/>
    <m/>
    <m/>
    <d v="2025-02-05T00:00:00"/>
    <d v="2025-02-05T00:00:00"/>
    <m/>
    <s v="Pagamento"/>
    <n v="330423290"/>
    <x v="1"/>
    <m/>
    <s v="VT ESPORTES E APOIO ADMINISTRATIVO LTDA ME"/>
    <n v="170522"/>
    <m/>
    <m/>
  </r>
  <r>
    <m/>
    <s v="Pagamento"/>
    <n v="330423291"/>
    <s v="BRL"/>
    <n v="13949.13"/>
    <n v="13949.13"/>
    <m/>
    <m/>
    <m/>
    <d v="2025-02-05T00:00:00"/>
    <d v="2025-02-05T00:00:00"/>
    <m/>
    <s v="Pagamento"/>
    <n v="330423291"/>
    <x v="1"/>
    <m/>
    <s v="VU REPRESENTACOES LTDA  ME"/>
    <n v="170522"/>
    <m/>
    <m/>
  </r>
  <r>
    <m/>
    <s v="Pagamento"/>
    <n v="330423292"/>
    <s v="BRL"/>
    <n v="5429.17"/>
    <n v="5429.17"/>
    <m/>
    <m/>
    <m/>
    <d v="2025-02-05T00:00:00"/>
    <d v="2025-02-05T00:00:00"/>
    <m/>
    <s v="Pagamento"/>
    <n v="330423292"/>
    <x v="1"/>
    <m/>
    <s v="WZW ELETRONICA E COMERCIO DE ARTIGOS DE INFORMATICA LTDA ME"/>
    <n v="170522"/>
    <m/>
    <m/>
  </r>
  <r>
    <m/>
    <s v="Pagamento"/>
    <n v="330423293"/>
    <s v="BRL"/>
    <n v="335.91"/>
    <n v="335.91"/>
    <m/>
    <m/>
    <m/>
    <d v="2025-02-05T00:00:00"/>
    <d v="2025-02-05T00:00:00"/>
    <m/>
    <s v="Pagamento"/>
    <n v="330423293"/>
    <x v="2"/>
    <m/>
    <s v="ADAILTON DE ARAUJO GOMES,"/>
    <n v="170525"/>
    <m/>
    <m/>
  </r>
  <r>
    <m/>
    <s v="Pagamento"/>
    <n v="330423294"/>
    <s v="BRL"/>
    <n v="145.5"/>
    <n v="145.5"/>
    <m/>
    <m/>
    <m/>
    <d v="2025-02-05T00:00:00"/>
    <d v="2025-02-05T00:00:00"/>
    <m/>
    <s v="Pagamento"/>
    <n v="330423294"/>
    <x v="2"/>
    <m/>
    <s v="ADEILSON DE OLIVEIRA SILVA,"/>
    <n v="170525"/>
    <m/>
    <m/>
  </r>
  <r>
    <m/>
    <s v="Pagamento"/>
    <n v="330423295"/>
    <s v="BRL"/>
    <n v="455.24"/>
    <n v="455.24"/>
    <m/>
    <m/>
    <m/>
    <d v="2025-02-05T00:00:00"/>
    <d v="2025-02-05T00:00:00"/>
    <m/>
    <s v="Pagamento"/>
    <n v="330423295"/>
    <x v="2"/>
    <m/>
    <s v="AGNIS GABRIELLE KUHL RODRIGUES"/>
    <n v="170525"/>
    <m/>
    <m/>
  </r>
  <r>
    <m/>
    <s v="Pagamento"/>
    <n v="330423296"/>
    <s v="BRL"/>
    <n v="455.24"/>
    <n v="455.24"/>
    <m/>
    <m/>
    <m/>
    <d v="2025-02-05T00:00:00"/>
    <d v="2025-02-05T00:00:00"/>
    <m/>
    <s v="Pagamento"/>
    <n v="330423296"/>
    <x v="2"/>
    <m/>
    <s v="ALAN LOMEU LAIA,"/>
    <n v="170525"/>
    <m/>
    <m/>
  </r>
  <r>
    <m/>
    <s v="Pagamento"/>
    <n v="330423297"/>
    <s v="BRL"/>
    <n v="141.35"/>
    <n v="141.35"/>
    <m/>
    <m/>
    <m/>
    <d v="2025-02-05T00:00:00"/>
    <d v="2025-02-05T00:00:00"/>
    <m/>
    <s v="Pagamento"/>
    <n v="330423297"/>
    <x v="2"/>
    <m/>
    <s v="ALESSANDRA DE PAULA MARTINS DA SILVA,"/>
    <n v="170525"/>
    <m/>
    <m/>
  </r>
  <r>
    <m/>
    <s v="Pagamento"/>
    <n v="330423298"/>
    <s v="BRL"/>
    <n v="6"/>
    <n v="6"/>
    <m/>
    <m/>
    <m/>
    <d v="2025-02-05T00:00:00"/>
    <d v="2025-02-05T00:00:00"/>
    <m/>
    <s v="Pagamento"/>
    <n v="330423298"/>
    <x v="2"/>
    <m/>
    <s v="ALESSANDRA DIAS RODRIGUES,"/>
    <n v="170525"/>
    <m/>
    <m/>
  </r>
  <r>
    <m/>
    <s v="Pagamento"/>
    <n v="330423299"/>
    <s v="BRL"/>
    <n v="43.84"/>
    <n v="43.84"/>
    <m/>
    <m/>
    <m/>
    <d v="2025-02-05T00:00:00"/>
    <d v="2025-02-05T00:00:00"/>
    <m/>
    <s v="Pagamento"/>
    <n v="330423299"/>
    <x v="2"/>
    <m/>
    <s v="ALESSANDRO CARVALHO DO ESPIRITO SANTO,"/>
    <n v="170525"/>
    <m/>
    <m/>
  </r>
  <r>
    <m/>
    <s v="Pagamento"/>
    <n v="330423300"/>
    <s v="BRL"/>
    <n v="1167.2"/>
    <n v="1167.2"/>
    <m/>
    <m/>
    <m/>
    <d v="2025-02-05T00:00:00"/>
    <d v="2025-02-05T00:00:00"/>
    <m/>
    <s v="Pagamento"/>
    <n v="330423300"/>
    <x v="2"/>
    <m/>
    <s v="ALESSANDRO DA SILVA LOPES,"/>
    <n v="170525"/>
    <m/>
    <m/>
  </r>
  <r>
    <m/>
    <s v="Pagamento"/>
    <n v="330423301"/>
    <s v="BRL"/>
    <n v="104.58"/>
    <n v="104.58"/>
    <m/>
    <m/>
    <m/>
    <d v="2025-02-05T00:00:00"/>
    <d v="2025-02-05T00:00:00"/>
    <m/>
    <s v="Pagamento"/>
    <n v="330423301"/>
    <x v="2"/>
    <m/>
    <s v="ALEXANDRA SAMPAIO DOS SANTOS DE LIMA,"/>
    <n v="170525"/>
    <m/>
    <m/>
  </r>
  <r>
    <m/>
    <s v="Pagamento"/>
    <n v="330423302"/>
    <s v="BRL"/>
    <n v="455.24"/>
    <n v="455.24"/>
    <m/>
    <m/>
    <m/>
    <d v="2025-02-05T00:00:00"/>
    <d v="2025-02-05T00:00:00"/>
    <m/>
    <s v="Pagamento"/>
    <n v="330423302"/>
    <x v="2"/>
    <m/>
    <s v="ALEXANDRE  MACHADO,"/>
    <n v="170525"/>
    <m/>
    <m/>
  </r>
  <r>
    <m/>
    <s v="Pagamento"/>
    <n v="330423303"/>
    <s v="BRL"/>
    <n v="77.31"/>
    <n v="77.31"/>
    <m/>
    <m/>
    <m/>
    <d v="2025-02-05T00:00:00"/>
    <d v="2025-02-05T00:00:00"/>
    <m/>
    <s v="Pagamento"/>
    <n v="330423303"/>
    <x v="2"/>
    <m/>
    <s v="ALEXANDRE MELO GOMES,"/>
    <n v="170525"/>
    <m/>
    <m/>
  </r>
  <r>
    <m/>
    <s v="Pagamento"/>
    <n v="330423304"/>
    <s v="BRL"/>
    <n v="440.29"/>
    <n v="440.29"/>
    <m/>
    <m/>
    <m/>
    <d v="2025-02-05T00:00:00"/>
    <d v="2025-02-05T00:00:00"/>
    <m/>
    <s v="Pagamento"/>
    <n v="330423304"/>
    <x v="2"/>
    <m/>
    <s v="ALINE BATISTA MENDES,"/>
    <n v="170525"/>
    <m/>
    <m/>
  </r>
  <r>
    <m/>
    <s v="Pagamento"/>
    <n v="330423305"/>
    <s v="BRL"/>
    <n v="32.5"/>
    <n v="32.5"/>
    <m/>
    <m/>
    <m/>
    <d v="2025-02-05T00:00:00"/>
    <d v="2025-02-05T00:00:00"/>
    <m/>
    <s v="Pagamento"/>
    <n v="330423305"/>
    <x v="2"/>
    <m/>
    <s v="ALMIR  BERTOL,"/>
    <n v="170525"/>
    <m/>
    <m/>
  </r>
  <r>
    <m/>
    <s v="Pagamento"/>
    <n v="330423306"/>
    <s v="BRL"/>
    <n v="464.5"/>
    <n v="464.5"/>
    <m/>
    <m/>
    <m/>
    <d v="2025-02-05T00:00:00"/>
    <d v="2025-02-05T00:00:00"/>
    <m/>
    <s v="Pagamento"/>
    <n v="330423306"/>
    <x v="2"/>
    <m/>
    <s v="ANA PAULA VIEIRA DE MELO,"/>
    <n v="170525"/>
    <m/>
    <m/>
  </r>
  <r>
    <m/>
    <s v="Pagamento"/>
    <n v="330423307"/>
    <s v="BRL"/>
    <n v="455.24"/>
    <n v="455.24"/>
    <m/>
    <m/>
    <m/>
    <d v="2025-02-05T00:00:00"/>
    <d v="2025-02-05T00:00:00"/>
    <m/>
    <s v="Pagamento"/>
    <n v="330423307"/>
    <x v="2"/>
    <m/>
    <s v="ANDERSON DE OLIVEIRA BARBOSA,"/>
    <n v="170525"/>
    <m/>
    <m/>
  </r>
  <r>
    <m/>
    <s v="Pagamento"/>
    <n v="330423308"/>
    <s v="BRL"/>
    <n v="119.34"/>
    <n v="119.34"/>
    <m/>
    <m/>
    <m/>
    <d v="2025-02-05T00:00:00"/>
    <d v="2025-02-05T00:00:00"/>
    <m/>
    <s v="Pagamento"/>
    <n v="330423308"/>
    <x v="2"/>
    <m/>
    <s v="ANDERSON FRANKLIN ROQUE DOS SANTOS,"/>
    <n v="170525"/>
    <m/>
    <m/>
  </r>
  <r>
    <m/>
    <s v="Pagamento"/>
    <n v="330423309"/>
    <s v="BRL"/>
    <n v="2898.5"/>
    <n v="2898.5"/>
    <m/>
    <m/>
    <m/>
    <d v="2025-02-05T00:00:00"/>
    <d v="2025-02-05T00:00:00"/>
    <m/>
    <s v="Pagamento"/>
    <n v="330423309"/>
    <x v="2"/>
    <m/>
    <s v="ANDRE FELIPE DA SILVA MELLO,"/>
    <n v="170525"/>
    <m/>
    <m/>
  </r>
  <r>
    <m/>
    <s v="Pagamento"/>
    <n v="330423310"/>
    <s v="BRL"/>
    <n v="453.6"/>
    <n v="453.6"/>
    <m/>
    <m/>
    <m/>
    <d v="2025-02-05T00:00:00"/>
    <d v="2025-02-05T00:00:00"/>
    <m/>
    <s v="Pagamento"/>
    <n v="330423310"/>
    <x v="2"/>
    <m/>
    <s v="ANDRE FRANCISCO FERREIRA,"/>
    <n v="170525"/>
    <m/>
    <m/>
  </r>
  <r>
    <m/>
    <s v="Pagamento"/>
    <n v="330423311"/>
    <s v="BRL"/>
    <n v="162.65"/>
    <n v="162.65"/>
    <m/>
    <m/>
    <m/>
    <d v="2025-02-05T00:00:00"/>
    <d v="2025-02-05T00:00:00"/>
    <m/>
    <s v="Pagamento"/>
    <n v="330423311"/>
    <x v="2"/>
    <m/>
    <s v="ANDRE LUIS VIEIRA LEMOS,"/>
    <n v="170525"/>
    <m/>
    <m/>
  </r>
  <r>
    <m/>
    <s v="Pagamento"/>
    <n v="330423312"/>
    <s v="BRL"/>
    <n v="455.24"/>
    <n v="455.24"/>
    <m/>
    <m/>
    <m/>
    <d v="2025-02-05T00:00:00"/>
    <d v="2025-02-05T00:00:00"/>
    <m/>
    <s v="Pagamento"/>
    <n v="330423312"/>
    <x v="2"/>
    <m/>
    <s v="ANDRE LUIZ COSTA,"/>
    <n v="170525"/>
    <m/>
    <m/>
  </r>
  <r>
    <m/>
    <s v="Pagamento"/>
    <n v="330423313"/>
    <s v="BRL"/>
    <n v="6"/>
    <n v="6"/>
    <m/>
    <m/>
    <m/>
    <d v="2025-02-05T00:00:00"/>
    <d v="2025-02-05T00:00:00"/>
    <m/>
    <s v="Pagamento"/>
    <n v="330423313"/>
    <x v="2"/>
    <m/>
    <s v="ANSELMO DE OLIVEIRA,"/>
    <n v="170525"/>
    <m/>
    <m/>
  </r>
  <r>
    <m/>
    <s v="Pagamento"/>
    <n v="330423314"/>
    <s v="BRL"/>
    <n v="1424.52"/>
    <n v="1424.52"/>
    <m/>
    <m/>
    <m/>
    <d v="2025-02-05T00:00:00"/>
    <d v="2025-02-05T00:00:00"/>
    <m/>
    <s v="Pagamento"/>
    <n v="330423314"/>
    <x v="2"/>
    <m/>
    <s v="ANTONIO DOS SANTOS CUNHA,"/>
    <n v="170525"/>
    <m/>
    <m/>
  </r>
  <r>
    <m/>
    <s v="Pagamento"/>
    <n v="330423315"/>
    <s v="BRL"/>
    <n v="82.26"/>
    <n v="82.26"/>
    <m/>
    <m/>
    <m/>
    <d v="2025-02-05T00:00:00"/>
    <d v="2025-02-05T00:00:00"/>
    <m/>
    <s v="Pagamento"/>
    <n v="330423315"/>
    <x v="2"/>
    <m/>
    <s v="ANTONIO MARCIO CARNEIRO ROCHA,"/>
    <n v="170525"/>
    <m/>
    <m/>
  </r>
  <r>
    <m/>
    <s v="Pagamento"/>
    <n v="330423316"/>
    <s v="BRL"/>
    <n v="469.04"/>
    <n v="469.04"/>
    <m/>
    <m/>
    <m/>
    <d v="2025-02-05T00:00:00"/>
    <d v="2025-02-05T00:00:00"/>
    <m/>
    <s v="Pagamento"/>
    <n v="330423316"/>
    <x v="2"/>
    <m/>
    <s v="ARGEZILDO VIEIRA DE OLIVEIRA,"/>
    <n v="170525"/>
    <m/>
    <m/>
  </r>
  <r>
    <m/>
    <s v="Pagamento"/>
    <n v="330423317"/>
    <s v="BRL"/>
    <n v="12"/>
    <n v="12"/>
    <m/>
    <m/>
    <m/>
    <d v="2025-02-05T00:00:00"/>
    <d v="2025-02-05T00:00:00"/>
    <m/>
    <s v="Pagamento"/>
    <n v="330423317"/>
    <x v="2"/>
    <m/>
    <s v="ARIADNE  MOREIRA,"/>
    <n v="170525"/>
    <m/>
    <m/>
  </r>
  <r>
    <m/>
    <s v="Pagamento"/>
    <n v="330423318"/>
    <s v="BRL"/>
    <n v="128.18"/>
    <n v="128.18"/>
    <m/>
    <m/>
    <m/>
    <d v="2025-02-05T00:00:00"/>
    <d v="2025-02-05T00:00:00"/>
    <m/>
    <s v="Pagamento"/>
    <n v="330423318"/>
    <x v="2"/>
    <m/>
    <s v="BRENNO BADARO MIRANDA,"/>
    <n v="170525"/>
    <m/>
    <m/>
  </r>
  <r>
    <m/>
    <s v="Pagamento"/>
    <n v="330423319"/>
    <s v="BRL"/>
    <n v="465.14"/>
    <n v="465.14"/>
    <m/>
    <m/>
    <m/>
    <d v="2025-02-05T00:00:00"/>
    <d v="2025-02-05T00:00:00"/>
    <m/>
    <s v="Pagamento"/>
    <n v="330423319"/>
    <x v="2"/>
    <m/>
    <s v="BRUNO ANTONIO DO VALE,"/>
    <n v="170525"/>
    <m/>
    <m/>
  </r>
  <r>
    <m/>
    <s v="Pagamento"/>
    <n v="330423320"/>
    <s v="BRL"/>
    <n v="531.5"/>
    <n v="531.5"/>
    <m/>
    <m/>
    <m/>
    <d v="2025-02-05T00:00:00"/>
    <d v="2025-02-05T00:00:00"/>
    <m/>
    <s v="Pagamento"/>
    <n v="330423320"/>
    <x v="2"/>
    <m/>
    <s v="BRUNO GONZAGA MICHELETTO,"/>
    <n v="170525"/>
    <m/>
    <m/>
  </r>
  <r>
    <m/>
    <s v="Pagamento"/>
    <n v="330423321"/>
    <s v="BRL"/>
    <n v="36.299999999999997"/>
    <n v="36.299999999999997"/>
    <m/>
    <m/>
    <m/>
    <d v="2025-02-05T00:00:00"/>
    <d v="2025-02-05T00:00:00"/>
    <m/>
    <s v="Pagamento"/>
    <n v="330423321"/>
    <x v="2"/>
    <m/>
    <s v="CARLOS ALBERTO DE SOUZA ALVES,"/>
    <n v="170525"/>
    <m/>
    <m/>
  </r>
  <r>
    <m/>
    <s v="Pagamento"/>
    <n v="330423322"/>
    <s v="BRL"/>
    <n v="289.26"/>
    <n v="289.26"/>
    <m/>
    <m/>
    <m/>
    <d v="2025-02-05T00:00:00"/>
    <d v="2025-02-05T00:00:00"/>
    <m/>
    <s v="Pagamento"/>
    <n v="330423322"/>
    <x v="2"/>
    <m/>
    <s v="CARLOS EDUARDO DE FREITAS SANT ANA,"/>
    <n v="170525"/>
    <m/>
    <m/>
  </r>
  <r>
    <m/>
    <s v="Pagamento"/>
    <n v="330423323"/>
    <s v="BRL"/>
    <n v="50"/>
    <n v="50"/>
    <m/>
    <m/>
    <m/>
    <d v="2025-02-05T00:00:00"/>
    <d v="2025-02-05T00:00:00"/>
    <m/>
    <s v="Pagamento"/>
    <n v="330423323"/>
    <x v="2"/>
    <m/>
    <s v="CASSIO ANSOLIN PESSUTTO,"/>
    <n v="170525"/>
    <m/>
    <m/>
  </r>
  <r>
    <m/>
    <s v="Pagamento"/>
    <n v="330423324"/>
    <s v="BRL"/>
    <n v="43.68"/>
    <n v="43.68"/>
    <m/>
    <m/>
    <m/>
    <d v="2025-02-05T00:00:00"/>
    <d v="2025-02-05T00:00:00"/>
    <m/>
    <s v="Pagamento"/>
    <n v="330423324"/>
    <x v="2"/>
    <m/>
    <s v="CLOVIS RICARDO FLORES GRANDMAISON,"/>
    <n v="170525"/>
    <m/>
    <m/>
  </r>
  <r>
    <m/>
    <s v="Pagamento"/>
    <n v="330423325"/>
    <s v="BRL"/>
    <n v="962.08"/>
    <n v="962.08"/>
    <m/>
    <m/>
    <m/>
    <d v="2025-02-05T00:00:00"/>
    <d v="2025-02-05T00:00:00"/>
    <m/>
    <s v="Pagamento"/>
    <n v="330423325"/>
    <x v="2"/>
    <m/>
    <s v="CRISTIANE VALARDAN FERREIRA DA SILVA,"/>
    <n v="170525"/>
    <m/>
    <m/>
  </r>
  <r>
    <m/>
    <s v="Pagamento"/>
    <n v="330423326"/>
    <s v="BRL"/>
    <n v="978.04"/>
    <n v="978.04"/>
    <m/>
    <m/>
    <m/>
    <d v="2025-02-05T00:00:00"/>
    <d v="2025-02-05T00:00:00"/>
    <m/>
    <s v="Pagamento"/>
    <n v="330423326"/>
    <x v="2"/>
    <m/>
    <s v="CRISTIANO MARSENA NOBRE,"/>
    <n v="170525"/>
    <m/>
    <m/>
  </r>
  <r>
    <m/>
    <s v="Pagamento"/>
    <n v="330423327"/>
    <s v="BRL"/>
    <n v="88.23"/>
    <n v="88.23"/>
    <m/>
    <m/>
    <m/>
    <d v="2025-02-05T00:00:00"/>
    <d v="2025-02-05T00:00:00"/>
    <m/>
    <s v="Pagamento"/>
    <n v="330423327"/>
    <x v="2"/>
    <m/>
    <s v="CRISTINO NUNES SIRQUEIRA,"/>
    <n v="170525"/>
    <m/>
    <m/>
  </r>
  <r>
    <m/>
    <s v="Pagamento"/>
    <n v="330423328"/>
    <s v="BRL"/>
    <n v="195.8"/>
    <n v="195.8"/>
    <m/>
    <m/>
    <m/>
    <d v="2025-02-05T00:00:00"/>
    <d v="2025-02-05T00:00:00"/>
    <m/>
    <s v="Pagamento"/>
    <n v="330423328"/>
    <x v="2"/>
    <m/>
    <s v="CRISTOVAO CELSO ARCHANJA,"/>
    <n v="170525"/>
    <m/>
    <m/>
  </r>
  <r>
    <m/>
    <s v="Pagamento"/>
    <n v="330423329"/>
    <s v="BRL"/>
    <n v="1880"/>
    <n v="1880"/>
    <m/>
    <m/>
    <m/>
    <d v="2025-02-05T00:00:00"/>
    <d v="2025-02-05T00:00:00"/>
    <m/>
    <s v="Pagamento"/>
    <n v="330423329"/>
    <x v="2"/>
    <m/>
    <s v="CYNTHIA OLIVEIRA DOS SANTOS,"/>
    <n v="170525"/>
    <m/>
    <m/>
  </r>
  <r>
    <m/>
    <s v="Pagamento"/>
    <n v="330423330"/>
    <s v="BRL"/>
    <n v="20"/>
    <n v="20"/>
    <m/>
    <m/>
    <m/>
    <d v="2025-02-05T00:00:00"/>
    <d v="2025-02-05T00:00:00"/>
    <m/>
    <s v="Pagamento"/>
    <n v="330423330"/>
    <x v="2"/>
    <m/>
    <s v="DAIVSON RAFAEL SALES LIMA"/>
    <n v="170525"/>
    <m/>
    <m/>
  </r>
  <r>
    <m/>
    <s v="Pagamento"/>
    <n v="330423331"/>
    <s v="BRL"/>
    <n v="26"/>
    <n v="26"/>
    <m/>
    <m/>
    <m/>
    <d v="2025-02-05T00:00:00"/>
    <d v="2025-02-05T00:00:00"/>
    <m/>
    <s v="Pagamento"/>
    <n v="330423331"/>
    <x v="2"/>
    <m/>
    <s v="DANIEL BRELAZ DA SILVA,"/>
    <n v="170525"/>
    <m/>
    <m/>
  </r>
  <r>
    <m/>
    <s v="Pagamento"/>
    <n v="330423332"/>
    <s v="BRL"/>
    <n v="45.25"/>
    <n v="45.25"/>
    <m/>
    <m/>
    <m/>
    <d v="2025-02-05T00:00:00"/>
    <d v="2025-02-05T00:00:00"/>
    <m/>
    <s v="Pagamento"/>
    <n v="330423332"/>
    <x v="2"/>
    <m/>
    <s v="DANIEL FEITOSA MOURA,"/>
    <n v="170525"/>
    <m/>
    <m/>
  </r>
  <r>
    <m/>
    <s v="Pagamento"/>
    <n v="330423333"/>
    <s v="BRL"/>
    <n v="39.97"/>
    <n v="39.97"/>
    <m/>
    <m/>
    <m/>
    <d v="2025-02-05T00:00:00"/>
    <d v="2025-02-05T00:00:00"/>
    <m/>
    <s v="Pagamento"/>
    <n v="330423333"/>
    <x v="2"/>
    <m/>
    <s v="DANIEL JOAO BORGES,"/>
    <n v="170525"/>
    <m/>
    <m/>
  </r>
  <r>
    <m/>
    <s v="Pagamento"/>
    <n v="330423334"/>
    <s v="BRL"/>
    <n v="17.600000000000001"/>
    <n v="17.600000000000001"/>
    <m/>
    <m/>
    <m/>
    <d v="2025-02-05T00:00:00"/>
    <d v="2025-02-05T00:00:00"/>
    <m/>
    <s v="Pagamento"/>
    <n v="330423334"/>
    <x v="2"/>
    <m/>
    <s v="DANIEL LIRA DO VALE,"/>
    <n v="170525"/>
    <m/>
    <m/>
  </r>
  <r>
    <m/>
    <s v="Pagamento"/>
    <n v="330423335"/>
    <s v="BRL"/>
    <n v="12"/>
    <n v="12"/>
    <m/>
    <m/>
    <m/>
    <d v="2025-02-05T00:00:00"/>
    <d v="2025-02-05T00:00:00"/>
    <m/>
    <s v="Pagamento"/>
    <n v="330423335"/>
    <x v="2"/>
    <m/>
    <s v="DANIELE CRISTINE DA CRUZ,"/>
    <n v="170525"/>
    <m/>
    <m/>
  </r>
  <r>
    <m/>
    <s v="Pagamento"/>
    <n v="330423336"/>
    <s v="BRL"/>
    <n v="2236.1999999999998"/>
    <n v="2236.1999999999998"/>
    <m/>
    <m/>
    <m/>
    <d v="2025-02-05T00:00:00"/>
    <d v="2025-02-05T00:00:00"/>
    <m/>
    <s v="Pagamento"/>
    <n v="330423336"/>
    <x v="2"/>
    <m/>
    <s v="DANIELLA FANHONI AVERSARI,"/>
    <n v="170525"/>
    <m/>
    <m/>
  </r>
  <r>
    <m/>
    <s v="Pagamento"/>
    <n v="330423337"/>
    <s v="BRL"/>
    <n v="65"/>
    <n v="65"/>
    <m/>
    <m/>
    <m/>
    <d v="2025-02-05T00:00:00"/>
    <d v="2025-02-05T00:00:00"/>
    <m/>
    <s v="Pagamento"/>
    <n v="330423337"/>
    <x v="2"/>
    <m/>
    <s v="DANILO GOMES LEONARDO,"/>
    <n v="170525"/>
    <m/>
    <m/>
  </r>
  <r>
    <m/>
    <s v="Pagamento"/>
    <n v="330423338"/>
    <s v="BRL"/>
    <n v="55"/>
    <n v="55"/>
    <m/>
    <m/>
    <m/>
    <d v="2025-02-05T00:00:00"/>
    <d v="2025-02-05T00:00:00"/>
    <m/>
    <s v="Pagamento"/>
    <n v="330423338"/>
    <x v="2"/>
    <m/>
    <s v="DANTE DE ALMEIDA CAMPILONGO,"/>
    <n v="170525"/>
    <m/>
    <m/>
  </r>
  <r>
    <m/>
    <s v="Pagamento"/>
    <n v="330423339"/>
    <s v="BRL"/>
    <n v="124.15"/>
    <n v="124.15"/>
    <m/>
    <m/>
    <m/>
    <d v="2025-02-05T00:00:00"/>
    <d v="2025-02-05T00:00:00"/>
    <m/>
    <s v="Pagamento"/>
    <n v="330423339"/>
    <x v="2"/>
    <m/>
    <s v="DAVID ANTONIO ALVES,"/>
    <n v="170525"/>
    <m/>
    <m/>
  </r>
  <r>
    <m/>
    <s v="Pagamento"/>
    <n v="330423340"/>
    <s v="BRL"/>
    <n v="455.24"/>
    <n v="455.24"/>
    <m/>
    <m/>
    <m/>
    <d v="2025-02-05T00:00:00"/>
    <d v="2025-02-05T00:00:00"/>
    <m/>
    <s v="Pagamento"/>
    <n v="330423340"/>
    <x v="2"/>
    <m/>
    <s v="DENILSON MARIANO DE OLIVEIRA,"/>
    <n v="170525"/>
    <m/>
    <m/>
  </r>
  <r>
    <m/>
    <s v="Pagamento"/>
    <n v="330423341"/>
    <s v="BRL"/>
    <n v="720.23"/>
    <n v="720.23"/>
    <m/>
    <m/>
    <m/>
    <d v="2025-02-05T00:00:00"/>
    <d v="2025-02-05T00:00:00"/>
    <m/>
    <s v="Pagamento"/>
    <n v="330423341"/>
    <x v="2"/>
    <m/>
    <s v="DIANA DO NASCIMENTO DAS DORES,"/>
    <n v="170525"/>
    <m/>
    <m/>
  </r>
  <r>
    <m/>
    <s v="Pagamento"/>
    <n v="330423342"/>
    <s v="BRL"/>
    <n v="464"/>
    <n v="464"/>
    <m/>
    <m/>
    <m/>
    <d v="2025-02-05T00:00:00"/>
    <d v="2025-02-05T00:00:00"/>
    <m/>
    <s v="Pagamento"/>
    <n v="330423342"/>
    <x v="2"/>
    <m/>
    <s v="DIOGO TEIXEIRA JORGE,"/>
    <n v="170525"/>
    <m/>
    <m/>
  </r>
  <r>
    <m/>
    <s v="Pagamento"/>
    <n v="330423343"/>
    <s v="BRL"/>
    <n v="27.6"/>
    <n v="27.6"/>
    <m/>
    <m/>
    <m/>
    <d v="2025-02-05T00:00:00"/>
    <d v="2025-02-05T00:00:00"/>
    <m/>
    <s v="Pagamento"/>
    <n v="330423343"/>
    <x v="2"/>
    <m/>
    <s v="DURVAL GUIMARAES CHAVES JUNIOR,"/>
    <n v="170525"/>
    <m/>
    <m/>
  </r>
  <r>
    <m/>
    <s v="Pagamento"/>
    <n v="330423344"/>
    <s v="BRL"/>
    <n v="922.48"/>
    <n v="922.48"/>
    <m/>
    <m/>
    <m/>
    <d v="2025-02-05T00:00:00"/>
    <d v="2025-02-05T00:00:00"/>
    <m/>
    <s v="Pagamento"/>
    <n v="330423344"/>
    <x v="2"/>
    <m/>
    <s v="DYEGO RICHARDO LOPES MOREIRA DA SILVA,"/>
    <n v="170525"/>
    <m/>
    <m/>
  </r>
  <r>
    <m/>
    <s v="Pagamento"/>
    <n v="330423345"/>
    <s v="BRL"/>
    <n v="432.26"/>
    <n v="432.26"/>
    <m/>
    <m/>
    <m/>
    <d v="2025-02-05T00:00:00"/>
    <d v="2025-02-05T00:00:00"/>
    <m/>
    <s v="Pagamento"/>
    <n v="330423345"/>
    <x v="2"/>
    <m/>
    <s v="EDER OLIVEIRA ALMEIDA BRITO,"/>
    <n v="170525"/>
    <m/>
    <m/>
  </r>
  <r>
    <m/>
    <s v="Pagamento"/>
    <n v="330423346"/>
    <s v="BRL"/>
    <n v="46"/>
    <n v="46"/>
    <m/>
    <m/>
    <m/>
    <d v="2025-02-05T00:00:00"/>
    <d v="2025-02-05T00:00:00"/>
    <m/>
    <s v="Pagamento"/>
    <n v="330423346"/>
    <x v="2"/>
    <m/>
    <s v="EDIMO DA CRUZ CAMPOS,"/>
    <n v="170525"/>
    <m/>
    <m/>
  </r>
  <r>
    <m/>
    <s v="Pagamento"/>
    <n v="330423347"/>
    <s v="BRL"/>
    <n v="313.95"/>
    <n v="313.95"/>
    <m/>
    <m/>
    <m/>
    <d v="2025-02-05T00:00:00"/>
    <d v="2025-02-05T00:00:00"/>
    <m/>
    <s v="Pagamento"/>
    <n v="330423347"/>
    <x v="2"/>
    <m/>
    <s v="EDISLEIA APARECIDA DE SOUZA VIEIRA,"/>
    <n v="170525"/>
    <m/>
    <m/>
  </r>
  <r>
    <m/>
    <s v="Pagamento"/>
    <n v="330423348"/>
    <s v="BRL"/>
    <n v="141"/>
    <n v="141"/>
    <m/>
    <m/>
    <m/>
    <d v="2025-02-05T00:00:00"/>
    <d v="2025-02-05T00:00:00"/>
    <m/>
    <s v="Pagamento"/>
    <n v="330423348"/>
    <x v="2"/>
    <m/>
    <s v="EDITE ALVES DA SILVA,"/>
    <n v="170525"/>
    <m/>
    <m/>
  </r>
  <r>
    <m/>
    <s v="Pagamento"/>
    <n v="330423349"/>
    <s v="BRL"/>
    <n v="102.41"/>
    <n v="102.41"/>
    <m/>
    <m/>
    <m/>
    <d v="2025-02-05T00:00:00"/>
    <d v="2025-02-05T00:00:00"/>
    <m/>
    <s v="Pagamento"/>
    <n v="330423349"/>
    <x v="2"/>
    <m/>
    <s v="EDMILSON VELOSO DIAS,"/>
    <n v="170525"/>
    <m/>
    <m/>
  </r>
  <r>
    <m/>
    <s v="Pagamento"/>
    <n v="330423350"/>
    <s v="BRL"/>
    <n v="1590.38"/>
    <n v="1590.38"/>
    <m/>
    <m/>
    <m/>
    <d v="2025-02-05T00:00:00"/>
    <d v="2025-02-05T00:00:00"/>
    <m/>
    <s v="Pagamento"/>
    <n v="330423350"/>
    <x v="2"/>
    <m/>
    <s v="EDUARDO ALVARES GOMES,"/>
    <n v="170525"/>
    <m/>
    <m/>
  </r>
  <r>
    <m/>
    <s v="Pagamento"/>
    <n v="330423351"/>
    <s v="BRL"/>
    <n v="432.26"/>
    <n v="432.26"/>
    <m/>
    <m/>
    <m/>
    <d v="2025-02-05T00:00:00"/>
    <d v="2025-02-05T00:00:00"/>
    <m/>
    <s v="Pagamento"/>
    <n v="330423351"/>
    <x v="2"/>
    <m/>
    <s v="EDUARDO ELIAS DA SILVA,"/>
    <n v="170525"/>
    <m/>
    <m/>
  </r>
  <r>
    <m/>
    <s v="Pagamento"/>
    <n v="330423352"/>
    <s v="BRL"/>
    <n v="166"/>
    <n v="166"/>
    <m/>
    <m/>
    <m/>
    <d v="2025-02-05T00:00:00"/>
    <d v="2025-02-05T00:00:00"/>
    <m/>
    <s v="Pagamento"/>
    <n v="330423352"/>
    <x v="2"/>
    <m/>
    <s v="ELILSON MENEZES MARTINS,"/>
    <n v="170525"/>
    <m/>
    <m/>
  </r>
  <r>
    <m/>
    <s v="Pagamento"/>
    <n v="330423353"/>
    <s v="BRL"/>
    <n v="110.34"/>
    <n v="110.34"/>
    <m/>
    <m/>
    <m/>
    <d v="2025-02-05T00:00:00"/>
    <d v="2025-02-05T00:00:00"/>
    <m/>
    <s v="Pagamento"/>
    <n v="330423353"/>
    <x v="2"/>
    <m/>
    <s v="ELISEU SANTOS ASSIS,"/>
    <n v="170525"/>
    <m/>
    <m/>
  </r>
  <r>
    <m/>
    <s v="Pagamento"/>
    <n v="330423354"/>
    <s v="BRL"/>
    <n v="124.99"/>
    <n v="124.99"/>
    <m/>
    <m/>
    <m/>
    <d v="2025-02-05T00:00:00"/>
    <d v="2025-02-05T00:00:00"/>
    <m/>
    <s v="Pagamento"/>
    <n v="330423354"/>
    <x v="2"/>
    <m/>
    <s v="ELTON LIMA SANTOS,"/>
    <n v="170525"/>
    <m/>
    <m/>
  </r>
  <r>
    <m/>
    <s v="Pagamento"/>
    <n v="330423355"/>
    <s v="BRL"/>
    <n v="562.4"/>
    <n v="562.4"/>
    <m/>
    <m/>
    <m/>
    <d v="2025-02-05T00:00:00"/>
    <d v="2025-02-05T00:00:00"/>
    <m/>
    <s v="Pagamento"/>
    <n v="330423355"/>
    <x v="2"/>
    <m/>
    <s v="ELYK ALLINY FARIAS VIANA ROCHA,"/>
    <n v="170525"/>
    <m/>
    <m/>
  </r>
  <r>
    <m/>
    <s v="Pagamento"/>
    <n v="330423356"/>
    <s v="BRL"/>
    <n v="824.25"/>
    <n v="824.25"/>
    <m/>
    <m/>
    <m/>
    <d v="2025-02-05T00:00:00"/>
    <d v="2025-02-05T00:00:00"/>
    <m/>
    <s v="Pagamento"/>
    <n v="330423356"/>
    <x v="2"/>
    <m/>
    <s v="EMANUEL BEZERRA ELOY,"/>
    <n v="170525"/>
    <m/>
    <m/>
  </r>
  <r>
    <m/>
    <s v="Pagamento"/>
    <n v="330423357"/>
    <s v="BRL"/>
    <n v="1127.07"/>
    <n v="1127.07"/>
    <m/>
    <m/>
    <m/>
    <d v="2025-02-05T00:00:00"/>
    <d v="2025-02-05T00:00:00"/>
    <m/>
    <s v="Pagamento"/>
    <n v="330423357"/>
    <x v="2"/>
    <m/>
    <s v="ERANDI FREIRE PONTES,"/>
    <n v="170525"/>
    <m/>
    <m/>
  </r>
  <r>
    <m/>
    <s v="Pagamento"/>
    <n v="330423358"/>
    <s v="BRL"/>
    <n v="910.48"/>
    <n v="910.48"/>
    <m/>
    <m/>
    <m/>
    <d v="2025-02-05T00:00:00"/>
    <d v="2025-02-05T00:00:00"/>
    <m/>
    <s v="Pagamento"/>
    <n v="330423358"/>
    <x v="2"/>
    <m/>
    <s v="ERIVALDO MATIAS FONTES,"/>
    <n v="170525"/>
    <m/>
    <m/>
  </r>
  <r>
    <m/>
    <s v="Pagamento"/>
    <n v="330423359"/>
    <s v="BRL"/>
    <n v="67.900000000000006"/>
    <n v="67.900000000000006"/>
    <m/>
    <m/>
    <m/>
    <d v="2025-02-05T00:00:00"/>
    <d v="2025-02-05T00:00:00"/>
    <m/>
    <s v="Pagamento"/>
    <n v="330423359"/>
    <x v="2"/>
    <m/>
    <s v="FABIANO BRASILINO COSTA,"/>
    <n v="170525"/>
    <m/>
    <m/>
  </r>
  <r>
    <m/>
    <s v="Pagamento"/>
    <n v="330423360"/>
    <s v="BRL"/>
    <n v="400"/>
    <n v="400"/>
    <m/>
    <m/>
    <m/>
    <d v="2025-02-05T00:00:00"/>
    <d v="2025-02-05T00:00:00"/>
    <m/>
    <s v="Pagamento"/>
    <n v="330423360"/>
    <x v="2"/>
    <m/>
    <s v="FABIO BARBOSA DE MORAIS,"/>
    <n v="170525"/>
    <m/>
    <m/>
  </r>
  <r>
    <m/>
    <s v="Pagamento"/>
    <n v="330423361"/>
    <s v="BRL"/>
    <n v="19"/>
    <n v="19"/>
    <m/>
    <m/>
    <m/>
    <d v="2025-02-05T00:00:00"/>
    <d v="2025-02-05T00:00:00"/>
    <m/>
    <s v="Pagamento"/>
    <n v="330423361"/>
    <x v="2"/>
    <m/>
    <s v="FABIO MACELO FERNANDES DE SOUSA,"/>
    <n v="170525"/>
    <m/>
    <m/>
  </r>
  <r>
    <m/>
    <s v="Pagamento"/>
    <n v="330423362"/>
    <s v="BRL"/>
    <n v="103"/>
    <n v="103"/>
    <m/>
    <m/>
    <m/>
    <d v="2025-02-05T00:00:00"/>
    <d v="2025-02-05T00:00:00"/>
    <m/>
    <s v="Pagamento"/>
    <n v="330423362"/>
    <x v="2"/>
    <m/>
    <s v="FELLIPE OLIVEIRA ZUMA,"/>
    <n v="170525"/>
    <m/>
    <m/>
  </r>
  <r>
    <m/>
    <s v="Pagamento"/>
    <n v="330423363"/>
    <s v="BRL"/>
    <n v="890"/>
    <n v="890"/>
    <m/>
    <m/>
    <m/>
    <d v="2025-02-05T00:00:00"/>
    <d v="2025-02-05T00:00:00"/>
    <m/>
    <s v="Pagamento"/>
    <n v="330423363"/>
    <x v="2"/>
    <m/>
    <s v="FERNANDA APARECIDA MOTA,"/>
    <n v="170525"/>
    <m/>
    <m/>
  </r>
  <r>
    <m/>
    <s v="Pagamento"/>
    <n v="330423364"/>
    <s v="BRL"/>
    <n v="969.03"/>
    <n v="969.03"/>
    <m/>
    <m/>
    <m/>
    <d v="2025-02-05T00:00:00"/>
    <d v="2025-02-05T00:00:00"/>
    <m/>
    <s v="Pagamento"/>
    <n v="330423364"/>
    <x v="2"/>
    <m/>
    <s v="FERNANDA CRISTINA KAMADA,"/>
    <n v="170525"/>
    <m/>
    <m/>
  </r>
  <r>
    <m/>
    <s v="Pagamento"/>
    <n v="330423365"/>
    <s v="BRL"/>
    <n v="358"/>
    <n v="358"/>
    <m/>
    <m/>
    <m/>
    <d v="2025-02-05T00:00:00"/>
    <d v="2025-02-05T00:00:00"/>
    <m/>
    <s v="Pagamento"/>
    <n v="330423365"/>
    <x v="2"/>
    <m/>
    <s v="FERNANDO DA SILVA,"/>
    <n v="170525"/>
    <m/>
    <m/>
  </r>
  <r>
    <m/>
    <s v="Pagamento"/>
    <n v="330423366"/>
    <s v="BRL"/>
    <n v="148.34"/>
    <n v="148.34"/>
    <m/>
    <m/>
    <m/>
    <d v="2025-02-05T00:00:00"/>
    <d v="2025-02-05T00:00:00"/>
    <m/>
    <s v="Pagamento"/>
    <n v="330423366"/>
    <x v="2"/>
    <m/>
    <s v="FLAVIA MARIA  DOS SANTOS,"/>
    <n v="170525"/>
    <m/>
    <m/>
  </r>
  <r>
    <m/>
    <s v="Pagamento"/>
    <n v="330423367"/>
    <s v="BRL"/>
    <n v="175"/>
    <n v="175"/>
    <m/>
    <m/>
    <m/>
    <d v="2025-02-05T00:00:00"/>
    <d v="2025-02-05T00:00:00"/>
    <m/>
    <s v="Pagamento"/>
    <n v="330423367"/>
    <x v="2"/>
    <m/>
    <s v="GEISA ALVES NOGUEIRA,"/>
    <n v="170525"/>
    <m/>
    <m/>
  </r>
  <r>
    <m/>
    <s v="Pagamento"/>
    <n v="330423368"/>
    <s v="BRL"/>
    <n v="180.72"/>
    <n v="180.72"/>
    <m/>
    <m/>
    <m/>
    <d v="2025-02-05T00:00:00"/>
    <d v="2025-02-05T00:00:00"/>
    <m/>
    <s v="Pagamento"/>
    <n v="330423368"/>
    <x v="2"/>
    <m/>
    <s v="GEORGE DOS SANTOS SILVA,"/>
    <n v="170525"/>
    <m/>
    <m/>
  </r>
  <r>
    <m/>
    <s v="Pagamento"/>
    <n v="330423369"/>
    <s v="BRL"/>
    <n v="432.26"/>
    <n v="432.26"/>
    <m/>
    <m/>
    <m/>
    <d v="2025-02-05T00:00:00"/>
    <d v="2025-02-05T00:00:00"/>
    <m/>
    <s v="Pagamento"/>
    <n v="330423369"/>
    <x v="2"/>
    <m/>
    <s v="GILBERTO DA MOTA CARVALHO,"/>
    <n v="170525"/>
    <m/>
    <m/>
  </r>
  <r>
    <m/>
    <s v="Pagamento"/>
    <n v="330423370"/>
    <s v="BRL"/>
    <n v="139"/>
    <n v="139"/>
    <m/>
    <m/>
    <m/>
    <d v="2025-02-05T00:00:00"/>
    <d v="2025-02-05T00:00:00"/>
    <m/>
    <s v="Pagamento"/>
    <n v="330423370"/>
    <x v="2"/>
    <m/>
    <s v="GILSON MENDES SILVA,"/>
    <n v="170525"/>
    <m/>
    <m/>
  </r>
  <r>
    <m/>
    <s v="Pagamento"/>
    <n v="330423371"/>
    <s v="BRL"/>
    <n v="99.98"/>
    <n v="99.98"/>
    <m/>
    <m/>
    <m/>
    <d v="2025-02-05T00:00:00"/>
    <d v="2025-02-05T00:00:00"/>
    <m/>
    <s v="Pagamento"/>
    <n v="330423371"/>
    <x v="2"/>
    <m/>
    <s v="GIZEUDA MARTINS ALMEIDA,"/>
    <n v="170525"/>
    <m/>
    <m/>
  </r>
  <r>
    <m/>
    <s v="Pagamento"/>
    <n v="330423372"/>
    <s v="BRL"/>
    <n v="288"/>
    <n v="288"/>
    <m/>
    <m/>
    <m/>
    <d v="2025-02-05T00:00:00"/>
    <d v="2025-02-05T00:00:00"/>
    <m/>
    <s v="Pagamento"/>
    <n v="330423372"/>
    <x v="2"/>
    <m/>
    <s v="GLAUBER NILSON ALVES DE OLIVEIRA,"/>
    <n v="170525"/>
    <m/>
    <m/>
  </r>
  <r>
    <m/>
    <s v="Pagamento"/>
    <n v="330423373"/>
    <s v="BRL"/>
    <n v="37.67"/>
    <n v="37.67"/>
    <m/>
    <m/>
    <m/>
    <d v="2025-02-05T00:00:00"/>
    <d v="2025-02-05T00:00:00"/>
    <m/>
    <s v="Pagamento"/>
    <n v="330423373"/>
    <x v="2"/>
    <m/>
    <s v="GLEIDSON DOS SANTOS MARQUES,"/>
    <n v="170525"/>
    <m/>
    <m/>
  </r>
  <r>
    <m/>
    <s v="Pagamento"/>
    <n v="330423374"/>
    <s v="BRL"/>
    <n v="118.37"/>
    <n v="118.37"/>
    <m/>
    <m/>
    <m/>
    <d v="2025-02-05T00:00:00"/>
    <d v="2025-02-05T00:00:00"/>
    <m/>
    <s v="Pagamento"/>
    <n v="330423374"/>
    <x v="2"/>
    <m/>
    <s v="GUIDO RUFINO PIRES,"/>
    <n v="170525"/>
    <m/>
    <m/>
  </r>
  <r>
    <m/>
    <s v="Pagamento"/>
    <n v="330423375"/>
    <s v="BRL"/>
    <n v="313.95"/>
    <n v="313.95"/>
    <m/>
    <m/>
    <m/>
    <d v="2025-02-05T00:00:00"/>
    <d v="2025-02-05T00:00:00"/>
    <m/>
    <s v="Pagamento"/>
    <n v="330423375"/>
    <x v="2"/>
    <m/>
    <s v="GUSTAVO JULIANO TREIS,"/>
    <n v="170525"/>
    <m/>
    <m/>
  </r>
  <r>
    <m/>
    <s v="Pagamento"/>
    <n v="330423376"/>
    <s v="BRL"/>
    <n v="69.53"/>
    <n v="69.53"/>
    <m/>
    <m/>
    <m/>
    <d v="2025-02-05T00:00:00"/>
    <d v="2025-02-05T00:00:00"/>
    <m/>
    <s v="Pagamento"/>
    <n v="330423376"/>
    <x v="2"/>
    <m/>
    <s v="HAMILTON GIANES DA SILVA,"/>
    <n v="170525"/>
    <m/>
    <m/>
  </r>
  <r>
    <m/>
    <s v="Pagamento"/>
    <n v="330423377"/>
    <s v="BRL"/>
    <n v="80.5"/>
    <n v="80.5"/>
    <m/>
    <m/>
    <m/>
    <d v="2025-02-05T00:00:00"/>
    <d v="2025-02-05T00:00:00"/>
    <m/>
    <s v="Pagamento"/>
    <n v="330423377"/>
    <x v="2"/>
    <m/>
    <s v="HEBER LUIZ DE FREITAS MELO,"/>
    <n v="170525"/>
    <m/>
    <m/>
  </r>
  <r>
    <m/>
    <s v="Pagamento"/>
    <n v="330423378"/>
    <s v="BRL"/>
    <n v="450"/>
    <n v="450"/>
    <m/>
    <m/>
    <m/>
    <d v="2025-02-05T00:00:00"/>
    <d v="2025-02-05T00:00:00"/>
    <m/>
    <s v="Pagamento"/>
    <n v="330423378"/>
    <x v="2"/>
    <m/>
    <s v="HELDER ALEXANDRE LEITE DE OLIVEIRA SANTOS,"/>
    <n v="170525"/>
    <m/>
    <m/>
  </r>
  <r>
    <m/>
    <s v="Pagamento"/>
    <n v="330423379"/>
    <s v="BRL"/>
    <n v="18.39"/>
    <n v="18.39"/>
    <m/>
    <m/>
    <m/>
    <d v="2025-02-05T00:00:00"/>
    <d v="2025-02-05T00:00:00"/>
    <m/>
    <s v="Pagamento"/>
    <n v="330423379"/>
    <x v="2"/>
    <m/>
    <s v="HUGO GUSMAO DE SOUZA,"/>
    <n v="170525"/>
    <m/>
    <m/>
  </r>
  <r>
    <m/>
    <s v="Pagamento"/>
    <n v="330423380"/>
    <s v="BRL"/>
    <n v="455.24"/>
    <n v="455.24"/>
    <m/>
    <m/>
    <m/>
    <d v="2025-02-05T00:00:00"/>
    <d v="2025-02-05T00:00:00"/>
    <m/>
    <s v="Pagamento"/>
    <n v="330423380"/>
    <x v="2"/>
    <m/>
    <s v="INECIA PEREIRA DE SANTANA ALEGRANCI,"/>
    <n v="170525"/>
    <m/>
    <m/>
  </r>
  <r>
    <m/>
    <s v="Pagamento"/>
    <n v="330423381"/>
    <s v="BRL"/>
    <n v="35.799999999999997"/>
    <n v="35.799999999999997"/>
    <m/>
    <m/>
    <m/>
    <d v="2025-02-05T00:00:00"/>
    <d v="2025-02-05T00:00:00"/>
    <m/>
    <s v="Pagamento"/>
    <n v="330423381"/>
    <x v="2"/>
    <m/>
    <s v="JACQUELINE GRIZELAK CANEDO CAMARGO,"/>
    <n v="170525"/>
    <m/>
    <m/>
  </r>
  <r>
    <m/>
    <s v="Pagamento"/>
    <n v="330423382"/>
    <s v="BRL"/>
    <n v="657.69"/>
    <n v="657.69"/>
    <m/>
    <m/>
    <m/>
    <d v="2025-02-05T00:00:00"/>
    <d v="2025-02-05T00:00:00"/>
    <m/>
    <s v="Pagamento"/>
    <n v="330423382"/>
    <x v="2"/>
    <m/>
    <s v="JHONYSLLEY OTAVIO COSME DA SILVA,"/>
    <n v="170525"/>
    <m/>
    <m/>
  </r>
  <r>
    <m/>
    <s v="Pagamento"/>
    <n v="330423383"/>
    <s v="BRL"/>
    <n v="455.24"/>
    <n v="455.24"/>
    <m/>
    <m/>
    <m/>
    <d v="2025-02-05T00:00:00"/>
    <d v="2025-02-05T00:00:00"/>
    <m/>
    <s v="Pagamento"/>
    <n v="330423383"/>
    <x v="2"/>
    <m/>
    <s v="JOANE DA SILVA ALVES,"/>
    <n v="170525"/>
    <m/>
    <m/>
  </r>
  <r>
    <m/>
    <s v="Pagamento"/>
    <n v="330423384"/>
    <s v="BRL"/>
    <n v="12"/>
    <n v="12"/>
    <m/>
    <m/>
    <m/>
    <d v="2025-02-05T00:00:00"/>
    <d v="2025-02-05T00:00:00"/>
    <m/>
    <s v="Pagamento"/>
    <n v="330423384"/>
    <x v="2"/>
    <m/>
    <s v="JOAO PAULO SILVEIRA OTTO,"/>
    <n v="170525"/>
    <m/>
    <m/>
  </r>
  <r>
    <m/>
    <s v="Pagamento"/>
    <n v="330423385"/>
    <s v="BRL"/>
    <n v="108"/>
    <n v="108"/>
    <m/>
    <m/>
    <m/>
    <d v="2025-02-05T00:00:00"/>
    <d v="2025-02-05T00:00:00"/>
    <m/>
    <s v="Pagamento"/>
    <n v="330423385"/>
    <x v="2"/>
    <m/>
    <s v="JORGE SA DE OLIVEIRA,"/>
    <n v="170525"/>
    <m/>
    <m/>
  </r>
  <r>
    <m/>
    <s v="Pagamento"/>
    <n v="330423386"/>
    <s v="BRL"/>
    <n v="1518"/>
    <n v="1518"/>
    <m/>
    <m/>
    <m/>
    <d v="2025-02-05T00:00:00"/>
    <d v="2025-02-05T00:00:00"/>
    <m/>
    <s v="Pagamento"/>
    <n v="330423386"/>
    <x v="2"/>
    <m/>
    <s v="JOSAFA ALVES DE BARROS,"/>
    <n v="170525"/>
    <m/>
    <m/>
  </r>
  <r>
    <m/>
    <s v="Pagamento"/>
    <n v="330423387"/>
    <s v="BRL"/>
    <n v="135.1"/>
    <n v="135.1"/>
    <m/>
    <m/>
    <m/>
    <d v="2025-02-05T00:00:00"/>
    <d v="2025-02-05T00:00:00"/>
    <m/>
    <s v="Pagamento"/>
    <n v="330423387"/>
    <x v="2"/>
    <m/>
    <s v="JOSE ARIMATEIA DANTAS DA COSTA,"/>
    <n v="170525"/>
    <m/>
    <m/>
  </r>
  <r>
    <m/>
    <s v="Pagamento"/>
    <n v="330423388"/>
    <s v="BRL"/>
    <n v="55.39"/>
    <n v="55.39"/>
    <m/>
    <m/>
    <m/>
    <d v="2025-02-05T00:00:00"/>
    <d v="2025-02-05T00:00:00"/>
    <m/>
    <s v="Pagamento"/>
    <n v="330423388"/>
    <x v="2"/>
    <m/>
    <s v="JOSE CARLOS SANTOS MENDES,"/>
    <n v="170525"/>
    <m/>
    <m/>
  </r>
  <r>
    <m/>
    <s v="Pagamento"/>
    <n v="330423389"/>
    <s v="BRL"/>
    <n v="336"/>
    <n v="336"/>
    <m/>
    <m/>
    <m/>
    <d v="2025-02-05T00:00:00"/>
    <d v="2025-02-05T00:00:00"/>
    <m/>
    <s v="Pagamento"/>
    <n v="330423389"/>
    <x v="2"/>
    <m/>
    <s v="JOSE CLAUDIO RODRIGUES,"/>
    <n v="170525"/>
    <m/>
    <m/>
  </r>
  <r>
    <m/>
    <s v="Pagamento"/>
    <n v="330423390"/>
    <s v="BRL"/>
    <n v="326.62"/>
    <n v="326.62"/>
    <m/>
    <m/>
    <m/>
    <d v="2025-02-05T00:00:00"/>
    <d v="2025-02-05T00:00:00"/>
    <m/>
    <s v="Pagamento"/>
    <n v="330423390"/>
    <x v="2"/>
    <m/>
    <s v="JOSE FERNANDES MUNIZ,"/>
    <n v="170525"/>
    <m/>
    <m/>
  </r>
  <r>
    <m/>
    <s v="Pagamento"/>
    <n v="330423391"/>
    <s v="BRL"/>
    <n v="902.28"/>
    <n v="902.28"/>
    <m/>
    <m/>
    <m/>
    <d v="2025-02-05T00:00:00"/>
    <d v="2025-02-05T00:00:00"/>
    <m/>
    <s v="Pagamento"/>
    <n v="330423391"/>
    <x v="2"/>
    <m/>
    <s v="JOSE LEVI SOUSA MELO,"/>
    <n v="170525"/>
    <m/>
    <m/>
  </r>
  <r>
    <m/>
    <s v="Pagamento"/>
    <n v="330423392"/>
    <s v="BRL"/>
    <n v="455.24"/>
    <n v="455.24"/>
    <m/>
    <m/>
    <m/>
    <d v="2025-02-05T00:00:00"/>
    <d v="2025-02-05T00:00:00"/>
    <m/>
    <s v="Pagamento"/>
    <n v="330423392"/>
    <x v="2"/>
    <m/>
    <s v="JOSE MARCELO PEREIRA DE ARAUJO,"/>
    <n v="170525"/>
    <m/>
    <m/>
  </r>
  <r>
    <m/>
    <s v="Pagamento"/>
    <n v="330423393"/>
    <s v="BRL"/>
    <n v="12"/>
    <n v="12"/>
    <m/>
    <m/>
    <m/>
    <d v="2025-02-05T00:00:00"/>
    <d v="2025-02-05T00:00:00"/>
    <m/>
    <s v="Pagamento"/>
    <n v="330423393"/>
    <x v="2"/>
    <m/>
    <s v="JOSE PAULO SIMAO,"/>
    <n v="170525"/>
    <m/>
    <m/>
  </r>
  <r>
    <m/>
    <s v="Pagamento"/>
    <n v="330423394"/>
    <s v="BRL"/>
    <n v="414.36"/>
    <n v="414.36"/>
    <m/>
    <m/>
    <m/>
    <d v="2025-02-05T00:00:00"/>
    <d v="2025-02-05T00:00:00"/>
    <m/>
    <s v="Pagamento"/>
    <n v="330423394"/>
    <x v="2"/>
    <m/>
    <s v="JOSE VITORIO DE OLIVEIRA,"/>
    <n v="170525"/>
    <m/>
    <m/>
  </r>
  <r>
    <m/>
    <s v="Pagamento"/>
    <n v="330423395"/>
    <s v="BRL"/>
    <n v="8"/>
    <n v="8"/>
    <m/>
    <m/>
    <m/>
    <d v="2025-02-05T00:00:00"/>
    <d v="2025-02-05T00:00:00"/>
    <m/>
    <s v="Pagamento"/>
    <n v="330423395"/>
    <x v="2"/>
    <m/>
    <s v="JOSEAS GOMES HERCULANO JUNIOR,"/>
    <n v="170525"/>
    <m/>
    <m/>
  </r>
  <r>
    <m/>
    <s v="Pagamento"/>
    <n v="330423396"/>
    <s v="BRL"/>
    <n v="12"/>
    <n v="12"/>
    <m/>
    <m/>
    <m/>
    <d v="2025-02-05T00:00:00"/>
    <d v="2025-02-05T00:00:00"/>
    <m/>
    <s v="Pagamento"/>
    <n v="330423396"/>
    <x v="2"/>
    <m/>
    <s v="JOSIANE RUSZKI DOS SANTOS,"/>
    <n v="170525"/>
    <m/>
    <m/>
  </r>
  <r>
    <m/>
    <s v="Pagamento"/>
    <n v="330423397"/>
    <s v="BRL"/>
    <n v="137.30000000000001"/>
    <n v="137.30000000000001"/>
    <m/>
    <m/>
    <m/>
    <d v="2025-02-05T00:00:00"/>
    <d v="2025-02-05T00:00:00"/>
    <m/>
    <s v="Pagamento"/>
    <n v="330423397"/>
    <x v="2"/>
    <m/>
    <s v="JULIO SERGIO DE MORAES,"/>
    <n v="170525"/>
    <m/>
    <m/>
  </r>
  <r>
    <m/>
    <s v="Pagamento"/>
    <n v="330423398"/>
    <s v="BRL"/>
    <n v="455.24"/>
    <n v="455.24"/>
    <m/>
    <m/>
    <m/>
    <d v="2025-02-05T00:00:00"/>
    <d v="2025-02-05T00:00:00"/>
    <m/>
    <s v="Pagamento"/>
    <n v="330423398"/>
    <x v="2"/>
    <m/>
    <s v="KENNIA DIAS DE SOUSA,"/>
    <n v="170525"/>
    <m/>
    <m/>
  </r>
  <r>
    <m/>
    <s v="Pagamento"/>
    <n v="330423399"/>
    <s v="BRL"/>
    <n v="1462.5"/>
    <n v="1462.5"/>
    <m/>
    <m/>
    <m/>
    <d v="2025-02-05T00:00:00"/>
    <d v="2025-02-05T00:00:00"/>
    <m/>
    <s v="Pagamento"/>
    <n v="330423399"/>
    <x v="2"/>
    <m/>
    <s v="KLEBERSON ANDRE DOS SANTOS,"/>
    <n v="170525"/>
    <m/>
    <m/>
  </r>
  <r>
    <m/>
    <s v="Pagamento"/>
    <n v="330423400"/>
    <s v="BRL"/>
    <n v="204.7"/>
    <n v="204.7"/>
    <m/>
    <m/>
    <m/>
    <d v="2025-02-05T00:00:00"/>
    <d v="2025-02-05T00:00:00"/>
    <m/>
    <s v="Pagamento"/>
    <n v="330423400"/>
    <x v="2"/>
    <m/>
    <s v="LAURO MARCHIORO DOS SANTOS,"/>
    <n v="170525"/>
    <m/>
    <m/>
  </r>
  <r>
    <m/>
    <s v="Pagamento"/>
    <n v="330423401"/>
    <s v="BRL"/>
    <n v="455.24"/>
    <n v="455.24"/>
    <m/>
    <m/>
    <m/>
    <d v="2025-02-05T00:00:00"/>
    <d v="2025-02-05T00:00:00"/>
    <m/>
    <s v="Pagamento"/>
    <n v="330423401"/>
    <x v="2"/>
    <m/>
    <s v="LEANDRO  NAKAGAWA,"/>
    <n v="170525"/>
    <m/>
    <m/>
  </r>
  <r>
    <m/>
    <s v="Pagamento"/>
    <n v="330423402"/>
    <s v="BRL"/>
    <n v="2"/>
    <n v="2"/>
    <m/>
    <m/>
    <m/>
    <d v="2025-02-05T00:00:00"/>
    <d v="2025-02-05T00:00:00"/>
    <m/>
    <s v="Pagamento"/>
    <n v="330423402"/>
    <x v="2"/>
    <m/>
    <s v="LEONARDO BRAVIM LAURO,"/>
    <n v="170525"/>
    <m/>
    <m/>
  </r>
  <r>
    <m/>
    <s v="Pagamento"/>
    <n v="330423403"/>
    <s v="BRL"/>
    <n v="112.48"/>
    <n v="112.48"/>
    <m/>
    <m/>
    <m/>
    <d v="2025-02-05T00:00:00"/>
    <d v="2025-02-05T00:00:00"/>
    <m/>
    <s v="Pagamento"/>
    <n v="330423403"/>
    <x v="2"/>
    <m/>
    <s v="LEONARDO FERNANDES LEAO,"/>
    <n v="170525"/>
    <m/>
    <m/>
  </r>
  <r>
    <m/>
    <s v="Pagamento"/>
    <n v="330423404"/>
    <s v="BRL"/>
    <n v="163.95"/>
    <n v="163.95"/>
    <m/>
    <m/>
    <m/>
    <d v="2025-02-05T00:00:00"/>
    <d v="2025-02-05T00:00:00"/>
    <m/>
    <s v="Pagamento"/>
    <n v="330423404"/>
    <x v="2"/>
    <m/>
    <s v="LIDIA DE FRANCO,"/>
    <n v="170525"/>
    <m/>
    <m/>
  </r>
  <r>
    <m/>
    <s v="Pagamento"/>
    <n v="330423405"/>
    <s v="BRL"/>
    <n v="21.5"/>
    <n v="21.5"/>
    <m/>
    <m/>
    <m/>
    <d v="2025-02-05T00:00:00"/>
    <d v="2025-02-05T00:00:00"/>
    <m/>
    <s v="Pagamento"/>
    <n v="330423405"/>
    <x v="2"/>
    <m/>
    <s v="LUANA APARECIDA ZIBIKOSKY,"/>
    <n v="170525"/>
    <m/>
    <m/>
  </r>
  <r>
    <m/>
    <s v="Pagamento"/>
    <n v="330423406"/>
    <s v="BRL"/>
    <n v="570"/>
    <n v="570"/>
    <m/>
    <m/>
    <m/>
    <d v="2025-02-05T00:00:00"/>
    <d v="2025-02-05T00:00:00"/>
    <m/>
    <s v="Pagamento"/>
    <n v="330423406"/>
    <x v="2"/>
    <m/>
    <s v="LUANA GUIMARAES PEREIRA,"/>
    <n v="170525"/>
    <m/>
    <m/>
  </r>
  <r>
    <m/>
    <s v="Pagamento"/>
    <n v="330423407"/>
    <s v="BRL"/>
    <n v="1365.72"/>
    <n v="1365.72"/>
    <m/>
    <m/>
    <m/>
    <d v="2025-02-05T00:00:00"/>
    <d v="2025-02-05T00:00:00"/>
    <m/>
    <s v="Pagamento"/>
    <n v="330423407"/>
    <x v="2"/>
    <m/>
    <s v="LUANA OLIVEIRA DA SILVA,"/>
    <n v="170525"/>
    <m/>
    <m/>
  </r>
  <r>
    <m/>
    <s v="Pagamento"/>
    <n v="330423408"/>
    <s v="BRL"/>
    <n v="251.83"/>
    <n v="251.83"/>
    <m/>
    <m/>
    <m/>
    <d v="2025-02-05T00:00:00"/>
    <d v="2025-02-05T00:00:00"/>
    <m/>
    <s v="Pagamento"/>
    <n v="330423408"/>
    <x v="2"/>
    <m/>
    <s v="LUCAS ARRUDA NETO,"/>
    <n v="170525"/>
    <m/>
    <m/>
  </r>
  <r>
    <m/>
    <s v="Pagamento"/>
    <n v="330423409"/>
    <s v="BRL"/>
    <n v="455.24"/>
    <n v="455.24"/>
    <m/>
    <m/>
    <m/>
    <d v="2025-02-05T00:00:00"/>
    <d v="2025-02-05T00:00:00"/>
    <m/>
    <s v="Pagamento"/>
    <n v="330423409"/>
    <x v="2"/>
    <m/>
    <s v="LUCAS LOPES SILVA,"/>
    <n v="170525"/>
    <m/>
    <m/>
  </r>
  <r>
    <m/>
    <s v="Pagamento"/>
    <n v="330423410"/>
    <s v="BRL"/>
    <n v="73"/>
    <n v="73"/>
    <m/>
    <m/>
    <m/>
    <d v="2025-02-05T00:00:00"/>
    <d v="2025-02-05T00:00:00"/>
    <m/>
    <s v="Pagamento"/>
    <n v="330423410"/>
    <x v="2"/>
    <m/>
    <s v="LUCIANO ALVES PEREIRA,"/>
    <n v="170525"/>
    <m/>
    <m/>
  </r>
  <r>
    <m/>
    <s v="Pagamento"/>
    <n v="330423411"/>
    <s v="BRL"/>
    <n v="163.15"/>
    <n v="163.15"/>
    <m/>
    <m/>
    <m/>
    <d v="2025-02-05T00:00:00"/>
    <d v="2025-02-05T00:00:00"/>
    <m/>
    <s v="Pagamento"/>
    <n v="330423411"/>
    <x v="2"/>
    <m/>
    <s v="LUCIENE FERREIRA RIBEIRO,"/>
    <n v="170525"/>
    <m/>
    <m/>
  </r>
  <r>
    <m/>
    <s v="Pagamento"/>
    <n v="330423412"/>
    <s v="BRL"/>
    <n v="432.26"/>
    <n v="432.26"/>
    <m/>
    <m/>
    <m/>
    <d v="2025-02-05T00:00:00"/>
    <d v="2025-02-05T00:00:00"/>
    <m/>
    <s v="Pagamento"/>
    <n v="330423412"/>
    <x v="2"/>
    <m/>
    <s v="LUCIVAL BRITO LIMA,"/>
    <n v="170525"/>
    <m/>
    <m/>
  </r>
  <r>
    <m/>
    <s v="Pagamento"/>
    <n v="330423413"/>
    <s v="BRL"/>
    <n v="18.78"/>
    <n v="18.78"/>
    <m/>
    <m/>
    <m/>
    <d v="2025-02-05T00:00:00"/>
    <d v="2025-02-05T00:00:00"/>
    <m/>
    <s v="Pagamento"/>
    <n v="330423413"/>
    <x v="2"/>
    <m/>
    <s v="LUIZ ALBERTO SICHIERI,"/>
    <n v="170525"/>
    <m/>
    <m/>
  </r>
  <r>
    <m/>
    <s v="Pagamento"/>
    <n v="330423414"/>
    <s v="BRL"/>
    <n v="6"/>
    <n v="6"/>
    <m/>
    <m/>
    <m/>
    <d v="2025-02-05T00:00:00"/>
    <d v="2025-02-05T00:00:00"/>
    <m/>
    <s v="Pagamento"/>
    <n v="330423414"/>
    <x v="2"/>
    <m/>
    <s v="LUIZ CARLOS VIEIRA DA ROSA,"/>
    <n v="170525"/>
    <m/>
    <m/>
  </r>
  <r>
    <m/>
    <s v="Pagamento"/>
    <n v="330423415"/>
    <s v="BRL"/>
    <n v="122.38"/>
    <n v="122.38"/>
    <m/>
    <m/>
    <m/>
    <d v="2025-02-05T00:00:00"/>
    <d v="2025-02-05T00:00:00"/>
    <m/>
    <s v="Pagamento"/>
    <n v="330423415"/>
    <x v="2"/>
    <m/>
    <s v="LUIZ GUSTAVO MOREIRA DOS REIS,"/>
    <n v="170525"/>
    <m/>
    <m/>
  </r>
  <r>
    <m/>
    <s v="Pagamento"/>
    <n v="330423416"/>
    <s v="BRL"/>
    <n v="1503.25"/>
    <n v="1503.25"/>
    <m/>
    <m/>
    <m/>
    <d v="2025-02-05T00:00:00"/>
    <d v="2025-02-05T00:00:00"/>
    <m/>
    <s v="Pagamento"/>
    <n v="330423416"/>
    <x v="2"/>
    <m/>
    <s v="LUIZ MARIA DA SILVA,"/>
    <n v="170525"/>
    <m/>
    <m/>
  </r>
  <r>
    <m/>
    <s v="Pagamento"/>
    <n v="330423417"/>
    <s v="BRL"/>
    <n v="52.63"/>
    <n v="52.63"/>
    <m/>
    <m/>
    <m/>
    <d v="2025-02-05T00:00:00"/>
    <d v="2025-02-05T00:00:00"/>
    <m/>
    <s v="Pagamento"/>
    <n v="330423417"/>
    <x v="2"/>
    <m/>
    <s v="MARCELO BERTO DE SOUZA E SILVA,"/>
    <n v="170525"/>
    <m/>
    <m/>
  </r>
  <r>
    <m/>
    <s v="Pagamento"/>
    <n v="330423418"/>
    <s v="BRL"/>
    <n v="158.13999999999999"/>
    <n v="158.13999999999999"/>
    <m/>
    <m/>
    <m/>
    <d v="2025-02-05T00:00:00"/>
    <d v="2025-02-05T00:00:00"/>
    <m/>
    <s v="Pagamento"/>
    <n v="330423418"/>
    <x v="2"/>
    <m/>
    <s v="MARCO AURELIO DA SILVA BERSOT,"/>
    <n v="170525"/>
    <m/>
    <m/>
  </r>
  <r>
    <m/>
    <s v="Pagamento"/>
    <n v="330423419"/>
    <s v="BRL"/>
    <n v="455.24"/>
    <n v="455.24"/>
    <m/>
    <m/>
    <m/>
    <d v="2025-02-05T00:00:00"/>
    <d v="2025-02-05T00:00:00"/>
    <m/>
    <s v="Pagamento"/>
    <n v="330423419"/>
    <x v="2"/>
    <m/>
    <s v="MARCOS MOTA DO VALE,"/>
    <n v="170525"/>
    <m/>
    <m/>
  </r>
  <r>
    <m/>
    <s v="Pagamento"/>
    <n v="330423420"/>
    <s v="BRL"/>
    <n v="455.24"/>
    <n v="455.24"/>
    <m/>
    <m/>
    <m/>
    <d v="2025-02-05T00:00:00"/>
    <d v="2025-02-05T00:00:00"/>
    <m/>
    <s v="Pagamento"/>
    <n v="330423420"/>
    <x v="2"/>
    <m/>
    <s v="MARCOS PAULO ASSIS FONTES,"/>
    <n v="170525"/>
    <m/>
    <m/>
  </r>
  <r>
    <m/>
    <s v="Pagamento"/>
    <n v="330423421"/>
    <s v="BRL"/>
    <n v="469.04"/>
    <n v="469.04"/>
    <m/>
    <m/>
    <m/>
    <d v="2025-02-05T00:00:00"/>
    <d v="2025-02-05T00:00:00"/>
    <m/>
    <s v="Pagamento"/>
    <n v="330423421"/>
    <x v="2"/>
    <m/>
    <s v="MARCOS PAULO DA SILVA ERBAS JUNIOR"/>
    <n v="170525"/>
    <m/>
    <m/>
  </r>
  <r>
    <m/>
    <s v="Pagamento"/>
    <n v="330423422"/>
    <s v="BRL"/>
    <n v="455.24"/>
    <n v="455.24"/>
    <m/>
    <m/>
    <m/>
    <d v="2025-02-05T00:00:00"/>
    <d v="2025-02-05T00:00:00"/>
    <m/>
    <s v="Pagamento"/>
    <n v="330423422"/>
    <x v="2"/>
    <m/>
    <s v="MARIA ALDENIR DOS SANTOS SOUSA,"/>
    <n v="170525"/>
    <m/>
    <m/>
  </r>
  <r>
    <m/>
    <s v="Pagamento"/>
    <n v="330423423"/>
    <s v="BRL"/>
    <n v="6"/>
    <n v="6"/>
    <m/>
    <m/>
    <m/>
    <d v="2025-02-05T00:00:00"/>
    <d v="2025-02-05T00:00:00"/>
    <m/>
    <s v="Pagamento"/>
    <n v="330423423"/>
    <x v="2"/>
    <m/>
    <s v="MARIO JORGE BRIME,"/>
    <n v="170525"/>
    <m/>
    <m/>
  </r>
  <r>
    <m/>
    <s v="Pagamento"/>
    <n v="330423424"/>
    <s v="BRL"/>
    <n v="694.89"/>
    <n v="694.89"/>
    <m/>
    <m/>
    <m/>
    <d v="2025-02-05T00:00:00"/>
    <d v="2025-02-05T00:00:00"/>
    <m/>
    <s v="Pagamento"/>
    <n v="330423424"/>
    <x v="2"/>
    <m/>
    <s v="MOACYR BRAGA DOS SANTOS JUNIOR,"/>
    <n v="170525"/>
    <m/>
    <m/>
  </r>
  <r>
    <m/>
    <s v="Pagamento"/>
    <n v="330423425"/>
    <s v="BRL"/>
    <n v="18.39"/>
    <n v="18.39"/>
    <m/>
    <m/>
    <m/>
    <d v="2025-02-05T00:00:00"/>
    <d v="2025-02-05T00:00:00"/>
    <m/>
    <s v="Pagamento"/>
    <n v="330423425"/>
    <x v="2"/>
    <m/>
    <s v="MURILO ALBERTO DE SOUZA AGUIAR,"/>
    <n v="170525"/>
    <m/>
    <m/>
  </r>
  <r>
    <m/>
    <s v="Pagamento"/>
    <n v="330423426"/>
    <s v="BRL"/>
    <n v="455.24"/>
    <n v="455.24"/>
    <m/>
    <m/>
    <m/>
    <d v="2025-02-05T00:00:00"/>
    <d v="2025-02-05T00:00:00"/>
    <m/>
    <s v="Pagamento"/>
    <n v="330423426"/>
    <x v="2"/>
    <m/>
    <s v="OCTAVIO AUGUSTO MENDES BATISTA GUIMARAES,"/>
    <n v="170525"/>
    <m/>
    <m/>
  </r>
  <r>
    <m/>
    <s v="Pagamento"/>
    <n v="330423427"/>
    <s v="BRL"/>
    <n v="2190.11"/>
    <n v="2190.11"/>
    <m/>
    <m/>
    <m/>
    <d v="2025-02-05T00:00:00"/>
    <d v="2025-02-05T00:00:00"/>
    <m/>
    <s v="Pagamento"/>
    <n v="330423427"/>
    <x v="2"/>
    <m/>
    <s v="OLIVIO PAZ DE OLIVEIRA JUNIOR,"/>
    <n v="170525"/>
    <m/>
    <m/>
  </r>
  <r>
    <m/>
    <s v="Pagamento"/>
    <n v="330423428"/>
    <s v="BRL"/>
    <n v="35.799999999999997"/>
    <n v="35.799999999999997"/>
    <m/>
    <m/>
    <m/>
    <d v="2025-02-05T00:00:00"/>
    <d v="2025-02-05T00:00:00"/>
    <m/>
    <s v="Pagamento"/>
    <n v="330423428"/>
    <x v="2"/>
    <m/>
    <s v="PATRICIA GOMES VALENTE,"/>
    <n v="170525"/>
    <m/>
    <m/>
  </r>
  <r>
    <m/>
    <s v="Pagamento"/>
    <n v="330423429"/>
    <s v="BRL"/>
    <n v="69.42"/>
    <n v="69.42"/>
    <m/>
    <m/>
    <m/>
    <d v="2025-02-05T00:00:00"/>
    <d v="2025-02-05T00:00:00"/>
    <m/>
    <s v="Pagamento"/>
    <n v="330423429"/>
    <x v="2"/>
    <m/>
    <s v="PAULO CESAR BRITO DAS NEVES,"/>
    <n v="170525"/>
    <m/>
    <m/>
  </r>
  <r>
    <m/>
    <s v="Pagamento"/>
    <n v="330423430"/>
    <s v="BRL"/>
    <n v="820.99"/>
    <n v="820.99"/>
    <m/>
    <m/>
    <m/>
    <d v="2025-02-05T00:00:00"/>
    <d v="2025-02-05T00:00:00"/>
    <m/>
    <s v="Pagamento"/>
    <n v="330423430"/>
    <x v="2"/>
    <m/>
    <s v="PAULO FRANCISCO CARVALHO ARAUJO,"/>
    <n v="170525"/>
    <m/>
    <m/>
  </r>
  <r>
    <m/>
    <s v="Pagamento"/>
    <n v="330423431"/>
    <s v="BRL"/>
    <n v="36.78"/>
    <n v="36.78"/>
    <m/>
    <m/>
    <m/>
    <d v="2025-02-05T00:00:00"/>
    <d v="2025-02-05T00:00:00"/>
    <m/>
    <s v="Pagamento"/>
    <n v="330423431"/>
    <x v="2"/>
    <m/>
    <s v="PAULO LIMA BITTENCOURT,"/>
    <n v="170525"/>
    <m/>
    <m/>
  </r>
  <r>
    <m/>
    <s v="Pagamento"/>
    <n v="330423432"/>
    <s v="BRL"/>
    <n v="1054"/>
    <n v="1054"/>
    <m/>
    <m/>
    <m/>
    <d v="2025-02-05T00:00:00"/>
    <d v="2025-02-05T00:00:00"/>
    <m/>
    <s v="Pagamento"/>
    <n v="330423432"/>
    <x v="2"/>
    <m/>
    <s v="PAULO VIEIRA OLIVEIRA,"/>
    <n v="170525"/>
    <m/>
    <m/>
  </r>
  <r>
    <m/>
    <s v="Pagamento"/>
    <n v="330423433"/>
    <s v="BRL"/>
    <n v="26.45"/>
    <n v="26.45"/>
    <m/>
    <m/>
    <m/>
    <d v="2025-02-05T00:00:00"/>
    <d v="2025-02-05T00:00:00"/>
    <m/>
    <s v="Pagamento"/>
    <n v="330423433"/>
    <x v="2"/>
    <m/>
    <s v="REGINA CELIA SANTOS,"/>
    <n v="170525"/>
    <m/>
    <m/>
  </r>
  <r>
    <m/>
    <s v="Pagamento"/>
    <n v="330423434"/>
    <s v="BRL"/>
    <n v="432.26"/>
    <n v="432.26"/>
    <m/>
    <m/>
    <m/>
    <d v="2025-02-05T00:00:00"/>
    <d v="2025-02-05T00:00:00"/>
    <m/>
    <s v="Pagamento"/>
    <n v="330423434"/>
    <x v="2"/>
    <m/>
    <s v="RENATO FERREIRA GONDIM,"/>
    <n v="170525"/>
    <m/>
    <m/>
  </r>
  <r>
    <m/>
    <s v="Pagamento"/>
    <n v="330423435"/>
    <s v="BRL"/>
    <n v="1684.29"/>
    <n v="1684.29"/>
    <m/>
    <m/>
    <m/>
    <d v="2025-02-05T00:00:00"/>
    <d v="2025-02-05T00:00:00"/>
    <m/>
    <s v="Pagamento"/>
    <n v="330423435"/>
    <x v="2"/>
    <m/>
    <s v="RHUANDRY DE OLIVEIRA,"/>
    <n v="170525"/>
    <m/>
    <m/>
  </r>
  <r>
    <m/>
    <s v="Pagamento"/>
    <n v="330423436"/>
    <s v="BRL"/>
    <n v="28.85"/>
    <n v="28.85"/>
    <m/>
    <m/>
    <m/>
    <d v="2025-02-05T00:00:00"/>
    <d v="2025-02-05T00:00:00"/>
    <m/>
    <s v="Pagamento"/>
    <n v="330423436"/>
    <x v="2"/>
    <m/>
    <s v="RINALDO DE LIMA DUARTE,"/>
    <n v="170525"/>
    <m/>
    <m/>
  </r>
  <r>
    <m/>
    <s v="Pagamento"/>
    <n v="330423437"/>
    <s v="BRL"/>
    <n v="299.99"/>
    <n v="299.99"/>
    <m/>
    <m/>
    <m/>
    <d v="2025-02-05T00:00:00"/>
    <d v="2025-02-05T00:00:00"/>
    <m/>
    <s v="Pagamento"/>
    <n v="330423437"/>
    <x v="2"/>
    <m/>
    <s v="RINALDO DE SENA BIANCO,"/>
    <n v="170525"/>
    <m/>
    <m/>
  </r>
  <r>
    <m/>
    <s v="Pagamento"/>
    <n v="330423438"/>
    <s v="BRL"/>
    <n v="455.24"/>
    <n v="455.24"/>
    <m/>
    <m/>
    <m/>
    <d v="2025-02-05T00:00:00"/>
    <d v="2025-02-05T00:00:00"/>
    <m/>
    <s v="Pagamento"/>
    <n v="330423438"/>
    <x v="2"/>
    <m/>
    <s v="ROBSON DA SILVA RODRIGUES,"/>
    <n v="170525"/>
    <m/>
    <m/>
  </r>
  <r>
    <m/>
    <s v="Pagamento"/>
    <n v="330423439"/>
    <s v="BRL"/>
    <n v="241.38"/>
    <n v="241.38"/>
    <m/>
    <m/>
    <m/>
    <d v="2025-02-05T00:00:00"/>
    <d v="2025-02-05T00:00:00"/>
    <m/>
    <s v="Pagamento"/>
    <n v="330423439"/>
    <x v="2"/>
    <m/>
    <s v="ROBSON MARTINI SILVA,"/>
    <n v="170525"/>
    <m/>
    <m/>
  </r>
  <r>
    <m/>
    <s v="Pagamento"/>
    <n v="330423440"/>
    <s v="BRL"/>
    <n v="518.26"/>
    <n v="518.26"/>
    <m/>
    <m/>
    <m/>
    <d v="2025-02-05T00:00:00"/>
    <d v="2025-02-05T00:00:00"/>
    <m/>
    <s v="Pagamento"/>
    <n v="330423440"/>
    <x v="2"/>
    <m/>
    <s v="RODRIGO GALVAO DE ALMEIDA,"/>
    <n v="170525"/>
    <m/>
    <m/>
  </r>
  <r>
    <m/>
    <s v="Pagamento"/>
    <n v="330423441"/>
    <s v="BRL"/>
    <n v="43.1"/>
    <n v="43.1"/>
    <m/>
    <m/>
    <m/>
    <d v="2025-02-05T00:00:00"/>
    <d v="2025-02-05T00:00:00"/>
    <m/>
    <s v="Pagamento"/>
    <n v="330423441"/>
    <x v="2"/>
    <m/>
    <s v="ROGERIO CESAR ALVES DO NASCIMENTO,"/>
    <n v="170525"/>
    <m/>
    <m/>
  </r>
  <r>
    <m/>
    <s v="Pagamento"/>
    <n v="330423442"/>
    <s v="BRL"/>
    <n v="100.65"/>
    <n v="100.65"/>
    <m/>
    <m/>
    <m/>
    <d v="2025-02-05T00:00:00"/>
    <d v="2025-02-05T00:00:00"/>
    <m/>
    <s v="Pagamento"/>
    <n v="330423442"/>
    <x v="2"/>
    <m/>
    <s v="ROGERIO DE OLIVEIRA FELIX,"/>
    <n v="170525"/>
    <m/>
    <m/>
  </r>
  <r>
    <m/>
    <s v="Pagamento"/>
    <n v="330423443"/>
    <s v="BRL"/>
    <n v="16"/>
    <n v="16"/>
    <m/>
    <m/>
    <m/>
    <d v="2025-02-05T00:00:00"/>
    <d v="2025-02-05T00:00:00"/>
    <m/>
    <s v="Pagamento"/>
    <n v="330423443"/>
    <x v="2"/>
    <m/>
    <s v="ROGERIO SILVA ALVES,"/>
    <n v="170525"/>
    <m/>
    <m/>
  </r>
  <r>
    <m/>
    <s v="Pagamento"/>
    <n v="330423444"/>
    <s v="BRL"/>
    <n v="783.48"/>
    <n v="783.48"/>
    <m/>
    <m/>
    <m/>
    <d v="2025-02-05T00:00:00"/>
    <d v="2025-02-05T00:00:00"/>
    <m/>
    <s v="Pagamento"/>
    <n v="330423444"/>
    <x v="2"/>
    <m/>
    <s v="RONALDO DE SOUZA ANUNCIACAO,"/>
    <n v="170525"/>
    <m/>
    <m/>
  </r>
  <r>
    <m/>
    <s v="Pagamento"/>
    <n v="330423445"/>
    <s v="BRL"/>
    <n v="795.17"/>
    <n v="795.17"/>
    <m/>
    <m/>
    <m/>
    <d v="2025-02-05T00:00:00"/>
    <d v="2025-02-05T00:00:00"/>
    <m/>
    <s v="Pagamento"/>
    <n v="330423445"/>
    <x v="2"/>
    <m/>
    <s v="ROSIANE PEPPLOW FAGUNDES DE OLIVEIRA,"/>
    <n v="170525"/>
    <m/>
    <m/>
  </r>
  <r>
    <m/>
    <s v="Pagamento"/>
    <n v="330423446"/>
    <s v="BRL"/>
    <n v="12"/>
    <n v="12"/>
    <m/>
    <m/>
    <m/>
    <d v="2025-02-05T00:00:00"/>
    <d v="2025-02-05T00:00:00"/>
    <m/>
    <s v="Pagamento"/>
    <n v="330423446"/>
    <x v="2"/>
    <m/>
    <s v="ROSIMAR JANE DA SILVA,"/>
    <n v="170525"/>
    <m/>
    <m/>
  </r>
  <r>
    <m/>
    <s v="Pagamento"/>
    <n v="330423447"/>
    <s v="BRL"/>
    <n v="675"/>
    <n v="675"/>
    <m/>
    <m/>
    <m/>
    <d v="2025-02-05T00:00:00"/>
    <d v="2025-02-05T00:00:00"/>
    <m/>
    <s v="Pagamento"/>
    <n v="330423447"/>
    <x v="2"/>
    <m/>
    <s v="RUBEM DE MELLO CARDOZO,"/>
    <n v="170525"/>
    <m/>
    <m/>
  </r>
  <r>
    <m/>
    <s v="Pagamento"/>
    <n v="330423448"/>
    <s v="BRL"/>
    <n v="910.48"/>
    <n v="910.48"/>
    <m/>
    <m/>
    <m/>
    <d v="2025-02-05T00:00:00"/>
    <d v="2025-02-05T00:00:00"/>
    <m/>
    <s v="Pagamento"/>
    <n v="330423448"/>
    <x v="2"/>
    <m/>
    <s v="RUBIA PRISCILA WESSLER DE CARVALHO WAGNER,"/>
    <n v="170525"/>
    <m/>
    <m/>
  </r>
  <r>
    <m/>
    <s v="Pagamento"/>
    <n v="330423449"/>
    <s v="BRL"/>
    <n v="12"/>
    <n v="12"/>
    <m/>
    <m/>
    <m/>
    <d v="2025-02-05T00:00:00"/>
    <d v="2025-02-05T00:00:00"/>
    <m/>
    <s v="Pagamento"/>
    <n v="330423449"/>
    <x v="2"/>
    <m/>
    <s v="SILENE DO ROCIO ARAUJO SALGADO RIBEIRO,"/>
    <n v="170525"/>
    <m/>
    <m/>
  </r>
  <r>
    <m/>
    <s v="Pagamento"/>
    <n v="330423450"/>
    <s v="BRL"/>
    <n v="1233"/>
    <n v="1233"/>
    <m/>
    <m/>
    <m/>
    <d v="2025-02-05T00:00:00"/>
    <d v="2025-02-05T00:00:00"/>
    <m/>
    <s v="Pagamento"/>
    <n v="330423450"/>
    <x v="2"/>
    <m/>
    <s v="SOLANGE JARINA PANTOJA DA COSTA,"/>
    <n v="170525"/>
    <m/>
    <m/>
  </r>
  <r>
    <m/>
    <s v="Pagamento"/>
    <n v="330423451"/>
    <s v="BRL"/>
    <n v="12"/>
    <n v="12"/>
    <m/>
    <m/>
    <m/>
    <d v="2025-02-05T00:00:00"/>
    <d v="2025-02-05T00:00:00"/>
    <m/>
    <s v="Pagamento"/>
    <n v="330423451"/>
    <x v="2"/>
    <m/>
    <s v="SUSAMARA DOS SANTOS,"/>
    <n v="170525"/>
    <m/>
    <m/>
  </r>
  <r>
    <m/>
    <s v="Pagamento"/>
    <n v="330423452"/>
    <s v="BRL"/>
    <n v="111.67"/>
    <n v="111.67"/>
    <m/>
    <m/>
    <m/>
    <d v="2025-02-05T00:00:00"/>
    <d v="2025-02-05T00:00:00"/>
    <m/>
    <s v="Pagamento"/>
    <n v="330423452"/>
    <x v="2"/>
    <m/>
    <s v="TAYNA DE SA ARRUDA RIBEIRO,"/>
    <n v="170525"/>
    <m/>
    <m/>
  </r>
  <r>
    <m/>
    <s v="Pagamento"/>
    <n v="330423453"/>
    <s v="BRL"/>
    <n v="455.24"/>
    <n v="455.24"/>
    <m/>
    <m/>
    <m/>
    <d v="2025-02-05T00:00:00"/>
    <d v="2025-02-05T00:00:00"/>
    <m/>
    <s v="Pagamento"/>
    <n v="330423453"/>
    <x v="2"/>
    <m/>
    <s v="THALES ALBERTO CAMBUI,"/>
    <n v="170525"/>
    <m/>
    <m/>
  </r>
  <r>
    <m/>
    <s v="Pagamento"/>
    <n v="330423454"/>
    <s v="BRL"/>
    <n v="432.26"/>
    <n v="432.26"/>
    <m/>
    <m/>
    <m/>
    <d v="2025-02-05T00:00:00"/>
    <d v="2025-02-05T00:00:00"/>
    <m/>
    <s v="Pagamento"/>
    <n v="330423454"/>
    <x v="2"/>
    <m/>
    <s v="THIAGO JUNIOR DA MATA"/>
    <n v="170525"/>
    <m/>
    <m/>
  </r>
  <r>
    <m/>
    <s v="Pagamento"/>
    <n v="330423455"/>
    <s v="BRL"/>
    <n v="681.65"/>
    <n v="681.65"/>
    <m/>
    <m/>
    <m/>
    <d v="2025-02-05T00:00:00"/>
    <d v="2025-02-05T00:00:00"/>
    <m/>
    <s v="Pagamento"/>
    <n v="330423455"/>
    <x v="2"/>
    <m/>
    <s v="THIAGO WANDER CARNEIRO PROCOPIO,"/>
    <n v="170525"/>
    <m/>
    <m/>
  </r>
  <r>
    <m/>
    <s v="Pagamento"/>
    <n v="330423456"/>
    <s v="BRL"/>
    <n v="33.4"/>
    <n v="33.4"/>
    <m/>
    <m/>
    <m/>
    <d v="2025-02-05T00:00:00"/>
    <d v="2025-02-05T00:00:00"/>
    <m/>
    <s v="Pagamento"/>
    <n v="330423456"/>
    <x v="2"/>
    <m/>
    <s v="TULIO OLIVEIRA DE OLIVEIRA,"/>
    <n v="170525"/>
    <m/>
    <m/>
  </r>
  <r>
    <m/>
    <s v="Pagamento"/>
    <n v="330423457"/>
    <s v="BRL"/>
    <n v="350"/>
    <n v="350"/>
    <m/>
    <m/>
    <m/>
    <d v="2025-02-05T00:00:00"/>
    <d v="2025-02-05T00:00:00"/>
    <m/>
    <s v="Pagamento"/>
    <n v="330423457"/>
    <x v="2"/>
    <m/>
    <s v="UBIRAJARA GOMES DE ALMEIDA,"/>
    <n v="170525"/>
    <m/>
    <m/>
  </r>
  <r>
    <m/>
    <s v="Pagamento"/>
    <n v="330423458"/>
    <s v="BRL"/>
    <n v="1672.53"/>
    <n v="1672.53"/>
    <m/>
    <m/>
    <m/>
    <d v="2025-02-05T00:00:00"/>
    <d v="2025-02-05T00:00:00"/>
    <m/>
    <s v="Pagamento"/>
    <n v="330423458"/>
    <x v="2"/>
    <m/>
    <s v="VALDEMAR FRANCISCO DOS SANTOS JUNIOR,"/>
    <n v="170525"/>
    <m/>
    <m/>
  </r>
  <r>
    <m/>
    <s v="Pagamento"/>
    <n v="330423459"/>
    <s v="BRL"/>
    <n v="1127.07"/>
    <n v="1127.07"/>
    <m/>
    <m/>
    <m/>
    <d v="2025-02-05T00:00:00"/>
    <d v="2025-02-05T00:00:00"/>
    <m/>
    <s v="Pagamento"/>
    <n v="330423459"/>
    <x v="2"/>
    <m/>
    <s v="VALMIR LIRA DO NASCIMENTO,"/>
    <n v="170525"/>
    <m/>
    <m/>
  </r>
  <r>
    <m/>
    <s v="Pagamento"/>
    <n v="330423460"/>
    <s v="BRL"/>
    <n v="62.99"/>
    <n v="62.99"/>
    <m/>
    <m/>
    <m/>
    <d v="2025-02-05T00:00:00"/>
    <d v="2025-02-05T00:00:00"/>
    <m/>
    <s v="Pagamento"/>
    <n v="330423460"/>
    <x v="2"/>
    <m/>
    <s v="VINICIUS DA SILVA URACH,"/>
    <n v="170525"/>
    <m/>
    <m/>
  </r>
  <r>
    <m/>
    <s v="Pagamento"/>
    <n v="330423461"/>
    <s v="BRL"/>
    <n v="1127.07"/>
    <n v="1127.07"/>
    <m/>
    <m/>
    <m/>
    <d v="2025-02-05T00:00:00"/>
    <d v="2025-02-05T00:00:00"/>
    <m/>
    <s v="Pagamento"/>
    <n v="330423461"/>
    <x v="2"/>
    <m/>
    <s v="VITOR RAFAEL DE CASTRO BARROS,"/>
    <n v="170525"/>
    <m/>
    <m/>
  </r>
  <r>
    <m/>
    <s v="Pagamento"/>
    <n v="330423462"/>
    <s v="BRL"/>
    <n v="9.85"/>
    <n v="9.85"/>
    <m/>
    <m/>
    <m/>
    <d v="2025-02-05T00:00:00"/>
    <d v="2025-02-05T00:00:00"/>
    <m/>
    <s v="Pagamento"/>
    <n v="330423462"/>
    <x v="2"/>
    <m/>
    <s v="VIVIANE DOS SANTOS PEREIRA,"/>
    <n v="170525"/>
    <m/>
    <m/>
  </r>
  <r>
    <m/>
    <s v="Pagamento"/>
    <n v="330423463"/>
    <s v="BRL"/>
    <n v="6"/>
    <n v="6"/>
    <m/>
    <m/>
    <m/>
    <d v="2025-02-05T00:00:00"/>
    <d v="2025-02-05T00:00:00"/>
    <m/>
    <s v="Pagamento"/>
    <n v="330423463"/>
    <x v="2"/>
    <m/>
    <s v="VIVIANE MOTTIN SZOSTAK,"/>
    <n v="170525"/>
    <m/>
    <m/>
  </r>
  <r>
    <m/>
    <s v="Pagamento"/>
    <n v="330423464"/>
    <s v="BRL"/>
    <n v="19.07"/>
    <n v="19.07"/>
    <m/>
    <m/>
    <m/>
    <d v="2025-02-05T00:00:00"/>
    <d v="2025-02-05T00:00:00"/>
    <m/>
    <s v="Pagamento"/>
    <n v="330423464"/>
    <x v="2"/>
    <m/>
    <s v="WAGNER GONSALVES BARBOSA,"/>
    <n v="170525"/>
    <m/>
    <m/>
  </r>
  <r>
    <m/>
    <s v="Pagamento"/>
    <n v="330423465"/>
    <s v="BRL"/>
    <n v="380.5"/>
    <n v="380.5"/>
    <m/>
    <m/>
    <m/>
    <d v="2025-02-05T00:00:00"/>
    <d v="2025-02-05T00:00:00"/>
    <m/>
    <s v="Pagamento"/>
    <n v="330423465"/>
    <x v="2"/>
    <m/>
    <s v="WANDERSON ROSA DA SILVA,"/>
    <n v="170525"/>
    <m/>
    <m/>
  </r>
  <r>
    <m/>
    <s v="Pagamento"/>
    <n v="330423466"/>
    <s v="BRL"/>
    <n v="64.41"/>
    <n v="64.41"/>
    <m/>
    <m/>
    <m/>
    <d v="2025-02-05T00:00:00"/>
    <d v="2025-02-05T00:00:00"/>
    <m/>
    <s v="Pagamento"/>
    <n v="330423466"/>
    <x v="2"/>
    <m/>
    <s v="WANESSA PINHEIRO DE OLIVEIRA FERNANDES,"/>
    <n v="170525"/>
    <m/>
    <m/>
  </r>
  <r>
    <m/>
    <s v="Pagamento"/>
    <n v="330423467"/>
    <s v="BRL"/>
    <n v="154.80000000000001"/>
    <n v="154.80000000000001"/>
    <m/>
    <m/>
    <m/>
    <d v="2025-02-05T00:00:00"/>
    <d v="2025-02-05T00:00:00"/>
    <m/>
    <s v="Pagamento"/>
    <n v="330423467"/>
    <x v="2"/>
    <m/>
    <s v="WASHINGTON ANTONIO GALDINO DA COSTA JUNIOR,"/>
    <n v="170525"/>
    <m/>
    <m/>
  </r>
  <r>
    <m/>
    <s v="Pagamento"/>
    <n v="330423468"/>
    <s v="BRL"/>
    <n v="465.14"/>
    <n v="465.14"/>
    <m/>
    <m/>
    <m/>
    <d v="2025-02-05T00:00:00"/>
    <d v="2025-02-05T00:00:00"/>
    <m/>
    <s v="Pagamento"/>
    <n v="330423468"/>
    <x v="2"/>
    <m/>
    <s v="WEDERSON DA SILVA DE JESUS,"/>
    <n v="170525"/>
    <m/>
    <m/>
  </r>
  <r>
    <m/>
    <s v="Pagamento"/>
    <n v="330423469"/>
    <s v="BRL"/>
    <n v="901.3"/>
    <n v="901.3"/>
    <m/>
    <m/>
    <m/>
    <d v="2025-02-05T00:00:00"/>
    <d v="2025-02-05T00:00:00"/>
    <m/>
    <s v="Pagamento"/>
    <n v="330423469"/>
    <x v="2"/>
    <m/>
    <s v="WELLINGTON CARLOS DA CONCEICAO SILVA,"/>
    <n v="170525"/>
    <m/>
    <m/>
  </r>
  <r>
    <m/>
    <s v="Pagamento"/>
    <n v="330423470"/>
    <s v="BRL"/>
    <n v="335.91"/>
    <n v="335.91"/>
    <m/>
    <m/>
    <m/>
    <d v="2025-02-05T00:00:00"/>
    <d v="2025-02-05T00:00:00"/>
    <m/>
    <s v="Pagamento"/>
    <n v="330423470"/>
    <x v="2"/>
    <m/>
    <s v="WELSON DA SILVA RODRIGUES,"/>
    <n v="170525"/>
    <m/>
    <m/>
  </r>
  <r>
    <m/>
    <s v="Pagamento"/>
    <n v="330423471"/>
    <s v="BRL"/>
    <n v="208.8"/>
    <n v="208.8"/>
    <m/>
    <m/>
    <m/>
    <d v="2025-02-05T00:00:00"/>
    <d v="2025-02-05T00:00:00"/>
    <m/>
    <s v="Pagamento"/>
    <n v="330423471"/>
    <x v="2"/>
    <m/>
    <s v="WILLYAN  POLETO,"/>
    <n v="170525"/>
    <m/>
    <m/>
  </r>
  <r>
    <m/>
    <s v="Pagamento"/>
    <n v="330423472"/>
    <s v="BRL"/>
    <n v="40.700000000000003"/>
    <n v="40.700000000000003"/>
    <m/>
    <m/>
    <m/>
    <d v="2025-02-05T00:00:00"/>
    <d v="2025-02-05T00:00:00"/>
    <m/>
    <s v="Pagamento"/>
    <n v="330423472"/>
    <x v="2"/>
    <m/>
    <s v="WILTON SOUZA DOS SANTOS,"/>
    <n v="170525"/>
    <m/>
    <m/>
  </r>
  <r>
    <m/>
    <s v="Pagamento"/>
    <n v="330423474"/>
    <s v="BRL"/>
    <n v="500"/>
    <n v="500"/>
    <m/>
    <m/>
    <m/>
    <d v="2025-02-05T00:00:00"/>
    <d v="2025-02-05T00:00:00"/>
    <m/>
    <s v="Pagamento"/>
    <n v="330423474"/>
    <x v="3"/>
    <m/>
    <s v="CARLOS ALBERTO BARRA DE SA,"/>
    <n v="170526"/>
    <m/>
    <m/>
  </r>
  <r>
    <m/>
    <s v="Pagamento"/>
    <n v="330423475"/>
    <s v="BRL"/>
    <n v="500"/>
    <n v="500"/>
    <m/>
    <m/>
    <m/>
    <d v="2025-02-05T00:00:00"/>
    <d v="2025-02-05T00:00:00"/>
    <m/>
    <s v="Pagamento"/>
    <n v="330423475"/>
    <x v="3"/>
    <m/>
    <s v="CAROLINA DE MATTOS DE SOUZA,"/>
    <n v="170526"/>
    <m/>
    <m/>
  </r>
  <r>
    <m/>
    <s v="Pagamento"/>
    <n v="330423476"/>
    <s v="BRL"/>
    <n v="500"/>
    <n v="500"/>
    <m/>
    <m/>
    <m/>
    <d v="2025-02-05T00:00:00"/>
    <d v="2025-02-05T00:00:00"/>
    <m/>
    <s v="Pagamento"/>
    <n v="330423476"/>
    <x v="3"/>
    <m/>
    <s v="EDSON SOARES TEIXEIRA,"/>
    <n v="170526"/>
    <m/>
    <m/>
  </r>
  <r>
    <m/>
    <s v="Pagamento"/>
    <n v="330423477"/>
    <s v="BRL"/>
    <n v="500"/>
    <n v="500"/>
    <m/>
    <m/>
    <m/>
    <d v="2025-02-05T00:00:00"/>
    <d v="2025-02-05T00:00:00"/>
    <m/>
    <s v="Pagamento"/>
    <n v="330423477"/>
    <x v="3"/>
    <m/>
    <s v="FELIPE BARBOSA PALMA,"/>
    <n v="170526"/>
    <m/>
    <m/>
  </r>
  <r>
    <m/>
    <s v="Pagamento"/>
    <n v="330423478"/>
    <s v="BRL"/>
    <n v="500"/>
    <n v="500"/>
    <m/>
    <m/>
    <m/>
    <d v="2025-02-05T00:00:00"/>
    <d v="2025-02-05T00:00:00"/>
    <m/>
    <s v="Pagamento"/>
    <n v="330423478"/>
    <x v="3"/>
    <m/>
    <s v="IGOR JOSE NEVES ELIPECHUK,"/>
    <n v="170526"/>
    <m/>
    <m/>
  </r>
  <r>
    <m/>
    <s v="Pagamento"/>
    <n v="330423479"/>
    <s v="BRL"/>
    <n v="500"/>
    <n v="500"/>
    <m/>
    <m/>
    <m/>
    <d v="2025-02-05T00:00:00"/>
    <d v="2025-02-05T00:00:00"/>
    <m/>
    <s v="Pagamento"/>
    <n v="330423479"/>
    <x v="3"/>
    <m/>
    <s v="JEAN  WALTRICK,"/>
    <n v="170526"/>
    <m/>
    <m/>
  </r>
  <r>
    <m/>
    <s v="Pagamento"/>
    <n v="330423480"/>
    <s v="BRL"/>
    <n v="500"/>
    <n v="500"/>
    <m/>
    <m/>
    <m/>
    <d v="2025-02-05T00:00:00"/>
    <d v="2025-02-05T00:00:00"/>
    <m/>
    <s v="Pagamento"/>
    <n v="330423480"/>
    <x v="3"/>
    <m/>
    <s v="LEONARDO AFIUNE PEREIRA GOMES,"/>
    <n v="170526"/>
    <m/>
    <m/>
  </r>
  <r>
    <m/>
    <s v="Pagamento"/>
    <n v="330423481"/>
    <s v="BRL"/>
    <n v="500"/>
    <n v="500"/>
    <m/>
    <m/>
    <m/>
    <d v="2025-02-05T00:00:00"/>
    <d v="2025-02-05T00:00:00"/>
    <m/>
    <s v="Pagamento"/>
    <n v="330423481"/>
    <x v="3"/>
    <m/>
    <s v="MARCELO DE CASTRO STIVALETE,"/>
    <n v="170526"/>
    <m/>
    <m/>
  </r>
  <r>
    <m/>
    <s v="Pagamento"/>
    <n v="330423482"/>
    <s v="BRL"/>
    <n v="500"/>
    <n v="500"/>
    <m/>
    <m/>
    <m/>
    <d v="2025-02-05T00:00:00"/>
    <d v="2025-02-05T00:00:00"/>
    <m/>
    <s v="Pagamento"/>
    <n v="330423482"/>
    <x v="3"/>
    <m/>
    <s v="MIGUEL GILBERTO STUPKA,"/>
    <n v="170526"/>
    <m/>
    <m/>
  </r>
  <r>
    <m/>
    <s v="Pagamento"/>
    <n v="330423483"/>
    <s v="BRL"/>
    <n v="500"/>
    <n v="500"/>
    <m/>
    <m/>
    <m/>
    <d v="2025-02-05T00:00:00"/>
    <d v="2025-02-05T00:00:00"/>
    <m/>
    <s v="Pagamento"/>
    <n v="330423483"/>
    <x v="3"/>
    <m/>
    <s v="MONICA GUIZZARDI VAILLANT,"/>
    <n v="170526"/>
    <m/>
    <m/>
  </r>
  <r>
    <m/>
    <s v="Pagamento"/>
    <n v="330423484"/>
    <s v="BRL"/>
    <n v="500"/>
    <n v="500"/>
    <m/>
    <m/>
    <m/>
    <d v="2025-02-05T00:00:00"/>
    <d v="2025-02-05T00:00:00"/>
    <m/>
    <s v="Pagamento"/>
    <n v="330423484"/>
    <x v="3"/>
    <m/>
    <s v="RAFAEL APARECIDO DE CARVALHO,"/>
    <n v="170526"/>
    <m/>
    <m/>
  </r>
  <r>
    <m/>
    <s v="Pagamento"/>
    <n v="330423485"/>
    <s v="BRL"/>
    <n v="500"/>
    <n v="500"/>
    <m/>
    <m/>
    <m/>
    <d v="2025-02-05T00:00:00"/>
    <d v="2025-02-05T00:00:00"/>
    <m/>
    <s v="Pagamento"/>
    <n v="330423485"/>
    <x v="3"/>
    <m/>
    <s v="RAFAEL HENRIQUE PEREIRA CAIXETA,"/>
    <n v="170526"/>
    <m/>
    <m/>
  </r>
  <r>
    <m/>
    <s v="Pagamento"/>
    <n v="330423486"/>
    <s v="BRL"/>
    <n v="500"/>
    <n v="500"/>
    <m/>
    <m/>
    <m/>
    <d v="2025-02-05T00:00:00"/>
    <d v="2025-02-05T00:00:00"/>
    <m/>
    <s v="Pagamento"/>
    <n v="330423486"/>
    <x v="3"/>
    <m/>
    <s v="RAPHAEL GRUPILO NASCIMENTO,"/>
    <n v="170526"/>
    <m/>
    <m/>
  </r>
  <r>
    <m/>
    <s v="Pagamento"/>
    <n v="330423487"/>
    <s v="BRL"/>
    <n v="500"/>
    <n v="500"/>
    <m/>
    <m/>
    <m/>
    <d v="2025-02-05T00:00:00"/>
    <d v="2025-02-05T00:00:00"/>
    <m/>
    <s v="Pagamento"/>
    <n v="330423487"/>
    <x v="3"/>
    <m/>
    <s v="RENATO CEZAR DOS SANTOS,"/>
    <n v="170526"/>
    <m/>
    <m/>
  </r>
  <r>
    <m/>
    <s v="Pagamento"/>
    <n v="330423488"/>
    <s v="BRL"/>
    <n v="500"/>
    <n v="500"/>
    <m/>
    <m/>
    <m/>
    <d v="2025-02-05T00:00:00"/>
    <d v="2025-02-05T00:00:00"/>
    <m/>
    <s v="Pagamento"/>
    <n v="330423488"/>
    <x v="3"/>
    <m/>
    <s v="RICARDO  RODRIGUES,"/>
    <n v="170526"/>
    <m/>
    <m/>
  </r>
  <r>
    <m/>
    <s v="Pagamento"/>
    <n v="330423489"/>
    <s v="BRL"/>
    <n v="500"/>
    <n v="500"/>
    <m/>
    <m/>
    <m/>
    <d v="2025-02-05T00:00:00"/>
    <d v="2025-02-05T00:00:00"/>
    <m/>
    <s v="Pagamento"/>
    <n v="330423489"/>
    <x v="3"/>
    <m/>
    <s v="SANDRA LUIZA DE MOULAZ TOLEDO,"/>
    <n v="170526"/>
    <m/>
    <m/>
  </r>
  <r>
    <m/>
    <s v="Pagamento"/>
    <n v="330423490"/>
    <s v="BRL"/>
    <n v="500"/>
    <n v="500"/>
    <m/>
    <m/>
    <m/>
    <d v="2025-02-05T00:00:00"/>
    <d v="2025-02-05T00:00:00"/>
    <m/>
    <s v="Pagamento"/>
    <n v="330423490"/>
    <x v="3"/>
    <m/>
    <s v="SERGIO MARTINS DA SILVA,"/>
    <n v="170526"/>
    <m/>
    <m/>
  </r>
  <r>
    <m/>
    <s v="Pagamento"/>
    <n v="330423492"/>
    <s v="BRL"/>
    <n v="432.26"/>
    <n v="432.26"/>
    <m/>
    <m/>
    <m/>
    <d v="2025-02-05T00:00:00"/>
    <d v="2025-02-05T00:00:00"/>
    <m/>
    <s v="Pagamento"/>
    <n v="330423492"/>
    <x v="4"/>
    <m/>
    <s v="ALEX DEANS NUNES CUNHA,"/>
    <n v="170571"/>
    <m/>
    <m/>
  </r>
  <r>
    <m/>
    <s v="Pagamento"/>
    <n v="330423493"/>
    <s v="BRL"/>
    <n v="125"/>
    <n v="125"/>
    <m/>
    <m/>
    <m/>
    <d v="2025-02-05T00:00:00"/>
    <d v="2025-02-05T00:00:00"/>
    <m/>
    <s v="Pagamento"/>
    <n v="330423493"/>
    <x v="4"/>
    <m/>
    <s v="ALEXANDRE  MACHADO,"/>
    <n v="170571"/>
    <m/>
    <m/>
  </r>
  <r>
    <m/>
    <s v="Pagamento"/>
    <n v="330423494"/>
    <s v="BRL"/>
    <n v="283.56"/>
    <n v="283.56"/>
    <m/>
    <m/>
    <m/>
    <d v="2025-02-05T00:00:00"/>
    <d v="2025-02-05T00:00:00"/>
    <m/>
    <s v="Pagamento"/>
    <n v="330423494"/>
    <x v="4"/>
    <m/>
    <s v="ANDERSON DE JESUS GUIMARAES,"/>
    <n v="170571"/>
    <m/>
    <m/>
  </r>
  <r>
    <m/>
    <s v="Pagamento"/>
    <n v="330423495"/>
    <s v="BRL"/>
    <n v="55"/>
    <n v="55"/>
    <m/>
    <m/>
    <m/>
    <d v="2025-02-05T00:00:00"/>
    <d v="2025-02-05T00:00:00"/>
    <m/>
    <s v="Pagamento"/>
    <n v="330423495"/>
    <x v="4"/>
    <m/>
    <s v="AUGUSTO CEZAR SOUSA DE OLIVEIRA,"/>
    <n v="170571"/>
    <m/>
    <m/>
  </r>
  <r>
    <m/>
    <s v="Pagamento"/>
    <n v="330423496"/>
    <s v="BRL"/>
    <n v="3319.02"/>
    <n v="3319.02"/>
    <m/>
    <m/>
    <m/>
    <d v="2025-02-05T00:00:00"/>
    <d v="2025-02-05T00:00:00"/>
    <m/>
    <s v="Pagamento"/>
    <n v="330423496"/>
    <x v="4"/>
    <m/>
    <s v="BENEDITO LIMA PEREIRA,"/>
    <n v="170571"/>
    <m/>
    <m/>
  </r>
  <r>
    <m/>
    <s v="Pagamento"/>
    <n v="330423497"/>
    <s v="BRL"/>
    <n v="99.82"/>
    <n v="99.82"/>
    <m/>
    <m/>
    <m/>
    <d v="2025-02-05T00:00:00"/>
    <d v="2025-02-05T00:00:00"/>
    <m/>
    <s v="Pagamento"/>
    <n v="330423497"/>
    <x v="4"/>
    <m/>
    <s v="CLODOALDO  DINARDI,"/>
    <n v="170571"/>
    <m/>
    <m/>
  </r>
  <r>
    <m/>
    <s v="Pagamento"/>
    <n v="330423498"/>
    <s v="BRL"/>
    <n v="139.66999999999999"/>
    <n v="139.66999999999999"/>
    <m/>
    <m/>
    <m/>
    <d v="2025-02-05T00:00:00"/>
    <d v="2025-02-05T00:00:00"/>
    <m/>
    <s v="Pagamento"/>
    <n v="330423498"/>
    <x v="4"/>
    <m/>
    <s v="DAVID ROGERS NOBREGA CAMPOS,"/>
    <n v="170571"/>
    <m/>
    <m/>
  </r>
  <r>
    <m/>
    <s v="Pagamento"/>
    <n v="330423499"/>
    <s v="BRL"/>
    <n v="457.36"/>
    <n v="457.36"/>
    <m/>
    <m/>
    <m/>
    <d v="2025-02-05T00:00:00"/>
    <d v="2025-02-05T00:00:00"/>
    <m/>
    <s v="Pagamento"/>
    <n v="330423499"/>
    <x v="4"/>
    <m/>
    <s v="DIOGO DA SILVA RAIMUNDO,"/>
    <n v="170571"/>
    <m/>
    <m/>
  </r>
  <r>
    <m/>
    <s v="Pagamento"/>
    <n v="330423500"/>
    <s v="BRL"/>
    <n v="1121.5999999999999"/>
    <n v="1121.5999999999999"/>
    <m/>
    <m/>
    <m/>
    <d v="2025-02-05T00:00:00"/>
    <d v="2025-02-05T00:00:00"/>
    <m/>
    <s v="Pagamento"/>
    <n v="330423500"/>
    <x v="4"/>
    <m/>
    <s v="DIOGO TEIXEIRA JORGE,"/>
    <n v="170571"/>
    <m/>
    <m/>
  </r>
  <r>
    <m/>
    <s v="Pagamento"/>
    <n v="330423501"/>
    <s v="BRL"/>
    <n v="272.75"/>
    <n v="272.75"/>
    <m/>
    <m/>
    <m/>
    <d v="2025-02-05T00:00:00"/>
    <d v="2025-02-05T00:00:00"/>
    <m/>
    <s v="Pagamento"/>
    <n v="330423501"/>
    <x v="4"/>
    <m/>
    <s v="DUILIO JOSE MONROY CABREJOS,"/>
    <n v="170571"/>
    <m/>
    <m/>
  </r>
  <r>
    <m/>
    <s v="Pagamento"/>
    <n v="330423502"/>
    <s v="BRL"/>
    <n v="864.52"/>
    <n v="864.52"/>
    <m/>
    <m/>
    <m/>
    <d v="2025-02-05T00:00:00"/>
    <d v="2025-02-05T00:00:00"/>
    <m/>
    <s v="Pagamento"/>
    <n v="330423502"/>
    <x v="4"/>
    <m/>
    <s v="EDILBERTO DOS ANJOS TEIXEIRA,"/>
    <n v="170571"/>
    <m/>
    <m/>
  </r>
  <r>
    <m/>
    <s v="Pagamento"/>
    <n v="330423503"/>
    <s v="BRL"/>
    <n v="515.5"/>
    <n v="515.5"/>
    <m/>
    <m/>
    <m/>
    <d v="2025-02-05T00:00:00"/>
    <d v="2025-02-05T00:00:00"/>
    <m/>
    <s v="Pagamento"/>
    <n v="330423503"/>
    <x v="4"/>
    <m/>
    <s v="EVERSON PASSOS DA ROCHA,"/>
    <n v="170571"/>
    <m/>
    <m/>
  </r>
  <r>
    <m/>
    <s v="Pagamento"/>
    <n v="330423504"/>
    <s v="BRL"/>
    <n v="232.26"/>
    <n v="232.26"/>
    <m/>
    <m/>
    <m/>
    <d v="2025-02-05T00:00:00"/>
    <d v="2025-02-05T00:00:00"/>
    <m/>
    <s v="Pagamento"/>
    <n v="330423504"/>
    <x v="4"/>
    <m/>
    <s v="FERNANDO FERREIRA SOARES,"/>
    <n v="170571"/>
    <m/>
    <m/>
  </r>
  <r>
    <m/>
    <s v="Pagamento"/>
    <n v="330423505"/>
    <s v="BRL"/>
    <n v="49.15"/>
    <n v="49.15"/>
    <m/>
    <m/>
    <m/>
    <d v="2025-02-05T00:00:00"/>
    <d v="2025-02-05T00:00:00"/>
    <m/>
    <s v="Pagamento"/>
    <n v="330423505"/>
    <x v="4"/>
    <m/>
    <s v="FOSTER HIROYUKI VATANABE,"/>
    <n v="170571"/>
    <m/>
    <m/>
  </r>
  <r>
    <m/>
    <s v="Pagamento"/>
    <n v="330423506"/>
    <s v="BRL"/>
    <n v="143.5"/>
    <n v="143.5"/>
    <m/>
    <m/>
    <m/>
    <d v="2025-02-05T00:00:00"/>
    <d v="2025-02-05T00:00:00"/>
    <m/>
    <s v="Pagamento"/>
    <n v="330423506"/>
    <x v="4"/>
    <m/>
    <s v="JOSE MURILO CARNEIRO RODRIGUES,"/>
    <n v="170571"/>
    <m/>
    <m/>
  </r>
  <r>
    <m/>
    <s v="Pagamento"/>
    <n v="330423507"/>
    <s v="BRL"/>
    <n v="12"/>
    <n v="12"/>
    <m/>
    <m/>
    <m/>
    <d v="2025-02-05T00:00:00"/>
    <d v="2025-02-05T00:00:00"/>
    <m/>
    <s v="Pagamento"/>
    <n v="330423507"/>
    <x v="4"/>
    <m/>
    <s v="JOSE ROBERTO CHRESTENZEN,"/>
    <n v="170571"/>
    <m/>
    <m/>
  </r>
  <r>
    <m/>
    <s v="Pagamento"/>
    <n v="330423508"/>
    <s v="BRL"/>
    <n v="71"/>
    <n v="71"/>
    <m/>
    <m/>
    <m/>
    <d v="2025-02-05T00:00:00"/>
    <d v="2025-02-05T00:00:00"/>
    <m/>
    <s v="Pagamento"/>
    <n v="330423508"/>
    <x v="4"/>
    <m/>
    <s v="LUIZ ALBERTO AFONSO VIEIRA,"/>
    <n v="170571"/>
    <m/>
    <m/>
  </r>
  <r>
    <m/>
    <s v="Pagamento"/>
    <n v="330423509"/>
    <s v="BRL"/>
    <n v="125.85"/>
    <n v="125.85"/>
    <m/>
    <m/>
    <m/>
    <d v="2025-02-05T00:00:00"/>
    <d v="2025-02-05T00:00:00"/>
    <m/>
    <s v="Pagamento"/>
    <n v="330423509"/>
    <x v="4"/>
    <m/>
    <s v="LUIZ ALBERTO SICHIERI,"/>
    <n v="170571"/>
    <m/>
    <m/>
  </r>
  <r>
    <m/>
    <s v="Pagamento"/>
    <n v="330423510"/>
    <s v="BRL"/>
    <n v="91.95"/>
    <n v="91.95"/>
    <m/>
    <m/>
    <m/>
    <d v="2025-02-05T00:00:00"/>
    <d v="2025-02-05T00:00:00"/>
    <m/>
    <s v="Pagamento"/>
    <n v="330423510"/>
    <x v="4"/>
    <m/>
    <s v="MARCOS APARECIDO SELICANI,"/>
    <n v="170571"/>
    <m/>
    <m/>
  </r>
  <r>
    <m/>
    <s v="Pagamento"/>
    <n v="330423511"/>
    <s v="BRL"/>
    <n v="39.86"/>
    <n v="39.86"/>
    <m/>
    <m/>
    <m/>
    <d v="2025-02-05T00:00:00"/>
    <d v="2025-02-05T00:00:00"/>
    <m/>
    <s v="Pagamento"/>
    <n v="330423511"/>
    <x v="4"/>
    <m/>
    <s v="MARCOS DE SOUZA CASTILHO,"/>
    <n v="170571"/>
    <m/>
    <m/>
  </r>
  <r>
    <m/>
    <s v="Pagamento"/>
    <n v="330423512"/>
    <s v="BRL"/>
    <n v="919.69"/>
    <n v="919.69"/>
    <m/>
    <m/>
    <m/>
    <d v="2025-02-05T00:00:00"/>
    <d v="2025-02-05T00:00:00"/>
    <m/>
    <s v="Pagamento"/>
    <n v="330423512"/>
    <x v="4"/>
    <m/>
    <s v="PAULO ROBERTO SIMIÃO MELO"/>
    <n v="170571"/>
    <m/>
    <m/>
  </r>
  <r>
    <m/>
    <s v="Pagamento"/>
    <n v="330423513"/>
    <s v="BRL"/>
    <n v="432.26"/>
    <n v="432.26"/>
    <m/>
    <m/>
    <m/>
    <d v="2025-02-05T00:00:00"/>
    <d v="2025-02-05T00:00:00"/>
    <m/>
    <s v="Pagamento"/>
    <n v="330423513"/>
    <x v="4"/>
    <m/>
    <s v="PAULO SERGIO DUTRA PEREIRA,"/>
    <n v="170571"/>
    <m/>
    <m/>
  </r>
  <r>
    <m/>
    <s v="Pagamento"/>
    <n v="330423514"/>
    <s v="BRL"/>
    <n v="669.32"/>
    <n v="669.32"/>
    <m/>
    <m/>
    <m/>
    <d v="2025-02-05T00:00:00"/>
    <d v="2025-02-05T00:00:00"/>
    <m/>
    <s v="Pagamento"/>
    <n v="330423514"/>
    <x v="4"/>
    <m/>
    <s v="RICARDO LENNO DOS SANTOS NAZARE,"/>
    <n v="170571"/>
    <m/>
    <m/>
  </r>
  <r>
    <m/>
    <s v="Pagamento"/>
    <n v="330423515"/>
    <s v="BRL"/>
    <n v="133.13999999999999"/>
    <n v="133.13999999999999"/>
    <m/>
    <m/>
    <m/>
    <d v="2025-02-05T00:00:00"/>
    <d v="2025-02-05T00:00:00"/>
    <m/>
    <s v="Pagamento"/>
    <n v="330423515"/>
    <x v="4"/>
    <m/>
    <s v="ROBERTO ALVES PACHECO,"/>
    <n v="170571"/>
    <m/>
    <m/>
  </r>
  <r>
    <m/>
    <s v="Pagamento"/>
    <n v="330423516"/>
    <s v="BRL"/>
    <n v="77.88"/>
    <n v="77.88"/>
    <m/>
    <m/>
    <m/>
    <d v="2025-02-05T00:00:00"/>
    <d v="2025-02-05T00:00:00"/>
    <m/>
    <s v="Pagamento"/>
    <n v="330423516"/>
    <x v="4"/>
    <m/>
    <s v="RODRIGO DUARTE RODRIGUES,"/>
    <n v="170571"/>
    <m/>
    <m/>
  </r>
  <r>
    <m/>
    <s v="Pagamento"/>
    <n v="330423517"/>
    <s v="BRL"/>
    <n v="901.3"/>
    <n v="901.3"/>
    <m/>
    <m/>
    <m/>
    <d v="2025-02-05T00:00:00"/>
    <d v="2025-02-05T00:00:00"/>
    <m/>
    <s v="Pagamento"/>
    <n v="330423517"/>
    <x v="4"/>
    <m/>
    <s v="ROGERIO DE OLIVEIRA FELIX,"/>
    <n v="170571"/>
    <m/>
    <m/>
  </r>
  <r>
    <m/>
    <s v="Pagamento"/>
    <n v="330423518"/>
    <s v="BRL"/>
    <n v="215"/>
    <n v="215"/>
    <m/>
    <m/>
    <m/>
    <d v="2025-02-05T00:00:00"/>
    <d v="2025-02-05T00:00:00"/>
    <m/>
    <s v="Pagamento"/>
    <n v="330423518"/>
    <x v="4"/>
    <m/>
    <s v="SEBASTIAO PIRES DE FREITAS NETO,"/>
    <n v="170571"/>
    <m/>
    <m/>
  </r>
  <r>
    <m/>
    <s v="Pagamento"/>
    <n v="330423519"/>
    <s v="BRL"/>
    <n v="221.13"/>
    <n v="221.13"/>
    <m/>
    <m/>
    <m/>
    <d v="2025-02-05T00:00:00"/>
    <d v="2025-02-05T00:00:00"/>
    <m/>
    <s v="Pagamento"/>
    <n v="330423519"/>
    <x v="4"/>
    <m/>
    <s v="SERGIO VIEIRA DOS SANTOS,"/>
    <n v="170571"/>
    <m/>
    <m/>
  </r>
  <r>
    <m/>
    <s v="Pagamento"/>
    <n v="330423520"/>
    <s v="BRL"/>
    <n v="18.39"/>
    <n v="18.39"/>
    <m/>
    <m/>
    <m/>
    <d v="2025-02-05T00:00:00"/>
    <d v="2025-02-05T00:00:00"/>
    <m/>
    <s v="Pagamento"/>
    <n v="330423520"/>
    <x v="4"/>
    <m/>
    <s v="VALDEMAR FRANCISCO DOS SANTOS JUNIOR,"/>
    <n v="170571"/>
    <m/>
    <m/>
  </r>
  <r>
    <m/>
    <s v="Pagamento"/>
    <n v="330423521"/>
    <s v="BRL"/>
    <n v="161.38"/>
    <n v="161.38"/>
    <m/>
    <m/>
    <m/>
    <d v="2025-02-05T00:00:00"/>
    <d v="2025-02-05T00:00:00"/>
    <m/>
    <s v="Pagamento"/>
    <n v="330423521"/>
    <x v="4"/>
    <m/>
    <s v="VALQUIRIA  MORAIS,"/>
    <n v="170571"/>
    <m/>
    <m/>
  </r>
  <r>
    <m/>
    <s v="Pagamento"/>
    <n v="330423522"/>
    <s v="BRL"/>
    <n v="46.08"/>
    <n v="46.08"/>
    <m/>
    <m/>
    <m/>
    <d v="2025-02-05T00:00:00"/>
    <d v="2025-02-05T00:00:00"/>
    <m/>
    <s v="Pagamento"/>
    <n v="330423522"/>
    <x v="4"/>
    <m/>
    <s v="VERONI  GONCALVES,"/>
    <n v="170571"/>
    <m/>
    <m/>
  </r>
  <r>
    <m/>
    <s v="Pagamento"/>
    <n v="330423523"/>
    <s v="BRL"/>
    <n v="70.400000000000006"/>
    <n v="70.400000000000006"/>
    <m/>
    <m/>
    <m/>
    <d v="2025-02-05T00:00:00"/>
    <d v="2025-02-05T00:00:00"/>
    <m/>
    <s v="Pagamento"/>
    <n v="330423523"/>
    <x v="4"/>
    <m/>
    <s v="WELINGTON DE LIMA COSTA,"/>
    <n v="170571"/>
    <m/>
    <m/>
  </r>
  <r>
    <m/>
    <s v="Pagamento"/>
    <n v="330423524"/>
    <s v="BRL"/>
    <n v="864.52"/>
    <n v="864.52"/>
    <m/>
    <m/>
    <m/>
    <d v="2025-02-05T00:00:00"/>
    <d v="2025-02-05T00:00:00"/>
    <m/>
    <s v="Pagamento"/>
    <n v="330423524"/>
    <x v="4"/>
    <m/>
    <s v="WILLIAM DE ABREU SILVA,"/>
    <n v="170571"/>
    <m/>
    <m/>
  </r>
  <r>
    <m/>
    <s v="Pagamento"/>
    <n v="910037372"/>
    <s v="BRL"/>
    <n v="500"/>
    <n v="500"/>
    <m/>
    <m/>
    <m/>
    <d v="2025-02-05T00:00:00"/>
    <d v="2025-02-05T00:00:00"/>
    <m/>
    <s v="Pagamento"/>
    <n v="910037372"/>
    <x v="5"/>
    <m/>
    <s v="TRIBUNAL REGIONAL DO TRABALHO DA 10 REGIAO - DF E TOCANTINS"/>
    <n v="170527"/>
    <m/>
    <m/>
  </r>
  <r>
    <m/>
    <s v="Pagamento"/>
    <n v="910037374"/>
    <s v="BRL"/>
    <n v="2230.1"/>
    <n v="2230.1"/>
    <m/>
    <m/>
    <m/>
    <d v="2025-02-05T00:00:00"/>
    <d v="2025-02-05T00:00:00"/>
    <m/>
    <s v="Pagamento"/>
    <n v="910037374"/>
    <x v="6"/>
    <m/>
    <s v="CONDOMINIO CENTURY TOWERS"/>
    <n v="170546"/>
    <m/>
    <m/>
  </r>
  <r>
    <m/>
    <s v="Pagamento"/>
    <n v="910037381"/>
    <s v="BRL"/>
    <n v="2436.11"/>
    <n v="2436.11"/>
    <m/>
    <m/>
    <m/>
    <d v="2025-02-05T00:00:00"/>
    <d v="2025-02-05T00:00:00"/>
    <m/>
    <s v="Pagamento"/>
    <n v="910037381"/>
    <x v="7"/>
    <m/>
    <s v="SEC DE ESTADO DA FAZENDA AL"/>
    <n v="170530"/>
    <m/>
    <m/>
  </r>
  <r>
    <m/>
    <s v="Pagamento"/>
    <n v="910037388"/>
    <s v="BRL"/>
    <n v="12.44"/>
    <n v="12.44"/>
    <m/>
    <m/>
    <m/>
    <d v="2025-02-05T00:00:00"/>
    <d v="2025-02-05T00:00:00"/>
    <m/>
    <s v="Pagamento"/>
    <n v="910037388"/>
    <x v="8"/>
    <m/>
    <s v="SEC DE ESTADO DA FAZENDA RON"/>
    <m/>
    <m/>
    <m/>
  </r>
  <r>
    <m/>
    <s v="Pagamento"/>
    <n v="910037390"/>
    <s v="BRL"/>
    <n v="4248.28"/>
    <n v="4248.28"/>
    <m/>
    <m/>
    <m/>
    <d v="2025-02-05T00:00:00"/>
    <d v="2025-02-05T00:00:00"/>
    <m/>
    <s v="Pagamento"/>
    <n v="910037390"/>
    <x v="9"/>
    <m/>
    <s v="SEC DE ESTADO DA FAZENDA CE"/>
    <n v="170558"/>
    <m/>
    <m/>
  </r>
  <r>
    <m/>
    <s v="Pagamento"/>
    <n v="910037391"/>
    <s v="BRL"/>
    <n v="4965.4799999999996"/>
    <n v="4965.4799999999996"/>
    <m/>
    <m/>
    <m/>
    <d v="2025-02-05T00:00:00"/>
    <d v="2025-02-05T00:00:00"/>
    <m/>
    <s v="Pagamento"/>
    <n v="910037391"/>
    <x v="9"/>
    <m/>
    <s v="SEC DE ESTADO DA FAZENDA RN"/>
    <n v="170558"/>
    <m/>
    <m/>
  </r>
  <r>
    <m/>
    <m/>
    <m/>
    <m/>
    <m/>
    <m/>
    <m/>
    <m/>
    <m/>
    <m/>
    <m/>
    <m/>
    <m/>
    <m/>
    <x v="10"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B0A72A-0DA4-4656-868F-EBD100472258}" name="Tabela dinâmica8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15" firstHeaderRow="1" firstDataRow="1" firstDataCol="1"/>
  <pivotFields count="20"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2">
        <item x="1"/>
        <item x="2"/>
        <item x="3"/>
        <item x="5"/>
        <item x="7"/>
        <item x="6"/>
        <item x="9"/>
        <item x="4"/>
        <item x="0"/>
        <item x="8"/>
        <item x="10"/>
        <item t="default"/>
      </items>
    </pivotField>
    <pivotField showAll="0"/>
    <pivotField showAll="0"/>
    <pivotField showAll="0"/>
    <pivotField showAll="0"/>
    <pivotField showAll="0"/>
  </pivotFields>
  <rowFields count="1">
    <field x="14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oma de Quantia Original" fld="4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B036B9-A81A-46DF-8085-CE0CB66BFFE7}" name="Tabela dinâmica14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13" firstHeaderRow="1" firstDataRow="1" firstDataCol="1"/>
  <pivotFields count="20"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1"/>
        <item x="4"/>
        <item x="5"/>
        <item x="2"/>
        <item x="0"/>
        <item x="3"/>
        <item x="7"/>
        <item x="6"/>
        <item x="8"/>
        <item t="default"/>
      </items>
    </pivotField>
    <pivotField showAll="0"/>
    <pivotField showAll="0"/>
    <pivotField showAll="0"/>
    <pivotField showAll="0"/>
    <pivotField showAll="0"/>
  </pivotFields>
  <rowFields count="1">
    <field x="14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oma de Quantia Original" fld="4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4A7F0-6379-41AB-8659-88B7D4A40E37}">
  <sheetPr>
    <tabColor rgb="FFFFFF00"/>
  </sheetPr>
  <dimension ref="A1:K76"/>
  <sheetViews>
    <sheetView showGridLines="0" zoomScaleNormal="100" workbookViewId="0">
      <selection activeCellId="1" sqref="I8 A1:XFD1048576"/>
    </sheetView>
  </sheetViews>
  <sheetFormatPr defaultColWidth="8.8984375" defaultRowHeight="13.8"/>
  <cols>
    <col min="1" max="1" width="5.5" style="247" bestFit="1" customWidth="1"/>
    <col min="2" max="2" width="15.69921875" style="247" bestFit="1" customWidth="1"/>
    <col min="3" max="3" width="7.796875" style="247" bestFit="1" customWidth="1"/>
    <col min="4" max="4" width="13.69921875" style="247" bestFit="1" customWidth="1"/>
    <col min="5" max="5" width="15.296875" style="286" bestFit="1" customWidth="1"/>
    <col min="6" max="6" width="15.3984375" style="247" bestFit="1" customWidth="1"/>
    <col min="7" max="7" width="28.5" style="217" bestFit="1" customWidth="1"/>
    <col min="8" max="8" width="11.59765625" style="247" bestFit="1" customWidth="1"/>
    <col min="9" max="9" width="7.59765625" style="247" customWidth="1"/>
    <col min="10" max="10" width="26.8984375" style="247" bestFit="1" customWidth="1"/>
    <col min="11" max="11" width="13.69921875" style="286" bestFit="1" customWidth="1"/>
    <col min="12" max="16384" width="8.8984375" style="247"/>
  </cols>
  <sheetData>
    <row r="1" spans="1:11" ht="14.4" thickBot="1">
      <c r="A1" s="369" t="s">
        <v>0</v>
      </c>
      <c r="B1" s="369" t="s">
        <v>1</v>
      </c>
      <c r="C1" s="369" t="s">
        <v>2</v>
      </c>
      <c r="D1" s="369" t="s">
        <v>1322</v>
      </c>
      <c r="E1" s="371" t="s">
        <v>1323</v>
      </c>
      <c r="F1" s="370" t="s">
        <v>3</v>
      </c>
      <c r="G1" s="369" t="s">
        <v>4</v>
      </c>
      <c r="H1"/>
      <c r="I1"/>
      <c r="J1" s="370" t="s">
        <v>5</v>
      </c>
      <c r="K1" s="372" t="s">
        <v>1324</v>
      </c>
    </row>
    <row r="2" spans="1:11" ht="15" thickTop="1" thickBot="1">
      <c r="A2" s="247">
        <v>1</v>
      </c>
      <c r="B2" s="247" t="s">
        <v>7</v>
      </c>
      <c r="C2" s="247">
        <v>2130870</v>
      </c>
      <c r="D2" s="249">
        <v>45839</v>
      </c>
      <c r="E2" s="287">
        <v>31032.13</v>
      </c>
      <c r="F2" s="247" t="s">
        <v>1325</v>
      </c>
      <c r="G2" s="247" t="s">
        <v>9</v>
      </c>
      <c r="J2" s="307">
        <v>174326</v>
      </c>
      <c r="K2" s="312">
        <v>356965.19000000006</v>
      </c>
    </row>
    <row r="3" spans="1:11" ht="15" thickTop="1" thickBot="1">
      <c r="A3" s="247">
        <v>2</v>
      </c>
      <c r="B3" s="247" t="s">
        <v>7</v>
      </c>
      <c r="C3" s="247">
        <v>2130870</v>
      </c>
      <c r="D3" s="249">
        <v>45839</v>
      </c>
      <c r="E3" s="287">
        <v>5100.6000000000004</v>
      </c>
      <c r="F3" s="247" t="s">
        <v>1325</v>
      </c>
      <c r="G3" s="247" t="s">
        <v>9</v>
      </c>
      <c r="I3" s="309"/>
      <c r="J3" s="313">
        <v>174347</v>
      </c>
      <c r="K3" s="308">
        <v>77411.77</v>
      </c>
    </row>
    <row r="4" spans="1:11" ht="14.4" thickTop="1">
      <c r="A4" s="247">
        <v>3</v>
      </c>
      <c r="B4" s="247" t="s">
        <v>7</v>
      </c>
      <c r="C4" s="247">
        <v>2130870</v>
      </c>
      <c r="D4" s="249">
        <v>45839</v>
      </c>
      <c r="E4" s="287">
        <v>4417.83</v>
      </c>
      <c r="F4" s="247" t="s">
        <v>1325</v>
      </c>
      <c r="G4" s="247" t="s">
        <v>9</v>
      </c>
      <c r="I4" s="309"/>
      <c r="J4" s="311">
        <v>174357</v>
      </c>
      <c r="K4" s="310">
        <v>107919.55999999997</v>
      </c>
    </row>
    <row r="5" spans="1:11" ht="14.4" thickBot="1">
      <c r="A5" s="244">
        <v>4</v>
      </c>
      <c r="B5" s="244" t="s">
        <v>7</v>
      </c>
      <c r="C5" s="244">
        <v>2130870</v>
      </c>
      <c r="D5" s="249">
        <v>45839</v>
      </c>
      <c r="E5" s="287">
        <v>32720.75</v>
      </c>
      <c r="F5" s="247" t="s">
        <v>1325</v>
      </c>
      <c r="G5" s="247" t="s">
        <v>9</v>
      </c>
      <c r="I5" s="309"/>
      <c r="J5" s="682" t="s">
        <v>1321</v>
      </c>
      <c r="K5" s="683">
        <v>153.80000000000001</v>
      </c>
    </row>
    <row r="6" spans="1:11" ht="14.4" thickTop="1">
      <c r="A6" s="244">
        <v>5</v>
      </c>
      <c r="B6" s="244" t="s">
        <v>7</v>
      </c>
      <c r="C6" s="244">
        <v>2130870</v>
      </c>
      <c r="D6" s="249">
        <v>45839</v>
      </c>
      <c r="E6" s="287">
        <v>2981.05</v>
      </c>
      <c r="F6" s="247" t="s">
        <v>1326</v>
      </c>
      <c r="G6" s="247" t="s">
        <v>9</v>
      </c>
    </row>
    <row r="7" spans="1:11">
      <c r="A7" s="244">
        <v>6</v>
      </c>
      <c r="B7" s="244" t="s">
        <v>7</v>
      </c>
      <c r="C7" s="244">
        <v>2130870</v>
      </c>
      <c r="D7" s="249">
        <v>45839</v>
      </c>
      <c r="E7" s="287">
        <v>4627.24</v>
      </c>
      <c r="F7" s="247" t="s">
        <v>1326</v>
      </c>
      <c r="G7" s="247" t="s">
        <v>9</v>
      </c>
    </row>
    <row r="8" spans="1:11">
      <c r="A8" s="244">
        <v>7</v>
      </c>
      <c r="B8" s="244" t="s">
        <v>7</v>
      </c>
      <c r="C8" s="244">
        <v>2130870</v>
      </c>
      <c r="D8" s="249">
        <v>45839</v>
      </c>
      <c r="E8" s="287">
        <v>9089.68</v>
      </c>
      <c r="F8" s="247" t="s">
        <v>1326</v>
      </c>
      <c r="G8" s="247" t="s">
        <v>9</v>
      </c>
    </row>
    <row r="9" spans="1:11">
      <c r="A9" s="244">
        <v>8</v>
      </c>
      <c r="B9" s="244" t="s">
        <v>7</v>
      </c>
      <c r="C9" s="244">
        <v>2130870</v>
      </c>
      <c r="D9" s="249">
        <v>45839</v>
      </c>
      <c r="E9" s="287">
        <v>642.04</v>
      </c>
      <c r="F9" s="247" t="s">
        <v>1326</v>
      </c>
      <c r="G9" s="247" t="s">
        <v>9</v>
      </c>
    </row>
    <row r="10" spans="1:11">
      <c r="A10" s="244">
        <v>9</v>
      </c>
      <c r="B10" s="244" t="s">
        <v>7</v>
      </c>
      <c r="C10" s="244">
        <v>2130870</v>
      </c>
      <c r="D10" s="249">
        <v>45839</v>
      </c>
      <c r="E10" s="287">
        <v>68.11</v>
      </c>
      <c r="F10" s="247" t="s">
        <v>1327</v>
      </c>
      <c r="G10" s="247" t="s">
        <v>9</v>
      </c>
    </row>
    <row r="11" spans="1:11">
      <c r="A11" s="244">
        <v>10</v>
      </c>
      <c r="B11" s="244" t="s">
        <v>7</v>
      </c>
      <c r="C11" s="244">
        <v>2130870</v>
      </c>
      <c r="D11" s="249">
        <v>45839</v>
      </c>
      <c r="E11" s="287">
        <v>4862.3900000000003</v>
      </c>
      <c r="F11" s="247" t="s">
        <v>32</v>
      </c>
      <c r="G11" s="247" t="s">
        <v>9</v>
      </c>
    </row>
    <row r="12" spans="1:11">
      <c r="A12" s="244">
        <v>11</v>
      </c>
      <c r="B12" s="244" t="s">
        <v>7</v>
      </c>
      <c r="C12" s="244">
        <v>2130870</v>
      </c>
      <c r="D12" s="249">
        <v>45839</v>
      </c>
      <c r="E12" s="287">
        <v>4049.68</v>
      </c>
      <c r="F12" s="247" t="s">
        <v>1328</v>
      </c>
      <c r="G12" s="247" t="s">
        <v>9</v>
      </c>
    </row>
    <row r="13" spans="1:11" ht="14.4" thickBot="1">
      <c r="A13" s="288">
        <v>12</v>
      </c>
      <c r="B13" s="288" t="s">
        <v>7</v>
      </c>
      <c r="C13" s="288">
        <v>2060855</v>
      </c>
      <c r="D13" s="289">
        <v>45839</v>
      </c>
      <c r="E13" s="290">
        <v>2000000</v>
      </c>
      <c r="F13" s="291" t="s">
        <v>1329</v>
      </c>
      <c r="G13" s="247" t="s">
        <v>9</v>
      </c>
    </row>
    <row r="14" spans="1:11">
      <c r="A14" s="292">
        <v>15</v>
      </c>
      <c r="B14" s="292" t="s">
        <v>11</v>
      </c>
      <c r="C14" s="292">
        <v>1200393</v>
      </c>
      <c r="D14" s="293">
        <v>45839</v>
      </c>
      <c r="E14" s="294">
        <v>8599.24</v>
      </c>
      <c r="F14" s="295"/>
      <c r="G14" s="296" t="s">
        <v>9</v>
      </c>
    </row>
    <row r="15" spans="1:11">
      <c r="A15" s="292">
        <v>16</v>
      </c>
      <c r="B15" s="292" t="s">
        <v>11</v>
      </c>
      <c r="C15" s="292">
        <v>1200393</v>
      </c>
      <c r="D15" s="293">
        <v>45839</v>
      </c>
      <c r="E15" s="294">
        <v>276100.96000000002</v>
      </c>
      <c r="F15" s="295"/>
      <c r="G15" s="296" t="s">
        <v>9</v>
      </c>
    </row>
    <row r="16" spans="1:11">
      <c r="A16" s="292">
        <v>17</v>
      </c>
      <c r="B16" s="292" t="s">
        <v>11</v>
      </c>
      <c r="C16" s="292">
        <v>1040211</v>
      </c>
      <c r="D16" s="293">
        <v>45839</v>
      </c>
      <c r="E16" s="294">
        <v>72264.990000000005</v>
      </c>
      <c r="F16" s="295"/>
      <c r="G16" s="296" t="s">
        <v>9</v>
      </c>
    </row>
    <row r="17" spans="1:10">
      <c r="A17" s="302">
        <v>26</v>
      </c>
      <c r="B17" s="302" t="s">
        <v>11</v>
      </c>
      <c r="C17" s="302">
        <v>1200393</v>
      </c>
      <c r="D17" s="303">
        <v>45839</v>
      </c>
      <c r="E17" s="304">
        <v>9456.58</v>
      </c>
      <c r="F17" s="305"/>
      <c r="G17" s="306" t="s">
        <v>9</v>
      </c>
    </row>
    <row r="18" spans="1:10">
      <c r="A18" s="302">
        <v>27</v>
      </c>
      <c r="B18" s="302" t="s">
        <v>11</v>
      </c>
      <c r="C18" s="302">
        <v>1040211</v>
      </c>
      <c r="D18" s="303">
        <v>45839</v>
      </c>
      <c r="E18" s="304">
        <v>98462.98</v>
      </c>
      <c r="F18" s="305"/>
      <c r="G18" s="306" t="s">
        <v>9</v>
      </c>
    </row>
    <row r="19" spans="1:10">
      <c r="A19" s="297">
        <v>42</v>
      </c>
      <c r="B19" s="297" t="s">
        <v>11</v>
      </c>
      <c r="C19" s="297">
        <v>1200393</v>
      </c>
      <c r="D19" s="298">
        <v>45839</v>
      </c>
      <c r="E19" s="299">
        <v>9819.7199999999993</v>
      </c>
      <c r="F19" s="300"/>
      <c r="G19" s="301" t="s">
        <v>9</v>
      </c>
    </row>
    <row r="20" spans="1:10">
      <c r="A20" s="297">
        <v>43</v>
      </c>
      <c r="B20" s="297" t="s">
        <v>11</v>
      </c>
      <c r="C20" s="297">
        <v>1040211</v>
      </c>
      <c r="D20" s="298">
        <v>45839</v>
      </c>
      <c r="E20" s="299">
        <v>67592.05</v>
      </c>
      <c r="F20" s="300"/>
      <c r="G20" s="301" t="s">
        <v>9</v>
      </c>
    </row>
    <row r="21" spans="1:10">
      <c r="A21" s="511">
        <v>50</v>
      </c>
      <c r="B21" s="511" t="s">
        <v>11</v>
      </c>
      <c r="C21" s="511">
        <v>1040375</v>
      </c>
      <c r="D21" s="678">
        <v>45839</v>
      </c>
      <c r="E21" s="679">
        <v>16.84</v>
      </c>
      <c r="F21" s="680"/>
      <c r="G21" s="681" t="s">
        <v>9</v>
      </c>
    </row>
    <row r="22" spans="1:10">
      <c r="A22" s="511">
        <v>51</v>
      </c>
      <c r="B22" s="511" t="s">
        <v>11</v>
      </c>
      <c r="C22" s="511">
        <v>1040375</v>
      </c>
      <c r="D22" s="678">
        <v>45839</v>
      </c>
      <c r="E22" s="679">
        <v>96.9</v>
      </c>
      <c r="F22" s="680"/>
      <c r="G22" s="681" t="s">
        <v>9</v>
      </c>
    </row>
    <row r="23" spans="1:10">
      <c r="A23" s="511">
        <v>52</v>
      </c>
      <c r="B23" s="511" t="s">
        <v>11</v>
      </c>
      <c r="C23" s="511">
        <v>1040375</v>
      </c>
      <c r="D23" s="678">
        <v>45839</v>
      </c>
      <c r="E23" s="679">
        <v>19.52</v>
      </c>
      <c r="F23" s="680"/>
      <c r="G23" s="681" t="s">
        <v>9</v>
      </c>
    </row>
    <row r="24" spans="1:10">
      <c r="A24" s="511">
        <v>60</v>
      </c>
      <c r="B24" s="511" t="s">
        <v>11</v>
      </c>
      <c r="C24" s="511">
        <v>1040375</v>
      </c>
      <c r="D24" s="678">
        <v>45839</v>
      </c>
      <c r="E24" s="679">
        <v>20.54</v>
      </c>
      <c r="F24" s="680"/>
      <c r="G24" s="681" t="s">
        <v>9</v>
      </c>
    </row>
    <row r="25" spans="1:10">
      <c r="A25" s="684">
        <v>91</v>
      </c>
      <c r="B25" s="684" t="s">
        <v>12</v>
      </c>
      <c r="C25" s="684">
        <v>1040328</v>
      </c>
      <c r="D25" s="685">
        <v>45839</v>
      </c>
      <c r="E25" s="686">
        <v>3</v>
      </c>
      <c r="F25" s="687" t="s">
        <v>1330</v>
      </c>
      <c r="G25" s="688" t="s">
        <v>9</v>
      </c>
      <c r="H25" s="677">
        <f>SUM(E25,E27:E60)</f>
        <v>1327.5</v>
      </c>
      <c r="I25" s="247">
        <v>1327.5</v>
      </c>
    </row>
    <row r="26" spans="1:10">
      <c r="A26" s="672">
        <v>92</v>
      </c>
      <c r="B26" s="672" t="s">
        <v>12</v>
      </c>
      <c r="C26" s="672">
        <v>1040328</v>
      </c>
      <c r="D26" s="673">
        <v>45839</v>
      </c>
      <c r="E26" s="674">
        <v>3759.58</v>
      </c>
      <c r="F26" s="675" t="s">
        <v>1330</v>
      </c>
      <c r="G26" s="676" t="s">
        <v>9</v>
      </c>
      <c r="H26" s="1233" t="s">
        <v>1402</v>
      </c>
      <c r="I26" s="1233"/>
      <c r="J26" s="1233"/>
    </row>
    <row r="27" spans="1:10">
      <c r="A27" s="684">
        <v>93</v>
      </c>
      <c r="B27" s="684" t="s">
        <v>12</v>
      </c>
      <c r="C27" s="684">
        <v>1040328</v>
      </c>
      <c r="D27" s="685">
        <v>45839</v>
      </c>
      <c r="E27" s="686">
        <v>46</v>
      </c>
      <c r="F27" s="687" t="s">
        <v>1331</v>
      </c>
      <c r="G27" s="688" t="s">
        <v>9</v>
      </c>
    </row>
    <row r="28" spans="1:10">
      <c r="A28" s="684">
        <v>94</v>
      </c>
      <c r="B28" s="684" t="s">
        <v>12</v>
      </c>
      <c r="C28" s="684">
        <v>1040328</v>
      </c>
      <c r="D28" s="685">
        <v>45839</v>
      </c>
      <c r="E28" s="686">
        <v>132.5</v>
      </c>
      <c r="F28" s="687" t="s">
        <v>1331</v>
      </c>
      <c r="G28" s="688" t="s">
        <v>9</v>
      </c>
    </row>
    <row r="29" spans="1:10">
      <c r="A29" s="684">
        <v>95</v>
      </c>
      <c r="B29" s="684" t="s">
        <v>12</v>
      </c>
      <c r="C29" s="684">
        <v>1040328</v>
      </c>
      <c r="D29" s="685">
        <v>45839</v>
      </c>
      <c r="E29" s="686">
        <v>108.5</v>
      </c>
      <c r="F29" s="687" t="s">
        <v>1331</v>
      </c>
      <c r="G29" s="688" t="s">
        <v>9</v>
      </c>
    </row>
    <row r="30" spans="1:10">
      <c r="A30" s="684">
        <v>96</v>
      </c>
      <c r="B30" s="684" t="s">
        <v>12</v>
      </c>
      <c r="C30" s="684">
        <v>1040328</v>
      </c>
      <c r="D30" s="685">
        <v>45839</v>
      </c>
      <c r="E30" s="686">
        <v>86</v>
      </c>
      <c r="F30" s="687" t="s">
        <v>1331</v>
      </c>
      <c r="G30" s="688" t="s">
        <v>9</v>
      </c>
    </row>
    <row r="31" spans="1:10">
      <c r="A31" s="684">
        <v>97</v>
      </c>
      <c r="B31" s="684" t="s">
        <v>12</v>
      </c>
      <c r="C31" s="684">
        <v>1040328</v>
      </c>
      <c r="D31" s="685">
        <v>45839</v>
      </c>
      <c r="E31" s="686">
        <v>107.5</v>
      </c>
      <c r="F31" s="687" t="s">
        <v>1331</v>
      </c>
      <c r="G31" s="688" t="s">
        <v>9</v>
      </c>
    </row>
    <row r="32" spans="1:10">
      <c r="A32" s="684">
        <v>98</v>
      </c>
      <c r="B32" s="684" t="s">
        <v>12</v>
      </c>
      <c r="C32" s="684">
        <v>1040328</v>
      </c>
      <c r="D32" s="685">
        <v>45839</v>
      </c>
      <c r="E32" s="686">
        <v>3</v>
      </c>
      <c r="F32" s="687" t="s">
        <v>1331</v>
      </c>
      <c r="G32" s="688" t="s">
        <v>9</v>
      </c>
    </row>
    <row r="33" spans="1:7">
      <c r="A33" s="684">
        <v>99</v>
      </c>
      <c r="B33" s="684" t="s">
        <v>12</v>
      </c>
      <c r="C33" s="684">
        <v>1040328</v>
      </c>
      <c r="D33" s="685">
        <v>45839</v>
      </c>
      <c r="E33" s="686">
        <v>27</v>
      </c>
      <c r="F33" s="687" t="s">
        <v>1331</v>
      </c>
      <c r="G33" s="688" t="s">
        <v>9</v>
      </c>
    </row>
    <row r="34" spans="1:7">
      <c r="A34" s="684">
        <v>100</v>
      </c>
      <c r="B34" s="684" t="s">
        <v>12</v>
      </c>
      <c r="C34" s="684">
        <v>1040328</v>
      </c>
      <c r="D34" s="685">
        <v>45839</v>
      </c>
      <c r="E34" s="686">
        <v>15.5</v>
      </c>
      <c r="F34" s="687" t="s">
        <v>1331</v>
      </c>
      <c r="G34" s="688" t="s">
        <v>9</v>
      </c>
    </row>
    <row r="35" spans="1:7">
      <c r="A35" s="684">
        <v>101</v>
      </c>
      <c r="B35" s="684" t="s">
        <v>12</v>
      </c>
      <c r="C35" s="684">
        <v>1040328</v>
      </c>
      <c r="D35" s="685">
        <v>45839</v>
      </c>
      <c r="E35" s="686">
        <v>15.5</v>
      </c>
      <c r="F35" s="687" t="s">
        <v>1331</v>
      </c>
      <c r="G35" s="688" t="s">
        <v>9</v>
      </c>
    </row>
    <row r="36" spans="1:7">
      <c r="A36" s="684">
        <v>102</v>
      </c>
      <c r="B36" s="684" t="s">
        <v>12</v>
      </c>
      <c r="C36" s="684">
        <v>1040328</v>
      </c>
      <c r="D36" s="685">
        <v>45839</v>
      </c>
      <c r="E36" s="686">
        <v>91</v>
      </c>
      <c r="F36" s="687" t="s">
        <v>1331</v>
      </c>
      <c r="G36" s="688" t="s">
        <v>9</v>
      </c>
    </row>
    <row r="37" spans="1:7">
      <c r="A37" s="684">
        <v>103</v>
      </c>
      <c r="B37" s="684" t="s">
        <v>12</v>
      </c>
      <c r="C37" s="684">
        <v>1040328</v>
      </c>
      <c r="D37" s="685">
        <v>45839</v>
      </c>
      <c r="E37" s="686">
        <v>42.5</v>
      </c>
      <c r="F37" s="687" t="s">
        <v>1331</v>
      </c>
      <c r="G37" s="688" t="s">
        <v>9</v>
      </c>
    </row>
    <row r="38" spans="1:7">
      <c r="A38" s="684">
        <v>104</v>
      </c>
      <c r="B38" s="684" t="s">
        <v>12</v>
      </c>
      <c r="C38" s="684">
        <v>1040328</v>
      </c>
      <c r="D38" s="685">
        <v>45839</v>
      </c>
      <c r="E38" s="686">
        <v>55</v>
      </c>
      <c r="F38" s="687" t="s">
        <v>1331</v>
      </c>
      <c r="G38" s="688" t="s">
        <v>9</v>
      </c>
    </row>
    <row r="39" spans="1:7">
      <c r="A39" s="684">
        <v>105</v>
      </c>
      <c r="B39" s="684" t="s">
        <v>12</v>
      </c>
      <c r="C39" s="684">
        <v>1040328</v>
      </c>
      <c r="D39" s="685">
        <v>45839</v>
      </c>
      <c r="E39" s="686">
        <v>156.5</v>
      </c>
      <c r="F39" s="687" t="s">
        <v>1331</v>
      </c>
      <c r="G39" s="688" t="s">
        <v>9</v>
      </c>
    </row>
    <row r="40" spans="1:7">
      <c r="A40" s="684">
        <v>106</v>
      </c>
      <c r="B40" s="684" t="s">
        <v>12</v>
      </c>
      <c r="C40" s="684">
        <v>1040328</v>
      </c>
      <c r="D40" s="685">
        <v>45839</v>
      </c>
      <c r="E40" s="686">
        <v>9</v>
      </c>
      <c r="F40" s="687" t="s">
        <v>1331</v>
      </c>
      <c r="G40" s="688" t="s">
        <v>9</v>
      </c>
    </row>
    <row r="41" spans="1:7">
      <c r="A41" s="684">
        <v>107</v>
      </c>
      <c r="B41" s="684" t="s">
        <v>12</v>
      </c>
      <c r="C41" s="684">
        <v>1040328</v>
      </c>
      <c r="D41" s="685">
        <v>45839</v>
      </c>
      <c r="E41" s="686">
        <v>3</v>
      </c>
      <c r="F41" s="687" t="s">
        <v>1331</v>
      </c>
      <c r="G41" s="688" t="s">
        <v>9</v>
      </c>
    </row>
    <row r="42" spans="1:7">
      <c r="A42" s="684">
        <v>108</v>
      </c>
      <c r="B42" s="684" t="s">
        <v>12</v>
      </c>
      <c r="C42" s="684">
        <v>1040328</v>
      </c>
      <c r="D42" s="685">
        <v>45839</v>
      </c>
      <c r="E42" s="686">
        <v>31</v>
      </c>
      <c r="F42" s="687" t="s">
        <v>1331</v>
      </c>
      <c r="G42" s="688" t="s">
        <v>9</v>
      </c>
    </row>
    <row r="43" spans="1:7">
      <c r="A43" s="684">
        <v>109</v>
      </c>
      <c r="B43" s="684" t="s">
        <v>12</v>
      </c>
      <c r="C43" s="684">
        <v>1040328</v>
      </c>
      <c r="D43" s="685">
        <v>45839</v>
      </c>
      <c r="E43" s="686">
        <v>98</v>
      </c>
      <c r="F43" s="687" t="s">
        <v>1331</v>
      </c>
      <c r="G43" s="688" t="s">
        <v>9</v>
      </c>
    </row>
    <row r="44" spans="1:7">
      <c r="A44" s="684">
        <v>110</v>
      </c>
      <c r="B44" s="684" t="s">
        <v>12</v>
      </c>
      <c r="C44" s="684">
        <v>1040328</v>
      </c>
      <c r="D44" s="685">
        <v>45839</v>
      </c>
      <c r="E44" s="686">
        <v>15.5</v>
      </c>
      <c r="F44" s="687" t="s">
        <v>1331</v>
      </c>
      <c r="G44" s="688" t="s">
        <v>9</v>
      </c>
    </row>
    <row r="45" spans="1:7">
      <c r="A45" s="684">
        <v>111</v>
      </c>
      <c r="B45" s="684" t="s">
        <v>12</v>
      </c>
      <c r="C45" s="684">
        <v>1040328</v>
      </c>
      <c r="D45" s="685">
        <v>45839</v>
      </c>
      <c r="E45" s="686">
        <v>42.5</v>
      </c>
      <c r="F45" s="687" t="s">
        <v>1331</v>
      </c>
      <c r="G45" s="688" t="s">
        <v>9</v>
      </c>
    </row>
    <row r="46" spans="1:7">
      <c r="A46" s="684">
        <v>112</v>
      </c>
      <c r="B46" s="684" t="s">
        <v>12</v>
      </c>
      <c r="C46" s="684">
        <v>1040328</v>
      </c>
      <c r="D46" s="685">
        <v>45839</v>
      </c>
      <c r="E46" s="686">
        <v>18.5</v>
      </c>
      <c r="F46" s="687" t="s">
        <v>1331</v>
      </c>
      <c r="G46" s="688" t="s">
        <v>9</v>
      </c>
    </row>
    <row r="47" spans="1:7">
      <c r="A47" s="684">
        <v>113</v>
      </c>
      <c r="B47" s="684" t="s">
        <v>12</v>
      </c>
      <c r="C47" s="684">
        <v>1040328</v>
      </c>
      <c r="D47" s="685">
        <v>45839</v>
      </c>
      <c r="E47" s="686">
        <v>18.5</v>
      </c>
      <c r="F47" s="687" t="s">
        <v>1331</v>
      </c>
      <c r="G47" s="688" t="s">
        <v>9</v>
      </c>
    </row>
    <row r="48" spans="1:7">
      <c r="A48" s="684">
        <v>114</v>
      </c>
      <c r="B48" s="684" t="s">
        <v>12</v>
      </c>
      <c r="C48" s="684">
        <v>1040328</v>
      </c>
      <c r="D48" s="685">
        <v>45839</v>
      </c>
      <c r="E48" s="686">
        <v>88.5</v>
      </c>
      <c r="F48" s="687" t="s">
        <v>1331</v>
      </c>
      <c r="G48" s="688" t="s">
        <v>9</v>
      </c>
    </row>
    <row r="49" spans="1:7">
      <c r="A49" s="684">
        <v>115</v>
      </c>
      <c r="B49" s="684" t="s">
        <v>12</v>
      </c>
      <c r="C49" s="684">
        <v>1040328</v>
      </c>
      <c r="D49" s="685">
        <v>45839</v>
      </c>
      <c r="E49" s="686">
        <v>27.5</v>
      </c>
      <c r="F49" s="687" t="s">
        <v>1331</v>
      </c>
      <c r="G49" s="688" t="s">
        <v>9</v>
      </c>
    </row>
    <row r="50" spans="1:7">
      <c r="A50" s="684">
        <v>116</v>
      </c>
      <c r="B50" s="684" t="s">
        <v>12</v>
      </c>
      <c r="C50" s="684">
        <v>1040328</v>
      </c>
      <c r="D50" s="685">
        <v>45839</v>
      </c>
      <c r="E50" s="686">
        <v>3</v>
      </c>
      <c r="F50" s="687" t="s">
        <v>1331</v>
      </c>
      <c r="G50" s="688" t="s">
        <v>9</v>
      </c>
    </row>
    <row r="51" spans="1:7">
      <c r="A51" s="684">
        <v>117</v>
      </c>
      <c r="B51" s="684" t="s">
        <v>12</v>
      </c>
      <c r="C51" s="684">
        <v>1040328</v>
      </c>
      <c r="D51" s="685">
        <v>45839</v>
      </c>
      <c r="E51" s="686">
        <v>18.5</v>
      </c>
      <c r="F51" s="687" t="s">
        <v>1331</v>
      </c>
      <c r="G51" s="688" t="s">
        <v>9</v>
      </c>
    </row>
    <row r="52" spans="1:7">
      <c r="A52" s="684">
        <v>118</v>
      </c>
      <c r="B52" s="684" t="s">
        <v>12</v>
      </c>
      <c r="C52" s="684">
        <v>1040328</v>
      </c>
      <c r="D52" s="685">
        <v>45839</v>
      </c>
      <c r="E52" s="686">
        <v>3</v>
      </c>
      <c r="F52" s="687" t="s">
        <v>1331</v>
      </c>
      <c r="G52" s="688" t="s">
        <v>9</v>
      </c>
    </row>
    <row r="53" spans="1:7">
      <c r="A53" s="684">
        <v>119</v>
      </c>
      <c r="B53" s="684" t="s">
        <v>12</v>
      </c>
      <c r="C53" s="684">
        <v>1040328</v>
      </c>
      <c r="D53" s="685">
        <v>45839</v>
      </c>
      <c r="E53" s="686">
        <v>3</v>
      </c>
      <c r="F53" s="687" t="s">
        <v>1331</v>
      </c>
      <c r="G53" s="688" t="s">
        <v>9</v>
      </c>
    </row>
    <row r="54" spans="1:7">
      <c r="A54" s="684">
        <v>120</v>
      </c>
      <c r="B54" s="684" t="s">
        <v>12</v>
      </c>
      <c r="C54" s="684">
        <v>1040328</v>
      </c>
      <c r="D54" s="685">
        <v>45839</v>
      </c>
      <c r="E54" s="686">
        <v>3</v>
      </c>
      <c r="F54" s="687" t="s">
        <v>1331</v>
      </c>
      <c r="G54" s="688" t="s">
        <v>9</v>
      </c>
    </row>
    <row r="55" spans="1:7">
      <c r="A55" s="684">
        <v>121</v>
      </c>
      <c r="B55" s="684" t="s">
        <v>12</v>
      </c>
      <c r="C55" s="684">
        <v>1040328</v>
      </c>
      <c r="D55" s="685">
        <v>45839</v>
      </c>
      <c r="E55" s="686">
        <v>3</v>
      </c>
      <c r="F55" s="687" t="s">
        <v>1331</v>
      </c>
      <c r="G55" s="688" t="s">
        <v>9</v>
      </c>
    </row>
    <row r="56" spans="1:7">
      <c r="A56" s="684">
        <v>122</v>
      </c>
      <c r="B56" s="684" t="s">
        <v>12</v>
      </c>
      <c r="C56" s="684">
        <v>1040328</v>
      </c>
      <c r="D56" s="685">
        <v>45839</v>
      </c>
      <c r="E56" s="686">
        <v>15.5</v>
      </c>
      <c r="F56" s="687" t="s">
        <v>1331</v>
      </c>
      <c r="G56" s="688" t="s">
        <v>9</v>
      </c>
    </row>
    <row r="57" spans="1:7">
      <c r="A57" s="684">
        <v>123</v>
      </c>
      <c r="B57" s="684" t="s">
        <v>12</v>
      </c>
      <c r="C57" s="684">
        <v>1040328</v>
      </c>
      <c r="D57" s="685">
        <v>45839</v>
      </c>
      <c r="E57" s="686">
        <v>15.5</v>
      </c>
      <c r="F57" s="687" t="s">
        <v>1331</v>
      </c>
      <c r="G57" s="688" t="s">
        <v>9</v>
      </c>
    </row>
    <row r="58" spans="1:7">
      <c r="A58" s="684">
        <v>124</v>
      </c>
      <c r="B58" s="684" t="s">
        <v>12</v>
      </c>
      <c r="C58" s="684">
        <v>1040328</v>
      </c>
      <c r="D58" s="685">
        <v>45839</v>
      </c>
      <c r="E58" s="686">
        <v>3</v>
      </c>
      <c r="F58" s="687" t="s">
        <v>1331</v>
      </c>
      <c r="G58" s="688" t="s">
        <v>9</v>
      </c>
    </row>
    <row r="59" spans="1:7">
      <c r="A59" s="684">
        <v>125</v>
      </c>
      <c r="B59" s="684" t="s">
        <v>12</v>
      </c>
      <c r="C59" s="684">
        <v>1040328</v>
      </c>
      <c r="D59" s="685">
        <v>45839</v>
      </c>
      <c r="E59" s="686">
        <v>15.5</v>
      </c>
      <c r="F59" s="687" t="s">
        <v>1331</v>
      </c>
      <c r="G59" s="688" t="s">
        <v>9</v>
      </c>
    </row>
    <row r="60" spans="1:7">
      <c r="A60" s="684">
        <v>126</v>
      </c>
      <c r="B60" s="684" t="s">
        <v>12</v>
      </c>
      <c r="C60" s="684">
        <v>1040328</v>
      </c>
      <c r="D60" s="685">
        <v>45839</v>
      </c>
      <c r="E60" s="686">
        <v>3</v>
      </c>
      <c r="F60" s="687" t="s">
        <v>1331</v>
      </c>
      <c r="G60" s="688" t="s">
        <v>9</v>
      </c>
    </row>
    <row r="61" spans="1:7">
      <c r="A61" s="244"/>
      <c r="B61" s="244"/>
      <c r="C61" s="244"/>
    </row>
    <row r="62" spans="1:7">
      <c r="A62" s="244"/>
      <c r="B62" s="244"/>
      <c r="C62" s="244"/>
    </row>
    <row r="63" spans="1:7">
      <c r="A63" s="244"/>
      <c r="B63" s="244"/>
      <c r="C63" s="244"/>
    </row>
    <row r="64" spans="1:7">
      <c r="A64" s="244"/>
      <c r="B64" s="244"/>
      <c r="C64" s="244"/>
    </row>
    <row r="65" spans="1:3">
      <c r="A65" s="244"/>
      <c r="B65" s="244"/>
      <c r="C65" s="244"/>
    </row>
    <row r="66" spans="1:3">
      <c r="A66" s="244"/>
      <c r="B66" s="244"/>
      <c r="C66" s="244"/>
    </row>
    <row r="67" spans="1:3">
      <c r="A67" s="244"/>
      <c r="B67" s="244"/>
      <c r="C67" s="244"/>
    </row>
    <row r="68" spans="1:3">
      <c r="A68" s="244"/>
      <c r="B68" s="244"/>
      <c r="C68" s="244"/>
    </row>
    <row r="69" spans="1:3">
      <c r="A69" s="244"/>
      <c r="B69" s="244"/>
      <c r="C69" s="244"/>
    </row>
    <row r="70" spans="1:3">
      <c r="A70" s="244"/>
      <c r="B70" s="244"/>
      <c r="C70" s="244"/>
    </row>
    <row r="71" spans="1:3">
      <c r="A71" s="244"/>
      <c r="B71" s="244"/>
      <c r="C71" s="244"/>
    </row>
    <row r="72" spans="1:3">
      <c r="A72" s="244"/>
      <c r="B72" s="244"/>
      <c r="C72" s="244"/>
    </row>
    <row r="73" spans="1:3">
      <c r="A73" s="244"/>
      <c r="B73" s="244"/>
      <c r="C73" s="244"/>
    </row>
    <row r="74" spans="1:3">
      <c r="A74" s="244"/>
      <c r="B74" s="244"/>
      <c r="C74" s="244"/>
    </row>
    <row r="75" spans="1:3">
      <c r="A75" s="244"/>
      <c r="B75" s="244"/>
      <c r="C75" s="244"/>
    </row>
    <row r="76" spans="1:3">
      <c r="A76" s="244"/>
      <c r="B76" s="244"/>
      <c r="C76" s="244"/>
    </row>
  </sheetData>
  <mergeCells count="1">
    <mergeCell ref="H26:J26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FBD8E-B5AB-480C-BF44-4057FB55134E}">
  <sheetPr>
    <tabColor rgb="FFFFFF00"/>
  </sheetPr>
  <dimension ref="A1:K46"/>
  <sheetViews>
    <sheetView showGridLines="0" zoomScaleNormal="100" workbookViewId="0">
      <selection activeCellId="1" sqref="I8 A1:XFD1048576"/>
    </sheetView>
  </sheetViews>
  <sheetFormatPr defaultColWidth="8.8984375" defaultRowHeight="13.8"/>
  <cols>
    <col min="1" max="1" width="5.09765625" style="246" bestFit="1" customWidth="1"/>
    <col min="2" max="2" width="15.5" style="246" bestFit="1" customWidth="1"/>
    <col min="3" max="3" width="7.8984375" style="246" bestFit="1" customWidth="1"/>
    <col min="4" max="4" width="13.69921875" style="246" bestFit="1" customWidth="1"/>
    <col min="5" max="5" width="15.59765625" style="316" bestFit="1" customWidth="1"/>
    <col min="6" max="6" width="20.69921875" style="246" bestFit="1" customWidth="1"/>
    <col min="7" max="7" width="28.5" style="315" bestFit="1" customWidth="1"/>
    <col min="8" max="8" width="9.19921875" style="246" customWidth="1"/>
    <col min="9" max="9" width="8.8984375" style="246"/>
    <col min="10" max="10" width="26.8984375" style="246" bestFit="1" customWidth="1"/>
    <col min="11" max="11" width="15.296875" style="316" bestFit="1" customWidth="1"/>
    <col min="12" max="16384" width="8.8984375" style="246"/>
  </cols>
  <sheetData>
    <row r="1" spans="1:11" ht="14.4" thickBot="1">
      <c r="A1" s="369" t="s">
        <v>0</v>
      </c>
      <c r="B1" s="369" t="s">
        <v>1</v>
      </c>
      <c r="C1" s="369" t="s">
        <v>2</v>
      </c>
      <c r="D1" s="369" t="s">
        <v>1322</v>
      </c>
      <c r="E1" s="371" t="s">
        <v>1323</v>
      </c>
      <c r="F1" s="370" t="s">
        <v>3</v>
      </c>
      <c r="G1" s="369" t="s">
        <v>4</v>
      </c>
      <c r="H1"/>
      <c r="I1"/>
      <c r="J1" s="370" t="s">
        <v>5</v>
      </c>
      <c r="K1" s="372" t="s">
        <v>1324</v>
      </c>
    </row>
    <row r="2" spans="1:11" ht="14.4" thickTop="1">
      <c r="A2" s="246">
        <v>2</v>
      </c>
      <c r="B2" s="246" t="s">
        <v>7</v>
      </c>
      <c r="C2" s="246">
        <v>2010830</v>
      </c>
      <c r="D2" s="264">
        <v>45840</v>
      </c>
      <c r="E2" s="287">
        <v>89.31</v>
      </c>
      <c r="F2" s="246" t="s">
        <v>1338</v>
      </c>
      <c r="G2" s="314" t="s">
        <v>9</v>
      </c>
      <c r="J2" s="334">
        <v>174370</v>
      </c>
      <c r="K2" s="332">
        <v>666439.65</v>
      </c>
    </row>
    <row r="3" spans="1:11">
      <c r="A3" s="246">
        <v>3</v>
      </c>
      <c r="B3" s="246" t="s">
        <v>7</v>
      </c>
      <c r="C3" s="246">
        <v>2010830</v>
      </c>
      <c r="D3" s="264">
        <v>45840</v>
      </c>
      <c r="E3" s="287">
        <v>195.12</v>
      </c>
      <c r="F3" s="246" t="s">
        <v>1338</v>
      </c>
      <c r="G3" s="314" t="s">
        <v>9</v>
      </c>
      <c r="J3" s="323">
        <v>174380</v>
      </c>
      <c r="K3" s="324">
        <v>174901.22</v>
      </c>
    </row>
    <row r="4" spans="1:11">
      <c r="A4" s="246">
        <v>4</v>
      </c>
      <c r="B4" s="246" t="s">
        <v>7</v>
      </c>
      <c r="C4" s="246">
        <v>2130870</v>
      </c>
      <c r="D4" s="264">
        <v>45840</v>
      </c>
      <c r="E4" s="287">
        <v>168991.69</v>
      </c>
      <c r="F4" s="246" t="s">
        <v>1325</v>
      </c>
      <c r="G4" s="314" t="s">
        <v>9</v>
      </c>
      <c r="J4" s="347">
        <v>174403</v>
      </c>
      <c r="K4" s="348">
        <v>2316.13</v>
      </c>
    </row>
    <row r="5" spans="1:11">
      <c r="A5" s="246">
        <v>5</v>
      </c>
      <c r="B5" s="246" t="s">
        <v>7</v>
      </c>
      <c r="C5" s="246">
        <v>2130870</v>
      </c>
      <c r="D5" s="264">
        <v>45840</v>
      </c>
      <c r="E5" s="287">
        <v>16518.62</v>
      </c>
      <c r="F5" s="246" t="s">
        <v>1325</v>
      </c>
      <c r="G5" s="314" t="s">
        <v>9</v>
      </c>
      <c r="J5" s="160">
        <v>174409</v>
      </c>
      <c r="K5" s="161">
        <v>954594.21</v>
      </c>
    </row>
    <row r="6" spans="1:11">
      <c r="A6" s="246">
        <v>6</v>
      </c>
      <c r="B6" s="246" t="s">
        <v>7</v>
      </c>
      <c r="C6" s="246">
        <v>2130870</v>
      </c>
      <c r="D6" s="264">
        <v>45840</v>
      </c>
      <c r="E6" s="287">
        <v>13178.94</v>
      </c>
      <c r="F6" s="246" t="s">
        <v>1325</v>
      </c>
      <c r="G6" s="314" t="s">
        <v>9</v>
      </c>
      <c r="J6" s="328">
        <v>174410</v>
      </c>
      <c r="K6" s="329">
        <v>2042599.95</v>
      </c>
    </row>
    <row r="7" spans="1:11">
      <c r="A7" s="246">
        <v>7</v>
      </c>
      <c r="B7" s="246" t="s">
        <v>7</v>
      </c>
      <c r="C7" s="246">
        <v>2130870</v>
      </c>
      <c r="D7" s="264">
        <v>45840</v>
      </c>
      <c r="E7" s="217">
        <v>184824.29</v>
      </c>
      <c r="F7" s="246" t="s">
        <v>1325</v>
      </c>
      <c r="G7" s="314" t="s">
        <v>9</v>
      </c>
      <c r="J7" s="352">
        <v>174417</v>
      </c>
      <c r="K7" s="20">
        <v>1384.26</v>
      </c>
    </row>
    <row r="8" spans="1:11">
      <c r="A8" s="246">
        <v>8</v>
      </c>
      <c r="B8" s="246" t="s">
        <v>7</v>
      </c>
      <c r="C8" s="246">
        <v>2130870</v>
      </c>
      <c r="D8" s="264">
        <v>45840</v>
      </c>
      <c r="E8" s="287">
        <v>16762.669999999998</v>
      </c>
      <c r="F8" s="246" t="s">
        <v>1326</v>
      </c>
      <c r="G8" s="314" t="s">
        <v>9</v>
      </c>
      <c r="J8" s="356" t="s">
        <v>1334</v>
      </c>
      <c r="K8" s="357">
        <v>58.24</v>
      </c>
    </row>
    <row r="9" spans="1:11">
      <c r="A9" s="246">
        <v>9</v>
      </c>
      <c r="B9" s="246" t="s">
        <v>7</v>
      </c>
      <c r="C9" s="246">
        <v>2130870</v>
      </c>
      <c r="D9" s="264">
        <v>45840</v>
      </c>
      <c r="E9" s="217">
        <v>1127.1099999999999</v>
      </c>
      <c r="F9" s="246" t="s">
        <v>1326</v>
      </c>
      <c r="G9" s="314" t="s">
        <v>9</v>
      </c>
      <c r="J9" s="123" t="s">
        <v>1335</v>
      </c>
      <c r="K9" s="25">
        <v>127.95</v>
      </c>
    </row>
    <row r="10" spans="1:11">
      <c r="A10" s="246">
        <v>10</v>
      </c>
      <c r="B10" s="246" t="s">
        <v>7</v>
      </c>
      <c r="C10" s="246">
        <v>2130870</v>
      </c>
      <c r="D10" s="264">
        <v>45840</v>
      </c>
      <c r="E10" s="287">
        <v>10303.5</v>
      </c>
      <c r="F10" s="246" t="s">
        <v>1340</v>
      </c>
      <c r="G10" s="314" t="s">
        <v>9</v>
      </c>
      <c r="J10" s="343" t="s">
        <v>1332</v>
      </c>
      <c r="K10" s="98">
        <v>649.58000000000004</v>
      </c>
    </row>
    <row r="11" spans="1:11">
      <c r="A11" s="246">
        <v>11</v>
      </c>
      <c r="B11" s="246" t="s">
        <v>7</v>
      </c>
      <c r="C11" s="246">
        <v>2130870</v>
      </c>
      <c r="D11" s="264">
        <v>45840</v>
      </c>
      <c r="E11" s="287">
        <v>84961.38</v>
      </c>
      <c r="F11" s="246" t="s">
        <v>1341</v>
      </c>
      <c r="G11" s="314" t="s">
        <v>9</v>
      </c>
      <c r="J11" s="368" t="s">
        <v>1336</v>
      </c>
      <c r="K11" s="367">
        <v>4140</v>
      </c>
    </row>
    <row r="12" spans="1:11">
      <c r="A12" s="246">
        <v>12</v>
      </c>
      <c r="B12" s="246" t="s">
        <v>7</v>
      </c>
      <c r="C12" s="246">
        <v>2130870</v>
      </c>
      <c r="D12" s="264">
        <v>45840</v>
      </c>
      <c r="E12" s="287">
        <v>4694500.6500000004</v>
      </c>
      <c r="F12" s="246" t="s">
        <v>32</v>
      </c>
      <c r="G12" s="314" t="s">
        <v>9</v>
      </c>
      <c r="J12" s="338" t="s">
        <v>1337</v>
      </c>
      <c r="K12" s="339">
        <v>14500</v>
      </c>
    </row>
    <row r="13" spans="1:11">
      <c r="A13" s="246">
        <v>13</v>
      </c>
      <c r="B13" s="246" t="s">
        <v>7</v>
      </c>
      <c r="C13" s="246">
        <v>2130870</v>
      </c>
      <c r="D13" s="264">
        <v>45840</v>
      </c>
      <c r="E13" s="287">
        <v>5238.0600000000004</v>
      </c>
      <c r="F13" s="246" t="s">
        <v>1328</v>
      </c>
      <c r="G13" s="314" t="s">
        <v>9</v>
      </c>
      <c r="J13" s="364" t="s">
        <v>1333</v>
      </c>
      <c r="K13" s="363">
        <v>92.44</v>
      </c>
    </row>
    <row r="14" spans="1:11" ht="14.4" thickBot="1">
      <c r="A14" s="317">
        <v>14</v>
      </c>
      <c r="B14" s="317" t="s">
        <v>7</v>
      </c>
      <c r="C14" s="317">
        <v>2060855</v>
      </c>
      <c r="D14" s="318">
        <v>45840</v>
      </c>
      <c r="E14" s="319">
        <v>3100000</v>
      </c>
      <c r="F14" s="246" t="s">
        <v>1329</v>
      </c>
      <c r="G14" s="314" t="s">
        <v>9</v>
      </c>
      <c r="J14" s="542" t="s">
        <v>1380</v>
      </c>
      <c r="K14" s="543">
        <v>2332.6999999999998</v>
      </c>
    </row>
    <row r="15" spans="1:11" ht="14.4" thickTop="1">
      <c r="A15" s="320">
        <v>20</v>
      </c>
      <c r="B15" s="320" t="s">
        <v>11</v>
      </c>
      <c r="C15" s="320">
        <v>1200393</v>
      </c>
      <c r="D15" s="321">
        <v>45840</v>
      </c>
      <c r="E15" s="322">
        <v>24863.03</v>
      </c>
      <c r="F15" s="437"/>
      <c r="G15" s="438" t="s">
        <v>9</v>
      </c>
      <c r="J15" s="542" t="s">
        <v>1381</v>
      </c>
      <c r="K15" s="543">
        <v>2332.6999999999998</v>
      </c>
    </row>
    <row r="16" spans="1:11">
      <c r="A16" s="320">
        <v>21</v>
      </c>
      <c r="B16" s="320" t="s">
        <v>11</v>
      </c>
      <c r="C16" s="320">
        <v>1040211</v>
      </c>
      <c r="D16" s="321">
        <v>45840</v>
      </c>
      <c r="E16" s="322">
        <v>150038.19</v>
      </c>
      <c r="F16" s="320"/>
      <c r="G16" s="439" t="s">
        <v>9</v>
      </c>
      <c r="J16" s="542" t="s">
        <v>1382</v>
      </c>
      <c r="K16" s="543">
        <v>1800</v>
      </c>
    </row>
    <row r="17" spans="1:7">
      <c r="A17" s="432">
        <v>48</v>
      </c>
      <c r="B17" s="432" t="s">
        <v>11</v>
      </c>
      <c r="C17" s="432">
        <v>1040211</v>
      </c>
      <c r="D17" s="433">
        <v>45840</v>
      </c>
      <c r="E17" s="434">
        <v>954594.21</v>
      </c>
      <c r="F17" s="432"/>
      <c r="G17" s="440" t="s">
        <v>9</v>
      </c>
    </row>
    <row r="18" spans="1:7">
      <c r="A18" s="330">
        <v>56</v>
      </c>
      <c r="B18" s="330" t="s">
        <v>11</v>
      </c>
      <c r="C18" s="330">
        <v>1040211</v>
      </c>
      <c r="D18" s="331">
        <v>45840</v>
      </c>
      <c r="E18" s="332">
        <v>540868.26</v>
      </c>
      <c r="F18" s="330"/>
      <c r="G18" s="441" t="s">
        <v>9</v>
      </c>
    </row>
    <row r="19" spans="1:7">
      <c r="A19" s="330">
        <v>57</v>
      </c>
      <c r="B19" s="330" t="s">
        <v>11</v>
      </c>
      <c r="C19" s="330">
        <v>1200393</v>
      </c>
      <c r="D19" s="331">
        <v>45840</v>
      </c>
      <c r="E19" s="333">
        <v>12139.59</v>
      </c>
      <c r="F19" s="330"/>
      <c r="G19" s="441" t="s">
        <v>9</v>
      </c>
    </row>
    <row r="20" spans="1:7">
      <c r="A20" s="330">
        <v>58</v>
      </c>
      <c r="B20" s="330" t="s">
        <v>11</v>
      </c>
      <c r="C20" s="330">
        <v>1200393</v>
      </c>
      <c r="D20" s="331">
        <v>45840</v>
      </c>
      <c r="E20" s="332">
        <v>113431.8</v>
      </c>
      <c r="F20" s="330"/>
      <c r="G20" s="441" t="s">
        <v>9</v>
      </c>
    </row>
    <row r="21" spans="1:7">
      <c r="A21" s="542">
        <v>59</v>
      </c>
      <c r="B21" s="542" t="s">
        <v>12</v>
      </c>
      <c r="C21" s="542">
        <v>1040500</v>
      </c>
      <c r="D21" s="544">
        <v>45840</v>
      </c>
      <c r="E21" s="543">
        <v>2332.6999999999998</v>
      </c>
      <c r="F21" s="542" t="s">
        <v>1342</v>
      </c>
      <c r="G21" s="545" t="s">
        <v>9</v>
      </c>
    </row>
    <row r="22" spans="1:7">
      <c r="A22" s="542">
        <v>60</v>
      </c>
      <c r="B22" s="542" t="s">
        <v>12</v>
      </c>
      <c r="C22" s="542">
        <v>1040500</v>
      </c>
      <c r="D22" s="544">
        <v>45840</v>
      </c>
      <c r="E22" s="543">
        <v>2332.6999999999998</v>
      </c>
      <c r="F22" s="542" t="s">
        <v>1342</v>
      </c>
      <c r="G22" s="545" t="s">
        <v>9</v>
      </c>
    </row>
    <row r="23" spans="1:7">
      <c r="A23" s="542">
        <v>61</v>
      </c>
      <c r="B23" s="542" t="s">
        <v>12</v>
      </c>
      <c r="C23" s="542">
        <v>1040500</v>
      </c>
      <c r="D23" s="544">
        <v>45840</v>
      </c>
      <c r="E23" s="543">
        <v>1800</v>
      </c>
      <c r="F23" s="542" t="s">
        <v>1342</v>
      </c>
      <c r="G23" s="545" t="s">
        <v>9</v>
      </c>
    </row>
    <row r="24" spans="1:7">
      <c r="A24" s="344">
        <v>64</v>
      </c>
      <c r="B24" s="344" t="s">
        <v>11</v>
      </c>
      <c r="C24" s="344">
        <v>1040375</v>
      </c>
      <c r="D24" s="345">
        <v>45840</v>
      </c>
      <c r="E24" s="346">
        <v>692.13</v>
      </c>
      <c r="F24" s="344"/>
      <c r="G24" s="442" t="s">
        <v>9</v>
      </c>
    </row>
    <row r="25" spans="1:7">
      <c r="A25" s="344">
        <v>65</v>
      </c>
      <c r="B25" s="344" t="s">
        <v>11</v>
      </c>
      <c r="C25" s="344">
        <v>1040375</v>
      </c>
      <c r="D25" s="345">
        <v>45840</v>
      </c>
      <c r="E25" s="346">
        <v>692.13</v>
      </c>
      <c r="F25" s="344"/>
      <c r="G25" s="442" t="s">
        <v>9</v>
      </c>
    </row>
    <row r="26" spans="1:7">
      <c r="A26" s="344">
        <v>66</v>
      </c>
      <c r="B26" s="344" t="s">
        <v>11</v>
      </c>
      <c r="C26" s="344">
        <v>1040375</v>
      </c>
      <c r="D26" s="345">
        <v>45840</v>
      </c>
      <c r="E26" s="346">
        <v>692.13</v>
      </c>
      <c r="F26" s="344"/>
      <c r="G26" s="442" t="s">
        <v>9</v>
      </c>
    </row>
    <row r="27" spans="1:7">
      <c r="A27" s="344">
        <v>67</v>
      </c>
      <c r="B27" s="344" t="s">
        <v>11</v>
      </c>
      <c r="C27" s="344">
        <v>1040362</v>
      </c>
      <c r="D27" s="345">
        <v>45840</v>
      </c>
      <c r="E27" s="346">
        <v>149.58000000000001</v>
      </c>
      <c r="F27" s="344"/>
      <c r="G27" s="442" t="s">
        <v>9</v>
      </c>
    </row>
    <row r="28" spans="1:7">
      <c r="A28" s="344">
        <v>68</v>
      </c>
      <c r="B28" s="344" t="s">
        <v>11</v>
      </c>
      <c r="C28" s="344">
        <v>1040362</v>
      </c>
      <c r="D28" s="345">
        <v>45840</v>
      </c>
      <c r="E28" s="346">
        <v>90.16</v>
      </c>
      <c r="F28" s="344"/>
      <c r="G28" s="442" t="s">
        <v>9</v>
      </c>
    </row>
    <row r="29" spans="1:7">
      <c r="A29" s="340">
        <v>69</v>
      </c>
      <c r="B29" s="340" t="s">
        <v>11</v>
      </c>
      <c r="C29" s="340">
        <v>1040375</v>
      </c>
      <c r="D29" s="341">
        <v>45840</v>
      </c>
      <c r="E29" s="342">
        <v>17</v>
      </c>
      <c r="F29" s="340"/>
      <c r="G29" s="443" t="s">
        <v>9</v>
      </c>
    </row>
    <row r="30" spans="1:7">
      <c r="A30" s="340">
        <v>70</v>
      </c>
      <c r="B30" s="340" t="s">
        <v>11</v>
      </c>
      <c r="C30" s="340">
        <v>1040375</v>
      </c>
      <c r="D30" s="341">
        <v>45840</v>
      </c>
      <c r="E30" s="342">
        <v>105.69</v>
      </c>
      <c r="F30" s="340"/>
      <c r="G30" s="443" t="s">
        <v>9</v>
      </c>
    </row>
    <row r="31" spans="1:7">
      <c r="A31" s="340">
        <v>71</v>
      </c>
      <c r="B31" s="340" t="s">
        <v>11</v>
      </c>
      <c r="C31" s="340">
        <v>1040375</v>
      </c>
      <c r="D31" s="341">
        <v>45840</v>
      </c>
      <c r="E31" s="342">
        <v>135.29</v>
      </c>
      <c r="F31" s="340"/>
      <c r="G31" s="443" t="s">
        <v>9</v>
      </c>
    </row>
    <row r="32" spans="1:7">
      <c r="A32" s="340">
        <v>72</v>
      </c>
      <c r="B32" s="340" t="s">
        <v>11</v>
      </c>
      <c r="C32" s="340">
        <v>1040375</v>
      </c>
      <c r="D32" s="341">
        <v>45840</v>
      </c>
      <c r="E32" s="342">
        <v>22.92</v>
      </c>
      <c r="F32" s="340"/>
      <c r="G32" s="443" t="s">
        <v>9</v>
      </c>
    </row>
    <row r="33" spans="1:7">
      <c r="A33" s="340">
        <v>73</v>
      </c>
      <c r="B33" s="340" t="s">
        <v>11</v>
      </c>
      <c r="C33" s="340">
        <v>1040375</v>
      </c>
      <c r="D33" s="341">
        <v>45840</v>
      </c>
      <c r="E33" s="342">
        <v>368.68</v>
      </c>
      <c r="F33" s="340"/>
      <c r="G33" s="443" t="s">
        <v>9</v>
      </c>
    </row>
    <row r="34" spans="1:7">
      <c r="A34" s="325">
        <v>82</v>
      </c>
      <c r="B34" s="325" t="s">
        <v>11</v>
      </c>
      <c r="C34" s="325">
        <v>1040109</v>
      </c>
      <c r="D34" s="326">
        <v>45840</v>
      </c>
      <c r="E34" s="327">
        <v>2042599.95</v>
      </c>
      <c r="F34" s="325"/>
      <c r="G34" s="444" t="s">
        <v>9</v>
      </c>
    </row>
    <row r="35" spans="1:7">
      <c r="A35" s="335">
        <v>84</v>
      </c>
      <c r="B35" s="335" t="s">
        <v>12</v>
      </c>
      <c r="C35" s="335">
        <v>1170144</v>
      </c>
      <c r="D35" s="336">
        <v>45840</v>
      </c>
      <c r="E35" s="337">
        <v>14500</v>
      </c>
      <c r="F35" s="335"/>
      <c r="G35" s="445" t="s">
        <v>9</v>
      </c>
    </row>
    <row r="36" spans="1:7">
      <c r="A36" s="349">
        <v>86</v>
      </c>
      <c r="B36" s="349" t="s">
        <v>11</v>
      </c>
      <c r="C36" s="349">
        <v>1040375</v>
      </c>
      <c r="D36" s="350">
        <v>45840</v>
      </c>
      <c r="E36" s="351">
        <v>692.13</v>
      </c>
      <c r="F36" s="349"/>
      <c r="G36" s="446" t="s">
        <v>9</v>
      </c>
    </row>
    <row r="37" spans="1:7">
      <c r="A37" s="349">
        <v>87</v>
      </c>
      <c r="B37" s="349" t="s">
        <v>11</v>
      </c>
      <c r="C37" s="349">
        <v>1040375</v>
      </c>
      <c r="D37" s="350">
        <v>45840</v>
      </c>
      <c r="E37" s="351">
        <v>692.13</v>
      </c>
      <c r="F37" s="349"/>
      <c r="G37" s="446" t="s">
        <v>9</v>
      </c>
    </row>
    <row r="38" spans="1:7">
      <c r="A38" s="361">
        <v>89</v>
      </c>
      <c r="B38" s="361" t="s">
        <v>11</v>
      </c>
      <c r="C38" s="361">
        <v>1040375</v>
      </c>
      <c r="D38" s="362">
        <v>45840</v>
      </c>
      <c r="E38" s="363">
        <v>60.18</v>
      </c>
      <c r="F38" s="361"/>
      <c r="G38" s="447" t="s">
        <v>9</v>
      </c>
    </row>
    <row r="39" spans="1:7">
      <c r="A39" s="361">
        <v>90</v>
      </c>
      <c r="B39" s="361" t="s">
        <v>11</v>
      </c>
      <c r="C39" s="361">
        <v>1040375</v>
      </c>
      <c r="D39" s="362">
        <v>45840</v>
      </c>
      <c r="E39" s="363">
        <v>32.26</v>
      </c>
      <c r="F39" s="361"/>
      <c r="G39" s="447" t="s">
        <v>9</v>
      </c>
    </row>
    <row r="40" spans="1:7">
      <c r="A40" s="353">
        <v>91</v>
      </c>
      <c r="B40" s="353" t="s">
        <v>11</v>
      </c>
      <c r="C40" s="353">
        <v>1040375</v>
      </c>
      <c r="D40" s="354">
        <v>45840</v>
      </c>
      <c r="E40" s="355">
        <v>25.11</v>
      </c>
      <c r="F40" s="353"/>
      <c r="G40" s="448" t="s">
        <v>9</v>
      </c>
    </row>
    <row r="41" spans="1:7">
      <c r="A41" s="353">
        <v>92</v>
      </c>
      <c r="B41" s="353" t="s">
        <v>11</v>
      </c>
      <c r="C41" s="353">
        <v>1040375</v>
      </c>
      <c r="D41" s="354">
        <v>45840</v>
      </c>
      <c r="E41" s="355">
        <v>33.130000000000003</v>
      </c>
      <c r="F41" s="353"/>
      <c r="G41" s="448" t="s">
        <v>9</v>
      </c>
    </row>
    <row r="42" spans="1:7">
      <c r="A42" s="365">
        <v>93</v>
      </c>
      <c r="B42" s="365" t="s">
        <v>12</v>
      </c>
      <c r="C42" s="365">
        <v>1170144</v>
      </c>
      <c r="D42" s="366">
        <v>45840</v>
      </c>
      <c r="E42" s="367">
        <v>4140</v>
      </c>
      <c r="F42" s="365"/>
      <c r="G42" s="449" t="s">
        <v>9</v>
      </c>
    </row>
    <row r="43" spans="1:7">
      <c r="A43" s="358">
        <v>94</v>
      </c>
      <c r="B43" s="358" t="s">
        <v>11</v>
      </c>
      <c r="C43" s="358">
        <v>1040375</v>
      </c>
      <c r="D43" s="359">
        <v>45840</v>
      </c>
      <c r="E43" s="360">
        <v>40.39</v>
      </c>
      <c r="F43" s="358"/>
      <c r="G43" s="450" t="s">
        <v>9</v>
      </c>
    </row>
    <row r="44" spans="1:7">
      <c r="A44" s="358">
        <v>95</v>
      </c>
      <c r="B44" s="358" t="s">
        <v>11</v>
      </c>
      <c r="C44" s="358">
        <v>1040375</v>
      </c>
      <c r="D44" s="359">
        <v>45840</v>
      </c>
      <c r="E44" s="360">
        <v>12.13</v>
      </c>
      <c r="F44" s="358"/>
      <c r="G44" s="450" t="s">
        <v>9</v>
      </c>
    </row>
    <row r="45" spans="1:7">
      <c r="A45" s="358">
        <v>96</v>
      </c>
      <c r="B45" s="358" t="s">
        <v>11</v>
      </c>
      <c r="C45" s="358">
        <v>1040375</v>
      </c>
      <c r="D45" s="359">
        <v>45840</v>
      </c>
      <c r="E45" s="360">
        <v>75.430000000000007</v>
      </c>
      <c r="F45" s="358"/>
      <c r="G45" s="450" t="s">
        <v>9</v>
      </c>
    </row>
    <row r="46" spans="1:7">
      <c r="A46" s="246">
        <v>139</v>
      </c>
      <c r="E46" s="316">
        <v>10</v>
      </c>
      <c r="F46" s="246" t="s">
        <v>1343</v>
      </c>
      <c r="G46" s="315" t="s">
        <v>9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137B8-7EB5-4C52-8EB9-F0F3A8C28F8A}">
  <sheetPr>
    <tabColor rgb="FFFFFF00"/>
  </sheetPr>
  <dimension ref="A1:L59"/>
  <sheetViews>
    <sheetView showGridLines="0" topLeftCell="A22" zoomScaleNormal="100" workbookViewId="0">
      <selection activeCellId="1" sqref="I8 A1:XFD1048576"/>
    </sheetView>
  </sheetViews>
  <sheetFormatPr defaultColWidth="9.8984375" defaultRowHeight="13.8"/>
  <cols>
    <col min="1" max="1" width="5.5" style="6" bestFit="1" customWidth="1"/>
    <col min="2" max="2" width="15.09765625" style="6" bestFit="1" customWidth="1"/>
    <col min="3" max="3" width="7.796875" style="6" bestFit="1" customWidth="1"/>
    <col min="4" max="4" width="13.69921875" style="6" bestFit="1" customWidth="1"/>
    <col min="5" max="5" width="15.296875" style="230" bestFit="1" customWidth="1"/>
    <col min="6" max="6" width="20.09765625" style="6" bestFit="1" customWidth="1"/>
    <col min="7" max="7" width="28.5" style="6" bestFit="1" customWidth="1"/>
    <col min="8" max="8" width="19.59765625" bestFit="1" customWidth="1"/>
    <col min="9" max="9" width="15" style="57" bestFit="1" customWidth="1"/>
    <col min="10" max="10" width="26.8984375" bestFit="1" customWidth="1"/>
    <col min="11" max="11" width="15.296875" style="212" bestFit="1" customWidth="1"/>
  </cols>
  <sheetData>
    <row r="1" spans="1:12" ht="13.95" customHeight="1" thickBot="1">
      <c r="A1" s="369" t="s">
        <v>0</v>
      </c>
      <c r="B1" s="369" t="s">
        <v>1</v>
      </c>
      <c r="C1" s="369" t="s">
        <v>2</v>
      </c>
      <c r="D1" s="369" t="s">
        <v>1322</v>
      </c>
      <c r="E1" s="371" t="s">
        <v>1323</v>
      </c>
      <c r="F1" s="370" t="s">
        <v>3</v>
      </c>
      <c r="G1" s="369" t="s">
        <v>4</v>
      </c>
      <c r="J1" s="370" t="s">
        <v>5</v>
      </c>
      <c r="K1" s="372" t="s">
        <v>1324</v>
      </c>
    </row>
    <row r="2" spans="1:12" ht="13.95" customHeight="1" thickTop="1">
      <c r="A2" s="6">
        <v>1</v>
      </c>
      <c r="B2" s="6" t="s">
        <v>7</v>
      </c>
      <c r="C2" s="6">
        <v>2130870</v>
      </c>
      <c r="D2" s="373">
        <v>45841</v>
      </c>
      <c r="E2" s="229">
        <v>19527</v>
      </c>
      <c r="F2" s="6" t="s">
        <v>1325</v>
      </c>
      <c r="G2" s="6" t="s">
        <v>10</v>
      </c>
      <c r="I2" s="57" t="s">
        <v>10</v>
      </c>
      <c r="J2" s="91">
        <v>174430</v>
      </c>
      <c r="K2" s="394">
        <v>2865000.11</v>
      </c>
      <c r="L2" s="64">
        <f>SUM(E33:E35)-E10-K2</f>
        <v>0</v>
      </c>
    </row>
    <row r="3" spans="1:12" ht="13.95" customHeight="1">
      <c r="A3" s="6">
        <v>2</v>
      </c>
      <c r="B3" s="6" t="s">
        <v>7</v>
      </c>
      <c r="C3" s="6">
        <v>2130870</v>
      </c>
      <c r="D3" s="373">
        <v>45841</v>
      </c>
      <c r="E3" s="229">
        <v>7205.01</v>
      </c>
      <c r="F3" s="6" t="s">
        <v>1348</v>
      </c>
      <c r="G3" s="6" t="s">
        <v>10</v>
      </c>
      <c r="I3" s="57" t="s">
        <v>10</v>
      </c>
      <c r="J3" s="92">
        <v>174437</v>
      </c>
      <c r="K3" s="387">
        <v>216839.19999999995</v>
      </c>
    </row>
    <row r="4" spans="1:12" ht="13.95" customHeight="1">
      <c r="A4" s="6">
        <v>3</v>
      </c>
      <c r="B4" s="6" t="s">
        <v>7</v>
      </c>
      <c r="C4" s="6">
        <v>2130870</v>
      </c>
      <c r="D4" s="373">
        <v>45841</v>
      </c>
      <c r="E4" s="229">
        <v>40530.129999999997</v>
      </c>
      <c r="F4" s="6" t="s">
        <v>1348</v>
      </c>
      <c r="G4" s="6" t="s">
        <v>10</v>
      </c>
      <c r="I4" s="57" t="s">
        <v>10</v>
      </c>
      <c r="J4" s="390">
        <v>174438</v>
      </c>
      <c r="K4" s="392">
        <v>59989.560000000005</v>
      </c>
    </row>
    <row r="5" spans="1:12" ht="13.95" customHeight="1">
      <c r="A5" s="6">
        <v>4</v>
      </c>
      <c r="B5" s="6" t="s">
        <v>7</v>
      </c>
      <c r="C5" s="6">
        <v>2130870</v>
      </c>
      <c r="D5" s="373">
        <v>45841</v>
      </c>
      <c r="E5" s="229">
        <v>15000</v>
      </c>
      <c r="F5" s="6" t="s">
        <v>1339</v>
      </c>
      <c r="G5" s="6" t="s">
        <v>10</v>
      </c>
      <c r="I5" s="57" t="s">
        <v>10</v>
      </c>
      <c r="J5" s="381">
        <v>174439</v>
      </c>
      <c r="K5" s="383">
        <v>922095.84999999986</v>
      </c>
    </row>
    <row r="6" spans="1:12" ht="13.95" customHeight="1">
      <c r="A6" s="6">
        <v>5</v>
      </c>
      <c r="B6" s="6" t="s">
        <v>7</v>
      </c>
      <c r="C6" s="6">
        <v>2130870</v>
      </c>
      <c r="D6" s="373">
        <v>45841</v>
      </c>
      <c r="E6" s="229">
        <v>6547.37</v>
      </c>
      <c r="F6" s="6" t="s">
        <v>1326</v>
      </c>
      <c r="G6" s="6" t="s">
        <v>10</v>
      </c>
      <c r="I6" s="57" t="s">
        <v>10</v>
      </c>
      <c r="J6" s="399">
        <v>174458</v>
      </c>
      <c r="K6" s="401">
        <v>1414.49</v>
      </c>
    </row>
    <row r="7" spans="1:12" ht="13.95" customHeight="1">
      <c r="A7" s="6">
        <v>6</v>
      </c>
      <c r="B7" s="6" t="s">
        <v>7</v>
      </c>
      <c r="C7" s="6">
        <v>2130870</v>
      </c>
      <c r="D7" s="373">
        <v>45841</v>
      </c>
      <c r="E7" s="229">
        <v>8661.24</v>
      </c>
      <c r="F7" s="6" t="s">
        <v>1326</v>
      </c>
      <c r="G7" s="6" t="s">
        <v>10</v>
      </c>
      <c r="I7" s="57" t="s">
        <v>10</v>
      </c>
      <c r="J7" s="419">
        <v>174474</v>
      </c>
      <c r="K7" s="421">
        <v>129.78</v>
      </c>
    </row>
    <row r="8" spans="1:12" ht="13.95" customHeight="1">
      <c r="A8" s="6">
        <v>7</v>
      </c>
      <c r="B8" s="6" t="s">
        <v>7</v>
      </c>
      <c r="C8" s="6">
        <v>2130870</v>
      </c>
      <c r="D8" s="373">
        <v>45841</v>
      </c>
      <c r="E8" s="229">
        <v>14983.59</v>
      </c>
      <c r="F8" s="6" t="s">
        <v>32</v>
      </c>
      <c r="G8" s="6" t="s">
        <v>10</v>
      </c>
      <c r="I8" s="57" t="s">
        <v>10</v>
      </c>
      <c r="J8" s="404" t="s">
        <v>1344</v>
      </c>
      <c r="K8" s="406">
        <v>54.94</v>
      </c>
    </row>
    <row r="9" spans="1:12" ht="13.95" customHeight="1">
      <c r="A9" s="6">
        <v>8</v>
      </c>
      <c r="B9" s="6" t="s">
        <v>7</v>
      </c>
      <c r="C9" s="6">
        <v>2130870</v>
      </c>
      <c r="D9" s="373">
        <v>45841</v>
      </c>
      <c r="E9" s="229">
        <v>3815.73</v>
      </c>
      <c r="F9" s="6" t="s">
        <v>8</v>
      </c>
      <c r="G9" s="6" t="s">
        <v>10</v>
      </c>
      <c r="I9" s="57" t="s">
        <v>10</v>
      </c>
      <c r="J9" s="409" t="s">
        <v>1345</v>
      </c>
      <c r="K9" s="411">
        <v>69.760000000000005</v>
      </c>
    </row>
    <row r="10" spans="1:12" ht="13.95" customHeight="1">
      <c r="A10" s="91">
        <v>9</v>
      </c>
      <c r="B10" s="91" t="s">
        <v>7</v>
      </c>
      <c r="C10" s="91">
        <v>2150983</v>
      </c>
      <c r="D10" s="396">
        <v>45841</v>
      </c>
      <c r="E10" s="394">
        <v>5699.05</v>
      </c>
      <c r="F10" s="91" t="s">
        <v>1349</v>
      </c>
      <c r="G10" s="91" t="s">
        <v>10</v>
      </c>
      <c r="H10" s="250" t="s">
        <v>1369</v>
      </c>
      <c r="I10" s="57" t="s">
        <v>10</v>
      </c>
      <c r="J10" s="414" t="s">
        <v>1346</v>
      </c>
      <c r="K10" s="416">
        <v>68364.800000000003</v>
      </c>
    </row>
    <row r="11" spans="1:12" ht="13.95" customHeight="1" thickBot="1">
      <c r="A11" s="6">
        <v>10</v>
      </c>
      <c r="B11" s="6" t="s">
        <v>13</v>
      </c>
      <c r="C11" s="6">
        <v>2090821</v>
      </c>
      <c r="D11" s="373">
        <v>45841</v>
      </c>
      <c r="E11" s="230">
        <v>1615.96</v>
      </c>
      <c r="G11" s="6" t="s">
        <v>10</v>
      </c>
      <c r="I11" s="57" t="s">
        <v>10</v>
      </c>
      <c r="J11" s="424" t="s">
        <v>1347</v>
      </c>
      <c r="K11" s="426">
        <v>19.690000000000001</v>
      </c>
    </row>
    <row r="12" spans="1:12" ht="13.95" customHeight="1" thickTop="1">
      <c r="A12" s="537">
        <v>11</v>
      </c>
      <c r="B12" s="538" t="s">
        <v>11</v>
      </c>
      <c r="C12" s="538">
        <v>1170470</v>
      </c>
      <c r="D12" s="539">
        <v>45841</v>
      </c>
      <c r="E12" s="540">
        <v>14302.39</v>
      </c>
      <c r="F12" s="538" t="s">
        <v>1368</v>
      </c>
      <c r="G12" s="541" t="s">
        <v>10</v>
      </c>
      <c r="I12" s="57" t="s">
        <v>10</v>
      </c>
      <c r="J12" s="535" t="s">
        <v>1379</v>
      </c>
      <c r="K12" s="536">
        <v>14302.39</v>
      </c>
    </row>
    <row r="13" spans="1:12" ht="13.95" customHeight="1">
      <c r="A13" s="436">
        <v>14</v>
      </c>
      <c r="B13" s="57" t="s">
        <v>11</v>
      </c>
      <c r="C13" s="57">
        <v>1170470</v>
      </c>
      <c r="D13" s="266">
        <v>45841</v>
      </c>
      <c r="E13" s="233">
        <v>68.400000000000006</v>
      </c>
      <c r="F13" s="57" t="s">
        <v>1350</v>
      </c>
      <c r="G13" s="435" t="s">
        <v>10</v>
      </c>
      <c r="I13" s="57" t="s">
        <v>10</v>
      </c>
      <c r="J13" s="533">
        <v>174881</v>
      </c>
      <c r="K13" s="750">
        <v>187885.32</v>
      </c>
    </row>
    <row r="14" spans="1:12" ht="13.95" customHeight="1">
      <c r="A14" s="436">
        <v>15</v>
      </c>
      <c r="B14" s="57" t="s">
        <v>11</v>
      </c>
      <c r="C14" s="57">
        <v>1170470</v>
      </c>
      <c r="D14" s="266">
        <v>45841</v>
      </c>
      <c r="E14" s="233">
        <v>68.400000000000006</v>
      </c>
      <c r="F14" s="57" t="s">
        <v>1351</v>
      </c>
      <c r="G14" s="435" t="s">
        <v>10</v>
      </c>
      <c r="I14" s="57" t="s">
        <v>10</v>
      </c>
      <c r="J14" s="840">
        <v>174887</v>
      </c>
      <c r="K14" s="841">
        <v>6707.21</v>
      </c>
    </row>
    <row r="15" spans="1:12" ht="13.95" customHeight="1">
      <c r="A15" s="436">
        <v>16</v>
      </c>
      <c r="B15" s="57" t="s">
        <v>11</v>
      </c>
      <c r="C15" s="57">
        <v>1170470</v>
      </c>
      <c r="D15" s="266">
        <v>45841</v>
      </c>
      <c r="E15" s="233">
        <v>68.400000000000006</v>
      </c>
      <c r="F15" s="57" t="s">
        <v>1352</v>
      </c>
      <c r="G15" s="435" t="s">
        <v>10</v>
      </c>
      <c r="I15" s="57" t="s">
        <v>10</v>
      </c>
      <c r="J15" s="847">
        <v>174889</v>
      </c>
      <c r="K15" s="848">
        <v>587.17999999999995</v>
      </c>
    </row>
    <row r="16" spans="1:12" ht="13.95" customHeight="1">
      <c r="A16" s="436">
        <v>17</v>
      </c>
      <c r="B16" s="57" t="s">
        <v>11</v>
      </c>
      <c r="C16" s="57">
        <v>1170470</v>
      </c>
      <c r="D16" s="266">
        <v>45841</v>
      </c>
      <c r="E16" s="233">
        <v>68.400000000000006</v>
      </c>
      <c r="F16" s="57" t="s">
        <v>1353</v>
      </c>
      <c r="G16" s="435" t="s">
        <v>10</v>
      </c>
    </row>
    <row r="17" spans="1:7" ht="13.95" customHeight="1">
      <c r="A17" s="436">
        <v>18</v>
      </c>
      <c r="B17" s="57" t="s">
        <v>11</v>
      </c>
      <c r="C17" s="57">
        <v>1170470</v>
      </c>
      <c r="D17" s="266">
        <v>45841</v>
      </c>
      <c r="E17" s="233">
        <v>68.400000000000006</v>
      </c>
      <c r="F17" s="57" t="s">
        <v>1354</v>
      </c>
      <c r="G17" s="435" t="s">
        <v>10</v>
      </c>
    </row>
    <row r="18" spans="1:7" ht="13.95" customHeight="1">
      <c r="A18" s="436">
        <v>19</v>
      </c>
      <c r="B18" s="57" t="s">
        <v>11</v>
      </c>
      <c r="C18" s="57">
        <v>1170470</v>
      </c>
      <c r="D18" s="266">
        <v>45841</v>
      </c>
      <c r="E18" s="233">
        <v>68.400000000000006</v>
      </c>
      <c r="F18" s="57" t="s">
        <v>1355</v>
      </c>
      <c r="G18" s="435" t="s">
        <v>10</v>
      </c>
    </row>
    <row r="19" spans="1:7" ht="13.95" customHeight="1">
      <c r="A19" s="436">
        <v>20</v>
      </c>
      <c r="B19" s="57" t="s">
        <v>11</v>
      </c>
      <c r="C19" s="57">
        <v>1170470</v>
      </c>
      <c r="D19" s="266">
        <v>45841</v>
      </c>
      <c r="E19" s="233">
        <v>68.400000000000006</v>
      </c>
      <c r="F19" s="57" t="s">
        <v>1356</v>
      </c>
      <c r="G19" s="435" t="s">
        <v>10</v>
      </c>
    </row>
    <row r="20" spans="1:7" ht="13.95" customHeight="1">
      <c r="A20" s="436">
        <v>21</v>
      </c>
      <c r="B20" s="57" t="s">
        <v>11</v>
      </c>
      <c r="C20" s="57">
        <v>1170470</v>
      </c>
      <c r="D20" s="266">
        <v>45841</v>
      </c>
      <c r="E20" s="233">
        <v>68.400000000000006</v>
      </c>
      <c r="F20" s="57" t="s">
        <v>1357</v>
      </c>
      <c r="G20" s="435" t="s">
        <v>10</v>
      </c>
    </row>
    <row r="21" spans="1:7" ht="13.95" customHeight="1">
      <c r="A21" s="436">
        <v>22</v>
      </c>
      <c r="B21" s="57" t="s">
        <v>11</v>
      </c>
      <c r="C21" s="57">
        <v>1170470</v>
      </c>
      <c r="D21" s="266">
        <v>45841</v>
      </c>
      <c r="E21" s="233">
        <v>68.400000000000006</v>
      </c>
      <c r="F21" s="57" t="s">
        <v>1358</v>
      </c>
      <c r="G21" s="435" t="s">
        <v>10</v>
      </c>
    </row>
    <row r="22" spans="1:7" ht="13.95" customHeight="1">
      <c r="A22" s="436">
        <v>23</v>
      </c>
      <c r="B22" s="57" t="s">
        <v>11</v>
      </c>
      <c r="C22" s="57">
        <v>1170470</v>
      </c>
      <c r="D22" s="266">
        <v>45841</v>
      </c>
      <c r="E22" s="233">
        <v>68.400000000000006</v>
      </c>
      <c r="F22" s="57" t="s">
        <v>1359</v>
      </c>
      <c r="G22" s="435" t="s">
        <v>10</v>
      </c>
    </row>
    <row r="23" spans="1:7" ht="13.95" customHeight="1">
      <c r="A23" s="436">
        <v>24</v>
      </c>
      <c r="B23" s="57" t="s">
        <v>11</v>
      </c>
      <c r="C23" s="57">
        <v>1170470</v>
      </c>
      <c r="D23" s="266">
        <v>45841</v>
      </c>
      <c r="E23" s="233">
        <v>68.400000000000006</v>
      </c>
      <c r="F23" s="57" t="s">
        <v>1360</v>
      </c>
      <c r="G23" s="435" t="s">
        <v>10</v>
      </c>
    </row>
    <row r="24" spans="1:7" ht="13.95" customHeight="1">
      <c r="A24" s="436">
        <v>25</v>
      </c>
      <c r="B24" s="57" t="s">
        <v>11</v>
      </c>
      <c r="C24" s="57">
        <v>1170470</v>
      </c>
      <c r="D24" s="266">
        <v>45841</v>
      </c>
      <c r="E24" s="233">
        <v>68.400000000000006</v>
      </c>
      <c r="F24" s="57" t="s">
        <v>1361</v>
      </c>
      <c r="G24" s="435" t="s">
        <v>10</v>
      </c>
    </row>
    <row r="25" spans="1:7" ht="13.95" customHeight="1">
      <c r="A25" s="436">
        <v>26</v>
      </c>
      <c r="B25" s="57" t="s">
        <v>11</v>
      </c>
      <c r="C25" s="57">
        <v>1170470</v>
      </c>
      <c r="D25" s="266">
        <v>45841</v>
      </c>
      <c r="E25" s="233">
        <v>68.400000000000006</v>
      </c>
      <c r="F25" s="57" t="s">
        <v>1362</v>
      </c>
      <c r="G25" s="435" t="s">
        <v>10</v>
      </c>
    </row>
    <row r="26" spans="1:7" ht="13.95" customHeight="1">
      <c r="A26" s="436">
        <v>27</v>
      </c>
      <c r="B26" s="57" t="s">
        <v>11</v>
      </c>
      <c r="C26" s="57">
        <v>1170470</v>
      </c>
      <c r="D26" s="266">
        <v>45841</v>
      </c>
      <c r="E26" s="233">
        <v>68.400000000000006</v>
      </c>
      <c r="F26" s="57" t="s">
        <v>1363</v>
      </c>
      <c r="G26" s="435" t="s">
        <v>10</v>
      </c>
    </row>
    <row r="27" spans="1:7" ht="13.95" customHeight="1">
      <c r="A27" s="436">
        <v>28</v>
      </c>
      <c r="B27" s="57" t="s">
        <v>11</v>
      </c>
      <c r="C27" s="57">
        <v>1170470</v>
      </c>
      <c r="D27" s="266">
        <v>45841</v>
      </c>
      <c r="E27" s="233">
        <v>68.400000000000006</v>
      </c>
      <c r="F27" s="57" t="s">
        <v>1364</v>
      </c>
      <c r="G27" s="435" t="s">
        <v>10</v>
      </c>
    </row>
    <row r="28" spans="1:7" ht="13.95" customHeight="1">
      <c r="A28" s="436">
        <v>29</v>
      </c>
      <c r="B28" s="57" t="s">
        <v>11</v>
      </c>
      <c r="C28" s="57">
        <v>1170470</v>
      </c>
      <c r="D28" s="266">
        <v>45841</v>
      </c>
      <c r="E28" s="233">
        <v>68.400000000000006</v>
      </c>
      <c r="F28" s="57" t="s">
        <v>1365</v>
      </c>
      <c r="G28" s="435" t="s">
        <v>10</v>
      </c>
    </row>
    <row r="29" spans="1:7" ht="13.95" customHeight="1">
      <c r="A29" s="380">
        <v>37</v>
      </c>
      <c r="B29" s="381" t="s">
        <v>11</v>
      </c>
      <c r="C29" s="381">
        <v>1040211</v>
      </c>
      <c r="D29" s="382">
        <v>45841</v>
      </c>
      <c r="E29" s="383">
        <v>922095.85</v>
      </c>
      <c r="F29" s="381"/>
      <c r="G29" s="384" t="s">
        <v>10</v>
      </c>
    </row>
    <row r="30" spans="1:7" ht="13.95" customHeight="1">
      <c r="A30" s="385">
        <v>44</v>
      </c>
      <c r="B30" s="92" t="s">
        <v>11</v>
      </c>
      <c r="C30" s="92">
        <v>1200393</v>
      </c>
      <c r="D30" s="386">
        <v>45841</v>
      </c>
      <c r="E30" s="387">
        <v>33198.58</v>
      </c>
      <c r="F30" s="92"/>
      <c r="G30" s="388" t="s">
        <v>10</v>
      </c>
    </row>
    <row r="31" spans="1:7" ht="13.95" customHeight="1">
      <c r="A31" s="385">
        <v>45</v>
      </c>
      <c r="B31" s="92" t="s">
        <v>11</v>
      </c>
      <c r="C31" s="92">
        <v>1040211</v>
      </c>
      <c r="D31" s="386">
        <v>45841</v>
      </c>
      <c r="E31" s="387">
        <v>183640.62</v>
      </c>
      <c r="F31" s="92"/>
      <c r="G31" s="388" t="s">
        <v>10</v>
      </c>
    </row>
    <row r="32" spans="1:7" ht="13.95" customHeight="1">
      <c r="A32" s="389">
        <v>46</v>
      </c>
      <c r="B32" s="390" t="s">
        <v>11</v>
      </c>
      <c r="C32" s="390">
        <v>1040211</v>
      </c>
      <c r="D32" s="391">
        <v>45841</v>
      </c>
      <c r="E32" s="392">
        <v>59989.56</v>
      </c>
      <c r="F32" s="390"/>
      <c r="G32" s="393" t="s">
        <v>10</v>
      </c>
    </row>
    <row r="33" spans="1:8" ht="13.95" customHeight="1">
      <c r="A33" s="395">
        <v>48</v>
      </c>
      <c r="B33" s="91" t="s">
        <v>11</v>
      </c>
      <c r="C33" s="91">
        <v>1040211</v>
      </c>
      <c r="D33" s="396">
        <v>45841</v>
      </c>
      <c r="E33" s="394">
        <v>2208872.7200000002</v>
      </c>
      <c r="F33" s="91"/>
      <c r="G33" s="397" t="s">
        <v>10</v>
      </c>
    </row>
    <row r="34" spans="1:8" ht="13.95" customHeight="1">
      <c r="A34" s="395">
        <v>49</v>
      </c>
      <c r="B34" s="91" t="s">
        <v>11</v>
      </c>
      <c r="C34" s="91">
        <v>1200393</v>
      </c>
      <c r="D34" s="396">
        <v>45841</v>
      </c>
      <c r="E34" s="394">
        <v>6338.84</v>
      </c>
      <c r="F34" s="91"/>
      <c r="G34" s="397" t="s">
        <v>10</v>
      </c>
    </row>
    <row r="35" spans="1:8" ht="13.95" customHeight="1">
      <c r="A35" s="395">
        <v>50</v>
      </c>
      <c r="B35" s="91" t="s">
        <v>11</v>
      </c>
      <c r="C35" s="91">
        <v>1200393</v>
      </c>
      <c r="D35" s="396">
        <v>45841</v>
      </c>
      <c r="E35" s="394">
        <v>655487.6</v>
      </c>
      <c r="F35" s="91"/>
      <c r="G35" s="397" t="s">
        <v>10</v>
      </c>
    </row>
    <row r="36" spans="1:8" ht="13.95" customHeight="1">
      <c r="A36" s="398">
        <v>55</v>
      </c>
      <c r="B36" s="399" t="s">
        <v>11</v>
      </c>
      <c r="C36" s="399">
        <v>1040363</v>
      </c>
      <c r="D36" s="400">
        <v>45841</v>
      </c>
      <c r="E36" s="401">
        <v>1322.5</v>
      </c>
      <c r="F36" s="399"/>
      <c r="G36" s="402" t="s">
        <v>10</v>
      </c>
    </row>
    <row r="37" spans="1:8" ht="13.95" customHeight="1">
      <c r="A37" s="398">
        <v>56</v>
      </c>
      <c r="B37" s="399" t="s">
        <v>11</v>
      </c>
      <c r="C37" s="399">
        <v>1040363</v>
      </c>
      <c r="D37" s="400">
        <v>45841</v>
      </c>
      <c r="E37" s="401">
        <v>91.99</v>
      </c>
      <c r="F37" s="399"/>
      <c r="G37" s="402" t="s">
        <v>10</v>
      </c>
    </row>
    <row r="38" spans="1:8" ht="13.95" customHeight="1">
      <c r="A38" s="748">
        <v>58</v>
      </c>
      <c r="B38" s="533" t="s">
        <v>11</v>
      </c>
      <c r="C38" s="533">
        <v>1040375</v>
      </c>
      <c r="D38" s="749">
        <v>45841</v>
      </c>
      <c r="E38" s="750">
        <v>187885.32</v>
      </c>
      <c r="F38" s="533"/>
      <c r="G38" s="532" t="s">
        <v>10</v>
      </c>
      <c r="H38" s="57" t="s">
        <v>1366</v>
      </c>
    </row>
    <row r="39" spans="1:8" ht="13.95" customHeight="1">
      <c r="A39" s="842">
        <v>59</v>
      </c>
      <c r="B39" s="840" t="s">
        <v>11</v>
      </c>
      <c r="C39" s="840">
        <v>1040375</v>
      </c>
      <c r="D39" s="843">
        <v>45841</v>
      </c>
      <c r="E39" s="841">
        <v>6707.21</v>
      </c>
      <c r="F39" s="840"/>
      <c r="G39" s="844" t="s">
        <v>10</v>
      </c>
      <c r="H39" s="57" t="s">
        <v>1366</v>
      </c>
    </row>
    <row r="40" spans="1:8" ht="13.95" customHeight="1">
      <c r="A40" s="849">
        <v>60</v>
      </c>
      <c r="B40" s="847" t="s">
        <v>11</v>
      </c>
      <c r="C40" s="847">
        <v>1040375</v>
      </c>
      <c r="D40" s="850">
        <v>45841</v>
      </c>
      <c r="E40" s="848">
        <v>587.17999999999995</v>
      </c>
      <c r="F40" s="847"/>
      <c r="G40" s="851" t="s">
        <v>10</v>
      </c>
      <c r="H40" s="57" t="s">
        <v>1366</v>
      </c>
    </row>
    <row r="41" spans="1:8" ht="13.95" customHeight="1">
      <c r="A41" s="403">
        <v>61</v>
      </c>
      <c r="B41" s="404" t="s">
        <v>11</v>
      </c>
      <c r="C41" s="404">
        <v>1040375</v>
      </c>
      <c r="D41" s="405">
        <v>45841</v>
      </c>
      <c r="E41" s="406">
        <v>46.12</v>
      </c>
      <c r="F41" s="404"/>
      <c r="G41" s="407" t="s">
        <v>10</v>
      </c>
    </row>
    <row r="42" spans="1:8" ht="13.95" customHeight="1">
      <c r="A42" s="403">
        <v>62</v>
      </c>
      <c r="B42" s="404" t="s">
        <v>11</v>
      </c>
      <c r="C42" s="404">
        <v>1040375</v>
      </c>
      <c r="D42" s="405">
        <v>45841</v>
      </c>
      <c r="E42" s="406">
        <v>8.82</v>
      </c>
      <c r="F42" s="404"/>
      <c r="G42" s="407" t="s">
        <v>10</v>
      </c>
    </row>
    <row r="43" spans="1:8" ht="13.95" customHeight="1">
      <c r="A43" s="408">
        <v>64</v>
      </c>
      <c r="B43" s="409" t="s">
        <v>11</v>
      </c>
      <c r="C43" s="409">
        <v>1040375</v>
      </c>
      <c r="D43" s="410">
        <v>45841</v>
      </c>
      <c r="E43" s="411">
        <v>23.64</v>
      </c>
      <c r="F43" s="409"/>
      <c r="G43" s="412" t="s">
        <v>10</v>
      </c>
    </row>
    <row r="44" spans="1:8" ht="13.95" customHeight="1">
      <c r="A44" s="408">
        <v>65</v>
      </c>
      <c r="B44" s="409" t="s">
        <v>11</v>
      </c>
      <c r="C44" s="409">
        <v>1040375</v>
      </c>
      <c r="D44" s="410">
        <v>45841</v>
      </c>
      <c r="E44" s="411">
        <v>46.12</v>
      </c>
      <c r="F44" s="409"/>
      <c r="G44" s="412" t="s">
        <v>10</v>
      </c>
    </row>
    <row r="45" spans="1:8" ht="13.95" customHeight="1">
      <c r="A45" s="418">
        <v>69</v>
      </c>
      <c r="B45" s="419" t="s">
        <v>11</v>
      </c>
      <c r="C45" s="419">
        <v>1040109</v>
      </c>
      <c r="D45" s="420">
        <v>45841</v>
      </c>
      <c r="E45" s="421">
        <v>64.89</v>
      </c>
      <c r="F45" s="419"/>
      <c r="G45" s="422" t="s">
        <v>10</v>
      </c>
    </row>
    <row r="46" spans="1:8" ht="13.95" customHeight="1">
      <c r="A46" s="418">
        <v>70</v>
      </c>
      <c r="B46" s="419" t="s">
        <v>11</v>
      </c>
      <c r="C46" s="419">
        <v>1040109</v>
      </c>
      <c r="D46" s="420">
        <v>45841</v>
      </c>
      <c r="E46" s="421">
        <v>64.89</v>
      </c>
      <c r="F46" s="419"/>
      <c r="G46" s="422" t="s">
        <v>10</v>
      </c>
    </row>
    <row r="47" spans="1:8">
      <c r="A47" s="423">
        <v>75</v>
      </c>
      <c r="B47" s="424" t="s">
        <v>11</v>
      </c>
      <c r="C47" s="424">
        <v>1040375</v>
      </c>
      <c r="D47" s="425">
        <v>45841</v>
      </c>
      <c r="E47" s="426">
        <v>1.66</v>
      </c>
      <c r="F47" s="424"/>
      <c r="G47" s="427" t="s">
        <v>10</v>
      </c>
    </row>
    <row r="48" spans="1:8">
      <c r="A48" s="423">
        <v>76</v>
      </c>
      <c r="B48" s="424" t="s">
        <v>11</v>
      </c>
      <c r="C48" s="424">
        <v>1040375</v>
      </c>
      <c r="D48" s="425">
        <v>45841</v>
      </c>
      <c r="E48" s="426">
        <v>18.03</v>
      </c>
      <c r="F48" s="424"/>
      <c r="G48" s="427" t="s">
        <v>10</v>
      </c>
    </row>
    <row r="49" spans="1:7">
      <c r="A49" s="413">
        <v>78</v>
      </c>
      <c r="B49" s="414" t="s">
        <v>12</v>
      </c>
      <c r="C49" s="414">
        <v>1170144</v>
      </c>
      <c r="D49" s="415">
        <v>45841</v>
      </c>
      <c r="E49" s="416">
        <v>68364.800000000003</v>
      </c>
      <c r="F49" s="414"/>
      <c r="G49" s="417" t="s">
        <v>10</v>
      </c>
    </row>
    <row r="50" spans="1:7" ht="14.4" thickBot="1">
      <c r="A50" s="375">
        <v>102</v>
      </c>
      <c r="B50" s="376" t="s">
        <v>11</v>
      </c>
      <c r="C50" s="376">
        <v>1040258</v>
      </c>
      <c r="D50" s="377">
        <v>45841</v>
      </c>
      <c r="E50" s="378">
        <v>10</v>
      </c>
      <c r="F50" s="376" t="s">
        <v>1367</v>
      </c>
      <c r="G50" s="379" t="s">
        <v>10</v>
      </c>
    </row>
    <row r="51" spans="1:7" ht="14.4" thickTop="1">
      <c r="D51" s="373"/>
    </row>
    <row r="52" spans="1:7">
      <c r="D52" s="373"/>
    </row>
    <row r="53" spans="1:7">
      <c r="D53" s="373"/>
    </row>
    <row r="54" spans="1:7">
      <c r="A54" s="265"/>
      <c r="B54" s="265"/>
      <c r="C54" s="265"/>
      <c r="D54" s="374"/>
      <c r="E54" s="227"/>
      <c r="F54" s="265"/>
      <c r="G54" s="265"/>
    </row>
    <row r="55" spans="1:7">
      <c r="A55" s="265"/>
      <c r="B55" s="265"/>
      <c r="C55" s="265"/>
      <c r="D55" s="374"/>
      <c r="E55" s="227"/>
      <c r="F55" s="265"/>
      <c r="G55" s="265"/>
    </row>
    <row r="56" spans="1:7">
      <c r="A56" s="265"/>
      <c r="B56" s="265"/>
      <c r="C56" s="265"/>
      <c r="D56" s="374"/>
      <c r="E56" s="227"/>
      <c r="F56" s="265"/>
      <c r="G56" s="265"/>
    </row>
    <row r="57" spans="1:7">
      <c r="A57" s="265"/>
      <c r="B57" s="265"/>
      <c r="C57" s="265"/>
      <c r="D57" s="374"/>
      <c r="E57" s="227"/>
      <c r="F57" s="265"/>
      <c r="G57" s="265"/>
    </row>
    <row r="58" spans="1:7">
      <c r="A58" s="265"/>
      <c r="B58" s="265"/>
      <c r="C58" s="265"/>
      <c r="D58" s="374"/>
      <c r="E58" s="227"/>
      <c r="F58" s="265"/>
      <c r="G58" s="265"/>
    </row>
    <row r="59" spans="1:7">
      <c r="D59" s="373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9C08C-F366-4894-9AF5-D2BC0C932FF0}">
  <sheetPr>
    <tabColor rgb="FFFFFF00"/>
  </sheetPr>
  <dimension ref="A1:L342"/>
  <sheetViews>
    <sheetView showGridLines="0" zoomScaleNormal="100" workbookViewId="0">
      <selection activeCellId="1" sqref="I8 A1:XFD1048576"/>
    </sheetView>
  </sheetViews>
  <sheetFormatPr defaultColWidth="8.8984375" defaultRowHeight="13.8"/>
  <cols>
    <col min="1" max="1" width="5.5" style="247" bestFit="1" customWidth="1"/>
    <col min="2" max="2" width="15.09765625" style="247" bestFit="1" customWidth="1"/>
    <col min="3" max="3" width="7.796875" style="247" bestFit="1" customWidth="1"/>
    <col min="4" max="4" width="13.69921875" style="244" bestFit="1" customWidth="1"/>
    <col min="5" max="5" width="16.296875" style="217" bestFit="1" customWidth="1"/>
    <col min="6" max="6" width="13" style="247" bestFit="1" customWidth="1"/>
    <col min="7" max="7" width="28.5" style="257" bestFit="1" customWidth="1"/>
    <col min="8" max="8" width="26.296875" style="246" bestFit="1" customWidth="1"/>
    <col min="9" max="9" width="8.8984375" style="252"/>
    <col min="10" max="10" width="27.5" style="246" bestFit="1" customWidth="1"/>
    <col min="11" max="11" width="20.5" style="215" customWidth="1"/>
    <col min="12" max="12" width="10.09765625" style="246" bestFit="1" customWidth="1"/>
    <col min="13" max="16384" width="8.8984375" style="246"/>
  </cols>
  <sheetData>
    <row r="1" spans="1:12" ht="14.4" thickBot="1">
      <c r="A1" s="369" t="s">
        <v>0</v>
      </c>
      <c r="B1" s="369" t="s">
        <v>1</v>
      </c>
      <c r="C1" s="369" t="s">
        <v>2</v>
      </c>
      <c r="D1" s="369" t="s">
        <v>1322</v>
      </c>
      <c r="E1" s="371" t="s">
        <v>1323</v>
      </c>
      <c r="F1" s="370" t="s">
        <v>3</v>
      </c>
      <c r="G1" s="369" t="s">
        <v>4</v>
      </c>
      <c r="H1"/>
      <c r="I1" s="57"/>
      <c r="J1" s="370" t="s">
        <v>5</v>
      </c>
      <c r="K1" s="372" t="s">
        <v>1324</v>
      </c>
    </row>
    <row r="2" spans="1:12" ht="14.4" thickTop="1">
      <c r="A2" s="208">
        <v>1</v>
      </c>
      <c r="B2" s="208" t="s">
        <v>7</v>
      </c>
      <c r="C2" s="208">
        <v>2130870</v>
      </c>
      <c r="D2" s="451">
        <v>45842</v>
      </c>
      <c r="E2" s="452">
        <v>36823.58</v>
      </c>
      <c r="F2" s="208" t="s">
        <v>1325</v>
      </c>
      <c r="G2" s="6" t="s">
        <v>10</v>
      </c>
      <c r="H2"/>
      <c r="I2" s="252" t="s">
        <v>10</v>
      </c>
      <c r="J2" s="381">
        <v>174444</v>
      </c>
      <c r="K2" s="383">
        <v>5478553.1899999976</v>
      </c>
    </row>
    <row r="3" spans="1:12">
      <c r="A3" s="208">
        <v>2</v>
      </c>
      <c r="B3" s="208" t="s">
        <v>7</v>
      </c>
      <c r="C3" s="208">
        <v>2130870</v>
      </c>
      <c r="D3" s="451">
        <v>45842</v>
      </c>
      <c r="E3" s="452">
        <v>4648.83</v>
      </c>
      <c r="F3" s="208" t="s">
        <v>1348</v>
      </c>
      <c r="G3" s="6" t="s">
        <v>10</v>
      </c>
      <c r="H3"/>
      <c r="I3" s="252" t="s">
        <v>10</v>
      </c>
      <c r="J3" s="533">
        <v>174445</v>
      </c>
      <c r="K3" s="534">
        <v>8180.66</v>
      </c>
    </row>
    <row r="4" spans="1:12">
      <c r="A4" s="208">
        <v>3</v>
      </c>
      <c r="B4" s="208" t="s">
        <v>7</v>
      </c>
      <c r="C4" s="208">
        <v>2130870</v>
      </c>
      <c r="D4" s="451">
        <v>45842</v>
      </c>
      <c r="E4" s="452">
        <v>11991.11</v>
      </c>
      <c r="F4" s="208" t="s">
        <v>1339</v>
      </c>
      <c r="G4" s="6" t="s">
        <v>10</v>
      </c>
      <c r="H4"/>
      <c r="I4" s="252" t="s">
        <v>10</v>
      </c>
      <c r="J4" s="91">
        <v>174446</v>
      </c>
      <c r="K4" s="394">
        <v>2230.1</v>
      </c>
      <c r="L4" s="258"/>
    </row>
    <row r="5" spans="1:12">
      <c r="A5" s="208">
        <v>4</v>
      </c>
      <c r="B5" s="208" t="s">
        <v>7</v>
      </c>
      <c r="C5" s="208">
        <v>2130870</v>
      </c>
      <c r="D5" s="451">
        <v>45842</v>
      </c>
      <c r="E5" s="452">
        <v>8500</v>
      </c>
      <c r="F5" s="208" t="s">
        <v>1339</v>
      </c>
      <c r="G5" s="6" t="s">
        <v>10</v>
      </c>
      <c r="H5"/>
      <c r="I5" s="252" t="s">
        <v>10</v>
      </c>
      <c r="J5" s="404">
        <v>174479</v>
      </c>
      <c r="K5" s="406">
        <v>144257.7900000001</v>
      </c>
    </row>
    <row r="6" spans="1:12">
      <c r="A6" s="208">
        <v>5</v>
      </c>
      <c r="B6" s="208" t="s">
        <v>7</v>
      </c>
      <c r="C6" s="208">
        <v>2130870</v>
      </c>
      <c r="D6" s="451">
        <v>45842</v>
      </c>
      <c r="E6" s="452">
        <v>121.56</v>
      </c>
      <c r="F6" s="208" t="s">
        <v>1341</v>
      </c>
      <c r="G6" s="6" t="s">
        <v>10</v>
      </c>
      <c r="H6"/>
      <c r="I6" s="252" t="s">
        <v>10</v>
      </c>
      <c r="J6" s="469">
        <v>174480</v>
      </c>
      <c r="K6" s="470">
        <v>1475165.1599999992</v>
      </c>
    </row>
    <row r="7" spans="1:12">
      <c r="A7" s="208">
        <v>6</v>
      </c>
      <c r="B7" s="208" t="s">
        <v>7</v>
      </c>
      <c r="C7" s="208">
        <v>2130870</v>
      </c>
      <c r="D7" s="451">
        <v>45842</v>
      </c>
      <c r="E7" s="452">
        <v>11330.32</v>
      </c>
      <c r="F7" s="208" t="s">
        <v>1341</v>
      </c>
      <c r="G7" s="6" t="s">
        <v>10</v>
      </c>
      <c r="H7"/>
      <c r="I7" s="252" t="s">
        <v>10</v>
      </c>
      <c r="J7" s="92">
        <v>174485</v>
      </c>
      <c r="K7" s="387">
        <v>34569.400000000009</v>
      </c>
    </row>
    <row r="8" spans="1:12">
      <c r="A8" s="208">
        <v>7</v>
      </c>
      <c r="B8" s="208" t="s">
        <v>7</v>
      </c>
      <c r="C8" s="208">
        <v>2130870</v>
      </c>
      <c r="D8" s="451">
        <v>45842</v>
      </c>
      <c r="E8" s="452">
        <v>1454.04</v>
      </c>
      <c r="F8" s="208" t="s">
        <v>8</v>
      </c>
      <c r="G8" s="6" t="s">
        <v>10</v>
      </c>
      <c r="H8"/>
      <c r="I8" s="252" t="s">
        <v>10</v>
      </c>
      <c r="J8" s="424">
        <v>174486</v>
      </c>
      <c r="K8" s="426">
        <v>83893.84</v>
      </c>
    </row>
    <row r="9" spans="1:12">
      <c r="A9" s="208">
        <v>8</v>
      </c>
      <c r="B9" s="208" t="s">
        <v>7</v>
      </c>
      <c r="C9" s="208">
        <v>2060855</v>
      </c>
      <c r="D9" s="451">
        <v>45842</v>
      </c>
      <c r="E9" s="452">
        <v>14011991.109999999</v>
      </c>
      <c r="F9" s="208" t="s">
        <v>1377</v>
      </c>
      <c r="G9" s="6" t="s">
        <v>10</v>
      </c>
      <c r="H9"/>
      <c r="I9" s="252" t="s">
        <v>10</v>
      </c>
      <c r="J9" s="414">
        <v>174487</v>
      </c>
      <c r="K9" s="416">
        <v>459356.07999999996</v>
      </c>
    </row>
    <row r="10" spans="1:12">
      <c r="A10" s="208">
        <v>9</v>
      </c>
      <c r="B10" s="208" t="s">
        <v>13</v>
      </c>
      <c r="C10" s="208">
        <v>2090976</v>
      </c>
      <c r="D10" s="451">
        <v>45842</v>
      </c>
      <c r="E10" s="452">
        <v>31467.16</v>
      </c>
      <c r="F10" s="208"/>
      <c r="G10" s="6" t="s">
        <v>10</v>
      </c>
      <c r="I10" s="252" t="s">
        <v>10</v>
      </c>
      <c r="J10" s="479">
        <v>174494</v>
      </c>
      <c r="K10" s="480">
        <v>253031.19999999998</v>
      </c>
    </row>
    <row r="11" spans="1:12">
      <c r="A11" s="208">
        <v>10</v>
      </c>
      <c r="B11" s="208" t="s">
        <v>13</v>
      </c>
      <c r="C11" s="208">
        <v>2050752</v>
      </c>
      <c r="D11" s="451">
        <v>45842</v>
      </c>
      <c r="E11" s="452">
        <v>130536.61</v>
      </c>
      <c r="F11" s="208"/>
      <c r="G11" s="6" t="s">
        <v>10</v>
      </c>
      <c r="I11" s="252" t="s">
        <v>10</v>
      </c>
      <c r="J11" s="419">
        <v>174512</v>
      </c>
      <c r="K11" s="421">
        <v>4359.1499999999996</v>
      </c>
    </row>
    <row r="12" spans="1:12">
      <c r="A12" s="208">
        <v>11</v>
      </c>
      <c r="B12" s="208" t="s">
        <v>7</v>
      </c>
      <c r="C12" s="208">
        <v>2140632</v>
      </c>
      <c r="D12" s="451">
        <v>45842</v>
      </c>
      <c r="E12" s="452">
        <v>11890.72</v>
      </c>
      <c r="F12" s="208"/>
      <c r="G12" s="6" t="s">
        <v>10</v>
      </c>
      <c r="I12" s="252" t="s">
        <v>10</v>
      </c>
      <c r="J12" s="399" t="s">
        <v>1373</v>
      </c>
      <c r="K12" s="401">
        <v>38.9</v>
      </c>
    </row>
    <row r="13" spans="1:12" ht="14.4" thickBot="1">
      <c r="A13" s="208">
        <v>12</v>
      </c>
      <c r="B13" s="208" t="s">
        <v>13</v>
      </c>
      <c r="C13" s="208">
        <v>2090821</v>
      </c>
      <c r="D13" s="451">
        <v>45842</v>
      </c>
      <c r="E13" s="452">
        <v>63.54</v>
      </c>
      <c r="F13" s="208"/>
      <c r="G13" s="6" t="s">
        <v>10</v>
      </c>
      <c r="I13" s="252" t="s">
        <v>10</v>
      </c>
      <c r="J13" s="497" t="s">
        <v>1374</v>
      </c>
      <c r="K13" s="498">
        <v>1650.85</v>
      </c>
    </row>
    <row r="14" spans="1:12" ht="14.4" thickTop="1">
      <c r="A14" s="453">
        <v>15</v>
      </c>
      <c r="B14" s="454" t="s">
        <v>11</v>
      </c>
      <c r="C14" s="454">
        <v>1170470</v>
      </c>
      <c r="D14" s="455">
        <v>45842</v>
      </c>
      <c r="E14" s="456">
        <v>405470.08</v>
      </c>
      <c r="F14" s="454" t="s">
        <v>1359</v>
      </c>
      <c r="G14" s="517" t="s">
        <v>10</v>
      </c>
      <c r="I14" s="252" t="s">
        <v>10</v>
      </c>
      <c r="J14" s="507" t="s">
        <v>1375</v>
      </c>
      <c r="K14" s="508">
        <v>47860.47</v>
      </c>
    </row>
    <row r="15" spans="1:12">
      <c r="A15" s="465">
        <v>18</v>
      </c>
      <c r="B15" s="466" t="s">
        <v>11</v>
      </c>
      <c r="C15" s="466">
        <v>1040211</v>
      </c>
      <c r="D15" s="467">
        <v>45842</v>
      </c>
      <c r="E15" s="468">
        <v>1475165.16</v>
      </c>
      <c r="F15" s="466"/>
      <c r="G15" s="518" t="s">
        <v>10</v>
      </c>
      <c r="I15" s="252" t="s">
        <v>10</v>
      </c>
      <c r="J15" s="502" t="s">
        <v>1376</v>
      </c>
      <c r="K15" s="503">
        <v>265.70999999999998</v>
      </c>
    </row>
    <row r="16" spans="1:12">
      <c r="A16" s="471">
        <v>24</v>
      </c>
      <c r="B16" s="472" t="s">
        <v>11</v>
      </c>
      <c r="C16" s="472">
        <v>1200393</v>
      </c>
      <c r="D16" s="473">
        <v>45842</v>
      </c>
      <c r="E16" s="474">
        <v>6251.93</v>
      </c>
      <c r="F16" s="472"/>
      <c r="G16" s="388" t="s">
        <v>10</v>
      </c>
      <c r="I16" s="252" t="s">
        <v>10</v>
      </c>
      <c r="J16" s="867">
        <v>174899</v>
      </c>
      <c r="K16" s="868">
        <v>287.14999999999998</v>
      </c>
    </row>
    <row r="17" spans="1:10">
      <c r="A17" s="471">
        <v>25</v>
      </c>
      <c r="B17" s="472" t="s">
        <v>11</v>
      </c>
      <c r="C17" s="472">
        <v>1040211</v>
      </c>
      <c r="D17" s="473">
        <v>45842</v>
      </c>
      <c r="E17" s="474">
        <v>28317.47</v>
      </c>
      <c r="F17" s="472"/>
      <c r="G17" s="388" t="s">
        <v>10</v>
      </c>
      <c r="H17" s="258"/>
    </row>
    <row r="18" spans="1:10">
      <c r="A18" s="485">
        <v>27</v>
      </c>
      <c r="B18" s="486" t="s">
        <v>11</v>
      </c>
      <c r="C18" s="486">
        <v>1040211</v>
      </c>
      <c r="D18" s="487">
        <v>45842</v>
      </c>
      <c r="E18" s="488">
        <v>459356.08</v>
      </c>
      <c r="F18" s="486"/>
      <c r="G18" s="417" t="s">
        <v>10</v>
      </c>
    </row>
    <row r="19" spans="1:10">
      <c r="A19" s="475">
        <v>31</v>
      </c>
      <c r="B19" s="476" t="s">
        <v>11</v>
      </c>
      <c r="C19" s="476">
        <v>1040211</v>
      </c>
      <c r="D19" s="477">
        <v>45842</v>
      </c>
      <c r="E19" s="478">
        <v>253031.2</v>
      </c>
      <c r="F19" s="476"/>
      <c r="G19" s="519" t="s">
        <v>10</v>
      </c>
    </row>
    <row r="20" spans="1:10">
      <c r="A20" s="481">
        <v>37</v>
      </c>
      <c r="B20" s="482" t="s">
        <v>11</v>
      </c>
      <c r="C20" s="482">
        <v>1200393</v>
      </c>
      <c r="D20" s="483">
        <v>45842</v>
      </c>
      <c r="E20" s="484">
        <v>26195.72</v>
      </c>
      <c r="F20" s="482"/>
      <c r="G20" s="407" t="s">
        <v>10</v>
      </c>
      <c r="J20" s="258"/>
    </row>
    <row r="21" spans="1:10">
      <c r="A21" s="481">
        <v>38</v>
      </c>
      <c r="B21" s="482" t="s">
        <v>11</v>
      </c>
      <c r="C21" s="482">
        <v>1040211</v>
      </c>
      <c r="D21" s="483">
        <v>45842</v>
      </c>
      <c r="E21" s="484">
        <v>118062.07</v>
      </c>
      <c r="F21" s="482"/>
      <c r="G21" s="407" t="s">
        <v>10</v>
      </c>
    </row>
    <row r="22" spans="1:10">
      <c r="A22" s="462">
        <v>39</v>
      </c>
      <c r="B22" s="463" t="s">
        <v>11</v>
      </c>
      <c r="C22" s="463">
        <v>1040211</v>
      </c>
      <c r="D22" s="464">
        <v>45842</v>
      </c>
      <c r="E22" s="461">
        <v>3224398.85</v>
      </c>
      <c r="F22" s="463"/>
      <c r="G22" s="384" t="s">
        <v>10</v>
      </c>
    </row>
    <row r="23" spans="1:10">
      <c r="A23" s="462">
        <v>40</v>
      </c>
      <c r="B23" s="463" t="s">
        <v>11</v>
      </c>
      <c r="C23" s="463">
        <v>1200393</v>
      </c>
      <c r="D23" s="464">
        <v>45842</v>
      </c>
      <c r="E23" s="461">
        <v>10696.49</v>
      </c>
      <c r="F23" s="463"/>
      <c r="G23" s="384" t="s">
        <v>10</v>
      </c>
    </row>
    <row r="24" spans="1:10">
      <c r="A24" s="462">
        <v>41</v>
      </c>
      <c r="B24" s="463" t="s">
        <v>11</v>
      </c>
      <c r="C24" s="463">
        <v>1200393</v>
      </c>
      <c r="D24" s="464">
        <v>45842</v>
      </c>
      <c r="E24" s="461">
        <v>2243457.85</v>
      </c>
      <c r="F24" s="463"/>
      <c r="G24" s="384" t="s">
        <v>10</v>
      </c>
    </row>
    <row r="25" spans="1:10">
      <c r="A25" s="457">
        <v>42</v>
      </c>
      <c r="B25" s="242" t="s">
        <v>11</v>
      </c>
      <c r="C25" s="242">
        <v>1060345</v>
      </c>
      <c r="D25" s="240">
        <v>45842</v>
      </c>
      <c r="E25" s="214">
        <v>500000</v>
      </c>
      <c r="F25" s="242" t="s">
        <v>1378</v>
      </c>
      <c r="G25" s="520" t="s">
        <v>10</v>
      </c>
    </row>
    <row r="26" spans="1:10">
      <c r="A26" s="529">
        <v>43</v>
      </c>
      <c r="B26" s="530" t="s">
        <v>11</v>
      </c>
      <c r="C26" s="530">
        <v>1040109</v>
      </c>
      <c r="D26" s="531">
        <v>45842</v>
      </c>
      <c r="E26" s="528">
        <v>1141.76</v>
      </c>
      <c r="F26" s="530"/>
      <c r="G26" s="532" t="s">
        <v>10</v>
      </c>
    </row>
    <row r="27" spans="1:10">
      <c r="A27" s="524">
        <v>44</v>
      </c>
      <c r="B27" s="525" t="s">
        <v>11</v>
      </c>
      <c r="C27" s="525">
        <v>1040109</v>
      </c>
      <c r="D27" s="526">
        <v>45842</v>
      </c>
      <c r="E27" s="527">
        <v>439.3</v>
      </c>
      <c r="F27" s="525"/>
      <c r="G27" s="397" t="s">
        <v>10</v>
      </c>
    </row>
    <row r="28" spans="1:10">
      <c r="A28" s="524">
        <v>45</v>
      </c>
      <c r="B28" s="525" t="s">
        <v>11</v>
      </c>
      <c r="C28" s="525">
        <v>1040109</v>
      </c>
      <c r="D28" s="526">
        <v>45842</v>
      </c>
      <c r="E28" s="527">
        <v>439.3</v>
      </c>
      <c r="F28" s="525"/>
      <c r="G28" s="397" t="s">
        <v>10</v>
      </c>
    </row>
    <row r="29" spans="1:10">
      <c r="A29" s="524">
        <v>46</v>
      </c>
      <c r="B29" s="525" t="s">
        <v>11</v>
      </c>
      <c r="C29" s="525">
        <v>1040109</v>
      </c>
      <c r="D29" s="526">
        <v>45842</v>
      </c>
      <c r="E29" s="527">
        <v>439.3</v>
      </c>
      <c r="F29" s="525"/>
      <c r="G29" s="397" t="s">
        <v>10</v>
      </c>
    </row>
    <row r="30" spans="1:10">
      <c r="A30" s="524">
        <v>47</v>
      </c>
      <c r="B30" s="525" t="s">
        <v>11</v>
      </c>
      <c r="C30" s="525">
        <v>1040109</v>
      </c>
      <c r="D30" s="526">
        <v>45842</v>
      </c>
      <c r="E30" s="527">
        <v>524.4</v>
      </c>
      <c r="F30" s="525"/>
      <c r="G30" s="397" t="s">
        <v>10</v>
      </c>
    </row>
    <row r="31" spans="1:10">
      <c r="A31" s="524">
        <v>48</v>
      </c>
      <c r="B31" s="525" t="s">
        <v>11</v>
      </c>
      <c r="C31" s="525">
        <v>1040109</v>
      </c>
      <c r="D31" s="526">
        <v>45842</v>
      </c>
      <c r="E31" s="527">
        <v>387.8</v>
      </c>
      <c r="F31" s="525"/>
      <c r="G31" s="397" t="s">
        <v>10</v>
      </c>
    </row>
    <row r="32" spans="1:10">
      <c r="A32" s="529">
        <v>50</v>
      </c>
      <c r="B32" s="530" t="s">
        <v>11</v>
      </c>
      <c r="C32" s="530">
        <v>1040362</v>
      </c>
      <c r="D32" s="531">
        <v>45842</v>
      </c>
      <c r="E32" s="528">
        <v>2193.69</v>
      </c>
      <c r="F32" s="530"/>
      <c r="G32" s="532" t="s">
        <v>10</v>
      </c>
    </row>
    <row r="33" spans="1:8">
      <c r="A33" s="529">
        <v>51</v>
      </c>
      <c r="B33" s="530" t="s">
        <v>11</v>
      </c>
      <c r="C33" s="530">
        <v>1040362</v>
      </c>
      <c r="D33" s="531">
        <v>45842</v>
      </c>
      <c r="E33" s="528">
        <v>1503.15</v>
      </c>
      <c r="F33" s="530"/>
      <c r="G33" s="532" t="s">
        <v>10</v>
      </c>
    </row>
    <row r="34" spans="1:8">
      <c r="A34" s="529">
        <v>52</v>
      </c>
      <c r="B34" s="530" t="s">
        <v>11</v>
      </c>
      <c r="C34" s="530">
        <v>1040362</v>
      </c>
      <c r="D34" s="531">
        <v>45842</v>
      </c>
      <c r="E34" s="528">
        <v>1806.7</v>
      </c>
      <c r="F34" s="530"/>
      <c r="G34" s="532" t="s">
        <v>10</v>
      </c>
    </row>
    <row r="35" spans="1:8">
      <c r="A35" s="529">
        <v>54</v>
      </c>
      <c r="B35" s="530" t="s">
        <v>11</v>
      </c>
      <c r="C35" s="530">
        <v>1040362</v>
      </c>
      <c r="D35" s="531">
        <v>45842</v>
      </c>
      <c r="E35" s="528">
        <v>898.21</v>
      </c>
      <c r="F35" s="530"/>
      <c r="G35" s="532" t="s">
        <v>10</v>
      </c>
    </row>
    <row r="36" spans="1:8">
      <c r="A36" s="475">
        <v>55</v>
      </c>
      <c r="B36" s="476" t="s">
        <v>11</v>
      </c>
      <c r="C36" s="476">
        <v>1040375</v>
      </c>
      <c r="D36" s="477">
        <v>45842</v>
      </c>
      <c r="E36" s="478">
        <v>287.14999999999998</v>
      </c>
      <c r="F36" s="476"/>
      <c r="G36" s="519" t="s">
        <v>10</v>
      </c>
      <c r="H36" s="252" t="s">
        <v>1366</v>
      </c>
    </row>
    <row r="37" spans="1:8">
      <c r="A37" s="529">
        <v>56</v>
      </c>
      <c r="B37" s="530" t="s">
        <v>11</v>
      </c>
      <c r="C37" s="530">
        <v>1040109</v>
      </c>
      <c r="D37" s="531">
        <v>45842</v>
      </c>
      <c r="E37" s="528">
        <v>637.15</v>
      </c>
      <c r="F37" s="530"/>
      <c r="G37" s="532" t="s">
        <v>10</v>
      </c>
    </row>
    <row r="38" spans="1:8">
      <c r="A38" s="513">
        <v>59</v>
      </c>
      <c r="B38" s="514" t="s">
        <v>11</v>
      </c>
      <c r="C38" s="514">
        <v>1040363</v>
      </c>
      <c r="D38" s="515">
        <v>45842</v>
      </c>
      <c r="E38" s="516">
        <v>48.73</v>
      </c>
      <c r="F38" s="514"/>
      <c r="G38" s="427" t="s">
        <v>10</v>
      </c>
    </row>
    <row r="39" spans="1:8">
      <c r="A39" s="513">
        <v>61</v>
      </c>
      <c r="B39" s="514" t="s">
        <v>11</v>
      </c>
      <c r="C39" s="514">
        <v>1040363</v>
      </c>
      <c r="D39" s="515">
        <v>45842</v>
      </c>
      <c r="E39" s="516">
        <v>91.99</v>
      </c>
      <c r="F39" s="514"/>
      <c r="G39" s="427" t="s">
        <v>10</v>
      </c>
    </row>
    <row r="40" spans="1:8">
      <c r="A40" s="513">
        <v>62</v>
      </c>
      <c r="B40" s="514" t="s">
        <v>11</v>
      </c>
      <c r="C40" s="514">
        <v>1040363</v>
      </c>
      <c r="D40" s="515">
        <v>45842</v>
      </c>
      <c r="E40" s="516">
        <v>83563.67</v>
      </c>
      <c r="F40" s="514"/>
      <c r="G40" s="427" t="s">
        <v>10</v>
      </c>
    </row>
    <row r="41" spans="1:8">
      <c r="A41" s="513">
        <v>63</v>
      </c>
      <c r="B41" s="514" t="s">
        <v>11</v>
      </c>
      <c r="C41" s="514">
        <v>1040363</v>
      </c>
      <c r="D41" s="515">
        <v>45842</v>
      </c>
      <c r="E41" s="516">
        <v>48.73</v>
      </c>
      <c r="F41" s="514"/>
      <c r="G41" s="427" t="s">
        <v>10</v>
      </c>
    </row>
    <row r="42" spans="1:8">
      <c r="A42" s="513">
        <v>64</v>
      </c>
      <c r="B42" s="514" t="s">
        <v>11</v>
      </c>
      <c r="C42" s="514">
        <v>1040363</v>
      </c>
      <c r="D42" s="515">
        <v>45842</v>
      </c>
      <c r="E42" s="516">
        <v>91.99</v>
      </c>
      <c r="F42" s="514"/>
      <c r="G42" s="427" t="s">
        <v>10</v>
      </c>
    </row>
    <row r="43" spans="1:8">
      <c r="A43" s="513">
        <v>65</v>
      </c>
      <c r="B43" s="514" t="s">
        <v>11</v>
      </c>
      <c r="C43" s="514">
        <v>1040363</v>
      </c>
      <c r="D43" s="515">
        <v>45842</v>
      </c>
      <c r="E43" s="516">
        <v>48.73</v>
      </c>
      <c r="F43" s="514"/>
      <c r="G43" s="427" t="s">
        <v>10</v>
      </c>
    </row>
    <row r="44" spans="1:8">
      <c r="A44" s="489">
        <v>68</v>
      </c>
      <c r="B44" s="490" t="s">
        <v>11</v>
      </c>
      <c r="C44" s="490">
        <v>1040375</v>
      </c>
      <c r="D44" s="491">
        <v>45842</v>
      </c>
      <c r="E44" s="492">
        <v>19.45</v>
      </c>
      <c r="F44" s="490"/>
      <c r="G44" s="402" t="s">
        <v>10</v>
      </c>
    </row>
    <row r="45" spans="1:8">
      <c r="A45" s="489">
        <v>69</v>
      </c>
      <c r="B45" s="490" t="s">
        <v>11</v>
      </c>
      <c r="C45" s="490">
        <v>1040375</v>
      </c>
      <c r="D45" s="491">
        <v>45842</v>
      </c>
      <c r="E45" s="492">
        <v>19.45</v>
      </c>
      <c r="F45" s="490"/>
      <c r="G45" s="402" t="s">
        <v>10</v>
      </c>
    </row>
    <row r="46" spans="1:8">
      <c r="A46" s="493">
        <v>70</v>
      </c>
      <c r="B46" s="494" t="s">
        <v>11</v>
      </c>
      <c r="C46" s="494">
        <v>1040375</v>
      </c>
      <c r="D46" s="495">
        <v>45842</v>
      </c>
      <c r="E46" s="496">
        <v>1286.83</v>
      </c>
      <c r="F46" s="494"/>
      <c r="G46" s="521" t="s">
        <v>10</v>
      </c>
    </row>
    <row r="47" spans="1:8">
      <c r="A47" s="493">
        <v>71</v>
      </c>
      <c r="B47" s="494" t="s">
        <v>11</v>
      </c>
      <c r="C47" s="494">
        <v>1040375</v>
      </c>
      <c r="D47" s="495">
        <v>45842</v>
      </c>
      <c r="E47" s="496">
        <v>364.02</v>
      </c>
      <c r="F47" s="494"/>
      <c r="G47" s="521" t="s">
        <v>10</v>
      </c>
    </row>
    <row r="48" spans="1:8">
      <c r="A48" s="510">
        <v>73</v>
      </c>
      <c r="B48" s="511" t="s">
        <v>11</v>
      </c>
      <c r="C48" s="511">
        <v>1040375</v>
      </c>
      <c r="D48" s="512">
        <v>45842</v>
      </c>
      <c r="E48" s="509">
        <v>63.04</v>
      </c>
      <c r="F48" s="511"/>
      <c r="G48" s="422" t="s">
        <v>10</v>
      </c>
    </row>
    <row r="49" spans="1:7">
      <c r="A49" s="510">
        <v>74</v>
      </c>
      <c r="B49" s="511" t="s">
        <v>11</v>
      </c>
      <c r="C49" s="511">
        <v>1040375</v>
      </c>
      <c r="D49" s="512">
        <v>45842</v>
      </c>
      <c r="E49" s="509">
        <v>520.04</v>
      </c>
      <c r="F49" s="511"/>
      <c r="G49" s="422" t="s">
        <v>10</v>
      </c>
    </row>
    <row r="50" spans="1:7">
      <c r="A50" s="510">
        <v>75</v>
      </c>
      <c r="B50" s="511" t="s">
        <v>11</v>
      </c>
      <c r="C50" s="511">
        <v>1040375</v>
      </c>
      <c r="D50" s="512">
        <v>45842</v>
      </c>
      <c r="E50" s="509">
        <v>1238.5</v>
      </c>
      <c r="F50" s="511"/>
      <c r="G50" s="422" t="s">
        <v>10</v>
      </c>
    </row>
    <row r="51" spans="1:7">
      <c r="A51" s="510">
        <v>76</v>
      </c>
      <c r="B51" s="511" t="s">
        <v>11</v>
      </c>
      <c r="C51" s="511">
        <v>1040375</v>
      </c>
      <c r="D51" s="512">
        <v>45842</v>
      </c>
      <c r="E51" s="509">
        <v>188</v>
      </c>
      <c r="F51" s="511"/>
      <c r="G51" s="422" t="s">
        <v>10</v>
      </c>
    </row>
    <row r="52" spans="1:7">
      <c r="A52" s="510">
        <v>77</v>
      </c>
      <c r="B52" s="511" t="s">
        <v>11</v>
      </c>
      <c r="C52" s="511">
        <v>1040375</v>
      </c>
      <c r="D52" s="511">
        <v>45842</v>
      </c>
      <c r="E52" s="509">
        <v>39.78</v>
      </c>
      <c r="F52" s="511"/>
      <c r="G52" s="422" t="s">
        <v>10</v>
      </c>
    </row>
    <row r="53" spans="1:7">
      <c r="A53" s="510">
        <v>78</v>
      </c>
      <c r="B53" s="511" t="s">
        <v>11</v>
      </c>
      <c r="C53" s="511">
        <v>1040375</v>
      </c>
      <c r="D53" s="511">
        <v>45842</v>
      </c>
      <c r="E53" s="509">
        <v>24.54</v>
      </c>
      <c r="F53" s="511"/>
      <c r="G53" s="422" t="s">
        <v>10</v>
      </c>
    </row>
    <row r="54" spans="1:7">
      <c r="A54" s="510">
        <v>79</v>
      </c>
      <c r="B54" s="511" t="s">
        <v>11</v>
      </c>
      <c r="C54" s="511">
        <v>1040375</v>
      </c>
      <c r="D54" s="511">
        <v>45842</v>
      </c>
      <c r="E54" s="509">
        <v>19.68</v>
      </c>
      <c r="F54" s="511"/>
      <c r="G54" s="422" t="s">
        <v>10</v>
      </c>
    </row>
    <row r="55" spans="1:7">
      <c r="A55" s="510">
        <v>81</v>
      </c>
      <c r="B55" s="511" t="s">
        <v>11</v>
      </c>
      <c r="C55" s="511">
        <v>1040375</v>
      </c>
      <c r="D55" s="511">
        <v>45842</v>
      </c>
      <c r="E55" s="509">
        <v>149.47999999999999</v>
      </c>
      <c r="F55" s="511"/>
      <c r="G55" s="422" t="s">
        <v>10</v>
      </c>
    </row>
    <row r="56" spans="1:7">
      <c r="A56" s="510">
        <v>82</v>
      </c>
      <c r="B56" s="511" t="s">
        <v>11</v>
      </c>
      <c r="C56" s="511">
        <v>1040375</v>
      </c>
      <c r="D56" s="511">
        <v>45842</v>
      </c>
      <c r="E56" s="509">
        <v>397.83</v>
      </c>
      <c r="F56" s="511"/>
      <c r="G56" s="422" t="s">
        <v>10</v>
      </c>
    </row>
    <row r="57" spans="1:7">
      <c r="A57" s="510">
        <v>83</v>
      </c>
      <c r="B57" s="511" t="s">
        <v>11</v>
      </c>
      <c r="C57" s="511">
        <v>1040375</v>
      </c>
      <c r="D57" s="511">
        <v>45842</v>
      </c>
      <c r="E57" s="509">
        <v>318.05</v>
      </c>
      <c r="F57" s="511"/>
      <c r="G57" s="422" t="s">
        <v>10</v>
      </c>
    </row>
    <row r="58" spans="1:7">
      <c r="A58" s="510">
        <v>84</v>
      </c>
      <c r="B58" s="511" t="s">
        <v>11</v>
      </c>
      <c r="C58" s="511">
        <v>1040375</v>
      </c>
      <c r="D58" s="511">
        <v>45842</v>
      </c>
      <c r="E58" s="509">
        <v>20.83</v>
      </c>
      <c r="F58" s="511"/>
      <c r="G58" s="422" t="s">
        <v>10</v>
      </c>
    </row>
    <row r="59" spans="1:7">
      <c r="A59" s="510">
        <v>85</v>
      </c>
      <c r="B59" s="511" t="s">
        <v>11</v>
      </c>
      <c r="C59" s="511">
        <v>1040375</v>
      </c>
      <c r="D59" s="511">
        <v>45842</v>
      </c>
      <c r="E59" s="509">
        <v>89.75</v>
      </c>
      <c r="F59" s="511"/>
      <c r="G59" s="422" t="s">
        <v>10</v>
      </c>
    </row>
    <row r="60" spans="1:7">
      <c r="A60" s="510">
        <v>86</v>
      </c>
      <c r="B60" s="511" t="s">
        <v>11</v>
      </c>
      <c r="C60" s="511">
        <v>1040375</v>
      </c>
      <c r="D60" s="511">
        <v>45842</v>
      </c>
      <c r="E60" s="509">
        <v>1289.6300000000001</v>
      </c>
      <c r="F60" s="511"/>
      <c r="G60" s="422" t="s">
        <v>10</v>
      </c>
    </row>
    <row r="61" spans="1:7">
      <c r="A61" s="504">
        <v>88</v>
      </c>
      <c r="B61" s="505" t="s">
        <v>12</v>
      </c>
      <c r="C61" s="505">
        <v>1170144</v>
      </c>
      <c r="D61" s="505">
        <v>45842</v>
      </c>
      <c r="E61" s="506">
        <v>47860.47</v>
      </c>
      <c r="F61" s="505"/>
      <c r="G61" s="522" t="s">
        <v>10</v>
      </c>
    </row>
    <row r="62" spans="1:7">
      <c r="A62" s="499">
        <v>93</v>
      </c>
      <c r="B62" s="500" t="s">
        <v>11</v>
      </c>
      <c r="C62" s="500">
        <v>1040375</v>
      </c>
      <c r="D62" s="500">
        <v>45842</v>
      </c>
      <c r="E62" s="501">
        <v>14.64</v>
      </c>
      <c r="F62" s="500"/>
      <c r="G62" s="523" t="s">
        <v>10</v>
      </c>
    </row>
    <row r="63" spans="1:7">
      <c r="A63" s="499">
        <v>94</v>
      </c>
      <c r="B63" s="500" t="s">
        <v>11</v>
      </c>
      <c r="C63" s="500">
        <v>1040375</v>
      </c>
      <c r="D63" s="500">
        <v>45842</v>
      </c>
      <c r="E63" s="501">
        <v>213.32</v>
      </c>
      <c r="F63" s="500"/>
      <c r="G63" s="523" t="s">
        <v>10</v>
      </c>
    </row>
    <row r="64" spans="1:7">
      <c r="A64" s="499">
        <v>95</v>
      </c>
      <c r="B64" s="500" t="s">
        <v>11</v>
      </c>
      <c r="C64" s="500">
        <v>1040375</v>
      </c>
      <c r="D64" s="500">
        <v>45842</v>
      </c>
      <c r="E64" s="501">
        <v>18.54</v>
      </c>
      <c r="F64" s="500"/>
      <c r="G64" s="523" t="s">
        <v>10</v>
      </c>
    </row>
    <row r="65" spans="1:7">
      <c r="A65" s="499">
        <v>96</v>
      </c>
      <c r="B65" s="500" t="s">
        <v>11</v>
      </c>
      <c r="C65" s="500">
        <v>1040375</v>
      </c>
      <c r="D65" s="500">
        <v>45842</v>
      </c>
      <c r="E65" s="501">
        <v>19.21</v>
      </c>
      <c r="F65" s="500"/>
      <c r="G65" s="523" t="s">
        <v>10</v>
      </c>
    </row>
    <row r="66" spans="1:7" ht="14.4" thickBot="1">
      <c r="A66" s="458">
        <v>121</v>
      </c>
      <c r="B66" s="459" t="s">
        <v>11</v>
      </c>
      <c r="C66" s="459">
        <v>1040258</v>
      </c>
      <c r="D66" s="459">
        <v>45842</v>
      </c>
      <c r="E66" s="460">
        <v>10</v>
      </c>
      <c r="F66" s="459" t="s">
        <v>1367</v>
      </c>
      <c r="G66" s="379" t="s">
        <v>10</v>
      </c>
    </row>
    <row r="67" spans="1:7" ht="14.4" thickTop="1">
      <c r="D67" s="247"/>
    </row>
    <row r="68" spans="1:7">
      <c r="D68" s="247"/>
    </row>
    <row r="69" spans="1:7">
      <c r="D69" s="247"/>
    </row>
    <row r="70" spans="1:7">
      <c r="D70" s="247"/>
    </row>
    <row r="71" spans="1:7">
      <c r="D71" s="247"/>
    </row>
    <row r="72" spans="1:7">
      <c r="D72" s="247"/>
    </row>
    <row r="73" spans="1:7">
      <c r="D73" s="247"/>
    </row>
    <row r="74" spans="1:7">
      <c r="D74" s="247"/>
    </row>
    <row r="75" spans="1:7">
      <c r="D75" s="247"/>
    </row>
    <row r="76" spans="1:7">
      <c r="D76" s="247"/>
    </row>
    <row r="77" spans="1:7">
      <c r="D77" s="247"/>
    </row>
    <row r="78" spans="1:7">
      <c r="D78" s="247"/>
    </row>
    <row r="79" spans="1:7">
      <c r="D79" s="247"/>
    </row>
    <row r="80" spans="1:7">
      <c r="D80" s="247"/>
    </row>
    <row r="81" spans="4:4">
      <c r="D81" s="247"/>
    </row>
    <row r="82" spans="4:4">
      <c r="D82" s="247"/>
    </row>
    <row r="83" spans="4:4">
      <c r="D83" s="247"/>
    </row>
    <row r="84" spans="4:4">
      <c r="D84" s="247"/>
    </row>
    <row r="85" spans="4:4">
      <c r="D85" s="247"/>
    </row>
    <row r="86" spans="4:4">
      <c r="D86" s="247"/>
    </row>
    <row r="87" spans="4:4">
      <c r="D87" s="247"/>
    </row>
    <row r="88" spans="4:4">
      <c r="D88" s="247"/>
    </row>
    <row r="89" spans="4:4">
      <c r="D89" s="247"/>
    </row>
    <row r="90" spans="4:4">
      <c r="D90" s="247"/>
    </row>
    <row r="91" spans="4:4">
      <c r="D91" s="247"/>
    </row>
    <row r="92" spans="4:4">
      <c r="D92" s="247"/>
    </row>
    <row r="93" spans="4:4">
      <c r="D93" s="247"/>
    </row>
    <row r="94" spans="4:4">
      <c r="D94" s="247"/>
    </row>
    <row r="95" spans="4:4">
      <c r="D95" s="247"/>
    </row>
    <row r="96" spans="4:4">
      <c r="D96" s="247"/>
    </row>
    <row r="97" spans="4:4">
      <c r="D97" s="247"/>
    </row>
    <row r="98" spans="4:4">
      <c r="D98" s="247"/>
    </row>
    <row r="99" spans="4:4">
      <c r="D99" s="247"/>
    </row>
    <row r="100" spans="4:4">
      <c r="D100" s="247"/>
    </row>
    <row r="101" spans="4:4">
      <c r="D101" s="247"/>
    </row>
    <row r="102" spans="4:4">
      <c r="D102" s="247"/>
    </row>
    <row r="103" spans="4:4">
      <c r="D103" s="247"/>
    </row>
    <row r="104" spans="4:4">
      <c r="D104" s="247"/>
    </row>
    <row r="105" spans="4:4">
      <c r="D105" s="247"/>
    </row>
    <row r="106" spans="4:4">
      <c r="D106" s="247"/>
    </row>
    <row r="107" spans="4:4">
      <c r="D107" s="247"/>
    </row>
    <row r="108" spans="4:4">
      <c r="D108" s="247"/>
    </row>
    <row r="109" spans="4:4">
      <c r="D109" s="247"/>
    </row>
    <row r="110" spans="4:4">
      <c r="D110" s="247"/>
    </row>
    <row r="111" spans="4:4">
      <c r="D111" s="247"/>
    </row>
    <row r="112" spans="4:4">
      <c r="D112" s="247"/>
    </row>
    <row r="113" spans="4:4">
      <c r="D113" s="247"/>
    </row>
    <row r="114" spans="4:4">
      <c r="D114" s="247"/>
    </row>
    <row r="115" spans="4:4">
      <c r="D115" s="247"/>
    </row>
    <row r="116" spans="4:4">
      <c r="D116" s="247"/>
    </row>
    <row r="117" spans="4:4">
      <c r="D117" s="247"/>
    </row>
    <row r="118" spans="4:4">
      <c r="D118" s="247"/>
    </row>
    <row r="119" spans="4:4">
      <c r="D119" s="247"/>
    </row>
    <row r="120" spans="4:4">
      <c r="D120" s="247"/>
    </row>
    <row r="121" spans="4:4">
      <c r="D121" s="247"/>
    </row>
    <row r="122" spans="4:4">
      <c r="D122" s="247"/>
    </row>
    <row r="123" spans="4:4">
      <c r="D123" s="247"/>
    </row>
    <row r="124" spans="4:4">
      <c r="D124" s="247"/>
    </row>
    <row r="125" spans="4:4">
      <c r="D125" s="247"/>
    </row>
    <row r="126" spans="4:4">
      <c r="D126" s="247"/>
    </row>
    <row r="127" spans="4:4">
      <c r="D127" s="247"/>
    </row>
    <row r="128" spans="4:4">
      <c r="D128" s="247"/>
    </row>
    <row r="129" spans="4:4">
      <c r="D129" s="247"/>
    </row>
    <row r="130" spans="4:4">
      <c r="D130" s="247"/>
    </row>
    <row r="131" spans="4:4">
      <c r="D131" s="247"/>
    </row>
    <row r="132" spans="4:4">
      <c r="D132" s="247"/>
    </row>
    <row r="133" spans="4:4">
      <c r="D133" s="247"/>
    </row>
    <row r="134" spans="4:4">
      <c r="D134" s="247"/>
    </row>
    <row r="135" spans="4:4">
      <c r="D135" s="247"/>
    </row>
    <row r="136" spans="4:4">
      <c r="D136" s="247"/>
    </row>
    <row r="137" spans="4:4">
      <c r="D137" s="247"/>
    </row>
    <row r="138" spans="4:4">
      <c r="D138" s="247"/>
    </row>
    <row r="139" spans="4:4">
      <c r="D139" s="247"/>
    </row>
    <row r="140" spans="4:4">
      <c r="D140" s="247"/>
    </row>
    <row r="141" spans="4:4">
      <c r="D141" s="247"/>
    </row>
    <row r="142" spans="4:4">
      <c r="D142" s="247"/>
    </row>
    <row r="143" spans="4:4">
      <c r="D143" s="247"/>
    </row>
    <row r="144" spans="4:4">
      <c r="D144" s="247"/>
    </row>
    <row r="145" spans="4:4">
      <c r="D145" s="247"/>
    </row>
    <row r="146" spans="4:4">
      <c r="D146" s="247"/>
    </row>
    <row r="147" spans="4:4">
      <c r="D147" s="247"/>
    </row>
    <row r="148" spans="4:4">
      <c r="D148" s="247"/>
    </row>
    <row r="149" spans="4:4">
      <c r="D149" s="247"/>
    </row>
    <row r="150" spans="4:4">
      <c r="D150" s="247"/>
    </row>
    <row r="151" spans="4:4">
      <c r="D151" s="247"/>
    </row>
    <row r="152" spans="4:4">
      <c r="D152" s="247"/>
    </row>
    <row r="153" spans="4:4">
      <c r="D153" s="247"/>
    </row>
    <row r="154" spans="4:4">
      <c r="D154" s="247"/>
    </row>
    <row r="155" spans="4:4">
      <c r="D155" s="247"/>
    </row>
    <row r="156" spans="4:4">
      <c r="D156" s="247"/>
    </row>
    <row r="157" spans="4:4">
      <c r="D157" s="247"/>
    </row>
    <row r="158" spans="4:4">
      <c r="D158" s="247"/>
    </row>
    <row r="159" spans="4:4">
      <c r="D159" s="247"/>
    </row>
    <row r="160" spans="4:4">
      <c r="D160" s="247"/>
    </row>
    <row r="161" spans="4:4">
      <c r="D161" s="247"/>
    </row>
    <row r="162" spans="4:4">
      <c r="D162" s="247"/>
    </row>
    <row r="163" spans="4:4">
      <c r="D163" s="247"/>
    </row>
    <row r="164" spans="4:4">
      <c r="D164" s="247"/>
    </row>
    <row r="165" spans="4:4">
      <c r="D165" s="247"/>
    </row>
    <row r="166" spans="4:4">
      <c r="D166" s="247"/>
    </row>
    <row r="167" spans="4:4">
      <c r="D167" s="247"/>
    </row>
    <row r="168" spans="4:4">
      <c r="D168" s="247"/>
    </row>
    <row r="169" spans="4:4">
      <c r="D169" s="247"/>
    </row>
    <row r="170" spans="4:4">
      <c r="D170" s="247"/>
    </row>
    <row r="171" spans="4:4">
      <c r="D171" s="247"/>
    </row>
    <row r="172" spans="4:4">
      <c r="D172" s="247"/>
    </row>
    <row r="173" spans="4:4">
      <c r="D173" s="247"/>
    </row>
    <row r="174" spans="4:4">
      <c r="D174" s="247"/>
    </row>
    <row r="175" spans="4:4">
      <c r="D175" s="247"/>
    </row>
    <row r="176" spans="4:4">
      <c r="D176" s="247"/>
    </row>
    <row r="177" spans="4:4">
      <c r="D177" s="247"/>
    </row>
    <row r="178" spans="4:4">
      <c r="D178" s="247"/>
    </row>
    <row r="179" spans="4:4">
      <c r="D179" s="247"/>
    </row>
    <row r="180" spans="4:4">
      <c r="D180" s="247"/>
    </row>
    <row r="181" spans="4:4">
      <c r="D181" s="247"/>
    </row>
    <row r="182" spans="4:4">
      <c r="D182" s="247"/>
    </row>
    <row r="183" spans="4:4">
      <c r="D183" s="247"/>
    </row>
    <row r="184" spans="4:4">
      <c r="D184" s="247"/>
    </row>
    <row r="185" spans="4:4">
      <c r="D185" s="247"/>
    </row>
    <row r="186" spans="4:4">
      <c r="D186" s="247"/>
    </row>
    <row r="187" spans="4:4">
      <c r="D187" s="247"/>
    </row>
    <row r="188" spans="4:4">
      <c r="D188" s="247"/>
    </row>
    <row r="189" spans="4:4">
      <c r="D189" s="247"/>
    </row>
    <row r="190" spans="4:4">
      <c r="D190" s="247"/>
    </row>
    <row r="191" spans="4:4">
      <c r="D191" s="247"/>
    </row>
    <row r="192" spans="4:4">
      <c r="D192" s="247"/>
    </row>
    <row r="193" spans="4:4">
      <c r="D193" s="247"/>
    </row>
    <row r="194" spans="4:4">
      <c r="D194" s="247"/>
    </row>
    <row r="195" spans="4:4">
      <c r="D195" s="247"/>
    </row>
    <row r="196" spans="4:4">
      <c r="D196" s="247"/>
    </row>
    <row r="197" spans="4:4">
      <c r="D197" s="247"/>
    </row>
    <row r="198" spans="4:4">
      <c r="D198" s="247"/>
    </row>
    <row r="199" spans="4:4">
      <c r="D199" s="247"/>
    </row>
    <row r="200" spans="4:4">
      <c r="D200" s="247"/>
    </row>
    <row r="201" spans="4:4">
      <c r="D201" s="247"/>
    </row>
    <row r="202" spans="4:4">
      <c r="D202" s="247"/>
    </row>
    <row r="203" spans="4:4">
      <c r="D203" s="247"/>
    </row>
    <row r="204" spans="4:4">
      <c r="D204" s="247"/>
    </row>
    <row r="205" spans="4:4">
      <c r="D205" s="247"/>
    </row>
    <row r="206" spans="4:4">
      <c r="D206" s="247"/>
    </row>
    <row r="207" spans="4:4">
      <c r="D207" s="247"/>
    </row>
    <row r="208" spans="4:4">
      <c r="D208" s="247"/>
    </row>
    <row r="209" spans="4:4">
      <c r="D209" s="247"/>
    </row>
    <row r="210" spans="4:4">
      <c r="D210" s="247"/>
    </row>
    <row r="211" spans="4:4">
      <c r="D211" s="247"/>
    </row>
    <row r="212" spans="4:4">
      <c r="D212" s="247"/>
    </row>
    <row r="213" spans="4:4">
      <c r="D213" s="247"/>
    </row>
    <row r="214" spans="4:4">
      <c r="D214" s="247"/>
    </row>
    <row r="215" spans="4:4">
      <c r="D215" s="247"/>
    </row>
    <row r="216" spans="4:4">
      <c r="D216" s="247"/>
    </row>
    <row r="217" spans="4:4">
      <c r="D217" s="247"/>
    </row>
    <row r="218" spans="4:4">
      <c r="D218" s="247"/>
    </row>
    <row r="219" spans="4:4">
      <c r="D219" s="247"/>
    </row>
    <row r="220" spans="4:4">
      <c r="D220" s="247"/>
    </row>
    <row r="221" spans="4:4">
      <c r="D221" s="247"/>
    </row>
    <row r="222" spans="4:4">
      <c r="D222" s="247"/>
    </row>
    <row r="223" spans="4:4">
      <c r="D223" s="247"/>
    </row>
    <row r="224" spans="4:4">
      <c r="D224" s="247"/>
    </row>
    <row r="225" spans="4:4">
      <c r="D225" s="247"/>
    </row>
    <row r="226" spans="4:4">
      <c r="D226" s="247"/>
    </row>
    <row r="227" spans="4:4">
      <c r="D227" s="247"/>
    </row>
    <row r="228" spans="4:4">
      <c r="D228" s="247"/>
    </row>
    <row r="229" spans="4:4">
      <c r="D229" s="247"/>
    </row>
    <row r="230" spans="4:4">
      <c r="D230" s="247"/>
    </row>
    <row r="231" spans="4:4">
      <c r="D231" s="247"/>
    </row>
    <row r="232" spans="4:4">
      <c r="D232" s="247"/>
    </row>
    <row r="233" spans="4:4">
      <c r="D233" s="247"/>
    </row>
    <row r="234" spans="4:4">
      <c r="D234" s="247"/>
    </row>
    <row r="235" spans="4:4">
      <c r="D235" s="247"/>
    </row>
    <row r="236" spans="4:4">
      <c r="D236" s="247"/>
    </row>
    <row r="237" spans="4:4">
      <c r="D237" s="247"/>
    </row>
    <row r="238" spans="4:4">
      <c r="D238" s="247"/>
    </row>
    <row r="239" spans="4:4">
      <c r="D239" s="247"/>
    </row>
    <row r="240" spans="4:4">
      <c r="D240" s="247"/>
    </row>
    <row r="241" spans="4:4">
      <c r="D241" s="247"/>
    </row>
    <row r="242" spans="4:4">
      <c r="D242" s="247"/>
    </row>
    <row r="243" spans="4:4">
      <c r="D243" s="247"/>
    </row>
    <row r="244" spans="4:4">
      <c r="D244" s="247"/>
    </row>
    <row r="245" spans="4:4">
      <c r="D245" s="247"/>
    </row>
    <row r="246" spans="4:4">
      <c r="D246" s="247"/>
    </row>
    <row r="247" spans="4:4">
      <c r="D247" s="247"/>
    </row>
    <row r="248" spans="4:4">
      <c r="D248" s="247"/>
    </row>
    <row r="249" spans="4:4">
      <c r="D249" s="247"/>
    </row>
    <row r="250" spans="4:4">
      <c r="D250" s="247"/>
    </row>
    <row r="251" spans="4:4">
      <c r="D251" s="247"/>
    </row>
    <row r="252" spans="4:4">
      <c r="D252" s="247"/>
    </row>
    <row r="253" spans="4:4">
      <c r="D253" s="247"/>
    </row>
    <row r="254" spans="4:4">
      <c r="D254" s="247"/>
    </row>
    <row r="255" spans="4:4">
      <c r="D255" s="247"/>
    </row>
    <row r="256" spans="4:4">
      <c r="D256" s="247"/>
    </row>
    <row r="257" spans="4:4">
      <c r="D257" s="247"/>
    </row>
    <row r="258" spans="4:4">
      <c r="D258" s="247"/>
    </row>
    <row r="259" spans="4:4">
      <c r="D259" s="247"/>
    </row>
    <row r="260" spans="4:4">
      <c r="D260" s="247"/>
    </row>
    <row r="261" spans="4:4">
      <c r="D261" s="247"/>
    </row>
    <row r="262" spans="4:4">
      <c r="D262" s="247"/>
    </row>
    <row r="263" spans="4:4">
      <c r="D263" s="247"/>
    </row>
    <row r="264" spans="4:4">
      <c r="D264" s="247"/>
    </row>
    <row r="265" spans="4:4">
      <c r="D265" s="247"/>
    </row>
    <row r="266" spans="4:4">
      <c r="D266" s="247"/>
    </row>
    <row r="267" spans="4:4">
      <c r="D267" s="247"/>
    </row>
    <row r="268" spans="4:4">
      <c r="D268" s="247"/>
    </row>
    <row r="269" spans="4:4">
      <c r="D269" s="247"/>
    </row>
    <row r="270" spans="4:4">
      <c r="D270" s="247"/>
    </row>
    <row r="271" spans="4:4">
      <c r="D271" s="247"/>
    </row>
    <row r="272" spans="4:4">
      <c r="D272" s="247"/>
    </row>
    <row r="273" spans="4:4">
      <c r="D273" s="247"/>
    </row>
    <row r="274" spans="4:4">
      <c r="D274" s="247"/>
    </row>
    <row r="275" spans="4:4">
      <c r="D275" s="247"/>
    </row>
    <row r="276" spans="4:4">
      <c r="D276" s="247"/>
    </row>
    <row r="277" spans="4:4">
      <c r="D277" s="247"/>
    </row>
    <row r="278" spans="4:4">
      <c r="D278" s="247"/>
    </row>
    <row r="279" spans="4:4">
      <c r="D279" s="247"/>
    </row>
    <row r="280" spans="4:4">
      <c r="D280" s="247"/>
    </row>
    <row r="281" spans="4:4">
      <c r="D281" s="247"/>
    </row>
    <row r="282" spans="4:4">
      <c r="D282" s="247"/>
    </row>
    <row r="283" spans="4:4">
      <c r="D283" s="247"/>
    </row>
    <row r="284" spans="4:4">
      <c r="D284" s="247"/>
    </row>
    <row r="285" spans="4:4">
      <c r="D285" s="247"/>
    </row>
    <row r="286" spans="4:4">
      <c r="D286" s="247"/>
    </row>
    <row r="287" spans="4:4">
      <c r="D287" s="247"/>
    </row>
    <row r="288" spans="4:4">
      <c r="D288" s="247"/>
    </row>
    <row r="289" spans="4:4">
      <c r="D289" s="247"/>
    </row>
    <row r="290" spans="4:4">
      <c r="D290" s="247"/>
    </row>
    <row r="291" spans="4:4">
      <c r="D291" s="247"/>
    </row>
    <row r="292" spans="4:4">
      <c r="D292" s="247"/>
    </row>
    <row r="293" spans="4:4">
      <c r="D293" s="247"/>
    </row>
    <row r="294" spans="4:4">
      <c r="D294" s="247"/>
    </row>
    <row r="295" spans="4:4">
      <c r="D295" s="247"/>
    </row>
    <row r="296" spans="4:4">
      <c r="D296" s="247"/>
    </row>
    <row r="297" spans="4:4">
      <c r="D297" s="247"/>
    </row>
    <row r="298" spans="4:4">
      <c r="D298" s="247"/>
    </row>
    <row r="299" spans="4:4">
      <c r="D299" s="247"/>
    </row>
    <row r="300" spans="4:4">
      <c r="D300" s="247"/>
    </row>
    <row r="301" spans="4:4">
      <c r="D301" s="247"/>
    </row>
    <row r="302" spans="4:4">
      <c r="D302" s="247"/>
    </row>
    <row r="303" spans="4:4">
      <c r="D303" s="247"/>
    </row>
    <row r="304" spans="4:4">
      <c r="D304" s="247"/>
    </row>
    <row r="305" spans="4:4">
      <c r="D305" s="247"/>
    </row>
    <row r="306" spans="4:4">
      <c r="D306" s="247"/>
    </row>
    <row r="307" spans="4:4">
      <c r="D307" s="247"/>
    </row>
    <row r="308" spans="4:4">
      <c r="D308" s="247"/>
    </row>
    <row r="309" spans="4:4">
      <c r="D309" s="247"/>
    </row>
    <row r="310" spans="4:4">
      <c r="D310" s="247"/>
    </row>
    <row r="311" spans="4:4">
      <c r="D311" s="247"/>
    </row>
    <row r="312" spans="4:4">
      <c r="D312" s="247"/>
    </row>
    <row r="313" spans="4:4">
      <c r="D313" s="247"/>
    </row>
    <row r="314" spans="4:4">
      <c r="D314" s="247"/>
    </row>
    <row r="315" spans="4:4">
      <c r="D315" s="247"/>
    </row>
    <row r="316" spans="4:4">
      <c r="D316" s="247"/>
    </row>
    <row r="317" spans="4:4">
      <c r="D317" s="247"/>
    </row>
    <row r="318" spans="4:4">
      <c r="D318" s="247"/>
    </row>
    <row r="319" spans="4:4">
      <c r="D319" s="247"/>
    </row>
    <row r="320" spans="4:4">
      <c r="D320" s="247"/>
    </row>
    <row r="321" spans="4:4">
      <c r="D321" s="247"/>
    </row>
    <row r="322" spans="4:4">
      <c r="D322" s="247"/>
    </row>
    <row r="323" spans="4:4">
      <c r="D323" s="247"/>
    </row>
    <row r="324" spans="4:4">
      <c r="D324" s="247"/>
    </row>
    <row r="325" spans="4:4">
      <c r="D325" s="247"/>
    </row>
    <row r="326" spans="4:4">
      <c r="D326" s="247"/>
    </row>
    <row r="327" spans="4:4">
      <c r="D327" s="247"/>
    </row>
    <row r="328" spans="4:4">
      <c r="D328" s="247"/>
    </row>
    <row r="329" spans="4:4">
      <c r="D329" s="247"/>
    </row>
    <row r="330" spans="4:4">
      <c r="D330" s="247"/>
    </row>
    <row r="331" spans="4:4">
      <c r="D331" s="247"/>
    </row>
    <row r="332" spans="4:4">
      <c r="D332" s="247"/>
    </row>
    <row r="333" spans="4:4">
      <c r="D333" s="247"/>
    </row>
    <row r="334" spans="4:4">
      <c r="D334" s="247"/>
    </row>
    <row r="335" spans="4:4">
      <c r="D335" s="247"/>
    </row>
    <row r="336" spans="4:4">
      <c r="D336" s="247"/>
    </row>
    <row r="337" spans="4:4">
      <c r="D337" s="247"/>
    </row>
    <row r="338" spans="4:4">
      <c r="D338" s="247"/>
    </row>
    <row r="339" spans="4:4">
      <c r="D339" s="247"/>
    </row>
    <row r="340" spans="4:4">
      <c r="D340" s="247"/>
    </row>
    <row r="341" spans="4:4">
      <c r="D341" s="247"/>
    </row>
    <row r="342" spans="4:4">
      <c r="D342" s="247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9759D-47FA-4C97-B00E-6099C0665837}">
  <sheetPr>
    <tabColor rgb="FFFFFF00"/>
  </sheetPr>
  <dimension ref="A1:P114"/>
  <sheetViews>
    <sheetView showGridLines="0" topLeftCell="A12" zoomScaleNormal="100" workbookViewId="0">
      <selection activeCellId="1" sqref="I8 A1:XFD1048576"/>
    </sheetView>
  </sheetViews>
  <sheetFormatPr defaultColWidth="7.69921875" defaultRowHeight="13.8"/>
  <cols>
    <col min="1" max="1" width="5.5" style="277" bestFit="1" customWidth="1"/>
    <col min="2" max="2" width="16.3984375" style="277" bestFit="1" customWidth="1"/>
    <col min="3" max="3" width="7.796875" style="277" bestFit="1" customWidth="1"/>
    <col min="4" max="4" width="13.69921875" style="276" bestFit="1" customWidth="1"/>
    <col min="5" max="5" width="15.296875" style="218" bestFit="1" customWidth="1"/>
    <col min="6" max="6" width="14" style="10" customWidth="1"/>
    <col min="7" max="7" width="28.5" style="10" bestFit="1" customWidth="1"/>
    <col min="8" max="8" width="22.59765625" bestFit="1" customWidth="1"/>
    <col min="9" max="9" width="13.796875" style="57" bestFit="1" customWidth="1"/>
    <col min="10" max="10" width="58.3984375" bestFit="1" customWidth="1"/>
    <col min="11" max="11" width="26.5" style="212" bestFit="1" customWidth="1"/>
    <col min="12" max="12" width="13.796875" style="212" bestFit="1" customWidth="1"/>
    <col min="13" max="13" width="58.3984375" style="212" bestFit="1" customWidth="1"/>
    <col min="14" max="14" width="34.69921875" bestFit="1" customWidth="1"/>
    <col min="15" max="15" width="13.796875" bestFit="1" customWidth="1"/>
    <col min="16" max="16" width="22" style="212" bestFit="1" customWidth="1"/>
    <col min="17" max="17" width="30.296875" bestFit="1" customWidth="1"/>
  </cols>
  <sheetData>
    <row r="1" spans="1:15" ht="14.4" thickBot="1">
      <c r="A1" s="369" t="s">
        <v>0</v>
      </c>
      <c r="B1" s="369" t="s">
        <v>1</v>
      </c>
      <c r="C1" s="369" t="s">
        <v>2</v>
      </c>
      <c r="D1" s="369" t="s">
        <v>1322</v>
      </c>
      <c r="E1" s="371" t="s">
        <v>1323</v>
      </c>
      <c r="F1" s="370" t="s">
        <v>3</v>
      </c>
      <c r="G1" s="369" t="s">
        <v>4</v>
      </c>
      <c r="J1" s="370" t="s">
        <v>5</v>
      </c>
      <c r="K1" s="372" t="s">
        <v>1324</v>
      </c>
    </row>
    <row r="2" spans="1:15" ht="14.4" thickTop="1">
      <c r="A2" s="277">
        <v>1</v>
      </c>
      <c r="B2" s="218" t="s">
        <v>7</v>
      </c>
      <c r="C2" s="277">
        <v>2130870</v>
      </c>
      <c r="D2" s="631">
        <v>45845</v>
      </c>
      <c r="E2" s="218">
        <v>528.22</v>
      </c>
      <c r="F2" s="11" t="s">
        <v>1386</v>
      </c>
      <c r="G2" s="6" t="s">
        <v>10</v>
      </c>
      <c r="I2" s="57" t="s">
        <v>10</v>
      </c>
      <c r="J2" s="469">
        <v>174503</v>
      </c>
      <c r="K2" s="564">
        <v>54654.949999999983</v>
      </c>
    </row>
    <row r="3" spans="1:15">
      <c r="A3" s="277">
        <v>2</v>
      </c>
      <c r="B3" s="218" t="s">
        <v>7</v>
      </c>
      <c r="C3" s="277">
        <v>2130870</v>
      </c>
      <c r="D3" s="631">
        <v>45845</v>
      </c>
      <c r="E3" s="218">
        <v>34518.18</v>
      </c>
      <c r="F3" s="11" t="s">
        <v>1348</v>
      </c>
      <c r="G3" s="6" t="s">
        <v>10</v>
      </c>
      <c r="I3" s="57" t="s">
        <v>10</v>
      </c>
      <c r="J3" s="497">
        <v>174504</v>
      </c>
      <c r="K3" s="569">
        <v>13303.269999999995</v>
      </c>
    </row>
    <row r="4" spans="1:15">
      <c r="A4" s="277">
        <v>3</v>
      </c>
      <c r="B4" s="218" t="s">
        <v>7</v>
      </c>
      <c r="C4" s="277">
        <v>2130870</v>
      </c>
      <c r="D4" s="631">
        <v>45845</v>
      </c>
      <c r="E4" s="218">
        <v>2278.5100000000002</v>
      </c>
      <c r="F4" s="11" t="s">
        <v>1348</v>
      </c>
      <c r="G4" s="6" t="s">
        <v>10</v>
      </c>
      <c r="I4" s="57" t="s">
        <v>10</v>
      </c>
      <c r="J4" s="399">
        <v>174506</v>
      </c>
      <c r="K4" s="575">
        <v>318080.77</v>
      </c>
    </row>
    <row r="5" spans="1:15">
      <c r="A5" s="277">
        <v>4</v>
      </c>
      <c r="B5" s="218" t="s">
        <v>7</v>
      </c>
      <c r="C5" s="277">
        <v>2130870</v>
      </c>
      <c r="D5" s="631">
        <v>45845</v>
      </c>
      <c r="E5" s="218">
        <v>255881.94</v>
      </c>
      <c r="F5" s="11" t="s">
        <v>32</v>
      </c>
      <c r="G5" s="6" t="s">
        <v>10</v>
      </c>
      <c r="I5" s="57" t="s">
        <v>10</v>
      </c>
      <c r="J5" s="381">
        <v>174510</v>
      </c>
      <c r="K5" s="554">
        <v>189865.73</v>
      </c>
    </row>
    <row r="6" spans="1:15">
      <c r="A6" s="277">
        <v>5</v>
      </c>
      <c r="B6" s="218" t="s">
        <v>7</v>
      </c>
      <c r="C6" s="277">
        <v>2130870</v>
      </c>
      <c r="D6" s="631">
        <v>45845</v>
      </c>
      <c r="E6" s="218">
        <v>3023.27</v>
      </c>
      <c r="F6" s="11" t="s">
        <v>8</v>
      </c>
      <c r="G6" s="6" t="s">
        <v>10</v>
      </c>
      <c r="I6" s="57" t="s">
        <v>10</v>
      </c>
      <c r="J6" s="92">
        <v>174515</v>
      </c>
      <c r="K6" s="559">
        <v>872094.14999999991</v>
      </c>
    </row>
    <row r="7" spans="1:15">
      <c r="A7" s="277">
        <v>6</v>
      </c>
      <c r="B7" s="218" t="s">
        <v>7</v>
      </c>
      <c r="C7" s="277">
        <v>2060855</v>
      </c>
      <c r="D7" s="631">
        <v>45845</v>
      </c>
      <c r="E7" s="218">
        <v>5850000</v>
      </c>
      <c r="F7" s="11" t="s">
        <v>1377</v>
      </c>
      <c r="G7" s="6" t="s">
        <v>10</v>
      </c>
      <c r="I7" s="57" t="s">
        <v>10</v>
      </c>
      <c r="J7" s="404">
        <v>174520</v>
      </c>
      <c r="K7" s="581">
        <v>469.89</v>
      </c>
      <c r="O7" s="201"/>
    </row>
    <row r="8" spans="1:15" ht="14.4" thickBot="1">
      <c r="A8" s="639">
        <v>9</v>
      </c>
      <c r="B8" s="638" t="s">
        <v>7</v>
      </c>
      <c r="C8" s="639">
        <v>2050900</v>
      </c>
      <c r="D8" s="642">
        <v>45845</v>
      </c>
      <c r="E8" s="638">
        <v>49149.37</v>
      </c>
      <c r="F8" s="76"/>
      <c r="G8" s="76" t="s">
        <v>10</v>
      </c>
      <c r="H8" s="57" t="s">
        <v>1387</v>
      </c>
      <c r="I8" s="57" t="s">
        <v>10</v>
      </c>
      <c r="J8" s="419">
        <v>174535</v>
      </c>
      <c r="K8" s="587">
        <v>381620.78</v>
      </c>
    </row>
    <row r="9" spans="1:15" ht="14.4" thickTop="1">
      <c r="A9" s="632">
        <v>12</v>
      </c>
      <c r="B9" s="547" t="s">
        <v>11</v>
      </c>
      <c r="C9" s="633">
        <v>1170470</v>
      </c>
      <c r="D9" s="634">
        <v>45845</v>
      </c>
      <c r="E9" s="547">
        <v>7604.92</v>
      </c>
      <c r="F9" s="635" t="s">
        <v>1388</v>
      </c>
      <c r="G9" s="630" t="s">
        <v>10</v>
      </c>
      <c r="I9" s="57" t="s">
        <v>10</v>
      </c>
      <c r="J9" s="414" t="s">
        <v>1383</v>
      </c>
      <c r="K9" s="593">
        <v>349.22</v>
      </c>
    </row>
    <row r="10" spans="1:15">
      <c r="A10" s="550">
        <v>17</v>
      </c>
      <c r="B10" s="551" t="s">
        <v>11</v>
      </c>
      <c r="C10" s="552">
        <v>1040211</v>
      </c>
      <c r="D10" s="553">
        <v>45845</v>
      </c>
      <c r="E10" s="551">
        <v>189865.73</v>
      </c>
      <c r="F10" s="618"/>
      <c r="G10" s="600" t="s">
        <v>10</v>
      </c>
      <c r="I10" s="57" t="s">
        <v>10</v>
      </c>
      <c r="J10" s="370" t="s">
        <v>1384</v>
      </c>
      <c r="K10" s="599">
        <v>208.56</v>
      </c>
    </row>
    <row r="11" spans="1:15">
      <c r="A11" s="560">
        <v>21</v>
      </c>
      <c r="B11" s="561" t="s">
        <v>11</v>
      </c>
      <c r="C11" s="562">
        <v>1200393</v>
      </c>
      <c r="D11" s="563">
        <v>45845</v>
      </c>
      <c r="E11" s="561">
        <v>8858.51</v>
      </c>
      <c r="F11" s="619"/>
      <c r="G11" s="601" t="s">
        <v>10</v>
      </c>
      <c r="I11" s="57" t="s">
        <v>10</v>
      </c>
      <c r="J11" s="533">
        <v>174890</v>
      </c>
      <c r="K11" s="750">
        <v>175559.32</v>
      </c>
    </row>
    <row r="12" spans="1:15">
      <c r="A12" s="560">
        <v>22</v>
      </c>
      <c r="B12" s="561" t="s">
        <v>11</v>
      </c>
      <c r="C12" s="562">
        <v>1040211</v>
      </c>
      <c r="D12" s="563">
        <v>45845</v>
      </c>
      <c r="E12" s="561">
        <v>45796.44</v>
      </c>
      <c r="F12" s="619"/>
      <c r="G12" s="601" t="s">
        <v>10</v>
      </c>
      <c r="I12" s="57" t="s">
        <v>10</v>
      </c>
      <c r="J12" s="845">
        <v>174893</v>
      </c>
      <c r="K12" s="846">
        <v>119358.91</v>
      </c>
    </row>
    <row r="13" spans="1:15">
      <c r="A13" s="565">
        <v>23</v>
      </c>
      <c r="B13" s="566" t="s">
        <v>11</v>
      </c>
      <c r="C13" s="567">
        <v>1040211</v>
      </c>
      <c r="D13" s="568">
        <v>45845</v>
      </c>
      <c r="E13" s="566">
        <v>4716.25</v>
      </c>
      <c r="F13" s="620"/>
      <c r="G13" s="602" t="s">
        <v>10</v>
      </c>
      <c r="I13" s="57" t="s">
        <v>10</v>
      </c>
      <c r="J13" s="847">
        <v>174894</v>
      </c>
      <c r="K13" s="848">
        <v>41753.79</v>
      </c>
    </row>
    <row r="14" spans="1:15">
      <c r="A14" s="565">
        <v>24</v>
      </c>
      <c r="B14" s="566" t="s">
        <v>11</v>
      </c>
      <c r="C14" s="567">
        <v>1200393</v>
      </c>
      <c r="D14" s="568">
        <v>45845</v>
      </c>
      <c r="E14" s="566">
        <v>8587.02</v>
      </c>
      <c r="F14" s="620"/>
      <c r="G14" s="602" t="s">
        <v>10</v>
      </c>
    </row>
    <row r="15" spans="1:15">
      <c r="A15" s="555">
        <v>25</v>
      </c>
      <c r="B15" s="556" t="s">
        <v>11</v>
      </c>
      <c r="C15" s="557">
        <v>1040211</v>
      </c>
      <c r="D15" s="558">
        <v>45845</v>
      </c>
      <c r="E15" s="556">
        <v>824473.9</v>
      </c>
      <c r="F15" s="621"/>
      <c r="G15" s="603" t="s">
        <v>10</v>
      </c>
    </row>
    <row r="16" spans="1:15" ht="14.4">
      <c r="A16" s="555">
        <v>26</v>
      </c>
      <c r="B16" s="556" t="s">
        <v>11</v>
      </c>
      <c r="C16" s="557">
        <v>1200393</v>
      </c>
      <c r="D16" s="558">
        <v>45845</v>
      </c>
      <c r="E16" s="556">
        <v>47620.25</v>
      </c>
      <c r="F16" s="621"/>
      <c r="G16" s="603" t="s">
        <v>10</v>
      </c>
      <c r="J16" s="164" t="s">
        <v>473</v>
      </c>
      <c r="K16" s="164" t="s">
        <v>474</v>
      </c>
      <c r="L16" s="164" t="s">
        <v>6</v>
      </c>
      <c r="M16" s="164" t="s">
        <v>14</v>
      </c>
      <c r="N16" s="41"/>
    </row>
    <row r="17" spans="1:14" ht="14.4">
      <c r="A17" s="613">
        <v>27</v>
      </c>
      <c r="B17" s="614" t="s">
        <v>11</v>
      </c>
      <c r="C17" s="615">
        <v>1040221</v>
      </c>
      <c r="D17" s="616">
        <v>45845</v>
      </c>
      <c r="E17" s="614">
        <v>814825.49</v>
      </c>
      <c r="F17" s="622"/>
      <c r="G17" s="617" t="s">
        <v>10</v>
      </c>
      <c r="H17" s="57" t="s">
        <v>1403</v>
      </c>
      <c r="J17" s="165" t="s">
        <v>1371</v>
      </c>
      <c r="K17" s="166" t="s">
        <v>1370</v>
      </c>
      <c r="L17" s="167">
        <v>154</v>
      </c>
      <c r="M17" s="168" t="s">
        <v>10</v>
      </c>
    </row>
    <row r="18" spans="1:14" ht="14.4">
      <c r="A18" s="854">
        <v>29</v>
      </c>
      <c r="B18" s="855" t="s">
        <v>11</v>
      </c>
      <c r="C18" s="856">
        <v>1040375</v>
      </c>
      <c r="D18" s="857">
        <v>45845</v>
      </c>
      <c r="E18" s="855">
        <v>119358.91</v>
      </c>
      <c r="F18" s="858"/>
      <c r="G18" s="859" t="s">
        <v>10</v>
      </c>
      <c r="H18" s="57" t="s">
        <v>1366</v>
      </c>
      <c r="J18" s="165" t="s">
        <v>15</v>
      </c>
      <c r="K18" s="166" t="s">
        <v>1370</v>
      </c>
      <c r="L18" s="167">
        <v>9207.2000000000007</v>
      </c>
      <c r="M18" s="168" t="s">
        <v>10</v>
      </c>
    </row>
    <row r="19" spans="1:14" ht="14.4">
      <c r="A19" s="860">
        <v>31</v>
      </c>
      <c r="B19" s="861" t="s">
        <v>11</v>
      </c>
      <c r="C19" s="862">
        <v>1040375</v>
      </c>
      <c r="D19" s="863">
        <v>45845</v>
      </c>
      <c r="E19" s="861">
        <v>41753.79</v>
      </c>
      <c r="F19" s="864"/>
      <c r="G19" s="865" t="s">
        <v>10</v>
      </c>
      <c r="H19" s="57" t="s">
        <v>1366</v>
      </c>
      <c r="J19" s="165" t="s">
        <v>17</v>
      </c>
      <c r="K19" s="166" t="s">
        <v>1370</v>
      </c>
      <c r="L19" s="167">
        <v>563351.78</v>
      </c>
      <c r="M19" s="168" t="s">
        <v>10</v>
      </c>
    </row>
    <row r="20" spans="1:14" ht="14.4">
      <c r="A20" s="637">
        <v>32</v>
      </c>
      <c r="B20" s="638" t="s">
        <v>11</v>
      </c>
      <c r="C20" s="639">
        <v>1040375</v>
      </c>
      <c r="D20" s="640">
        <v>45845</v>
      </c>
      <c r="E20" s="852">
        <v>175559.32</v>
      </c>
      <c r="F20" s="203"/>
      <c r="G20" s="641" t="s">
        <v>10</v>
      </c>
      <c r="H20" s="57" t="s">
        <v>1366</v>
      </c>
      <c r="I20" s="652"/>
      <c r="J20" s="169" t="s">
        <v>1372</v>
      </c>
      <c r="K20" s="170" t="s">
        <v>18</v>
      </c>
      <c r="L20" s="171">
        <v>11778.92</v>
      </c>
      <c r="M20" s="172" t="s">
        <v>10</v>
      </c>
    </row>
    <row r="21" spans="1:14" ht="14.4">
      <c r="A21" s="570">
        <v>33</v>
      </c>
      <c r="B21" s="571" t="s">
        <v>11</v>
      </c>
      <c r="C21" s="572">
        <v>1040375</v>
      </c>
      <c r="D21" s="573">
        <v>45845</v>
      </c>
      <c r="E21" s="574">
        <v>128132.93</v>
      </c>
      <c r="F21" s="624"/>
      <c r="G21" s="604" t="s">
        <v>10</v>
      </c>
      <c r="J21" s="173" t="s">
        <v>19</v>
      </c>
      <c r="K21" s="174" t="s">
        <v>20</v>
      </c>
      <c r="L21" s="175">
        <v>0</v>
      </c>
      <c r="M21" s="174" t="s">
        <v>476</v>
      </c>
      <c r="N21" s="42"/>
    </row>
    <row r="22" spans="1:14" ht="14.4">
      <c r="A22" s="570">
        <v>34</v>
      </c>
      <c r="B22" s="571" t="s">
        <v>11</v>
      </c>
      <c r="C22" s="572">
        <v>1040375</v>
      </c>
      <c r="D22" s="573">
        <v>45845</v>
      </c>
      <c r="E22" s="574">
        <v>189947.84</v>
      </c>
      <c r="F22" s="624"/>
      <c r="G22" s="604" t="s">
        <v>10</v>
      </c>
      <c r="J22" s="176" t="s">
        <v>21</v>
      </c>
      <c r="K22" s="177" t="s">
        <v>20</v>
      </c>
      <c r="L22" s="178">
        <v>0</v>
      </c>
      <c r="M22" s="179" t="s">
        <v>478</v>
      </c>
      <c r="N22" s="42" t="s">
        <v>22</v>
      </c>
    </row>
    <row r="23" spans="1:14" ht="14.4">
      <c r="A23" s="576">
        <v>41</v>
      </c>
      <c r="B23" s="577" t="s">
        <v>11</v>
      </c>
      <c r="C23" s="578">
        <v>1040109</v>
      </c>
      <c r="D23" s="579">
        <v>45845</v>
      </c>
      <c r="E23" s="580">
        <v>129.59</v>
      </c>
      <c r="F23" s="625"/>
      <c r="G23" s="605" t="s">
        <v>10</v>
      </c>
      <c r="J23" s="176" t="s">
        <v>23</v>
      </c>
      <c r="K23" s="177" t="s">
        <v>20</v>
      </c>
      <c r="L23" s="178">
        <v>97761.5</v>
      </c>
      <c r="M23" s="179" t="s">
        <v>10</v>
      </c>
      <c r="N23" s="250" t="s">
        <v>1389</v>
      </c>
    </row>
    <row r="24" spans="1:14" ht="14.4">
      <c r="A24" s="576">
        <v>43</v>
      </c>
      <c r="B24" s="577" t="s">
        <v>11</v>
      </c>
      <c r="C24" s="578">
        <v>1040109</v>
      </c>
      <c r="D24" s="579">
        <v>45845</v>
      </c>
      <c r="E24" s="580">
        <v>340.3</v>
      </c>
      <c r="F24" s="626"/>
      <c r="G24" s="606" t="s">
        <v>10</v>
      </c>
      <c r="J24" s="176" t="s">
        <v>24</v>
      </c>
      <c r="K24" s="177" t="s">
        <v>20</v>
      </c>
      <c r="L24" s="178">
        <v>18174.8</v>
      </c>
      <c r="M24" s="179" t="s">
        <v>10</v>
      </c>
      <c r="N24" s="42" t="s">
        <v>25</v>
      </c>
    </row>
    <row r="25" spans="1:14" ht="14.4">
      <c r="A25" s="582">
        <v>50</v>
      </c>
      <c r="B25" s="583" t="s">
        <v>11</v>
      </c>
      <c r="C25" s="584">
        <v>1040375</v>
      </c>
      <c r="D25" s="585">
        <v>45845</v>
      </c>
      <c r="E25" s="586">
        <v>254413.85</v>
      </c>
      <c r="F25" s="627"/>
      <c r="G25" s="607" t="s">
        <v>10</v>
      </c>
      <c r="J25" s="176" t="s">
        <v>26</v>
      </c>
      <c r="K25" s="177" t="s">
        <v>20</v>
      </c>
      <c r="L25" s="178">
        <v>27326.05</v>
      </c>
      <c r="M25" s="179" t="s">
        <v>10</v>
      </c>
      <c r="N25" s="42" t="s">
        <v>27</v>
      </c>
    </row>
    <row r="26" spans="1:14" ht="14.4">
      <c r="A26" s="582">
        <v>51</v>
      </c>
      <c r="B26" s="583" t="s">
        <v>11</v>
      </c>
      <c r="C26" s="584">
        <v>1040375</v>
      </c>
      <c r="D26" s="585">
        <v>45845</v>
      </c>
      <c r="E26" s="586">
        <v>127206.93</v>
      </c>
      <c r="F26" s="627"/>
      <c r="G26" s="608" t="s">
        <v>10</v>
      </c>
      <c r="J26" s="173" t="s">
        <v>28</v>
      </c>
      <c r="K26" s="174" t="s">
        <v>20</v>
      </c>
      <c r="L26" s="175">
        <v>0</v>
      </c>
      <c r="M26" s="174" t="s">
        <v>480</v>
      </c>
      <c r="N26" s="42" t="s">
        <v>1390</v>
      </c>
    </row>
    <row r="27" spans="1:14" ht="14.4">
      <c r="A27" s="588">
        <v>55</v>
      </c>
      <c r="B27" s="589" t="s">
        <v>11</v>
      </c>
      <c r="C27" s="590">
        <v>1040375</v>
      </c>
      <c r="D27" s="591">
        <v>45845</v>
      </c>
      <c r="E27" s="592">
        <v>248.82</v>
      </c>
      <c r="F27" s="628"/>
      <c r="G27" s="609" t="s">
        <v>10</v>
      </c>
      <c r="J27" s="180" t="s">
        <v>29</v>
      </c>
      <c r="K27" s="181" t="s">
        <v>20</v>
      </c>
      <c r="L27" s="182">
        <v>81501.079148414297</v>
      </c>
      <c r="M27" s="183" t="s">
        <v>10</v>
      </c>
      <c r="N27" s="250" t="s">
        <v>1391</v>
      </c>
    </row>
    <row r="28" spans="1:14" ht="14.4">
      <c r="A28" s="588">
        <v>56</v>
      </c>
      <c r="B28" s="589" t="s">
        <v>11</v>
      </c>
      <c r="C28" s="590">
        <v>1040375</v>
      </c>
      <c r="D28" s="591">
        <v>45845</v>
      </c>
      <c r="E28" s="592">
        <v>100.4</v>
      </c>
      <c r="F28" s="628"/>
      <c r="G28" s="417" t="s">
        <v>10</v>
      </c>
      <c r="J28" s="184" t="s">
        <v>30</v>
      </c>
      <c r="K28" s="185" t="s">
        <v>18</v>
      </c>
      <c r="L28" s="186">
        <v>5570.16</v>
      </c>
      <c r="M28" s="185" t="s">
        <v>10</v>
      </c>
    </row>
    <row r="29" spans="1:14" ht="14.4">
      <c r="A29" s="594">
        <v>57</v>
      </c>
      <c r="B29" s="595" t="s">
        <v>11</v>
      </c>
      <c r="C29" s="596">
        <v>1040375</v>
      </c>
      <c r="D29" s="597">
        <v>45845</v>
      </c>
      <c r="E29" s="598">
        <v>17.170000000000002</v>
      </c>
      <c r="F29" s="629"/>
      <c r="G29" s="610" t="s">
        <v>10</v>
      </c>
      <c r="J29" s="187" t="s">
        <v>482</v>
      </c>
      <c r="K29" s="187"/>
      <c r="L29" s="188">
        <f>SUM(L17:L28)</f>
        <v>814825.48914841446</v>
      </c>
      <c r="M29" s="189"/>
      <c r="N29" s="41"/>
    </row>
    <row r="30" spans="1:14" ht="14.4">
      <c r="A30" s="594">
        <v>58</v>
      </c>
      <c r="B30" s="595" t="s">
        <v>11</v>
      </c>
      <c r="C30" s="596">
        <v>1040375</v>
      </c>
      <c r="D30" s="597">
        <v>45845</v>
      </c>
      <c r="E30" s="598">
        <v>179.26</v>
      </c>
      <c r="F30" s="629"/>
      <c r="G30" s="611" t="s">
        <v>10</v>
      </c>
      <c r="J30" s="41"/>
      <c r="K30" s="41"/>
      <c r="L30" s="93">
        <f>SUMIF(M17:M28,"OK",L17:L28)</f>
        <v>814825.48914841446</v>
      </c>
      <c r="M30" s="40" t="s">
        <v>31</v>
      </c>
      <c r="N30" s="41"/>
    </row>
    <row r="31" spans="1:14" ht="14.4">
      <c r="A31" s="594">
        <v>59</v>
      </c>
      <c r="B31" s="595" t="s">
        <v>11</v>
      </c>
      <c r="C31" s="596">
        <v>1040375</v>
      </c>
      <c r="D31" s="597">
        <v>45845</v>
      </c>
      <c r="E31" s="598">
        <v>12.13</v>
      </c>
      <c r="F31" s="629"/>
      <c r="G31" s="611" t="s">
        <v>10</v>
      </c>
      <c r="J31" s="10"/>
      <c r="K31" s="8"/>
      <c r="L31" s="193">
        <f>L29-L30</f>
        <v>0</v>
      </c>
      <c r="M31" s="71" t="s">
        <v>483</v>
      </c>
    </row>
    <row r="32" spans="1:14" ht="14.4">
      <c r="A32" s="548">
        <v>60</v>
      </c>
      <c r="B32" s="218" t="s">
        <v>11</v>
      </c>
      <c r="C32" s="277">
        <v>1040124</v>
      </c>
      <c r="D32" s="549">
        <v>45845</v>
      </c>
      <c r="E32" s="220">
        <v>6.1</v>
      </c>
      <c r="F32" s="623" t="s">
        <v>1367</v>
      </c>
      <c r="G32" s="612" t="s">
        <v>10</v>
      </c>
      <c r="J32" s="42"/>
      <c r="K32" s="279"/>
      <c r="L32" s="280"/>
      <c r="M32" s="280"/>
      <c r="N32" s="250"/>
    </row>
    <row r="33" spans="1:15" ht="14.4">
      <c r="A33" s="637">
        <v>75</v>
      </c>
      <c r="B33" s="638" t="s">
        <v>12</v>
      </c>
      <c r="C33" s="639">
        <v>1040500</v>
      </c>
      <c r="D33" s="640">
        <v>45845</v>
      </c>
      <c r="E33" s="638">
        <v>82894.48</v>
      </c>
      <c r="F33" s="203"/>
      <c r="G33" s="641" t="s">
        <v>10</v>
      </c>
      <c r="H33" s="57" t="s">
        <v>1385</v>
      </c>
      <c r="J33" s="42"/>
      <c r="K33" s="279"/>
      <c r="L33" s="280"/>
      <c r="M33" s="280"/>
      <c r="N33" s="42"/>
    </row>
    <row r="34" spans="1:15" ht="14.4">
      <c r="A34" s="637">
        <v>76</v>
      </c>
      <c r="B34" s="638" t="s">
        <v>12</v>
      </c>
      <c r="C34" s="639">
        <v>1040500</v>
      </c>
      <c r="D34" s="640">
        <v>45845</v>
      </c>
      <c r="E34" s="638">
        <v>86829.33</v>
      </c>
      <c r="F34" s="203"/>
      <c r="G34" s="641" t="s">
        <v>10</v>
      </c>
      <c r="H34" s="57" t="s">
        <v>1385</v>
      </c>
      <c r="J34" s="42"/>
      <c r="K34" s="279"/>
      <c r="L34" s="281"/>
      <c r="M34" s="281"/>
      <c r="N34" s="250"/>
    </row>
    <row r="35" spans="1:15" ht="14.4">
      <c r="A35" s="637">
        <v>77</v>
      </c>
      <c r="B35" s="638" t="s">
        <v>12</v>
      </c>
      <c r="C35" s="639">
        <v>1040500</v>
      </c>
      <c r="D35" s="642">
        <v>45845</v>
      </c>
      <c r="E35" s="638">
        <v>81848.639999999999</v>
      </c>
      <c r="F35" s="643"/>
      <c r="G35" s="641" t="s">
        <v>10</v>
      </c>
      <c r="H35" s="57" t="s">
        <v>1385</v>
      </c>
      <c r="J35" s="42"/>
      <c r="K35" s="279"/>
      <c r="L35" s="282"/>
      <c r="M35" s="282"/>
      <c r="N35" s="42"/>
    </row>
    <row r="36" spans="1:15" ht="14.4">
      <c r="A36" s="637">
        <v>78</v>
      </c>
      <c r="B36" s="638" t="s">
        <v>12</v>
      </c>
      <c r="C36" s="639">
        <v>1040500</v>
      </c>
      <c r="D36" s="642">
        <v>45845</v>
      </c>
      <c r="E36" s="638">
        <v>78431.839999999997</v>
      </c>
      <c r="F36" s="643"/>
      <c r="G36" s="641" t="s">
        <v>10</v>
      </c>
      <c r="H36" s="57" t="s">
        <v>1385</v>
      </c>
      <c r="J36" s="636"/>
      <c r="K36"/>
      <c r="L36" s="283"/>
      <c r="M36" s="284"/>
    </row>
    <row r="37" spans="1:15" ht="14.4">
      <c r="A37" s="637">
        <v>79</v>
      </c>
      <c r="B37" s="638" t="s">
        <v>12</v>
      </c>
      <c r="C37" s="639">
        <v>1040500</v>
      </c>
      <c r="D37" s="642">
        <v>45845</v>
      </c>
      <c r="E37" s="638">
        <v>95895.93</v>
      </c>
      <c r="F37" s="643"/>
      <c r="G37" s="641" t="s">
        <v>10</v>
      </c>
      <c r="H37" s="57" t="s">
        <v>1385</v>
      </c>
      <c r="J37" s="41"/>
      <c r="K37"/>
      <c r="L37" s="285"/>
      <c r="M37" s="285"/>
      <c r="O37" s="64"/>
    </row>
    <row r="38" spans="1:15">
      <c r="A38" s="637">
        <v>80</v>
      </c>
      <c r="B38" s="638" t="s">
        <v>12</v>
      </c>
      <c r="C38" s="639">
        <v>1040500</v>
      </c>
      <c r="D38" s="642">
        <v>45845</v>
      </c>
      <c r="E38" s="638">
        <v>37347.85</v>
      </c>
      <c r="F38" s="643"/>
      <c r="G38" s="644" t="s">
        <v>10</v>
      </c>
      <c r="H38" s="57" t="s">
        <v>1385</v>
      </c>
      <c r="K38"/>
      <c r="O38" s="64"/>
    </row>
    <row r="39" spans="1:15">
      <c r="A39" s="637">
        <v>81</v>
      </c>
      <c r="B39" s="638" t="s">
        <v>12</v>
      </c>
      <c r="C39" s="639">
        <v>1040500</v>
      </c>
      <c r="D39" s="642">
        <v>45845</v>
      </c>
      <c r="E39" s="638">
        <v>36275.800000000003</v>
      </c>
      <c r="F39" s="76"/>
      <c r="G39" s="641" t="s">
        <v>10</v>
      </c>
      <c r="H39" s="57" t="s">
        <v>1385</v>
      </c>
    </row>
    <row r="40" spans="1:15">
      <c r="A40" s="637">
        <v>82</v>
      </c>
      <c r="B40" s="638" t="s">
        <v>12</v>
      </c>
      <c r="C40" s="639">
        <v>1040500</v>
      </c>
      <c r="D40" s="642">
        <v>45845</v>
      </c>
      <c r="E40" s="638">
        <v>33579.24</v>
      </c>
      <c r="F40" s="76"/>
      <c r="G40" s="641" t="s">
        <v>10</v>
      </c>
      <c r="H40" s="57" t="s">
        <v>1385</v>
      </c>
    </row>
    <row r="41" spans="1:15">
      <c r="A41" s="637">
        <v>83</v>
      </c>
      <c r="B41" s="638" t="s">
        <v>12</v>
      </c>
      <c r="C41" s="639">
        <v>1040500</v>
      </c>
      <c r="D41" s="642">
        <v>45845</v>
      </c>
      <c r="E41" s="638">
        <v>63909.89</v>
      </c>
      <c r="F41" s="76"/>
      <c r="G41" s="645" t="s">
        <v>10</v>
      </c>
      <c r="H41" s="57" t="s">
        <v>1385</v>
      </c>
    </row>
    <row r="42" spans="1:15">
      <c r="A42" s="637">
        <v>84</v>
      </c>
      <c r="B42" s="638" t="s">
        <v>12</v>
      </c>
      <c r="C42" s="639">
        <v>1040500</v>
      </c>
      <c r="D42" s="642">
        <v>45845</v>
      </c>
      <c r="E42" s="638">
        <v>68522.13</v>
      </c>
      <c r="F42" s="76"/>
      <c r="G42" s="645" t="s">
        <v>10</v>
      </c>
      <c r="H42" s="57" t="s">
        <v>1385</v>
      </c>
    </row>
    <row r="43" spans="1:15">
      <c r="A43" s="637">
        <v>85</v>
      </c>
      <c r="B43" s="638" t="s">
        <v>12</v>
      </c>
      <c r="C43" s="639">
        <v>1040500</v>
      </c>
      <c r="D43" s="642">
        <v>45845</v>
      </c>
      <c r="E43" s="638">
        <v>62770.31</v>
      </c>
      <c r="F43" s="76"/>
      <c r="G43" s="645" t="s">
        <v>10</v>
      </c>
      <c r="H43" s="57" t="s">
        <v>1385</v>
      </c>
    </row>
    <row r="44" spans="1:15">
      <c r="A44" s="637">
        <v>86</v>
      </c>
      <c r="B44" s="638" t="s">
        <v>12</v>
      </c>
      <c r="C44" s="639">
        <v>1040500</v>
      </c>
      <c r="D44" s="642">
        <v>45845</v>
      </c>
      <c r="E44" s="638">
        <v>36652.639999999999</v>
      </c>
      <c r="F44" s="76"/>
      <c r="G44" s="641" t="s">
        <v>10</v>
      </c>
      <c r="H44" s="57" t="s">
        <v>1385</v>
      </c>
    </row>
    <row r="45" spans="1:15">
      <c r="A45" s="637">
        <v>87</v>
      </c>
      <c r="B45" s="638" t="s">
        <v>12</v>
      </c>
      <c r="C45" s="639">
        <v>1040500</v>
      </c>
      <c r="D45" s="642">
        <v>45845</v>
      </c>
      <c r="E45" s="638">
        <v>71765.210000000006</v>
      </c>
      <c r="F45" s="76"/>
      <c r="G45" s="641" t="s">
        <v>10</v>
      </c>
      <c r="H45" s="57" t="s">
        <v>1385</v>
      </c>
    </row>
    <row r="46" spans="1:15">
      <c r="A46" s="637">
        <v>88</v>
      </c>
      <c r="B46" s="638" t="s">
        <v>12</v>
      </c>
      <c r="C46" s="639">
        <v>1040500</v>
      </c>
      <c r="D46" s="642">
        <v>45845</v>
      </c>
      <c r="E46" s="638">
        <v>84411.24</v>
      </c>
      <c r="F46" s="76"/>
      <c r="G46" s="641" t="s">
        <v>10</v>
      </c>
      <c r="H46" s="57" t="s">
        <v>1385</v>
      </c>
    </row>
    <row r="47" spans="1:15">
      <c r="A47" s="637">
        <v>89</v>
      </c>
      <c r="B47" s="638" t="s">
        <v>12</v>
      </c>
      <c r="C47" s="639">
        <v>1040500</v>
      </c>
      <c r="D47" s="642">
        <v>45845</v>
      </c>
      <c r="E47" s="638">
        <v>37825.519999999997</v>
      </c>
      <c r="F47" s="76"/>
      <c r="G47" s="641" t="s">
        <v>10</v>
      </c>
      <c r="H47" s="57" t="s">
        <v>1385</v>
      </c>
    </row>
    <row r="48" spans="1:15">
      <c r="A48" s="637">
        <v>90</v>
      </c>
      <c r="B48" s="638" t="s">
        <v>12</v>
      </c>
      <c r="C48" s="639">
        <v>1040500</v>
      </c>
      <c r="D48" s="642">
        <v>45845</v>
      </c>
      <c r="E48" s="638">
        <v>62770.31</v>
      </c>
      <c r="F48" s="76"/>
      <c r="G48" s="641" t="s">
        <v>10</v>
      </c>
      <c r="H48" s="57" t="s">
        <v>1385</v>
      </c>
    </row>
    <row r="49" spans="1:8">
      <c r="A49" s="637">
        <v>91</v>
      </c>
      <c r="B49" s="638" t="s">
        <v>12</v>
      </c>
      <c r="C49" s="639">
        <v>1040500</v>
      </c>
      <c r="D49" s="642">
        <v>45845</v>
      </c>
      <c r="E49" s="638">
        <v>72619.08</v>
      </c>
      <c r="F49" s="76"/>
      <c r="G49" s="641" t="s">
        <v>10</v>
      </c>
      <c r="H49" s="57" t="s">
        <v>1385</v>
      </c>
    </row>
    <row r="50" spans="1:8">
      <c r="A50" s="637">
        <v>92</v>
      </c>
      <c r="B50" s="638" t="s">
        <v>12</v>
      </c>
      <c r="C50" s="639">
        <v>1040500</v>
      </c>
      <c r="D50" s="642">
        <v>45845</v>
      </c>
      <c r="E50" s="638">
        <v>36041.120000000003</v>
      </c>
      <c r="F50" s="76"/>
      <c r="G50" s="641" t="s">
        <v>10</v>
      </c>
      <c r="H50" s="57" t="s">
        <v>1385</v>
      </c>
    </row>
    <row r="51" spans="1:8">
      <c r="A51" s="637">
        <v>93</v>
      </c>
      <c r="B51" s="638" t="s">
        <v>12</v>
      </c>
      <c r="C51" s="639">
        <v>1040500</v>
      </c>
      <c r="D51" s="642">
        <v>45845</v>
      </c>
      <c r="E51" s="638">
        <v>34157.65</v>
      </c>
      <c r="F51" s="76"/>
      <c r="G51" s="641" t="s">
        <v>10</v>
      </c>
      <c r="H51" s="57" t="s">
        <v>1385</v>
      </c>
    </row>
    <row r="52" spans="1:8">
      <c r="A52" s="637">
        <v>94</v>
      </c>
      <c r="B52" s="638" t="s">
        <v>12</v>
      </c>
      <c r="C52" s="639">
        <v>1040500</v>
      </c>
      <c r="D52" s="642">
        <v>45845</v>
      </c>
      <c r="E52" s="638">
        <v>39321.050000000003</v>
      </c>
      <c r="F52" s="76"/>
      <c r="G52" s="641" t="s">
        <v>10</v>
      </c>
      <c r="H52" s="57" t="s">
        <v>1385</v>
      </c>
    </row>
    <row r="53" spans="1:8">
      <c r="A53" s="637">
        <v>95</v>
      </c>
      <c r="B53" s="638" t="s">
        <v>12</v>
      </c>
      <c r="C53" s="639">
        <v>1040500</v>
      </c>
      <c r="D53" s="642">
        <v>45845</v>
      </c>
      <c r="E53" s="638">
        <v>60210.81</v>
      </c>
      <c r="F53" s="76"/>
      <c r="G53" s="641" t="s">
        <v>10</v>
      </c>
      <c r="H53" s="57" t="s">
        <v>1385</v>
      </c>
    </row>
    <row r="54" spans="1:8">
      <c r="A54" s="637">
        <v>96</v>
      </c>
      <c r="B54" s="638" t="s">
        <v>12</v>
      </c>
      <c r="C54" s="639">
        <v>1040500</v>
      </c>
      <c r="D54" s="642">
        <v>45845</v>
      </c>
      <c r="E54" s="638">
        <v>60764.88</v>
      </c>
      <c r="F54" s="76"/>
      <c r="G54" s="641" t="s">
        <v>10</v>
      </c>
      <c r="H54" s="57" t="s">
        <v>1385</v>
      </c>
    </row>
    <row r="55" spans="1:8">
      <c r="A55" s="637">
        <v>97</v>
      </c>
      <c r="B55" s="638" t="s">
        <v>12</v>
      </c>
      <c r="C55" s="639">
        <v>1040500</v>
      </c>
      <c r="D55" s="642">
        <v>45845</v>
      </c>
      <c r="E55" s="638">
        <v>70966.66</v>
      </c>
      <c r="F55" s="76"/>
      <c r="G55" s="641" t="s">
        <v>10</v>
      </c>
      <c r="H55" s="57" t="s">
        <v>1385</v>
      </c>
    </row>
    <row r="56" spans="1:8">
      <c r="A56" s="637">
        <v>98</v>
      </c>
      <c r="B56" s="638" t="s">
        <v>12</v>
      </c>
      <c r="C56" s="639">
        <v>1040500</v>
      </c>
      <c r="D56" s="642">
        <v>45845</v>
      </c>
      <c r="E56" s="638">
        <v>61490.55</v>
      </c>
      <c r="F56" s="76"/>
      <c r="G56" s="641" t="s">
        <v>10</v>
      </c>
      <c r="H56" s="57" t="s">
        <v>1385</v>
      </c>
    </row>
    <row r="57" spans="1:8">
      <c r="A57" s="637">
        <v>99</v>
      </c>
      <c r="B57" s="638" t="s">
        <v>12</v>
      </c>
      <c r="C57" s="639">
        <v>1040500</v>
      </c>
      <c r="D57" s="642">
        <v>45845</v>
      </c>
      <c r="E57" s="638">
        <v>35746.080000000002</v>
      </c>
      <c r="F57" s="76"/>
      <c r="G57" s="641" t="s">
        <v>10</v>
      </c>
      <c r="H57" s="57" t="s">
        <v>1385</v>
      </c>
    </row>
    <row r="58" spans="1:8">
      <c r="A58" s="637">
        <v>100</v>
      </c>
      <c r="B58" s="638" t="s">
        <v>12</v>
      </c>
      <c r="C58" s="639">
        <v>1040500</v>
      </c>
      <c r="D58" s="642">
        <v>45845</v>
      </c>
      <c r="E58" s="638">
        <v>85692.54</v>
      </c>
      <c r="F58" s="76"/>
      <c r="G58" s="641" t="s">
        <v>10</v>
      </c>
      <c r="H58" s="57" t="s">
        <v>1385</v>
      </c>
    </row>
    <row r="59" spans="1:8">
      <c r="A59" s="637">
        <v>101</v>
      </c>
      <c r="B59" s="638" t="s">
        <v>12</v>
      </c>
      <c r="C59" s="639">
        <v>1040500</v>
      </c>
      <c r="D59" s="642">
        <v>45845</v>
      </c>
      <c r="E59" s="638">
        <v>47389.61</v>
      </c>
      <c r="F59" s="76"/>
      <c r="G59" s="641" t="s">
        <v>10</v>
      </c>
      <c r="H59" s="57" t="s">
        <v>1385</v>
      </c>
    </row>
    <row r="60" spans="1:8">
      <c r="A60" s="637">
        <v>102</v>
      </c>
      <c r="B60" s="638" t="s">
        <v>12</v>
      </c>
      <c r="C60" s="639">
        <v>1040500</v>
      </c>
      <c r="D60" s="642">
        <v>45845</v>
      </c>
      <c r="E60" s="638">
        <v>61650.54</v>
      </c>
      <c r="F60" s="76"/>
      <c r="G60" s="641" t="s">
        <v>10</v>
      </c>
      <c r="H60" s="57" t="s">
        <v>1385</v>
      </c>
    </row>
    <row r="61" spans="1:8">
      <c r="A61" s="637">
        <v>103</v>
      </c>
      <c r="B61" s="638" t="s">
        <v>12</v>
      </c>
      <c r="C61" s="639">
        <v>1040500</v>
      </c>
      <c r="D61" s="642">
        <v>45845</v>
      </c>
      <c r="E61" s="638">
        <v>36275.800000000003</v>
      </c>
      <c r="F61" s="76"/>
      <c r="G61" s="641" t="s">
        <v>10</v>
      </c>
      <c r="H61" s="57" t="s">
        <v>1385</v>
      </c>
    </row>
    <row r="62" spans="1:8">
      <c r="A62" s="637">
        <v>104</v>
      </c>
      <c r="B62" s="638" t="s">
        <v>12</v>
      </c>
      <c r="C62" s="639">
        <v>1040500</v>
      </c>
      <c r="D62" s="642">
        <v>45845</v>
      </c>
      <c r="E62" s="638">
        <v>61170.61</v>
      </c>
      <c r="F62" s="76"/>
      <c r="G62" s="641" t="s">
        <v>10</v>
      </c>
      <c r="H62" s="57" t="s">
        <v>1385</v>
      </c>
    </row>
    <row r="63" spans="1:8">
      <c r="A63" s="637">
        <v>105</v>
      </c>
      <c r="B63" s="638" t="s">
        <v>12</v>
      </c>
      <c r="C63" s="639">
        <v>1040500</v>
      </c>
      <c r="D63" s="642">
        <v>45845</v>
      </c>
      <c r="E63" s="638">
        <v>38161.47</v>
      </c>
      <c r="F63" s="76"/>
      <c r="G63" s="641" t="s">
        <v>10</v>
      </c>
      <c r="H63" s="57" t="s">
        <v>1385</v>
      </c>
    </row>
    <row r="64" spans="1:8">
      <c r="A64" s="637">
        <v>106</v>
      </c>
      <c r="B64" s="638" t="s">
        <v>12</v>
      </c>
      <c r="C64" s="639">
        <v>1040500</v>
      </c>
      <c r="D64" s="642">
        <v>45845</v>
      </c>
      <c r="E64" s="638">
        <v>59045.47</v>
      </c>
      <c r="F64" s="76"/>
      <c r="G64" s="641" t="s">
        <v>10</v>
      </c>
      <c r="H64" s="57" t="s">
        <v>1385</v>
      </c>
    </row>
    <row r="65" spans="1:8">
      <c r="A65" s="637">
        <v>107</v>
      </c>
      <c r="B65" s="638" t="s">
        <v>12</v>
      </c>
      <c r="C65" s="639">
        <v>1040500</v>
      </c>
      <c r="D65" s="642">
        <v>45845</v>
      </c>
      <c r="E65" s="638">
        <v>59631.27</v>
      </c>
      <c r="F65" s="76"/>
      <c r="G65" s="641" t="s">
        <v>10</v>
      </c>
      <c r="H65" s="57" t="s">
        <v>1385</v>
      </c>
    </row>
    <row r="66" spans="1:8">
      <c r="A66" s="637">
        <v>108</v>
      </c>
      <c r="B66" s="638" t="s">
        <v>12</v>
      </c>
      <c r="C66" s="639">
        <v>1040500</v>
      </c>
      <c r="D66" s="642">
        <v>45845</v>
      </c>
      <c r="E66" s="638">
        <v>36464.22</v>
      </c>
      <c r="F66" s="76"/>
      <c r="G66" s="641" t="s">
        <v>10</v>
      </c>
      <c r="H66" s="57" t="s">
        <v>1385</v>
      </c>
    </row>
    <row r="67" spans="1:8">
      <c r="A67" s="637">
        <v>109</v>
      </c>
      <c r="B67" s="638" t="s">
        <v>12</v>
      </c>
      <c r="C67" s="639">
        <v>1040500</v>
      </c>
      <c r="D67" s="642">
        <v>45845</v>
      </c>
      <c r="E67" s="638">
        <v>86005.67</v>
      </c>
      <c r="F67" s="76"/>
      <c r="G67" s="641" t="s">
        <v>10</v>
      </c>
      <c r="H67" s="57" t="s">
        <v>1385</v>
      </c>
    </row>
    <row r="68" spans="1:8">
      <c r="A68" s="637">
        <v>110</v>
      </c>
      <c r="B68" s="638" t="s">
        <v>12</v>
      </c>
      <c r="C68" s="639">
        <v>1040500</v>
      </c>
      <c r="D68" s="642">
        <v>45845</v>
      </c>
      <c r="E68" s="638">
        <v>76155.12</v>
      </c>
      <c r="F68" s="76"/>
      <c r="G68" s="641" t="s">
        <v>10</v>
      </c>
      <c r="H68" s="57" t="s">
        <v>1385</v>
      </c>
    </row>
    <row r="69" spans="1:8">
      <c r="A69" s="637">
        <v>111</v>
      </c>
      <c r="B69" s="638" t="s">
        <v>12</v>
      </c>
      <c r="C69" s="639">
        <v>1040500</v>
      </c>
      <c r="D69" s="642">
        <v>45845</v>
      </c>
      <c r="E69" s="638">
        <v>52572.86</v>
      </c>
      <c r="F69" s="76"/>
      <c r="G69" s="641" t="s">
        <v>10</v>
      </c>
      <c r="H69" s="57" t="s">
        <v>1385</v>
      </c>
    </row>
    <row r="70" spans="1:8">
      <c r="A70" s="637">
        <v>112</v>
      </c>
      <c r="B70" s="638" t="s">
        <v>12</v>
      </c>
      <c r="C70" s="639">
        <v>1040500</v>
      </c>
      <c r="D70" s="642">
        <v>45845</v>
      </c>
      <c r="E70" s="638">
        <v>59108.77</v>
      </c>
      <c r="F70" s="76"/>
      <c r="G70" s="641" t="s">
        <v>10</v>
      </c>
      <c r="H70" s="57" t="s">
        <v>1385</v>
      </c>
    </row>
    <row r="71" spans="1:8">
      <c r="A71" s="637">
        <v>113</v>
      </c>
      <c r="B71" s="638" t="s">
        <v>12</v>
      </c>
      <c r="C71" s="639">
        <v>1040500</v>
      </c>
      <c r="D71" s="642">
        <v>45845</v>
      </c>
      <c r="E71" s="638">
        <v>63730.13</v>
      </c>
      <c r="F71" s="76"/>
      <c r="G71" s="641" t="s">
        <v>10</v>
      </c>
      <c r="H71" s="57" t="s">
        <v>1385</v>
      </c>
    </row>
    <row r="72" spans="1:8">
      <c r="A72" s="637">
        <v>114</v>
      </c>
      <c r="B72" s="638" t="s">
        <v>12</v>
      </c>
      <c r="C72" s="639">
        <v>1040500</v>
      </c>
      <c r="D72" s="642">
        <v>45845</v>
      </c>
      <c r="E72" s="638">
        <v>63730.13</v>
      </c>
      <c r="F72" s="76"/>
      <c r="G72" s="641" t="s">
        <v>10</v>
      </c>
      <c r="H72" s="57" t="s">
        <v>1385</v>
      </c>
    </row>
    <row r="73" spans="1:8">
      <c r="A73" s="637">
        <v>115</v>
      </c>
      <c r="B73" s="638" t="s">
        <v>12</v>
      </c>
      <c r="C73" s="639">
        <v>1040500</v>
      </c>
      <c r="D73" s="642">
        <v>45845</v>
      </c>
      <c r="E73" s="638">
        <v>33627.660000000003</v>
      </c>
      <c r="F73" s="76"/>
      <c r="G73" s="641" t="s">
        <v>10</v>
      </c>
      <c r="H73" s="57" t="s">
        <v>1385</v>
      </c>
    </row>
    <row r="74" spans="1:8">
      <c r="A74" s="637">
        <v>116</v>
      </c>
      <c r="B74" s="638" t="s">
        <v>12</v>
      </c>
      <c r="C74" s="639">
        <v>1040500</v>
      </c>
      <c r="D74" s="642">
        <v>45845</v>
      </c>
      <c r="E74" s="638">
        <v>17547.61</v>
      </c>
      <c r="F74" s="76"/>
      <c r="G74" s="641" t="s">
        <v>10</v>
      </c>
      <c r="H74" s="57" t="s">
        <v>1385</v>
      </c>
    </row>
    <row r="75" spans="1:8">
      <c r="A75" s="637">
        <v>117</v>
      </c>
      <c r="B75" s="638" t="s">
        <v>12</v>
      </c>
      <c r="C75" s="639">
        <v>1040500</v>
      </c>
      <c r="D75" s="642">
        <v>45845</v>
      </c>
      <c r="E75" s="638">
        <v>72867.05</v>
      </c>
      <c r="F75" s="76"/>
      <c r="G75" s="641" t="s">
        <v>10</v>
      </c>
      <c r="H75" s="57" t="s">
        <v>1385</v>
      </c>
    </row>
    <row r="76" spans="1:8">
      <c r="A76" s="637">
        <v>118</v>
      </c>
      <c r="B76" s="638" t="s">
        <v>12</v>
      </c>
      <c r="C76" s="639">
        <v>1040500</v>
      </c>
      <c r="D76" s="642">
        <v>45845</v>
      </c>
      <c r="E76" s="638">
        <v>87011.88</v>
      </c>
      <c r="F76" s="76"/>
      <c r="G76" s="641" t="s">
        <v>10</v>
      </c>
      <c r="H76" s="57" t="s">
        <v>1385</v>
      </c>
    </row>
    <row r="77" spans="1:8">
      <c r="A77" s="637">
        <v>119</v>
      </c>
      <c r="B77" s="638" t="s">
        <v>12</v>
      </c>
      <c r="C77" s="639">
        <v>1040500</v>
      </c>
      <c r="D77" s="642">
        <v>45845</v>
      </c>
      <c r="E77" s="638">
        <v>61810.5</v>
      </c>
      <c r="F77" s="76"/>
      <c r="G77" s="641" t="s">
        <v>10</v>
      </c>
      <c r="H77" s="57" t="s">
        <v>1385</v>
      </c>
    </row>
    <row r="78" spans="1:8">
      <c r="A78" s="637">
        <v>120</v>
      </c>
      <c r="B78" s="638" t="s">
        <v>12</v>
      </c>
      <c r="C78" s="639">
        <v>1040500</v>
      </c>
      <c r="D78" s="642">
        <v>45845</v>
      </c>
      <c r="E78" s="638">
        <v>82935.41</v>
      </c>
      <c r="F78" s="76"/>
      <c r="G78" s="641" t="s">
        <v>10</v>
      </c>
      <c r="H78" s="57" t="s">
        <v>1385</v>
      </c>
    </row>
    <row r="79" spans="1:8">
      <c r="A79" s="637">
        <v>121</v>
      </c>
      <c r="B79" s="638" t="s">
        <v>12</v>
      </c>
      <c r="C79" s="639">
        <v>1040500</v>
      </c>
      <c r="D79" s="642">
        <v>45845</v>
      </c>
      <c r="E79" s="638">
        <v>53778.42</v>
      </c>
      <c r="F79" s="76"/>
      <c r="G79" s="641" t="s">
        <v>10</v>
      </c>
      <c r="H79" s="57" t="s">
        <v>1385</v>
      </c>
    </row>
    <row r="80" spans="1:8">
      <c r="A80" s="637">
        <v>122</v>
      </c>
      <c r="B80" s="638" t="s">
        <v>12</v>
      </c>
      <c r="C80" s="639">
        <v>1040500</v>
      </c>
      <c r="D80" s="642">
        <v>45845</v>
      </c>
      <c r="E80" s="638">
        <v>36452.93</v>
      </c>
      <c r="F80" s="76"/>
      <c r="G80" s="641" t="s">
        <v>10</v>
      </c>
      <c r="H80" s="57" t="s">
        <v>1385</v>
      </c>
    </row>
    <row r="81" spans="1:10">
      <c r="A81" s="637">
        <v>123</v>
      </c>
      <c r="B81" s="638" t="s">
        <v>12</v>
      </c>
      <c r="C81" s="639">
        <v>1040500</v>
      </c>
      <c r="D81" s="642">
        <v>45845</v>
      </c>
      <c r="E81" s="638">
        <v>44390.49</v>
      </c>
      <c r="F81" s="76"/>
      <c r="G81" s="641" t="s">
        <v>10</v>
      </c>
      <c r="H81" s="57" t="s">
        <v>1385</v>
      </c>
    </row>
    <row r="82" spans="1:10">
      <c r="A82" s="637">
        <v>124</v>
      </c>
      <c r="B82" s="638" t="s">
        <v>12</v>
      </c>
      <c r="C82" s="639">
        <v>1040500</v>
      </c>
      <c r="D82" s="642">
        <v>45845</v>
      </c>
      <c r="E82" s="638">
        <v>45726.87</v>
      </c>
      <c r="F82" s="76"/>
      <c r="G82" s="641" t="s">
        <v>10</v>
      </c>
      <c r="H82" s="57" t="s">
        <v>1385</v>
      </c>
    </row>
    <row r="83" spans="1:10">
      <c r="A83" s="637">
        <v>125</v>
      </c>
      <c r="B83" s="638" t="s">
        <v>12</v>
      </c>
      <c r="C83" s="639">
        <v>1040500</v>
      </c>
      <c r="D83" s="642">
        <v>45845</v>
      </c>
      <c r="E83" s="638">
        <v>43066.45</v>
      </c>
      <c r="F83" s="76"/>
      <c r="G83" s="641" t="s">
        <v>10</v>
      </c>
      <c r="H83" s="57" t="s">
        <v>1385</v>
      </c>
    </row>
    <row r="84" spans="1:10">
      <c r="A84" s="637">
        <v>126</v>
      </c>
      <c r="B84" s="638" t="s">
        <v>12</v>
      </c>
      <c r="C84" s="639">
        <v>1040500</v>
      </c>
      <c r="D84" s="642">
        <v>45845</v>
      </c>
      <c r="E84" s="638">
        <v>61720.43</v>
      </c>
      <c r="F84" s="76"/>
      <c r="G84" s="641" t="s">
        <v>10</v>
      </c>
      <c r="H84" s="57" t="s">
        <v>1385</v>
      </c>
    </row>
    <row r="85" spans="1:10">
      <c r="A85" s="637">
        <v>127</v>
      </c>
      <c r="B85" s="638" t="s">
        <v>12</v>
      </c>
      <c r="C85" s="639">
        <v>1040500</v>
      </c>
      <c r="D85" s="642">
        <v>45845</v>
      </c>
      <c r="E85" s="638">
        <v>60299.31</v>
      </c>
      <c r="F85" s="76"/>
      <c r="G85" s="641" t="s">
        <v>10</v>
      </c>
      <c r="H85" s="57" t="s">
        <v>1385</v>
      </c>
    </row>
    <row r="86" spans="1:10">
      <c r="A86" s="637">
        <v>128</v>
      </c>
      <c r="B86" s="638" t="s">
        <v>12</v>
      </c>
      <c r="C86" s="639">
        <v>1040500</v>
      </c>
      <c r="D86" s="642">
        <v>45845</v>
      </c>
      <c r="E86" s="638">
        <v>61650.54</v>
      </c>
      <c r="F86" s="76"/>
      <c r="G86" s="641" t="s">
        <v>10</v>
      </c>
      <c r="H86" s="57" t="s">
        <v>1385</v>
      </c>
    </row>
    <row r="87" spans="1:10">
      <c r="A87" s="637">
        <v>129</v>
      </c>
      <c r="B87" s="638" t="s">
        <v>12</v>
      </c>
      <c r="C87" s="639">
        <v>1040500</v>
      </c>
      <c r="D87" s="642">
        <v>45845</v>
      </c>
      <c r="E87" s="638">
        <v>38007.120000000003</v>
      </c>
      <c r="F87" s="76"/>
      <c r="G87" s="641" t="s">
        <v>10</v>
      </c>
      <c r="H87" s="57" t="s">
        <v>1385</v>
      </c>
    </row>
    <row r="88" spans="1:10">
      <c r="A88" s="637">
        <v>130</v>
      </c>
      <c r="B88" s="638" t="s">
        <v>12</v>
      </c>
      <c r="C88" s="639">
        <v>1040500</v>
      </c>
      <c r="D88" s="642">
        <v>45845</v>
      </c>
      <c r="E88" s="638">
        <v>60234.239999999998</v>
      </c>
      <c r="F88" s="76"/>
      <c r="G88" s="641" t="s">
        <v>10</v>
      </c>
      <c r="H88" s="57" t="s">
        <v>1385</v>
      </c>
    </row>
    <row r="89" spans="1:10">
      <c r="A89" s="637">
        <v>131</v>
      </c>
      <c r="B89" s="638" t="s">
        <v>12</v>
      </c>
      <c r="C89" s="639">
        <v>1040500</v>
      </c>
      <c r="D89" s="642">
        <v>45845</v>
      </c>
      <c r="E89" s="638">
        <v>37217.9</v>
      </c>
      <c r="F89" s="76"/>
      <c r="G89" s="641" t="s">
        <v>10</v>
      </c>
      <c r="H89" s="57" t="s">
        <v>1385</v>
      </c>
    </row>
    <row r="90" spans="1:10">
      <c r="A90" s="637">
        <v>132</v>
      </c>
      <c r="B90" s="638" t="s">
        <v>12</v>
      </c>
      <c r="C90" s="639">
        <v>1040500</v>
      </c>
      <c r="D90" s="642">
        <v>45845</v>
      </c>
      <c r="E90" s="638">
        <v>92910.71</v>
      </c>
      <c r="F90" s="76"/>
      <c r="G90" s="641" t="s">
        <v>10</v>
      </c>
      <c r="H90" s="57" t="s">
        <v>1385</v>
      </c>
    </row>
    <row r="91" spans="1:10">
      <c r="A91" s="637">
        <v>133</v>
      </c>
      <c r="B91" s="638" t="s">
        <v>12</v>
      </c>
      <c r="C91" s="639">
        <v>1040500</v>
      </c>
      <c r="D91" s="642">
        <v>45845</v>
      </c>
      <c r="E91" s="638">
        <v>100595.56</v>
      </c>
      <c r="F91" s="76"/>
      <c r="G91" s="641" t="s">
        <v>10</v>
      </c>
      <c r="H91" s="57" t="s">
        <v>1385</v>
      </c>
    </row>
    <row r="92" spans="1:10" ht="14.4" thickBot="1">
      <c r="A92" s="646">
        <v>134</v>
      </c>
      <c r="B92" s="647" t="s">
        <v>12</v>
      </c>
      <c r="C92" s="648">
        <v>1040500</v>
      </c>
      <c r="D92" s="649">
        <v>45845</v>
      </c>
      <c r="E92" s="647">
        <v>112164.09</v>
      </c>
      <c r="F92" s="650"/>
      <c r="G92" s="651" t="s">
        <v>10</v>
      </c>
      <c r="H92" s="57" t="s">
        <v>1385</v>
      </c>
      <c r="J92" s="270">
        <f>SUM(E33:E92)-E8</f>
        <v>3534698.2500000005</v>
      </c>
    </row>
    <row r="93" spans="1:10" ht="14.4" thickTop="1">
      <c r="B93" s="219"/>
      <c r="C93" s="276"/>
      <c r="D93" s="278"/>
      <c r="E93" s="219"/>
    </row>
    <row r="94" spans="1:10">
      <c r="B94" s="219"/>
      <c r="C94" s="276"/>
      <c r="D94" s="278"/>
      <c r="E94" s="219"/>
    </row>
    <row r="95" spans="1:10">
      <c r="B95" s="219"/>
      <c r="C95" s="276"/>
      <c r="D95" s="278"/>
      <c r="E95" s="219"/>
    </row>
    <row r="96" spans="1:10">
      <c r="B96" s="219"/>
      <c r="C96" s="276"/>
      <c r="D96" s="278"/>
      <c r="E96" s="219"/>
    </row>
    <row r="97" spans="2:5">
      <c r="B97" s="219"/>
      <c r="C97" s="276"/>
      <c r="D97" s="278"/>
      <c r="E97" s="219"/>
    </row>
    <row r="98" spans="2:5">
      <c r="B98" s="219"/>
      <c r="C98" s="276"/>
      <c r="D98" s="278"/>
      <c r="E98" s="219"/>
    </row>
    <row r="99" spans="2:5">
      <c r="B99" s="219"/>
      <c r="C99" s="276"/>
      <c r="D99" s="278"/>
      <c r="E99" s="219"/>
    </row>
    <row r="100" spans="2:5">
      <c r="B100" s="219"/>
      <c r="C100" s="276"/>
      <c r="D100" s="278"/>
      <c r="E100" s="219"/>
    </row>
    <row r="101" spans="2:5">
      <c r="B101" s="219"/>
      <c r="C101" s="276"/>
      <c r="D101" s="278"/>
      <c r="E101" s="219"/>
    </row>
    <row r="102" spans="2:5">
      <c r="B102" s="219"/>
      <c r="C102" s="276"/>
      <c r="D102" s="278"/>
      <c r="E102" s="219"/>
    </row>
    <row r="103" spans="2:5">
      <c r="B103" s="219"/>
      <c r="C103" s="276"/>
      <c r="D103" s="278"/>
      <c r="E103" s="219"/>
    </row>
    <row r="104" spans="2:5">
      <c r="B104" s="219"/>
      <c r="C104" s="276"/>
      <c r="D104" s="278"/>
      <c r="E104" s="219"/>
    </row>
    <row r="105" spans="2:5">
      <c r="B105" s="219"/>
      <c r="C105" s="276"/>
      <c r="D105" s="278"/>
      <c r="E105" s="219"/>
    </row>
    <row r="106" spans="2:5">
      <c r="B106" s="219"/>
      <c r="C106" s="276"/>
      <c r="D106" s="278"/>
      <c r="E106" s="219"/>
    </row>
    <row r="107" spans="2:5">
      <c r="B107" s="219"/>
      <c r="C107" s="276"/>
      <c r="D107" s="278"/>
      <c r="E107" s="219"/>
    </row>
    <row r="108" spans="2:5">
      <c r="B108" s="219"/>
      <c r="C108" s="276"/>
      <c r="D108" s="278"/>
      <c r="E108" s="219"/>
    </row>
    <row r="109" spans="2:5">
      <c r="B109" s="219"/>
      <c r="C109" s="276"/>
      <c r="D109" s="278"/>
      <c r="E109" s="219"/>
    </row>
    <row r="110" spans="2:5">
      <c r="B110" s="219"/>
      <c r="C110" s="276"/>
      <c r="D110" s="278"/>
      <c r="E110" s="219"/>
    </row>
    <row r="111" spans="2:5">
      <c r="B111" s="219"/>
      <c r="C111" s="276"/>
      <c r="D111" s="278"/>
      <c r="E111" s="219"/>
    </row>
    <row r="112" spans="2:5">
      <c r="B112" s="219"/>
      <c r="C112" s="276"/>
      <c r="D112" s="278"/>
      <c r="E112" s="219"/>
    </row>
    <row r="113" spans="2:5">
      <c r="B113" s="219"/>
      <c r="C113" s="276"/>
      <c r="D113" s="278"/>
      <c r="E113" s="219"/>
    </row>
    <row r="114" spans="2:5">
      <c r="B114" s="219"/>
      <c r="C114" s="276"/>
      <c r="D114" s="278"/>
      <c r="E114" s="219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3EEE7-2EC9-469F-854E-227FD90F2732}">
  <sheetPr>
    <tabColor rgb="FFFFFF00"/>
  </sheetPr>
  <dimension ref="A1:M340"/>
  <sheetViews>
    <sheetView showGridLines="0" zoomScaleNormal="100" workbookViewId="0">
      <selection activeCellId="1" sqref="I8 A1:XFD1048576"/>
    </sheetView>
  </sheetViews>
  <sheetFormatPr defaultColWidth="8.8984375" defaultRowHeight="13.8"/>
  <cols>
    <col min="1" max="1" width="5.5" bestFit="1" customWidth="1"/>
    <col min="2" max="2" width="15.69921875" bestFit="1" customWidth="1"/>
    <col min="3" max="3" width="7.796875" bestFit="1" customWidth="1"/>
    <col min="4" max="4" width="13.69921875" bestFit="1" customWidth="1"/>
    <col min="5" max="5" width="16.3984375" style="233" bestFit="1" customWidth="1"/>
    <col min="6" max="6" width="14" style="57" bestFit="1" customWidth="1"/>
    <col min="7" max="7" width="28.5" style="212" bestFit="1" customWidth="1"/>
    <col min="8" max="8" width="9.5" bestFit="1" customWidth="1"/>
    <col min="9" max="9" width="5.296875" style="57" customWidth="1"/>
    <col min="10" max="10" width="26.8984375" style="212" bestFit="1" customWidth="1"/>
    <col min="11" max="11" width="15.296875" bestFit="1" customWidth="1"/>
    <col min="12" max="12" width="18.3984375" bestFit="1" customWidth="1"/>
    <col min="13" max="13" width="13.09765625" style="212" bestFit="1" customWidth="1"/>
  </cols>
  <sheetData>
    <row r="1" spans="1:11" ht="14.4" thickBot="1">
      <c r="A1" s="369" t="s">
        <v>0</v>
      </c>
      <c r="B1" s="369" t="s">
        <v>1</v>
      </c>
      <c r="C1" s="369" t="s">
        <v>2</v>
      </c>
      <c r="D1" s="369" t="s">
        <v>1322</v>
      </c>
      <c r="E1" s="371" t="s">
        <v>1323</v>
      </c>
      <c r="F1" s="370" t="s">
        <v>3</v>
      </c>
      <c r="G1" s="369" t="s">
        <v>4</v>
      </c>
      <c r="J1" s="370" t="s">
        <v>5</v>
      </c>
      <c r="K1" s="372" t="s">
        <v>1324</v>
      </c>
    </row>
    <row r="2" spans="1:11" ht="14.4" thickTop="1">
      <c r="A2" s="57">
        <v>1</v>
      </c>
      <c r="B2" s="57" t="s">
        <v>7</v>
      </c>
      <c r="C2" s="57">
        <v>2130870</v>
      </c>
      <c r="D2" s="266">
        <v>45846</v>
      </c>
      <c r="E2" s="233">
        <v>5088.1499999999996</v>
      </c>
      <c r="F2" s="57" t="s">
        <v>1395</v>
      </c>
      <c r="G2" s="229" t="s">
        <v>10</v>
      </c>
      <c r="I2" s="57" t="s">
        <v>10</v>
      </c>
      <c r="J2" s="469">
        <v>174526</v>
      </c>
      <c r="K2" s="470">
        <v>1783019.75</v>
      </c>
    </row>
    <row r="3" spans="1:11">
      <c r="A3" s="57">
        <v>2</v>
      </c>
      <c r="B3" s="57" t="s">
        <v>7</v>
      </c>
      <c r="C3" s="57">
        <v>2130870</v>
      </c>
      <c r="D3" s="266">
        <v>45846</v>
      </c>
      <c r="E3" s="233">
        <v>2.67</v>
      </c>
      <c r="F3" s="57" t="s">
        <v>1396</v>
      </c>
      <c r="G3" s="229" t="s">
        <v>10</v>
      </c>
      <c r="I3" s="57" t="s">
        <v>10</v>
      </c>
      <c r="J3" s="92">
        <v>174527</v>
      </c>
      <c r="K3" s="387">
        <v>93679.609999999986</v>
      </c>
    </row>
    <row r="4" spans="1:11">
      <c r="A4" s="57">
        <v>3</v>
      </c>
      <c r="B4" s="57" t="s">
        <v>7</v>
      </c>
      <c r="C4" s="57">
        <v>2130870</v>
      </c>
      <c r="D4" s="266">
        <v>45846</v>
      </c>
      <c r="E4" s="233">
        <v>1316.34</v>
      </c>
      <c r="F4" s="57" t="s">
        <v>1397</v>
      </c>
      <c r="G4" s="229" t="s">
        <v>10</v>
      </c>
      <c r="I4" s="57" t="s">
        <v>10</v>
      </c>
      <c r="J4" s="91">
        <v>174547</v>
      </c>
      <c r="K4" s="394">
        <v>274265.39</v>
      </c>
    </row>
    <row r="5" spans="1:11">
      <c r="A5" s="57">
        <v>4</v>
      </c>
      <c r="B5" s="57" t="s">
        <v>7</v>
      </c>
      <c r="C5" s="57">
        <v>2060855</v>
      </c>
      <c r="D5" s="266">
        <v>45846</v>
      </c>
      <c r="E5" s="233">
        <v>4000000</v>
      </c>
      <c r="F5" s="57" t="s">
        <v>1398</v>
      </c>
      <c r="G5" s="229" t="s">
        <v>10</v>
      </c>
      <c r="I5" s="57" t="s">
        <v>10</v>
      </c>
      <c r="J5" s="419">
        <v>174561</v>
      </c>
      <c r="K5" s="421">
        <v>4802.0600000000004</v>
      </c>
    </row>
    <row r="6" spans="1:11">
      <c r="A6" s="6">
        <v>5</v>
      </c>
      <c r="B6" s="6" t="s">
        <v>7</v>
      </c>
      <c r="C6" s="6">
        <v>2050900</v>
      </c>
      <c r="D6" s="373">
        <v>45846</v>
      </c>
      <c r="E6" s="229">
        <v>12882.8</v>
      </c>
      <c r="G6" s="229" t="s">
        <v>10</v>
      </c>
      <c r="I6" s="57" t="s">
        <v>10</v>
      </c>
      <c r="J6" s="370" t="s">
        <v>1392</v>
      </c>
      <c r="K6" s="665">
        <v>172.38</v>
      </c>
    </row>
    <row r="7" spans="1:11">
      <c r="A7" s="6">
        <v>6</v>
      </c>
      <c r="B7" s="6" t="s">
        <v>7</v>
      </c>
      <c r="C7" s="6">
        <v>2050900</v>
      </c>
      <c r="D7" s="373">
        <v>45846</v>
      </c>
      <c r="E7" s="229">
        <v>13456.11</v>
      </c>
      <c r="G7" s="229" t="s">
        <v>10</v>
      </c>
      <c r="I7" s="57" t="s">
        <v>10</v>
      </c>
      <c r="J7" s="399" t="s">
        <v>1393</v>
      </c>
      <c r="K7" s="401">
        <v>0.84</v>
      </c>
    </row>
    <row r="8" spans="1:11" ht="14.4" thickBot="1">
      <c r="A8" s="6">
        <v>7</v>
      </c>
      <c r="B8" s="6" t="s">
        <v>13</v>
      </c>
      <c r="C8" s="6">
        <v>2050752</v>
      </c>
      <c r="D8" s="373">
        <v>45846</v>
      </c>
      <c r="E8" s="229">
        <v>19489793.940000001</v>
      </c>
      <c r="G8" s="229" t="s">
        <v>10</v>
      </c>
      <c r="I8" s="57" t="s">
        <v>10</v>
      </c>
      <c r="J8" s="424" t="s">
        <v>1394</v>
      </c>
      <c r="K8" s="426">
        <v>1478.97</v>
      </c>
    </row>
    <row r="9" spans="1:11" ht="14.4" thickTop="1">
      <c r="A9" s="669">
        <v>9</v>
      </c>
      <c r="B9" s="670" t="s">
        <v>11</v>
      </c>
      <c r="C9" s="670">
        <v>1170470</v>
      </c>
      <c r="D9" s="671">
        <v>45846</v>
      </c>
      <c r="E9" s="653">
        <v>5237.8100000000004</v>
      </c>
      <c r="F9" s="670" t="s">
        <v>1399</v>
      </c>
      <c r="G9" s="654" t="s">
        <v>10</v>
      </c>
      <c r="I9" s="57" t="s">
        <v>10</v>
      </c>
      <c r="J9" s="533">
        <v>174895</v>
      </c>
      <c r="K9" s="750">
        <v>3094.89</v>
      </c>
    </row>
    <row r="10" spans="1:11">
      <c r="A10" s="436">
        <v>10</v>
      </c>
      <c r="B10" s="57" t="s">
        <v>11</v>
      </c>
      <c r="C10" s="57">
        <v>1170470</v>
      </c>
      <c r="D10" s="266">
        <v>45846</v>
      </c>
      <c r="E10" s="233">
        <v>68.400000000000006</v>
      </c>
      <c r="F10" s="57" t="s">
        <v>1399</v>
      </c>
      <c r="G10" s="655" t="s">
        <v>10</v>
      </c>
      <c r="J10" s="208"/>
      <c r="K10" s="212"/>
    </row>
    <row r="11" spans="1:11">
      <c r="A11" s="436">
        <v>11</v>
      </c>
      <c r="B11" s="57" t="s">
        <v>11</v>
      </c>
      <c r="C11" s="57">
        <v>1170470</v>
      </c>
      <c r="D11" s="266">
        <v>45846</v>
      </c>
      <c r="E11" s="233">
        <v>68.400000000000006</v>
      </c>
      <c r="F11" s="57" t="s">
        <v>1400</v>
      </c>
      <c r="G11" s="655" t="s">
        <v>10</v>
      </c>
      <c r="J11" s="208"/>
      <c r="K11" s="212"/>
    </row>
    <row r="12" spans="1:11">
      <c r="A12" s="436">
        <v>12</v>
      </c>
      <c r="B12" s="57" t="s">
        <v>11</v>
      </c>
      <c r="C12" s="57">
        <v>1170470</v>
      </c>
      <c r="D12" s="266">
        <v>45846</v>
      </c>
      <c r="E12" s="233">
        <v>68.400000000000006</v>
      </c>
      <c r="F12" s="57" t="s">
        <v>1401</v>
      </c>
      <c r="G12" s="655" t="s">
        <v>10</v>
      </c>
      <c r="J12" s="241"/>
      <c r="K12" s="228"/>
    </row>
    <row r="13" spans="1:11">
      <c r="A13" s="385">
        <v>22</v>
      </c>
      <c r="B13" s="92" t="s">
        <v>11</v>
      </c>
      <c r="C13" s="92">
        <v>1200393</v>
      </c>
      <c r="D13" s="386">
        <v>45846</v>
      </c>
      <c r="E13" s="387">
        <v>12218.98</v>
      </c>
      <c r="F13" s="92"/>
      <c r="G13" s="657" t="s">
        <v>10</v>
      </c>
    </row>
    <row r="14" spans="1:11">
      <c r="A14" s="385">
        <v>23</v>
      </c>
      <c r="B14" s="92" t="s">
        <v>11</v>
      </c>
      <c r="C14" s="92">
        <v>1040211</v>
      </c>
      <c r="D14" s="386">
        <v>45846</v>
      </c>
      <c r="E14" s="621">
        <v>81460.63</v>
      </c>
      <c r="F14" s="92"/>
      <c r="G14" s="657" t="s">
        <v>10</v>
      </c>
    </row>
    <row r="15" spans="1:11">
      <c r="A15" s="658">
        <v>25</v>
      </c>
      <c r="B15" s="469" t="s">
        <v>11</v>
      </c>
      <c r="C15" s="469">
        <v>1040211</v>
      </c>
      <c r="D15" s="659">
        <v>45846</v>
      </c>
      <c r="E15" s="470">
        <v>1732008.81</v>
      </c>
      <c r="F15" s="469"/>
      <c r="G15" s="660" t="s">
        <v>10</v>
      </c>
    </row>
    <row r="16" spans="1:11">
      <c r="A16" s="658">
        <v>26</v>
      </c>
      <c r="B16" s="469" t="s">
        <v>11</v>
      </c>
      <c r="C16" s="469">
        <v>1200393</v>
      </c>
      <c r="D16" s="659">
        <v>45846</v>
      </c>
      <c r="E16" s="470">
        <v>3540.61</v>
      </c>
      <c r="F16" s="469"/>
      <c r="G16" s="660" t="s">
        <v>10</v>
      </c>
    </row>
    <row r="17" spans="1:8">
      <c r="A17" s="658">
        <v>27</v>
      </c>
      <c r="B17" s="469" t="s">
        <v>11</v>
      </c>
      <c r="C17" s="469">
        <v>1200393</v>
      </c>
      <c r="D17" s="659">
        <v>45846</v>
      </c>
      <c r="E17" s="470">
        <v>47470.33</v>
      </c>
      <c r="F17" s="469"/>
      <c r="G17" s="660" t="s">
        <v>10</v>
      </c>
    </row>
    <row r="18" spans="1:8">
      <c r="A18" s="395">
        <v>37</v>
      </c>
      <c r="B18" s="91" t="s">
        <v>11</v>
      </c>
      <c r="C18" s="91">
        <v>1040375</v>
      </c>
      <c r="D18" s="396">
        <v>45846</v>
      </c>
      <c r="E18" s="394">
        <v>16120.64</v>
      </c>
      <c r="F18" s="91"/>
      <c r="G18" s="661" t="s">
        <v>10</v>
      </c>
    </row>
    <row r="19" spans="1:8">
      <c r="A19" s="395">
        <v>38</v>
      </c>
      <c r="B19" s="91" t="s">
        <v>11</v>
      </c>
      <c r="C19" s="91">
        <v>1040375</v>
      </c>
      <c r="D19" s="396">
        <v>45846</v>
      </c>
      <c r="E19" s="394">
        <v>1563.18</v>
      </c>
      <c r="F19" s="91"/>
      <c r="G19" s="661" t="s">
        <v>10</v>
      </c>
    </row>
    <row r="20" spans="1:8">
      <c r="A20" s="395">
        <v>39</v>
      </c>
      <c r="B20" s="91" t="s">
        <v>11</v>
      </c>
      <c r="C20" s="91">
        <v>1040375</v>
      </c>
      <c r="D20" s="396">
        <v>45846</v>
      </c>
      <c r="E20" s="394">
        <v>157.94999999999999</v>
      </c>
      <c r="F20" s="91"/>
      <c r="G20" s="661" t="s">
        <v>10</v>
      </c>
    </row>
    <row r="21" spans="1:8">
      <c r="A21" s="395">
        <v>40</v>
      </c>
      <c r="B21" s="91" t="s">
        <v>11</v>
      </c>
      <c r="C21" s="91">
        <v>1040375</v>
      </c>
      <c r="D21" s="396">
        <v>45846</v>
      </c>
      <c r="E21" s="394">
        <v>1145.05</v>
      </c>
      <c r="F21" s="91"/>
      <c r="G21" s="661" t="s">
        <v>10</v>
      </c>
    </row>
    <row r="22" spans="1:8">
      <c r="A22" s="395">
        <v>41</v>
      </c>
      <c r="B22" s="91" t="s">
        <v>11</v>
      </c>
      <c r="C22" s="91">
        <v>1040375</v>
      </c>
      <c r="D22" s="396">
        <v>45846</v>
      </c>
      <c r="E22" s="394">
        <v>150753.47</v>
      </c>
      <c r="F22" s="91"/>
      <c r="G22" s="661" t="s">
        <v>10</v>
      </c>
    </row>
    <row r="23" spans="1:8">
      <c r="A23" s="395">
        <v>42</v>
      </c>
      <c r="B23" s="91" t="s">
        <v>11</v>
      </c>
      <c r="C23" s="91">
        <v>1040375</v>
      </c>
      <c r="D23" s="396">
        <v>45846</v>
      </c>
      <c r="E23" s="394">
        <v>104525.1</v>
      </c>
      <c r="F23" s="91"/>
      <c r="G23" s="661" t="s">
        <v>10</v>
      </c>
    </row>
    <row r="24" spans="1:8">
      <c r="A24" s="423">
        <v>44</v>
      </c>
      <c r="B24" s="424" t="s">
        <v>11</v>
      </c>
      <c r="C24" s="424">
        <v>1040375</v>
      </c>
      <c r="D24" s="425">
        <v>45846</v>
      </c>
      <c r="E24" s="426">
        <v>3.86</v>
      </c>
      <c r="F24" s="424"/>
      <c r="G24" s="668" t="s">
        <v>10</v>
      </c>
    </row>
    <row r="25" spans="1:8">
      <c r="A25" s="423">
        <v>45</v>
      </c>
      <c r="B25" s="424" t="s">
        <v>11</v>
      </c>
      <c r="C25" s="424">
        <v>1040375</v>
      </c>
      <c r="D25" s="425">
        <v>45846</v>
      </c>
      <c r="E25" s="426">
        <v>250.26</v>
      </c>
      <c r="F25" s="424"/>
      <c r="G25" s="668" t="s">
        <v>10</v>
      </c>
    </row>
    <row r="26" spans="1:8">
      <c r="A26" s="423">
        <v>46</v>
      </c>
      <c r="B26" s="424" t="s">
        <v>11</v>
      </c>
      <c r="C26" s="424">
        <v>1040375</v>
      </c>
      <c r="D26" s="425">
        <v>45846</v>
      </c>
      <c r="E26" s="426">
        <v>9.51</v>
      </c>
      <c r="F26" s="424"/>
      <c r="G26" s="668" t="s">
        <v>10</v>
      </c>
    </row>
    <row r="27" spans="1:8">
      <c r="A27" s="423">
        <v>47</v>
      </c>
      <c r="B27" s="424" t="s">
        <v>11</v>
      </c>
      <c r="C27" s="424">
        <v>1040375</v>
      </c>
      <c r="D27" s="425">
        <v>45846</v>
      </c>
      <c r="E27" s="426">
        <v>500.53</v>
      </c>
      <c r="F27" s="424"/>
      <c r="G27" s="668" t="s">
        <v>10</v>
      </c>
    </row>
    <row r="28" spans="1:8">
      <c r="A28" s="423">
        <v>48</v>
      </c>
      <c r="B28" s="424" t="s">
        <v>11</v>
      </c>
      <c r="C28" s="424">
        <v>1040375</v>
      </c>
      <c r="D28" s="425">
        <v>45846</v>
      </c>
      <c r="E28" s="426">
        <v>714.81</v>
      </c>
      <c r="F28" s="424"/>
      <c r="G28" s="668" t="s">
        <v>10</v>
      </c>
    </row>
    <row r="29" spans="1:8">
      <c r="A29" s="748">
        <v>50</v>
      </c>
      <c r="B29" s="533" t="s">
        <v>11</v>
      </c>
      <c r="C29" s="533">
        <v>1040375</v>
      </c>
      <c r="D29" s="749">
        <v>45846</v>
      </c>
      <c r="E29" s="750">
        <v>3094.89</v>
      </c>
      <c r="F29" s="533"/>
      <c r="G29" s="751" t="s">
        <v>10</v>
      </c>
      <c r="H29" s="57" t="s">
        <v>1366</v>
      </c>
    </row>
    <row r="30" spans="1:8">
      <c r="A30" s="418">
        <v>51</v>
      </c>
      <c r="B30" s="419" t="s">
        <v>11</v>
      </c>
      <c r="C30" s="419">
        <v>1040375</v>
      </c>
      <c r="D30" s="420">
        <v>45846</v>
      </c>
      <c r="E30" s="421">
        <v>193.04</v>
      </c>
      <c r="F30" s="419"/>
      <c r="G30" s="662" t="s">
        <v>10</v>
      </c>
    </row>
    <row r="31" spans="1:8">
      <c r="A31" s="418">
        <v>52</v>
      </c>
      <c r="B31" s="419" t="s">
        <v>11</v>
      </c>
      <c r="C31" s="419">
        <v>1040375</v>
      </c>
      <c r="D31" s="420">
        <v>45846</v>
      </c>
      <c r="E31" s="421">
        <v>13.13</v>
      </c>
      <c r="F31" s="419"/>
      <c r="G31" s="662" t="s">
        <v>10</v>
      </c>
    </row>
    <row r="32" spans="1:8">
      <c r="A32" s="418">
        <v>53</v>
      </c>
      <c r="B32" s="419" t="s">
        <v>11</v>
      </c>
      <c r="C32" s="419">
        <v>1040375</v>
      </c>
      <c r="D32" s="420">
        <v>45846</v>
      </c>
      <c r="E32" s="421">
        <v>282.74</v>
      </c>
      <c r="F32" s="419"/>
      <c r="G32" s="662" t="s">
        <v>10</v>
      </c>
    </row>
    <row r="33" spans="1:7">
      <c r="A33" s="418">
        <v>54</v>
      </c>
      <c r="B33" s="419" t="s">
        <v>11</v>
      </c>
      <c r="C33" s="419">
        <v>1040375</v>
      </c>
      <c r="D33" s="420">
        <v>45846</v>
      </c>
      <c r="E33" s="421">
        <v>4293.95</v>
      </c>
      <c r="F33" s="419"/>
      <c r="G33" s="662" t="s">
        <v>10</v>
      </c>
    </row>
    <row r="34" spans="1:7">
      <c r="A34" s="418">
        <v>55</v>
      </c>
      <c r="B34" s="419" t="s">
        <v>11</v>
      </c>
      <c r="C34" s="419">
        <v>1040375</v>
      </c>
      <c r="D34" s="420">
        <v>45846</v>
      </c>
      <c r="E34" s="421">
        <v>19.2</v>
      </c>
      <c r="F34" s="419"/>
      <c r="G34" s="662" t="s">
        <v>10</v>
      </c>
    </row>
    <row r="35" spans="1:7">
      <c r="A35" s="663">
        <v>56</v>
      </c>
      <c r="B35" s="370" t="s">
        <v>11</v>
      </c>
      <c r="C35" s="370">
        <v>1040375</v>
      </c>
      <c r="D35" s="664">
        <v>45846</v>
      </c>
      <c r="E35" s="665">
        <v>70.290000000000006</v>
      </c>
      <c r="F35" s="370"/>
      <c r="G35" s="666" t="s">
        <v>10</v>
      </c>
    </row>
    <row r="36" spans="1:7">
      <c r="A36" s="663">
        <v>57</v>
      </c>
      <c r="B36" s="370" t="s">
        <v>11</v>
      </c>
      <c r="C36" s="370">
        <v>1040375</v>
      </c>
      <c r="D36" s="664">
        <v>45846</v>
      </c>
      <c r="E36" s="665">
        <v>10.029999999999999</v>
      </c>
      <c r="F36" s="370"/>
      <c r="G36" s="666" t="s">
        <v>10</v>
      </c>
    </row>
    <row r="37" spans="1:7">
      <c r="A37" s="663">
        <v>58</v>
      </c>
      <c r="B37" s="370" t="s">
        <v>11</v>
      </c>
      <c r="C37" s="370">
        <v>1040375</v>
      </c>
      <c r="D37" s="664">
        <v>45846</v>
      </c>
      <c r="E37" s="665">
        <v>5.36</v>
      </c>
      <c r="F37" s="370"/>
      <c r="G37" s="666" t="s">
        <v>10</v>
      </c>
    </row>
    <row r="38" spans="1:7">
      <c r="A38" s="663">
        <v>59</v>
      </c>
      <c r="B38" s="370" t="s">
        <v>11</v>
      </c>
      <c r="C38" s="370">
        <v>1040375</v>
      </c>
      <c r="D38" s="664">
        <v>45846</v>
      </c>
      <c r="E38" s="665">
        <v>86.7</v>
      </c>
      <c r="F38" s="370"/>
      <c r="G38" s="666" t="s">
        <v>10</v>
      </c>
    </row>
    <row r="39" spans="1:7">
      <c r="A39" s="398">
        <v>60</v>
      </c>
      <c r="B39" s="399" t="s">
        <v>11</v>
      </c>
      <c r="C39" s="399">
        <v>1040375</v>
      </c>
      <c r="D39" s="400">
        <v>45846</v>
      </c>
      <c r="E39" s="401">
        <v>0.83</v>
      </c>
      <c r="F39" s="399"/>
      <c r="G39" s="667" t="s">
        <v>10</v>
      </c>
    </row>
    <row r="40" spans="1:7">
      <c r="A40" s="398">
        <v>61</v>
      </c>
      <c r="B40" s="399" t="s">
        <v>11</v>
      </c>
      <c r="C40" s="399">
        <v>1040375</v>
      </c>
      <c r="D40" s="400">
        <v>45846</v>
      </c>
      <c r="E40" s="401">
        <v>0.01</v>
      </c>
      <c r="F40" s="399"/>
      <c r="G40" s="667" t="s">
        <v>10</v>
      </c>
    </row>
    <row r="41" spans="1:7" ht="14.4" thickBot="1">
      <c r="A41" s="375">
        <v>62</v>
      </c>
      <c r="B41" s="376" t="s">
        <v>11</v>
      </c>
      <c r="C41" s="376">
        <v>1040124</v>
      </c>
      <c r="D41" s="377">
        <v>45846</v>
      </c>
      <c r="E41" s="378">
        <v>12.2</v>
      </c>
      <c r="F41" s="376" t="s">
        <v>1367</v>
      </c>
      <c r="G41" s="656" t="s">
        <v>10</v>
      </c>
    </row>
    <row r="42" spans="1:7" ht="14.4" thickTop="1">
      <c r="A42" s="250"/>
      <c r="B42" s="250"/>
      <c r="C42" s="57"/>
      <c r="D42" s="209"/>
    </row>
    <row r="43" spans="1:7">
      <c r="A43" s="250"/>
      <c r="B43" s="250"/>
      <c r="C43" s="57"/>
      <c r="D43" s="209"/>
    </row>
    <row r="44" spans="1:7">
      <c r="A44" s="250"/>
      <c r="B44" s="250"/>
      <c r="C44" s="57"/>
      <c r="D44" s="209"/>
    </row>
    <row r="45" spans="1:7">
      <c r="A45" s="250"/>
      <c r="B45" s="250"/>
      <c r="C45" s="57"/>
      <c r="D45" s="209"/>
    </row>
    <row r="46" spans="1:7">
      <c r="A46" s="250"/>
      <c r="B46" s="250"/>
      <c r="C46" s="57"/>
      <c r="D46" s="209"/>
    </row>
    <row r="47" spans="1:7">
      <c r="A47" s="250"/>
      <c r="B47" s="250"/>
      <c r="C47" s="57"/>
    </row>
    <row r="48" spans="1:7">
      <c r="A48" s="250"/>
      <c r="B48" s="250"/>
      <c r="C48" s="57"/>
    </row>
    <row r="49" spans="1:3">
      <c r="A49" s="250"/>
      <c r="B49" s="250"/>
      <c r="C49" s="57"/>
    </row>
    <row r="50" spans="1:3">
      <c r="A50" s="250"/>
      <c r="B50" s="250"/>
      <c r="C50" s="57"/>
    </row>
    <row r="51" spans="1:3">
      <c r="A51" s="250"/>
      <c r="B51" s="250"/>
      <c r="C51" s="57"/>
    </row>
    <row r="52" spans="1:3">
      <c r="A52" s="250"/>
      <c r="B52" s="250"/>
      <c r="C52" s="57"/>
    </row>
    <row r="53" spans="1:3">
      <c r="A53" s="250"/>
      <c r="B53" s="250"/>
      <c r="C53" s="57"/>
    </row>
    <row r="54" spans="1:3">
      <c r="A54" s="250"/>
      <c r="B54" s="250"/>
      <c r="C54" s="57"/>
    </row>
    <row r="55" spans="1:3">
      <c r="A55" s="250"/>
      <c r="B55" s="250"/>
      <c r="C55" s="57"/>
    </row>
    <row r="56" spans="1:3">
      <c r="A56" s="250"/>
      <c r="B56" s="250"/>
      <c r="C56" s="57"/>
    </row>
    <row r="57" spans="1:3">
      <c r="A57" s="250"/>
      <c r="B57" s="250"/>
      <c r="C57" s="57"/>
    </row>
    <row r="58" spans="1:3">
      <c r="A58" s="250"/>
      <c r="B58" s="250"/>
      <c r="C58" s="57"/>
    </row>
    <row r="59" spans="1:3">
      <c r="A59" s="250"/>
      <c r="B59" s="250"/>
      <c r="C59" s="57"/>
    </row>
    <row r="60" spans="1:3">
      <c r="A60" s="250"/>
      <c r="B60" s="250"/>
      <c r="C60" s="57"/>
    </row>
    <row r="61" spans="1:3">
      <c r="A61" s="250"/>
      <c r="B61" s="250"/>
      <c r="C61" s="57"/>
    </row>
    <row r="62" spans="1:3">
      <c r="A62" s="250"/>
      <c r="B62" s="250"/>
      <c r="C62" s="57"/>
    </row>
    <row r="63" spans="1:3">
      <c r="A63" s="250"/>
      <c r="B63" s="250"/>
      <c r="C63" s="57"/>
    </row>
    <row r="64" spans="1:3">
      <c r="A64" s="250"/>
      <c r="B64" s="250"/>
      <c r="C64" s="57"/>
    </row>
    <row r="65" spans="1:3">
      <c r="A65" s="250"/>
      <c r="B65" s="250"/>
      <c r="C65" s="57"/>
    </row>
    <row r="66" spans="1:3">
      <c r="A66" s="250"/>
      <c r="B66" s="250"/>
      <c r="C66" s="57"/>
    </row>
    <row r="67" spans="1:3">
      <c r="A67" s="250"/>
      <c r="B67" s="250"/>
      <c r="C67" s="57"/>
    </row>
    <row r="68" spans="1:3">
      <c r="A68" s="250"/>
      <c r="B68" s="250"/>
      <c r="C68" s="57"/>
    </row>
    <row r="69" spans="1:3">
      <c r="A69" s="250"/>
      <c r="B69" s="250"/>
      <c r="C69" s="57"/>
    </row>
    <row r="70" spans="1:3">
      <c r="A70" s="250"/>
      <c r="B70" s="250"/>
      <c r="C70" s="57"/>
    </row>
    <row r="71" spans="1:3">
      <c r="A71" s="250"/>
      <c r="B71" s="250"/>
      <c r="C71" s="57"/>
    </row>
    <row r="72" spans="1:3">
      <c r="A72" s="250"/>
      <c r="B72" s="250"/>
      <c r="C72" s="57"/>
    </row>
    <row r="73" spans="1:3">
      <c r="A73" s="250"/>
      <c r="B73" s="250"/>
      <c r="C73" s="57"/>
    </row>
    <row r="74" spans="1:3">
      <c r="A74" s="250"/>
      <c r="B74" s="250"/>
      <c r="C74" s="57"/>
    </row>
    <row r="75" spans="1:3">
      <c r="A75" s="250"/>
      <c r="B75" s="250"/>
      <c r="C75" s="57"/>
    </row>
    <row r="76" spans="1:3">
      <c r="A76" s="250"/>
      <c r="B76" s="250"/>
      <c r="C76" s="57"/>
    </row>
    <row r="77" spans="1:3">
      <c r="A77" s="250"/>
      <c r="B77" s="250"/>
      <c r="C77" s="57"/>
    </row>
    <row r="78" spans="1:3">
      <c r="A78" s="250"/>
      <c r="B78" s="250"/>
      <c r="C78" s="57"/>
    </row>
    <row r="79" spans="1:3">
      <c r="A79" s="250"/>
      <c r="B79" s="250"/>
      <c r="C79" s="57"/>
    </row>
    <row r="80" spans="1:3">
      <c r="A80" s="250"/>
      <c r="B80" s="250"/>
      <c r="C80" s="57"/>
    </row>
    <row r="81" spans="1:5">
      <c r="A81" s="250"/>
      <c r="B81" s="250"/>
      <c r="C81" s="57"/>
    </row>
    <row r="82" spans="1:5">
      <c r="A82" s="250"/>
      <c r="B82" s="250"/>
      <c r="C82" s="57"/>
    </row>
    <row r="83" spans="1:5">
      <c r="A83" s="250"/>
      <c r="B83" s="250"/>
      <c r="C83" s="57"/>
    </row>
    <row r="84" spans="1:5">
      <c r="A84" s="250"/>
      <c r="B84" s="250"/>
      <c r="C84" s="57"/>
    </row>
    <row r="85" spans="1:5">
      <c r="A85" s="250"/>
      <c r="B85" s="250"/>
      <c r="C85" s="57"/>
    </row>
    <row r="86" spans="1:5">
      <c r="A86" s="250"/>
      <c r="B86" s="250"/>
      <c r="C86" s="57"/>
    </row>
    <row r="87" spans="1:5">
      <c r="A87" s="250"/>
      <c r="B87" s="250"/>
      <c r="C87" s="57"/>
    </row>
    <row r="88" spans="1:5">
      <c r="E88" s="212"/>
    </row>
    <row r="89" spans="1:5">
      <c r="E89" s="212"/>
    </row>
    <row r="90" spans="1:5">
      <c r="E90" s="212"/>
    </row>
    <row r="91" spans="1:5">
      <c r="E91" s="212"/>
    </row>
    <row r="92" spans="1:5">
      <c r="E92" s="212"/>
    </row>
    <row r="93" spans="1:5">
      <c r="E93" s="212"/>
    </row>
    <row r="94" spans="1:5">
      <c r="E94" s="212"/>
    </row>
    <row r="95" spans="1:5">
      <c r="E95" s="212"/>
    </row>
    <row r="96" spans="1:5">
      <c r="E96" s="212"/>
    </row>
    <row r="97" spans="5:5">
      <c r="E97" s="212"/>
    </row>
    <row r="98" spans="5:5">
      <c r="E98" s="212"/>
    </row>
    <row r="99" spans="5:5">
      <c r="E99" s="212"/>
    </row>
    <row r="100" spans="5:5">
      <c r="E100" s="212"/>
    </row>
    <row r="101" spans="5:5">
      <c r="E101" s="212"/>
    </row>
    <row r="102" spans="5:5">
      <c r="E102" s="212"/>
    </row>
    <row r="103" spans="5:5">
      <c r="E103" s="212"/>
    </row>
    <row r="104" spans="5:5">
      <c r="E104" s="212"/>
    </row>
    <row r="105" spans="5:5">
      <c r="E105" s="212"/>
    </row>
    <row r="106" spans="5:5">
      <c r="E106" s="212"/>
    </row>
    <row r="107" spans="5:5">
      <c r="E107" s="212"/>
    </row>
    <row r="108" spans="5:5">
      <c r="E108" s="212"/>
    </row>
    <row r="109" spans="5:5">
      <c r="E109" s="212"/>
    </row>
    <row r="110" spans="5:5">
      <c r="E110" s="212"/>
    </row>
    <row r="111" spans="5:5">
      <c r="E111" s="212"/>
    </row>
    <row r="112" spans="5:5">
      <c r="E112" s="212"/>
    </row>
    <row r="113" spans="5:5">
      <c r="E113" s="212"/>
    </row>
    <row r="114" spans="5:5">
      <c r="E114" s="212"/>
    </row>
    <row r="115" spans="5:5">
      <c r="E115" s="212"/>
    </row>
    <row r="116" spans="5:5">
      <c r="E116" s="212"/>
    </row>
    <row r="117" spans="5:5">
      <c r="E117" s="212"/>
    </row>
    <row r="118" spans="5:5">
      <c r="E118" s="212"/>
    </row>
    <row r="119" spans="5:5">
      <c r="E119" s="212"/>
    </row>
    <row r="120" spans="5:5">
      <c r="E120" s="212"/>
    </row>
    <row r="121" spans="5:5">
      <c r="E121" s="212"/>
    </row>
    <row r="122" spans="5:5">
      <c r="E122" s="212"/>
    </row>
    <row r="123" spans="5:5">
      <c r="E123" s="212"/>
    </row>
    <row r="124" spans="5:5">
      <c r="E124" s="212"/>
    </row>
    <row r="125" spans="5:5">
      <c r="E125" s="212"/>
    </row>
    <row r="126" spans="5:5">
      <c r="E126" s="212"/>
    </row>
    <row r="127" spans="5:5">
      <c r="E127" s="212"/>
    </row>
    <row r="128" spans="5:5">
      <c r="E128" s="212"/>
    </row>
    <row r="129" spans="5:5">
      <c r="E129" s="212"/>
    </row>
    <row r="130" spans="5:5">
      <c r="E130" s="212"/>
    </row>
    <row r="131" spans="5:5">
      <c r="E131" s="212"/>
    </row>
    <row r="132" spans="5:5">
      <c r="E132" s="212"/>
    </row>
    <row r="133" spans="5:5">
      <c r="E133" s="212"/>
    </row>
    <row r="134" spans="5:5">
      <c r="E134" s="212"/>
    </row>
    <row r="135" spans="5:5">
      <c r="E135" s="212"/>
    </row>
    <row r="136" spans="5:5">
      <c r="E136" s="212"/>
    </row>
    <row r="137" spans="5:5">
      <c r="E137" s="212"/>
    </row>
    <row r="138" spans="5:5">
      <c r="E138" s="212"/>
    </row>
    <row r="139" spans="5:5">
      <c r="E139" s="212"/>
    </row>
    <row r="140" spans="5:5">
      <c r="E140" s="212"/>
    </row>
    <row r="141" spans="5:5">
      <c r="E141" s="212"/>
    </row>
    <row r="142" spans="5:5">
      <c r="E142" s="212"/>
    </row>
    <row r="143" spans="5:5">
      <c r="E143" s="212"/>
    </row>
    <row r="144" spans="5:5">
      <c r="E144" s="212"/>
    </row>
    <row r="145" spans="5:5">
      <c r="E145" s="212"/>
    </row>
    <row r="146" spans="5:5">
      <c r="E146" s="212"/>
    </row>
    <row r="147" spans="5:5">
      <c r="E147" s="212"/>
    </row>
    <row r="148" spans="5:5">
      <c r="E148" s="212"/>
    </row>
    <row r="149" spans="5:5">
      <c r="E149" s="212"/>
    </row>
    <row r="150" spans="5:5">
      <c r="E150" s="212"/>
    </row>
    <row r="151" spans="5:5">
      <c r="E151" s="212"/>
    </row>
    <row r="152" spans="5:5">
      <c r="E152" s="212"/>
    </row>
    <row r="153" spans="5:5">
      <c r="E153" s="212"/>
    </row>
    <row r="154" spans="5:5">
      <c r="E154" s="212"/>
    </row>
    <row r="155" spans="5:5">
      <c r="E155" s="212"/>
    </row>
    <row r="156" spans="5:5">
      <c r="E156" s="212"/>
    </row>
    <row r="157" spans="5:5">
      <c r="E157" s="212"/>
    </row>
    <row r="158" spans="5:5">
      <c r="E158" s="212"/>
    </row>
    <row r="159" spans="5:5">
      <c r="E159" s="212"/>
    </row>
    <row r="160" spans="5:5">
      <c r="E160" s="212"/>
    </row>
    <row r="161" spans="5:5">
      <c r="E161" s="212"/>
    </row>
    <row r="162" spans="5:5">
      <c r="E162" s="212"/>
    </row>
    <row r="163" spans="5:5">
      <c r="E163" s="212"/>
    </row>
    <row r="164" spans="5:5">
      <c r="E164" s="212"/>
    </row>
    <row r="165" spans="5:5">
      <c r="E165" s="212"/>
    </row>
    <row r="166" spans="5:5">
      <c r="E166" s="212"/>
    </row>
    <row r="167" spans="5:5">
      <c r="E167" s="212"/>
    </row>
    <row r="168" spans="5:5">
      <c r="E168" s="212"/>
    </row>
    <row r="169" spans="5:5">
      <c r="E169" s="212"/>
    </row>
    <row r="170" spans="5:5">
      <c r="E170" s="212"/>
    </row>
    <row r="171" spans="5:5">
      <c r="E171" s="212"/>
    </row>
    <row r="172" spans="5:5">
      <c r="E172" s="212"/>
    </row>
    <row r="173" spans="5:5">
      <c r="E173" s="212"/>
    </row>
    <row r="174" spans="5:5">
      <c r="E174" s="212"/>
    </row>
    <row r="175" spans="5:5">
      <c r="E175" s="212"/>
    </row>
    <row r="176" spans="5:5">
      <c r="E176" s="212"/>
    </row>
    <row r="177" spans="5:5">
      <c r="E177" s="212"/>
    </row>
    <row r="178" spans="5:5">
      <c r="E178" s="212"/>
    </row>
    <row r="179" spans="5:5">
      <c r="E179" s="212"/>
    </row>
    <row r="180" spans="5:5">
      <c r="E180" s="212"/>
    </row>
    <row r="181" spans="5:5">
      <c r="E181" s="212"/>
    </row>
    <row r="182" spans="5:5">
      <c r="E182" s="212"/>
    </row>
    <row r="183" spans="5:5">
      <c r="E183" s="212"/>
    </row>
    <row r="184" spans="5:5">
      <c r="E184" s="212"/>
    </row>
    <row r="185" spans="5:5">
      <c r="E185" s="212"/>
    </row>
    <row r="186" spans="5:5">
      <c r="E186" s="212"/>
    </row>
    <row r="187" spans="5:5">
      <c r="E187" s="212"/>
    </row>
    <row r="188" spans="5:5">
      <c r="E188" s="212"/>
    </row>
    <row r="189" spans="5:5">
      <c r="E189" s="212"/>
    </row>
    <row r="190" spans="5:5">
      <c r="E190" s="212"/>
    </row>
    <row r="191" spans="5:5">
      <c r="E191" s="212"/>
    </row>
    <row r="192" spans="5:5">
      <c r="E192" s="212"/>
    </row>
    <row r="193" spans="5:5">
      <c r="E193" s="212"/>
    </row>
    <row r="194" spans="5:5">
      <c r="E194" s="212"/>
    </row>
    <row r="195" spans="5:5">
      <c r="E195" s="212"/>
    </row>
    <row r="196" spans="5:5">
      <c r="E196" s="212"/>
    </row>
    <row r="197" spans="5:5">
      <c r="E197" s="212"/>
    </row>
    <row r="198" spans="5:5">
      <c r="E198" s="212"/>
    </row>
    <row r="199" spans="5:5">
      <c r="E199" s="212"/>
    </row>
    <row r="200" spans="5:5">
      <c r="E200" s="212"/>
    </row>
    <row r="201" spans="5:5">
      <c r="E201" s="212"/>
    </row>
    <row r="202" spans="5:5">
      <c r="E202" s="212"/>
    </row>
    <row r="203" spans="5:5">
      <c r="E203" s="212"/>
    </row>
    <row r="204" spans="5:5">
      <c r="E204" s="212"/>
    </row>
    <row r="205" spans="5:5">
      <c r="E205" s="212"/>
    </row>
    <row r="206" spans="5:5">
      <c r="E206" s="212"/>
    </row>
    <row r="207" spans="5:5">
      <c r="E207" s="212"/>
    </row>
    <row r="208" spans="5:5">
      <c r="E208" s="212"/>
    </row>
    <row r="209" spans="5:5">
      <c r="E209" s="212"/>
    </row>
    <row r="210" spans="5:5">
      <c r="E210" s="212"/>
    </row>
    <row r="211" spans="5:5">
      <c r="E211" s="212"/>
    </row>
    <row r="212" spans="5:5">
      <c r="E212" s="212"/>
    </row>
    <row r="213" spans="5:5">
      <c r="E213" s="212"/>
    </row>
    <row r="214" spans="5:5">
      <c r="E214" s="212"/>
    </row>
    <row r="215" spans="5:5">
      <c r="E215" s="212"/>
    </row>
    <row r="216" spans="5:5">
      <c r="E216" s="212"/>
    </row>
    <row r="217" spans="5:5">
      <c r="E217" s="212"/>
    </row>
    <row r="218" spans="5:5">
      <c r="E218" s="212"/>
    </row>
    <row r="219" spans="5:5">
      <c r="E219" s="212"/>
    </row>
    <row r="220" spans="5:5">
      <c r="E220" s="212"/>
    </row>
    <row r="221" spans="5:5">
      <c r="E221" s="212"/>
    </row>
    <row r="222" spans="5:5">
      <c r="E222" s="212"/>
    </row>
    <row r="223" spans="5:5">
      <c r="E223" s="212"/>
    </row>
    <row r="224" spans="5:5">
      <c r="E224" s="212"/>
    </row>
    <row r="225" spans="5:5">
      <c r="E225" s="212"/>
    </row>
    <row r="226" spans="5:5">
      <c r="E226" s="212"/>
    </row>
    <row r="227" spans="5:5">
      <c r="E227" s="212"/>
    </row>
    <row r="228" spans="5:5">
      <c r="E228" s="212"/>
    </row>
    <row r="229" spans="5:5">
      <c r="E229" s="212"/>
    </row>
    <row r="230" spans="5:5">
      <c r="E230" s="212"/>
    </row>
    <row r="231" spans="5:5">
      <c r="E231" s="212"/>
    </row>
    <row r="232" spans="5:5">
      <c r="E232" s="212"/>
    </row>
    <row r="233" spans="5:5">
      <c r="E233" s="212"/>
    </row>
    <row r="234" spans="5:5">
      <c r="E234" s="212"/>
    </row>
    <row r="235" spans="5:5">
      <c r="E235" s="212"/>
    </row>
    <row r="236" spans="5:5">
      <c r="E236" s="212"/>
    </row>
    <row r="237" spans="5:5">
      <c r="E237" s="212"/>
    </row>
    <row r="238" spans="5:5">
      <c r="E238" s="212"/>
    </row>
    <row r="239" spans="5:5">
      <c r="E239" s="212"/>
    </row>
    <row r="240" spans="5:5">
      <c r="E240" s="212"/>
    </row>
    <row r="241" spans="5:5">
      <c r="E241" s="212"/>
    </row>
    <row r="242" spans="5:5">
      <c r="E242" s="212"/>
    </row>
    <row r="243" spans="5:5">
      <c r="E243" s="212"/>
    </row>
    <row r="244" spans="5:5">
      <c r="E244" s="212"/>
    </row>
    <row r="245" spans="5:5">
      <c r="E245" s="212"/>
    </row>
    <row r="246" spans="5:5">
      <c r="E246" s="212"/>
    </row>
    <row r="247" spans="5:5">
      <c r="E247" s="212"/>
    </row>
    <row r="248" spans="5:5">
      <c r="E248" s="212"/>
    </row>
    <row r="249" spans="5:5">
      <c r="E249" s="212"/>
    </row>
    <row r="250" spans="5:5">
      <c r="E250" s="212"/>
    </row>
    <row r="251" spans="5:5">
      <c r="E251" s="212"/>
    </row>
    <row r="252" spans="5:5">
      <c r="E252" s="212"/>
    </row>
    <row r="253" spans="5:5">
      <c r="E253" s="212"/>
    </row>
    <row r="254" spans="5:5">
      <c r="E254" s="212"/>
    </row>
    <row r="255" spans="5:5">
      <c r="E255" s="212"/>
    </row>
    <row r="256" spans="5:5">
      <c r="E256" s="212"/>
    </row>
    <row r="257" spans="5:5">
      <c r="E257" s="212"/>
    </row>
    <row r="258" spans="5:5">
      <c r="E258" s="212"/>
    </row>
    <row r="259" spans="5:5">
      <c r="E259" s="212"/>
    </row>
    <row r="260" spans="5:5">
      <c r="E260" s="212"/>
    </row>
    <row r="261" spans="5:5">
      <c r="E261" s="212"/>
    </row>
    <row r="262" spans="5:5">
      <c r="E262" s="212"/>
    </row>
    <row r="263" spans="5:5">
      <c r="E263" s="212"/>
    </row>
    <row r="264" spans="5:5">
      <c r="E264" s="212"/>
    </row>
    <row r="265" spans="5:5">
      <c r="E265" s="212"/>
    </row>
    <row r="266" spans="5:5">
      <c r="E266" s="212"/>
    </row>
    <row r="267" spans="5:5">
      <c r="E267" s="212"/>
    </row>
    <row r="268" spans="5:5">
      <c r="E268" s="212"/>
    </row>
    <row r="269" spans="5:5">
      <c r="E269" s="212"/>
    </row>
    <row r="270" spans="5:5">
      <c r="E270" s="212"/>
    </row>
    <row r="271" spans="5:5">
      <c r="E271" s="212"/>
    </row>
    <row r="272" spans="5:5">
      <c r="E272" s="212"/>
    </row>
    <row r="273" spans="5:5">
      <c r="E273" s="212"/>
    </row>
    <row r="274" spans="5:5">
      <c r="E274" s="212"/>
    </row>
    <row r="275" spans="5:5">
      <c r="E275" s="212"/>
    </row>
    <row r="276" spans="5:5">
      <c r="E276" s="212"/>
    </row>
    <row r="277" spans="5:5">
      <c r="E277" s="212"/>
    </row>
    <row r="278" spans="5:5">
      <c r="E278" s="212"/>
    </row>
    <row r="279" spans="5:5">
      <c r="E279" s="212"/>
    </row>
    <row r="280" spans="5:5">
      <c r="E280" s="212"/>
    </row>
    <row r="281" spans="5:5">
      <c r="E281" s="212"/>
    </row>
    <row r="282" spans="5:5">
      <c r="E282" s="212"/>
    </row>
    <row r="283" spans="5:5">
      <c r="E283" s="212"/>
    </row>
    <row r="284" spans="5:5">
      <c r="E284" s="212"/>
    </row>
    <row r="285" spans="5:5">
      <c r="E285" s="212"/>
    </row>
    <row r="286" spans="5:5">
      <c r="E286" s="212"/>
    </row>
    <row r="287" spans="5:5">
      <c r="E287" s="212"/>
    </row>
    <row r="288" spans="5:5">
      <c r="E288" s="212"/>
    </row>
    <row r="289" spans="5:5">
      <c r="E289" s="212"/>
    </row>
    <row r="290" spans="5:5">
      <c r="E290" s="212"/>
    </row>
    <row r="291" spans="5:5">
      <c r="E291" s="212"/>
    </row>
    <row r="292" spans="5:5">
      <c r="E292" s="212"/>
    </row>
    <row r="293" spans="5:5">
      <c r="E293" s="212"/>
    </row>
    <row r="294" spans="5:5">
      <c r="E294" s="212"/>
    </row>
    <row r="295" spans="5:5">
      <c r="E295" s="212"/>
    </row>
    <row r="296" spans="5:5">
      <c r="E296" s="212"/>
    </row>
    <row r="297" spans="5:5">
      <c r="E297" s="212"/>
    </row>
    <row r="298" spans="5:5">
      <c r="E298" s="212"/>
    </row>
    <row r="299" spans="5:5">
      <c r="E299" s="212"/>
    </row>
    <row r="300" spans="5:5">
      <c r="E300" s="212"/>
    </row>
    <row r="301" spans="5:5">
      <c r="E301" s="212"/>
    </row>
    <row r="302" spans="5:5">
      <c r="E302" s="212"/>
    </row>
    <row r="303" spans="5:5">
      <c r="E303" s="212"/>
    </row>
    <row r="304" spans="5:5">
      <c r="E304" s="212"/>
    </row>
    <row r="305" spans="5:5">
      <c r="E305" s="212"/>
    </row>
    <row r="306" spans="5:5">
      <c r="E306" s="212"/>
    </row>
    <row r="307" spans="5:5">
      <c r="E307" s="212"/>
    </row>
    <row r="308" spans="5:5">
      <c r="E308" s="212"/>
    </row>
    <row r="309" spans="5:5">
      <c r="E309" s="212"/>
    </row>
    <row r="310" spans="5:5">
      <c r="E310" s="212"/>
    </row>
    <row r="311" spans="5:5">
      <c r="E311" s="212"/>
    </row>
    <row r="312" spans="5:5">
      <c r="E312" s="212"/>
    </row>
    <row r="313" spans="5:5">
      <c r="E313" s="212"/>
    </row>
    <row r="314" spans="5:5">
      <c r="E314" s="212"/>
    </row>
    <row r="315" spans="5:5">
      <c r="E315" s="212"/>
    </row>
    <row r="316" spans="5:5">
      <c r="E316" s="212"/>
    </row>
    <row r="317" spans="5:5">
      <c r="E317" s="212"/>
    </row>
    <row r="318" spans="5:5">
      <c r="E318" s="212"/>
    </row>
    <row r="319" spans="5:5">
      <c r="E319" s="212"/>
    </row>
    <row r="320" spans="5:5">
      <c r="E320" s="212"/>
    </row>
    <row r="321" spans="5:5">
      <c r="E321" s="212"/>
    </row>
    <row r="322" spans="5:5">
      <c r="E322" s="212"/>
    </row>
    <row r="323" spans="5:5">
      <c r="E323" s="212"/>
    </row>
    <row r="324" spans="5:5">
      <c r="E324" s="212"/>
    </row>
    <row r="325" spans="5:5">
      <c r="E325" s="212"/>
    </row>
    <row r="326" spans="5:5">
      <c r="E326" s="212"/>
    </row>
    <row r="327" spans="5:5">
      <c r="E327" s="212"/>
    </row>
    <row r="328" spans="5:5">
      <c r="E328" s="212"/>
    </row>
    <row r="329" spans="5:5">
      <c r="E329" s="212"/>
    </row>
    <row r="330" spans="5:5">
      <c r="E330" s="212"/>
    </row>
    <row r="331" spans="5:5">
      <c r="E331" s="212"/>
    </row>
    <row r="332" spans="5:5">
      <c r="E332" s="212"/>
    </row>
    <row r="333" spans="5:5">
      <c r="E333" s="212"/>
    </row>
    <row r="334" spans="5:5">
      <c r="E334" s="212"/>
    </row>
    <row r="335" spans="5:5">
      <c r="E335" s="212"/>
    </row>
    <row r="336" spans="5:5">
      <c r="E336" s="212"/>
    </row>
    <row r="337" spans="5:5">
      <c r="E337" s="212"/>
    </row>
    <row r="338" spans="5:5">
      <c r="E338" s="212"/>
    </row>
    <row r="339" spans="5:5">
      <c r="E339" s="212"/>
    </row>
    <row r="340" spans="5:5">
      <c r="E340" s="212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C7035-8B58-40E4-A334-A58BFCAB343D}">
  <sheetPr>
    <tabColor rgb="FFFFFF00"/>
  </sheetPr>
  <dimension ref="A1:N84"/>
  <sheetViews>
    <sheetView showGridLines="0" zoomScaleNormal="100" workbookViewId="0">
      <selection activeCellId="1" sqref="I8 A1:XFD1048576"/>
    </sheetView>
  </sheetViews>
  <sheetFormatPr defaultColWidth="8.8984375" defaultRowHeight="13.8"/>
  <cols>
    <col min="1" max="1" width="10" style="250" bestFit="1" customWidth="1"/>
    <col min="2" max="2" width="15.69921875" style="242" bestFit="1" customWidth="1"/>
    <col min="3" max="3" width="11.19921875" style="250" bestFit="1" customWidth="1"/>
    <col min="4" max="4" width="18.296875" style="57" bestFit="1" customWidth="1"/>
    <col min="5" max="5" width="16.3984375" style="214" bestFit="1" customWidth="1"/>
    <col min="6" max="6" width="19.09765625" style="57" customWidth="1"/>
    <col min="7" max="7" width="33.09765625" style="223" bestFit="1" customWidth="1"/>
    <col min="8" max="8" width="3.59765625" style="250" customWidth="1"/>
    <col min="9" max="9" width="4.3984375" style="250" customWidth="1"/>
    <col min="10" max="10" width="27.5" style="250" bestFit="1" customWidth="1"/>
    <col min="11" max="11" width="15.3984375" style="213" bestFit="1" customWidth="1"/>
    <col min="12" max="12" width="13" style="250" bestFit="1" customWidth="1"/>
    <col min="13" max="13" width="8.8984375" style="250"/>
    <col min="14" max="14" width="9.3984375" style="250" bestFit="1" customWidth="1"/>
    <col min="15" max="16384" width="8.8984375" style="250"/>
  </cols>
  <sheetData>
    <row r="1" spans="1:14" ht="14.4" thickBot="1">
      <c r="A1" s="369" t="s">
        <v>0</v>
      </c>
      <c r="B1" s="369" t="s">
        <v>1</v>
      </c>
      <c r="C1" s="369" t="s">
        <v>2</v>
      </c>
      <c r="D1" s="369" t="s">
        <v>1322</v>
      </c>
      <c r="E1" s="371" t="s">
        <v>1323</v>
      </c>
      <c r="F1" s="370" t="s">
        <v>3</v>
      </c>
      <c r="G1" s="369" t="s">
        <v>4</v>
      </c>
      <c r="H1"/>
      <c r="I1" s="57"/>
      <c r="J1" s="370" t="s">
        <v>5</v>
      </c>
      <c r="K1" s="372" t="s">
        <v>1324</v>
      </c>
    </row>
    <row r="2" spans="1:14" ht="14.4" thickTop="1">
      <c r="A2" s="57">
        <v>1</v>
      </c>
      <c r="B2" s="57" t="s">
        <v>7</v>
      </c>
      <c r="C2" s="57">
        <v>2130870</v>
      </c>
      <c r="D2" s="266">
        <v>45847</v>
      </c>
      <c r="E2" s="233">
        <v>0.02</v>
      </c>
      <c r="F2" s="57" t="s">
        <v>1386</v>
      </c>
      <c r="G2" s="229" t="s">
        <v>10</v>
      </c>
      <c r="I2" s="250" t="s">
        <v>10</v>
      </c>
      <c r="J2" s="414">
        <v>174562</v>
      </c>
      <c r="K2" s="593">
        <v>106308.98000000003</v>
      </c>
    </row>
    <row r="3" spans="1:14">
      <c r="A3" s="57">
        <v>2</v>
      </c>
      <c r="B3" s="57" t="s">
        <v>7</v>
      </c>
      <c r="C3" s="57">
        <v>2130870</v>
      </c>
      <c r="D3" s="266">
        <v>45847</v>
      </c>
      <c r="E3" s="233">
        <v>2448224.5699999998</v>
      </c>
      <c r="F3" s="57" t="s">
        <v>32</v>
      </c>
      <c r="G3" s="229" t="s">
        <v>10</v>
      </c>
      <c r="I3" s="250" t="s">
        <v>10</v>
      </c>
      <c r="J3" s="390">
        <v>174564</v>
      </c>
      <c r="K3" s="690">
        <v>392872.11</v>
      </c>
    </row>
    <row r="4" spans="1:14">
      <c r="A4" s="57">
        <v>3</v>
      </c>
      <c r="B4" s="57" t="s">
        <v>7</v>
      </c>
      <c r="C4" s="57">
        <v>2130870</v>
      </c>
      <c r="D4" s="266">
        <v>45847</v>
      </c>
      <c r="E4" s="233">
        <v>6956.73</v>
      </c>
      <c r="F4" s="57" t="s">
        <v>8</v>
      </c>
      <c r="G4" s="229" t="s">
        <v>10</v>
      </c>
      <c r="I4" s="250" t="s">
        <v>10</v>
      </c>
      <c r="J4" s="91">
        <v>174568</v>
      </c>
      <c r="K4" s="692">
        <v>1056.57</v>
      </c>
      <c r="L4"/>
    </row>
    <row r="5" spans="1:14">
      <c r="A5" s="6">
        <v>4</v>
      </c>
      <c r="B5" s="6" t="s">
        <v>7</v>
      </c>
      <c r="C5" s="6">
        <v>2050900</v>
      </c>
      <c r="D5" s="373">
        <v>45847</v>
      </c>
      <c r="E5" s="229">
        <v>10797.27</v>
      </c>
      <c r="G5" s="229" t="s">
        <v>10</v>
      </c>
      <c r="I5" s="250" t="s">
        <v>10</v>
      </c>
      <c r="J5" s="424">
        <v>174571</v>
      </c>
      <c r="K5" s="704">
        <v>1317712.6200000003</v>
      </c>
    </row>
    <row r="6" spans="1:14" ht="14.4" thickBot="1">
      <c r="A6" s="6">
        <v>5</v>
      </c>
      <c r="B6" s="6" t="s">
        <v>13</v>
      </c>
      <c r="C6" s="6">
        <v>2090821</v>
      </c>
      <c r="D6" s="373">
        <v>45847</v>
      </c>
      <c r="E6" s="229">
        <v>763.14</v>
      </c>
      <c r="G6" s="229" t="s">
        <v>10</v>
      </c>
      <c r="I6" s="250" t="s">
        <v>10</v>
      </c>
      <c r="J6" s="419">
        <v>174589</v>
      </c>
      <c r="K6" s="587">
        <v>129515.18000000001</v>
      </c>
    </row>
    <row r="7" spans="1:14" ht="14.4" thickTop="1">
      <c r="A7" s="699">
        <v>9</v>
      </c>
      <c r="B7" s="700" t="s">
        <v>11</v>
      </c>
      <c r="C7" s="700">
        <v>1040211</v>
      </c>
      <c r="D7" s="701">
        <v>45847</v>
      </c>
      <c r="E7" s="702">
        <v>1102297.33</v>
      </c>
      <c r="F7" s="700"/>
      <c r="G7" s="703" t="s">
        <v>10</v>
      </c>
      <c r="I7" s="250" t="s">
        <v>10</v>
      </c>
      <c r="J7" s="694" t="s">
        <v>1404</v>
      </c>
      <c r="K7" s="698">
        <v>530.91</v>
      </c>
    </row>
    <row r="8" spans="1:14">
      <c r="A8" s="389">
        <v>10</v>
      </c>
      <c r="B8" s="390" t="s">
        <v>11</v>
      </c>
      <c r="C8" s="390">
        <v>1040211</v>
      </c>
      <c r="D8" s="391">
        <v>45847</v>
      </c>
      <c r="E8" s="392">
        <v>392872.11</v>
      </c>
      <c r="F8" s="390"/>
      <c r="G8" s="689" t="s">
        <v>10</v>
      </c>
      <c r="I8" s="250" t="s">
        <v>10</v>
      </c>
      <c r="J8" s="370" t="s">
        <v>1405</v>
      </c>
      <c r="K8" s="599">
        <v>1038.93</v>
      </c>
      <c r="N8" s="270"/>
    </row>
    <row r="9" spans="1:14">
      <c r="A9" s="413">
        <v>24</v>
      </c>
      <c r="B9" s="414" t="s">
        <v>11</v>
      </c>
      <c r="C9" s="414">
        <v>1200393</v>
      </c>
      <c r="D9" s="415">
        <v>45847</v>
      </c>
      <c r="E9" s="416">
        <v>17148.59</v>
      </c>
      <c r="F9" s="414"/>
      <c r="G9" s="691" t="s">
        <v>10</v>
      </c>
      <c r="I9" s="250" t="s">
        <v>10</v>
      </c>
      <c r="J9" s="757" t="s">
        <v>1422</v>
      </c>
      <c r="K9" s="758">
        <v>66357.45</v>
      </c>
    </row>
    <row r="10" spans="1:14">
      <c r="A10" s="413">
        <v>25</v>
      </c>
      <c r="B10" s="414" t="s">
        <v>11</v>
      </c>
      <c r="C10" s="414">
        <v>1040211</v>
      </c>
      <c r="D10" s="415">
        <v>45847</v>
      </c>
      <c r="E10" s="416">
        <v>89160.39</v>
      </c>
      <c r="F10" s="414"/>
      <c r="G10" s="691" t="s">
        <v>10</v>
      </c>
    </row>
    <row r="11" spans="1:14">
      <c r="A11" s="423">
        <v>26</v>
      </c>
      <c r="B11" s="424" t="s">
        <v>11</v>
      </c>
      <c r="C11" s="424">
        <v>1200393</v>
      </c>
      <c r="D11" s="425">
        <v>45847</v>
      </c>
      <c r="E11" s="426">
        <v>10283.76</v>
      </c>
      <c r="F11" s="424"/>
      <c r="G11" s="668" t="s">
        <v>10</v>
      </c>
      <c r="J11" s="242"/>
    </row>
    <row r="12" spans="1:14">
      <c r="A12" s="423">
        <v>27</v>
      </c>
      <c r="B12" s="424" t="s">
        <v>11</v>
      </c>
      <c r="C12" s="424">
        <v>1200393</v>
      </c>
      <c r="D12" s="425">
        <v>45847</v>
      </c>
      <c r="E12" s="426">
        <v>205131.53</v>
      </c>
      <c r="F12" s="424"/>
      <c r="G12" s="668" t="s">
        <v>10</v>
      </c>
    </row>
    <row r="13" spans="1:14">
      <c r="A13" s="436">
        <v>28</v>
      </c>
      <c r="B13" s="57" t="s">
        <v>11</v>
      </c>
      <c r="C13" s="57">
        <v>1060345</v>
      </c>
      <c r="D13" s="266">
        <v>45847</v>
      </c>
      <c r="E13" s="233">
        <v>18500000</v>
      </c>
      <c r="F13" s="57" t="s">
        <v>1406</v>
      </c>
      <c r="G13" s="655" t="s">
        <v>10</v>
      </c>
    </row>
    <row r="14" spans="1:14">
      <c r="A14" s="436">
        <v>29</v>
      </c>
      <c r="B14" s="57" t="s">
        <v>12</v>
      </c>
      <c r="C14" s="57">
        <v>1040500</v>
      </c>
      <c r="D14" s="266">
        <v>45847</v>
      </c>
      <c r="E14" s="233">
        <v>30</v>
      </c>
      <c r="F14" s="57" t="s">
        <v>1367</v>
      </c>
      <c r="G14" s="655" t="s">
        <v>10</v>
      </c>
      <c r="J14" s="242"/>
    </row>
    <row r="15" spans="1:14">
      <c r="A15" s="759">
        <v>39</v>
      </c>
      <c r="B15" s="760" t="s">
        <v>11</v>
      </c>
      <c r="C15" s="760">
        <v>1040375</v>
      </c>
      <c r="D15" s="761">
        <v>45847</v>
      </c>
      <c r="E15" s="762">
        <v>66148.87</v>
      </c>
      <c r="F15" s="760"/>
      <c r="G15" s="763" t="s">
        <v>10</v>
      </c>
      <c r="J15" s="243"/>
      <c r="K15" s="231"/>
    </row>
    <row r="16" spans="1:14">
      <c r="A16" s="759">
        <v>41</v>
      </c>
      <c r="B16" s="760" t="s">
        <v>11</v>
      </c>
      <c r="C16" s="760">
        <v>1040375</v>
      </c>
      <c r="D16" s="761">
        <v>45847</v>
      </c>
      <c r="E16" s="762">
        <v>208.58</v>
      </c>
      <c r="F16" s="760"/>
      <c r="G16" s="763" t="s">
        <v>10</v>
      </c>
      <c r="J16" s="243"/>
      <c r="K16" s="231"/>
    </row>
    <row r="17" spans="1:14">
      <c r="A17" s="395">
        <v>45</v>
      </c>
      <c r="B17" s="91" t="s">
        <v>11</v>
      </c>
      <c r="C17" s="91">
        <v>1040362</v>
      </c>
      <c r="D17" s="396">
        <v>45847</v>
      </c>
      <c r="E17" s="394">
        <v>244.09</v>
      </c>
      <c r="F17" s="91"/>
      <c r="G17" s="661" t="s">
        <v>10</v>
      </c>
      <c r="J17" s="242"/>
    </row>
    <row r="18" spans="1:14">
      <c r="A18" s="395">
        <v>46</v>
      </c>
      <c r="B18" s="91" t="s">
        <v>11</v>
      </c>
      <c r="C18" s="91">
        <v>1040362</v>
      </c>
      <c r="D18" s="396">
        <v>45847</v>
      </c>
      <c r="E18" s="394">
        <v>728.05</v>
      </c>
      <c r="F18" s="91"/>
      <c r="G18" s="661" t="s">
        <v>10</v>
      </c>
      <c r="J18" s="242"/>
    </row>
    <row r="19" spans="1:14">
      <c r="A19" s="395">
        <v>47</v>
      </c>
      <c r="B19" s="91" t="s">
        <v>11</v>
      </c>
      <c r="C19" s="91">
        <v>1040362</v>
      </c>
      <c r="D19" s="396">
        <v>45847</v>
      </c>
      <c r="E19" s="394">
        <v>84.43</v>
      </c>
      <c r="F19" s="91"/>
      <c r="G19" s="661" t="s">
        <v>10</v>
      </c>
    </row>
    <row r="20" spans="1:14">
      <c r="A20" s="693">
        <v>55</v>
      </c>
      <c r="B20" s="694" t="s">
        <v>12</v>
      </c>
      <c r="C20" s="694">
        <v>1170144</v>
      </c>
      <c r="D20" s="695">
        <v>45847</v>
      </c>
      <c r="E20" s="696">
        <v>530.91</v>
      </c>
      <c r="F20" s="694"/>
      <c r="G20" s="697" t="s">
        <v>10</v>
      </c>
    </row>
    <row r="21" spans="1:14">
      <c r="A21" s="418">
        <v>56</v>
      </c>
      <c r="B21" s="419" t="s">
        <v>11</v>
      </c>
      <c r="C21" s="419">
        <v>1040375</v>
      </c>
      <c r="D21" s="420">
        <v>45847</v>
      </c>
      <c r="E21" s="421">
        <v>219.8</v>
      </c>
      <c r="F21" s="419"/>
      <c r="G21" s="662" t="s">
        <v>10</v>
      </c>
    </row>
    <row r="22" spans="1:14">
      <c r="A22" s="418">
        <v>57</v>
      </c>
      <c r="B22" s="419" t="s">
        <v>11</v>
      </c>
      <c r="C22" s="419">
        <v>1040375</v>
      </c>
      <c r="D22" s="420">
        <v>45847</v>
      </c>
      <c r="E22" s="421">
        <v>17.440000000000001</v>
      </c>
      <c r="F22" s="419"/>
      <c r="G22" s="662" t="s">
        <v>10</v>
      </c>
    </row>
    <row r="23" spans="1:14">
      <c r="A23" s="418">
        <v>58</v>
      </c>
      <c r="B23" s="419" t="s">
        <v>11</v>
      </c>
      <c r="C23" s="419">
        <v>1040375</v>
      </c>
      <c r="D23" s="420">
        <v>45847</v>
      </c>
      <c r="E23" s="421">
        <v>107121.96</v>
      </c>
      <c r="F23" s="419"/>
      <c r="G23" s="662" t="s">
        <v>10</v>
      </c>
    </row>
    <row r="24" spans="1:14">
      <c r="A24" s="418">
        <v>59</v>
      </c>
      <c r="B24" s="419" t="s">
        <v>11</v>
      </c>
      <c r="C24" s="419">
        <v>1040375</v>
      </c>
      <c r="D24" s="420">
        <v>45847</v>
      </c>
      <c r="E24" s="421">
        <v>1511.58</v>
      </c>
      <c r="F24" s="419"/>
      <c r="G24" s="662" t="s">
        <v>10</v>
      </c>
    </row>
    <row r="25" spans="1:14">
      <c r="A25" s="418">
        <v>60</v>
      </c>
      <c r="B25" s="419" t="s">
        <v>11</v>
      </c>
      <c r="C25" s="419">
        <v>1040375</v>
      </c>
      <c r="D25" s="420">
        <v>45847</v>
      </c>
      <c r="E25" s="421">
        <v>20644.400000000001</v>
      </c>
      <c r="F25" s="419"/>
      <c r="G25" s="662" t="s">
        <v>10</v>
      </c>
      <c r="N25" s="270"/>
    </row>
    <row r="26" spans="1:14">
      <c r="A26" s="663">
        <v>61</v>
      </c>
      <c r="B26" s="370" t="s">
        <v>11</v>
      </c>
      <c r="C26" s="370">
        <v>1040375</v>
      </c>
      <c r="D26" s="664">
        <v>45847</v>
      </c>
      <c r="E26" s="665">
        <v>131.4</v>
      </c>
      <c r="F26" s="370"/>
      <c r="G26" s="666" t="s">
        <v>10</v>
      </c>
    </row>
    <row r="27" spans="1:14">
      <c r="A27" s="663">
        <v>62</v>
      </c>
      <c r="B27" s="370" t="s">
        <v>11</v>
      </c>
      <c r="C27" s="370">
        <v>1040375</v>
      </c>
      <c r="D27" s="664">
        <v>45847</v>
      </c>
      <c r="E27" s="665">
        <v>44.69</v>
      </c>
      <c r="F27" s="370"/>
      <c r="G27" s="666" t="s">
        <v>10</v>
      </c>
    </row>
    <row r="28" spans="1:14">
      <c r="A28" s="663">
        <v>63</v>
      </c>
      <c r="B28" s="370" t="s">
        <v>11</v>
      </c>
      <c r="C28" s="370">
        <v>1040375</v>
      </c>
      <c r="D28" s="664">
        <v>45847</v>
      </c>
      <c r="E28" s="665">
        <v>862.84</v>
      </c>
      <c r="F28" s="370"/>
      <c r="G28" s="666" t="s">
        <v>10</v>
      </c>
    </row>
    <row r="29" spans="1:14">
      <c r="A29" s="436">
        <v>66</v>
      </c>
      <c r="B29" s="57" t="s">
        <v>11</v>
      </c>
      <c r="C29" s="57">
        <v>1040124</v>
      </c>
      <c r="D29" s="266">
        <v>45847</v>
      </c>
      <c r="E29" s="233">
        <v>12.2</v>
      </c>
      <c r="F29" s="57" t="s">
        <v>1367</v>
      </c>
      <c r="G29" s="655" t="s">
        <v>10</v>
      </c>
    </row>
    <row r="30" spans="1:14" ht="14.4" thickBot="1">
      <c r="A30" s="375">
        <v>87</v>
      </c>
      <c r="B30" s="376" t="s">
        <v>11</v>
      </c>
      <c r="C30" s="376">
        <v>1040258</v>
      </c>
      <c r="D30" s="377">
        <v>45847</v>
      </c>
      <c r="E30" s="378">
        <v>5.25</v>
      </c>
      <c r="F30" s="376" t="s">
        <v>1367</v>
      </c>
      <c r="G30" s="656" t="s">
        <v>10</v>
      </c>
    </row>
    <row r="31" spans="1:14" ht="14.4" thickTop="1">
      <c r="A31" s="57"/>
      <c r="C31" s="57"/>
      <c r="D31" s="266"/>
    </row>
    <row r="32" spans="1:14">
      <c r="A32" s="57"/>
      <c r="C32" s="57"/>
      <c r="D32" s="266"/>
    </row>
    <row r="33" spans="1:7">
      <c r="A33" s="57"/>
      <c r="C33" s="57"/>
      <c r="D33" s="266"/>
    </row>
    <row r="34" spans="1:7">
      <c r="A34" s="57"/>
      <c r="C34" s="57"/>
      <c r="D34" s="272"/>
    </row>
    <row r="35" spans="1:7">
      <c r="A35" s="57"/>
      <c r="C35" s="57"/>
      <c r="D35" s="272"/>
    </row>
    <row r="36" spans="1:7">
      <c r="A36" s="57"/>
      <c r="C36" s="57"/>
      <c r="D36" s="272"/>
    </row>
    <row r="37" spans="1:7">
      <c r="A37" s="57"/>
      <c r="C37" s="57"/>
      <c r="D37" s="272"/>
    </row>
    <row r="38" spans="1:7">
      <c r="A38" s="57"/>
      <c r="C38" s="57"/>
      <c r="D38" s="272"/>
    </row>
    <row r="39" spans="1:7">
      <c r="A39" s="254"/>
      <c r="B39" s="243"/>
      <c r="C39" s="254"/>
      <c r="D39" s="273"/>
      <c r="E39" s="235"/>
      <c r="F39" s="254"/>
      <c r="G39" s="236"/>
    </row>
    <row r="40" spans="1:7">
      <c r="A40" s="274"/>
      <c r="B40" s="271"/>
      <c r="C40" s="274"/>
      <c r="D40" s="275"/>
      <c r="E40" s="237"/>
      <c r="F40" s="274"/>
      <c r="G40" s="238"/>
    </row>
    <row r="41" spans="1:7">
      <c r="A41" s="57"/>
      <c r="C41" s="57"/>
      <c r="D41" s="272"/>
    </row>
    <row r="42" spans="1:7">
      <c r="A42" s="254"/>
      <c r="B42" s="243"/>
      <c r="C42" s="254"/>
      <c r="D42" s="273"/>
      <c r="E42" s="235"/>
      <c r="F42" s="254"/>
      <c r="G42" s="236"/>
    </row>
    <row r="43" spans="1:7">
      <c r="A43" s="274"/>
      <c r="B43" s="271"/>
      <c r="C43" s="274"/>
      <c r="D43" s="275"/>
      <c r="E43" s="237"/>
      <c r="F43" s="274"/>
      <c r="G43" s="238"/>
    </row>
    <row r="44" spans="1:7">
      <c r="A44" s="274"/>
      <c r="B44" s="271"/>
      <c r="C44" s="274"/>
      <c r="D44" s="275"/>
      <c r="E44" s="237"/>
      <c r="F44" s="274"/>
      <c r="G44" s="238"/>
    </row>
    <row r="45" spans="1:7">
      <c r="A45" s="274"/>
      <c r="B45" s="271"/>
      <c r="C45" s="274"/>
      <c r="D45" s="275"/>
      <c r="E45" s="237"/>
      <c r="F45" s="274"/>
      <c r="G45" s="238"/>
    </row>
    <row r="46" spans="1:7">
      <c r="A46" s="57"/>
      <c r="C46" s="57"/>
      <c r="D46" s="272"/>
    </row>
    <row r="47" spans="1:7">
      <c r="A47" s="57"/>
      <c r="C47" s="57"/>
      <c r="D47" s="266"/>
    </row>
    <row r="48" spans="1:7">
      <c r="A48" s="57"/>
      <c r="C48" s="57"/>
      <c r="D48" s="266"/>
    </row>
    <row r="49" spans="1:7">
      <c r="A49" s="57"/>
      <c r="C49" s="57"/>
      <c r="D49" s="266"/>
    </row>
    <row r="50" spans="1:7">
      <c r="A50" s="254"/>
      <c r="B50" s="243"/>
      <c r="C50" s="254"/>
      <c r="D50" s="255"/>
      <c r="E50" s="235"/>
      <c r="F50" s="254"/>
      <c r="G50" s="236"/>
    </row>
    <row r="51" spans="1:7">
      <c r="A51" s="254"/>
      <c r="B51" s="243"/>
      <c r="C51" s="254"/>
      <c r="D51" s="255"/>
      <c r="E51" s="235"/>
      <c r="F51" s="254"/>
      <c r="G51" s="236"/>
    </row>
    <row r="52" spans="1:7">
      <c r="A52" s="254"/>
      <c r="B52" s="243"/>
      <c r="C52" s="254"/>
      <c r="D52" s="255"/>
      <c r="E52" s="235"/>
      <c r="F52" s="254"/>
      <c r="G52" s="236"/>
    </row>
    <row r="53" spans="1:7">
      <c r="A53" s="254"/>
      <c r="B53" s="243"/>
      <c r="C53" s="254"/>
      <c r="D53" s="255"/>
      <c r="E53" s="235"/>
      <c r="F53" s="254"/>
      <c r="G53" s="236"/>
    </row>
    <row r="54" spans="1:7">
      <c r="A54" s="57"/>
      <c r="C54" s="57"/>
      <c r="D54" s="266"/>
    </row>
    <row r="55" spans="1:7">
      <c r="A55" s="57"/>
      <c r="C55" s="57"/>
      <c r="D55" s="266"/>
    </row>
    <row r="56" spans="1:7">
      <c r="A56" s="57"/>
      <c r="C56" s="57"/>
      <c r="D56" s="266"/>
    </row>
    <row r="57" spans="1:7">
      <c r="A57" s="57"/>
      <c r="C57" s="57"/>
      <c r="D57" s="266"/>
    </row>
    <row r="58" spans="1:7">
      <c r="A58" s="57"/>
      <c r="C58" s="57"/>
      <c r="D58" s="266"/>
    </row>
    <row r="59" spans="1:7">
      <c r="A59" s="57"/>
      <c r="C59" s="57"/>
      <c r="D59" s="266"/>
    </row>
    <row r="60" spans="1:7">
      <c r="A60" s="57"/>
      <c r="C60" s="57"/>
      <c r="D60" s="266"/>
    </row>
    <row r="61" spans="1:7">
      <c r="A61" s="57"/>
      <c r="C61" s="57"/>
      <c r="D61" s="266"/>
    </row>
    <row r="62" spans="1:7">
      <c r="A62" s="57"/>
      <c r="C62" s="57"/>
      <c r="D62" s="266"/>
    </row>
    <row r="63" spans="1:7">
      <c r="A63" s="57"/>
      <c r="C63" s="57"/>
      <c r="D63" s="266"/>
    </row>
    <row r="64" spans="1:7">
      <c r="A64" s="57"/>
      <c r="C64" s="57"/>
      <c r="D64" s="266"/>
    </row>
    <row r="65" spans="1:4">
      <c r="A65" s="57"/>
      <c r="C65" s="57"/>
      <c r="D65" s="266"/>
    </row>
    <row r="66" spans="1:4">
      <c r="A66" s="57"/>
      <c r="C66" s="57"/>
      <c r="D66" s="266"/>
    </row>
    <row r="67" spans="1:4">
      <c r="A67" s="57"/>
      <c r="C67" s="57"/>
      <c r="D67" s="266"/>
    </row>
    <row r="68" spans="1:4">
      <c r="A68" s="57"/>
      <c r="C68" s="57"/>
      <c r="D68" s="266"/>
    </row>
    <row r="69" spans="1:4">
      <c r="A69" s="57"/>
      <c r="C69" s="57"/>
      <c r="D69" s="266"/>
    </row>
    <row r="70" spans="1:4">
      <c r="A70" s="57"/>
      <c r="C70" s="57"/>
      <c r="D70" s="266"/>
    </row>
    <row r="71" spans="1:4">
      <c r="A71" s="57"/>
      <c r="C71" s="57"/>
      <c r="D71" s="266"/>
    </row>
    <row r="72" spans="1:4">
      <c r="A72" s="57"/>
      <c r="C72" s="57"/>
      <c r="D72" s="266"/>
    </row>
    <row r="73" spans="1:4">
      <c r="A73" s="57"/>
      <c r="C73" s="57"/>
    </row>
    <row r="74" spans="1:4">
      <c r="A74" s="57"/>
      <c r="C74" s="57"/>
    </row>
    <row r="75" spans="1:4">
      <c r="A75" s="57"/>
      <c r="C75" s="57"/>
    </row>
    <row r="76" spans="1:4">
      <c r="A76" s="57"/>
      <c r="C76" s="57"/>
    </row>
    <row r="77" spans="1:4">
      <c r="A77" s="57"/>
      <c r="C77" s="57"/>
    </row>
    <row r="78" spans="1:4">
      <c r="A78" s="57"/>
      <c r="C78" s="57"/>
    </row>
    <row r="79" spans="1:4">
      <c r="A79" s="57"/>
      <c r="C79" s="57"/>
    </row>
    <row r="80" spans="1:4">
      <c r="A80" s="57"/>
      <c r="C80" s="57"/>
    </row>
    <row r="81" spans="1:5">
      <c r="A81" s="57"/>
      <c r="C81" s="57"/>
    </row>
    <row r="82" spans="1:5">
      <c r="A82" s="57"/>
      <c r="C82" s="57"/>
    </row>
    <row r="83" spans="1:5">
      <c r="A83" s="267"/>
      <c r="B83" s="261"/>
      <c r="C83" s="267"/>
      <c r="D83" s="260"/>
      <c r="E83" s="239"/>
    </row>
    <row r="84" spans="1:5">
      <c r="A84" s="267"/>
      <c r="B84" s="261"/>
      <c r="C84" s="267"/>
      <c r="D84" s="260"/>
      <c r="E84" s="239"/>
    </row>
  </sheetData>
  <autoFilter ref="A1:G72" xr:uid="{AAEC7035-8B58-40E4-A334-A58BFCAB343D}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D16E0-EE00-4446-8B5B-9F875EDD71A6}">
  <sheetPr>
    <tabColor rgb="FFFFFF00"/>
  </sheetPr>
  <dimension ref="A1:K87"/>
  <sheetViews>
    <sheetView showGridLines="0" topLeftCell="B1" zoomScaleNormal="100" workbookViewId="0">
      <selection activeCellId="1" sqref="I8 A1:XFD1048576"/>
    </sheetView>
  </sheetViews>
  <sheetFormatPr defaultColWidth="8.8984375" defaultRowHeight="13.8"/>
  <cols>
    <col min="1" max="1" width="5.5" style="250" bestFit="1" customWidth="1"/>
    <col min="2" max="2" width="15.09765625" style="242" bestFit="1" customWidth="1"/>
    <col min="3" max="3" width="7.796875" style="242" bestFit="1" customWidth="1"/>
    <col min="4" max="4" width="13.69921875" style="57" bestFit="1" customWidth="1"/>
    <col min="5" max="5" width="15.296875" style="214" bestFit="1" customWidth="1"/>
    <col min="6" max="6" width="18.8984375" style="57" customWidth="1"/>
    <col min="7" max="7" width="28.5" style="213" bestFit="1" customWidth="1"/>
    <col min="8" max="8" width="16.5" style="57" bestFit="1" customWidth="1"/>
    <col min="9" max="9" width="3.19921875" style="57" bestFit="1" customWidth="1"/>
    <col min="10" max="10" width="27.5" style="250" bestFit="1" customWidth="1"/>
    <col min="11" max="11" width="15.3984375" style="213" bestFit="1" customWidth="1"/>
    <col min="12" max="16384" width="8.8984375" style="250"/>
  </cols>
  <sheetData>
    <row r="1" spans="1:11" ht="14.4" thickBot="1">
      <c r="A1" s="369" t="s">
        <v>0</v>
      </c>
      <c r="B1" s="369" t="s">
        <v>1</v>
      </c>
      <c r="C1" s="369" t="s">
        <v>2</v>
      </c>
      <c r="D1" s="369" t="s">
        <v>1322</v>
      </c>
      <c r="E1" s="371" t="s">
        <v>1323</v>
      </c>
      <c r="F1" s="370" t="s">
        <v>3</v>
      </c>
      <c r="G1" s="369" t="s">
        <v>4</v>
      </c>
      <c r="H1" s="6"/>
      <c r="I1" s="713"/>
      <c r="J1" s="370" t="s">
        <v>5</v>
      </c>
      <c r="K1" s="372" t="s">
        <v>1324</v>
      </c>
    </row>
    <row r="2" spans="1:11" ht="14.4" thickTop="1">
      <c r="A2" s="57">
        <v>1</v>
      </c>
      <c r="B2" s="57" t="s">
        <v>7</v>
      </c>
      <c r="C2" s="57">
        <v>2130870</v>
      </c>
      <c r="D2" s="266">
        <v>45848</v>
      </c>
      <c r="E2" s="233">
        <v>417556.43</v>
      </c>
      <c r="F2" s="57" t="s">
        <v>32</v>
      </c>
      <c r="G2" s="229" t="s">
        <v>10</v>
      </c>
      <c r="I2" s="57" t="s">
        <v>10</v>
      </c>
      <c r="J2" s="92">
        <v>174595</v>
      </c>
      <c r="K2" s="387">
        <v>118542.70000000006</v>
      </c>
    </row>
    <row r="3" spans="1:11">
      <c r="A3" s="57">
        <v>2</v>
      </c>
      <c r="B3" s="57" t="s">
        <v>7</v>
      </c>
      <c r="C3" s="57">
        <v>2130870</v>
      </c>
      <c r="D3" s="266">
        <v>45848</v>
      </c>
      <c r="E3" s="233">
        <v>2696.71</v>
      </c>
      <c r="F3" s="57" t="s">
        <v>8</v>
      </c>
      <c r="G3" s="229" t="s">
        <v>10</v>
      </c>
      <c r="I3" s="57" t="s">
        <v>10</v>
      </c>
      <c r="J3" s="91">
        <v>174598</v>
      </c>
      <c r="K3" s="394">
        <v>1600.78</v>
      </c>
    </row>
    <row r="4" spans="1:11">
      <c r="A4" s="57">
        <v>3</v>
      </c>
      <c r="B4" s="57" t="s">
        <v>7</v>
      </c>
      <c r="C4" s="57">
        <v>2060855</v>
      </c>
      <c r="D4" s="266">
        <v>45848</v>
      </c>
      <c r="E4" s="233">
        <v>7000000</v>
      </c>
      <c r="F4" s="57" t="s">
        <v>1398</v>
      </c>
      <c r="G4" s="229" t="s">
        <v>10</v>
      </c>
      <c r="I4" s="57" t="s">
        <v>10</v>
      </c>
      <c r="J4" s="370">
        <v>174606</v>
      </c>
      <c r="K4" s="665">
        <v>277848.20999999996</v>
      </c>
    </row>
    <row r="5" spans="1:11">
      <c r="A5" s="6">
        <v>5</v>
      </c>
      <c r="B5" s="6" t="s">
        <v>7</v>
      </c>
      <c r="C5" s="6">
        <v>2140632</v>
      </c>
      <c r="D5" s="373">
        <v>45848</v>
      </c>
      <c r="E5" s="229">
        <v>354973.87</v>
      </c>
      <c r="G5" s="229" t="s">
        <v>10</v>
      </c>
      <c r="I5" s="57" t="s">
        <v>10</v>
      </c>
      <c r="J5" s="381">
        <v>174616</v>
      </c>
      <c r="K5" s="383">
        <v>2517795.3900000006</v>
      </c>
    </row>
    <row r="6" spans="1:11" ht="14.4" thickBot="1">
      <c r="A6" s="6">
        <v>6</v>
      </c>
      <c r="B6" s="6" t="s">
        <v>13</v>
      </c>
      <c r="C6" s="6">
        <v>2090821</v>
      </c>
      <c r="D6" s="373">
        <v>45848</v>
      </c>
      <c r="E6" s="229">
        <v>234.32</v>
      </c>
      <c r="G6" s="229" t="s">
        <v>10</v>
      </c>
      <c r="I6" s="57" t="s">
        <v>10</v>
      </c>
      <c r="J6" s="419">
        <v>174620</v>
      </c>
      <c r="K6" s="421">
        <v>46523.93</v>
      </c>
    </row>
    <row r="7" spans="1:11" ht="14.4" thickTop="1">
      <c r="A7" s="669">
        <v>7</v>
      </c>
      <c r="B7" s="670" t="s">
        <v>11</v>
      </c>
      <c r="C7" s="670">
        <v>1170470</v>
      </c>
      <c r="D7" s="671">
        <v>45848</v>
      </c>
      <c r="E7" s="653">
        <v>12067.04</v>
      </c>
      <c r="F7" s="670" t="s">
        <v>1353</v>
      </c>
      <c r="G7" s="654" t="s">
        <v>10</v>
      </c>
      <c r="I7" s="57" t="s">
        <v>10</v>
      </c>
      <c r="J7" s="424">
        <v>174621</v>
      </c>
      <c r="K7" s="426">
        <v>1276576.69</v>
      </c>
    </row>
    <row r="8" spans="1:11">
      <c r="A8" s="436">
        <v>8</v>
      </c>
      <c r="B8" s="57" t="s">
        <v>11</v>
      </c>
      <c r="C8" s="57">
        <v>1170470</v>
      </c>
      <c r="D8" s="266">
        <v>45848</v>
      </c>
      <c r="E8" s="233">
        <v>69782.600000000006</v>
      </c>
      <c r="F8" s="57" t="s">
        <v>1353</v>
      </c>
      <c r="G8" s="655" t="s">
        <v>10</v>
      </c>
      <c r="I8" s="57" t="s">
        <v>10</v>
      </c>
      <c r="J8" s="469">
        <v>174623</v>
      </c>
      <c r="K8" s="470">
        <v>25920.73</v>
      </c>
    </row>
    <row r="9" spans="1:11">
      <c r="A9" s="708">
        <v>19</v>
      </c>
      <c r="B9" s="709" t="s">
        <v>11</v>
      </c>
      <c r="C9" s="709">
        <v>1200393</v>
      </c>
      <c r="D9" s="710">
        <v>45848</v>
      </c>
      <c r="E9" s="711">
        <v>37927.96</v>
      </c>
      <c r="F9" s="709"/>
      <c r="G9" s="712" t="s">
        <v>10</v>
      </c>
      <c r="I9" s="57" t="s">
        <v>10</v>
      </c>
      <c r="J9" s="709">
        <v>174626</v>
      </c>
      <c r="K9" s="711">
        <v>37927.96</v>
      </c>
    </row>
    <row r="10" spans="1:11">
      <c r="A10" s="385">
        <v>24</v>
      </c>
      <c r="B10" s="92" t="s">
        <v>11</v>
      </c>
      <c r="C10" s="92">
        <v>1200393</v>
      </c>
      <c r="D10" s="386">
        <v>45848</v>
      </c>
      <c r="E10" s="387">
        <v>13360.65</v>
      </c>
      <c r="F10" s="92"/>
      <c r="G10" s="657" t="s">
        <v>10</v>
      </c>
      <c r="I10" s="57" t="s">
        <v>10</v>
      </c>
      <c r="J10" s="720">
        <v>174627</v>
      </c>
      <c r="K10" s="722">
        <v>480882.77999999997</v>
      </c>
    </row>
    <row r="11" spans="1:11">
      <c r="A11" s="385">
        <v>25</v>
      </c>
      <c r="B11" s="92" t="s">
        <v>11</v>
      </c>
      <c r="C11" s="92">
        <v>1040211</v>
      </c>
      <c r="D11" s="386">
        <v>45848</v>
      </c>
      <c r="E11" s="387">
        <v>105182.05</v>
      </c>
      <c r="F11" s="92"/>
      <c r="G11" s="657" t="s">
        <v>10</v>
      </c>
      <c r="I11" s="57" t="s">
        <v>10</v>
      </c>
      <c r="J11" s="715">
        <v>174628</v>
      </c>
      <c r="K11" s="717">
        <v>336708.65</v>
      </c>
    </row>
    <row r="12" spans="1:11">
      <c r="A12" s="380">
        <v>27</v>
      </c>
      <c r="B12" s="381" t="s">
        <v>11</v>
      </c>
      <c r="C12" s="381">
        <v>1040211</v>
      </c>
      <c r="D12" s="382">
        <v>45848</v>
      </c>
      <c r="E12" s="383">
        <v>1701640.26</v>
      </c>
      <c r="F12" s="381"/>
      <c r="G12" s="706" t="s">
        <v>10</v>
      </c>
      <c r="I12" s="57" t="s">
        <v>10</v>
      </c>
      <c r="J12" s="404" t="s">
        <v>1407</v>
      </c>
      <c r="K12" s="406">
        <v>131.31</v>
      </c>
    </row>
    <row r="13" spans="1:11">
      <c r="A13" s="380">
        <v>28</v>
      </c>
      <c r="B13" s="381" t="s">
        <v>11</v>
      </c>
      <c r="C13" s="381">
        <v>1200393</v>
      </c>
      <c r="D13" s="382">
        <v>45848</v>
      </c>
      <c r="E13" s="383">
        <v>11525.06</v>
      </c>
      <c r="F13" s="381"/>
      <c r="G13" s="706" t="s">
        <v>10</v>
      </c>
      <c r="I13" s="57" t="s">
        <v>10</v>
      </c>
      <c r="J13" s="414" t="s">
        <v>1408</v>
      </c>
      <c r="K13" s="416">
        <v>11755.83</v>
      </c>
    </row>
    <row r="14" spans="1:11">
      <c r="A14" s="380">
        <v>29</v>
      </c>
      <c r="B14" s="381" t="s">
        <v>11</v>
      </c>
      <c r="C14" s="381">
        <v>1200393</v>
      </c>
      <c r="D14" s="382">
        <v>45848</v>
      </c>
      <c r="E14" s="383">
        <v>804630.07</v>
      </c>
      <c r="F14" s="381"/>
      <c r="G14" s="706" t="s">
        <v>10</v>
      </c>
      <c r="I14" s="57" t="s">
        <v>10</v>
      </c>
      <c r="J14" s="694" t="s">
        <v>1409</v>
      </c>
      <c r="K14" s="696">
        <v>183.41</v>
      </c>
    </row>
    <row r="15" spans="1:11">
      <c r="A15" s="436">
        <v>30</v>
      </c>
      <c r="B15" s="57" t="s">
        <v>11</v>
      </c>
      <c r="C15" s="57">
        <v>1060345</v>
      </c>
      <c r="D15" s="266">
        <v>45848</v>
      </c>
      <c r="E15" s="233">
        <v>350000</v>
      </c>
      <c r="F15" s="57" t="s">
        <v>1378</v>
      </c>
      <c r="G15" s="655" t="s">
        <v>10</v>
      </c>
      <c r="I15" s="57" t="s">
        <v>10</v>
      </c>
      <c r="J15" s="533">
        <v>174896</v>
      </c>
      <c r="K15" s="750">
        <v>1296.54</v>
      </c>
    </row>
    <row r="16" spans="1:11">
      <c r="A16" s="931">
        <v>33</v>
      </c>
      <c r="B16" s="930" t="s">
        <v>11</v>
      </c>
      <c r="C16" s="930">
        <v>1040375</v>
      </c>
      <c r="D16" s="932">
        <v>45848</v>
      </c>
      <c r="E16" s="929">
        <v>125692.91</v>
      </c>
      <c r="F16" s="930"/>
      <c r="G16" s="933" t="s">
        <v>10</v>
      </c>
      <c r="H16" s="57" t="s">
        <v>1366</v>
      </c>
      <c r="I16" s="57" t="s">
        <v>10</v>
      </c>
      <c r="J16" s="847">
        <v>174897</v>
      </c>
      <c r="K16" s="848">
        <v>113293.12</v>
      </c>
    </row>
    <row r="17" spans="1:11">
      <c r="A17" s="403">
        <v>36</v>
      </c>
      <c r="B17" s="404" t="s">
        <v>11</v>
      </c>
      <c r="C17" s="404">
        <v>1040375</v>
      </c>
      <c r="D17" s="405">
        <v>45848</v>
      </c>
      <c r="E17" s="406">
        <v>62.97</v>
      </c>
      <c r="F17" s="404"/>
      <c r="G17" s="707" t="s">
        <v>10</v>
      </c>
      <c r="I17" s="57" t="s">
        <v>10</v>
      </c>
      <c r="J17" s="845">
        <v>174902</v>
      </c>
      <c r="K17" s="846">
        <v>46840.69</v>
      </c>
    </row>
    <row r="18" spans="1:11">
      <c r="A18" s="403">
        <v>38</v>
      </c>
      <c r="B18" s="404" t="s">
        <v>11</v>
      </c>
      <c r="C18" s="404">
        <v>1040375</v>
      </c>
      <c r="D18" s="405">
        <v>45848</v>
      </c>
      <c r="E18" s="406">
        <v>68.34</v>
      </c>
      <c r="F18" s="404"/>
      <c r="G18" s="707" t="s">
        <v>10</v>
      </c>
      <c r="I18" s="57" t="s">
        <v>10</v>
      </c>
      <c r="J18" s="869">
        <v>174905</v>
      </c>
      <c r="K18" s="870">
        <v>2860.3</v>
      </c>
    </row>
    <row r="19" spans="1:11">
      <c r="A19" s="748">
        <v>40</v>
      </c>
      <c r="B19" s="533" t="s">
        <v>11</v>
      </c>
      <c r="C19" s="533">
        <v>1040375</v>
      </c>
      <c r="D19" s="749">
        <v>45848</v>
      </c>
      <c r="E19" s="750">
        <v>1296.54</v>
      </c>
      <c r="F19" s="533"/>
      <c r="G19" s="751" t="s">
        <v>10</v>
      </c>
      <c r="H19" s="57" t="s">
        <v>1366</v>
      </c>
      <c r="I19" s="57" t="s">
        <v>10</v>
      </c>
      <c r="J19" s="925" t="s">
        <v>1461</v>
      </c>
      <c r="K19" s="926">
        <v>1027.5</v>
      </c>
    </row>
    <row r="20" spans="1:11">
      <c r="A20" s="849">
        <v>42</v>
      </c>
      <c r="B20" s="847" t="s">
        <v>11</v>
      </c>
      <c r="C20" s="847">
        <v>1040375</v>
      </c>
      <c r="D20" s="850">
        <v>45848</v>
      </c>
      <c r="E20" s="848">
        <v>113293.12</v>
      </c>
      <c r="F20" s="847"/>
      <c r="G20" s="866" t="s">
        <v>10</v>
      </c>
      <c r="H20" s="57" t="s">
        <v>1366</v>
      </c>
      <c r="I20" s="57" t="s">
        <v>10</v>
      </c>
      <c r="J20" s="934">
        <v>174928</v>
      </c>
      <c r="K20" s="928">
        <v>1665.77</v>
      </c>
    </row>
    <row r="21" spans="1:11">
      <c r="A21" s="693">
        <v>43</v>
      </c>
      <c r="B21" s="694" t="s">
        <v>11</v>
      </c>
      <c r="C21" s="694">
        <v>1040375</v>
      </c>
      <c r="D21" s="695">
        <v>45848</v>
      </c>
      <c r="E21" s="696">
        <v>57.17</v>
      </c>
      <c r="F21" s="694"/>
      <c r="G21" s="697" t="s">
        <v>10</v>
      </c>
      <c r="I21" s="57" t="s">
        <v>10</v>
      </c>
      <c r="J21" s="930">
        <v>174929</v>
      </c>
      <c r="K21" s="929">
        <v>1272.26</v>
      </c>
    </row>
    <row r="22" spans="1:11">
      <c r="A22" s="871">
        <v>44</v>
      </c>
      <c r="B22" s="845" t="s">
        <v>11</v>
      </c>
      <c r="C22" s="845">
        <v>1040375</v>
      </c>
      <c r="D22" s="872">
        <v>45848</v>
      </c>
      <c r="E22" s="846">
        <v>46840.69</v>
      </c>
      <c r="F22" s="845"/>
      <c r="G22" s="873" t="s">
        <v>10</v>
      </c>
      <c r="H22" s="57" t="s">
        <v>1366</v>
      </c>
      <c r="I22" s="57" t="s">
        <v>10</v>
      </c>
      <c r="J22" s="930">
        <v>174933</v>
      </c>
      <c r="K22" s="929">
        <v>1096.21</v>
      </c>
    </row>
    <row r="23" spans="1:11">
      <c r="A23" s="693">
        <v>45</v>
      </c>
      <c r="B23" s="694" t="s">
        <v>11</v>
      </c>
      <c r="C23" s="694">
        <v>1040375</v>
      </c>
      <c r="D23" s="695">
        <v>45848</v>
      </c>
      <c r="E23" s="696">
        <v>126.24</v>
      </c>
      <c r="F23" s="694"/>
      <c r="G23" s="697" t="s">
        <v>10</v>
      </c>
      <c r="I23" s="57" t="s">
        <v>10</v>
      </c>
      <c r="J23" s="930">
        <v>174936</v>
      </c>
      <c r="K23" s="929">
        <v>1006.6</v>
      </c>
    </row>
    <row r="24" spans="1:11">
      <c r="A24" s="874">
        <v>50</v>
      </c>
      <c r="B24" s="869" t="s">
        <v>11</v>
      </c>
      <c r="C24" s="869">
        <v>1040303</v>
      </c>
      <c r="D24" s="875">
        <v>45848</v>
      </c>
      <c r="E24" s="870">
        <v>2860.3</v>
      </c>
      <c r="F24" s="869"/>
      <c r="G24" s="876" t="s">
        <v>10</v>
      </c>
      <c r="H24" s="57" t="s">
        <v>1410</v>
      </c>
      <c r="I24" s="57" t="s">
        <v>10</v>
      </c>
      <c r="J24" s="930">
        <v>174938</v>
      </c>
      <c r="K24" s="929">
        <v>861.45</v>
      </c>
    </row>
    <row r="25" spans="1:11">
      <c r="A25" s="842">
        <v>51</v>
      </c>
      <c r="B25" s="840" t="s">
        <v>11</v>
      </c>
      <c r="C25" s="840">
        <v>1040303</v>
      </c>
      <c r="D25" s="843">
        <v>45848</v>
      </c>
      <c r="E25" s="841">
        <v>1027.5</v>
      </c>
      <c r="F25" s="840"/>
      <c r="G25" s="927" t="s">
        <v>10</v>
      </c>
      <c r="H25" s="57" t="s">
        <v>1410</v>
      </c>
      <c r="I25" s="57" t="s">
        <v>10</v>
      </c>
      <c r="J25" s="930">
        <v>174941</v>
      </c>
      <c r="K25" s="929">
        <v>593.34</v>
      </c>
    </row>
    <row r="26" spans="1:11">
      <c r="A26" s="935">
        <v>52</v>
      </c>
      <c r="B26" s="934" t="s">
        <v>11</v>
      </c>
      <c r="C26" s="934">
        <v>1040375</v>
      </c>
      <c r="D26" s="936">
        <v>45848</v>
      </c>
      <c r="E26" s="928">
        <v>1665.77</v>
      </c>
      <c r="F26" s="934"/>
      <c r="G26" s="937" t="s">
        <v>10</v>
      </c>
      <c r="H26" s="57" t="s">
        <v>1366</v>
      </c>
      <c r="I26" s="57" t="s">
        <v>10</v>
      </c>
      <c r="J26" s="930">
        <v>174943</v>
      </c>
      <c r="K26" s="929">
        <v>501.54</v>
      </c>
    </row>
    <row r="27" spans="1:11">
      <c r="A27" s="931">
        <v>53</v>
      </c>
      <c r="B27" s="930" t="s">
        <v>11</v>
      </c>
      <c r="C27" s="930">
        <v>1040375</v>
      </c>
      <c r="D27" s="932">
        <v>45848</v>
      </c>
      <c r="E27" s="929">
        <v>1272.26</v>
      </c>
      <c r="F27" s="930"/>
      <c r="G27" s="933" t="s">
        <v>10</v>
      </c>
      <c r="H27" s="57" t="s">
        <v>1366</v>
      </c>
      <c r="I27" s="57" t="s">
        <v>10</v>
      </c>
      <c r="J27" s="930">
        <v>174944</v>
      </c>
      <c r="K27" s="929">
        <v>125692.91</v>
      </c>
    </row>
    <row r="28" spans="1:11">
      <c r="A28" s="931">
        <v>54</v>
      </c>
      <c r="B28" s="930" t="s">
        <v>11</v>
      </c>
      <c r="C28" s="930">
        <v>1040375</v>
      </c>
      <c r="D28" s="932">
        <v>45848</v>
      </c>
      <c r="E28" s="929">
        <v>1096.21</v>
      </c>
      <c r="F28" s="930"/>
      <c r="G28" s="933" t="s">
        <v>10</v>
      </c>
      <c r="H28" s="57" t="s">
        <v>1366</v>
      </c>
      <c r="J28" s="250">
        <v>175138</v>
      </c>
      <c r="K28" s="213">
        <v>2655.83</v>
      </c>
    </row>
    <row r="29" spans="1:11">
      <c r="A29" s="931">
        <v>55</v>
      </c>
      <c r="B29" s="930" t="s">
        <v>11</v>
      </c>
      <c r="C29" s="930">
        <v>1040375</v>
      </c>
      <c r="D29" s="932">
        <v>45848</v>
      </c>
      <c r="E29" s="929">
        <v>1006.6</v>
      </c>
      <c r="F29" s="930"/>
      <c r="G29" s="933" t="s">
        <v>10</v>
      </c>
      <c r="H29" s="57" t="s">
        <v>1366</v>
      </c>
    </row>
    <row r="30" spans="1:11">
      <c r="A30" s="931">
        <v>56</v>
      </c>
      <c r="B30" s="930" t="s">
        <v>11</v>
      </c>
      <c r="C30" s="930">
        <v>1040375</v>
      </c>
      <c r="D30" s="932">
        <v>45848</v>
      </c>
      <c r="E30" s="929">
        <v>593.34</v>
      </c>
      <c r="F30" s="930"/>
      <c r="G30" s="933" t="s">
        <v>10</v>
      </c>
      <c r="H30" s="57" t="s">
        <v>1366</v>
      </c>
    </row>
    <row r="31" spans="1:11">
      <c r="A31" s="423">
        <v>58</v>
      </c>
      <c r="B31" s="424" t="s">
        <v>11</v>
      </c>
      <c r="C31" s="424">
        <v>1040303</v>
      </c>
      <c r="D31" s="425">
        <v>45848</v>
      </c>
      <c r="E31" s="426">
        <v>1023773.97</v>
      </c>
      <c r="F31" s="424"/>
      <c r="G31" s="668" t="s">
        <v>10</v>
      </c>
    </row>
    <row r="32" spans="1:11">
      <c r="A32" s="418">
        <v>61</v>
      </c>
      <c r="B32" s="419" t="s">
        <v>11</v>
      </c>
      <c r="C32" s="419">
        <v>1040109</v>
      </c>
      <c r="D32" s="420">
        <v>45848</v>
      </c>
      <c r="E32" s="421">
        <v>1427.07</v>
      </c>
      <c r="F32" s="419"/>
      <c r="G32" s="662" t="s">
        <v>10</v>
      </c>
    </row>
    <row r="33" spans="1:8">
      <c r="A33" s="418">
        <v>62</v>
      </c>
      <c r="B33" s="419" t="s">
        <v>11</v>
      </c>
      <c r="C33" s="419">
        <v>1040109</v>
      </c>
      <c r="D33" s="420">
        <v>45848</v>
      </c>
      <c r="E33" s="421">
        <v>681.92</v>
      </c>
      <c r="F33" s="419"/>
      <c r="G33" s="662" t="s">
        <v>10</v>
      </c>
    </row>
    <row r="34" spans="1:8">
      <c r="A34" s="418">
        <v>64</v>
      </c>
      <c r="B34" s="419" t="s">
        <v>11</v>
      </c>
      <c r="C34" s="419">
        <v>1040109</v>
      </c>
      <c r="D34" s="420">
        <v>45848</v>
      </c>
      <c r="E34" s="421">
        <v>21000</v>
      </c>
      <c r="F34" s="419"/>
      <c r="G34" s="662" t="s">
        <v>10</v>
      </c>
    </row>
    <row r="35" spans="1:8">
      <c r="A35" s="418">
        <v>66</v>
      </c>
      <c r="B35" s="419" t="s">
        <v>11</v>
      </c>
      <c r="C35" s="419">
        <v>1040109</v>
      </c>
      <c r="D35" s="420">
        <v>45848</v>
      </c>
      <c r="E35" s="421">
        <v>23414.94</v>
      </c>
      <c r="F35" s="419"/>
      <c r="G35" s="662" t="s">
        <v>10</v>
      </c>
    </row>
    <row r="36" spans="1:8">
      <c r="A36" s="931">
        <v>67</v>
      </c>
      <c r="B36" s="930" t="s">
        <v>11</v>
      </c>
      <c r="C36" s="930">
        <v>1040109</v>
      </c>
      <c r="D36" s="932">
        <v>45848</v>
      </c>
      <c r="E36" s="929">
        <v>861.45</v>
      </c>
      <c r="F36" s="930"/>
      <c r="G36" s="933" t="s">
        <v>10</v>
      </c>
      <c r="H36" s="57" t="s">
        <v>1411</v>
      </c>
    </row>
    <row r="37" spans="1:8">
      <c r="A37" s="395">
        <v>69</v>
      </c>
      <c r="B37" s="91" t="s">
        <v>11</v>
      </c>
      <c r="C37" s="91">
        <v>1040109</v>
      </c>
      <c r="D37" s="396">
        <v>45848</v>
      </c>
      <c r="E37" s="394">
        <v>661.21</v>
      </c>
      <c r="F37" s="91"/>
      <c r="G37" s="661" t="s">
        <v>10</v>
      </c>
    </row>
    <row r="38" spans="1:8">
      <c r="A38" s="395">
        <v>70</v>
      </c>
      <c r="B38" s="91" t="s">
        <v>11</v>
      </c>
      <c r="C38" s="91">
        <v>1040109</v>
      </c>
      <c r="D38" s="396">
        <v>45848</v>
      </c>
      <c r="E38" s="394">
        <v>664.92</v>
      </c>
      <c r="F38" s="91"/>
      <c r="G38" s="661" t="s">
        <v>10</v>
      </c>
    </row>
    <row r="39" spans="1:8">
      <c r="A39" s="395">
        <v>71</v>
      </c>
      <c r="B39" s="91" t="s">
        <v>11</v>
      </c>
      <c r="C39" s="91">
        <v>1040109</v>
      </c>
      <c r="D39" s="396">
        <v>45848</v>
      </c>
      <c r="E39" s="394">
        <v>134.56</v>
      </c>
      <c r="F39" s="91"/>
      <c r="G39" s="661" t="s">
        <v>10</v>
      </c>
    </row>
    <row r="40" spans="1:8">
      <c r="A40" s="395">
        <v>72</v>
      </c>
      <c r="B40" s="91" t="s">
        <v>11</v>
      </c>
      <c r="C40" s="91">
        <v>1040109</v>
      </c>
      <c r="D40" s="396">
        <v>45848</v>
      </c>
      <c r="E40" s="394">
        <v>140.09</v>
      </c>
      <c r="F40" s="91"/>
      <c r="G40" s="661" t="s">
        <v>10</v>
      </c>
    </row>
    <row r="41" spans="1:8">
      <c r="A41" s="658">
        <v>80</v>
      </c>
      <c r="B41" s="469" t="s">
        <v>11</v>
      </c>
      <c r="C41" s="469">
        <v>1040109</v>
      </c>
      <c r="D41" s="659">
        <v>45848</v>
      </c>
      <c r="E41" s="470">
        <v>16996.310000000001</v>
      </c>
      <c r="F41" s="469"/>
      <c r="G41" s="660" t="s">
        <v>10</v>
      </c>
    </row>
    <row r="42" spans="1:8">
      <c r="A42" s="658">
        <v>81</v>
      </c>
      <c r="B42" s="469" t="s">
        <v>11</v>
      </c>
      <c r="C42" s="469">
        <v>1040109</v>
      </c>
      <c r="D42" s="659">
        <v>45848</v>
      </c>
      <c r="E42" s="470">
        <v>8924.42</v>
      </c>
      <c r="F42" s="469"/>
      <c r="G42" s="660" t="s">
        <v>10</v>
      </c>
    </row>
    <row r="43" spans="1:8">
      <c r="A43" s="423">
        <v>83</v>
      </c>
      <c r="B43" s="424" t="s">
        <v>11</v>
      </c>
      <c r="C43" s="424">
        <v>1040375</v>
      </c>
      <c r="D43" s="425">
        <v>45848</v>
      </c>
      <c r="E43" s="426">
        <v>911.9</v>
      </c>
      <c r="F43" s="424"/>
      <c r="G43" s="668" t="s">
        <v>10</v>
      </c>
    </row>
    <row r="44" spans="1:8">
      <c r="A44" s="423">
        <v>84</v>
      </c>
      <c r="B44" s="424" t="s">
        <v>11</v>
      </c>
      <c r="C44" s="424">
        <v>1040375</v>
      </c>
      <c r="D44" s="425">
        <v>45848</v>
      </c>
      <c r="E44" s="426">
        <v>68.77</v>
      </c>
      <c r="F44" s="424"/>
      <c r="G44" s="668" t="s">
        <v>10</v>
      </c>
    </row>
    <row r="45" spans="1:8">
      <c r="A45" s="423">
        <v>85</v>
      </c>
      <c r="B45" s="424" t="s">
        <v>11</v>
      </c>
      <c r="C45" s="424">
        <v>1040375</v>
      </c>
      <c r="D45" s="425">
        <v>45848</v>
      </c>
      <c r="E45" s="426">
        <v>24.22</v>
      </c>
      <c r="F45" s="424"/>
      <c r="G45" s="668" t="s">
        <v>10</v>
      </c>
    </row>
    <row r="46" spans="1:8">
      <c r="A46" s="423">
        <v>86</v>
      </c>
      <c r="B46" s="424" t="s">
        <v>11</v>
      </c>
      <c r="C46" s="424">
        <v>1040375</v>
      </c>
      <c r="D46" s="425">
        <v>45848</v>
      </c>
      <c r="E46" s="426">
        <v>33.06</v>
      </c>
      <c r="F46" s="424"/>
      <c r="G46" s="668" t="s">
        <v>10</v>
      </c>
    </row>
    <row r="47" spans="1:8">
      <c r="A47" s="423">
        <v>88</v>
      </c>
      <c r="B47" s="424" t="s">
        <v>11</v>
      </c>
      <c r="C47" s="424">
        <v>1040303</v>
      </c>
      <c r="D47" s="425">
        <v>45848</v>
      </c>
      <c r="E47" s="426">
        <v>94613.67</v>
      </c>
      <c r="F47" s="424"/>
      <c r="G47" s="668" t="s">
        <v>10</v>
      </c>
    </row>
    <row r="48" spans="1:8">
      <c r="A48" s="423">
        <v>89</v>
      </c>
      <c r="B48" s="424" t="s">
        <v>11</v>
      </c>
      <c r="C48" s="424">
        <v>1040375</v>
      </c>
      <c r="D48" s="425">
        <v>45848</v>
      </c>
      <c r="E48" s="426">
        <v>157151.1</v>
      </c>
      <c r="F48" s="424"/>
      <c r="G48" s="668" t="s">
        <v>10</v>
      </c>
    </row>
    <row r="49" spans="1:8">
      <c r="A49" s="663">
        <v>92</v>
      </c>
      <c r="B49" s="370" t="s">
        <v>11</v>
      </c>
      <c r="C49" s="370">
        <v>1040109</v>
      </c>
      <c r="D49" s="664">
        <v>45848</v>
      </c>
      <c r="E49" s="665">
        <v>114839.22</v>
      </c>
      <c r="F49" s="370"/>
      <c r="G49" s="666" t="s">
        <v>10</v>
      </c>
    </row>
    <row r="50" spans="1:8">
      <c r="A50" s="663">
        <v>93</v>
      </c>
      <c r="B50" s="370" t="s">
        <v>11</v>
      </c>
      <c r="C50" s="370">
        <v>1040109</v>
      </c>
      <c r="D50" s="664">
        <v>45848</v>
      </c>
      <c r="E50" s="665">
        <v>10296.69</v>
      </c>
      <c r="F50" s="370"/>
      <c r="G50" s="666" t="s">
        <v>10</v>
      </c>
    </row>
    <row r="51" spans="1:8">
      <c r="A51" s="663">
        <v>94</v>
      </c>
      <c r="B51" s="370" t="s">
        <v>11</v>
      </c>
      <c r="C51" s="370">
        <v>1040109</v>
      </c>
      <c r="D51" s="664">
        <v>45848</v>
      </c>
      <c r="E51" s="665">
        <v>5750</v>
      </c>
      <c r="F51" s="370"/>
      <c r="G51" s="666" t="s">
        <v>10</v>
      </c>
    </row>
    <row r="52" spans="1:8">
      <c r="A52" s="663">
        <v>97</v>
      </c>
      <c r="B52" s="370" t="s">
        <v>11</v>
      </c>
      <c r="C52" s="370">
        <v>1040109</v>
      </c>
      <c r="D52" s="664">
        <v>45848</v>
      </c>
      <c r="E52" s="665">
        <v>9487.81</v>
      </c>
      <c r="F52" s="370"/>
      <c r="G52" s="666" t="s">
        <v>10</v>
      </c>
    </row>
    <row r="53" spans="1:8">
      <c r="A53" s="663">
        <v>99</v>
      </c>
      <c r="B53" s="370" t="s">
        <v>11</v>
      </c>
      <c r="C53" s="370">
        <v>1040109</v>
      </c>
      <c r="D53" s="664">
        <v>45848</v>
      </c>
      <c r="E53" s="665">
        <v>32714.22</v>
      </c>
      <c r="F53" s="370"/>
      <c r="G53" s="666" t="s">
        <v>10</v>
      </c>
    </row>
    <row r="54" spans="1:8">
      <c r="A54" s="663">
        <v>100</v>
      </c>
      <c r="B54" s="370" t="s">
        <v>11</v>
      </c>
      <c r="C54" s="370">
        <v>1040109</v>
      </c>
      <c r="D54" s="664">
        <v>45848</v>
      </c>
      <c r="E54" s="665">
        <v>21137.54</v>
      </c>
      <c r="F54" s="370"/>
      <c r="G54" s="666" t="s">
        <v>10</v>
      </c>
    </row>
    <row r="55" spans="1:8">
      <c r="A55" s="413">
        <v>101</v>
      </c>
      <c r="B55" s="414" t="s">
        <v>12</v>
      </c>
      <c r="C55" s="414">
        <v>1170144</v>
      </c>
      <c r="D55" s="415">
        <v>45848</v>
      </c>
      <c r="E55" s="416">
        <v>11755.83</v>
      </c>
      <c r="F55" s="414"/>
      <c r="G55" s="691" t="s">
        <v>10</v>
      </c>
    </row>
    <row r="56" spans="1:8">
      <c r="A56" s="436">
        <v>102</v>
      </c>
      <c r="B56" s="57" t="s">
        <v>11</v>
      </c>
      <c r="C56" s="57">
        <v>1040375</v>
      </c>
      <c r="D56" s="266">
        <v>45848</v>
      </c>
      <c r="E56" s="233">
        <v>2655.83</v>
      </c>
      <c r="G56" s="655" t="s">
        <v>9</v>
      </c>
      <c r="H56" s="428" t="s">
        <v>1366</v>
      </c>
    </row>
    <row r="57" spans="1:8">
      <c r="A57" s="714">
        <v>103</v>
      </c>
      <c r="B57" s="715" t="s">
        <v>11</v>
      </c>
      <c r="C57" s="715">
        <v>1040363</v>
      </c>
      <c r="D57" s="716">
        <v>45848</v>
      </c>
      <c r="E57" s="717">
        <v>83014.759999999995</v>
      </c>
      <c r="F57" s="715"/>
      <c r="G57" s="718" t="s">
        <v>10</v>
      </c>
    </row>
    <row r="58" spans="1:8">
      <c r="A58" s="714">
        <v>104</v>
      </c>
      <c r="B58" s="715" t="s">
        <v>11</v>
      </c>
      <c r="C58" s="715">
        <v>1040363</v>
      </c>
      <c r="D58" s="716">
        <v>45848</v>
      </c>
      <c r="E58" s="717">
        <v>82779.350000000006</v>
      </c>
      <c r="F58" s="715"/>
      <c r="G58" s="718" t="s">
        <v>10</v>
      </c>
    </row>
    <row r="59" spans="1:8">
      <c r="A59" s="714">
        <v>105</v>
      </c>
      <c r="B59" s="715" t="s">
        <v>11</v>
      </c>
      <c r="C59" s="715">
        <v>1040363</v>
      </c>
      <c r="D59" s="716">
        <v>45848</v>
      </c>
      <c r="E59" s="717">
        <v>48.73</v>
      </c>
      <c r="F59" s="715"/>
      <c r="G59" s="718" t="s">
        <v>10</v>
      </c>
    </row>
    <row r="60" spans="1:8">
      <c r="A60" s="714">
        <v>106</v>
      </c>
      <c r="B60" s="715" t="s">
        <v>11</v>
      </c>
      <c r="C60" s="715">
        <v>1040363</v>
      </c>
      <c r="D60" s="716">
        <v>45848</v>
      </c>
      <c r="E60" s="717">
        <v>83106.600000000006</v>
      </c>
      <c r="F60" s="715"/>
      <c r="G60" s="718" t="s">
        <v>10</v>
      </c>
    </row>
    <row r="61" spans="1:8">
      <c r="A61" s="714">
        <v>108</v>
      </c>
      <c r="B61" s="715" t="s">
        <v>11</v>
      </c>
      <c r="C61" s="715">
        <v>1040363</v>
      </c>
      <c r="D61" s="716">
        <v>45848</v>
      </c>
      <c r="E61" s="717">
        <v>48.73</v>
      </c>
      <c r="F61" s="715"/>
      <c r="G61" s="718" t="s">
        <v>10</v>
      </c>
    </row>
    <row r="62" spans="1:8">
      <c r="A62" s="714">
        <v>109</v>
      </c>
      <c r="B62" s="715" t="s">
        <v>11</v>
      </c>
      <c r="C62" s="715">
        <v>1040363</v>
      </c>
      <c r="D62" s="716">
        <v>45848</v>
      </c>
      <c r="E62" s="717">
        <v>1322.5</v>
      </c>
      <c r="F62" s="715"/>
      <c r="G62" s="718" t="s">
        <v>10</v>
      </c>
    </row>
    <row r="63" spans="1:8">
      <c r="A63" s="714">
        <v>110</v>
      </c>
      <c r="B63" s="715" t="s">
        <v>11</v>
      </c>
      <c r="C63" s="715">
        <v>1040363</v>
      </c>
      <c r="D63" s="716">
        <v>45848</v>
      </c>
      <c r="E63" s="717">
        <v>1322.5</v>
      </c>
      <c r="F63" s="715"/>
      <c r="G63" s="718" t="s">
        <v>10</v>
      </c>
    </row>
    <row r="64" spans="1:8">
      <c r="A64" s="714">
        <v>111</v>
      </c>
      <c r="B64" s="715" t="s">
        <v>11</v>
      </c>
      <c r="C64" s="715">
        <v>1040363</v>
      </c>
      <c r="D64" s="716">
        <v>45848</v>
      </c>
      <c r="E64" s="717">
        <v>82236.5</v>
      </c>
      <c r="F64" s="715"/>
      <c r="G64" s="718" t="s">
        <v>10</v>
      </c>
    </row>
    <row r="65" spans="1:7">
      <c r="A65" s="714">
        <v>113</v>
      </c>
      <c r="B65" s="715" t="s">
        <v>11</v>
      </c>
      <c r="C65" s="715">
        <v>1040363</v>
      </c>
      <c r="D65" s="716">
        <v>45848</v>
      </c>
      <c r="E65" s="717">
        <v>91.99</v>
      </c>
      <c r="F65" s="715"/>
      <c r="G65" s="718" t="s">
        <v>10</v>
      </c>
    </row>
    <row r="66" spans="1:7">
      <c r="A66" s="714">
        <v>115</v>
      </c>
      <c r="B66" s="715" t="s">
        <v>11</v>
      </c>
      <c r="C66" s="715">
        <v>1040363</v>
      </c>
      <c r="D66" s="716">
        <v>45848</v>
      </c>
      <c r="E66" s="717">
        <v>91.99</v>
      </c>
      <c r="F66" s="715"/>
      <c r="G66" s="718" t="s">
        <v>10</v>
      </c>
    </row>
    <row r="67" spans="1:7">
      <c r="A67" s="714">
        <v>117</v>
      </c>
      <c r="B67" s="715" t="s">
        <v>11</v>
      </c>
      <c r="C67" s="715">
        <v>1040363</v>
      </c>
      <c r="D67" s="716">
        <v>45848</v>
      </c>
      <c r="E67" s="717">
        <v>1322.5</v>
      </c>
      <c r="F67" s="715"/>
      <c r="G67" s="718" t="s">
        <v>10</v>
      </c>
    </row>
    <row r="68" spans="1:7">
      <c r="A68" s="714">
        <v>118</v>
      </c>
      <c r="B68" s="715" t="s">
        <v>11</v>
      </c>
      <c r="C68" s="715">
        <v>1040363</v>
      </c>
      <c r="D68" s="716">
        <v>45848</v>
      </c>
      <c r="E68" s="717">
        <v>1322.5</v>
      </c>
      <c r="F68" s="715"/>
      <c r="G68" s="718" t="s">
        <v>10</v>
      </c>
    </row>
    <row r="69" spans="1:7">
      <c r="A69" s="719">
        <v>120</v>
      </c>
      <c r="B69" s="720" t="s">
        <v>11</v>
      </c>
      <c r="C69" s="720">
        <v>1040375</v>
      </c>
      <c r="D69" s="721">
        <v>45848</v>
      </c>
      <c r="E69" s="722">
        <v>300708.17</v>
      </c>
      <c r="F69" s="720"/>
      <c r="G69" s="723" t="s">
        <v>10</v>
      </c>
    </row>
    <row r="70" spans="1:7">
      <c r="A70" s="719">
        <v>122</v>
      </c>
      <c r="B70" s="720" t="s">
        <v>11</v>
      </c>
      <c r="C70" s="720">
        <v>1040375</v>
      </c>
      <c r="D70" s="721">
        <v>45848</v>
      </c>
      <c r="E70" s="722">
        <v>51678.39</v>
      </c>
      <c r="F70" s="720"/>
      <c r="G70" s="723" t="s">
        <v>10</v>
      </c>
    </row>
    <row r="71" spans="1:7">
      <c r="A71" s="719">
        <v>124</v>
      </c>
      <c r="B71" s="720" t="s">
        <v>11</v>
      </c>
      <c r="C71" s="720">
        <v>1040375</v>
      </c>
      <c r="D71" s="721">
        <v>45848</v>
      </c>
      <c r="E71" s="722">
        <v>58147.34</v>
      </c>
      <c r="F71" s="720"/>
      <c r="G71" s="723" t="s">
        <v>10</v>
      </c>
    </row>
    <row r="72" spans="1:7">
      <c r="A72" s="719">
        <v>125</v>
      </c>
      <c r="B72" s="720" t="s">
        <v>11</v>
      </c>
      <c r="C72" s="720">
        <v>1040375</v>
      </c>
      <c r="D72" s="721">
        <v>45848</v>
      </c>
      <c r="E72" s="722">
        <v>169.56</v>
      </c>
      <c r="F72" s="720"/>
      <c r="G72" s="723" t="s">
        <v>10</v>
      </c>
    </row>
    <row r="73" spans="1:7">
      <c r="A73" s="719">
        <v>126</v>
      </c>
      <c r="B73" s="720" t="s">
        <v>11</v>
      </c>
      <c r="C73" s="720">
        <v>1040375</v>
      </c>
      <c r="D73" s="721">
        <v>45848</v>
      </c>
      <c r="E73" s="722">
        <v>5474</v>
      </c>
      <c r="F73" s="720"/>
      <c r="G73" s="723" t="s">
        <v>10</v>
      </c>
    </row>
    <row r="74" spans="1:7">
      <c r="A74" s="719">
        <v>127</v>
      </c>
      <c r="B74" s="720" t="s">
        <v>11</v>
      </c>
      <c r="C74" s="720">
        <v>1040375</v>
      </c>
      <c r="D74" s="721">
        <v>45848</v>
      </c>
      <c r="E74" s="722">
        <v>99.75</v>
      </c>
      <c r="F74" s="720"/>
      <c r="G74" s="723" t="s">
        <v>10</v>
      </c>
    </row>
    <row r="75" spans="1:7">
      <c r="A75" s="719">
        <v>128</v>
      </c>
      <c r="B75" s="720" t="s">
        <v>11</v>
      </c>
      <c r="C75" s="720">
        <v>1040375</v>
      </c>
      <c r="D75" s="721">
        <v>45848</v>
      </c>
      <c r="E75" s="722">
        <v>673.96</v>
      </c>
      <c r="F75" s="720"/>
      <c r="G75" s="723" t="s">
        <v>10</v>
      </c>
    </row>
    <row r="76" spans="1:7">
      <c r="A76" s="719">
        <v>129</v>
      </c>
      <c r="B76" s="720" t="s">
        <v>11</v>
      </c>
      <c r="C76" s="720">
        <v>1040375</v>
      </c>
      <c r="D76" s="721">
        <v>45848</v>
      </c>
      <c r="E76" s="722">
        <v>25.23</v>
      </c>
      <c r="F76" s="720"/>
      <c r="G76" s="723" t="s">
        <v>10</v>
      </c>
    </row>
    <row r="77" spans="1:7">
      <c r="A77" s="719">
        <v>130</v>
      </c>
      <c r="B77" s="720" t="s">
        <v>11</v>
      </c>
      <c r="C77" s="720">
        <v>1040375</v>
      </c>
      <c r="D77" s="721">
        <v>45848</v>
      </c>
      <c r="E77" s="722">
        <v>61954.36</v>
      </c>
      <c r="F77" s="720"/>
      <c r="G77" s="723" t="s">
        <v>10</v>
      </c>
    </row>
    <row r="78" spans="1:7">
      <c r="A78" s="719">
        <v>131</v>
      </c>
      <c r="B78" s="720" t="s">
        <v>11</v>
      </c>
      <c r="C78" s="720">
        <v>1040375</v>
      </c>
      <c r="D78" s="721">
        <v>45848</v>
      </c>
      <c r="E78" s="722">
        <v>1753.43</v>
      </c>
      <c r="F78" s="720"/>
      <c r="G78" s="723" t="s">
        <v>10</v>
      </c>
    </row>
    <row r="79" spans="1:7">
      <c r="A79" s="719">
        <v>132</v>
      </c>
      <c r="B79" s="720" t="s">
        <v>11</v>
      </c>
      <c r="C79" s="720">
        <v>1040375</v>
      </c>
      <c r="D79" s="721">
        <v>45848</v>
      </c>
      <c r="E79" s="722">
        <v>123.42</v>
      </c>
      <c r="F79" s="720"/>
      <c r="G79" s="723" t="s">
        <v>10</v>
      </c>
    </row>
    <row r="80" spans="1:7">
      <c r="A80" s="719">
        <v>133</v>
      </c>
      <c r="B80" s="720" t="s">
        <v>11</v>
      </c>
      <c r="C80" s="720">
        <v>1040375</v>
      </c>
      <c r="D80" s="721">
        <v>45848</v>
      </c>
      <c r="E80" s="722">
        <v>51.2</v>
      </c>
      <c r="F80" s="720"/>
      <c r="G80" s="723" t="s">
        <v>10</v>
      </c>
    </row>
    <row r="81" spans="1:8">
      <c r="A81" s="719">
        <v>134</v>
      </c>
      <c r="B81" s="720" t="s">
        <v>11</v>
      </c>
      <c r="C81" s="720">
        <v>1040375</v>
      </c>
      <c r="D81" s="721">
        <v>45848</v>
      </c>
      <c r="E81" s="722">
        <v>23.97</v>
      </c>
      <c r="F81" s="720"/>
      <c r="G81" s="723" t="s">
        <v>10</v>
      </c>
    </row>
    <row r="82" spans="1:8">
      <c r="A82" s="663">
        <v>135</v>
      </c>
      <c r="B82" s="370" t="s">
        <v>11</v>
      </c>
      <c r="C82" s="370">
        <v>1040363</v>
      </c>
      <c r="D82" s="664">
        <v>45848</v>
      </c>
      <c r="E82" s="665">
        <v>83574</v>
      </c>
      <c r="F82" s="370"/>
      <c r="G82" s="666" t="s">
        <v>10</v>
      </c>
    </row>
    <row r="83" spans="1:8">
      <c r="A83" s="663">
        <v>136</v>
      </c>
      <c r="B83" s="370" t="s">
        <v>11</v>
      </c>
      <c r="C83" s="370">
        <v>1040363</v>
      </c>
      <c r="D83" s="664">
        <v>45848</v>
      </c>
      <c r="E83" s="665">
        <v>48.73</v>
      </c>
      <c r="F83" s="370"/>
      <c r="G83" s="666" t="s">
        <v>10</v>
      </c>
    </row>
    <row r="84" spans="1:8">
      <c r="A84" s="931">
        <v>138</v>
      </c>
      <c r="B84" s="930" t="s">
        <v>11</v>
      </c>
      <c r="C84" s="930">
        <v>1040375</v>
      </c>
      <c r="D84" s="932">
        <v>45848</v>
      </c>
      <c r="E84" s="929">
        <v>501.54</v>
      </c>
      <c r="F84" s="930"/>
      <c r="G84" s="933" t="s">
        <v>10</v>
      </c>
      <c r="H84" s="57" t="s">
        <v>1366</v>
      </c>
    </row>
    <row r="85" spans="1:8">
      <c r="A85" s="436">
        <v>140</v>
      </c>
      <c r="B85" s="57" t="s">
        <v>11</v>
      </c>
      <c r="C85" s="57">
        <v>1040124</v>
      </c>
      <c r="D85" s="266">
        <v>45848</v>
      </c>
      <c r="E85" s="233">
        <v>12.2</v>
      </c>
      <c r="F85" s="57" t="s">
        <v>1367</v>
      </c>
      <c r="G85" s="655" t="s">
        <v>10</v>
      </c>
    </row>
    <row r="86" spans="1:8" ht="14.4" thickBot="1">
      <c r="A86" s="375">
        <v>163</v>
      </c>
      <c r="B86" s="376" t="s">
        <v>11</v>
      </c>
      <c r="C86" s="376">
        <v>1040258</v>
      </c>
      <c r="D86" s="377">
        <v>45848</v>
      </c>
      <c r="E86" s="378">
        <v>10</v>
      </c>
      <c r="F86" s="376" t="s">
        <v>1367</v>
      </c>
      <c r="G86" s="656" t="s">
        <v>10</v>
      </c>
    </row>
    <row r="87" spans="1:8" ht="14.4" thickTop="1"/>
  </sheetData>
  <autoFilter ref="A1:G86" xr:uid="{0E5D16E0-EE00-4446-8B5B-9F875EDD71A6}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21040-8756-4D0F-B791-D621673F9BC8}">
  <sheetPr>
    <tabColor rgb="FFFFFF00"/>
  </sheetPr>
  <dimension ref="A1:P143"/>
  <sheetViews>
    <sheetView showGridLines="0" zoomScaleNormal="100" workbookViewId="0">
      <selection activeCellId="1" sqref="I8 A1:XFD1048576"/>
    </sheetView>
  </sheetViews>
  <sheetFormatPr defaultColWidth="13.796875" defaultRowHeight="13.8"/>
  <cols>
    <col min="1" max="1" width="5.5" bestFit="1" customWidth="1"/>
    <col min="2" max="2" width="15.09765625" bestFit="1" customWidth="1"/>
    <col min="3" max="3" width="7.796875" bestFit="1" customWidth="1"/>
    <col min="4" max="4" width="13.69921875" style="242" bestFit="1" customWidth="1"/>
    <col min="5" max="5" width="15.3984375" style="224" bestFit="1" customWidth="1"/>
    <col min="6" max="6" width="19.296875" style="57" customWidth="1"/>
    <col min="7" max="7" width="28.5" style="212" bestFit="1" customWidth="1"/>
    <col min="8" max="8" width="9.5" style="208" bestFit="1" customWidth="1"/>
    <col min="9" max="9" width="7.5" style="57" customWidth="1"/>
    <col min="10" max="10" width="27.5" style="242" bestFit="1" customWidth="1"/>
    <col min="11" max="11" width="15.3984375" style="214" bestFit="1" customWidth="1"/>
  </cols>
  <sheetData>
    <row r="1" spans="1:16" ht="14.4" thickBot="1">
      <c r="A1" s="369" t="s">
        <v>0</v>
      </c>
      <c r="B1" s="369" t="s">
        <v>1</v>
      </c>
      <c r="C1" s="369" t="s">
        <v>2</v>
      </c>
      <c r="D1" s="369" t="s">
        <v>1322</v>
      </c>
      <c r="E1" s="371" t="s">
        <v>1323</v>
      </c>
      <c r="F1" s="370" t="s">
        <v>3</v>
      </c>
      <c r="G1" s="369" t="s">
        <v>4</v>
      </c>
      <c r="H1"/>
      <c r="J1" s="370" t="s">
        <v>5</v>
      </c>
      <c r="K1" s="372" t="s">
        <v>1324</v>
      </c>
    </row>
    <row r="2" spans="1:16" ht="14.4" thickTop="1">
      <c r="A2" s="57">
        <v>1</v>
      </c>
      <c r="B2" s="57" t="s">
        <v>7</v>
      </c>
      <c r="C2" s="57">
        <v>2130870</v>
      </c>
      <c r="D2" s="266">
        <v>45849</v>
      </c>
      <c r="E2" s="233">
        <v>1595.84</v>
      </c>
      <c r="F2" s="57" t="s">
        <v>8</v>
      </c>
      <c r="G2" s="233" t="s">
        <v>10</v>
      </c>
      <c r="I2" s="57" t="s">
        <v>10</v>
      </c>
      <c r="J2" s="720">
        <v>174631</v>
      </c>
      <c r="K2" s="722">
        <v>90348.080000000104</v>
      </c>
    </row>
    <row r="3" spans="1:16">
      <c r="A3" s="57">
        <v>2</v>
      </c>
      <c r="B3" s="57" t="s">
        <v>7</v>
      </c>
      <c r="C3" s="57">
        <v>2060855</v>
      </c>
      <c r="D3" s="266">
        <v>45849</v>
      </c>
      <c r="E3" s="233">
        <v>6700000</v>
      </c>
      <c r="F3" s="57" t="s">
        <v>1377</v>
      </c>
      <c r="G3" s="233" t="s">
        <v>10</v>
      </c>
      <c r="I3" s="57" t="s">
        <v>10</v>
      </c>
      <c r="J3" s="469">
        <v>174639</v>
      </c>
      <c r="K3" s="470">
        <v>543806.80999999994</v>
      </c>
    </row>
    <row r="4" spans="1:16" ht="14.4" thickBot="1">
      <c r="A4" s="57">
        <v>3</v>
      </c>
      <c r="B4" s="57" t="s">
        <v>13</v>
      </c>
      <c r="C4" s="57">
        <v>2050752</v>
      </c>
      <c r="D4" s="266">
        <v>45849</v>
      </c>
      <c r="E4" s="233">
        <v>241019.33</v>
      </c>
      <c r="G4" s="233" t="s">
        <v>10</v>
      </c>
      <c r="I4" s="57" t="s">
        <v>10</v>
      </c>
      <c r="J4" s="92">
        <v>174640</v>
      </c>
      <c r="K4" s="387">
        <v>24226.749999999996</v>
      </c>
    </row>
    <row r="5" spans="1:16" ht="14.4" thickTop="1">
      <c r="A5" s="669">
        <v>7</v>
      </c>
      <c r="B5" s="670" t="s">
        <v>11</v>
      </c>
      <c r="C5" s="670">
        <v>1170470</v>
      </c>
      <c r="D5" s="671">
        <v>45849</v>
      </c>
      <c r="E5" s="653">
        <v>28230.76</v>
      </c>
      <c r="F5" s="670" t="s">
        <v>1421</v>
      </c>
      <c r="G5" s="654" t="s">
        <v>10</v>
      </c>
      <c r="I5" s="57" t="s">
        <v>10</v>
      </c>
      <c r="J5" s="90">
        <v>174643</v>
      </c>
      <c r="K5" s="726">
        <v>53213.239999999991</v>
      </c>
    </row>
    <row r="6" spans="1:16">
      <c r="A6" s="436">
        <v>8</v>
      </c>
      <c r="B6" s="57" t="s">
        <v>11</v>
      </c>
      <c r="C6" s="57">
        <v>1170470</v>
      </c>
      <c r="D6" s="266">
        <v>45849</v>
      </c>
      <c r="E6" s="233">
        <v>1365.12</v>
      </c>
      <c r="F6" s="57" t="s">
        <v>1354</v>
      </c>
      <c r="G6" s="655" t="s">
        <v>10</v>
      </c>
      <c r="I6" s="57" t="s">
        <v>10</v>
      </c>
      <c r="J6" s="424">
        <v>174651</v>
      </c>
      <c r="K6" s="426">
        <v>2878929.5999999982</v>
      </c>
    </row>
    <row r="7" spans="1:16">
      <c r="A7" s="436">
        <v>9</v>
      </c>
      <c r="B7" s="57" t="s">
        <v>11</v>
      </c>
      <c r="C7" s="57">
        <v>1170470</v>
      </c>
      <c r="D7" s="266">
        <v>45849</v>
      </c>
      <c r="E7" s="233">
        <v>7755.94</v>
      </c>
      <c r="F7" s="57" t="s">
        <v>1354</v>
      </c>
      <c r="G7" s="655" t="s">
        <v>10</v>
      </c>
      <c r="I7" s="57" t="s">
        <v>10</v>
      </c>
      <c r="J7" s="419">
        <v>174652</v>
      </c>
      <c r="K7" s="421">
        <v>1016.78</v>
      </c>
      <c r="M7" s="202"/>
      <c r="N7" s="242"/>
    </row>
    <row r="8" spans="1:16">
      <c r="A8" s="436">
        <v>10</v>
      </c>
      <c r="B8" s="57" t="s">
        <v>11</v>
      </c>
      <c r="C8" s="57">
        <v>1170470</v>
      </c>
      <c r="D8" s="266">
        <v>45849</v>
      </c>
      <c r="E8" s="233">
        <v>27934.21</v>
      </c>
      <c r="F8" s="57" t="s">
        <v>1357</v>
      </c>
      <c r="G8" s="655" t="s">
        <v>10</v>
      </c>
      <c r="I8" s="57" t="s">
        <v>10</v>
      </c>
      <c r="J8" s="729">
        <v>174655</v>
      </c>
      <c r="K8" s="731">
        <v>9274.7000000000007</v>
      </c>
    </row>
    <row r="9" spans="1:16">
      <c r="A9" s="436">
        <v>11</v>
      </c>
      <c r="B9" s="57" t="s">
        <v>11</v>
      </c>
      <c r="C9" s="57">
        <v>1170470</v>
      </c>
      <c r="D9" s="266">
        <v>45849</v>
      </c>
      <c r="E9" s="233">
        <v>3941.98</v>
      </c>
      <c r="F9" s="57" t="s">
        <v>1357</v>
      </c>
      <c r="G9" s="655" t="s">
        <v>10</v>
      </c>
      <c r="I9" s="57" t="s">
        <v>10</v>
      </c>
      <c r="J9" s="753">
        <v>174678</v>
      </c>
      <c r="K9" s="755">
        <v>1663.46</v>
      </c>
    </row>
    <row r="10" spans="1:16">
      <c r="A10" s="436">
        <v>12</v>
      </c>
      <c r="B10" s="57" t="s">
        <v>11</v>
      </c>
      <c r="C10" s="57">
        <v>1170470</v>
      </c>
      <c r="D10" s="266">
        <v>45849</v>
      </c>
      <c r="E10" s="233">
        <v>248099.83</v>
      </c>
      <c r="F10" s="57" t="s">
        <v>1357</v>
      </c>
      <c r="G10" s="655" t="s">
        <v>10</v>
      </c>
      <c r="I10" s="57" t="s">
        <v>10</v>
      </c>
      <c r="J10" s="414" t="s">
        <v>1412</v>
      </c>
      <c r="K10" s="416">
        <v>3690</v>
      </c>
    </row>
    <row r="11" spans="1:16">
      <c r="A11" s="423">
        <v>13</v>
      </c>
      <c r="B11" s="424" t="s">
        <v>11</v>
      </c>
      <c r="C11" s="424">
        <v>1200393</v>
      </c>
      <c r="D11" s="425">
        <v>45849</v>
      </c>
      <c r="E11" s="426">
        <v>1018058.6</v>
      </c>
      <c r="F11" s="424"/>
      <c r="G11" s="668" t="s">
        <v>10</v>
      </c>
      <c r="I11" s="57" t="s">
        <v>10</v>
      </c>
      <c r="J11" s="91" t="s">
        <v>1413</v>
      </c>
      <c r="K11" s="394">
        <v>3015</v>
      </c>
    </row>
    <row r="12" spans="1:16">
      <c r="A12" s="423">
        <v>14</v>
      </c>
      <c r="B12" s="424" t="s">
        <v>11</v>
      </c>
      <c r="C12" s="424">
        <v>1040211</v>
      </c>
      <c r="D12" s="425">
        <v>45849</v>
      </c>
      <c r="E12" s="426">
        <v>1852740.41</v>
      </c>
      <c r="F12" s="424"/>
      <c r="G12" s="668" t="s">
        <v>10</v>
      </c>
      <c r="I12" s="57" t="s">
        <v>10</v>
      </c>
      <c r="J12" s="404" t="s">
        <v>1414</v>
      </c>
      <c r="K12" s="406">
        <v>405</v>
      </c>
      <c r="P12" s="202"/>
    </row>
    <row r="13" spans="1:16">
      <c r="A13" s="658">
        <v>18</v>
      </c>
      <c r="B13" s="469" t="s">
        <v>11</v>
      </c>
      <c r="C13" s="469">
        <v>1040211</v>
      </c>
      <c r="D13" s="659">
        <v>45849</v>
      </c>
      <c r="E13" s="470">
        <v>543806.81000000006</v>
      </c>
      <c r="F13" s="469"/>
      <c r="G13" s="660" t="s">
        <v>10</v>
      </c>
      <c r="I13" s="57" t="s">
        <v>10</v>
      </c>
      <c r="J13" s="533" t="s">
        <v>1415</v>
      </c>
      <c r="K13" s="750">
        <v>540</v>
      </c>
    </row>
    <row r="14" spans="1:16">
      <c r="A14" s="385">
        <v>19</v>
      </c>
      <c r="B14" s="92" t="s">
        <v>11</v>
      </c>
      <c r="C14" s="92">
        <v>1200393</v>
      </c>
      <c r="D14" s="386">
        <v>45849</v>
      </c>
      <c r="E14" s="387">
        <v>4988.38</v>
      </c>
      <c r="F14" s="92"/>
      <c r="G14" s="657" t="s">
        <v>10</v>
      </c>
      <c r="I14" s="57" t="s">
        <v>10</v>
      </c>
      <c r="J14" s="744" t="s">
        <v>1416</v>
      </c>
      <c r="K14" s="746">
        <v>1710</v>
      </c>
    </row>
    <row r="15" spans="1:16">
      <c r="A15" s="385">
        <v>20</v>
      </c>
      <c r="B15" s="92" t="s">
        <v>11</v>
      </c>
      <c r="C15" s="92">
        <v>1040211</v>
      </c>
      <c r="D15" s="386">
        <v>45849</v>
      </c>
      <c r="E15" s="387">
        <v>19238.37</v>
      </c>
      <c r="F15" s="92"/>
      <c r="G15" s="657" t="s">
        <v>10</v>
      </c>
      <c r="I15" s="57" t="s">
        <v>10</v>
      </c>
      <c r="J15" s="739" t="s">
        <v>1417</v>
      </c>
      <c r="K15" s="741">
        <v>810</v>
      </c>
    </row>
    <row r="16" spans="1:16">
      <c r="A16" s="724">
        <v>24</v>
      </c>
      <c r="B16" s="90" t="s">
        <v>11</v>
      </c>
      <c r="C16" s="90">
        <v>1040211</v>
      </c>
      <c r="D16" s="725">
        <v>45849</v>
      </c>
      <c r="E16" s="726">
        <v>53213.24</v>
      </c>
      <c r="F16" s="90"/>
      <c r="G16" s="727" t="s">
        <v>10</v>
      </c>
      <c r="I16" s="57" t="s">
        <v>10</v>
      </c>
      <c r="J16" s="399" t="s">
        <v>1418</v>
      </c>
      <c r="K16" s="401">
        <v>945</v>
      </c>
    </row>
    <row r="17" spans="1:11">
      <c r="A17" s="728">
        <v>26</v>
      </c>
      <c r="B17" s="729" t="s">
        <v>11</v>
      </c>
      <c r="C17" s="729">
        <v>1040211</v>
      </c>
      <c r="D17" s="730">
        <v>45849</v>
      </c>
      <c r="E17" s="731">
        <v>9274.7000000000007</v>
      </c>
      <c r="F17" s="729"/>
      <c r="G17" s="732" t="s">
        <v>10</v>
      </c>
      <c r="I17" s="57" t="s">
        <v>10</v>
      </c>
      <c r="J17" s="370" t="s">
        <v>1419</v>
      </c>
      <c r="K17" s="665">
        <v>9750</v>
      </c>
    </row>
    <row r="18" spans="1:11">
      <c r="A18" s="719">
        <v>36</v>
      </c>
      <c r="B18" s="720" t="s">
        <v>11</v>
      </c>
      <c r="C18" s="720">
        <v>1200393</v>
      </c>
      <c r="D18" s="721">
        <v>45849</v>
      </c>
      <c r="E18" s="722">
        <v>13155.56</v>
      </c>
      <c r="F18" s="720"/>
      <c r="G18" s="723" t="s">
        <v>10</v>
      </c>
      <c r="I18" s="57" t="s">
        <v>10</v>
      </c>
      <c r="J18" s="734" t="s">
        <v>1420</v>
      </c>
      <c r="K18" s="736">
        <v>1170</v>
      </c>
    </row>
    <row r="19" spans="1:11">
      <c r="A19" s="719">
        <v>37</v>
      </c>
      <c r="B19" s="720" t="s">
        <v>11</v>
      </c>
      <c r="C19" s="720">
        <v>1040211</v>
      </c>
      <c r="D19" s="721">
        <v>45849</v>
      </c>
      <c r="E19" s="722">
        <v>77192.52</v>
      </c>
      <c r="F19" s="720"/>
      <c r="G19" s="723" t="s">
        <v>10</v>
      </c>
    </row>
    <row r="20" spans="1:11">
      <c r="A20" s="423">
        <v>39</v>
      </c>
      <c r="B20" s="424" t="s">
        <v>11</v>
      </c>
      <c r="C20" s="424">
        <v>1200393</v>
      </c>
      <c r="D20" s="425">
        <v>45849</v>
      </c>
      <c r="E20" s="426">
        <v>8130.59</v>
      </c>
      <c r="F20" s="424"/>
      <c r="G20" s="668" t="s">
        <v>10</v>
      </c>
    </row>
    <row r="21" spans="1:11">
      <c r="A21" s="418">
        <v>47</v>
      </c>
      <c r="B21" s="419" t="s">
        <v>11</v>
      </c>
      <c r="C21" s="419">
        <v>1040362</v>
      </c>
      <c r="D21" s="420">
        <v>45849</v>
      </c>
      <c r="E21" s="421">
        <v>92.32</v>
      </c>
      <c r="F21" s="419"/>
      <c r="G21" s="662" t="s">
        <v>10</v>
      </c>
    </row>
    <row r="22" spans="1:11">
      <c r="A22" s="418">
        <v>48</v>
      </c>
      <c r="B22" s="419" t="s">
        <v>11</v>
      </c>
      <c r="C22" s="419">
        <v>1040362</v>
      </c>
      <c r="D22" s="420">
        <v>45849</v>
      </c>
      <c r="E22" s="421">
        <v>46.47</v>
      </c>
      <c r="F22" s="419"/>
      <c r="G22" s="662" t="s">
        <v>10</v>
      </c>
    </row>
    <row r="23" spans="1:11">
      <c r="A23" s="418">
        <v>49</v>
      </c>
      <c r="B23" s="419" t="s">
        <v>11</v>
      </c>
      <c r="C23" s="419">
        <v>1040362</v>
      </c>
      <c r="D23" s="420">
        <v>45849</v>
      </c>
      <c r="E23" s="421">
        <v>46.47</v>
      </c>
      <c r="F23" s="419"/>
      <c r="G23" s="662" t="s">
        <v>10</v>
      </c>
    </row>
    <row r="24" spans="1:11">
      <c r="A24" s="418">
        <v>50</v>
      </c>
      <c r="B24" s="419" t="s">
        <v>11</v>
      </c>
      <c r="C24" s="419">
        <v>1040362</v>
      </c>
      <c r="D24" s="420">
        <v>45849</v>
      </c>
      <c r="E24" s="421">
        <v>46.47</v>
      </c>
      <c r="F24" s="419"/>
      <c r="G24" s="662" t="s">
        <v>10</v>
      </c>
    </row>
    <row r="25" spans="1:11">
      <c r="A25" s="418">
        <v>51</v>
      </c>
      <c r="B25" s="419" t="s">
        <v>11</v>
      </c>
      <c r="C25" s="419">
        <v>1040362</v>
      </c>
      <c r="D25" s="420">
        <v>45849</v>
      </c>
      <c r="E25" s="421">
        <v>46.47</v>
      </c>
      <c r="F25" s="419"/>
      <c r="G25" s="662" t="s">
        <v>10</v>
      </c>
    </row>
    <row r="26" spans="1:11">
      <c r="A26" s="418">
        <v>52</v>
      </c>
      <c r="B26" s="419" t="s">
        <v>11</v>
      </c>
      <c r="C26" s="419">
        <v>1040362</v>
      </c>
      <c r="D26" s="420">
        <v>45849</v>
      </c>
      <c r="E26" s="421">
        <v>46.47</v>
      </c>
      <c r="F26" s="419"/>
      <c r="G26" s="662" t="s">
        <v>10</v>
      </c>
    </row>
    <row r="27" spans="1:11">
      <c r="A27" s="418">
        <v>53</v>
      </c>
      <c r="B27" s="419" t="s">
        <v>11</v>
      </c>
      <c r="C27" s="419">
        <v>1040362</v>
      </c>
      <c r="D27" s="420">
        <v>45849</v>
      </c>
      <c r="E27" s="421">
        <v>46.47</v>
      </c>
      <c r="F27" s="419"/>
      <c r="G27" s="662" t="s">
        <v>10</v>
      </c>
    </row>
    <row r="28" spans="1:11">
      <c r="A28" s="418">
        <v>54</v>
      </c>
      <c r="B28" s="419" t="s">
        <v>11</v>
      </c>
      <c r="C28" s="419">
        <v>1040362</v>
      </c>
      <c r="D28" s="420">
        <v>45849</v>
      </c>
      <c r="E28" s="421">
        <v>46.47</v>
      </c>
      <c r="F28" s="419"/>
      <c r="G28" s="662" t="s">
        <v>10</v>
      </c>
    </row>
    <row r="29" spans="1:11">
      <c r="A29" s="418">
        <v>55</v>
      </c>
      <c r="B29" s="419" t="s">
        <v>11</v>
      </c>
      <c r="C29" s="419">
        <v>1040362</v>
      </c>
      <c r="D29" s="420">
        <v>45849</v>
      </c>
      <c r="E29" s="421">
        <v>89.89</v>
      </c>
      <c r="F29" s="419"/>
      <c r="G29" s="662" t="s">
        <v>10</v>
      </c>
    </row>
    <row r="30" spans="1:11">
      <c r="A30" s="418">
        <v>56</v>
      </c>
      <c r="B30" s="419" t="s">
        <v>11</v>
      </c>
      <c r="C30" s="419">
        <v>1040362</v>
      </c>
      <c r="D30" s="420">
        <v>45849</v>
      </c>
      <c r="E30" s="421">
        <v>89.89</v>
      </c>
      <c r="F30" s="419"/>
      <c r="G30" s="662" t="s">
        <v>10</v>
      </c>
    </row>
    <row r="31" spans="1:11">
      <c r="A31" s="418">
        <v>57</v>
      </c>
      <c r="B31" s="419" t="s">
        <v>11</v>
      </c>
      <c r="C31" s="419">
        <v>1040362</v>
      </c>
      <c r="D31" s="420">
        <v>45849</v>
      </c>
      <c r="E31" s="421">
        <v>135.61000000000001</v>
      </c>
      <c r="F31" s="419"/>
      <c r="G31" s="662" t="s">
        <v>10</v>
      </c>
    </row>
    <row r="32" spans="1:11">
      <c r="A32" s="418">
        <v>58</v>
      </c>
      <c r="B32" s="419" t="s">
        <v>11</v>
      </c>
      <c r="C32" s="419">
        <v>1040362</v>
      </c>
      <c r="D32" s="420">
        <v>45849</v>
      </c>
      <c r="E32" s="421">
        <v>89.89</v>
      </c>
      <c r="F32" s="419"/>
      <c r="G32" s="662" t="s">
        <v>10</v>
      </c>
    </row>
    <row r="33" spans="1:8">
      <c r="A33" s="418">
        <v>59</v>
      </c>
      <c r="B33" s="419" t="s">
        <v>11</v>
      </c>
      <c r="C33" s="419">
        <v>1040362</v>
      </c>
      <c r="D33" s="420">
        <v>45849</v>
      </c>
      <c r="E33" s="421">
        <v>193.89</v>
      </c>
      <c r="F33" s="419"/>
      <c r="G33" s="662" t="s">
        <v>10</v>
      </c>
    </row>
    <row r="34" spans="1:8">
      <c r="A34" s="733">
        <v>60</v>
      </c>
      <c r="B34" s="734" t="s">
        <v>12</v>
      </c>
      <c r="C34" s="734">
        <v>1170144</v>
      </c>
      <c r="D34" s="735">
        <v>45849</v>
      </c>
      <c r="E34" s="736">
        <v>1170</v>
      </c>
      <c r="F34" s="734"/>
      <c r="G34" s="737" t="s">
        <v>10</v>
      </c>
    </row>
    <row r="35" spans="1:8">
      <c r="A35" s="413">
        <v>61</v>
      </c>
      <c r="B35" s="414" t="s">
        <v>12</v>
      </c>
      <c r="C35" s="414">
        <v>1170144</v>
      </c>
      <c r="D35" s="415">
        <v>45849</v>
      </c>
      <c r="E35" s="416">
        <v>3690</v>
      </c>
      <c r="F35" s="414"/>
      <c r="G35" s="691" t="s">
        <v>10</v>
      </c>
    </row>
    <row r="36" spans="1:8">
      <c r="A36" s="395">
        <v>62</v>
      </c>
      <c r="B36" s="91" t="s">
        <v>12</v>
      </c>
      <c r="C36" s="91">
        <v>1170144</v>
      </c>
      <c r="D36" s="396">
        <v>45849</v>
      </c>
      <c r="E36" s="394">
        <v>3015</v>
      </c>
      <c r="F36" s="91"/>
      <c r="G36" s="661" t="s">
        <v>10</v>
      </c>
    </row>
    <row r="37" spans="1:8">
      <c r="A37" s="403">
        <v>63</v>
      </c>
      <c r="B37" s="404" t="s">
        <v>12</v>
      </c>
      <c r="C37" s="404">
        <v>1170144</v>
      </c>
      <c r="D37" s="405">
        <v>45849</v>
      </c>
      <c r="E37" s="406">
        <v>405</v>
      </c>
      <c r="F37" s="404"/>
      <c r="G37" s="707" t="s">
        <v>10</v>
      </c>
    </row>
    <row r="38" spans="1:8">
      <c r="A38" s="748">
        <v>64</v>
      </c>
      <c r="B38" s="533" t="s">
        <v>12</v>
      </c>
      <c r="C38" s="533">
        <v>1170144</v>
      </c>
      <c r="D38" s="749">
        <v>45849</v>
      </c>
      <c r="E38" s="750">
        <v>540</v>
      </c>
      <c r="F38" s="533"/>
      <c r="G38" s="751" t="s">
        <v>10</v>
      </c>
    </row>
    <row r="39" spans="1:8">
      <c r="A39" s="743">
        <v>65</v>
      </c>
      <c r="B39" s="744" t="s">
        <v>12</v>
      </c>
      <c r="C39" s="744">
        <v>1170144</v>
      </c>
      <c r="D39" s="745">
        <v>45849</v>
      </c>
      <c r="E39" s="746">
        <v>1710</v>
      </c>
      <c r="F39" s="744"/>
      <c r="G39" s="747" t="s">
        <v>10</v>
      </c>
    </row>
    <row r="40" spans="1:8">
      <c r="A40" s="738">
        <v>66</v>
      </c>
      <c r="B40" s="739" t="s">
        <v>12</v>
      </c>
      <c r="C40" s="739">
        <v>1170144</v>
      </c>
      <c r="D40" s="740">
        <v>45849</v>
      </c>
      <c r="E40" s="741">
        <v>810</v>
      </c>
      <c r="F40" s="739"/>
      <c r="G40" s="742" t="s">
        <v>10</v>
      </c>
    </row>
    <row r="41" spans="1:8">
      <c r="A41" s="663">
        <v>67</v>
      </c>
      <c r="B41" s="370" t="s">
        <v>12</v>
      </c>
      <c r="C41" s="370">
        <v>1170144</v>
      </c>
      <c r="D41" s="664">
        <v>45849</v>
      </c>
      <c r="E41" s="665">
        <v>9750</v>
      </c>
      <c r="F41" s="370"/>
      <c r="G41" s="666" t="s">
        <v>10</v>
      </c>
    </row>
    <row r="42" spans="1:8">
      <c r="A42" s="398">
        <v>68</v>
      </c>
      <c r="B42" s="399" t="s">
        <v>12</v>
      </c>
      <c r="C42" s="399">
        <v>1170144</v>
      </c>
      <c r="D42" s="400">
        <v>45849</v>
      </c>
      <c r="E42" s="401">
        <v>945</v>
      </c>
      <c r="F42" s="399"/>
      <c r="G42" s="667" t="s">
        <v>10</v>
      </c>
    </row>
    <row r="43" spans="1:8">
      <c r="A43" s="752">
        <v>70</v>
      </c>
      <c r="B43" s="753" t="s">
        <v>11</v>
      </c>
      <c r="C43" s="753">
        <v>1040109</v>
      </c>
      <c r="D43" s="754">
        <v>45849</v>
      </c>
      <c r="E43" s="755">
        <v>430.06</v>
      </c>
      <c r="F43" s="753"/>
      <c r="G43" s="756" t="s">
        <v>10</v>
      </c>
    </row>
    <row r="44" spans="1:8">
      <c r="A44" s="752">
        <v>71</v>
      </c>
      <c r="B44" s="753" t="s">
        <v>11</v>
      </c>
      <c r="C44" s="753">
        <v>1040109</v>
      </c>
      <c r="D44" s="754">
        <v>45849</v>
      </c>
      <c r="E44" s="755">
        <v>430.06</v>
      </c>
      <c r="F44" s="753"/>
      <c r="G44" s="756" t="s">
        <v>10</v>
      </c>
    </row>
    <row r="45" spans="1:8">
      <c r="A45" s="752">
        <v>72</v>
      </c>
      <c r="B45" s="753" t="s">
        <v>11</v>
      </c>
      <c r="C45" s="753">
        <v>1040109</v>
      </c>
      <c r="D45" s="754">
        <v>45849</v>
      </c>
      <c r="E45" s="755">
        <v>430.06</v>
      </c>
      <c r="F45" s="753"/>
      <c r="G45" s="756" t="s">
        <v>10</v>
      </c>
    </row>
    <row r="46" spans="1:8">
      <c r="A46" s="752">
        <v>73</v>
      </c>
      <c r="B46" s="753" t="s">
        <v>11</v>
      </c>
      <c r="C46" s="753">
        <v>1040109</v>
      </c>
      <c r="D46" s="754">
        <v>45849</v>
      </c>
      <c r="E46" s="755">
        <v>373.28</v>
      </c>
      <c r="F46" s="753"/>
      <c r="G46" s="756" t="s">
        <v>10</v>
      </c>
    </row>
    <row r="47" spans="1:8">
      <c r="A47" s="430">
        <v>75</v>
      </c>
      <c r="B47" s="428" t="s">
        <v>11</v>
      </c>
      <c r="C47" s="428">
        <v>1040375</v>
      </c>
      <c r="D47" s="431">
        <v>45849</v>
      </c>
      <c r="E47" s="429">
        <v>387.81</v>
      </c>
      <c r="F47" s="428"/>
      <c r="G47" s="705" t="s">
        <v>9</v>
      </c>
      <c r="H47" s="428" t="s">
        <v>1366</v>
      </c>
    </row>
    <row r="48" spans="1:8" ht="14.4" thickBot="1">
      <c r="A48" s="375">
        <v>105</v>
      </c>
      <c r="B48" s="376" t="s">
        <v>11</v>
      </c>
      <c r="C48" s="376">
        <v>1040258</v>
      </c>
      <c r="D48" s="377">
        <v>45849</v>
      </c>
      <c r="E48" s="378">
        <v>61.36</v>
      </c>
      <c r="F48" s="376" t="s">
        <v>1367</v>
      </c>
      <c r="G48" s="656" t="s">
        <v>10</v>
      </c>
    </row>
    <row r="49" spans="1:7" ht="14.4" thickTop="1">
      <c r="A49" s="57"/>
      <c r="B49" s="57"/>
      <c r="C49" s="57"/>
      <c r="D49" s="266"/>
      <c r="E49" s="230"/>
      <c r="G49" s="230"/>
    </row>
    <row r="50" spans="1:7">
      <c r="A50" s="57"/>
      <c r="B50" s="57"/>
      <c r="C50" s="57"/>
      <c r="D50" s="266"/>
      <c r="E50" s="230"/>
      <c r="G50" s="230"/>
    </row>
    <row r="51" spans="1:7">
      <c r="A51" s="57"/>
      <c r="B51" s="57"/>
      <c r="C51" s="57"/>
      <c r="D51" s="266"/>
      <c r="E51" s="230"/>
      <c r="G51" s="230"/>
    </row>
    <row r="52" spans="1:7">
      <c r="A52" s="57"/>
      <c r="B52" s="57"/>
      <c r="C52" s="57"/>
      <c r="D52" s="266"/>
      <c r="E52" s="230"/>
      <c r="G52" s="230"/>
    </row>
    <row r="53" spans="1:7">
      <c r="A53" s="57"/>
      <c r="B53" s="57"/>
      <c r="C53" s="57"/>
      <c r="D53" s="266"/>
      <c r="E53" s="230"/>
      <c r="G53" s="230"/>
    </row>
    <row r="54" spans="1:7">
      <c r="A54" s="57"/>
      <c r="B54" s="57"/>
      <c r="C54" s="57"/>
      <c r="D54" s="266"/>
      <c r="E54" s="230"/>
      <c r="G54" s="230"/>
    </row>
    <row r="55" spans="1:7">
      <c r="A55" s="57"/>
      <c r="B55" s="57"/>
      <c r="C55" s="57"/>
      <c r="D55" s="266"/>
      <c r="E55" s="230"/>
      <c r="G55" s="230"/>
    </row>
    <row r="56" spans="1:7">
      <c r="A56" s="57"/>
      <c r="B56" s="57"/>
      <c r="C56" s="57"/>
      <c r="D56" s="266"/>
      <c r="E56" s="230"/>
      <c r="G56" s="230"/>
    </row>
    <row r="57" spans="1:7">
      <c r="A57" s="57"/>
      <c r="B57" s="57"/>
      <c r="C57" s="57"/>
      <c r="D57" s="266"/>
      <c r="E57" s="230"/>
      <c r="G57" s="230"/>
    </row>
    <row r="58" spans="1:7">
      <c r="A58" s="57"/>
      <c r="B58" s="57"/>
      <c r="C58" s="57"/>
      <c r="D58" s="266"/>
      <c r="E58" s="230"/>
      <c r="G58" s="230"/>
    </row>
    <row r="59" spans="1:7">
      <c r="A59" s="57"/>
      <c r="B59" s="57"/>
      <c r="C59" s="57"/>
      <c r="D59" s="266"/>
      <c r="E59" s="230"/>
      <c r="G59" s="230"/>
    </row>
    <row r="60" spans="1:7">
      <c r="A60" s="57"/>
      <c r="B60" s="57"/>
      <c r="C60" s="57"/>
      <c r="D60" s="266"/>
      <c r="E60" s="230"/>
      <c r="G60" s="230"/>
    </row>
    <row r="61" spans="1:7">
      <c r="A61" s="57"/>
      <c r="B61" s="57"/>
      <c r="C61" s="57"/>
      <c r="D61" s="266"/>
      <c r="E61" s="230"/>
      <c r="G61" s="230"/>
    </row>
    <row r="62" spans="1:7">
      <c r="A62" s="57"/>
      <c r="B62" s="57"/>
      <c r="C62" s="57"/>
      <c r="D62" s="266"/>
      <c r="E62" s="230"/>
      <c r="G62" s="230"/>
    </row>
    <row r="63" spans="1:7">
      <c r="A63" s="57"/>
      <c r="B63" s="57"/>
      <c r="C63" s="57"/>
      <c r="D63" s="266"/>
      <c r="E63" s="230"/>
      <c r="G63" s="230"/>
    </row>
    <row r="64" spans="1:7">
      <c r="A64" s="57"/>
      <c r="B64" s="57"/>
      <c r="C64" s="57"/>
      <c r="D64" s="266"/>
      <c r="E64" s="230"/>
      <c r="G64" s="230"/>
    </row>
    <row r="65" spans="1:7">
      <c r="A65" s="57"/>
      <c r="B65" s="57"/>
      <c r="C65" s="57"/>
      <c r="D65" s="266"/>
      <c r="E65" s="230"/>
      <c r="G65" s="230"/>
    </row>
    <row r="66" spans="1:7">
      <c r="A66" s="57"/>
      <c r="B66" s="57"/>
      <c r="C66" s="57"/>
      <c r="D66" s="57"/>
      <c r="E66" s="230"/>
      <c r="G66" s="230"/>
    </row>
    <row r="67" spans="1:7">
      <c r="A67" s="57"/>
      <c r="B67" s="57"/>
      <c r="C67" s="57"/>
      <c r="D67" s="57"/>
      <c r="E67" s="230"/>
      <c r="G67" s="230"/>
    </row>
    <row r="68" spans="1:7">
      <c r="A68" s="57"/>
      <c r="B68" s="57"/>
      <c r="C68" s="57"/>
      <c r="D68" s="57"/>
      <c r="E68" s="230"/>
      <c r="G68" s="230"/>
    </row>
    <row r="69" spans="1:7">
      <c r="A69" s="57"/>
      <c r="B69" s="57"/>
      <c r="C69" s="57"/>
      <c r="D69" s="57"/>
      <c r="E69" s="230"/>
      <c r="G69" s="230"/>
    </row>
    <row r="70" spans="1:7">
      <c r="A70" s="57"/>
      <c r="B70" s="57"/>
      <c r="C70" s="57"/>
      <c r="D70" s="57"/>
      <c r="E70" s="230"/>
      <c r="G70" s="230"/>
    </row>
    <row r="71" spans="1:7">
      <c r="A71" s="57"/>
      <c r="B71" s="57"/>
      <c r="C71" s="57"/>
      <c r="D71" s="57"/>
      <c r="E71" s="230"/>
      <c r="G71" s="230"/>
    </row>
    <row r="72" spans="1:7">
      <c r="A72" s="57"/>
      <c r="B72" s="57"/>
      <c r="C72" s="57"/>
      <c r="D72" s="57"/>
      <c r="E72" s="230"/>
      <c r="G72" s="230"/>
    </row>
    <row r="73" spans="1:7">
      <c r="A73" s="57"/>
      <c r="B73" s="57"/>
      <c r="C73" s="57"/>
      <c r="D73" s="57"/>
      <c r="E73" s="230"/>
      <c r="G73" s="230"/>
    </row>
    <row r="74" spans="1:7">
      <c r="A74" s="57"/>
      <c r="B74" s="57"/>
      <c r="C74" s="57"/>
      <c r="D74" s="57"/>
      <c r="E74" s="230"/>
      <c r="G74" s="230"/>
    </row>
    <row r="75" spans="1:7">
      <c r="A75" s="57"/>
      <c r="B75" s="57"/>
      <c r="C75" s="57"/>
      <c r="D75" s="57"/>
      <c r="E75" s="230"/>
      <c r="G75" s="230"/>
    </row>
    <row r="76" spans="1:7">
      <c r="A76" s="57"/>
      <c r="B76" s="57"/>
      <c r="C76" s="57"/>
      <c r="D76" s="57"/>
      <c r="E76" s="230"/>
      <c r="G76" s="230"/>
    </row>
    <row r="77" spans="1:7">
      <c r="A77" s="57"/>
      <c r="B77" s="57"/>
      <c r="C77" s="57"/>
      <c r="D77" s="57"/>
      <c r="E77" s="230"/>
      <c r="G77" s="230"/>
    </row>
    <row r="78" spans="1:7">
      <c r="A78" s="57"/>
      <c r="B78" s="57"/>
      <c r="C78" s="57"/>
      <c r="D78" s="57"/>
      <c r="E78" s="230"/>
      <c r="G78" s="230"/>
    </row>
    <row r="79" spans="1:7">
      <c r="A79" s="57"/>
      <c r="B79" s="57"/>
      <c r="C79" s="57"/>
      <c r="D79" s="57"/>
      <c r="E79" s="230"/>
      <c r="G79" s="230"/>
    </row>
    <row r="80" spans="1:7">
      <c r="A80" s="57"/>
      <c r="B80" s="57"/>
      <c r="C80" s="57"/>
      <c r="D80" s="57"/>
      <c r="E80" s="230"/>
      <c r="G80" s="230"/>
    </row>
    <row r="81" spans="1:7">
      <c r="A81" s="57"/>
      <c r="B81" s="57"/>
      <c r="C81" s="57"/>
      <c r="D81" s="57"/>
      <c r="E81" s="230"/>
      <c r="G81" s="230"/>
    </row>
    <row r="82" spans="1:7">
      <c r="A82" s="6"/>
      <c r="B82" s="6"/>
      <c r="C82" s="6"/>
      <c r="D82" s="57"/>
      <c r="E82" s="230"/>
      <c r="G82" s="230"/>
    </row>
    <row r="83" spans="1:7">
      <c r="A83" s="6"/>
      <c r="B83" s="6"/>
      <c r="C83" s="6"/>
      <c r="D83" s="57"/>
      <c r="E83" s="230"/>
      <c r="G83" s="230"/>
    </row>
    <row r="84" spans="1:7">
      <c r="A84" s="6"/>
      <c r="B84" s="6"/>
      <c r="C84" s="6"/>
      <c r="D84" s="57"/>
      <c r="E84" s="230"/>
      <c r="G84" s="230"/>
    </row>
    <row r="85" spans="1:7">
      <c r="A85" s="6"/>
      <c r="B85" s="6"/>
      <c r="C85" s="6"/>
      <c r="D85" s="57"/>
      <c r="E85" s="230"/>
      <c r="G85" s="230"/>
    </row>
    <row r="86" spans="1:7">
      <c r="A86" s="6"/>
      <c r="B86" s="6"/>
      <c r="C86" s="6"/>
      <c r="D86" s="57"/>
      <c r="E86" s="230"/>
      <c r="G86" s="230"/>
    </row>
    <row r="87" spans="1:7">
      <c r="A87" s="6"/>
      <c r="B87" s="6"/>
      <c r="C87" s="6"/>
      <c r="D87" s="57"/>
      <c r="E87" s="230"/>
      <c r="G87" s="230"/>
    </row>
    <row r="88" spans="1:7">
      <c r="A88" s="6"/>
      <c r="B88" s="6"/>
      <c r="C88" s="6"/>
      <c r="D88" s="57"/>
      <c r="E88" s="230"/>
      <c r="G88" s="230"/>
    </row>
    <row r="89" spans="1:7">
      <c r="A89" s="6"/>
      <c r="B89" s="6"/>
      <c r="C89" s="6"/>
      <c r="D89" s="57"/>
      <c r="E89" s="230"/>
      <c r="G89" s="230"/>
    </row>
    <row r="90" spans="1:7">
      <c r="A90" s="6"/>
      <c r="B90" s="6"/>
      <c r="C90" s="6"/>
      <c r="D90" s="57"/>
      <c r="E90" s="230"/>
      <c r="G90" s="230"/>
    </row>
    <row r="91" spans="1:7">
      <c r="A91" s="6"/>
      <c r="B91" s="6"/>
      <c r="C91" s="6"/>
      <c r="D91" s="57"/>
      <c r="E91" s="230"/>
      <c r="G91" s="230"/>
    </row>
    <row r="92" spans="1:7">
      <c r="A92" s="6"/>
      <c r="B92" s="6"/>
      <c r="C92" s="6"/>
      <c r="D92" s="57"/>
      <c r="E92" s="230"/>
      <c r="G92" s="230"/>
    </row>
    <row r="93" spans="1:7">
      <c r="A93" s="6"/>
      <c r="B93" s="6"/>
      <c r="C93" s="6"/>
      <c r="D93" s="57"/>
      <c r="E93" s="230"/>
      <c r="G93" s="230"/>
    </row>
    <row r="94" spans="1:7">
      <c r="A94" s="6"/>
      <c r="B94" s="6"/>
      <c r="C94" s="6"/>
      <c r="D94" s="57"/>
      <c r="E94" s="230"/>
      <c r="G94" s="230"/>
    </row>
    <row r="95" spans="1:7">
      <c r="A95" s="6"/>
      <c r="B95" s="6"/>
      <c r="C95" s="6"/>
      <c r="D95" s="57"/>
      <c r="E95" s="230"/>
      <c r="G95" s="230"/>
    </row>
    <row r="96" spans="1:7">
      <c r="A96" s="6"/>
      <c r="B96" s="6"/>
      <c r="C96" s="6"/>
      <c r="D96" s="57"/>
      <c r="E96" s="230"/>
      <c r="G96" s="230"/>
    </row>
    <row r="97" spans="1:7">
      <c r="A97" s="6"/>
      <c r="B97" s="6"/>
      <c r="C97" s="6"/>
      <c r="D97" s="57"/>
      <c r="E97" s="230"/>
      <c r="G97" s="230"/>
    </row>
    <row r="98" spans="1:7">
      <c r="A98" s="6"/>
      <c r="B98" s="6"/>
      <c r="C98" s="6"/>
      <c r="D98" s="57"/>
      <c r="E98" s="230"/>
      <c r="G98" s="230"/>
    </row>
    <row r="99" spans="1:7">
      <c r="A99" s="6"/>
      <c r="B99" s="6"/>
      <c r="C99" s="6"/>
      <c r="D99" s="57"/>
      <c r="E99" s="230"/>
      <c r="G99" s="230"/>
    </row>
    <row r="100" spans="1:7">
      <c r="A100" s="6"/>
      <c r="B100" s="6"/>
      <c r="C100" s="6"/>
      <c r="D100" s="57"/>
      <c r="E100" s="230"/>
      <c r="G100" s="230"/>
    </row>
    <row r="101" spans="1:7">
      <c r="A101" s="6"/>
      <c r="B101" s="6"/>
      <c r="C101" s="6"/>
      <c r="D101" s="57"/>
      <c r="E101" s="230"/>
      <c r="G101" s="230"/>
    </row>
    <row r="102" spans="1:7">
      <c r="A102" s="6"/>
      <c r="B102" s="6"/>
      <c r="C102" s="6"/>
      <c r="D102" s="57"/>
      <c r="E102" s="230"/>
      <c r="G102" s="230"/>
    </row>
    <row r="103" spans="1:7">
      <c r="A103" s="6"/>
      <c r="B103" s="6"/>
      <c r="C103" s="6"/>
      <c r="D103" s="57"/>
      <c r="E103" s="230"/>
      <c r="G103" s="230"/>
    </row>
    <row r="104" spans="1:7">
      <c r="A104" s="6"/>
      <c r="B104" s="6"/>
      <c r="C104" s="6"/>
      <c r="D104" s="57"/>
      <c r="E104" s="230"/>
      <c r="G104" s="230"/>
    </row>
    <row r="105" spans="1:7">
      <c r="A105" s="6"/>
      <c r="B105" s="6"/>
      <c r="C105" s="6"/>
      <c r="D105" s="57"/>
      <c r="E105" s="230"/>
      <c r="G105" s="230"/>
    </row>
    <row r="106" spans="1:7">
      <c r="A106" s="6"/>
      <c r="B106" s="6"/>
      <c r="C106" s="6"/>
      <c r="D106" s="57"/>
      <c r="E106" s="230"/>
      <c r="G106" s="230"/>
    </row>
    <row r="107" spans="1:7">
      <c r="A107" s="6"/>
      <c r="B107" s="6"/>
      <c r="C107" s="6"/>
      <c r="D107" s="57"/>
      <c r="E107" s="230"/>
      <c r="G107" s="230"/>
    </row>
    <row r="108" spans="1:7">
      <c r="A108" s="6"/>
      <c r="B108" s="6"/>
      <c r="C108" s="6"/>
      <c r="D108" s="57"/>
      <c r="E108" s="230"/>
      <c r="G108" s="230"/>
    </row>
    <row r="109" spans="1:7">
      <c r="A109" s="6"/>
      <c r="B109" s="6"/>
      <c r="C109" s="6"/>
      <c r="D109" s="57"/>
      <c r="E109" s="230"/>
      <c r="G109" s="230"/>
    </row>
    <row r="110" spans="1:7">
      <c r="A110" s="6"/>
      <c r="B110" s="6"/>
      <c r="C110" s="6"/>
      <c r="D110" s="57"/>
      <c r="E110" s="230"/>
      <c r="G110" s="230"/>
    </row>
    <row r="111" spans="1:7">
      <c r="A111" s="6"/>
      <c r="B111" s="6"/>
      <c r="C111" s="6"/>
      <c r="D111" s="57"/>
      <c r="E111" s="230"/>
      <c r="G111" s="230"/>
    </row>
    <row r="112" spans="1:7">
      <c r="A112" s="6"/>
      <c r="B112" s="6"/>
      <c r="C112" s="6"/>
      <c r="D112" s="57"/>
      <c r="E112" s="230"/>
      <c r="G112" s="230"/>
    </row>
    <row r="113" spans="1:7">
      <c r="A113" s="6"/>
      <c r="B113" s="6"/>
      <c r="C113" s="6"/>
      <c r="D113" s="57"/>
      <c r="E113" s="230"/>
      <c r="G113" s="230"/>
    </row>
    <row r="114" spans="1:7">
      <c r="A114" s="6"/>
      <c r="B114" s="6"/>
      <c r="C114" s="6"/>
      <c r="D114" s="57"/>
      <c r="E114" s="230"/>
      <c r="G114" s="230"/>
    </row>
    <row r="115" spans="1:7">
      <c r="A115" s="6"/>
      <c r="B115" s="6"/>
      <c r="C115" s="6"/>
      <c r="D115" s="57"/>
      <c r="E115" s="230"/>
      <c r="G115" s="230"/>
    </row>
    <row r="116" spans="1:7">
      <c r="A116" s="6"/>
      <c r="B116" s="6"/>
      <c r="C116" s="6"/>
      <c r="D116" s="57"/>
      <c r="E116" s="230"/>
      <c r="G116" s="230"/>
    </row>
    <row r="117" spans="1:7">
      <c r="A117" s="6"/>
      <c r="B117" s="6"/>
      <c r="C117" s="6"/>
      <c r="D117" s="57"/>
      <c r="E117" s="230"/>
      <c r="G117" s="230"/>
    </row>
    <row r="118" spans="1:7">
      <c r="A118" s="6"/>
      <c r="B118" s="6"/>
      <c r="C118" s="6"/>
      <c r="D118" s="57"/>
      <c r="E118" s="230"/>
      <c r="G118" s="230"/>
    </row>
    <row r="119" spans="1:7">
      <c r="A119" s="6"/>
      <c r="B119" s="6"/>
      <c r="C119" s="6"/>
      <c r="D119" s="57"/>
      <c r="E119" s="230"/>
      <c r="G119" s="230"/>
    </row>
    <row r="120" spans="1:7">
      <c r="A120" s="6"/>
      <c r="B120" s="6"/>
      <c r="C120" s="6"/>
      <c r="D120" s="57"/>
      <c r="E120" s="230"/>
      <c r="G120" s="230"/>
    </row>
    <row r="121" spans="1:7">
      <c r="A121" s="6"/>
      <c r="B121" s="6"/>
      <c r="C121" s="6"/>
      <c r="D121" s="57"/>
      <c r="E121" s="230"/>
      <c r="G121" s="230"/>
    </row>
    <row r="122" spans="1:7">
      <c r="A122" s="6"/>
      <c r="B122" s="6"/>
      <c r="C122" s="6"/>
      <c r="D122" s="57"/>
      <c r="E122" s="230"/>
      <c r="G122" s="230"/>
    </row>
    <row r="123" spans="1:7">
      <c r="A123" s="6"/>
      <c r="B123" s="6"/>
      <c r="C123" s="6"/>
      <c r="D123" s="57"/>
      <c r="E123" s="230"/>
      <c r="G123" s="230"/>
    </row>
    <row r="124" spans="1:7">
      <c r="A124" s="6"/>
      <c r="B124" s="6"/>
      <c r="C124" s="6"/>
      <c r="D124" s="57"/>
      <c r="E124" s="230"/>
      <c r="G124" s="230"/>
    </row>
    <row r="125" spans="1:7">
      <c r="A125" s="6"/>
      <c r="B125" s="6"/>
      <c r="C125" s="6"/>
      <c r="D125" s="57"/>
      <c r="E125" s="230"/>
      <c r="G125" s="230"/>
    </row>
    <row r="126" spans="1:7">
      <c r="A126" s="6"/>
      <c r="B126" s="6"/>
      <c r="C126" s="6"/>
      <c r="D126" s="57"/>
      <c r="E126" s="230"/>
      <c r="G126" s="230"/>
    </row>
    <row r="127" spans="1:7">
      <c r="A127" s="6"/>
      <c r="B127" s="6"/>
      <c r="C127" s="6"/>
      <c r="D127" s="57"/>
      <c r="E127" s="230"/>
      <c r="G127" s="230"/>
    </row>
    <row r="128" spans="1:7">
      <c r="A128" s="6"/>
      <c r="B128" s="6"/>
      <c r="C128" s="6"/>
      <c r="D128" s="57"/>
      <c r="E128" s="230"/>
      <c r="G128" s="230"/>
    </row>
    <row r="129" spans="1:7">
      <c r="A129" s="6"/>
      <c r="B129" s="6"/>
      <c r="C129" s="6"/>
      <c r="D129" s="57"/>
      <c r="E129" s="230"/>
      <c r="G129" s="230"/>
    </row>
    <row r="130" spans="1:7">
      <c r="A130" s="6"/>
      <c r="B130" s="6"/>
      <c r="C130" s="6"/>
      <c r="D130" s="57"/>
      <c r="E130" s="230"/>
      <c r="G130" s="230"/>
    </row>
    <row r="131" spans="1:7">
      <c r="A131" s="6"/>
      <c r="B131" s="6"/>
      <c r="C131" s="6"/>
      <c r="D131" s="57"/>
      <c r="E131" s="230"/>
      <c r="G131" s="230"/>
    </row>
    <row r="132" spans="1:7">
      <c r="A132" s="6"/>
      <c r="B132" s="6"/>
      <c r="C132" s="6"/>
      <c r="D132" s="57"/>
      <c r="E132" s="230"/>
      <c r="G132" s="230"/>
    </row>
    <row r="133" spans="1:7">
      <c r="A133" s="6"/>
      <c r="B133" s="6"/>
      <c r="C133" s="6"/>
      <c r="D133" s="57"/>
      <c r="E133" s="230"/>
      <c r="G133" s="230"/>
    </row>
    <row r="134" spans="1:7">
      <c r="A134" s="6"/>
      <c r="B134" s="6"/>
      <c r="C134" s="6"/>
      <c r="D134" s="57"/>
      <c r="E134" s="230"/>
      <c r="G134" s="230"/>
    </row>
    <row r="135" spans="1:7">
      <c r="A135" s="6"/>
      <c r="B135" s="6"/>
      <c r="C135" s="6"/>
      <c r="D135" s="57"/>
      <c r="E135" s="230"/>
      <c r="G135" s="230"/>
    </row>
    <row r="136" spans="1:7">
      <c r="A136" s="6"/>
      <c r="B136" s="6"/>
      <c r="C136" s="6"/>
      <c r="D136" s="57"/>
      <c r="E136" s="230"/>
      <c r="G136" s="230"/>
    </row>
    <row r="137" spans="1:7">
      <c r="A137" s="6"/>
      <c r="B137" s="6"/>
      <c r="C137" s="6"/>
      <c r="D137" s="57"/>
      <c r="E137" s="230"/>
      <c r="G137" s="230"/>
    </row>
    <row r="138" spans="1:7">
      <c r="A138" s="6"/>
      <c r="B138" s="6"/>
      <c r="C138" s="6"/>
      <c r="D138" s="57"/>
      <c r="E138" s="230"/>
      <c r="G138" s="230"/>
    </row>
    <row r="139" spans="1:7">
      <c r="A139" s="6"/>
      <c r="B139" s="6"/>
      <c r="C139" s="6"/>
      <c r="D139" s="57"/>
      <c r="E139" s="230"/>
      <c r="G139" s="230"/>
    </row>
    <row r="140" spans="1:7">
      <c r="A140" s="6"/>
      <c r="B140" s="6"/>
      <c r="C140" s="6"/>
      <c r="D140" s="57"/>
      <c r="E140" s="230"/>
      <c r="G140" s="230"/>
    </row>
    <row r="141" spans="1:7">
      <c r="A141" s="6"/>
      <c r="B141" s="6"/>
      <c r="C141" s="6"/>
      <c r="D141" s="57"/>
      <c r="E141" s="230"/>
      <c r="G141" s="230"/>
    </row>
    <row r="142" spans="1:7">
      <c r="A142" s="6"/>
      <c r="B142" s="6"/>
      <c r="C142" s="6"/>
      <c r="D142" s="57"/>
      <c r="E142" s="230"/>
      <c r="G142" s="230"/>
    </row>
    <row r="143" spans="1:7">
      <c r="A143" s="6"/>
      <c r="B143" s="6"/>
      <c r="C143" s="6"/>
      <c r="D143" s="57"/>
      <c r="E143" s="230"/>
      <c r="G143" s="230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77EA0-B606-4A89-BB30-B5457C385C1F}">
  <sheetPr>
    <tabColor rgb="FFFFFF00"/>
  </sheetPr>
  <dimension ref="A1:K83"/>
  <sheetViews>
    <sheetView showGridLines="0" zoomScaleNormal="100" workbookViewId="0">
      <selection activeCellId="1" sqref="I8 A1:XFD1048576"/>
    </sheetView>
  </sheetViews>
  <sheetFormatPr defaultColWidth="8.8984375" defaultRowHeight="13.8"/>
  <cols>
    <col min="1" max="1" width="5.5" style="248" bestFit="1" customWidth="1"/>
    <col min="2" max="2" width="15.69921875" style="244" bestFit="1" customWidth="1"/>
    <col min="3" max="3" width="7.796875" style="248" bestFit="1" customWidth="1"/>
    <col min="4" max="4" width="13.69921875" style="269" bestFit="1" customWidth="1"/>
    <col min="5" max="5" width="16.3984375" style="234" bestFit="1" customWidth="1"/>
    <col min="6" max="6" width="15.8984375" style="252" customWidth="1"/>
    <col min="7" max="7" width="28.5" style="221" bestFit="1" customWidth="1"/>
    <col min="8" max="8" width="17" style="248" bestFit="1" customWidth="1"/>
    <col min="9" max="9" width="5.09765625" style="252" customWidth="1"/>
    <col min="10" max="10" width="27.5" style="244" bestFit="1" customWidth="1"/>
    <col min="11" max="11" width="13.69921875" style="222" bestFit="1" customWidth="1"/>
    <col min="12" max="16384" width="8.8984375" style="248"/>
  </cols>
  <sheetData>
    <row r="1" spans="1:11" ht="14.4" thickBot="1">
      <c r="A1" s="369" t="s">
        <v>0</v>
      </c>
      <c r="B1" s="369" t="s">
        <v>1</v>
      </c>
      <c r="C1" s="369" t="s">
        <v>2</v>
      </c>
      <c r="D1" s="369" t="s">
        <v>1322</v>
      </c>
      <c r="E1" s="371" t="s">
        <v>1323</v>
      </c>
      <c r="F1" s="370" t="s">
        <v>3</v>
      </c>
      <c r="G1" s="369" t="s">
        <v>4</v>
      </c>
      <c r="H1"/>
      <c r="I1" s="57"/>
      <c r="J1" s="370" t="s">
        <v>5</v>
      </c>
      <c r="K1" s="372" t="s">
        <v>1324</v>
      </c>
    </row>
    <row r="2" spans="1:11" ht="14.4" thickTop="1">
      <c r="A2" s="57">
        <v>1</v>
      </c>
      <c r="B2" s="57" t="s">
        <v>7</v>
      </c>
      <c r="C2" s="57">
        <v>2130870</v>
      </c>
      <c r="D2" s="766">
        <v>45852</v>
      </c>
      <c r="E2" s="764">
        <v>40215.51</v>
      </c>
      <c r="F2" s="57" t="s">
        <v>1428</v>
      </c>
      <c r="G2" s="233" t="s">
        <v>10</v>
      </c>
      <c r="I2" s="252" t="s">
        <v>10</v>
      </c>
      <c r="J2" s="469">
        <v>174662</v>
      </c>
      <c r="K2" s="470">
        <v>551001.78999999992</v>
      </c>
    </row>
    <row r="3" spans="1:11">
      <c r="A3" s="57">
        <v>2</v>
      </c>
      <c r="B3" s="57" t="s">
        <v>7</v>
      </c>
      <c r="C3" s="57">
        <v>2130870</v>
      </c>
      <c r="D3" s="766">
        <v>45852</v>
      </c>
      <c r="E3" s="764">
        <v>82539.78</v>
      </c>
      <c r="F3" s="57" t="s">
        <v>1348</v>
      </c>
      <c r="G3" s="233" t="s">
        <v>10</v>
      </c>
      <c r="I3" s="252" t="s">
        <v>10</v>
      </c>
      <c r="J3" s="90">
        <v>174663</v>
      </c>
      <c r="K3" s="726">
        <v>60308.369999999995</v>
      </c>
    </row>
    <row r="4" spans="1:11">
      <c r="A4" s="57">
        <v>3</v>
      </c>
      <c r="B4" s="57" t="s">
        <v>7</v>
      </c>
      <c r="C4" s="57">
        <v>2130870</v>
      </c>
      <c r="D4" s="766">
        <v>45852</v>
      </c>
      <c r="E4" s="764">
        <v>3294260.21</v>
      </c>
      <c r="F4" s="57" t="s">
        <v>32</v>
      </c>
      <c r="G4" s="233" t="s">
        <v>10</v>
      </c>
      <c r="I4" s="252" t="s">
        <v>10</v>
      </c>
      <c r="J4" s="772">
        <v>174664</v>
      </c>
      <c r="K4" s="776">
        <v>23773.670000000002</v>
      </c>
    </row>
    <row r="5" spans="1:11">
      <c r="A5" s="57">
        <v>4</v>
      </c>
      <c r="B5" s="57" t="s">
        <v>7</v>
      </c>
      <c r="C5" s="57">
        <v>2130870</v>
      </c>
      <c r="D5" s="766">
        <v>45852</v>
      </c>
      <c r="E5" s="764">
        <v>5176.45</v>
      </c>
      <c r="F5" s="57" t="s">
        <v>8</v>
      </c>
      <c r="G5" s="233" t="s">
        <v>10</v>
      </c>
      <c r="I5" s="252" t="s">
        <v>10</v>
      </c>
      <c r="J5" s="782">
        <v>174666</v>
      </c>
      <c r="K5" s="786">
        <v>18060.919999999998</v>
      </c>
    </row>
    <row r="6" spans="1:11" ht="14.4" thickBot="1">
      <c r="A6" s="57">
        <v>5</v>
      </c>
      <c r="B6" s="57" t="s">
        <v>7</v>
      </c>
      <c r="C6" s="57">
        <v>2060855</v>
      </c>
      <c r="D6" s="766">
        <v>45852</v>
      </c>
      <c r="E6" s="764">
        <v>700000</v>
      </c>
      <c r="F6" s="57" t="s">
        <v>1377</v>
      </c>
      <c r="G6" s="233" t="s">
        <v>10</v>
      </c>
      <c r="I6" s="252" t="s">
        <v>10</v>
      </c>
      <c r="J6" s="399">
        <v>174670</v>
      </c>
      <c r="K6" s="401">
        <v>123130.18</v>
      </c>
    </row>
    <row r="7" spans="1:11" ht="14.4" thickTop="1">
      <c r="A7" s="669">
        <v>12</v>
      </c>
      <c r="B7" s="670" t="s">
        <v>11</v>
      </c>
      <c r="C7" s="670">
        <v>1170470</v>
      </c>
      <c r="D7" s="805">
        <v>45852</v>
      </c>
      <c r="E7" s="765">
        <v>358213.46</v>
      </c>
      <c r="F7" s="670" t="s">
        <v>1429</v>
      </c>
      <c r="G7" s="654" t="s">
        <v>10</v>
      </c>
      <c r="I7" s="252" t="s">
        <v>10</v>
      </c>
      <c r="J7" s="419">
        <v>174696</v>
      </c>
      <c r="K7" s="421">
        <v>1683.41</v>
      </c>
    </row>
    <row r="8" spans="1:11">
      <c r="A8" s="436">
        <v>13</v>
      </c>
      <c r="B8" s="57" t="s">
        <v>11</v>
      </c>
      <c r="C8" s="57">
        <v>1170470</v>
      </c>
      <c r="D8" s="766">
        <v>45852</v>
      </c>
      <c r="E8" s="764">
        <v>2819.93</v>
      </c>
      <c r="F8" s="57" t="s">
        <v>1429</v>
      </c>
      <c r="G8" s="655" t="s">
        <v>10</v>
      </c>
      <c r="I8" s="252" t="s">
        <v>10</v>
      </c>
      <c r="J8" s="424">
        <v>174704</v>
      </c>
      <c r="K8" s="426">
        <v>2214.29</v>
      </c>
    </row>
    <row r="9" spans="1:11">
      <c r="A9" s="436">
        <v>14</v>
      </c>
      <c r="B9" s="57" t="s">
        <v>11</v>
      </c>
      <c r="C9" s="57">
        <v>1170470</v>
      </c>
      <c r="D9" s="766">
        <v>45852</v>
      </c>
      <c r="E9" s="764">
        <v>246725.89</v>
      </c>
      <c r="F9" s="57" t="s">
        <v>1362</v>
      </c>
      <c r="G9" s="655" t="s">
        <v>10</v>
      </c>
      <c r="I9" s="252" t="s">
        <v>10</v>
      </c>
      <c r="J9" s="404" t="s">
        <v>1423</v>
      </c>
      <c r="K9" s="406">
        <v>590.15</v>
      </c>
    </row>
    <row r="10" spans="1:11">
      <c r="A10" s="436">
        <v>15</v>
      </c>
      <c r="B10" s="57" t="s">
        <v>11</v>
      </c>
      <c r="C10" s="57">
        <v>1170470</v>
      </c>
      <c r="D10" s="766">
        <v>45852</v>
      </c>
      <c r="E10" s="764">
        <v>9426.31</v>
      </c>
      <c r="F10" s="57" t="s">
        <v>1430</v>
      </c>
      <c r="G10" s="655" t="s">
        <v>10</v>
      </c>
      <c r="I10" s="252" t="s">
        <v>10</v>
      </c>
      <c r="J10" s="91" t="s">
        <v>1424</v>
      </c>
      <c r="K10" s="394">
        <v>208.43</v>
      </c>
    </row>
    <row r="11" spans="1:11">
      <c r="A11" s="436">
        <v>16</v>
      </c>
      <c r="B11" s="57" t="s">
        <v>11</v>
      </c>
      <c r="C11" s="57">
        <v>1170470</v>
      </c>
      <c r="D11" s="766">
        <v>45852</v>
      </c>
      <c r="E11" s="764">
        <v>7855.04</v>
      </c>
      <c r="F11" s="57" t="s">
        <v>1430</v>
      </c>
      <c r="G11" s="655" t="s">
        <v>10</v>
      </c>
      <c r="I11" s="252" t="s">
        <v>10</v>
      </c>
      <c r="J11" s="694" t="s">
        <v>1425</v>
      </c>
      <c r="K11" s="696">
        <v>1350</v>
      </c>
    </row>
    <row r="12" spans="1:11">
      <c r="A12" s="724">
        <v>32</v>
      </c>
      <c r="B12" s="90" t="s">
        <v>11</v>
      </c>
      <c r="C12" s="90">
        <v>1200393</v>
      </c>
      <c r="D12" s="777">
        <v>45852</v>
      </c>
      <c r="E12" s="778">
        <v>5066.1099999999997</v>
      </c>
      <c r="F12" s="90"/>
      <c r="G12" s="727" t="s">
        <v>10</v>
      </c>
      <c r="I12" s="252" t="s">
        <v>10</v>
      </c>
      <c r="J12" s="414" t="s">
        <v>1426</v>
      </c>
      <c r="K12" s="416">
        <v>780</v>
      </c>
    </row>
    <row r="13" spans="1:11">
      <c r="A13" s="724">
        <v>34</v>
      </c>
      <c r="B13" s="90" t="s">
        <v>11</v>
      </c>
      <c r="C13" s="90">
        <v>1040211</v>
      </c>
      <c r="D13" s="777">
        <v>45852</v>
      </c>
      <c r="E13" s="778">
        <v>55242.26</v>
      </c>
      <c r="F13" s="90"/>
      <c r="G13" s="727" t="s">
        <v>10</v>
      </c>
      <c r="I13" s="252" t="s">
        <v>10</v>
      </c>
      <c r="J13" s="87" t="s">
        <v>1427</v>
      </c>
      <c r="K13" s="801">
        <v>209.22</v>
      </c>
    </row>
    <row r="14" spans="1:11">
      <c r="A14" s="771">
        <v>35</v>
      </c>
      <c r="B14" s="772" t="s">
        <v>11</v>
      </c>
      <c r="C14" s="772">
        <v>1040211</v>
      </c>
      <c r="D14" s="773">
        <v>45852</v>
      </c>
      <c r="E14" s="774">
        <v>23773.67</v>
      </c>
      <c r="F14" s="772"/>
      <c r="G14" s="775" t="s">
        <v>10</v>
      </c>
      <c r="I14" s="252" t="s">
        <v>10</v>
      </c>
      <c r="J14" s="816" t="s">
        <v>1442</v>
      </c>
      <c r="K14" s="817">
        <v>6320.75</v>
      </c>
    </row>
    <row r="15" spans="1:11">
      <c r="A15" s="658">
        <v>37</v>
      </c>
      <c r="B15" s="469" t="s">
        <v>11</v>
      </c>
      <c r="C15" s="469">
        <v>1040211</v>
      </c>
      <c r="D15" s="769">
        <v>45852</v>
      </c>
      <c r="E15" s="770">
        <v>551001.79</v>
      </c>
      <c r="F15" s="469"/>
      <c r="G15" s="660" t="s">
        <v>10</v>
      </c>
    </row>
    <row r="16" spans="1:11">
      <c r="A16" s="436">
        <v>38</v>
      </c>
      <c r="B16" s="57" t="s">
        <v>11</v>
      </c>
      <c r="C16" s="57">
        <v>1060345</v>
      </c>
      <c r="D16" s="766">
        <v>45852</v>
      </c>
      <c r="E16" s="764">
        <v>10800000</v>
      </c>
      <c r="F16" s="57" t="s">
        <v>1378</v>
      </c>
      <c r="G16" s="655" t="s">
        <v>10</v>
      </c>
    </row>
    <row r="17" spans="1:8">
      <c r="A17" s="818">
        <v>39</v>
      </c>
      <c r="B17" s="819" t="s">
        <v>12</v>
      </c>
      <c r="C17" s="819">
        <v>1040500</v>
      </c>
      <c r="D17" s="820">
        <v>45852</v>
      </c>
      <c r="E17" s="821">
        <v>6320.75</v>
      </c>
      <c r="F17" s="819"/>
      <c r="G17" s="822" t="s">
        <v>10</v>
      </c>
      <c r="H17" s="252" t="s">
        <v>1431</v>
      </c>
    </row>
    <row r="18" spans="1:8">
      <c r="A18" s="781">
        <v>42</v>
      </c>
      <c r="B18" s="782" t="s">
        <v>11</v>
      </c>
      <c r="C18" s="782">
        <v>1040109</v>
      </c>
      <c r="D18" s="783">
        <v>45852</v>
      </c>
      <c r="E18" s="784">
        <v>3864.29</v>
      </c>
      <c r="F18" s="782"/>
      <c r="G18" s="785" t="s">
        <v>10</v>
      </c>
    </row>
    <row r="19" spans="1:8">
      <c r="A19" s="781">
        <v>43</v>
      </c>
      <c r="B19" s="782" t="s">
        <v>11</v>
      </c>
      <c r="C19" s="782">
        <v>1040109</v>
      </c>
      <c r="D19" s="783">
        <v>45852</v>
      </c>
      <c r="E19" s="784">
        <v>1833.19</v>
      </c>
      <c r="F19" s="782"/>
      <c r="G19" s="785" t="s">
        <v>10</v>
      </c>
    </row>
    <row r="20" spans="1:8">
      <c r="A20" s="781">
        <v>44</v>
      </c>
      <c r="B20" s="782" t="s">
        <v>11</v>
      </c>
      <c r="C20" s="782">
        <v>1040109</v>
      </c>
      <c r="D20" s="783">
        <v>45852</v>
      </c>
      <c r="E20" s="784">
        <v>12363.44</v>
      </c>
      <c r="F20" s="782"/>
      <c r="G20" s="785" t="s">
        <v>10</v>
      </c>
    </row>
    <row r="21" spans="1:8">
      <c r="A21" s="403">
        <v>53</v>
      </c>
      <c r="B21" s="404" t="s">
        <v>11</v>
      </c>
      <c r="C21" s="404">
        <v>1040375</v>
      </c>
      <c r="D21" s="789">
        <v>45852</v>
      </c>
      <c r="E21" s="790">
        <v>361.41</v>
      </c>
      <c r="F21" s="404"/>
      <c r="G21" s="707" t="s">
        <v>10</v>
      </c>
    </row>
    <row r="22" spans="1:8">
      <c r="A22" s="403">
        <v>54</v>
      </c>
      <c r="B22" s="404" t="s">
        <v>11</v>
      </c>
      <c r="C22" s="404">
        <v>1040375</v>
      </c>
      <c r="D22" s="789">
        <v>45852</v>
      </c>
      <c r="E22" s="790">
        <v>228.74</v>
      </c>
      <c r="F22" s="404"/>
      <c r="G22" s="707" t="s">
        <v>10</v>
      </c>
    </row>
    <row r="23" spans="1:8">
      <c r="A23" s="398">
        <v>57</v>
      </c>
      <c r="B23" s="399" t="s">
        <v>11</v>
      </c>
      <c r="C23" s="399">
        <v>1040375</v>
      </c>
      <c r="D23" s="787">
        <v>45852</v>
      </c>
      <c r="E23" s="788">
        <v>69157.48</v>
      </c>
      <c r="F23" s="399"/>
      <c r="G23" s="667" t="s">
        <v>10</v>
      </c>
    </row>
    <row r="24" spans="1:8">
      <c r="A24" s="398">
        <v>58</v>
      </c>
      <c r="B24" s="399" t="s">
        <v>11</v>
      </c>
      <c r="C24" s="399">
        <v>1040375</v>
      </c>
      <c r="D24" s="787">
        <v>45852</v>
      </c>
      <c r="E24" s="788">
        <v>53972.7</v>
      </c>
      <c r="F24" s="399"/>
      <c r="G24" s="667" t="s">
        <v>10</v>
      </c>
    </row>
    <row r="25" spans="1:8">
      <c r="A25" s="395">
        <v>60</v>
      </c>
      <c r="B25" s="91" t="s">
        <v>11</v>
      </c>
      <c r="C25" s="91">
        <v>1040375</v>
      </c>
      <c r="D25" s="793">
        <v>45852</v>
      </c>
      <c r="E25" s="794">
        <v>1.74</v>
      </c>
      <c r="F25" s="91"/>
      <c r="G25" s="661" t="s">
        <v>10</v>
      </c>
    </row>
    <row r="26" spans="1:8">
      <c r="A26" s="395">
        <v>61</v>
      </c>
      <c r="B26" s="91" t="s">
        <v>11</v>
      </c>
      <c r="C26" s="91">
        <v>1040375</v>
      </c>
      <c r="D26" s="793">
        <v>45852</v>
      </c>
      <c r="E26" s="794">
        <v>206.69</v>
      </c>
      <c r="F26" s="91"/>
      <c r="G26" s="661" t="s">
        <v>10</v>
      </c>
    </row>
    <row r="27" spans="1:8">
      <c r="A27" s="418">
        <v>62</v>
      </c>
      <c r="B27" s="419" t="s">
        <v>11</v>
      </c>
      <c r="C27" s="419">
        <v>1040375</v>
      </c>
      <c r="D27" s="792">
        <v>45852</v>
      </c>
      <c r="E27" s="791">
        <v>518.22</v>
      </c>
      <c r="F27" s="419"/>
      <c r="G27" s="662" t="s">
        <v>10</v>
      </c>
    </row>
    <row r="28" spans="1:8">
      <c r="A28" s="418">
        <v>63</v>
      </c>
      <c r="B28" s="419" t="s">
        <v>11</v>
      </c>
      <c r="C28" s="419">
        <v>1040375</v>
      </c>
      <c r="D28" s="792">
        <v>45852</v>
      </c>
      <c r="E28" s="791">
        <v>155.47</v>
      </c>
      <c r="F28" s="419"/>
      <c r="G28" s="662" t="s">
        <v>10</v>
      </c>
    </row>
    <row r="29" spans="1:8">
      <c r="A29" s="418">
        <v>64</v>
      </c>
      <c r="B29" s="419" t="s">
        <v>11</v>
      </c>
      <c r="C29" s="419">
        <v>1040375</v>
      </c>
      <c r="D29" s="792">
        <v>45852</v>
      </c>
      <c r="E29" s="791">
        <v>1009.72</v>
      </c>
      <c r="F29" s="419"/>
      <c r="G29" s="662" t="s">
        <v>10</v>
      </c>
    </row>
    <row r="30" spans="1:8">
      <c r="A30" s="693">
        <v>66</v>
      </c>
      <c r="B30" s="694" t="s">
        <v>12</v>
      </c>
      <c r="C30" s="694">
        <v>1170144</v>
      </c>
      <c r="D30" s="795">
        <v>45852</v>
      </c>
      <c r="E30" s="796">
        <v>1350</v>
      </c>
      <c r="F30" s="694"/>
      <c r="G30" s="697" t="s">
        <v>10</v>
      </c>
    </row>
    <row r="31" spans="1:8">
      <c r="A31" s="413">
        <v>67</v>
      </c>
      <c r="B31" s="414" t="s">
        <v>12</v>
      </c>
      <c r="C31" s="414">
        <v>1170144</v>
      </c>
      <c r="D31" s="780">
        <v>45852</v>
      </c>
      <c r="E31" s="779">
        <v>780</v>
      </c>
      <c r="F31" s="414"/>
      <c r="G31" s="691" t="s">
        <v>10</v>
      </c>
    </row>
    <row r="32" spans="1:8">
      <c r="A32" s="797">
        <v>70</v>
      </c>
      <c r="B32" s="87" t="s">
        <v>11</v>
      </c>
      <c r="C32" s="87">
        <v>1040375</v>
      </c>
      <c r="D32" s="798">
        <v>45852</v>
      </c>
      <c r="E32" s="799">
        <v>129.04</v>
      </c>
      <c r="F32" s="87"/>
      <c r="G32" s="800" t="s">
        <v>10</v>
      </c>
    </row>
    <row r="33" spans="1:8">
      <c r="A33" s="797">
        <v>71</v>
      </c>
      <c r="B33" s="87" t="s">
        <v>11</v>
      </c>
      <c r="C33" s="87">
        <v>1040375</v>
      </c>
      <c r="D33" s="798">
        <v>45852</v>
      </c>
      <c r="E33" s="799">
        <v>80.180000000000007</v>
      </c>
      <c r="F33" s="87"/>
      <c r="G33" s="800" t="s">
        <v>10</v>
      </c>
    </row>
    <row r="34" spans="1:8">
      <c r="A34" s="436">
        <v>72</v>
      </c>
      <c r="B34" s="57" t="s">
        <v>11</v>
      </c>
      <c r="C34" s="57">
        <v>1040109</v>
      </c>
      <c r="D34" s="766">
        <v>45852</v>
      </c>
      <c r="E34" s="764">
        <v>2247.52</v>
      </c>
      <c r="F34" s="57"/>
      <c r="G34" s="655" t="s">
        <v>9</v>
      </c>
      <c r="H34" s="546" t="s">
        <v>1411</v>
      </c>
    </row>
    <row r="35" spans="1:8">
      <c r="A35" s="423">
        <v>73</v>
      </c>
      <c r="B35" s="424" t="s">
        <v>11</v>
      </c>
      <c r="C35" s="424">
        <v>1040375</v>
      </c>
      <c r="D35" s="802">
        <v>45852</v>
      </c>
      <c r="E35" s="803">
        <v>559.37</v>
      </c>
      <c r="F35" s="424"/>
      <c r="G35" s="668" t="s">
        <v>10</v>
      </c>
    </row>
    <row r="36" spans="1:8">
      <c r="A36" s="423">
        <v>74</v>
      </c>
      <c r="B36" s="424" t="s">
        <v>11</v>
      </c>
      <c r="C36" s="424">
        <v>1040375</v>
      </c>
      <c r="D36" s="802">
        <v>45852</v>
      </c>
      <c r="E36" s="803">
        <v>359.96</v>
      </c>
      <c r="F36" s="424"/>
      <c r="G36" s="668" t="s">
        <v>10</v>
      </c>
    </row>
    <row r="37" spans="1:8">
      <c r="A37" s="423">
        <v>75</v>
      </c>
      <c r="B37" s="424" t="s">
        <v>11</v>
      </c>
      <c r="C37" s="424">
        <v>1040375</v>
      </c>
      <c r="D37" s="802">
        <v>45852</v>
      </c>
      <c r="E37" s="803">
        <v>138.99</v>
      </c>
      <c r="F37" s="424"/>
      <c r="G37" s="668" t="s">
        <v>10</v>
      </c>
    </row>
    <row r="38" spans="1:8">
      <c r="A38" s="423">
        <v>76</v>
      </c>
      <c r="B38" s="424" t="s">
        <v>11</v>
      </c>
      <c r="C38" s="424">
        <v>1040375</v>
      </c>
      <c r="D38" s="802">
        <v>45852</v>
      </c>
      <c r="E38" s="803">
        <v>496.03</v>
      </c>
      <c r="F38" s="424"/>
      <c r="G38" s="668" t="s">
        <v>10</v>
      </c>
    </row>
    <row r="39" spans="1:8">
      <c r="A39" s="423">
        <v>77</v>
      </c>
      <c r="B39" s="424" t="s">
        <v>11</v>
      </c>
      <c r="C39" s="424">
        <v>1040375</v>
      </c>
      <c r="D39" s="802">
        <v>45852</v>
      </c>
      <c r="E39" s="803">
        <v>657.11</v>
      </c>
      <c r="F39" s="424"/>
      <c r="G39" s="668" t="s">
        <v>10</v>
      </c>
    </row>
    <row r="40" spans="1:8">
      <c r="A40" s="423">
        <v>78</v>
      </c>
      <c r="B40" s="424" t="s">
        <v>11</v>
      </c>
      <c r="C40" s="424">
        <v>1040375</v>
      </c>
      <c r="D40" s="802">
        <v>45852</v>
      </c>
      <c r="E40" s="803">
        <v>2.83</v>
      </c>
      <c r="F40" s="424"/>
      <c r="G40" s="668" t="s">
        <v>10</v>
      </c>
    </row>
    <row r="41" spans="1:8" ht="14.4" thickBot="1">
      <c r="A41" s="375">
        <v>87</v>
      </c>
      <c r="B41" s="376" t="s">
        <v>11</v>
      </c>
      <c r="C41" s="376">
        <v>1040258</v>
      </c>
      <c r="D41" s="767">
        <v>45852</v>
      </c>
      <c r="E41" s="768">
        <v>17.72</v>
      </c>
      <c r="F41" s="376" t="s">
        <v>1367</v>
      </c>
      <c r="G41" s="656" t="s">
        <v>10</v>
      </c>
    </row>
    <row r="42" spans="1:8" ht="14.4" thickTop="1">
      <c r="A42" s="252"/>
      <c r="C42" s="252"/>
    </row>
    <row r="43" spans="1:8">
      <c r="A43" s="252"/>
      <c r="C43" s="252"/>
    </row>
    <row r="44" spans="1:8">
      <c r="A44" s="252"/>
      <c r="C44" s="252"/>
    </row>
    <row r="45" spans="1:8">
      <c r="A45" s="252"/>
      <c r="C45" s="252"/>
    </row>
    <row r="46" spans="1:8">
      <c r="A46" s="252"/>
      <c r="C46" s="252"/>
    </row>
    <row r="47" spans="1:8">
      <c r="A47" s="252"/>
      <c r="C47" s="252"/>
    </row>
    <row r="48" spans="1:8">
      <c r="A48" s="252"/>
      <c r="C48" s="252"/>
    </row>
    <row r="49" spans="1:6">
      <c r="A49" s="252"/>
      <c r="C49" s="252"/>
    </row>
    <row r="50" spans="1:6">
      <c r="A50" s="252"/>
      <c r="C50" s="252"/>
    </row>
    <row r="51" spans="1:6">
      <c r="A51" s="252"/>
      <c r="C51" s="252"/>
    </row>
    <row r="52" spans="1:6">
      <c r="A52" s="252"/>
      <c r="C52" s="252"/>
    </row>
    <row r="53" spans="1:6">
      <c r="A53" s="252"/>
      <c r="C53" s="252"/>
    </row>
    <row r="54" spans="1:6">
      <c r="A54" s="252"/>
      <c r="C54" s="252"/>
    </row>
    <row r="55" spans="1:6">
      <c r="A55" s="252"/>
      <c r="C55" s="252"/>
      <c r="F55" s="804"/>
    </row>
    <row r="56" spans="1:6">
      <c r="A56" s="252"/>
      <c r="C56" s="252"/>
    </row>
    <row r="57" spans="1:6">
      <c r="A57" s="252"/>
      <c r="C57" s="252"/>
      <c r="F57" s="225"/>
    </row>
    <row r="58" spans="1:6">
      <c r="A58" s="252"/>
      <c r="C58" s="252"/>
    </row>
    <row r="59" spans="1:6">
      <c r="A59" s="252"/>
      <c r="C59" s="252"/>
      <c r="F59" s="804"/>
    </row>
    <row r="60" spans="1:6">
      <c r="A60" s="252"/>
      <c r="C60" s="252"/>
    </row>
    <row r="61" spans="1:6">
      <c r="A61" s="252"/>
      <c r="C61" s="252"/>
    </row>
    <row r="62" spans="1:6">
      <c r="A62" s="252"/>
      <c r="C62" s="252"/>
    </row>
    <row r="63" spans="1:6">
      <c r="A63" s="252"/>
      <c r="C63" s="252"/>
    </row>
    <row r="64" spans="1:6">
      <c r="A64" s="252"/>
      <c r="C64" s="252"/>
    </row>
    <row r="65" spans="1:3">
      <c r="A65" s="252"/>
      <c r="C65" s="252"/>
    </row>
    <row r="66" spans="1:3">
      <c r="A66" s="252"/>
      <c r="C66" s="252"/>
    </row>
    <row r="67" spans="1:3">
      <c r="A67" s="252"/>
      <c r="C67" s="252"/>
    </row>
    <row r="68" spans="1:3">
      <c r="A68" s="252"/>
      <c r="C68" s="252"/>
    </row>
    <row r="69" spans="1:3">
      <c r="A69" s="252"/>
      <c r="C69" s="252"/>
    </row>
    <row r="70" spans="1:3">
      <c r="A70" s="252"/>
      <c r="C70" s="252"/>
    </row>
    <row r="71" spans="1:3">
      <c r="A71" s="252"/>
      <c r="C71" s="252"/>
    </row>
    <row r="72" spans="1:3">
      <c r="A72" s="252"/>
      <c r="C72" s="252"/>
    </row>
    <row r="73" spans="1:3">
      <c r="A73" s="252"/>
      <c r="C73" s="252"/>
    </row>
    <row r="74" spans="1:3">
      <c r="A74" s="252"/>
      <c r="C74" s="252"/>
    </row>
    <row r="75" spans="1:3">
      <c r="A75" s="252"/>
      <c r="C75" s="252"/>
    </row>
    <row r="76" spans="1:3">
      <c r="A76" s="252"/>
      <c r="C76" s="252"/>
    </row>
    <row r="77" spans="1:3">
      <c r="A77" s="252"/>
      <c r="C77" s="252"/>
    </row>
    <row r="78" spans="1:3">
      <c r="A78" s="252"/>
      <c r="C78" s="252"/>
    </row>
    <row r="79" spans="1:3">
      <c r="A79" s="252"/>
      <c r="C79" s="252"/>
    </row>
    <row r="80" spans="1:3">
      <c r="A80" s="252"/>
      <c r="C80" s="252"/>
    </row>
    <row r="81" spans="1:3">
      <c r="A81" s="252"/>
      <c r="C81" s="252"/>
    </row>
    <row r="82" spans="1:3">
      <c r="A82" s="252"/>
      <c r="C82" s="252"/>
    </row>
    <row r="83" spans="1:3">
      <c r="A83" s="252"/>
      <c r="C83" s="252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8748B-2A94-4499-949C-C0DDD97BC15A}">
  <sheetPr>
    <tabColor rgb="FFFFFF00"/>
  </sheetPr>
  <dimension ref="A1:K99"/>
  <sheetViews>
    <sheetView showGridLines="0" topLeftCell="A4" zoomScaleNormal="100" workbookViewId="0">
      <selection activeCellId="1" sqref="I8 A1:XFD1048576"/>
    </sheetView>
  </sheetViews>
  <sheetFormatPr defaultColWidth="8" defaultRowHeight="13.8"/>
  <cols>
    <col min="1" max="1" width="5.5" style="250" bestFit="1" customWidth="1"/>
    <col min="2" max="2" width="15.69921875" style="250" bestFit="1" customWidth="1"/>
    <col min="3" max="3" width="7.796875" style="250" bestFit="1" customWidth="1"/>
    <col min="4" max="4" width="13.69921875" style="57" bestFit="1" customWidth="1"/>
    <col min="5" max="5" width="16.3984375" style="214" bestFit="1" customWidth="1"/>
    <col min="6" max="6" width="30.5" style="57" bestFit="1" customWidth="1"/>
    <col min="7" max="7" width="28.5" style="213" bestFit="1" customWidth="1"/>
    <col min="8" max="8" width="15.19921875" style="250" bestFit="1" customWidth="1"/>
    <col min="9" max="9" width="8" style="57"/>
    <col min="10" max="10" width="27.5" style="250" bestFit="1" customWidth="1"/>
    <col min="11" max="11" width="15.3984375" style="213" bestFit="1" customWidth="1"/>
    <col min="12" max="16384" width="8" style="250"/>
  </cols>
  <sheetData>
    <row r="1" spans="1:11" ht="14.4" thickBot="1">
      <c r="A1" s="369" t="s">
        <v>0</v>
      </c>
      <c r="B1" s="369" t="s">
        <v>1</v>
      </c>
      <c r="C1" s="369" t="s">
        <v>2</v>
      </c>
      <c r="D1" s="369" t="s">
        <v>1322</v>
      </c>
      <c r="E1" s="371" t="s">
        <v>1323</v>
      </c>
      <c r="F1" s="370" t="s">
        <v>3</v>
      </c>
      <c r="G1" s="369" t="s">
        <v>4</v>
      </c>
      <c r="H1"/>
      <c r="J1" s="370" t="s">
        <v>5</v>
      </c>
      <c r="K1" s="372" t="s">
        <v>1324</v>
      </c>
    </row>
    <row r="2" spans="1:11" ht="14.4" thickTop="1">
      <c r="A2" s="57">
        <v>1</v>
      </c>
      <c r="B2" s="57" t="s">
        <v>7</v>
      </c>
      <c r="C2" s="57">
        <v>2130870</v>
      </c>
      <c r="D2" s="266">
        <v>45853</v>
      </c>
      <c r="E2" s="233">
        <v>16175352.140000001</v>
      </c>
      <c r="F2" s="57" t="s">
        <v>32</v>
      </c>
      <c r="G2" s="233" t="s">
        <v>10</v>
      </c>
      <c r="I2" s="57" t="s">
        <v>10</v>
      </c>
      <c r="J2" s="91">
        <v>174708</v>
      </c>
      <c r="K2" s="394">
        <v>32366.920000000002</v>
      </c>
    </row>
    <row r="3" spans="1:11">
      <c r="A3" s="57">
        <v>2</v>
      </c>
      <c r="B3" s="57" t="s">
        <v>7</v>
      </c>
      <c r="C3" s="57">
        <v>2130870</v>
      </c>
      <c r="D3" s="266">
        <v>45853</v>
      </c>
      <c r="E3" s="233">
        <v>4192.91</v>
      </c>
      <c r="F3" s="57" t="s">
        <v>8</v>
      </c>
      <c r="G3" s="233" t="s">
        <v>10</v>
      </c>
      <c r="I3" s="57" t="s">
        <v>10</v>
      </c>
      <c r="J3" s="92">
        <v>174720</v>
      </c>
      <c r="K3" s="387">
        <v>105620.20000000004</v>
      </c>
    </row>
    <row r="4" spans="1:11" ht="14.4" thickBot="1">
      <c r="A4" s="57">
        <v>3</v>
      </c>
      <c r="B4" s="57" t="s">
        <v>7</v>
      </c>
      <c r="C4" s="57">
        <v>2130870</v>
      </c>
      <c r="D4" s="266">
        <v>45853</v>
      </c>
      <c r="E4" s="233">
        <v>23.4</v>
      </c>
      <c r="G4" s="233" t="s">
        <v>10</v>
      </c>
      <c r="I4" s="57" t="s">
        <v>10</v>
      </c>
      <c r="J4" s="424">
        <v>174721</v>
      </c>
      <c r="K4" s="426">
        <v>1878653.4400000002</v>
      </c>
    </row>
    <row r="5" spans="1:11" ht="14.4" thickTop="1">
      <c r="A5" s="669">
        <v>12</v>
      </c>
      <c r="B5" s="670" t="s">
        <v>11</v>
      </c>
      <c r="C5" s="670">
        <v>1170470</v>
      </c>
      <c r="D5" s="671">
        <v>45853</v>
      </c>
      <c r="E5" s="653">
        <v>230</v>
      </c>
      <c r="F5" s="670" t="s">
        <v>1496</v>
      </c>
      <c r="G5" s="654" t="s">
        <v>10</v>
      </c>
      <c r="I5" s="57" t="s">
        <v>10</v>
      </c>
      <c r="J5" s="87">
        <v>174725</v>
      </c>
      <c r="K5" s="801">
        <v>134563.72999999995</v>
      </c>
    </row>
    <row r="6" spans="1:11">
      <c r="A6" s="436">
        <v>14</v>
      </c>
      <c r="B6" s="57" t="s">
        <v>11</v>
      </c>
      <c r="C6" s="57">
        <v>1170470</v>
      </c>
      <c r="D6" s="266">
        <v>45853</v>
      </c>
      <c r="E6" s="233">
        <v>265168.53999999998</v>
      </c>
      <c r="F6" s="57" t="s">
        <v>1363</v>
      </c>
      <c r="G6" s="655" t="s">
        <v>10</v>
      </c>
      <c r="I6" s="57" t="s">
        <v>10</v>
      </c>
      <c r="J6" s="469">
        <v>174734</v>
      </c>
      <c r="K6" s="470">
        <v>188500.69</v>
      </c>
    </row>
    <row r="7" spans="1:11">
      <c r="A7" s="423">
        <v>16</v>
      </c>
      <c r="B7" s="424" t="s">
        <v>11</v>
      </c>
      <c r="C7" s="424">
        <v>1040211</v>
      </c>
      <c r="D7" s="425">
        <v>45853</v>
      </c>
      <c r="E7" s="426">
        <v>1707020.09</v>
      </c>
      <c r="F7" s="424"/>
      <c r="G7" s="668" t="s">
        <v>10</v>
      </c>
      <c r="I7" s="57" t="s">
        <v>10</v>
      </c>
      <c r="J7" s="729">
        <v>174737</v>
      </c>
      <c r="K7" s="731">
        <v>16393.79</v>
      </c>
    </row>
    <row r="8" spans="1:11">
      <c r="A8" s="797">
        <v>20</v>
      </c>
      <c r="B8" s="87" t="s">
        <v>11</v>
      </c>
      <c r="C8" s="87">
        <v>1200393</v>
      </c>
      <c r="D8" s="806">
        <v>45853</v>
      </c>
      <c r="E8" s="801">
        <v>16638.89</v>
      </c>
      <c r="F8" s="87"/>
      <c r="G8" s="800" t="s">
        <v>10</v>
      </c>
      <c r="I8" s="57" t="s">
        <v>10</v>
      </c>
      <c r="J8" s="404" t="s">
        <v>1432</v>
      </c>
      <c r="K8" s="406">
        <v>659.47</v>
      </c>
    </row>
    <row r="9" spans="1:11">
      <c r="A9" s="797">
        <v>22</v>
      </c>
      <c r="B9" s="87" t="s">
        <v>11</v>
      </c>
      <c r="C9" s="87">
        <v>1040211</v>
      </c>
      <c r="D9" s="806">
        <v>45853</v>
      </c>
      <c r="E9" s="801">
        <v>117924.84</v>
      </c>
      <c r="F9" s="87"/>
      <c r="G9" s="800" t="s">
        <v>10</v>
      </c>
      <c r="I9" s="57" t="s">
        <v>10</v>
      </c>
      <c r="J9" s="419" t="s">
        <v>1433</v>
      </c>
      <c r="K9" s="421">
        <v>38.28</v>
      </c>
    </row>
    <row r="10" spans="1:11">
      <c r="A10" s="728">
        <v>30</v>
      </c>
      <c r="B10" s="729" t="s">
        <v>11</v>
      </c>
      <c r="C10" s="729">
        <v>1040211</v>
      </c>
      <c r="D10" s="730">
        <v>45853</v>
      </c>
      <c r="E10" s="731">
        <v>16393.79</v>
      </c>
      <c r="F10" s="729"/>
      <c r="G10" s="732" t="s">
        <v>10</v>
      </c>
      <c r="I10" s="57" t="s">
        <v>10</v>
      </c>
      <c r="J10" s="807" t="s">
        <v>1436</v>
      </c>
      <c r="K10" s="698">
        <v>24250.99</v>
      </c>
    </row>
    <row r="11" spans="1:11">
      <c r="A11" s="385">
        <v>34</v>
      </c>
      <c r="B11" s="92" t="s">
        <v>11</v>
      </c>
      <c r="C11" s="92">
        <v>1200393</v>
      </c>
      <c r="D11" s="386">
        <v>45853</v>
      </c>
      <c r="E11" s="387">
        <v>10938.21</v>
      </c>
      <c r="F11" s="92"/>
      <c r="G11" s="657" t="s">
        <v>10</v>
      </c>
      <c r="J11" s="242">
        <v>175140</v>
      </c>
      <c r="K11" s="213">
        <v>2037.56</v>
      </c>
    </row>
    <row r="12" spans="1:11">
      <c r="A12" s="385">
        <v>35</v>
      </c>
      <c r="B12" s="92" t="s">
        <v>11</v>
      </c>
      <c r="C12" s="92">
        <v>1040211</v>
      </c>
      <c r="D12" s="386">
        <v>45853</v>
      </c>
      <c r="E12" s="387">
        <v>94681.99</v>
      </c>
      <c r="F12" s="92"/>
      <c r="G12" s="657" t="s">
        <v>10</v>
      </c>
    </row>
    <row r="13" spans="1:11">
      <c r="A13" s="423">
        <v>36</v>
      </c>
      <c r="B13" s="424" t="s">
        <v>11</v>
      </c>
      <c r="C13" s="424">
        <v>1200393</v>
      </c>
      <c r="D13" s="425">
        <v>45853</v>
      </c>
      <c r="E13" s="426">
        <v>170702.28</v>
      </c>
      <c r="F13" s="424"/>
      <c r="G13" s="668" t="s">
        <v>10</v>
      </c>
      <c r="H13" s="268"/>
    </row>
    <row r="14" spans="1:11">
      <c r="A14" s="436">
        <v>37</v>
      </c>
      <c r="B14" s="57" t="s">
        <v>11</v>
      </c>
      <c r="C14" s="57">
        <v>1060345</v>
      </c>
      <c r="D14" s="266">
        <v>45853</v>
      </c>
      <c r="E14" s="233">
        <v>4200000</v>
      </c>
      <c r="F14" s="57" t="s">
        <v>1378</v>
      </c>
      <c r="G14" s="655" t="s">
        <v>10</v>
      </c>
    </row>
    <row r="15" spans="1:11">
      <c r="A15" s="436">
        <v>38</v>
      </c>
      <c r="B15" s="57" t="s">
        <v>12</v>
      </c>
      <c r="C15" s="57">
        <v>1040500</v>
      </c>
      <c r="D15" s="266">
        <v>45853</v>
      </c>
      <c r="E15" s="233">
        <v>45</v>
      </c>
      <c r="F15" s="57" t="s">
        <v>1367</v>
      </c>
      <c r="G15" s="655" t="s">
        <v>10</v>
      </c>
      <c r="J15" s="270">
        <f>SUM(E5,E18:E28,E49)</f>
        <v>35560.58</v>
      </c>
    </row>
    <row r="16" spans="1:11">
      <c r="A16" s="436">
        <v>39</v>
      </c>
      <c r="B16" s="57" t="s">
        <v>12</v>
      </c>
      <c r="C16" s="57">
        <v>1040500</v>
      </c>
      <c r="D16" s="266">
        <v>45853</v>
      </c>
      <c r="E16" s="233">
        <v>51.84</v>
      </c>
      <c r="F16" s="57" t="s">
        <v>1435</v>
      </c>
      <c r="G16" s="655" t="s">
        <v>10</v>
      </c>
      <c r="H16" s="57" t="s">
        <v>1434</v>
      </c>
      <c r="J16" s="270">
        <f>J15-E49-E5</f>
        <v>11079.59</v>
      </c>
    </row>
    <row r="17" spans="1:10">
      <c r="A17" s="436">
        <v>40</v>
      </c>
      <c r="B17" s="57" t="s">
        <v>12</v>
      </c>
      <c r="C17" s="57">
        <v>1040500</v>
      </c>
      <c r="D17" s="266">
        <v>45853</v>
      </c>
      <c r="E17" s="233">
        <v>2378.1799999999998</v>
      </c>
      <c r="F17" s="57" t="s">
        <v>1435</v>
      </c>
      <c r="G17" s="655" t="s">
        <v>10</v>
      </c>
      <c r="H17" s="57" t="s">
        <v>1434</v>
      </c>
    </row>
    <row r="18" spans="1:10">
      <c r="A18" s="395">
        <v>42</v>
      </c>
      <c r="B18" s="91" t="s">
        <v>11</v>
      </c>
      <c r="C18" s="91">
        <v>1040109</v>
      </c>
      <c r="D18" s="396">
        <v>45853</v>
      </c>
      <c r="E18" s="394">
        <v>81.12</v>
      </c>
      <c r="F18" s="91"/>
      <c r="G18" s="661" t="s">
        <v>9</v>
      </c>
      <c r="H18" s="57" t="s">
        <v>1411</v>
      </c>
    </row>
    <row r="19" spans="1:10">
      <c r="A19" s="395">
        <v>43</v>
      </c>
      <c r="B19" s="91" t="s">
        <v>11</v>
      </c>
      <c r="C19" s="91">
        <v>1040109</v>
      </c>
      <c r="D19" s="396">
        <v>45853</v>
      </c>
      <c r="E19" s="394">
        <v>1443.59</v>
      </c>
      <c r="F19" s="91"/>
      <c r="G19" s="661" t="s">
        <v>9</v>
      </c>
      <c r="H19" s="57" t="s">
        <v>1411</v>
      </c>
      <c r="J19" s="250">
        <v>11079.59</v>
      </c>
    </row>
    <row r="20" spans="1:10">
      <c r="A20" s="395">
        <v>44</v>
      </c>
      <c r="B20" s="91" t="s">
        <v>11</v>
      </c>
      <c r="C20" s="91">
        <v>1040109</v>
      </c>
      <c r="D20" s="396">
        <v>45853</v>
      </c>
      <c r="E20" s="394">
        <v>609.74</v>
      </c>
      <c r="F20" s="91"/>
      <c r="G20" s="661" t="s">
        <v>9</v>
      </c>
      <c r="H20" s="57" t="s">
        <v>1411</v>
      </c>
    </row>
    <row r="21" spans="1:10">
      <c r="A21" s="395">
        <v>45</v>
      </c>
      <c r="B21" s="91" t="s">
        <v>11</v>
      </c>
      <c r="C21" s="91">
        <v>1040109</v>
      </c>
      <c r="D21" s="396">
        <v>45853</v>
      </c>
      <c r="E21" s="394">
        <v>140.84</v>
      </c>
      <c r="F21" s="91"/>
      <c r="G21" s="661" t="s">
        <v>9</v>
      </c>
      <c r="H21" s="57" t="s">
        <v>1411</v>
      </c>
    </row>
    <row r="22" spans="1:10">
      <c r="A22" s="380">
        <v>46</v>
      </c>
      <c r="B22" s="381" t="s">
        <v>11</v>
      </c>
      <c r="C22" s="381">
        <v>1040109</v>
      </c>
      <c r="D22" s="382">
        <v>45853</v>
      </c>
      <c r="E22" s="383">
        <v>2037.56</v>
      </c>
      <c r="F22" s="381"/>
      <c r="G22" s="706" t="s">
        <v>9</v>
      </c>
      <c r="H22" s="57" t="s">
        <v>1411</v>
      </c>
    </row>
    <row r="23" spans="1:10">
      <c r="A23" s="395">
        <v>47</v>
      </c>
      <c r="B23" s="91" t="s">
        <v>11</v>
      </c>
      <c r="C23" s="91">
        <v>1040109</v>
      </c>
      <c r="D23" s="396">
        <v>45853</v>
      </c>
      <c r="E23" s="394">
        <v>794.66</v>
      </c>
      <c r="F23" s="91"/>
      <c r="G23" s="661" t="s">
        <v>9</v>
      </c>
      <c r="H23" s="57" t="s">
        <v>1411</v>
      </c>
    </row>
    <row r="24" spans="1:10">
      <c r="A24" s="395">
        <v>48</v>
      </c>
      <c r="B24" s="91" t="s">
        <v>11</v>
      </c>
      <c r="C24" s="91">
        <v>1040375</v>
      </c>
      <c r="D24" s="396">
        <v>45853</v>
      </c>
      <c r="E24" s="394">
        <v>941.68</v>
      </c>
      <c r="F24" s="91"/>
      <c r="G24" s="661" t="s">
        <v>9</v>
      </c>
      <c r="H24" s="57" t="s">
        <v>1366</v>
      </c>
    </row>
    <row r="25" spans="1:10">
      <c r="A25" s="395">
        <v>49</v>
      </c>
      <c r="B25" s="91" t="s">
        <v>11</v>
      </c>
      <c r="C25" s="91">
        <v>1040375</v>
      </c>
      <c r="D25" s="396">
        <v>45853</v>
      </c>
      <c r="E25" s="394">
        <v>1335.34</v>
      </c>
      <c r="F25" s="91"/>
      <c r="G25" s="661" t="s">
        <v>9</v>
      </c>
      <c r="H25" s="57" t="s">
        <v>1366</v>
      </c>
    </row>
    <row r="26" spans="1:10">
      <c r="A26" s="395">
        <v>50</v>
      </c>
      <c r="B26" s="91" t="s">
        <v>11</v>
      </c>
      <c r="C26" s="91">
        <v>1040375</v>
      </c>
      <c r="D26" s="396">
        <v>45853</v>
      </c>
      <c r="E26" s="394">
        <v>883.48</v>
      </c>
      <c r="F26" s="91"/>
      <c r="G26" s="661" t="s">
        <v>9</v>
      </c>
      <c r="H26" s="57" t="s">
        <v>1366</v>
      </c>
    </row>
    <row r="27" spans="1:10">
      <c r="A27" s="395">
        <v>51</v>
      </c>
      <c r="B27" s="91" t="s">
        <v>11</v>
      </c>
      <c r="C27" s="91">
        <v>1040375</v>
      </c>
      <c r="D27" s="396">
        <v>45853</v>
      </c>
      <c r="E27" s="394">
        <v>1144.5899999999999</v>
      </c>
      <c r="F27" s="91"/>
      <c r="G27" s="661" t="s">
        <v>9</v>
      </c>
      <c r="H27" s="57" t="s">
        <v>1366</v>
      </c>
    </row>
    <row r="28" spans="1:10">
      <c r="A28" s="395">
        <v>52</v>
      </c>
      <c r="B28" s="91" t="s">
        <v>11</v>
      </c>
      <c r="C28" s="91">
        <v>1040375</v>
      </c>
      <c r="D28" s="396">
        <v>45853</v>
      </c>
      <c r="E28" s="394">
        <v>1666.99</v>
      </c>
      <c r="F28" s="91"/>
      <c r="G28" s="661" t="s">
        <v>9</v>
      </c>
      <c r="H28" s="57" t="s">
        <v>1366</v>
      </c>
    </row>
    <row r="29" spans="1:10">
      <c r="A29" s="395">
        <v>60</v>
      </c>
      <c r="B29" s="91" t="s">
        <v>11</v>
      </c>
      <c r="C29" s="91">
        <v>1040375</v>
      </c>
      <c r="D29" s="396">
        <v>45853</v>
      </c>
      <c r="E29" s="394">
        <v>188346.47</v>
      </c>
      <c r="F29" s="91"/>
      <c r="G29" s="661" t="s">
        <v>10</v>
      </c>
    </row>
    <row r="30" spans="1:10">
      <c r="A30" s="658">
        <v>61</v>
      </c>
      <c r="B30" s="469" t="s">
        <v>11</v>
      </c>
      <c r="C30" s="469">
        <v>1040375</v>
      </c>
      <c r="D30" s="659">
        <v>45853</v>
      </c>
      <c r="E30" s="470">
        <v>154.22</v>
      </c>
      <c r="F30" s="469"/>
      <c r="G30" s="660" t="s">
        <v>10</v>
      </c>
    </row>
    <row r="31" spans="1:10">
      <c r="A31" s="423">
        <v>66</v>
      </c>
      <c r="B31" s="424" t="s">
        <v>12</v>
      </c>
      <c r="C31" s="424">
        <v>1170144</v>
      </c>
      <c r="D31" s="425">
        <v>45853</v>
      </c>
      <c r="E31" s="426">
        <v>931.07</v>
      </c>
      <c r="F31" s="424"/>
      <c r="G31" s="668" t="s">
        <v>10</v>
      </c>
    </row>
    <row r="32" spans="1:10">
      <c r="A32" s="395">
        <v>69</v>
      </c>
      <c r="B32" s="91" t="s">
        <v>11</v>
      </c>
      <c r="C32" s="91">
        <v>1040109</v>
      </c>
      <c r="D32" s="396">
        <v>45853</v>
      </c>
      <c r="E32" s="394">
        <v>102.46</v>
      </c>
      <c r="F32" s="91"/>
      <c r="G32" s="661" t="s">
        <v>10</v>
      </c>
    </row>
    <row r="33" spans="1:7">
      <c r="A33" s="395">
        <v>70</v>
      </c>
      <c r="B33" s="91" t="s">
        <v>11</v>
      </c>
      <c r="C33" s="91">
        <v>1040109</v>
      </c>
      <c r="D33" s="396">
        <v>45853</v>
      </c>
      <c r="E33" s="394">
        <v>1041.45</v>
      </c>
      <c r="F33" s="91"/>
      <c r="G33" s="661" t="s">
        <v>10</v>
      </c>
    </row>
    <row r="34" spans="1:7">
      <c r="A34" s="395">
        <v>71</v>
      </c>
      <c r="B34" s="91" t="s">
        <v>11</v>
      </c>
      <c r="C34" s="91">
        <v>1040109</v>
      </c>
      <c r="D34" s="396">
        <v>45853</v>
      </c>
      <c r="E34" s="394">
        <v>475.14</v>
      </c>
      <c r="F34" s="91"/>
      <c r="G34" s="661" t="s">
        <v>10</v>
      </c>
    </row>
    <row r="35" spans="1:7">
      <c r="A35" s="395">
        <v>72</v>
      </c>
      <c r="B35" s="91" t="s">
        <v>11</v>
      </c>
      <c r="C35" s="91">
        <v>1040109</v>
      </c>
      <c r="D35" s="396">
        <v>45853</v>
      </c>
      <c r="E35" s="394">
        <v>102.46</v>
      </c>
      <c r="F35" s="91"/>
      <c r="G35" s="661" t="s">
        <v>10</v>
      </c>
    </row>
    <row r="36" spans="1:7">
      <c r="A36" s="395">
        <v>73</v>
      </c>
      <c r="B36" s="91" t="s">
        <v>11</v>
      </c>
      <c r="C36" s="91">
        <v>1040109</v>
      </c>
      <c r="D36" s="396">
        <v>45853</v>
      </c>
      <c r="E36" s="394">
        <v>682.2</v>
      </c>
      <c r="F36" s="91"/>
      <c r="G36" s="661" t="s">
        <v>10</v>
      </c>
    </row>
    <row r="37" spans="1:7">
      <c r="A37" s="395">
        <v>74</v>
      </c>
      <c r="B37" s="91" t="s">
        <v>11</v>
      </c>
      <c r="C37" s="91">
        <v>1040109</v>
      </c>
      <c r="D37" s="396">
        <v>45853</v>
      </c>
      <c r="E37" s="394">
        <v>108.69</v>
      </c>
      <c r="F37" s="91"/>
      <c r="G37" s="661" t="s">
        <v>10</v>
      </c>
    </row>
    <row r="38" spans="1:7">
      <c r="A38" s="395">
        <v>75</v>
      </c>
      <c r="B38" s="91" t="s">
        <v>11</v>
      </c>
      <c r="C38" s="91">
        <v>1040109</v>
      </c>
      <c r="D38" s="396">
        <v>45853</v>
      </c>
      <c r="E38" s="394">
        <v>180.71</v>
      </c>
      <c r="F38" s="91"/>
      <c r="G38" s="661" t="s">
        <v>10</v>
      </c>
    </row>
    <row r="39" spans="1:7">
      <c r="A39" s="395">
        <v>76</v>
      </c>
      <c r="B39" s="91" t="s">
        <v>11</v>
      </c>
      <c r="C39" s="91">
        <v>1040109</v>
      </c>
      <c r="D39" s="396">
        <v>45853</v>
      </c>
      <c r="E39" s="394">
        <v>871.78</v>
      </c>
      <c r="F39" s="91"/>
      <c r="G39" s="661" t="s">
        <v>10</v>
      </c>
    </row>
    <row r="40" spans="1:7">
      <c r="A40" s="395">
        <v>77</v>
      </c>
      <c r="B40" s="91" t="s">
        <v>11</v>
      </c>
      <c r="C40" s="91">
        <v>1040109</v>
      </c>
      <c r="D40" s="396">
        <v>45853</v>
      </c>
      <c r="E40" s="394">
        <v>1593.45</v>
      </c>
      <c r="F40" s="91"/>
      <c r="G40" s="661" t="s">
        <v>10</v>
      </c>
    </row>
    <row r="41" spans="1:7">
      <c r="A41" s="395">
        <v>82</v>
      </c>
      <c r="B41" s="91" t="s">
        <v>11</v>
      </c>
      <c r="C41" s="91">
        <v>1040363</v>
      </c>
      <c r="D41" s="396">
        <v>45853</v>
      </c>
      <c r="E41" s="394">
        <v>26331.21</v>
      </c>
      <c r="F41" s="91"/>
      <c r="G41" s="661" t="s">
        <v>10</v>
      </c>
    </row>
    <row r="42" spans="1:7">
      <c r="A42" s="395">
        <v>83</v>
      </c>
      <c r="B42" s="91" t="s">
        <v>11</v>
      </c>
      <c r="C42" s="91">
        <v>1040363</v>
      </c>
      <c r="D42" s="396">
        <v>45853</v>
      </c>
      <c r="E42" s="394">
        <v>877.37</v>
      </c>
      <c r="F42" s="91"/>
      <c r="G42" s="661" t="s">
        <v>10</v>
      </c>
    </row>
    <row r="43" spans="1:7">
      <c r="A43" s="403">
        <v>85</v>
      </c>
      <c r="B43" s="404" t="s">
        <v>11</v>
      </c>
      <c r="C43" s="404">
        <v>1040375</v>
      </c>
      <c r="D43" s="405">
        <v>45853</v>
      </c>
      <c r="E43" s="406">
        <v>19.45</v>
      </c>
      <c r="F43" s="404"/>
      <c r="G43" s="707" t="s">
        <v>10</v>
      </c>
    </row>
    <row r="44" spans="1:7">
      <c r="A44" s="403">
        <v>86</v>
      </c>
      <c r="B44" s="404" t="s">
        <v>11</v>
      </c>
      <c r="C44" s="404">
        <v>1040375</v>
      </c>
      <c r="D44" s="405">
        <v>45853</v>
      </c>
      <c r="E44" s="406">
        <v>640.02</v>
      </c>
      <c r="F44" s="404"/>
      <c r="G44" s="707" t="s">
        <v>10</v>
      </c>
    </row>
    <row r="45" spans="1:7">
      <c r="A45" s="418">
        <v>87</v>
      </c>
      <c r="B45" s="419" t="s">
        <v>11</v>
      </c>
      <c r="C45" s="419">
        <v>1040375</v>
      </c>
      <c r="D45" s="420">
        <v>45853</v>
      </c>
      <c r="E45" s="421">
        <v>7.96</v>
      </c>
      <c r="F45" s="419"/>
      <c r="G45" s="662" t="s">
        <v>10</v>
      </c>
    </row>
    <row r="46" spans="1:7">
      <c r="A46" s="418">
        <v>88</v>
      </c>
      <c r="B46" s="419" t="s">
        <v>11</v>
      </c>
      <c r="C46" s="419">
        <v>1040375</v>
      </c>
      <c r="D46" s="420">
        <v>45853</v>
      </c>
      <c r="E46" s="421">
        <v>5.08</v>
      </c>
      <c r="F46" s="419"/>
      <c r="G46" s="662" t="s">
        <v>10</v>
      </c>
    </row>
    <row r="47" spans="1:7">
      <c r="A47" s="418">
        <v>89</v>
      </c>
      <c r="B47" s="419" t="s">
        <v>11</v>
      </c>
      <c r="C47" s="419">
        <v>1040375</v>
      </c>
      <c r="D47" s="420">
        <v>45853</v>
      </c>
      <c r="E47" s="421">
        <v>22.93</v>
      </c>
      <c r="F47" s="419"/>
      <c r="G47" s="662" t="s">
        <v>10</v>
      </c>
    </row>
    <row r="48" spans="1:7">
      <c r="A48" s="418">
        <v>90</v>
      </c>
      <c r="B48" s="419" t="s">
        <v>11</v>
      </c>
      <c r="C48" s="419">
        <v>1040375</v>
      </c>
      <c r="D48" s="420">
        <v>45853</v>
      </c>
      <c r="E48" s="421">
        <v>2.31</v>
      </c>
      <c r="F48" s="419"/>
      <c r="G48" s="662" t="s">
        <v>10</v>
      </c>
    </row>
    <row r="49" spans="1:8">
      <c r="A49" s="693">
        <v>95</v>
      </c>
      <c r="B49" s="694" t="s">
        <v>11</v>
      </c>
      <c r="C49" s="694">
        <v>1040109</v>
      </c>
      <c r="D49" s="695">
        <v>45853</v>
      </c>
      <c r="E49" s="696">
        <v>24250.99</v>
      </c>
      <c r="F49" s="694"/>
      <c r="G49" s="697" t="s">
        <v>10</v>
      </c>
      <c r="H49" s="57" t="s">
        <v>1411</v>
      </c>
    </row>
    <row r="50" spans="1:8" ht="14.4" thickBot="1">
      <c r="A50" s="375">
        <v>117</v>
      </c>
      <c r="B50" s="376" t="s">
        <v>11</v>
      </c>
      <c r="C50" s="376">
        <v>1040258</v>
      </c>
      <c r="D50" s="377">
        <v>45853</v>
      </c>
      <c r="E50" s="378">
        <v>9.2100000000000009</v>
      </c>
      <c r="F50" s="376" t="s">
        <v>1367</v>
      </c>
      <c r="G50" s="656" t="s">
        <v>10</v>
      </c>
    </row>
    <row r="51" spans="1:8" ht="14.4" thickTop="1">
      <c r="A51" s="57"/>
      <c r="C51" s="57"/>
      <c r="D51" s="266"/>
    </row>
    <row r="52" spans="1:8">
      <c r="A52" s="57"/>
      <c r="C52" s="57"/>
      <c r="D52" s="266"/>
    </row>
    <row r="53" spans="1:8">
      <c r="A53" s="57"/>
      <c r="C53" s="57"/>
      <c r="D53" s="266"/>
    </row>
    <row r="54" spans="1:8">
      <c r="A54" s="57"/>
      <c r="C54" s="57"/>
      <c r="D54" s="266"/>
    </row>
    <row r="55" spans="1:8">
      <c r="A55" s="57"/>
      <c r="C55" s="57"/>
      <c r="D55" s="266"/>
    </row>
    <row r="56" spans="1:8">
      <c r="A56" s="57"/>
      <c r="C56" s="57"/>
      <c r="D56" s="266"/>
    </row>
    <row r="57" spans="1:8">
      <c r="A57" s="57"/>
      <c r="C57" s="57"/>
      <c r="D57" s="266"/>
    </row>
    <row r="58" spans="1:8">
      <c r="A58" s="57"/>
      <c r="C58" s="57"/>
      <c r="D58" s="266"/>
    </row>
    <row r="59" spans="1:8">
      <c r="A59" s="57"/>
      <c r="C59" s="57"/>
      <c r="D59" s="266"/>
    </row>
    <row r="60" spans="1:8">
      <c r="A60" s="57"/>
      <c r="C60" s="57"/>
      <c r="D60" s="266"/>
    </row>
    <row r="61" spans="1:8">
      <c r="A61" s="57"/>
      <c r="C61" s="57"/>
      <c r="D61" s="266"/>
    </row>
    <row r="62" spans="1:8">
      <c r="A62" s="57"/>
      <c r="C62" s="57"/>
      <c r="D62" s="266"/>
    </row>
    <row r="63" spans="1:8">
      <c r="A63" s="57"/>
      <c r="C63" s="57"/>
      <c r="D63" s="266"/>
    </row>
    <row r="64" spans="1:8">
      <c r="A64" s="57"/>
      <c r="C64" s="57"/>
      <c r="D64" s="266"/>
    </row>
    <row r="65" spans="1:4">
      <c r="A65" s="57"/>
      <c r="C65" s="57"/>
      <c r="D65" s="266"/>
    </row>
    <row r="66" spans="1:4">
      <c r="A66" s="57"/>
      <c r="C66" s="57"/>
      <c r="D66" s="266"/>
    </row>
    <row r="67" spans="1:4">
      <c r="A67" s="57"/>
      <c r="C67" s="57"/>
      <c r="D67" s="266"/>
    </row>
    <row r="68" spans="1:4">
      <c r="A68" s="57"/>
      <c r="C68" s="57"/>
      <c r="D68" s="266"/>
    </row>
    <row r="69" spans="1:4">
      <c r="A69" s="57"/>
      <c r="C69" s="57"/>
      <c r="D69" s="266"/>
    </row>
    <row r="70" spans="1:4">
      <c r="A70" s="57"/>
      <c r="C70" s="57"/>
      <c r="D70" s="266"/>
    </row>
    <row r="71" spans="1:4">
      <c r="A71" s="57"/>
      <c r="C71" s="57"/>
      <c r="D71" s="266"/>
    </row>
    <row r="72" spans="1:4">
      <c r="A72" s="57"/>
      <c r="C72" s="57"/>
      <c r="D72" s="266"/>
    </row>
    <row r="73" spans="1:4">
      <c r="A73" s="57"/>
      <c r="C73" s="57"/>
      <c r="D73" s="266"/>
    </row>
    <row r="74" spans="1:4">
      <c r="A74" s="57"/>
      <c r="C74" s="57"/>
      <c r="D74" s="266"/>
    </row>
    <row r="75" spans="1:4">
      <c r="A75" s="57"/>
      <c r="C75" s="57"/>
      <c r="D75" s="266"/>
    </row>
    <row r="76" spans="1:4">
      <c r="A76" s="57"/>
      <c r="C76" s="57"/>
      <c r="D76" s="266"/>
    </row>
    <row r="77" spans="1:4">
      <c r="A77" s="57"/>
      <c r="C77" s="57"/>
      <c r="D77" s="266"/>
    </row>
    <row r="78" spans="1:4">
      <c r="A78" s="57"/>
      <c r="C78" s="57"/>
      <c r="D78" s="266"/>
    </row>
    <row r="79" spans="1:4">
      <c r="A79" s="57"/>
      <c r="C79" s="57"/>
      <c r="D79" s="266"/>
    </row>
    <row r="80" spans="1:4">
      <c r="A80" s="57"/>
      <c r="C80" s="57"/>
      <c r="D80" s="266"/>
    </row>
    <row r="81" spans="1:4">
      <c r="A81" s="57"/>
      <c r="C81" s="57"/>
      <c r="D81" s="266"/>
    </row>
    <row r="82" spans="1:4">
      <c r="A82" s="57"/>
      <c r="C82" s="57"/>
      <c r="D82" s="266"/>
    </row>
    <row r="83" spans="1:4">
      <c r="D83" s="266"/>
    </row>
    <row r="84" spans="1:4">
      <c r="D84" s="266"/>
    </row>
    <row r="85" spans="1:4">
      <c r="D85" s="266"/>
    </row>
    <row r="86" spans="1:4">
      <c r="D86" s="266"/>
    </row>
    <row r="87" spans="1:4">
      <c r="D87" s="266"/>
    </row>
    <row r="88" spans="1:4">
      <c r="D88" s="266"/>
    </row>
    <row r="89" spans="1:4">
      <c r="D89" s="266"/>
    </row>
    <row r="90" spans="1:4">
      <c r="D90" s="266"/>
    </row>
    <row r="91" spans="1:4">
      <c r="D91" s="266"/>
    </row>
    <row r="92" spans="1:4">
      <c r="D92" s="266"/>
    </row>
    <row r="93" spans="1:4">
      <c r="D93" s="266"/>
    </row>
    <row r="94" spans="1:4">
      <c r="D94" s="266"/>
    </row>
    <row r="95" spans="1:4">
      <c r="D95" s="266"/>
    </row>
    <row r="96" spans="1:4">
      <c r="D96" s="266"/>
    </row>
    <row r="97" spans="4:4">
      <c r="D97" s="266"/>
    </row>
    <row r="98" spans="4:4">
      <c r="D98" s="266"/>
    </row>
    <row r="99" spans="4:4">
      <c r="D99" s="266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EDC58-7CA0-426E-A5A5-E3BB564B9455}">
  <sheetPr>
    <tabColor rgb="FFFFFF00"/>
  </sheetPr>
  <dimension ref="A1:K99"/>
  <sheetViews>
    <sheetView showGridLines="0" zoomScaleNormal="100" workbookViewId="0">
      <selection activeCellId="1" sqref="I8 A1:XFD1048576"/>
    </sheetView>
  </sheetViews>
  <sheetFormatPr defaultColWidth="8" defaultRowHeight="13.8"/>
  <cols>
    <col min="1" max="1" width="5.5" style="250" bestFit="1" customWidth="1"/>
    <col min="2" max="2" width="15.69921875" style="250" bestFit="1" customWidth="1"/>
    <col min="3" max="3" width="7.796875" style="250" bestFit="1" customWidth="1"/>
    <col min="4" max="4" width="13.69921875" style="57" bestFit="1" customWidth="1"/>
    <col min="5" max="5" width="16.3984375" style="214" bestFit="1" customWidth="1"/>
    <col min="6" max="6" width="20.796875" style="57" bestFit="1" customWidth="1"/>
    <col min="7" max="7" width="28.5" style="213" bestFit="1" customWidth="1"/>
    <col min="8" max="8" width="4.19921875" style="250" customWidth="1"/>
    <col min="9" max="9" width="8" style="57"/>
    <col min="10" max="10" width="27.5" style="250" bestFit="1" customWidth="1"/>
    <col min="11" max="11" width="15.3984375" style="213" bestFit="1" customWidth="1"/>
    <col min="12" max="16384" width="8" style="250"/>
  </cols>
  <sheetData>
    <row r="1" spans="1:11" ht="14.4" thickBot="1">
      <c r="A1" s="369" t="s">
        <v>0</v>
      </c>
      <c r="B1" s="369" t="s">
        <v>1</v>
      </c>
      <c r="C1" s="369" t="s">
        <v>2</v>
      </c>
      <c r="D1" s="369" t="s">
        <v>1322</v>
      </c>
      <c r="E1" s="371" t="s">
        <v>1323</v>
      </c>
      <c r="F1" s="370" t="s">
        <v>3</v>
      </c>
      <c r="G1" s="369" t="s">
        <v>4</v>
      </c>
      <c r="H1"/>
      <c r="J1" s="370" t="s">
        <v>5</v>
      </c>
      <c r="K1" s="372" t="s">
        <v>1324</v>
      </c>
    </row>
    <row r="2" spans="1:11" ht="14.4" thickTop="1">
      <c r="A2" s="57">
        <v>1</v>
      </c>
      <c r="B2" s="57" t="s">
        <v>7</v>
      </c>
      <c r="C2" s="57">
        <v>2130870</v>
      </c>
      <c r="D2" s="266">
        <v>45854</v>
      </c>
      <c r="E2" s="233">
        <v>149583.92000000001</v>
      </c>
      <c r="F2" s="57" t="s">
        <v>1325</v>
      </c>
      <c r="G2" s="233" t="s">
        <v>10</v>
      </c>
      <c r="I2" s="57" t="s">
        <v>10</v>
      </c>
      <c r="J2" s="92">
        <v>174710</v>
      </c>
      <c r="K2" s="387">
        <v>1592315.0100000002</v>
      </c>
    </row>
    <row r="3" spans="1:11">
      <c r="A3" s="57">
        <v>2</v>
      </c>
      <c r="B3" s="57" t="s">
        <v>7</v>
      </c>
      <c r="C3" s="57">
        <v>2130870</v>
      </c>
      <c r="D3" s="266">
        <v>45854</v>
      </c>
      <c r="E3" s="233">
        <v>209345.97</v>
      </c>
      <c r="F3" s="57" t="s">
        <v>1325</v>
      </c>
      <c r="G3" s="233" t="s">
        <v>10</v>
      </c>
      <c r="I3" s="57" t="s">
        <v>10</v>
      </c>
      <c r="J3" s="469">
        <v>174750</v>
      </c>
      <c r="K3" s="470">
        <v>90456.660000000047</v>
      </c>
    </row>
    <row r="4" spans="1:11">
      <c r="A4" s="57">
        <v>3</v>
      </c>
      <c r="B4" s="57" t="s">
        <v>7</v>
      </c>
      <c r="C4" s="57">
        <v>2130870</v>
      </c>
      <c r="D4" s="266">
        <v>45854</v>
      </c>
      <c r="E4" s="233">
        <v>14106.18</v>
      </c>
      <c r="F4" s="57" t="s">
        <v>1348</v>
      </c>
      <c r="G4" s="233" t="s">
        <v>10</v>
      </c>
      <c r="I4" s="57" t="s">
        <v>10</v>
      </c>
      <c r="J4" s="381">
        <v>174764</v>
      </c>
      <c r="K4" s="383">
        <v>2345.48</v>
      </c>
    </row>
    <row r="5" spans="1:11">
      <c r="A5" s="436">
        <v>4</v>
      </c>
      <c r="B5" s="57" t="s">
        <v>7</v>
      </c>
      <c r="C5" s="57">
        <v>2130870</v>
      </c>
      <c r="D5" s="266">
        <v>45854</v>
      </c>
      <c r="E5" s="233">
        <v>97183.65</v>
      </c>
      <c r="F5" s="57" t="s">
        <v>1441</v>
      </c>
      <c r="G5" s="233" t="s">
        <v>10</v>
      </c>
      <c r="H5" s="57"/>
      <c r="I5" s="57" t="s">
        <v>10</v>
      </c>
      <c r="J5" s="87">
        <v>174772</v>
      </c>
      <c r="K5" s="801">
        <v>19449.310000000001</v>
      </c>
    </row>
    <row r="6" spans="1:11">
      <c r="A6" s="436">
        <v>5</v>
      </c>
      <c r="B6" s="57" t="s">
        <v>7</v>
      </c>
      <c r="C6" s="57">
        <v>2130870</v>
      </c>
      <c r="D6" s="266">
        <v>45854</v>
      </c>
      <c r="E6" s="233">
        <v>84612.08</v>
      </c>
      <c r="F6" s="57" t="s">
        <v>1441</v>
      </c>
      <c r="G6" s="233" t="s">
        <v>10</v>
      </c>
      <c r="I6" s="57" t="s">
        <v>10</v>
      </c>
      <c r="J6" s="694">
        <v>174779</v>
      </c>
      <c r="K6" s="696">
        <v>2143.09</v>
      </c>
    </row>
    <row r="7" spans="1:11">
      <c r="A7" s="436">
        <v>6</v>
      </c>
      <c r="B7" s="57" t="s">
        <v>7</v>
      </c>
      <c r="C7" s="57">
        <v>2130870</v>
      </c>
      <c r="D7" s="266">
        <v>45854</v>
      </c>
      <c r="E7" s="233">
        <v>1959.31</v>
      </c>
      <c r="F7" s="57" t="s">
        <v>1441</v>
      </c>
      <c r="G7" s="233" t="s">
        <v>10</v>
      </c>
      <c r="I7" s="57" t="s">
        <v>10</v>
      </c>
      <c r="J7" s="399">
        <v>174780</v>
      </c>
      <c r="K7" s="401">
        <v>1431</v>
      </c>
    </row>
    <row r="8" spans="1:11">
      <c r="A8" s="436">
        <v>7</v>
      </c>
      <c r="B8" s="57" t="s">
        <v>7</v>
      </c>
      <c r="C8" s="57">
        <v>2130870</v>
      </c>
      <c r="D8" s="266">
        <v>45854</v>
      </c>
      <c r="E8" s="233">
        <v>51076.15</v>
      </c>
      <c r="F8" s="57" t="s">
        <v>32</v>
      </c>
      <c r="G8" s="233" t="s">
        <v>10</v>
      </c>
      <c r="I8" s="57" t="s">
        <v>10</v>
      </c>
      <c r="J8" s="808" t="s">
        <v>1437</v>
      </c>
      <c r="K8" s="692">
        <v>498.15</v>
      </c>
    </row>
    <row r="9" spans="1:11">
      <c r="A9" s="436">
        <v>8</v>
      </c>
      <c r="B9" s="57" t="s">
        <v>7</v>
      </c>
      <c r="C9" s="57">
        <v>2130870</v>
      </c>
      <c r="D9" s="266">
        <v>45854</v>
      </c>
      <c r="E9" s="233">
        <v>5220.3900000000003</v>
      </c>
      <c r="F9" s="57" t="s">
        <v>8</v>
      </c>
      <c r="G9" s="233" t="s">
        <v>10</v>
      </c>
      <c r="I9" s="57" t="s">
        <v>10</v>
      </c>
      <c r="J9" s="482" t="s">
        <v>1438</v>
      </c>
      <c r="K9" s="581">
        <v>271.58999999999997</v>
      </c>
    </row>
    <row r="10" spans="1:11">
      <c r="A10" s="436">
        <v>9</v>
      </c>
      <c r="B10" s="57" t="s">
        <v>7</v>
      </c>
      <c r="C10" s="57">
        <v>2060855</v>
      </c>
      <c r="D10" s="266">
        <v>45854</v>
      </c>
      <c r="E10" s="233">
        <v>1500000</v>
      </c>
      <c r="F10" s="57" t="s">
        <v>1377</v>
      </c>
      <c r="G10" s="233" t="s">
        <v>10</v>
      </c>
      <c r="I10" s="57" t="s">
        <v>10</v>
      </c>
      <c r="J10" s="813" t="s">
        <v>1439</v>
      </c>
      <c r="K10" s="599">
        <v>667.61</v>
      </c>
    </row>
    <row r="11" spans="1:11">
      <c r="A11" s="436">
        <v>10</v>
      </c>
      <c r="B11" s="57" t="s">
        <v>7</v>
      </c>
      <c r="C11" s="57">
        <v>2050808</v>
      </c>
      <c r="D11" s="266">
        <v>45854</v>
      </c>
      <c r="E11" s="233">
        <v>37046.959999999999</v>
      </c>
      <c r="G11" s="233" t="s">
        <v>10</v>
      </c>
      <c r="I11" s="57" t="s">
        <v>10</v>
      </c>
      <c r="J11" s="814" t="s">
        <v>1440</v>
      </c>
      <c r="K11" s="815">
        <v>4328.54</v>
      </c>
    </row>
    <row r="12" spans="1:11">
      <c r="A12" s="436">
        <v>11</v>
      </c>
      <c r="B12" s="57" t="s">
        <v>7</v>
      </c>
      <c r="C12" s="57">
        <v>2050808</v>
      </c>
      <c r="D12" s="266">
        <v>45854</v>
      </c>
      <c r="E12" s="233">
        <v>22500</v>
      </c>
      <c r="G12" s="233" t="s">
        <v>10</v>
      </c>
    </row>
    <row r="13" spans="1:11" ht="14.4" thickBot="1">
      <c r="A13" s="436">
        <v>12</v>
      </c>
      <c r="B13" s="242" t="s">
        <v>13</v>
      </c>
      <c r="C13" s="57">
        <v>2050752</v>
      </c>
      <c r="D13" s="266">
        <v>45854</v>
      </c>
      <c r="E13" s="233">
        <v>44186.45</v>
      </c>
      <c r="G13" s="378" t="s">
        <v>10</v>
      </c>
      <c r="H13" s="268"/>
    </row>
    <row r="14" spans="1:11" ht="14.4" thickTop="1">
      <c r="A14" s="669">
        <v>13</v>
      </c>
      <c r="B14" s="670" t="s">
        <v>11</v>
      </c>
      <c r="C14" s="670">
        <v>1170470</v>
      </c>
      <c r="D14" s="671">
        <v>45854</v>
      </c>
      <c r="E14" s="653">
        <v>209345.97</v>
      </c>
      <c r="F14" s="670" t="s">
        <v>1355</v>
      </c>
      <c r="G14" s="654" t="s">
        <v>10</v>
      </c>
      <c r="J14" s="270"/>
    </row>
    <row r="15" spans="1:11">
      <c r="A15" s="436">
        <v>14</v>
      </c>
      <c r="B15" s="57" t="s">
        <v>11</v>
      </c>
      <c r="C15" s="57">
        <v>1170470</v>
      </c>
      <c r="D15" s="266">
        <v>45854</v>
      </c>
      <c r="E15" s="233">
        <v>84612.08</v>
      </c>
      <c r="F15" s="57" t="s">
        <v>1363</v>
      </c>
      <c r="G15" s="655" t="s">
        <v>10</v>
      </c>
      <c r="J15" s="270"/>
    </row>
    <row r="16" spans="1:11">
      <c r="A16" s="436">
        <v>15</v>
      </c>
      <c r="B16" s="57" t="s">
        <v>11</v>
      </c>
      <c r="C16" s="57">
        <v>1170470</v>
      </c>
      <c r="D16" s="266">
        <v>45854</v>
      </c>
      <c r="E16" s="233">
        <v>97183.65</v>
      </c>
      <c r="F16" s="57" t="s">
        <v>1363</v>
      </c>
      <c r="G16" s="655" t="s">
        <v>10</v>
      </c>
      <c r="H16" s="57"/>
      <c r="J16" s="270"/>
    </row>
    <row r="17" spans="1:8">
      <c r="A17" s="436">
        <v>16</v>
      </c>
      <c r="B17" s="57" t="s">
        <v>11</v>
      </c>
      <c r="C17" s="57">
        <v>1170470</v>
      </c>
      <c r="D17" s="266">
        <v>45854</v>
      </c>
      <c r="E17" s="233">
        <v>1959.31</v>
      </c>
      <c r="F17" s="57" t="s">
        <v>1363</v>
      </c>
      <c r="G17" s="655" t="s">
        <v>10</v>
      </c>
      <c r="H17" s="57"/>
    </row>
    <row r="18" spans="1:8">
      <c r="A18" s="797">
        <v>19</v>
      </c>
      <c r="B18" s="87" t="s">
        <v>11</v>
      </c>
      <c r="C18" s="87">
        <v>1200393</v>
      </c>
      <c r="D18" s="806">
        <v>45854</v>
      </c>
      <c r="E18" s="801">
        <v>1384.78</v>
      </c>
      <c r="F18" s="87"/>
      <c r="G18" s="800" t="s">
        <v>10</v>
      </c>
      <c r="H18" s="57"/>
    </row>
    <row r="19" spans="1:8">
      <c r="A19" s="797">
        <v>20</v>
      </c>
      <c r="B19" s="87" t="s">
        <v>11</v>
      </c>
      <c r="C19" s="87">
        <v>1040211</v>
      </c>
      <c r="D19" s="806">
        <v>45854</v>
      </c>
      <c r="E19" s="801">
        <v>18064.53</v>
      </c>
      <c r="F19" s="87"/>
      <c r="G19" s="800" t="s">
        <v>10</v>
      </c>
      <c r="H19" s="57"/>
    </row>
    <row r="20" spans="1:8">
      <c r="A20" s="693">
        <v>28</v>
      </c>
      <c r="B20" s="694" t="s">
        <v>11</v>
      </c>
      <c r="C20" s="694">
        <v>1040211</v>
      </c>
      <c r="D20" s="695">
        <v>45854</v>
      </c>
      <c r="E20" s="696">
        <v>2143.09</v>
      </c>
      <c r="F20" s="694"/>
      <c r="G20" s="697" t="s">
        <v>10</v>
      </c>
      <c r="H20" s="57"/>
    </row>
    <row r="21" spans="1:8">
      <c r="A21" s="380">
        <v>29</v>
      </c>
      <c r="B21" s="381" t="s">
        <v>11</v>
      </c>
      <c r="C21" s="381">
        <v>1040211</v>
      </c>
      <c r="D21" s="382">
        <v>45854</v>
      </c>
      <c r="E21" s="383">
        <v>2345.48</v>
      </c>
      <c r="F21" s="381"/>
      <c r="G21" s="706" t="s">
        <v>10</v>
      </c>
      <c r="H21" s="57"/>
    </row>
    <row r="22" spans="1:8">
      <c r="A22" s="658">
        <v>30</v>
      </c>
      <c r="B22" s="469" t="s">
        <v>11</v>
      </c>
      <c r="C22" s="469">
        <v>1200393</v>
      </c>
      <c r="D22" s="659">
        <v>45854</v>
      </c>
      <c r="E22" s="470">
        <v>16415.37</v>
      </c>
      <c r="F22" s="469"/>
      <c r="G22" s="660" t="s">
        <v>10</v>
      </c>
      <c r="H22" s="57"/>
    </row>
    <row r="23" spans="1:8">
      <c r="A23" s="658">
        <v>31</v>
      </c>
      <c r="B23" s="469" t="s">
        <v>11</v>
      </c>
      <c r="C23" s="469">
        <v>1040211</v>
      </c>
      <c r="D23" s="659">
        <v>45854</v>
      </c>
      <c r="E23" s="470">
        <v>74041.289999999994</v>
      </c>
      <c r="F23" s="469"/>
      <c r="G23" s="660" t="s">
        <v>10</v>
      </c>
      <c r="H23" s="57"/>
    </row>
    <row r="24" spans="1:8">
      <c r="A24" s="385">
        <v>32</v>
      </c>
      <c r="B24" s="92" t="s">
        <v>11</v>
      </c>
      <c r="C24" s="92">
        <v>1200393</v>
      </c>
      <c r="D24" s="386">
        <v>45854</v>
      </c>
      <c r="E24" s="387">
        <v>476797.55</v>
      </c>
      <c r="F24" s="92"/>
      <c r="G24" s="657" t="s">
        <v>10</v>
      </c>
      <c r="H24" s="57"/>
    </row>
    <row r="25" spans="1:8">
      <c r="A25" s="385">
        <v>33</v>
      </c>
      <c r="B25" s="92" t="s">
        <v>11</v>
      </c>
      <c r="C25" s="92">
        <v>1040211</v>
      </c>
      <c r="D25" s="386">
        <v>45854</v>
      </c>
      <c r="E25" s="387">
        <v>1115517.46</v>
      </c>
      <c r="F25" s="92"/>
      <c r="G25" s="657" t="s">
        <v>10</v>
      </c>
      <c r="H25" s="57"/>
    </row>
    <row r="26" spans="1:8">
      <c r="A26" s="395">
        <v>44</v>
      </c>
      <c r="B26" s="91" t="s">
        <v>11</v>
      </c>
      <c r="C26" s="91">
        <v>1040375</v>
      </c>
      <c r="D26" s="396">
        <v>45854</v>
      </c>
      <c r="E26" s="394">
        <v>288.07</v>
      </c>
      <c r="F26" s="91"/>
      <c r="G26" s="661" t="s">
        <v>10</v>
      </c>
      <c r="H26" s="57"/>
    </row>
    <row r="27" spans="1:8">
      <c r="A27" s="395">
        <v>45</v>
      </c>
      <c r="B27" s="91" t="s">
        <v>11</v>
      </c>
      <c r="C27" s="91">
        <v>1040375</v>
      </c>
      <c r="D27" s="396">
        <v>45854</v>
      </c>
      <c r="E27" s="394">
        <v>210.08</v>
      </c>
      <c r="F27" s="91"/>
      <c r="G27" s="661" t="s">
        <v>10</v>
      </c>
      <c r="H27" s="57"/>
    </row>
    <row r="28" spans="1:8">
      <c r="A28" s="403">
        <v>46</v>
      </c>
      <c r="B28" s="404" t="s">
        <v>11</v>
      </c>
      <c r="C28" s="404">
        <v>1040375</v>
      </c>
      <c r="D28" s="405">
        <v>45854</v>
      </c>
      <c r="E28" s="406">
        <v>212.59</v>
      </c>
      <c r="F28" s="404"/>
      <c r="G28" s="707" t="s">
        <v>10</v>
      </c>
      <c r="H28" s="57"/>
    </row>
    <row r="29" spans="1:8">
      <c r="A29" s="403">
        <v>47</v>
      </c>
      <c r="B29" s="404" t="s">
        <v>11</v>
      </c>
      <c r="C29" s="404">
        <v>1040375</v>
      </c>
      <c r="D29" s="405">
        <v>45854</v>
      </c>
      <c r="E29" s="406">
        <v>59</v>
      </c>
      <c r="F29" s="404"/>
      <c r="G29" s="707" t="s">
        <v>10</v>
      </c>
    </row>
    <row r="30" spans="1:8">
      <c r="A30" s="398">
        <v>48</v>
      </c>
      <c r="B30" s="399" t="s">
        <v>11</v>
      </c>
      <c r="C30" s="399">
        <v>1040375</v>
      </c>
      <c r="D30" s="400">
        <v>45854</v>
      </c>
      <c r="E30" s="401">
        <v>956.64</v>
      </c>
      <c r="F30" s="399"/>
      <c r="G30" s="667" t="s">
        <v>10</v>
      </c>
    </row>
    <row r="31" spans="1:8">
      <c r="A31" s="398">
        <v>49</v>
      </c>
      <c r="B31" s="399" t="s">
        <v>11</v>
      </c>
      <c r="C31" s="399">
        <v>1040375</v>
      </c>
      <c r="D31" s="400">
        <v>45854</v>
      </c>
      <c r="E31" s="401">
        <v>21.83</v>
      </c>
      <c r="F31" s="399"/>
      <c r="G31" s="667" t="s">
        <v>10</v>
      </c>
    </row>
    <row r="32" spans="1:8">
      <c r="A32" s="398">
        <v>50</v>
      </c>
      <c r="B32" s="399" t="s">
        <v>11</v>
      </c>
      <c r="C32" s="399">
        <v>1040375</v>
      </c>
      <c r="D32" s="400">
        <v>45854</v>
      </c>
      <c r="E32" s="401">
        <v>452.53</v>
      </c>
      <c r="F32" s="399"/>
      <c r="G32" s="667" t="s">
        <v>10</v>
      </c>
    </row>
    <row r="33" spans="1:7">
      <c r="A33" s="748">
        <v>52</v>
      </c>
      <c r="B33" s="533" t="s">
        <v>12</v>
      </c>
      <c r="C33" s="533">
        <v>1170144</v>
      </c>
      <c r="D33" s="749">
        <v>45854</v>
      </c>
      <c r="E33" s="750">
        <v>4328.54</v>
      </c>
      <c r="F33" s="533"/>
      <c r="G33" s="751" t="s">
        <v>10</v>
      </c>
    </row>
    <row r="34" spans="1:7">
      <c r="A34" s="663">
        <v>55</v>
      </c>
      <c r="B34" s="370" t="s">
        <v>11</v>
      </c>
      <c r="C34" s="370">
        <v>1040375</v>
      </c>
      <c r="D34" s="664">
        <v>45854</v>
      </c>
      <c r="E34" s="665">
        <v>12.6</v>
      </c>
      <c r="F34" s="370"/>
      <c r="G34" s="666" t="s">
        <v>10</v>
      </c>
    </row>
    <row r="35" spans="1:7">
      <c r="A35" s="663">
        <v>56</v>
      </c>
      <c r="B35" s="370" t="s">
        <v>11</v>
      </c>
      <c r="C35" s="370">
        <v>1040375</v>
      </c>
      <c r="D35" s="664">
        <v>45854</v>
      </c>
      <c r="E35" s="665">
        <v>11.66</v>
      </c>
      <c r="F35" s="370"/>
      <c r="G35" s="666" t="s">
        <v>10</v>
      </c>
    </row>
    <row r="36" spans="1:7">
      <c r="A36" s="663">
        <v>57</v>
      </c>
      <c r="B36" s="370" t="s">
        <v>11</v>
      </c>
      <c r="C36" s="370">
        <v>1040375</v>
      </c>
      <c r="D36" s="664">
        <v>45854</v>
      </c>
      <c r="E36" s="665">
        <v>361.41</v>
      </c>
      <c r="F36" s="370"/>
      <c r="G36" s="666" t="s">
        <v>10</v>
      </c>
    </row>
    <row r="37" spans="1:7" ht="14.4" thickBot="1">
      <c r="A37" s="809">
        <v>58</v>
      </c>
      <c r="B37" s="810" t="s">
        <v>11</v>
      </c>
      <c r="C37" s="810">
        <v>1040375</v>
      </c>
      <c r="D37" s="811">
        <v>45854</v>
      </c>
      <c r="E37" s="372">
        <v>281.94</v>
      </c>
      <c r="F37" s="810"/>
      <c r="G37" s="812" t="s">
        <v>10</v>
      </c>
    </row>
    <row r="38" spans="1:7" ht="14.4" thickTop="1">
      <c r="A38" s="670"/>
      <c r="B38" s="670"/>
      <c r="C38" s="670"/>
      <c r="D38" s="671"/>
      <c r="E38" s="653"/>
      <c r="F38" s="670"/>
      <c r="G38" s="653"/>
    </row>
    <row r="39" spans="1:7">
      <c r="A39" s="57"/>
      <c r="B39" s="57"/>
      <c r="C39" s="57"/>
      <c r="D39" s="266"/>
      <c r="E39" s="233"/>
      <c r="G39" s="233"/>
    </row>
    <row r="40" spans="1:7">
      <c r="A40" s="57"/>
      <c r="B40" s="57"/>
      <c r="C40" s="57"/>
      <c r="D40" s="266"/>
      <c r="E40" s="233"/>
      <c r="G40" s="233"/>
    </row>
    <row r="41" spans="1:7">
      <c r="A41" s="57"/>
      <c r="B41" s="57"/>
      <c r="C41" s="57"/>
      <c r="D41" s="266"/>
      <c r="E41" s="233"/>
      <c r="G41" s="233"/>
    </row>
    <row r="42" spans="1:7">
      <c r="A42" s="57"/>
      <c r="B42" s="57"/>
      <c r="C42" s="57"/>
      <c r="D42" s="266"/>
      <c r="E42" s="233"/>
      <c r="G42" s="233"/>
    </row>
    <row r="43" spans="1:7">
      <c r="A43" s="254"/>
      <c r="B43" s="254"/>
      <c r="C43" s="254"/>
      <c r="D43" s="255"/>
      <c r="E43" s="232"/>
      <c r="F43" s="254"/>
      <c r="G43" s="232"/>
    </row>
    <row r="44" spans="1:7">
      <c r="A44" s="254"/>
      <c r="B44" s="254"/>
      <c r="C44" s="254"/>
      <c r="D44" s="255"/>
      <c r="E44" s="232"/>
      <c r="F44" s="254"/>
      <c r="G44" s="232"/>
    </row>
    <row r="45" spans="1:7">
      <c r="A45" s="57"/>
      <c r="B45" s="57"/>
      <c r="C45" s="57"/>
      <c r="D45" s="266"/>
      <c r="E45" s="233"/>
      <c r="G45" s="233"/>
    </row>
    <row r="46" spans="1:7">
      <c r="A46" s="57"/>
      <c r="B46" s="57"/>
      <c r="C46" s="57"/>
      <c r="D46" s="266"/>
      <c r="E46" s="233"/>
      <c r="G46" s="233"/>
    </row>
    <row r="47" spans="1:7">
      <c r="A47" s="57"/>
      <c r="B47" s="57"/>
      <c r="C47" s="57"/>
      <c r="D47" s="266"/>
      <c r="E47" s="233"/>
      <c r="G47" s="233"/>
    </row>
    <row r="48" spans="1:7">
      <c r="A48" s="57"/>
      <c r="B48" s="57"/>
      <c r="C48" s="57"/>
      <c r="D48" s="266"/>
      <c r="E48" s="233"/>
      <c r="G48" s="233"/>
    </row>
    <row r="49" spans="1:8">
      <c r="A49" s="254"/>
      <c r="B49" s="254"/>
      <c r="C49" s="254"/>
      <c r="D49" s="255"/>
      <c r="E49" s="232"/>
      <c r="F49" s="254"/>
      <c r="G49" s="232"/>
      <c r="H49" s="57"/>
    </row>
    <row r="50" spans="1:8">
      <c r="A50" s="57"/>
      <c r="B50" s="57"/>
      <c r="C50" s="57"/>
      <c r="D50" s="266"/>
      <c r="E50" s="233"/>
      <c r="G50" s="233"/>
    </row>
    <row r="51" spans="1:8">
      <c r="A51" s="57"/>
      <c r="C51" s="57"/>
      <c r="D51" s="266"/>
    </row>
    <row r="52" spans="1:8">
      <c r="A52" s="57"/>
      <c r="C52" s="57"/>
      <c r="D52" s="266"/>
    </row>
    <row r="53" spans="1:8">
      <c r="A53" s="57"/>
      <c r="C53" s="57"/>
      <c r="D53" s="266"/>
    </row>
    <row r="54" spans="1:8">
      <c r="A54" s="57"/>
      <c r="C54" s="57"/>
      <c r="D54" s="266"/>
    </row>
    <row r="55" spans="1:8">
      <c r="A55" s="57"/>
      <c r="C55" s="57"/>
      <c r="D55" s="266"/>
    </row>
    <row r="56" spans="1:8">
      <c r="A56" s="57"/>
      <c r="C56" s="57"/>
      <c r="D56" s="266"/>
    </row>
    <row r="57" spans="1:8">
      <c r="A57" s="57"/>
      <c r="C57" s="57"/>
      <c r="D57" s="266"/>
    </row>
    <row r="58" spans="1:8">
      <c r="A58" s="57"/>
      <c r="C58" s="57"/>
      <c r="D58" s="266"/>
    </row>
    <row r="59" spans="1:8">
      <c r="A59" s="57"/>
      <c r="C59" s="57"/>
      <c r="D59" s="266"/>
    </row>
    <row r="60" spans="1:8">
      <c r="A60" s="57"/>
      <c r="C60" s="57"/>
      <c r="D60" s="266"/>
    </row>
    <row r="61" spans="1:8">
      <c r="A61" s="57"/>
      <c r="C61" s="57"/>
      <c r="D61" s="266"/>
    </row>
    <row r="62" spans="1:8">
      <c r="A62" s="57"/>
      <c r="C62" s="57"/>
      <c r="D62" s="266"/>
    </row>
    <row r="63" spans="1:8">
      <c r="A63" s="57"/>
      <c r="C63" s="57"/>
      <c r="D63" s="266"/>
    </row>
    <row r="64" spans="1:8">
      <c r="A64" s="57"/>
      <c r="C64" s="57"/>
      <c r="D64" s="266"/>
    </row>
    <row r="65" spans="1:4">
      <c r="A65" s="57"/>
      <c r="C65" s="57"/>
      <c r="D65" s="266"/>
    </row>
    <row r="66" spans="1:4">
      <c r="A66" s="57"/>
      <c r="C66" s="57"/>
      <c r="D66" s="266"/>
    </row>
    <row r="67" spans="1:4">
      <c r="A67" s="57"/>
      <c r="C67" s="57"/>
      <c r="D67" s="266"/>
    </row>
    <row r="68" spans="1:4">
      <c r="A68" s="57"/>
      <c r="C68" s="57"/>
      <c r="D68" s="266"/>
    </row>
    <row r="69" spans="1:4">
      <c r="A69" s="57"/>
      <c r="C69" s="57"/>
      <c r="D69" s="266"/>
    </row>
    <row r="70" spans="1:4">
      <c r="A70" s="57"/>
      <c r="C70" s="57"/>
      <c r="D70" s="266"/>
    </row>
    <row r="71" spans="1:4">
      <c r="A71" s="57"/>
      <c r="C71" s="57"/>
      <c r="D71" s="266"/>
    </row>
    <row r="72" spans="1:4">
      <c r="A72" s="57"/>
      <c r="C72" s="57"/>
      <c r="D72" s="266"/>
    </row>
    <row r="73" spans="1:4">
      <c r="A73" s="57"/>
      <c r="C73" s="57"/>
      <c r="D73" s="266"/>
    </row>
    <row r="74" spans="1:4">
      <c r="A74" s="57"/>
      <c r="C74" s="57"/>
      <c r="D74" s="266"/>
    </row>
    <row r="75" spans="1:4">
      <c r="A75" s="57"/>
      <c r="C75" s="57"/>
      <c r="D75" s="266"/>
    </row>
    <row r="76" spans="1:4">
      <c r="A76" s="57"/>
      <c r="C76" s="57"/>
      <c r="D76" s="266"/>
    </row>
    <row r="77" spans="1:4">
      <c r="A77" s="57"/>
      <c r="C77" s="57"/>
      <c r="D77" s="266"/>
    </row>
    <row r="78" spans="1:4">
      <c r="A78" s="57"/>
      <c r="C78" s="57"/>
      <c r="D78" s="266"/>
    </row>
    <row r="79" spans="1:4">
      <c r="A79" s="57"/>
      <c r="C79" s="57"/>
      <c r="D79" s="266"/>
    </row>
    <row r="80" spans="1:4">
      <c r="A80" s="57"/>
      <c r="C80" s="57"/>
      <c r="D80" s="266"/>
    </row>
    <row r="81" spans="1:4">
      <c r="A81" s="57"/>
      <c r="C81" s="57"/>
      <c r="D81" s="266"/>
    </row>
    <row r="82" spans="1:4">
      <c r="A82" s="57"/>
      <c r="C82" s="57"/>
      <c r="D82" s="266"/>
    </row>
    <row r="83" spans="1:4">
      <c r="D83" s="266"/>
    </row>
    <row r="84" spans="1:4">
      <c r="D84" s="266"/>
    </row>
    <row r="85" spans="1:4">
      <c r="D85" s="266"/>
    </row>
    <row r="86" spans="1:4">
      <c r="D86" s="266"/>
    </row>
    <row r="87" spans="1:4">
      <c r="D87" s="266"/>
    </row>
    <row r="88" spans="1:4">
      <c r="D88" s="266"/>
    </row>
    <row r="89" spans="1:4">
      <c r="D89" s="266"/>
    </row>
    <row r="90" spans="1:4">
      <c r="D90" s="266"/>
    </row>
    <row r="91" spans="1:4">
      <c r="D91" s="266"/>
    </row>
    <row r="92" spans="1:4">
      <c r="D92" s="266"/>
    </row>
    <row r="93" spans="1:4">
      <c r="D93" s="266"/>
    </row>
    <row r="94" spans="1:4">
      <c r="D94" s="266"/>
    </row>
    <row r="95" spans="1:4">
      <c r="D95" s="266"/>
    </row>
    <row r="96" spans="1:4">
      <c r="D96" s="266"/>
    </row>
    <row r="97" spans="4:4">
      <c r="D97" s="266"/>
    </row>
    <row r="98" spans="4:4">
      <c r="D98" s="266"/>
    </row>
    <row r="99" spans="4:4">
      <c r="D99" s="266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1871D-D01A-4096-8EB6-589E749B6A1A}">
  <sheetPr>
    <tabColor rgb="FFFFFF00"/>
  </sheetPr>
  <dimension ref="A1:K46"/>
  <sheetViews>
    <sheetView showGridLines="0" zoomScaleNormal="100" workbookViewId="0">
      <selection activeCellId="1" sqref="I8 A1:XFD1048576"/>
    </sheetView>
  </sheetViews>
  <sheetFormatPr defaultColWidth="8.8984375" defaultRowHeight="13.8"/>
  <cols>
    <col min="1" max="1" width="5.5" style="252" bestFit="1" customWidth="1"/>
    <col min="2" max="2" width="15.09765625" style="252" bestFit="1" customWidth="1"/>
    <col min="3" max="3" width="7.796875" style="252" bestFit="1" customWidth="1"/>
    <col min="4" max="4" width="13.69921875" style="248" bestFit="1" customWidth="1"/>
    <col min="5" max="5" width="16.3984375" style="225" bestFit="1" customWidth="1"/>
    <col min="6" max="6" width="20" style="252" customWidth="1"/>
    <col min="7" max="7" width="28.5" style="225" bestFit="1" customWidth="1"/>
    <col min="8" max="8" width="8.8984375" style="248"/>
    <col min="9" max="9" width="8.8984375" style="252"/>
    <col min="10" max="10" width="27.5" style="248" bestFit="1" customWidth="1"/>
    <col min="11" max="11" width="23.296875" style="222" customWidth="1"/>
    <col min="12" max="16384" width="8.8984375" style="248"/>
  </cols>
  <sheetData>
    <row r="1" spans="1:11" ht="14.4" thickBot="1">
      <c r="A1" s="369" t="s">
        <v>0</v>
      </c>
      <c r="B1" s="369" t="s">
        <v>1</v>
      </c>
      <c r="C1" s="369" t="s">
        <v>2</v>
      </c>
      <c r="D1" s="369" t="s">
        <v>1322</v>
      </c>
      <c r="E1" s="371" t="s">
        <v>1323</v>
      </c>
      <c r="F1" s="370" t="s">
        <v>3</v>
      </c>
      <c r="G1" s="369" t="s">
        <v>4</v>
      </c>
      <c r="H1" s="250"/>
      <c r="I1" s="57"/>
      <c r="J1" s="370" t="s">
        <v>5</v>
      </c>
      <c r="K1" s="372" t="s">
        <v>1324</v>
      </c>
    </row>
    <row r="2" spans="1:11" ht="14.4" thickTop="1">
      <c r="A2" s="57">
        <v>1</v>
      </c>
      <c r="B2" s="57" t="s">
        <v>7</v>
      </c>
      <c r="C2" s="57">
        <v>2130870</v>
      </c>
      <c r="D2" s="826">
        <v>45855</v>
      </c>
      <c r="E2" s="233">
        <v>1824.22</v>
      </c>
      <c r="F2" s="57" t="s">
        <v>1325</v>
      </c>
      <c r="G2" s="233" t="s">
        <v>10</v>
      </c>
      <c r="I2" s="252" t="s">
        <v>10</v>
      </c>
      <c r="J2" s="424">
        <v>174784</v>
      </c>
      <c r="K2" s="426">
        <v>65143.33999999996</v>
      </c>
    </row>
    <row r="3" spans="1:11">
      <c r="A3" s="57">
        <v>2</v>
      </c>
      <c r="B3" s="57" t="s">
        <v>7</v>
      </c>
      <c r="C3" s="57">
        <v>2130870</v>
      </c>
      <c r="D3" s="826">
        <v>45855</v>
      </c>
      <c r="E3" s="233">
        <v>702.91</v>
      </c>
      <c r="F3" s="57" t="s">
        <v>1450</v>
      </c>
      <c r="G3" s="233" t="s">
        <v>10</v>
      </c>
      <c r="I3" s="252" t="s">
        <v>10</v>
      </c>
      <c r="J3" s="381">
        <v>174785</v>
      </c>
      <c r="K3" s="383">
        <v>3540421.61</v>
      </c>
    </row>
    <row r="4" spans="1:11">
      <c r="A4" s="57">
        <v>3</v>
      </c>
      <c r="B4" s="57" t="s">
        <v>7</v>
      </c>
      <c r="C4" s="57">
        <v>2130870</v>
      </c>
      <c r="D4" s="826">
        <v>45855</v>
      </c>
      <c r="E4" s="233">
        <v>61316.29</v>
      </c>
      <c r="F4" s="57" t="s">
        <v>1428</v>
      </c>
      <c r="G4" s="233" t="s">
        <v>10</v>
      </c>
      <c r="I4" s="252" t="s">
        <v>10</v>
      </c>
      <c r="J4" s="414">
        <v>174789</v>
      </c>
      <c r="K4" s="416">
        <v>1257.67</v>
      </c>
    </row>
    <row r="5" spans="1:11">
      <c r="A5" s="57">
        <v>4</v>
      </c>
      <c r="B5" s="57" t="s">
        <v>7</v>
      </c>
      <c r="C5" s="57">
        <v>2130870</v>
      </c>
      <c r="D5" s="826">
        <v>45855</v>
      </c>
      <c r="E5" s="233">
        <v>349115.2</v>
      </c>
      <c r="F5" s="57" t="s">
        <v>32</v>
      </c>
      <c r="G5" s="233" t="s">
        <v>10</v>
      </c>
      <c r="I5" s="252" t="s">
        <v>10</v>
      </c>
      <c r="J5" s="782">
        <v>174795</v>
      </c>
      <c r="K5" s="786">
        <v>116.49</v>
      </c>
    </row>
    <row r="6" spans="1:11">
      <c r="A6" s="57">
        <v>5</v>
      </c>
      <c r="B6" s="57" t="s">
        <v>7</v>
      </c>
      <c r="C6" s="57">
        <v>2130870</v>
      </c>
      <c r="D6" s="826">
        <v>45855</v>
      </c>
      <c r="E6" s="233">
        <v>1892.11</v>
      </c>
      <c r="F6" s="57" t="s">
        <v>8</v>
      </c>
      <c r="G6" s="233" t="s">
        <v>10</v>
      </c>
      <c r="I6" s="252" t="s">
        <v>10</v>
      </c>
      <c r="J6" s="419" t="s">
        <v>1443</v>
      </c>
      <c r="K6" s="421">
        <v>1785.11</v>
      </c>
    </row>
    <row r="7" spans="1:11">
      <c r="A7" s="57">
        <v>6</v>
      </c>
      <c r="B7" s="57" t="s">
        <v>7</v>
      </c>
      <c r="C7" s="57">
        <v>2060855</v>
      </c>
      <c r="D7" s="826">
        <v>45855</v>
      </c>
      <c r="E7" s="233">
        <v>21300000</v>
      </c>
      <c r="F7" s="57" t="s">
        <v>1377</v>
      </c>
      <c r="G7" s="233" t="s">
        <v>10</v>
      </c>
      <c r="I7" s="252" t="s">
        <v>10</v>
      </c>
      <c r="J7" s="469" t="s">
        <v>1444</v>
      </c>
      <c r="K7" s="470">
        <v>62.61</v>
      </c>
    </row>
    <row r="8" spans="1:11">
      <c r="A8" s="57">
        <v>7</v>
      </c>
      <c r="B8" s="57" t="s">
        <v>7</v>
      </c>
      <c r="C8" s="57">
        <v>2050900</v>
      </c>
      <c r="D8" s="826">
        <v>45855</v>
      </c>
      <c r="E8" s="233">
        <v>51294.68</v>
      </c>
      <c r="F8" s="57"/>
      <c r="G8" s="233" t="s">
        <v>10</v>
      </c>
      <c r="I8" s="252" t="s">
        <v>10</v>
      </c>
      <c r="J8" s="404" t="s">
        <v>1445</v>
      </c>
      <c r="K8" s="406">
        <v>384.85</v>
      </c>
    </row>
    <row r="9" spans="1:11">
      <c r="A9" s="57">
        <v>8</v>
      </c>
      <c r="B9" s="57" t="s">
        <v>7</v>
      </c>
      <c r="C9" s="57">
        <v>2050900</v>
      </c>
      <c r="D9" s="826">
        <v>45855</v>
      </c>
      <c r="E9" s="233">
        <v>15417.8</v>
      </c>
      <c r="F9" s="57"/>
      <c r="G9" s="233" t="s">
        <v>10</v>
      </c>
      <c r="I9" s="252" t="s">
        <v>10</v>
      </c>
      <c r="J9" s="87" t="s">
        <v>1446</v>
      </c>
      <c r="K9" s="801">
        <v>168.99</v>
      </c>
    </row>
    <row r="10" spans="1:11" ht="14.4" thickBot="1">
      <c r="A10" s="57">
        <v>9</v>
      </c>
      <c r="B10" s="57" t="s">
        <v>7</v>
      </c>
      <c r="C10" s="57">
        <v>2050611</v>
      </c>
      <c r="D10" s="826">
        <v>45855</v>
      </c>
      <c r="E10" s="233">
        <v>6268.18</v>
      </c>
      <c r="F10" s="57"/>
      <c r="G10" s="233" t="s">
        <v>10</v>
      </c>
      <c r="I10" s="252" t="s">
        <v>10</v>
      </c>
      <c r="J10" s="370" t="s">
        <v>1447</v>
      </c>
      <c r="K10" s="665">
        <v>147.59</v>
      </c>
    </row>
    <row r="11" spans="1:11" ht="14.4" thickTop="1">
      <c r="A11" s="669">
        <v>11</v>
      </c>
      <c r="B11" s="670" t="s">
        <v>11</v>
      </c>
      <c r="C11" s="670">
        <v>1170470</v>
      </c>
      <c r="D11" s="671">
        <v>45855</v>
      </c>
      <c r="E11" s="653">
        <v>97183.65</v>
      </c>
      <c r="F11" s="670" t="s">
        <v>1363</v>
      </c>
      <c r="G11" s="654" t="s">
        <v>10</v>
      </c>
      <c r="I11" s="252" t="s">
        <v>10</v>
      </c>
      <c r="J11" s="533" t="s">
        <v>1448</v>
      </c>
      <c r="K11" s="750">
        <v>1511248.67</v>
      </c>
    </row>
    <row r="12" spans="1:11">
      <c r="A12" s="436">
        <v>12</v>
      </c>
      <c r="B12" s="57" t="s">
        <v>11</v>
      </c>
      <c r="C12" s="57">
        <v>1170470</v>
      </c>
      <c r="D12" s="266">
        <v>45855</v>
      </c>
      <c r="E12" s="233">
        <v>1959.31</v>
      </c>
      <c r="F12" s="57" t="s">
        <v>1363</v>
      </c>
      <c r="G12" s="655" t="s">
        <v>10</v>
      </c>
      <c r="I12" s="252" t="s">
        <v>10</v>
      </c>
      <c r="J12" s="399" t="s">
        <v>1449</v>
      </c>
      <c r="K12" s="401">
        <v>449.89</v>
      </c>
    </row>
    <row r="13" spans="1:11">
      <c r="A13" s="436">
        <v>13</v>
      </c>
      <c r="B13" s="57" t="s">
        <v>11</v>
      </c>
      <c r="C13" s="57">
        <v>1170470</v>
      </c>
      <c r="D13" s="266">
        <v>45855</v>
      </c>
      <c r="E13" s="233">
        <v>4.8</v>
      </c>
      <c r="F13" s="57" t="s">
        <v>1363</v>
      </c>
      <c r="G13" s="655" t="s">
        <v>10</v>
      </c>
    </row>
    <row r="14" spans="1:11">
      <c r="A14" s="436">
        <v>14</v>
      </c>
      <c r="B14" s="57" t="s">
        <v>11</v>
      </c>
      <c r="C14" s="57">
        <v>1170470</v>
      </c>
      <c r="D14" s="266">
        <v>45855</v>
      </c>
      <c r="E14" s="233">
        <v>84612.08</v>
      </c>
      <c r="F14" s="57" t="s">
        <v>1363</v>
      </c>
      <c r="G14" s="655" t="s">
        <v>10</v>
      </c>
    </row>
    <row r="15" spans="1:11">
      <c r="A15" s="380">
        <v>15</v>
      </c>
      <c r="B15" s="381" t="s">
        <v>11</v>
      </c>
      <c r="C15" s="381">
        <v>1040211</v>
      </c>
      <c r="D15" s="382">
        <v>45855</v>
      </c>
      <c r="E15" s="383">
        <v>237717.65</v>
      </c>
      <c r="F15" s="381"/>
      <c r="G15" s="706" t="s">
        <v>10</v>
      </c>
    </row>
    <row r="16" spans="1:11">
      <c r="A16" s="413">
        <v>21</v>
      </c>
      <c r="B16" s="414" t="s">
        <v>11</v>
      </c>
      <c r="C16" s="414">
        <v>1040211</v>
      </c>
      <c r="D16" s="415">
        <v>45855</v>
      </c>
      <c r="E16" s="416">
        <v>1257.67</v>
      </c>
      <c r="F16" s="414"/>
      <c r="G16" s="691" t="s">
        <v>10</v>
      </c>
    </row>
    <row r="17" spans="1:7">
      <c r="A17" s="423">
        <v>35</v>
      </c>
      <c r="B17" s="424" t="s">
        <v>11</v>
      </c>
      <c r="C17" s="424">
        <v>1200393</v>
      </c>
      <c r="D17" s="425">
        <v>45855</v>
      </c>
      <c r="E17" s="426">
        <v>8972.41</v>
      </c>
      <c r="F17" s="424"/>
      <c r="G17" s="668" t="s">
        <v>10</v>
      </c>
    </row>
    <row r="18" spans="1:7">
      <c r="A18" s="423">
        <v>36</v>
      </c>
      <c r="B18" s="424" t="s">
        <v>11</v>
      </c>
      <c r="C18" s="424">
        <v>1040211</v>
      </c>
      <c r="D18" s="425">
        <v>45855</v>
      </c>
      <c r="E18" s="426">
        <v>56170.93</v>
      </c>
      <c r="F18" s="424"/>
      <c r="G18" s="668" t="s">
        <v>10</v>
      </c>
    </row>
    <row r="19" spans="1:7">
      <c r="A19" s="380">
        <v>37</v>
      </c>
      <c r="B19" s="381" t="s">
        <v>11</v>
      </c>
      <c r="C19" s="381">
        <v>1200393</v>
      </c>
      <c r="D19" s="382">
        <v>45855</v>
      </c>
      <c r="E19" s="383">
        <v>8430.9599999999991</v>
      </c>
      <c r="F19" s="381"/>
      <c r="G19" s="706" t="s">
        <v>10</v>
      </c>
    </row>
    <row r="20" spans="1:7">
      <c r="A20" s="380">
        <v>38</v>
      </c>
      <c r="B20" s="381" t="s">
        <v>11</v>
      </c>
      <c r="C20" s="381">
        <v>1200393</v>
      </c>
      <c r="D20" s="382">
        <v>45855</v>
      </c>
      <c r="E20" s="383">
        <v>3294273</v>
      </c>
      <c r="F20" s="381"/>
      <c r="G20" s="706" t="s">
        <v>10</v>
      </c>
    </row>
    <row r="21" spans="1:7">
      <c r="A21" s="748">
        <v>39</v>
      </c>
      <c r="B21" s="533" t="s">
        <v>12</v>
      </c>
      <c r="C21" s="533">
        <v>1170144</v>
      </c>
      <c r="D21" s="749">
        <v>45855</v>
      </c>
      <c r="E21" s="750">
        <v>1511248.67</v>
      </c>
      <c r="F21" s="533"/>
      <c r="G21" s="751" t="s">
        <v>10</v>
      </c>
    </row>
    <row r="22" spans="1:7">
      <c r="A22" s="418">
        <v>44</v>
      </c>
      <c r="B22" s="419" t="s">
        <v>11</v>
      </c>
      <c r="C22" s="419">
        <v>1040375</v>
      </c>
      <c r="D22" s="420">
        <v>45855</v>
      </c>
      <c r="E22" s="421">
        <v>1766.22</v>
      </c>
      <c r="F22" s="419"/>
      <c r="G22" s="662" t="s">
        <v>10</v>
      </c>
    </row>
    <row r="23" spans="1:7">
      <c r="A23" s="418">
        <v>45</v>
      </c>
      <c r="B23" s="419" t="s">
        <v>11</v>
      </c>
      <c r="C23" s="419">
        <v>1040375</v>
      </c>
      <c r="D23" s="420">
        <v>45855</v>
      </c>
      <c r="E23" s="421">
        <v>18.89</v>
      </c>
      <c r="F23" s="419"/>
      <c r="G23" s="662" t="s">
        <v>10</v>
      </c>
    </row>
    <row r="24" spans="1:7">
      <c r="A24" s="658">
        <v>46</v>
      </c>
      <c r="B24" s="469" t="s">
        <v>11</v>
      </c>
      <c r="C24" s="469">
        <v>1040375</v>
      </c>
      <c r="D24" s="659">
        <v>45855</v>
      </c>
      <c r="E24" s="470">
        <v>29.31</v>
      </c>
      <c r="F24" s="469"/>
      <c r="G24" s="660" t="s">
        <v>10</v>
      </c>
    </row>
    <row r="25" spans="1:7">
      <c r="A25" s="658">
        <v>47</v>
      </c>
      <c r="B25" s="469" t="s">
        <v>11</v>
      </c>
      <c r="C25" s="469">
        <v>1040375</v>
      </c>
      <c r="D25" s="659">
        <v>45855</v>
      </c>
      <c r="E25" s="470">
        <v>16.55</v>
      </c>
      <c r="F25" s="469"/>
      <c r="G25" s="660" t="s">
        <v>10</v>
      </c>
    </row>
    <row r="26" spans="1:7">
      <c r="A26" s="658">
        <v>48</v>
      </c>
      <c r="B26" s="469" t="s">
        <v>11</v>
      </c>
      <c r="C26" s="469">
        <v>1040375</v>
      </c>
      <c r="D26" s="659">
        <v>45855</v>
      </c>
      <c r="E26" s="470">
        <v>16.75</v>
      </c>
      <c r="F26" s="469"/>
      <c r="G26" s="660" t="s">
        <v>10</v>
      </c>
    </row>
    <row r="27" spans="1:7">
      <c r="A27" s="403">
        <v>51</v>
      </c>
      <c r="B27" s="404" t="s">
        <v>11</v>
      </c>
      <c r="C27" s="404">
        <v>1040375</v>
      </c>
      <c r="D27" s="405">
        <v>45855</v>
      </c>
      <c r="E27" s="406">
        <v>176.32</v>
      </c>
      <c r="F27" s="404"/>
      <c r="G27" s="707" t="s">
        <v>10</v>
      </c>
    </row>
    <row r="28" spans="1:7">
      <c r="A28" s="403">
        <v>52</v>
      </c>
      <c r="B28" s="404" t="s">
        <v>11</v>
      </c>
      <c r="C28" s="404">
        <v>1040375</v>
      </c>
      <c r="D28" s="405">
        <v>45855</v>
      </c>
      <c r="E28" s="406">
        <v>71.790000000000006</v>
      </c>
      <c r="F28" s="404"/>
      <c r="G28" s="707" t="s">
        <v>10</v>
      </c>
    </row>
    <row r="29" spans="1:7">
      <c r="A29" s="403">
        <v>53</v>
      </c>
      <c r="B29" s="404" t="s">
        <v>11</v>
      </c>
      <c r="C29" s="404">
        <v>1040375</v>
      </c>
      <c r="D29" s="405">
        <v>45855</v>
      </c>
      <c r="E29" s="406">
        <v>136.74</v>
      </c>
      <c r="F29" s="404"/>
      <c r="G29" s="707" t="s">
        <v>10</v>
      </c>
    </row>
    <row r="30" spans="1:7">
      <c r="A30" s="781">
        <v>55</v>
      </c>
      <c r="B30" s="782" t="s">
        <v>11</v>
      </c>
      <c r="C30" s="782">
        <v>1040375</v>
      </c>
      <c r="D30" s="827">
        <v>45855</v>
      </c>
      <c r="E30" s="786">
        <v>10.039999999999999</v>
      </c>
      <c r="F30" s="782"/>
      <c r="G30" s="785" t="s">
        <v>10</v>
      </c>
    </row>
    <row r="31" spans="1:7">
      <c r="A31" s="781">
        <v>56</v>
      </c>
      <c r="B31" s="782" t="s">
        <v>11</v>
      </c>
      <c r="C31" s="782">
        <v>1040375</v>
      </c>
      <c r="D31" s="827">
        <v>45855</v>
      </c>
      <c r="E31" s="786">
        <v>106.45</v>
      </c>
      <c r="F31" s="782"/>
      <c r="G31" s="785" t="s">
        <v>10</v>
      </c>
    </row>
    <row r="32" spans="1:7">
      <c r="A32" s="797">
        <v>59</v>
      </c>
      <c r="B32" s="87" t="s">
        <v>12</v>
      </c>
      <c r="C32" s="87">
        <v>1170144</v>
      </c>
      <c r="D32" s="806">
        <v>45855</v>
      </c>
      <c r="E32" s="801">
        <v>168.99</v>
      </c>
      <c r="F32" s="87"/>
      <c r="G32" s="800" t="s">
        <v>10</v>
      </c>
    </row>
    <row r="33" spans="1:7">
      <c r="A33" s="663">
        <v>61</v>
      </c>
      <c r="B33" s="370" t="s">
        <v>12</v>
      </c>
      <c r="C33" s="370">
        <v>1170144</v>
      </c>
      <c r="D33" s="664">
        <v>45855</v>
      </c>
      <c r="E33" s="665">
        <v>147.59</v>
      </c>
      <c r="F33" s="370"/>
      <c r="G33" s="666" t="s">
        <v>10</v>
      </c>
    </row>
    <row r="34" spans="1:7">
      <c r="A34" s="398">
        <v>63</v>
      </c>
      <c r="B34" s="399" t="s">
        <v>11</v>
      </c>
      <c r="C34" s="399">
        <v>1040375</v>
      </c>
      <c r="D34" s="400">
        <v>45855</v>
      </c>
      <c r="E34" s="401">
        <v>13.42</v>
      </c>
      <c r="F34" s="399"/>
      <c r="G34" s="667" t="s">
        <v>10</v>
      </c>
    </row>
    <row r="35" spans="1:7">
      <c r="A35" s="398">
        <v>64</v>
      </c>
      <c r="B35" s="399" t="s">
        <v>11</v>
      </c>
      <c r="C35" s="399">
        <v>1040375</v>
      </c>
      <c r="D35" s="400">
        <v>45855</v>
      </c>
      <c r="E35" s="401">
        <v>106.9</v>
      </c>
      <c r="F35" s="399"/>
      <c r="G35" s="667" t="s">
        <v>10</v>
      </c>
    </row>
    <row r="36" spans="1:7">
      <c r="A36" s="398">
        <v>65</v>
      </c>
      <c r="B36" s="399" t="s">
        <v>11</v>
      </c>
      <c r="C36" s="399">
        <v>1040375</v>
      </c>
      <c r="D36" s="400">
        <v>45855</v>
      </c>
      <c r="E36" s="401">
        <v>329.57</v>
      </c>
      <c r="F36" s="399"/>
      <c r="G36" s="667" t="s">
        <v>10</v>
      </c>
    </row>
    <row r="37" spans="1:7" ht="14.4" thickBot="1">
      <c r="A37" s="375">
        <v>91</v>
      </c>
      <c r="B37" s="376" t="s">
        <v>11</v>
      </c>
      <c r="C37" s="376">
        <v>1040258</v>
      </c>
      <c r="D37" s="377">
        <v>45855</v>
      </c>
      <c r="E37" s="378">
        <v>3.13</v>
      </c>
      <c r="F37" s="376" t="s">
        <v>1367</v>
      </c>
      <c r="G37" s="656" t="s">
        <v>10</v>
      </c>
    </row>
    <row r="38" spans="1:7" ht="14.4" thickTop="1">
      <c r="A38" s="254"/>
      <c r="B38" s="254"/>
      <c r="C38" s="254"/>
      <c r="D38" s="824"/>
      <c r="E38" s="232"/>
      <c r="F38" s="254"/>
      <c r="G38" s="232"/>
    </row>
    <row r="39" spans="1:7">
      <c r="A39" s="254"/>
      <c r="B39" s="254"/>
      <c r="C39" s="254"/>
      <c r="D39" s="824"/>
      <c r="E39" s="232"/>
      <c r="F39" s="254"/>
      <c r="G39" s="232"/>
    </row>
    <row r="40" spans="1:7">
      <c r="D40" s="823"/>
    </row>
    <row r="41" spans="1:7">
      <c r="D41" s="825"/>
    </row>
    <row r="46" spans="1:7">
      <c r="D46" s="259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815E9-F410-4BC6-91E1-D1E53D49A494}">
  <sheetPr>
    <tabColor rgb="FFFFFF00"/>
  </sheetPr>
  <dimension ref="A1:O85"/>
  <sheetViews>
    <sheetView showGridLines="0" topLeftCell="A21" zoomScaleNormal="100" workbookViewId="0">
      <selection activeCellId="1" sqref="I8 A1:XFD1048576"/>
    </sheetView>
  </sheetViews>
  <sheetFormatPr defaultColWidth="8.8984375" defaultRowHeight="13.8"/>
  <cols>
    <col min="1" max="1" width="10" style="246" bestFit="1" customWidth="1"/>
    <col min="2" max="2" width="15.69921875" style="247" bestFit="1" customWidth="1"/>
    <col min="3" max="3" width="11.19921875" style="246" bestFit="1" customWidth="1"/>
    <col min="4" max="4" width="18.296875" style="252" bestFit="1" customWidth="1"/>
    <col min="5" max="5" width="16.3984375" style="226" bestFit="1" customWidth="1"/>
    <col min="6" max="6" width="14.69921875" style="257" customWidth="1"/>
    <col min="7" max="7" width="33.09765625" style="226" bestFit="1" customWidth="1"/>
    <col min="8" max="8" width="9.5" style="246" bestFit="1" customWidth="1"/>
    <col min="9" max="9" width="3.296875" style="252" customWidth="1"/>
    <col min="10" max="10" width="27.5" style="246" bestFit="1" customWidth="1"/>
    <col min="11" max="11" width="15.296875" style="215" bestFit="1" customWidth="1"/>
    <col min="12" max="14" width="8.8984375" style="246"/>
    <col min="15" max="15" width="9.3984375" style="246" bestFit="1" customWidth="1"/>
    <col min="16" max="16384" width="8.8984375" style="246"/>
  </cols>
  <sheetData>
    <row r="1" spans="1:15" ht="14.4" thickBot="1">
      <c r="A1" s="369" t="s">
        <v>0</v>
      </c>
      <c r="B1" s="369" t="s">
        <v>1</v>
      </c>
      <c r="C1" s="369" t="s">
        <v>2</v>
      </c>
      <c r="D1" s="369" t="s">
        <v>1322</v>
      </c>
      <c r="E1" s="371" t="s">
        <v>1323</v>
      </c>
      <c r="F1" s="370" t="s">
        <v>3</v>
      </c>
      <c r="G1" s="369" t="s">
        <v>4</v>
      </c>
      <c r="H1"/>
      <c r="I1" s="57"/>
      <c r="J1" s="370" t="s">
        <v>5</v>
      </c>
      <c r="K1" s="372" t="s">
        <v>1324</v>
      </c>
    </row>
    <row r="2" spans="1:15" ht="14.4" thickTop="1">
      <c r="A2" s="57">
        <v>1</v>
      </c>
      <c r="B2" s="242" t="s">
        <v>7</v>
      </c>
      <c r="C2" s="57">
        <v>2130870</v>
      </c>
      <c r="D2" s="266">
        <v>45856</v>
      </c>
      <c r="E2" s="233">
        <v>4655.22</v>
      </c>
      <c r="F2" s="57" t="s">
        <v>1450</v>
      </c>
      <c r="G2" s="853" t="s">
        <v>10</v>
      </c>
      <c r="I2" s="252" t="s">
        <v>10</v>
      </c>
      <c r="J2" s="419">
        <v>174810</v>
      </c>
      <c r="K2" s="421">
        <v>2159283.1</v>
      </c>
    </row>
    <row r="3" spans="1:15">
      <c r="A3" s="57">
        <v>2</v>
      </c>
      <c r="B3" s="242" t="s">
        <v>7</v>
      </c>
      <c r="C3" s="57">
        <v>2130870</v>
      </c>
      <c r="D3" s="266">
        <v>45856</v>
      </c>
      <c r="E3" s="233">
        <v>62265.2</v>
      </c>
      <c r="F3" s="57" t="s">
        <v>1450</v>
      </c>
      <c r="G3" s="853" t="s">
        <v>10</v>
      </c>
      <c r="I3" s="252" t="s">
        <v>10</v>
      </c>
      <c r="J3" s="469">
        <v>174820</v>
      </c>
      <c r="K3" s="470">
        <v>56848.960000000006</v>
      </c>
    </row>
    <row r="4" spans="1:15">
      <c r="A4" s="57">
        <v>3</v>
      </c>
      <c r="B4" s="242" t="s">
        <v>7</v>
      </c>
      <c r="C4" s="57">
        <v>2130870</v>
      </c>
      <c r="D4" s="266">
        <v>45856</v>
      </c>
      <c r="E4" s="233">
        <v>24719.1</v>
      </c>
      <c r="F4" s="57" t="s">
        <v>1450</v>
      </c>
      <c r="G4" s="853" t="s">
        <v>10</v>
      </c>
      <c r="I4" s="252" t="s">
        <v>10</v>
      </c>
      <c r="J4" s="370">
        <v>174825</v>
      </c>
      <c r="K4" s="665">
        <v>97479.67</v>
      </c>
      <c r="O4" s="258"/>
    </row>
    <row r="5" spans="1:15">
      <c r="A5" s="57">
        <v>4</v>
      </c>
      <c r="B5" s="242" t="s">
        <v>7</v>
      </c>
      <c r="C5" s="57">
        <v>2130870</v>
      </c>
      <c r="D5" s="266">
        <v>45856</v>
      </c>
      <c r="E5" s="233">
        <v>72383.360000000001</v>
      </c>
      <c r="F5" s="57" t="s">
        <v>1450</v>
      </c>
      <c r="G5" s="853" t="s">
        <v>10</v>
      </c>
      <c r="I5" s="252" t="s">
        <v>10</v>
      </c>
      <c r="J5" s="92">
        <v>174831</v>
      </c>
      <c r="K5" s="387">
        <v>87423.499999999956</v>
      </c>
    </row>
    <row r="6" spans="1:15">
      <c r="A6" s="57">
        <v>5</v>
      </c>
      <c r="B6" s="242" t="s">
        <v>7</v>
      </c>
      <c r="C6" s="57">
        <v>2130870</v>
      </c>
      <c r="D6" s="266">
        <v>45856</v>
      </c>
      <c r="E6" s="233">
        <v>388366.85</v>
      </c>
      <c r="F6" s="57" t="s">
        <v>1450</v>
      </c>
      <c r="G6" s="853" t="s">
        <v>10</v>
      </c>
      <c r="I6" s="252" t="s">
        <v>10</v>
      </c>
      <c r="J6" s="533">
        <v>174832</v>
      </c>
      <c r="K6" s="750">
        <v>1153.1200000000001</v>
      </c>
    </row>
    <row r="7" spans="1:15">
      <c r="A7" s="57">
        <v>6</v>
      </c>
      <c r="B7" s="242" t="s">
        <v>7</v>
      </c>
      <c r="C7" s="57">
        <v>2130870</v>
      </c>
      <c r="D7" s="266">
        <v>45856</v>
      </c>
      <c r="E7" s="233">
        <v>8526.11</v>
      </c>
      <c r="F7" s="57" t="s">
        <v>1428</v>
      </c>
      <c r="G7" s="853" t="s">
        <v>10</v>
      </c>
      <c r="I7" s="252" t="s">
        <v>10</v>
      </c>
      <c r="J7" s="399">
        <v>174833</v>
      </c>
      <c r="K7" s="401">
        <v>324.45</v>
      </c>
    </row>
    <row r="8" spans="1:15">
      <c r="A8" s="57">
        <v>7</v>
      </c>
      <c r="B8" s="242" t="s">
        <v>7</v>
      </c>
      <c r="C8" s="57">
        <v>2130870</v>
      </c>
      <c r="D8" s="266">
        <v>45856</v>
      </c>
      <c r="E8" s="233">
        <v>7281.08</v>
      </c>
      <c r="F8" s="57" t="s">
        <v>1339</v>
      </c>
      <c r="G8" s="853" t="s">
        <v>10</v>
      </c>
      <c r="I8" s="252" t="s">
        <v>10</v>
      </c>
      <c r="J8" s="91">
        <v>174853</v>
      </c>
      <c r="K8" s="394">
        <v>31421.770000000011</v>
      </c>
      <c r="O8" s="258"/>
    </row>
    <row r="9" spans="1:15">
      <c r="A9" s="57">
        <v>8</v>
      </c>
      <c r="B9" s="242" t="s">
        <v>7</v>
      </c>
      <c r="C9" s="57">
        <v>2130870</v>
      </c>
      <c r="D9" s="266">
        <v>45856</v>
      </c>
      <c r="E9" s="233">
        <v>174.76</v>
      </c>
      <c r="F9" s="57" t="s">
        <v>32</v>
      </c>
      <c r="G9" s="853" t="s">
        <v>10</v>
      </c>
      <c r="I9" s="252" t="s">
        <v>10</v>
      </c>
      <c r="J9" s="404">
        <v>174854</v>
      </c>
      <c r="K9" s="406">
        <v>20863.510000000009</v>
      </c>
    </row>
    <row r="10" spans="1:15">
      <c r="A10" s="57">
        <v>9</v>
      </c>
      <c r="B10" s="242" t="s">
        <v>7</v>
      </c>
      <c r="C10" s="57">
        <v>2130870</v>
      </c>
      <c r="D10" s="266">
        <v>45856</v>
      </c>
      <c r="E10" s="233">
        <v>246.75</v>
      </c>
      <c r="F10" s="57" t="s">
        <v>8</v>
      </c>
      <c r="G10" s="853" t="s">
        <v>10</v>
      </c>
      <c r="I10" s="252" t="s">
        <v>10</v>
      </c>
      <c r="J10" s="782">
        <v>174855</v>
      </c>
      <c r="K10" s="786">
        <v>7583.3099999999995</v>
      </c>
    </row>
    <row r="11" spans="1:15">
      <c r="A11" s="57">
        <v>10</v>
      </c>
      <c r="B11" s="242" t="s">
        <v>7</v>
      </c>
      <c r="C11" s="57">
        <v>2060855</v>
      </c>
      <c r="D11" s="266">
        <v>45856</v>
      </c>
      <c r="E11" s="233">
        <v>18600000</v>
      </c>
      <c r="F11" s="57" t="s">
        <v>1377</v>
      </c>
      <c r="G11" s="853" t="s">
        <v>10</v>
      </c>
      <c r="I11" s="252" t="s">
        <v>10</v>
      </c>
      <c r="J11" s="381">
        <v>174857</v>
      </c>
      <c r="K11" s="383">
        <v>2413.66</v>
      </c>
    </row>
    <row r="12" spans="1:15" ht="14.4" thickBot="1">
      <c r="A12" s="57">
        <v>11</v>
      </c>
      <c r="B12" s="242" t="s">
        <v>7</v>
      </c>
      <c r="C12" s="57">
        <v>2140632</v>
      </c>
      <c r="D12" s="266">
        <v>45856</v>
      </c>
      <c r="E12" s="233">
        <v>24274.47</v>
      </c>
      <c r="F12" s="57"/>
      <c r="G12" s="233" t="s">
        <v>10</v>
      </c>
      <c r="I12" s="252" t="s">
        <v>10</v>
      </c>
      <c r="J12" s="694">
        <v>174859</v>
      </c>
      <c r="K12" s="696">
        <v>42745.73</v>
      </c>
    </row>
    <row r="13" spans="1:15" ht="14.4" thickTop="1">
      <c r="A13" s="669">
        <v>13</v>
      </c>
      <c r="B13" s="454" t="s">
        <v>11</v>
      </c>
      <c r="C13" s="670">
        <v>1170470</v>
      </c>
      <c r="D13" s="671">
        <v>45856</v>
      </c>
      <c r="E13" s="653">
        <v>1070.5</v>
      </c>
      <c r="F13" s="670" t="s">
        <v>1452</v>
      </c>
      <c r="G13" s="654" t="s">
        <v>10</v>
      </c>
      <c r="I13" s="252" t="s">
        <v>10</v>
      </c>
      <c r="J13" s="414">
        <v>174860</v>
      </c>
      <c r="K13" s="416">
        <v>50141.600000000006</v>
      </c>
    </row>
    <row r="14" spans="1:15">
      <c r="A14" s="436">
        <v>14</v>
      </c>
      <c r="B14" s="242" t="s">
        <v>11</v>
      </c>
      <c r="C14" s="57">
        <v>1170470</v>
      </c>
      <c r="D14" s="266">
        <v>45856</v>
      </c>
      <c r="E14" s="233">
        <v>976.48</v>
      </c>
      <c r="F14" s="57" t="s">
        <v>1452</v>
      </c>
      <c r="G14" s="655" t="s">
        <v>10</v>
      </c>
      <c r="I14" s="252" t="s">
        <v>10</v>
      </c>
      <c r="J14" s="87" t="s">
        <v>1451</v>
      </c>
      <c r="K14" s="801">
        <v>266.27999999999997</v>
      </c>
    </row>
    <row r="15" spans="1:15">
      <c r="A15" s="385">
        <v>18</v>
      </c>
      <c r="B15" s="472" t="s">
        <v>11</v>
      </c>
      <c r="C15" s="92">
        <v>1200393</v>
      </c>
      <c r="D15" s="386">
        <v>45856</v>
      </c>
      <c r="E15" s="387">
        <v>10901.08</v>
      </c>
      <c r="F15" s="92"/>
      <c r="G15" s="657" t="s">
        <v>10</v>
      </c>
      <c r="J15" s="57"/>
      <c r="K15" s="233"/>
    </row>
    <row r="16" spans="1:15">
      <c r="A16" s="385">
        <v>19</v>
      </c>
      <c r="B16" s="472" t="s">
        <v>11</v>
      </c>
      <c r="C16" s="92">
        <v>1040211</v>
      </c>
      <c r="D16" s="386">
        <v>45856</v>
      </c>
      <c r="E16" s="387">
        <v>76522.42</v>
      </c>
      <c r="F16" s="92"/>
      <c r="G16" s="657" t="s">
        <v>10</v>
      </c>
    </row>
    <row r="17" spans="1:11">
      <c r="A17" s="658">
        <v>20</v>
      </c>
      <c r="B17" s="466" t="s">
        <v>11</v>
      </c>
      <c r="C17" s="469">
        <v>1040211</v>
      </c>
      <c r="D17" s="659">
        <v>45856</v>
      </c>
      <c r="E17" s="470">
        <v>56848.959999999999</v>
      </c>
      <c r="F17" s="469"/>
      <c r="G17" s="660" t="s">
        <v>10</v>
      </c>
      <c r="J17" s="208"/>
      <c r="K17" s="212"/>
    </row>
    <row r="18" spans="1:11">
      <c r="A18" s="395">
        <v>27</v>
      </c>
      <c r="B18" s="525" t="s">
        <v>11</v>
      </c>
      <c r="C18" s="91">
        <v>1200393</v>
      </c>
      <c r="D18" s="396">
        <v>45856</v>
      </c>
      <c r="E18" s="394">
        <v>6798.48</v>
      </c>
      <c r="F18" s="91"/>
      <c r="G18" s="661" t="s">
        <v>10</v>
      </c>
    </row>
    <row r="19" spans="1:11">
      <c r="A19" s="395">
        <v>28</v>
      </c>
      <c r="B19" s="525" t="s">
        <v>11</v>
      </c>
      <c r="C19" s="91">
        <v>1040211</v>
      </c>
      <c r="D19" s="396">
        <v>45856</v>
      </c>
      <c r="E19" s="394">
        <v>24623.29</v>
      </c>
      <c r="F19" s="91"/>
      <c r="G19" s="661" t="s">
        <v>10</v>
      </c>
    </row>
    <row r="20" spans="1:11">
      <c r="A20" s="403">
        <v>31</v>
      </c>
      <c r="B20" s="482" t="s">
        <v>11</v>
      </c>
      <c r="C20" s="404">
        <v>1200393</v>
      </c>
      <c r="D20" s="828">
        <v>45856</v>
      </c>
      <c r="E20" s="406">
        <v>779.86</v>
      </c>
      <c r="F20" s="404"/>
      <c r="G20" s="707" t="s">
        <v>10</v>
      </c>
    </row>
    <row r="21" spans="1:11">
      <c r="A21" s="403">
        <v>32</v>
      </c>
      <c r="B21" s="482" t="s">
        <v>11</v>
      </c>
      <c r="C21" s="404">
        <v>1040211</v>
      </c>
      <c r="D21" s="405">
        <v>45856</v>
      </c>
      <c r="E21" s="406">
        <v>20083.650000000001</v>
      </c>
      <c r="F21" s="404"/>
      <c r="G21" s="707" t="s">
        <v>10</v>
      </c>
    </row>
    <row r="22" spans="1:11">
      <c r="A22" s="781">
        <v>33</v>
      </c>
      <c r="B22" s="829" t="s">
        <v>11</v>
      </c>
      <c r="C22" s="782">
        <v>1040211</v>
      </c>
      <c r="D22" s="827">
        <v>45856</v>
      </c>
      <c r="E22" s="786">
        <v>7583.31</v>
      </c>
      <c r="F22" s="782"/>
      <c r="G22" s="785" t="s">
        <v>10</v>
      </c>
    </row>
    <row r="23" spans="1:11">
      <c r="A23" s="693">
        <v>34</v>
      </c>
      <c r="B23" s="836" t="s">
        <v>11</v>
      </c>
      <c r="C23" s="694">
        <v>1040211</v>
      </c>
      <c r="D23" s="695">
        <v>45856</v>
      </c>
      <c r="E23" s="696">
        <v>42745.73</v>
      </c>
      <c r="F23" s="694"/>
      <c r="G23" s="697" t="s">
        <v>10</v>
      </c>
    </row>
    <row r="24" spans="1:11">
      <c r="A24" s="413">
        <v>35</v>
      </c>
      <c r="B24" s="486" t="s">
        <v>11</v>
      </c>
      <c r="C24" s="414">
        <v>1040211</v>
      </c>
      <c r="D24" s="415">
        <v>45856</v>
      </c>
      <c r="E24" s="416">
        <v>50141.599999999999</v>
      </c>
      <c r="F24" s="414"/>
      <c r="G24" s="691" t="s">
        <v>10</v>
      </c>
    </row>
    <row r="25" spans="1:11">
      <c r="A25" s="418">
        <v>36</v>
      </c>
      <c r="B25" s="511" t="s">
        <v>11</v>
      </c>
      <c r="C25" s="419">
        <v>1040211</v>
      </c>
      <c r="D25" s="420">
        <v>45856</v>
      </c>
      <c r="E25" s="421">
        <v>1263957.26</v>
      </c>
      <c r="F25" s="419"/>
      <c r="G25" s="662" t="s">
        <v>10</v>
      </c>
    </row>
    <row r="26" spans="1:11">
      <c r="A26" s="418">
        <v>37</v>
      </c>
      <c r="B26" s="511" t="s">
        <v>11</v>
      </c>
      <c r="C26" s="419">
        <v>1200393</v>
      </c>
      <c r="D26" s="420">
        <v>45856</v>
      </c>
      <c r="E26" s="421">
        <v>11797.67</v>
      </c>
      <c r="F26" s="419"/>
      <c r="G26" s="662" t="s">
        <v>10</v>
      </c>
    </row>
    <row r="27" spans="1:11">
      <c r="A27" s="418">
        <v>38</v>
      </c>
      <c r="B27" s="511" t="s">
        <v>11</v>
      </c>
      <c r="C27" s="419">
        <v>1200393</v>
      </c>
      <c r="D27" s="420">
        <v>45856</v>
      </c>
      <c r="E27" s="421">
        <v>883528.17</v>
      </c>
      <c r="F27" s="419"/>
      <c r="G27" s="662" t="s">
        <v>10</v>
      </c>
    </row>
    <row r="28" spans="1:11">
      <c r="A28" s="430">
        <v>41</v>
      </c>
      <c r="B28" s="839" t="s">
        <v>11</v>
      </c>
      <c r="C28" s="428">
        <v>1040375</v>
      </c>
      <c r="D28" s="431">
        <v>45856</v>
      </c>
      <c r="E28" s="429">
        <v>2886155.36</v>
      </c>
      <c r="F28" s="428"/>
      <c r="G28" s="705" t="s">
        <v>9</v>
      </c>
      <c r="H28" s="546" t="s">
        <v>1366</v>
      </c>
    </row>
    <row r="29" spans="1:11">
      <c r="A29" s="430">
        <v>42</v>
      </c>
      <c r="B29" s="839" t="s">
        <v>11</v>
      </c>
      <c r="C29" s="428">
        <v>1040375</v>
      </c>
      <c r="D29" s="431">
        <v>45856</v>
      </c>
      <c r="E29" s="429">
        <v>2068967.06</v>
      </c>
      <c r="F29" s="428"/>
      <c r="G29" s="705" t="s">
        <v>9</v>
      </c>
      <c r="H29" s="546" t="s">
        <v>1366</v>
      </c>
    </row>
    <row r="30" spans="1:11">
      <c r="A30" s="748">
        <v>44</v>
      </c>
      <c r="B30" s="530" t="s">
        <v>11</v>
      </c>
      <c r="C30" s="533">
        <v>1040362</v>
      </c>
      <c r="D30" s="749">
        <v>45856</v>
      </c>
      <c r="E30" s="750">
        <v>53.69</v>
      </c>
      <c r="F30" s="533"/>
      <c r="G30" s="751" t="s">
        <v>10</v>
      </c>
    </row>
    <row r="31" spans="1:11">
      <c r="A31" s="748">
        <v>45</v>
      </c>
      <c r="B31" s="530" t="s">
        <v>11</v>
      </c>
      <c r="C31" s="533">
        <v>1040362</v>
      </c>
      <c r="D31" s="749">
        <v>45856</v>
      </c>
      <c r="E31" s="750">
        <v>54.53</v>
      </c>
      <c r="F31" s="533"/>
      <c r="G31" s="751" t="s">
        <v>10</v>
      </c>
    </row>
    <row r="32" spans="1:11">
      <c r="A32" s="430">
        <v>46</v>
      </c>
      <c r="B32" s="839" t="s">
        <v>11</v>
      </c>
      <c r="C32" s="428">
        <v>1040375</v>
      </c>
      <c r="D32" s="431">
        <v>45856</v>
      </c>
      <c r="E32" s="429">
        <v>469126.31</v>
      </c>
      <c r="F32" s="428"/>
      <c r="G32" s="705" t="s">
        <v>9</v>
      </c>
      <c r="H32" s="546" t="s">
        <v>1366</v>
      </c>
    </row>
    <row r="33" spans="1:8">
      <c r="A33" s="430">
        <v>47</v>
      </c>
      <c r="B33" s="839" t="s">
        <v>11</v>
      </c>
      <c r="C33" s="428">
        <v>1040375</v>
      </c>
      <c r="D33" s="431">
        <v>45856</v>
      </c>
      <c r="E33" s="429">
        <v>23006.91</v>
      </c>
      <c r="F33" s="428"/>
      <c r="G33" s="705" t="s">
        <v>9</v>
      </c>
      <c r="H33" s="546" t="s">
        <v>1366</v>
      </c>
    </row>
    <row r="34" spans="1:8">
      <c r="A34" s="663">
        <v>48</v>
      </c>
      <c r="B34" s="684" t="s">
        <v>11</v>
      </c>
      <c r="C34" s="370">
        <v>1040375</v>
      </c>
      <c r="D34" s="664">
        <v>45856</v>
      </c>
      <c r="E34" s="665">
        <v>301.76</v>
      </c>
      <c r="F34" s="370"/>
      <c r="G34" s="666" t="s">
        <v>10</v>
      </c>
    </row>
    <row r="35" spans="1:8">
      <c r="A35" s="663">
        <v>49</v>
      </c>
      <c r="B35" s="684" t="s">
        <v>11</v>
      </c>
      <c r="C35" s="370">
        <v>1040375</v>
      </c>
      <c r="D35" s="664">
        <v>45856</v>
      </c>
      <c r="E35" s="665">
        <v>67385.210000000006</v>
      </c>
      <c r="F35" s="370"/>
      <c r="G35" s="666" t="s">
        <v>10</v>
      </c>
    </row>
    <row r="36" spans="1:8">
      <c r="A36" s="663">
        <v>50</v>
      </c>
      <c r="B36" s="684" t="s">
        <v>11</v>
      </c>
      <c r="C36" s="370">
        <v>1040375</v>
      </c>
      <c r="D36" s="664">
        <v>45856</v>
      </c>
      <c r="E36" s="665">
        <v>27324.17</v>
      </c>
      <c r="F36" s="370"/>
      <c r="G36" s="666" t="s">
        <v>10</v>
      </c>
    </row>
    <row r="37" spans="1:8">
      <c r="A37" s="663">
        <v>51</v>
      </c>
      <c r="B37" s="684" t="s">
        <v>11</v>
      </c>
      <c r="C37" s="370">
        <v>1040375</v>
      </c>
      <c r="D37" s="664">
        <v>45856</v>
      </c>
      <c r="E37" s="665">
        <v>2468.5300000000002</v>
      </c>
      <c r="F37" s="370"/>
      <c r="G37" s="666" t="s">
        <v>10</v>
      </c>
    </row>
    <row r="38" spans="1:8">
      <c r="A38" s="748">
        <v>54</v>
      </c>
      <c r="B38" s="530" t="s">
        <v>11</v>
      </c>
      <c r="C38" s="533">
        <v>1040109</v>
      </c>
      <c r="D38" s="749">
        <v>45856</v>
      </c>
      <c r="E38" s="750">
        <v>922.33</v>
      </c>
      <c r="F38" s="533"/>
      <c r="G38" s="751" t="s">
        <v>10</v>
      </c>
    </row>
    <row r="39" spans="1:8">
      <c r="A39" s="748">
        <v>55</v>
      </c>
      <c r="B39" s="530" t="s">
        <v>11</v>
      </c>
      <c r="C39" s="533">
        <v>1040109</v>
      </c>
      <c r="D39" s="749">
        <v>45856</v>
      </c>
      <c r="E39" s="750">
        <v>122.57</v>
      </c>
      <c r="F39" s="533"/>
      <c r="G39" s="751" t="s">
        <v>10</v>
      </c>
    </row>
    <row r="40" spans="1:8">
      <c r="A40" s="398">
        <v>57</v>
      </c>
      <c r="B40" s="490" t="s">
        <v>11</v>
      </c>
      <c r="C40" s="399">
        <v>1040109</v>
      </c>
      <c r="D40" s="400">
        <v>45856</v>
      </c>
      <c r="E40" s="401">
        <v>64.89</v>
      </c>
      <c r="F40" s="399"/>
      <c r="G40" s="667" t="s">
        <v>10</v>
      </c>
    </row>
    <row r="41" spans="1:8">
      <c r="A41" s="398">
        <v>58</v>
      </c>
      <c r="B41" s="490" t="s">
        <v>11</v>
      </c>
      <c r="C41" s="399">
        <v>1040109</v>
      </c>
      <c r="D41" s="400">
        <v>45856</v>
      </c>
      <c r="E41" s="401">
        <v>64.89</v>
      </c>
      <c r="F41" s="399"/>
      <c r="G41" s="667" t="s">
        <v>10</v>
      </c>
    </row>
    <row r="42" spans="1:8">
      <c r="A42" s="398">
        <v>59</v>
      </c>
      <c r="B42" s="490" t="s">
        <v>11</v>
      </c>
      <c r="C42" s="399">
        <v>1040109</v>
      </c>
      <c r="D42" s="400">
        <v>45856</v>
      </c>
      <c r="E42" s="401">
        <v>64.89</v>
      </c>
      <c r="F42" s="399"/>
      <c r="G42" s="667" t="s">
        <v>10</v>
      </c>
    </row>
    <row r="43" spans="1:8">
      <c r="A43" s="398">
        <v>60</v>
      </c>
      <c r="B43" s="490" t="s">
        <v>11</v>
      </c>
      <c r="C43" s="399">
        <v>1040109</v>
      </c>
      <c r="D43" s="400">
        <v>45856</v>
      </c>
      <c r="E43" s="401">
        <v>64.89</v>
      </c>
      <c r="F43" s="399"/>
      <c r="G43" s="667" t="s">
        <v>10</v>
      </c>
    </row>
    <row r="44" spans="1:8">
      <c r="A44" s="398">
        <v>61</v>
      </c>
      <c r="B44" s="490" t="s">
        <v>11</v>
      </c>
      <c r="C44" s="399">
        <v>1040109</v>
      </c>
      <c r="D44" s="400">
        <v>45856</v>
      </c>
      <c r="E44" s="401">
        <v>64.89</v>
      </c>
      <c r="F44" s="399"/>
      <c r="G44" s="667" t="s">
        <v>10</v>
      </c>
    </row>
    <row r="45" spans="1:8">
      <c r="A45" s="380">
        <v>74</v>
      </c>
      <c r="B45" s="463" t="s">
        <v>11</v>
      </c>
      <c r="C45" s="381">
        <v>1040375</v>
      </c>
      <c r="D45" s="382">
        <v>45856</v>
      </c>
      <c r="E45" s="383">
        <v>376.96</v>
      </c>
      <c r="F45" s="381"/>
      <c r="G45" s="706" t="s">
        <v>10</v>
      </c>
    </row>
    <row r="46" spans="1:8">
      <c r="A46" s="380">
        <v>75</v>
      </c>
      <c r="B46" s="463" t="s">
        <v>11</v>
      </c>
      <c r="C46" s="381">
        <v>1040375</v>
      </c>
      <c r="D46" s="382">
        <v>45856</v>
      </c>
      <c r="E46" s="383">
        <v>172.74</v>
      </c>
      <c r="F46" s="381"/>
      <c r="G46" s="706" t="s">
        <v>10</v>
      </c>
    </row>
    <row r="47" spans="1:8">
      <c r="A47" s="380">
        <v>76</v>
      </c>
      <c r="B47" s="463" t="s">
        <v>11</v>
      </c>
      <c r="C47" s="381">
        <v>1040375</v>
      </c>
      <c r="D47" s="382">
        <v>45856</v>
      </c>
      <c r="E47" s="383">
        <v>515.35</v>
      </c>
      <c r="F47" s="381"/>
      <c r="G47" s="706" t="s">
        <v>10</v>
      </c>
    </row>
    <row r="48" spans="1:8">
      <c r="A48" s="380">
        <v>77</v>
      </c>
      <c r="B48" s="463" t="s">
        <v>11</v>
      </c>
      <c r="C48" s="381">
        <v>1040375</v>
      </c>
      <c r="D48" s="382">
        <v>45856</v>
      </c>
      <c r="E48" s="383">
        <v>777.12</v>
      </c>
      <c r="F48" s="381"/>
      <c r="G48" s="706" t="s">
        <v>10</v>
      </c>
    </row>
    <row r="49" spans="1:7">
      <c r="A49" s="380">
        <v>78</v>
      </c>
      <c r="B49" s="463" t="s">
        <v>11</v>
      </c>
      <c r="C49" s="381">
        <v>1040375</v>
      </c>
      <c r="D49" s="382">
        <v>45856</v>
      </c>
      <c r="E49" s="383">
        <v>571.49</v>
      </c>
      <c r="F49" s="381"/>
      <c r="G49" s="706" t="s">
        <v>10</v>
      </c>
    </row>
    <row r="50" spans="1:7">
      <c r="A50" s="797">
        <v>86</v>
      </c>
      <c r="B50" s="830" t="s">
        <v>11</v>
      </c>
      <c r="C50" s="87">
        <v>1040375</v>
      </c>
      <c r="D50" s="806">
        <v>45856</v>
      </c>
      <c r="E50" s="801">
        <v>11.54</v>
      </c>
      <c r="F50" s="87"/>
      <c r="G50" s="800" t="s">
        <v>10</v>
      </c>
    </row>
    <row r="51" spans="1:7">
      <c r="A51" s="797">
        <v>87</v>
      </c>
      <c r="B51" s="830" t="s">
        <v>11</v>
      </c>
      <c r="C51" s="87">
        <v>1040375</v>
      </c>
      <c r="D51" s="806">
        <v>45856</v>
      </c>
      <c r="E51" s="801">
        <v>251.53</v>
      </c>
      <c r="F51" s="87"/>
      <c r="G51" s="800" t="s">
        <v>10</v>
      </c>
    </row>
    <row r="52" spans="1:7" ht="14.4" thickBot="1">
      <c r="A52" s="831">
        <v>88</v>
      </c>
      <c r="B52" s="832" t="s">
        <v>11</v>
      </c>
      <c r="C52" s="833">
        <v>1040375</v>
      </c>
      <c r="D52" s="834">
        <v>45856</v>
      </c>
      <c r="E52" s="835">
        <v>3.21</v>
      </c>
      <c r="F52" s="833"/>
      <c r="G52" s="837" t="s">
        <v>10</v>
      </c>
    </row>
    <row r="53" spans="1:7" ht="14.4" thickTop="1">
      <c r="A53" s="252"/>
      <c r="B53" s="244"/>
      <c r="C53" s="252"/>
      <c r="D53" s="253"/>
    </row>
    <row r="54" spans="1:7">
      <c r="A54" s="252"/>
      <c r="B54" s="244"/>
      <c r="C54" s="252"/>
      <c r="D54" s="253"/>
    </row>
    <row r="55" spans="1:7">
      <c r="A55" s="252"/>
      <c r="B55" s="244"/>
      <c r="C55" s="252"/>
      <c r="D55" s="253"/>
    </row>
    <row r="56" spans="1:7">
      <c r="A56" s="254"/>
      <c r="B56" s="243"/>
      <c r="C56" s="254"/>
      <c r="D56" s="255"/>
      <c r="E56" s="227"/>
      <c r="F56" s="265"/>
      <c r="G56" s="227"/>
    </row>
    <row r="57" spans="1:7">
      <c r="A57" s="254"/>
      <c r="B57" s="243"/>
      <c r="C57" s="254"/>
      <c r="D57" s="255"/>
      <c r="E57" s="227"/>
      <c r="F57" s="265"/>
      <c r="G57" s="227"/>
    </row>
    <row r="58" spans="1:7">
      <c r="A58" s="260"/>
      <c r="B58" s="261"/>
      <c r="C58" s="260"/>
      <c r="D58" s="262"/>
      <c r="E58" s="263"/>
      <c r="F58" s="838"/>
      <c r="G58" s="263"/>
    </row>
    <row r="59" spans="1:7">
      <c r="A59" s="260"/>
      <c r="B59" s="261"/>
      <c r="C59" s="260"/>
      <c r="D59" s="262"/>
      <c r="E59" s="263"/>
      <c r="F59" s="838"/>
      <c r="G59" s="263"/>
    </row>
    <row r="60" spans="1:7">
      <c r="A60" s="252"/>
      <c r="B60" s="244"/>
      <c r="C60" s="252"/>
      <c r="D60" s="253"/>
    </row>
    <row r="61" spans="1:7">
      <c r="A61" s="252"/>
      <c r="B61" s="244"/>
      <c r="C61" s="252"/>
      <c r="D61" s="253"/>
    </row>
    <row r="62" spans="1:7">
      <c r="A62" s="252"/>
      <c r="B62" s="244"/>
      <c r="C62" s="252"/>
      <c r="D62" s="253"/>
    </row>
    <row r="63" spans="1:7">
      <c r="A63" s="254"/>
      <c r="B63" s="243"/>
      <c r="C63" s="254"/>
      <c r="D63" s="255"/>
      <c r="E63" s="227"/>
      <c r="F63" s="265"/>
      <c r="G63" s="227"/>
    </row>
    <row r="64" spans="1:7">
      <c r="A64" s="252"/>
      <c r="B64" s="244"/>
      <c r="C64" s="252"/>
      <c r="D64" s="253"/>
    </row>
    <row r="65" spans="1:7">
      <c r="A65" s="252"/>
      <c r="B65" s="244"/>
      <c r="C65" s="252"/>
      <c r="D65" s="253"/>
    </row>
    <row r="66" spans="1:7">
      <c r="A66" s="252"/>
      <c r="B66" s="244"/>
      <c r="C66" s="252"/>
      <c r="D66" s="253"/>
    </row>
    <row r="67" spans="1:7">
      <c r="A67" s="252"/>
      <c r="B67" s="244"/>
      <c r="C67" s="252"/>
      <c r="D67" s="253"/>
    </row>
    <row r="68" spans="1:7">
      <c r="A68" s="252"/>
      <c r="B68" s="244"/>
      <c r="C68" s="252"/>
      <c r="D68" s="253"/>
    </row>
    <row r="69" spans="1:7">
      <c r="A69" s="252"/>
      <c r="B69" s="244"/>
      <c r="C69" s="252"/>
      <c r="D69" s="253"/>
    </row>
    <row r="70" spans="1:7">
      <c r="A70" s="252"/>
      <c r="B70" s="244"/>
      <c r="C70" s="252"/>
      <c r="D70" s="253"/>
    </row>
    <row r="71" spans="1:7">
      <c r="A71" s="252"/>
      <c r="B71" s="244"/>
      <c r="C71" s="252"/>
      <c r="D71" s="253"/>
    </row>
    <row r="72" spans="1:7">
      <c r="A72" s="254"/>
      <c r="B72" s="243"/>
      <c r="C72" s="254"/>
      <c r="D72" s="255"/>
      <c r="E72" s="227"/>
      <c r="F72" s="265"/>
      <c r="G72" s="227"/>
    </row>
    <row r="73" spans="1:7">
      <c r="A73" s="254"/>
      <c r="B73" s="243"/>
      <c r="C73" s="254"/>
      <c r="D73" s="255"/>
      <c r="E73" s="227"/>
      <c r="F73" s="265"/>
      <c r="G73" s="227"/>
    </row>
    <row r="74" spans="1:7">
      <c r="A74" s="252"/>
      <c r="B74" s="244"/>
      <c r="C74" s="252"/>
      <c r="D74" s="253"/>
    </row>
    <row r="75" spans="1:7">
      <c r="A75" s="252"/>
      <c r="B75" s="244"/>
      <c r="C75" s="252"/>
      <c r="D75" s="253"/>
    </row>
    <row r="76" spans="1:7">
      <c r="A76" s="252"/>
      <c r="B76" s="244"/>
      <c r="C76" s="252"/>
      <c r="D76" s="253"/>
    </row>
    <row r="77" spans="1:7">
      <c r="A77" s="252"/>
      <c r="B77" s="244"/>
      <c r="C77" s="252"/>
      <c r="D77" s="253"/>
    </row>
    <row r="78" spans="1:7">
      <c r="A78" s="254"/>
      <c r="B78" s="243"/>
      <c r="C78" s="254"/>
      <c r="D78" s="255"/>
      <c r="E78" s="227"/>
      <c r="F78" s="265"/>
      <c r="G78" s="227"/>
    </row>
    <row r="79" spans="1:7">
      <c r="A79" s="254"/>
      <c r="B79" s="243"/>
      <c r="C79" s="254"/>
      <c r="D79" s="255"/>
      <c r="E79" s="227"/>
      <c r="F79" s="265"/>
      <c r="G79" s="227"/>
    </row>
    <row r="80" spans="1:7">
      <c r="A80" s="254"/>
      <c r="B80" s="243"/>
      <c r="C80" s="254"/>
      <c r="D80" s="255"/>
      <c r="E80" s="227"/>
      <c r="F80" s="265"/>
      <c r="G80" s="227"/>
    </row>
    <row r="81" spans="1:4">
      <c r="A81" s="252"/>
      <c r="B81" s="244"/>
      <c r="C81" s="252"/>
      <c r="D81" s="253"/>
    </row>
    <row r="82" spans="1:4">
      <c r="A82" s="252"/>
      <c r="B82" s="244"/>
      <c r="C82" s="252"/>
    </row>
    <row r="83" spans="1:4">
      <c r="A83" s="252"/>
      <c r="B83" s="244"/>
      <c r="C83" s="252"/>
    </row>
    <row r="84" spans="1:4">
      <c r="A84" s="252"/>
      <c r="B84" s="244"/>
      <c r="C84" s="252"/>
    </row>
    <row r="85" spans="1:4">
      <c r="A85" s="252"/>
      <c r="B85" s="244"/>
      <c r="C85" s="252"/>
    </row>
  </sheetData>
  <autoFilter ref="A1:K81" xr:uid="{841815E9-F410-4BC6-91E1-D1E53D49A494}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CEBE8-F429-49D8-A7F0-05D3D70A67CF}">
  <sheetPr>
    <tabColor rgb="FFFFFF00"/>
  </sheetPr>
  <dimension ref="A1:K111"/>
  <sheetViews>
    <sheetView showGridLines="0" tabSelected="1" topLeftCell="A15" zoomScaleNormal="100" workbookViewId="0">
      <selection activeCell="F45" sqref="F45"/>
    </sheetView>
  </sheetViews>
  <sheetFormatPr defaultColWidth="8.8984375" defaultRowHeight="13.8"/>
  <cols>
    <col min="1" max="1" width="10" style="877" bestFit="1" customWidth="1"/>
    <col min="2" max="2" width="15.69921875" style="877" bestFit="1" customWidth="1"/>
    <col min="3" max="3" width="11.19921875" style="877" bestFit="1" customWidth="1"/>
    <col min="4" max="4" width="18.296875" style="877" bestFit="1" customWidth="1"/>
    <col min="5" max="5" width="16.3984375" style="896" bestFit="1" customWidth="1"/>
    <col min="6" max="6" width="30.3984375" style="877" bestFit="1" customWidth="1"/>
    <col min="7" max="7" width="33.09765625" style="877" bestFit="1" customWidth="1"/>
    <col min="8" max="8" width="22.09765625" style="880" bestFit="1" customWidth="1"/>
    <col min="9" max="9" width="4.796875" style="878" customWidth="1"/>
    <col min="10" max="10" width="26.8984375" style="878" bestFit="1" customWidth="1"/>
    <col min="11" max="11" width="13.69921875" style="884" bestFit="1" customWidth="1"/>
    <col min="12" max="16384" width="8.8984375" style="878"/>
  </cols>
  <sheetData>
    <row r="1" spans="1:11" s="883" customFormat="1" ht="14.4" thickBot="1">
      <c r="A1" s="369" t="s">
        <v>0</v>
      </c>
      <c r="B1" s="369" t="s">
        <v>1</v>
      </c>
      <c r="C1" s="369" t="s">
        <v>2</v>
      </c>
      <c r="D1" s="369" t="s">
        <v>1322</v>
      </c>
      <c r="E1" s="371" t="s">
        <v>1323</v>
      </c>
      <c r="F1" s="370" t="s">
        <v>3</v>
      </c>
      <c r="G1" s="369" t="s">
        <v>4</v>
      </c>
      <c r="H1"/>
      <c r="I1" s="57"/>
      <c r="J1" s="370" t="s">
        <v>5</v>
      </c>
      <c r="K1" s="372" t="s">
        <v>1324</v>
      </c>
    </row>
    <row r="2" spans="1:11" ht="14.4" thickTop="1">
      <c r="A2" s="877">
        <v>1</v>
      </c>
      <c r="B2" s="877" t="s">
        <v>7</v>
      </c>
      <c r="C2" s="877">
        <v>2130870</v>
      </c>
      <c r="D2" s="879">
        <v>45859</v>
      </c>
      <c r="E2" s="896">
        <v>3762.05</v>
      </c>
      <c r="F2" s="877" t="s">
        <v>1457</v>
      </c>
      <c r="G2" s="877" t="s">
        <v>10</v>
      </c>
      <c r="I2" s="878" t="s">
        <v>10</v>
      </c>
      <c r="J2" s="891">
        <v>174871</v>
      </c>
      <c r="K2" s="892">
        <v>32217.060000000012</v>
      </c>
    </row>
    <row r="3" spans="1:11">
      <c r="A3" s="877">
        <v>2</v>
      </c>
      <c r="B3" s="877" t="s">
        <v>7</v>
      </c>
      <c r="C3" s="877">
        <v>2130870</v>
      </c>
      <c r="D3" s="879">
        <v>45859</v>
      </c>
      <c r="E3" s="896">
        <v>19185691.870000001</v>
      </c>
      <c r="F3" s="877" t="s">
        <v>32</v>
      </c>
      <c r="G3" s="877" t="s">
        <v>10</v>
      </c>
      <c r="I3" s="878" t="s">
        <v>10</v>
      </c>
      <c r="J3" s="381">
        <v>174872</v>
      </c>
      <c r="K3" s="924">
        <v>201398.29</v>
      </c>
    </row>
    <row r="4" spans="1:11">
      <c r="A4" s="877">
        <v>3</v>
      </c>
      <c r="B4" s="877" t="s">
        <v>7</v>
      </c>
      <c r="C4" s="877">
        <v>2130870</v>
      </c>
      <c r="D4" s="879">
        <v>45859</v>
      </c>
      <c r="E4" s="896">
        <v>3829.29</v>
      </c>
      <c r="F4" s="877" t="s">
        <v>1328</v>
      </c>
      <c r="G4" s="877" t="s">
        <v>10</v>
      </c>
      <c r="I4" s="878" t="s">
        <v>10</v>
      </c>
      <c r="J4" s="370">
        <v>174875</v>
      </c>
      <c r="K4" s="895">
        <v>1484.67</v>
      </c>
    </row>
    <row r="5" spans="1:11">
      <c r="A5" s="885">
        <v>5</v>
      </c>
      <c r="B5" s="885" t="s">
        <v>13</v>
      </c>
      <c r="C5" s="885">
        <v>2090821</v>
      </c>
      <c r="D5" s="888">
        <v>45859</v>
      </c>
      <c r="E5" s="897">
        <v>14.23</v>
      </c>
      <c r="F5" s="885"/>
      <c r="G5" s="885" t="s">
        <v>10</v>
      </c>
      <c r="I5" s="878" t="s">
        <v>10</v>
      </c>
      <c r="J5" s="91">
        <v>174880</v>
      </c>
      <c r="K5" s="910">
        <v>154731.78999999998</v>
      </c>
    </row>
    <row r="6" spans="1:11">
      <c r="A6" s="877">
        <v>6</v>
      </c>
      <c r="B6" s="877" t="s">
        <v>11</v>
      </c>
      <c r="C6" s="877">
        <v>1170470</v>
      </c>
      <c r="D6" s="879">
        <v>45859</v>
      </c>
      <c r="E6" s="896">
        <v>3107.99</v>
      </c>
      <c r="F6" s="877" t="s">
        <v>1458</v>
      </c>
      <c r="G6" s="877" t="s">
        <v>10</v>
      </c>
      <c r="I6" s="878" t="s">
        <v>10</v>
      </c>
      <c r="J6" s="469">
        <v>174888</v>
      </c>
      <c r="K6" s="900">
        <v>451.5</v>
      </c>
    </row>
    <row r="7" spans="1:11">
      <c r="A7" s="877">
        <v>7</v>
      </c>
      <c r="B7" s="877" t="s">
        <v>11</v>
      </c>
      <c r="C7" s="877">
        <v>1170470</v>
      </c>
      <c r="D7" s="879">
        <v>45859</v>
      </c>
      <c r="E7" s="938">
        <v>3841.15</v>
      </c>
      <c r="F7" s="877" t="s">
        <v>1458</v>
      </c>
      <c r="G7" s="877" t="s">
        <v>10</v>
      </c>
      <c r="H7" s="884"/>
      <c r="I7" s="878" t="s">
        <v>10</v>
      </c>
      <c r="J7" s="419" t="s">
        <v>1453</v>
      </c>
      <c r="K7" s="917">
        <v>1721.76</v>
      </c>
    </row>
    <row r="8" spans="1:11">
      <c r="A8" s="877">
        <v>8</v>
      </c>
      <c r="B8" s="877" t="s">
        <v>11</v>
      </c>
      <c r="C8" s="877">
        <v>1170470</v>
      </c>
      <c r="D8" s="879">
        <v>45859</v>
      </c>
      <c r="E8" s="896">
        <v>2987.18</v>
      </c>
      <c r="F8" s="877" t="s">
        <v>1458</v>
      </c>
      <c r="G8" s="877" t="s">
        <v>10</v>
      </c>
      <c r="I8" s="878" t="s">
        <v>10</v>
      </c>
      <c r="J8" s="893" t="s">
        <v>1454</v>
      </c>
      <c r="K8" s="894">
        <v>271.55</v>
      </c>
    </row>
    <row r="9" spans="1:11">
      <c r="A9" s="877">
        <v>9</v>
      </c>
      <c r="B9" s="877" t="s">
        <v>11</v>
      </c>
      <c r="C9" s="877">
        <v>1170470</v>
      </c>
      <c r="D9" s="879">
        <v>45859</v>
      </c>
      <c r="E9" s="896">
        <v>3562.63</v>
      </c>
      <c r="F9" s="877" t="s">
        <v>1458</v>
      </c>
      <c r="G9" s="877" t="s">
        <v>10</v>
      </c>
      <c r="I9" s="878" t="s">
        <v>10</v>
      </c>
      <c r="J9" s="399" t="s">
        <v>1455</v>
      </c>
      <c r="K9" s="918">
        <v>394.07</v>
      </c>
    </row>
    <row r="10" spans="1:11">
      <c r="A10" s="877">
        <v>10</v>
      </c>
      <c r="B10" s="877" t="s">
        <v>11</v>
      </c>
      <c r="C10" s="877">
        <v>1170470</v>
      </c>
      <c r="D10" s="879">
        <v>45859</v>
      </c>
      <c r="E10" s="896">
        <v>2288.9299999999998</v>
      </c>
      <c r="F10" s="877" t="s">
        <v>1458</v>
      </c>
      <c r="G10" s="877" t="s">
        <v>10</v>
      </c>
      <c r="I10" s="878" t="s">
        <v>10</v>
      </c>
      <c r="J10" s="404" t="s">
        <v>1456</v>
      </c>
      <c r="K10" s="919">
        <v>283.81</v>
      </c>
    </row>
    <row r="11" spans="1:11">
      <c r="A11" s="877">
        <v>11</v>
      </c>
      <c r="B11" s="877" t="s">
        <v>11</v>
      </c>
      <c r="C11" s="877">
        <v>1170470</v>
      </c>
      <c r="D11" s="879">
        <v>45859</v>
      </c>
      <c r="E11" s="896">
        <v>5482.82</v>
      </c>
      <c r="F11" s="877" t="s">
        <v>1458</v>
      </c>
      <c r="G11" s="877" t="s">
        <v>10</v>
      </c>
      <c r="K11" s="878"/>
    </row>
    <row r="12" spans="1:11">
      <c r="A12" s="886">
        <v>19</v>
      </c>
      <c r="B12" s="886" t="s">
        <v>11</v>
      </c>
      <c r="C12" s="886">
        <v>1200393</v>
      </c>
      <c r="D12" s="889">
        <v>45859</v>
      </c>
      <c r="E12" s="898">
        <v>4548.9399999999996</v>
      </c>
      <c r="F12" s="886"/>
      <c r="G12" s="886" t="s">
        <v>10</v>
      </c>
    </row>
    <row r="13" spans="1:11">
      <c r="A13" s="886">
        <v>20</v>
      </c>
      <c r="B13" s="886" t="s">
        <v>11</v>
      </c>
      <c r="C13" s="886">
        <v>1040211</v>
      </c>
      <c r="D13" s="889">
        <v>45859</v>
      </c>
      <c r="E13" s="898">
        <v>27668.12</v>
      </c>
      <c r="F13" s="886"/>
      <c r="G13" s="886" t="s">
        <v>10</v>
      </c>
      <c r="J13" s="882"/>
    </row>
    <row r="14" spans="1:11">
      <c r="A14" s="921">
        <v>21</v>
      </c>
      <c r="B14" s="921" t="s">
        <v>11</v>
      </c>
      <c r="C14" s="921">
        <v>1040211</v>
      </c>
      <c r="D14" s="922">
        <v>45859</v>
      </c>
      <c r="E14" s="923">
        <v>201398.29</v>
      </c>
      <c r="F14" s="921"/>
      <c r="G14" s="921" t="s">
        <v>10</v>
      </c>
    </row>
    <row r="15" spans="1:11">
      <c r="A15" s="877">
        <v>23</v>
      </c>
      <c r="B15" s="877" t="s">
        <v>11</v>
      </c>
      <c r="C15" s="877">
        <v>1060345</v>
      </c>
      <c r="D15" s="879">
        <v>45859</v>
      </c>
      <c r="E15" s="896">
        <v>18500000</v>
      </c>
      <c r="F15" s="877" t="s">
        <v>1459</v>
      </c>
      <c r="G15" s="877" t="s">
        <v>10</v>
      </c>
    </row>
    <row r="16" spans="1:11">
      <c r="A16" s="370">
        <v>25</v>
      </c>
      <c r="B16" s="370" t="s">
        <v>11</v>
      </c>
      <c r="C16" s="370">
        <v>1040109</v>
      </c>
      <c r="D16" s="664">
        <v>45859</v>
      </c>
      <c r="E16" s="665">
        <v>26.4</v>
      </c>
      <c r="F16" s="370"/>
      <c r="G16" s="370" t="s">
        <v>10</v>
      </c>
    </row>
    <row r="17" spans="1:8">
      <c r="A17" s="370">
        <v>26</v>
      </c>
      <c r="B17" s="370" t="s">
        <v>11</v>
      </c>
      <c r="C17" s="370">
        <v>1040109</v>
      </c>
      <c r="D17" s="664">
        <v>45859</v>
      </c>
      <c r="E17" s="665">
        <v>340.01</v>
      </c>
      <c r="F17" s="370"/>
      <c r="G17" s="370" t="s">
        <v>10</v>
      </c>
    </row>
    <row r="18" spans="1:8">
      <c r="A18" s="370">
        <v>27</v>
      </c>
      <c r="B18" s="370" t="s">
        <v>11</v>
      </c>
      <c r="C18" s="370">
        <v>1040109</v>
      </c>
      <c r="D18" s="664">
        <v>45859</v>
      </c>
      <c r="E18" s="665">
        <v>296.05</v>
      </c>
      <c r="F18" s="370"/>
      <c r="G18" s="370" t="s">
        <v>10</v>
      </c>
    </row>
    <row r="19" spans="1:8">
      <c r="A19" s="370">
        <v>28</v>
      </c>
      <c r="B19" s="370" t="s">
        <v>11</v>
      </c>
      <c r="C19" s="370">
        <v>1040109</v>
      </c>
      <c r="D19" s="664">
        <v>45859</v>
      </c>
      <c r="E19" s="665">
        <v>206.18</v>
      </c>
      <c r="F19" s="370"/>
      <c r="G19" s="370" t="s">
        <v>10</v>
      </c>
    </row>
    <row r="20" spans="1:8">
      <c r="A20" s="877">
        <v>29</v>
      </c>
      <c r="B20" s="877" t="s">
        <v>11</v>
      </c>
      <c r="C20" s="877">
        <v>1040109</v>
      </c>
      <c r="D20" s="879">
        <v>45859</v>
      </c>
      <c r="E20" s="896">
        <v>1520.78</v>
      </c>
      <c r="G20" s="877" t="s">
        <v>9</v>
      </c>
      <c r="H20" s="920" t="s">
        <v>1411</v>
      </c>
    </row>
    <row r="21" spans="1:8">
      <c r="A21" s="370">
        <v>33</v>
      </c>
      <c r="B21" s="370" t="s">
        <v>11</v>
      </c>
      <c r="C21" s="370">
        <v>1040361</v>
      </c>
      <c r="D21" s="664">
        <v>45859</v>
      </c>
      <c r="E21" s="665">
        <v>428.94</v>
      </c>
      <c r="F21" s="370"/>
      <c r="G21" s="370" t="s">
        <v>10</v>
      </c>
    </row>
    <row r="22" spans="1:8">
      <c r="A22" s="370">
        <v>34</v>
      </c>
      <c r="B22" s="370" t="s">
        <v>11</v>
      </c>
      <c r="C22" s="370">
        <v>1040361</v>
      </c>
      <c r="D22" s="664">
        <v>45859</v>
      </c>
      <c r="E22" s="665">
        <v>56.38</v>
      </c>
      <c r="F22" s="370"/>
      <c r="G22" s="370" t="s">
        <v>10</v>
      </c>
    </row>
    <row r="23" spans="1:8">
      <c r="A23" s="370">
        <v>35</v>
      </c>
      <c r="B23" s="370" t="s">
        <v>11</v>
      </c>
      <c r="C23" s="370">
        <v>1040361</v>
      </c>
      <c r="D23" s="664">
        <v>45859</v>
      </c>
      <c r="E23" s="665">
        <v>57.07</v>
      </c>
      <c r="F23" s="370"/>
      <c r="G23" s="370" t="s">
        <v>10</v>
      </c>
    </row>
    <row r="24" spans="1:8" s="248" customFormat="1">
      <c r="A24" s="370">
        <v>37</v>
      </c>
      <c r="B24" s="370" t="s">
        <v>11</v>
      </c>
      <c r="C24" s="370">
        <v>1040361</v>
      </c>
      <c r="D24" s="664">
        <v>45859</v>
      </c>
      <c r="E24" s="665">
        <v>73.64</v>
      </c>
      <c r="F24" s="370"/>
      <c r="G24" s="370" t="s">
        <v>10</v>
      </c>
      <c r="H24" s="222"/>
    </row>
    <row r="25" spans="1:8" s="248" customFormat="1">
      <c r="A25" s="252">
        <v>38</v>
      </c>
      <c r="B25" s="252" t="s">
        <v>11</v>
      </c>
      <c r="C25" s="252">
        <v>1040375</v>
      </c>
      <c r="D25" s="253">
        <v>45859</v>
      </c>
      <c r="E25" s="225">
        <v>5103.33</v>
      </c>
      <c r="F25" s="252"/>
      <c r="G25" s="252" t="s">
        <v>9</v>
      </c>
      <c r="H25" s="920" t="s">
        <v>1366</v>
      </c>
    </row>
    <row r="26" spans="1:8" s="248" customFormat="1">
      <c r="A26" s="252">
        <v>39</v>
      </c>
      <c r="B26" s="252" t="s">
        <v>11</v>
      </c>
      <c r="C26" s="252">
        <v>1040375</v>
      </c>
      <c r="D26" s="253">
        <v>45859</v>
      </c>
      <c r="E26" s="225">
        <v>728088.52</v>
      </c>
      <c r="F26" s="252"/>
      <c r="G26" s="252" t="s">
        <v>9</v>
      </c>
      <c r="H26" s="920" t="s">
        <v>1366</v>
      </c>
    </row>
    <row r="27" spans="1:8" s="248" customFormat="1">
      <c r="A27" s="252">
        <v>40</v>
      </c>
      <c r="B27" s="252" t="s">
        <v>11</v>
      </c>
      <c r="C27" s="252">
        <v>1040375</v>
      </c>
      <c r="D27" s="253">
        <v>45859</v>
      </c>
      <c r="E27" s="225">
        <v>977.41</v>
      </c>
      <c r="F27" s="252"/>
      <c r="G27" s="252" t="s">
        <v>9</v>
      </c>
      <c r="H27" s="920" t="s">
        <v>1366</v>
      </c>
    </row>
    <row r="28" spans="1:8" s="248" customFormat="1">
      <c r="A28" s="906">
        <v>41</v>
      </c>
      <c r="B28" s="906" t="s">
        <v>11</v>
      </c>
      <c r="C28" s="906">
        <v>1040375</v>
      </c>
      <c r="D28" s="907">
        <v>45859</v>
      </c>
      <c r="E28" s="904">
        <v>64960.11</v>
      </c>
      <c r="F28" s="906"/>
      <c r="G28" s="906" t="s">
        <v>10</v>
      </c>
      <c r="H28" s="222"/>
    </row>
    <row r="29" spans="1:8" s="248" customFormat="1">
      <c r="A29" s="906">
        <v>48</v>
      </c>
      <c r="B29" s="906" t="s">
        <v>11</v>
      </c>
      <c r="C29" s="906">
        <v>1040375</v>
      </c>
      <c r="D29" s="907">
        <v>45859</v>
      </c>
      <c r="E29" s="904">
        <v>16730.93</v>
      </c>
      <c r="F29" s="906"/>
      <c r="G29" s="906" t="s">
        <v>10</v>
      </c>
      <c r="H29" s="222"/>
    </row>
    <row r="30" spans="1:8">
      <c r="A30" s="908">
        <v>49</v>
      </c>
      <c r="B30" s="908" t="s">
        <v>11</v>
      </c>
      <c r="C30" s="908">
        <v>1040375</v>
      </c>
      <c r="D30" s="909">
        <v>45859</v>
      </c>
      <c r="E30" s="905">
        <v>3347.75</v>
      </c>
      <c r="F30" s="908"/>
      <c r="G30" s="908" t="s">
        <v>10</v>
      </c>
    </row>
    <row r="31" spans="1:8">
      <c r="A31" s="908">
        <v>50</v>
      </c>
      <c r="B31" s="908" t="s">
        <v>11</v>
      </c>
      <c r="C31" s="908">
        <v>1040375</v>
      </c>
      <c r="D31" s="909">
        <v>45859</v>
      </c>
      <c r="E31" s="905">
        <v>69693</v>
      </c>
      <c r="F31" s="908"/>
      <c r="G31" s="908" t="s">
        <v>10</v>
      </c>
    </row>
    <row r="32" spans="1:8" s="248" customFormat="1">
      <c r="A32" s="901">
        <v>53</v>
      </c>
      <c r="B32" s="901" t="s">
        <v>11</v>
      </c>
      <c r="C32" s="901">
        <v>1040375</v>
      </c>
      <c r="D32" s="902">
        <v>45859</v>
      </c>
      <c r="E32" s="903">
        <v>442.1</v>
      </c>
      <c r="F32" s="901"/>
      <c r="G32" s="901" t="s">
        <v>10</v>
      </c>
      <c r="H32" s="222"/>
    </row>
    <row r="33" spans="1:10" s="248" customFormat="1">
      <c r="A33" s="901">
        <v>54</v>
      </c>
      <c r="B33" s="901" t="s">
        <v>11</v>
      </c>
      <c r="C33" s="901">
        <v>1040375</v>
      </c>
      <c r="D33" s="902">
        <v>45859</v>
      </c>
      <c r="E33" s="903">
        <v>9.4</v>
      </c>
      <c r="F33" s="901"/>
      <c r="G33" s="901" t="s">
        <v>10</v>
      </c>
      <c r="H33" s="222"/>
    </row>
    <row r="34" spans="1:10">
      <c r="A34" s="887">
        <v>55</v>
      </c>
      <c r="B34" s="887" t="s">
        <v>11</v>
      </c>
      <c r="C34" s="887">
        <v>1040375</v>
      </c>
      <c r="D34" s="890">
        <v>45859</v>
      </c>
      <c r="E34" s="899">
        <v>10.81</v>
      </c>
      <c r="F34" s="887"/>
      <c r="G34" s="887" t="s">
        <v>10</v>
      </c>
    </row>
    <row r="35" spans="1:10">
      <c r="A35" s="887">
        <v>56</v>
      </c>
      <c r="B35" s="887" t="s">
        <v>11</v>
      </c>
      <c r="C35" s="887">
        <v>1040375</v>
      </c>
      <c r="D35" s="890">
        <v>45859</v>
      </c>
      <c r="E35" s="899">
        <v>260.74</v>
      </c>
      <c r="F35" s="887"/>
      <c r="G35" s="887" t="s">
        <v>10</v>
      </c>
    </row>
    <row r="36" spans="1:10" s="248" customFormat="1">
      <c r="A36" s="913">
        <v>57</v>
      </c>
      <c r="B36" s="913" t="s">
        <v>11</v>
      </c>
      <c r="C36" s="913">
        <v>1040375</v>
      </c>
      <c r="D36" s="914">
        <v>45859</v>
      </c>
      <c r="E36" s="911">
        <v>1446.77</v>
      </c>
      <c r="F36" s="913"/>
      <c r="G36" s="913" t="s">
        <v>10</v>
      </c>
      <c r="H36" s="222"/>
    </row>
    <row r="37" spans="1:10" s="248" customFormat="1">
      <c r="A37" s="913">
        <v>58</v>
      </c>
      <c r="B37" s="913" t="s">
        <v>11</v>
      </c>
      <c r="C37" s="913">
        <v>1040375</v>
      </c>
      <c r="D37" s="914">
        <v>45859</v>
      </c>
      <c r="E37" s="911">
        <v>18.329999999999998</v>
      </c>
      <c r="F37" s="913"/>
      <c r="G37" s="913" t="s">
        <v>10</v>
      </c>
      <c r="H37" s="222"/>
    </row>
    <row r="38" spans="1:10">
      <c r="A38" s="915">
        <v>59</v>
      </c>
      <c r="B38" s="915" t="s">
        <v>11</v>
      </c>
      <c r="C38" s="915">
        <v>1040375</v>
      </c>
      <c r="D38" s="916">
        <v>45859</v>
      </c>
      <c r="E38" s="912">
        <v>68.89</v>
      </c>
      <c r="F38" s="915"/>
      <c r="G38" s="915" t="s">
        <v>10</v>
      </c>
    </row>
    <row r="39" spans="1:10">
      <c r="A39" s="915">
        <v>60</v>
      </c>
      <c r="B39" s="915" t="s">
        <v>11</v>
      </c>
      <c r="C39" s="915">
        <v>1040375</v>
      </c>
      <c r="D39" s="916">
        <v>45859</v>
      </c>
      <c r="E39" s="912">
        <v>94.22</v>
      </c>
      <c r="F39" s="915"/>
      <c r="G39" s="915" t="s">
        <v>10</v>
      </c>
    </row>
    <row r="40" spans="1:10">
      <c r="A40" s="915">
        <v>61</v>
      </c>
      <c r="B40" s="915" t="s">
        <v>11</v>
      </c>
      <c r="C40" s="915">
        <v>1040375</v>
      </c>
      <c r="D40" s="916">
        <v>45859</v>
      </c>
      <c r="E40" s="912">
        <v>93.55</v>
      </c>
      <c r="F40" s="915"/>
      <c r="G40" s="915" t="s">
        <v>10</v>
      </c>
      <c r="J40" s="881"/>
    </row>
    <row r="41" spans="1:10" s="248" customFormat="1">
      <c r="A41" s="399">
        <v>66</v>
      </c>
      <c r="B41" s="399" t="s">
        <v>11</v>
      </c>
      <c r="C41" s="399">
        <v>1040375</v>
      </c>
      <c r="D41" s="400">
        <v>45859</v>
      </c>
      <c r="E41" s="401">
        <v>369.67</v>
      </c>
      <c r="F41" s="399"/>
      <c r="G41" s="399" t="s">
        <v>10</v>
      </c>
      <c r="H41" s="222"/>
    </row>
    <row r="42" spans="1:10" s="248" customFormat="1">
      <c r="A42" s="399">
        <v>67</v>
      </c>
      <c r="B42" s="399" t="s">
        <v>11</v>
      </c>
      <c r="C42" s="399">
        <v>1040375</v>
      </c>
      <c r="D42" s="400">
        <v>45859</v>
      </c>
      <c r="E42" s="401">
        <v>24.4</v>
      </c>
      <c r="F42" s="399"/>
      <c r="G42" s="399" t="s">
        <v>10</v>
      </c>
      <c r="H42" s="222"/>
    </row>
    <row r="43" spans="1:10" s="248" customFormat="1">
      <c r="A43" s="404">
        <v>72</v>
      </c>
      <c r="B43" s="404" t="s">
        <v>11</v>
      </c>
      <c r="C43" s="404">
        <v>1040375</v>
      </c>
      <c r="D43" s="405">
        <v>45859</v>
      </c>
      <c r="E43" s="406">
        <v>265.48</v>
      </c>
      <c r="F43" s="404"/>
      <c r="G43" s="404" t="s">
        <v>10</v>
      </c>
      <c r="H43" s="222"/>
    </row>
    <row r="44" spans="1:10" s="248" customFormat="1">
      <c r="A44" s="404">
        <v>73</v>
      </c>
      <c r="B44" s="404" t="s">
        <v>11</v>
      </c>
      <c r="C44" s="404">
        <v>1040375</v>
      </c>
      <c r="D44" s="405">
        <v>45859</v>
      </c>
      <c r="E44" s="406">
        <v>18.329999999999998</v>
      </c>
      <c r="F44" s="404"/>
      <c r="G44" s="404" t="s">
        <v>10</v>
      </c>
      <c r="H44" s="222"/>
    </row>
    <row r="45" spans="1:10" s="248" customFormat="1">
      <c r="A45" s="252">
        <v>76</v>
      </c>
      <c r="B45" s="252" t="s">
        <v>12</v>
      </c>
      <c r="C45" s="252">
        <v>1040500</v>
      </c>
      <c r="D45" s="253">
        <v>45859</v>
      </c>
      <c r="E45" s="225">
        <v>1193506.3400000001</v>
      </c>
      <c r="F45" s="104" t="s">
        <v>1460</v>
      </c>
      <c r="G45" s="104" t="s">
        <v>10</v>
      </c>
      <c r="H45" s="104" t="s">
        <v>906</v>
      </c>
    </row>
    <row r="46" spans="1:10" s="248" customFormat="1">
      <c r="A46" s="252"/>
      <c r="B46" s="252"/>
      <c r="C46" s="252"/>
      <c r="D46" s="252"/>
      <c r="E46" s="225"/>
      <c r="F46" s="252"/>
      <c r="G46" s="252"/>
      <c r="H46" s="222"/>
    </row>
    <row r="47" spans="1:10" s="248" customFormat="1">
      <c r="A47" s="252"/>
      <c r="B47" s="252"/>
      <c r="C47" s="252"/>
      <c r="D47" s="252"/>
      <c r="E47" s="225"/>
      <c r="F47" s="252"/>
      <c r="G47" s="252"/>
      <c r="H47" s="222"/>
    </row>
    <row r="48" spans="1:10" s="248" customFormat="1">
      <c r="A48" s="252"/>
      <c r="B48" s="252"/>
      <c r="C48" s="252"/>
      <c r="D48" s="252"/>
      <c r="E48" s="225"/>
      <c r="F48" s="252"/>
      <c r="G48" s="252"/>
      <c r="H48" s="222"/>
    </row>
    <row r="56" spans="1:8" s="248" customFormat="1">
      <c r="A56" s="252"/>
      <c r="B56" s="252"/>
      <c r="C56" s="252"/>
      <c r="D56" s="252"/>
      <c r="E56" s="225"/>
      <c r="F56" s="252"/>
      <c r="G56" s="252"/>
      <c r="H56" s="222"/>
    </row>
    <row r="75" spans="1:8" s="248" customFormat="1">
      <c r="A75"/>
      <c r="B75"/>
      <c r="C75"/>
      <c r="D75"/>
      <c r="E75"/>
      <c r="F75"/>
      <c r="G75" s="252"/>
      <c r="H75" s="222"/>
    </row>
    <row r="76" spans="1:8" s="248" customFormat="1">
      <c r="A76"/>
      <c r="B76"/>
      <c r="C76"/>
      <c r="D76"/>
      <c r="E76"/>
      <c r="F76"/>
      <c r="G76" s="252"/>
      <c r="H76" s="222"/>
    </row>
    <row r="77" spans="1:8" s="248" customFormat="1">
      <c r="A77"/>
      <c r="B77"/>
      <c r="C77"/>
      <c r="D77"/>
      <c r="E77"/>
      <c r="F77"/>
      <c r="G77" s="252"/>
      <c r="H77" s="222"/>
    </row>
    <row r="78" spans="1:8" s="248" customFormat="1">
      <c r="A78"/>
      <c r="B78"/>
      <c r="C78"/>
      <c r="D78"/>
      <c r="E78"/>
      <c r="F78"/>
      <c r="G78" s="252"/>
      <c r="H78" s="222"/>
    </row>
    <row r="79" spans="1:8">
      <c r="A79"/>
      <c r="B79"/>
      <c r="C79"/>
      <c r="D79"/>
      <c r="E79"/>
      <c r="F79"/>
    </row>
    <row r="80" spans="1:8">
      <c r="A80"/>
      <c r="B80"/>
      <c r="C80"/>
      <c r="D80"/>
      <c r="E80"/>
      <c r="F80"/>
    </row>
    <row r="81" spans="1:8">
      <c r="A81"/>
      <c r="B81"/>
      <c r="C81"/>
      <c r="D81"/>
      <c r="E81"/>
      <c r="F81"/>
    </row>
    <row r="87" spans="1:8" s="248" customFormat="1">
      <c r="A87"/>
      <c r="B87"/>
      <c r="C87"/>
      <c r="D87"/>
      <c r="E87"/>
      <c r="F87" s="252"/>
      <c r="G87" s="252"/>
      <c r="H87" s="222"/>
    </row>
    <row r="88" spans="1:8" s="248" customFormat="1">
      <c r="A88"/>
      <c r="B88"/>
      <c r="C88"/>
      <c r="D88"/>
      <c r="E88"/>
      <c r="F88" s="252"/>
      <c r="G88" s="252"/>
      <c r="H88" s="222"/>
    </row>
    <row r="89" spans="1:8">
      <c r="A89"/>
      <c r="B89"/>
      <c r="C89"/>
      <c r="D89"/>
      <c r="E89"/>
    </row>
    <row r="90" spans="1:8" s="248" customFormat="1">
      <c r="A90"/>
      <c r="B90"/>
      <c r="C90"/>
      <c r="D90"/>
      <c r="E90"/>
      <c r="F90" s="252"/>
      <c r="G90" s="252"/>
      <c r="H90" s="222"/>
    </row>
    <row r="91" spans="1:8" s="248" customFormat="1">
      <c r="A91"/>
      <c r="B91"/>
      <c r="C91"/>
      <c r="D91"/>
      <c r="E91"/>
      <c r="F91" s="252"/>
      <c r="G91" s="252"/>
      <c r="H91" s="222"/>
    </row>
    <row r="92" spans="1:8" s="248" customFormat="1">
      <c r="A92"/>
      <c r="B92"/>
      <c r="C92"/>
      <c r="D92"/>
      <c r="E92"/>
      <c r="F92" s="252"/>
      <c r="G92" s="252"/>
      <c r="H92" s="222"/>
    </row>
    <row r="93" spans="1:8" s="248" customFormat="1">
      <c r="A93"/>
      <c r="B93"/>
      <c r="C93"/>
      <c r="D93"/>
      <c r="E93"/>
      <c r="F93" s="252"/>
      <c r="G93" s="252"/>
      <c r="H93" s="222"/>
    </row>
    <row r="94" spans="1:8" s="248" customFormat="1">
      <c r="A94"/>
      <c r="B94"/>
      <c r="C94"/>
      <c r="D94"/>
      <c r="E94"/>
      <c r="F94" s="252"/>
      <c r="G94" s="252"/>
      <c r="H94" s="222"/>
    </row>
    <row r="95" spans="1:8" s="248" customFormat="1">
      <c r="A95"/>
      <c r="B95"/>
      <c r="C95"/>
      <c r="D95"/>
      <c r="E95"/>
      <c r="F95" s="252"/>
      <c r="G95" s="252"/>
      <c r="H95" s="222"/>
    </row>
    <row r="96" spans="1:8" s="248" customFormat="1">
      <c r="A96"/>
      <c r="B96"/>
      <c r="C96"/>
      <c r="D96"/>
      <c r="E96"/>
      <c r="F96" s="252"/>
      <c r="G96" s="252"/>
      <c r="H96" s="222"/>
    </row>
    <row r="97" spans="1:8" s="248" customFormat="1">
      <c r="A97"/>
      <c r="B97"/>
      <c r="C97"/>
      <c r="D97"/>
      <c r="E97"/>
      <c r="F97" s="252"/>
      <c r="G97" s="252"/>
      <c r="H97" s="222"/>
    </row>
    <row r="98" spans="1:8" s="248" customFormat="1">
      <c r="A98"/>
      <c r="B98"/>
      <c r="C98"/>
      <c r="D98"/>
      <c r="E98"/>
      <c r="F98" s="252"/>
      <c r="G98" s="252"/>
      <c r="H98" s="222"/>
    </row>
    <row r="99" spans="1:8" s="248" customFormat="1">
      <c r="A99"/>
      <c r="B99"/>
      <c r="C99"/>
      <c r="D99"/>
      <c r="E99"/>
      <c r="F99" s="252"/>
      <c r="G99" s="252"/>
      <c r="H99" s="222"/>
    </row>
    <row r="100" spans="1:8" s="248" customFormat="1">
      <c r="A100"/>
      <c r="B100"/>
      <c r="C100"/>
      <c r="D100"/>
      <c r="E100"/>
      <c r="F100" s="252"/>
      <c r="G100" s="252"/>
      <c r="H100" s="222"/>
    </row>
    <row r="101" spans="1:8" s="248" customFormat="1">
      <c r="A101"/>
      <c r="B101"/>
      <c r="C101"/>
      <c r="D101"/>
      <c r="E101"/>
      <c r="F101" s="252"/>
      <c r="G101" s="252"/>
      <c r="H101" s="222"/>
    </row>
    <row r="102" spans="1:8" s="248" customFormat="1">
      <c r="A102"/>
      <c r="B102"/>
      <c r="C102"/>
      <c r="D102"/>
      <c r="E102"/>
      <c r="F102" s="252"/>
      <c r="G102" s="252"/>
      <c r="H102" s="222"/>
    </row>
    <row r="103" spans="1:8" s="248" customFormat="1">
      <c r="A103"/>
      <c r="B103"/>
      <c r="C103"/>
      <c r="D103"/>
      <c r="E103"/>
      <c r="F103" s="252"/>
      <c r="G103" s="252"/>
      <c r="H103" s="222"/>
    </row>
    <row r="104" spans="1:8" s="248" customFormat="1">
      <c r="A104"/>
      <c r="B104"/>
      <c r="C104"/>
      <c r="D104"/>
      <c r="E104"/>
      <c r="F104" s="252"/>
      <c r="G104" s="252"/>
      <c r="H104" s="222"/>
    </row>
    <row r="105" spans="1:8" s="248" customFormat="1">
      <c r="A105"/>
      <c r="B105"/>
      <c r="C105"/>
      <c r="D105"/>
      <c r="E105"/>
      <c r="F105" s="252"/>
      <c r="G105" s="252"/>
      <c r="H105" s="222"/>
    </row>
    <row r="106" spans="1:8">
      <c r="A106"/>
      <c r="B106"/>
      <c r="C106"/>
      <c r="D106"/>
      <c r="E106"/>
    </row>
    <row r="107" spans="1:8">
      <c r="A107"/>
      <c r="B107"/>
      <c r="C107"/>
      <c r="D107"/>
      <c r="E107"/>
    </row>
    <row r="108" spans="1:8">
      <c r="A108"/>
      <c r="B108"/>
      <c r="C108"/>
      <c r="D108"/>
      <c r="E108"/>
    </row>
    <row r="109" spans="1:8">
      <c r="A109"/>
      <c r="B109"/>
      <c r="C109"/>
      <c r="D109"/>
      <c r="E109"/>
    </row>
    <row r="110" spans="1:8">
      <c r="A110"/>
      <c r="B110"/>
      <c r="C110"/>
      <c r="D110"/>
      <c r="E110"/>
    </row>
    <row r="111" spans="1:8">
      <c r="A111"/>
      <c r="B111"/>
      <c r="C111"/>
      <c r="D111"/>
      <c r="E111"/>
    </row>
  </sheetData>
  <autoFilter ref="A1:J105" xr:uid="{632CEBE8-F429-49D8-A7F0-05D3D70A67CF}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1305B-6D40-4C01-95B8-CD89EE7E4815}">
  <sheetPr>
    <tabColor rgb="FFFFFF00"/>
  </sheetPr>
  <dimension ref="A1:K82"/>
  <sheetViews>
    <sheetView showGridLines="0" topLeftCell="A48" zoomScaleNormal="100" workbookViewId="0">
      <selection activeCellId="1" sqref="I8 A1:XFD1048576"/>
    </sheetView>
  </sheetViews>
  <sheetFormatPr defaultColWidth="8.8984375" defaultRowHeight="13.8"/>
  <cols>
    <col min="1" max="1" width="5.59765625" bestFit="1" customWidth="1"/>
    <col min="2" max="2" width="16.69921875" bestFit="1" customWidth="1"/>
    <col min="3" max="3" width="7.8984375" bestFit="1" customWidth="1"/>
    <col min="4" max="4" width="7.59765625" bestFit="1" customWidth="1"/>
    <col min="5" max="5" width="16.59765625" style="212" bestFit="1" customWidth="1"/>
    <col min="6" max="6" width="10.5" bestFit="1" customWidth="1"/>
    <col min="7" max="7" width="27.09765625" bestFit="1" customWidth="1"/>
    <col min="10" max="10" width="9.5" bestFit="1" customWidth="1"/>
    <col min="11" max="11" width="13.09765625" style="8" bestFit="1" customWidth="1"/>
  </cols>
  <sheetData>
    <row r="1" spans="1:11" ht="14.4" thickBot="1">
      <c r="A1" s="369" t="s">
        <v>0</v>
      </c>
      <c r="B1" s="369" t="s">
        <v>1</v>
      </c>
      <c r="C1" s="369" t="s">
        <v>2</v>
      </c>
      <c r="D1" s="369" t="s">
        <v>1322</v>
      </c>
      <c r="E1" s="371" t="s">
        <v>1323</v>
      </c>
      <c r="F1" s="370" t="s">
        <v>3</v>
      </c>
      <c r="G1" s="369" t="s">
        <v>4</v>
      </c>
      <c r="I1" s="57"/>
      <c r="J1" s="370" t="s">
        <v>5</v>
      </c>
      <c r="K1" s="372" t="s">
        <v>1324</v>
      </c>
    </row>
    <row r="2" spans="1:11" ht="14.4" thickTop="1">
      <c r="A2" s="6">
        <v>1</v>
      </c>
      <c r="B2" s="6" t="s">
        <v>7</v>
      </c>
      <c r="C2" s="6">
        <v>2130870</v>
      </c>
      <c r="D2" s="451">
        <v>45860</v>
      </c>
      <c r="E2" s="212">
        <v>2689.67</v>
      </c>
      <c r="G2" s="208" t="s">
        <v>9</v>
      </c>
      <c r="J2" s="946">
        <v>174911</v>
      </c>
      <c r="K2" s="36">
        <v>69011.210000000006</v>
      </c>
    </row>
    <row r="3" spans="1:11">
      <c r="A3" s="6">
        <v>2</v>
      </c>
      <c r="B3" s="6" t="s">
        <v>7</v>
      </c>
      <c r="C3" s="6">
        <v>2130870</v>
      </c>
      <c r="D3" s="451">
        <v>45860</v>
      </c>
      <c r="E3" s="212">
        <v>1964</v>
      </c>
      <c r="G3" s="208" t="s">
        <v>9</v>
      </c>
      <c r="J3" s="338">
        <v>174912</v>
      </c>
      <c r="K3" s="339">
        <v>43045.790000000008</v>
      </c>
    </row>
    <row r="4" spans="1:11">
      <c r="A4" s="6">
        <v>3</v>
      </c>
      <c r="B4" s="6" t="s">
        <v>7</v>
      </c>
      <c r="C4" s="6">
        <v>2130870</v>
      </c>
      <c r="D4" s="451">
        <v>45860</v>
      </c>
      <c r="E4" s="212">
        <v>10482302.859999999</v>
      </c>
      <c r="F4" t="s">
        <v>32</v>
      </c>
      <c r="G4" t="s">
        <v>9</v>
      </c>
      <c r="J4" s="328">
        <v>174913</v>
      </c>
      <c r="K4" s="329">
        <v>2270.6</v>
      </c>
    </row>
    <row r="5" spans="1:11">
      <c r="A5" s="6">
        <v>4</v>
      </c>
      <c r="B5" s="6" t="s">
        <v>7</v>
      </c>
      <c r="C5" s="6">
        <v>2130870</v>
      </c>
      <c r="D5" s="451">
        <v>45860</v>
      </c>
      <c r="E5" s="212">
        <v>2221.83</v>
      </c>
      <c r="F5" t="s">
        <v>1328</v>
      </c>
      <c r="G5" t="s">
        <v>9</v>
      </c>
      <c r="J5" s="114">
        <v>174942</v>
      </c>
      <c r="K5" s="22">
        <v>2346.66</v>
      </c>
    </row>
    <row r="6" spans="1:11">
      <c r="A6" s="57">
        <v>5</v>
      </c>
      <c r="B6" s="57" t="s">
        <v>13</v>
      </c>
      <c r="C6" s="57">
        <v>2050752</v>
      </c>
      <c r="D6" s="451">
        <v>45860</v>
      </c>
      <c r="E6" s="212">
        <v>7700129.2599999998</v>
      </c>
      <c r="F6" t="s">
        <v>1467</v>
      </c>
      <c r="G6" s="208" t="s">
        <v>9</v>
      </c>
      <c r="J6" s="965" t="s">
        <v>1462</v>
      </c>
      <c r="K6" s="966">
        <v>275.88</v>
      </c>
    </row>
    <row r="7" spans="1:11" ht="14.4" thickBot="1">
      <c r="A7" s="86">
        <v>6</v>
      </c>
      <c r="B7" s="86" t="s">
        <v>7</v>
      </c>
      <c r="C7" s="86">
        <v>2140632</v>
      </c>
      <c r="D7" s="939">
        <v>45860</v>
      </c>
      <c r="E7" s="940">
        <v>7003.16</v>
      </c>
      <c r="F7" s="15"/>
      <c r="G7" s="941" t="s">
        <v>9</v>
      </c>
      <c r="J7" s="971" t="s">
        <v>1463</v>
      </c>
      <c r="K7" s="972">
        <v>851.95</v>
      </c>
    </row>
    <row r="8" spans="1:11">
      <c r="A8" s="57">
        <v>7</v>
      </c>
      <c r="B8" s="57" t="s">
        <v>11</v>
      </c>
      <c r="C8" s="57">
        <v>1170470</v>
      </c>
      <c r="D8" s="209">
        <v>45860</v>
      </c>
      <c r="E8" s="212">
        <v>80343.789999999994</v>
      </c>
      <c r="F8" t="s">
        <v>1468</v>
      </c>
      <c r="G8" t="s">
        <v>9</v>
      </c>
      <c r="J8" s="343" t="s">
        <v>1464</v>
      </c>
      <c r="K8" s="98">
        <v>212.87</v>
      </c>
    </row>
    <row r="9" spans="1:11">
      <c r="A9" s="57">
        <v>8</v>
      </c>
      <c r="B9" s="57" t="s">
        <v>11</v>
      </c>
      <c r="C9" s="57">
        <v>1170470</v>
      </c>
      <c r="D9" s="209">
        <v>45860</v>
      </c>
      <c r="E9" s="212">
        <v>939.7</v>
      </c>
      <c r="F9" t="s">
        <v>1469</v>
      </c>
      <c r="G9" t="s">
        <v>9</v>
      </c>
      <c r="J9" s="958" t="s">
        <v>1465</v>
      </c>
      <c r="K9" s="959">
        <v>3326.61</v>
      </c>
    </row>
    <row r="10" spans="1:11">
      <c r="A10" s="57">
        <v>9</v>
      </c>
      <c r="B10" s="57" t="s">
        <v>11</v>
      </c>
      <c r="C10" s="57">
        <v>1170470</v>
      </c>
      <c r="D10" s="209">
        <v>45860</v>
      </c>
      <c r="E10" s="212">
        <v>1778.29</v>
      </c>
      <c r="F10" t="s">
        <v>1365</v>
      </c>
      <c r="G10" t="s">
        <v>9</v>
      </c>
      <c r="J10" s="962" t="s">
        <v>1466</v>
      </c>
      <c r="K10" s="53">
        <v>880.75</v>
      </c>
    </row>
    <row r="11" spans="1:11">
      <c r="A11" s="57">
        <v>10</v>
      </c>
      <c r="B11" s="57" t="s">
        <v>11</v>
      </c>
      <c r="C11" s="57">
        <v>1170470</v>
      </c>
      <c r="D11" s="209">
        <v>45860</v>
      </c>
      <c r="E11" s="212">
        <v>1036.67</v>
      </c>
      <c r="F11" t="s">
        <v>1365</v>
      </c>
      <c r="G11" t="s">
        <v>9</v>
      </c>
    </row>
    <row r="12" spans="1:11">
      <c r="A12" s="57">
        <v>11</v>
      </c>
      <c r="B12" s="57" t="s">
        <v>11</v>
      </c>
      <c r="C12" s="57">
        <v>1170470</v>
      </c>
      <c r="D12" s="209">
        <v>45860</v>
      </c>
      <c r="E12" s="212">
        <v>1994.01</v>
      </c>
      <c r="F12" t="s">
        <v>1365</v>
      </c>
      <c r="G12" t="s">
        <v>9</v>
      </c>
    </row>
    <row r="13" spans="1:11">
      <c r="A13" s="57">
        <v>12</v>
      </c>
      <c r="B13" s="57" t="s">
        <v>11</v>
      </c>
      <c r="C13" s="57">
        <v>1170470</v>
      </c>
      <c r="D13" s="209">
        <v>45860</v>
      </c>
      <c r="E13" s="212">
        <v>815.73</v>
      </c>
      <c r="F13" t="s">
        <v>1365</v>
      </c>
      <c r="G13" t="s">
        <v>9</v>
      </c>
    </row>
    <row r="14" spans="1:11">
      <c r="A14" s="57">
        <v>13</v>
      </c>
      <c r="B14" s="57" t="s">
        <v>11</v>
      </c>
      <c r="C14" s="57">
        <v>1170470</v>
      </c>
      <c r="D14" s="209">
        <v>45860</v>
      </c>
      <c r="E14" s="212">
        <v>552.29</v>
      </c>
      <c r="F14" t="s">
        <v>1365</v>
      </c>
      <c r="G14" t="s">
        <v>9</v>
      </c>
    </row>
    <row r="15" spans="1:11">
      <c r="A15" s="57">
        <v>14</v>
      </c>
      <c r="B15" s="57" t="s">
        <v>11</v>
      </c>
      <c r="C15" s="57">
        <v>1170470</v>
      </c>
      <c r="D15" s="209">
        <v>45860</v>
      </c>
      <c r="E15" s="212">
        <v>1229.54</v>
      </c>
      <c r="F15" t="s">
        <v>1365</v>
      </c>
      <c r="G15" t="s">
        <v>9</v>
      </c>
    </row>
    <row r="16" spans="1:11">
      <c r="A16" s="57">
        <v>15</v>
      </c>
      <c r="B16" s="57" t="s">
        <v>11</v>
      </c>
      <c r="C16" s="57">
        <v>1170470</v>
      </c>
      <c r="D16" s="209">
        <v>45860</v>
      </c>
      <c r="E16" s="212">
        <v>897.84</v>
      </c>
      <c r="F16" t="s">
        <v>1365</v>
      </c>
      <c r="G16" t="s">
        <v>9</v>
      </c>
    </row>
    <row r="17" spans="1:7">
      <c r="A17" s="57">
        <v>16</v>
      </c>
      <c r="B17" s="57" t="s">
        <v>11</v>
      </c>
      <c r="C17" s="57">
        <v>1170470</v>
      </c>
      <c r="D17" s="209">
        <v>45860</v>
      </c>
      <c r="E17" s="212">
        <v>595.01</v>
      </c>
      <c r="F17" t="s">
        <v>1365</v>
      </c>
      <c r="G17" t="s">
        <v>9</v>
      </c>
    </row>
    <row r="18" spans="1:7">
      <c r="A18" s="57">
        <v>17</v>
      </c>
      <c r="B18" s="57" t="s">
        <v>11</v>
      </c>
      <c r="C18" s="57">
        <v>1170470</v>
      </c>
      <c r="D18" s="209">
        <v>45860</v>
      </c>
      <c r="E18" s="212">
        <v>1456.58</v>
      </c>
      <c r="F18" t="s">
        <v>1365</v>
      </c>
      <c r="G18" t="s">
        <v>9</v>
      </c>
    </row>
    <row r="19" spans="1:7">
      <c r="A19" s="57">
        <v>18</v>
      </c>
      <c r="B19" s="57" t="s">
        <v>11</v>
      </c>
      <c r="C19" s="57">
        <v>1170470</v>
      </c>
      <c r="D19" s="209">
        <v>45860</v>
      </c>
      <c r="E19" s="212">
        <v>710.36</v>
      </c>
      <c r="F19" t="s">
        <v>1365</v>
      </c>
      <c r="G19" t="s">
        <v>9</v>
      </c>
    </row>
    <row r="20" spans="1:7">
      <c r="A20" s="57">
        <v>19</v>
      </c>
      <c r="B20" s="57" t="s">
        <v>11</v>
      </c>
      <c r="C20" s="57">
        <v>1170470</v>
      </c>
      <c r="D20" s="209">
        <v>45860</v>
      </c>
      <c r="E20" s="212">
        <v>1606.75</v>
      </c>
      <c r="F20" t="s">
        <v>1458</v>
      </c>
      <c r="G20" t="s">
        <v>9</v>
      </c>
    </row>
    <row r="21" spans="1:7">
      <c r="A21" s="57">
        <v>20</v>
      </c>
      <c r="B21" s="57" t="s">
        <v>11</v>
      </c>
      <c r="C21" s="57">
        <v>1170470</v>
      </c>
      <c r="D21" s="209">
        <v>45860</v>
      </c>
      <c r="E21" s="212">
        <v>1396.5</v>
      </c>
      <c r="F21" t="s">
        <v>1458</v>
      </c>
      <c r="G21" t="s">
        <v>9</v>
      </c>
    </row>
    <row r="22" spans="1:7">
      <c r="A22" s="57">
        <v>21</v>
      </c>
      <c r="B22" s="57" t="s">
        <v>11</v>
      </c>
      <c r="C22" s="57">
        <v>1170470</v>
      </c>
      <c r="D22" s="209">
        <v>45860</v>
      </c>
      <c r="E22" s="212">
        <v>2479.56</v>
      </c>
      <c r="F22" t="s">
        <v>1458</v>
      </c>
      <c r="G22" t="s">
        <v>9</v>
      </c>
    </row>
    <row r="23" spans="1:7">
      <c r="A23" s="57">
        <v>22</v>
      </c>
      <c r="B23" s="57" t="s">
        <v>11</v>
      </c>
      <c r="C23" s="57">
        <v>1170470</v>
      </c>
      <c r="D23" s="209">
        <v>45860</v>
      </c>
      <c r="E23" s="212">
        <v>1205.8699999999999</v>
      </c>
      <c r="F23" t="s">
        <v>1458</v>
      </c>
      <c r="G23" t="s">
        <v>9</v>
      </c>
    </row>
    <row r="24" spans="1:7">
      <c r="A24" s="57">
        <v>23</v>
      </c>
      <c r="B24" s="57" t="s">
        <v>11</v>
      </c>
      <c r="C24" s="57">
        <v>1170470</v>
      </c>
      <c r="D24" s="209">
        <v>45860</v>
      </c>
      <c r="E24" s="212">
        <v>2479.56</v>
      </c>
      <c r="F24" t="s">
        <v>1458</v>
      </c>
      <c r="G24" t="s">
        <v>9</v>
      </c>
    </row>
    <row r="25" spans="1:7">
      <c r="A25" s="57">
        <v>24</v>
      </c>
      <c r="B25" s="57" t="s">
        <v>11</v>
      </c>
      <c r="C25" s="57">
        <v>1170470</v>
      </c>
      <c r="D25" s="209">
        <v>45860</v>
      </c>
      <c r="E25" s="212">
        <v>1396.5</v>
      </c>
      <c r="F25" t="s">
        <v>1458</v>
      </c>
      <c r="G25" t="s">
        <v>9</v>
      </c>
    </row>
    <row r="26" spans="1:7">
      <c r="A26" s="57">
        <v>25</v>
      </c>
      <c r="B26" s="57" t="s">
        <v>11</v>
      </c>
      <c r="C26" s="57">
        <v>1170470</v>
      </c>
      <c r="D26" s="209">
        <v>45860</v>
      </c>
      <c r="E26" s="212">
        <v>1083.06</v>
      </c>
      <c r="F26" t="s">
        <v>1458</v>
      </c>
      <c r="G26" t="s">
        <v>9</v>
      </c>
    </row>
    <row r="27" spans="1:7">
      <c r="A27" s="57">
        <v>26</v>
      </c>
      <c r="B27" s="57" t="s">
        <v>11</v>
      </c>
      <c r="C27" s="57">
        <v>1170470</v>
      </c>
      <c r="D27" s="209">
        <v>45860</v>
      </c>
      <c r="E27" s="212">
        <v>1083.06</v>
      </c>
      <c r="F27" t="s">
        <v>1458</v>
      </c>
      <c r="G27" t="s">
        <v>9</v>
      </c>
    </row>
    <row r="28" spans="1:7">
      <c r="A28" s="57">
        <v>27</v>
      </c>
      <c r="B28" s="57" t="s">
        <v>11</v>
      </c>
      <c r="C28" s="57">
        <v>1170470</v>
      </c>
      <c r="D28" s="209">
        <v>45860</v>
      </c>
      <c r="E28" s="212">
        <v>1083.06</v>
      </c>
      <c r="F28" t="s">
        <v>1458</v>
      </c>
      <c r="G28" t="s">
        <v>9</v>
      </c>
    </row>
    <row r="29" spans="1:7">
      <c r="A29" s="57">
        <v>28</v>
      </c>
      <c r="B29" s="57" t="s">
        <v>11</v>
      </c>
      <c r="C29" s="57">
        <v>1170470</v>
      </c>
      <c r="D29" s="209">
        <v>45860</v>
      </c>
      <c r="E29" s="212">
        <v>21991.32</v>
      </c>
      <c r="F29" t="s">
        <v>1388</v>
      </c>
      <c r="G29" t="s">
        <v>9</v>
      </c>
    </row>
    <row r="30" spans="1:7">
      <c r="A30" s="947">
        <v>29</v>
      </c>
      <c r="B30" s="947" t="s">
        <v>11</v>
      </c>
      <c r="C30" s="947">
        <v>1040211</v>
      </c>
      <c r="D30" s="948">
        <v>45860</v>
      </c>
      <c r="E30" s="949">
        <v>41275.79</v>
      </c>
      <c r="F30" s="950"/>
      <c r="G30" s="950" t="s">
        <v>9</v>
      </c>
    </row>
    <row r="31" spans="1:7">
      <c r="A31" s="942">
        <v>41</v>
      </c>
      <c r="B31" s="942" t="s">
        <v>11</v>
      </c>
      <c r="C31" s="942">
        <v>1200393</v>
      </c>
      <c r="D31" s="943">
        <v>45860</v>
      </c>
      <c r="E31" s="944">
        <v>10282.74</v>
      </c>
      <c r="F31" s="945"/>
      <c r="G31" s="945" t="s">
        <v>9</v>
      </c>
    </row>
    <row r="32" spans="1:7">
      <c r="A32" s="942">
        <v>42</v>
      </c>
      <c r="B32" s="942" t="s">
        <v>11</v>
      </c>
      <c r="C32" s="942">
        <v>1040211</v>
      </c>
      <c r="D32" s="943">
        <v>45860</v>
      </c>
      <c r="E32" s="944">
        <v>58728.47</v>
      </c>
      <c r="F32" s="945"/>
      <c r="G32" s="945" t="s">
        <v>9</v>
      </c>
    </row>
    <row r="33" spans="1:7">
      <c r="A33" s="947">
        <v>43</v>
      </c>
      <c r="B33" s="947" t="s">
        <v>11</v>
      </c>
      <c r="C33" s="947">
        <v>1200393</v>
      </c>
      <c r="D33" s="948">
        <v>45860</v>
      </c>
      <c r="E33" s="949">
        <v>1770</v>
      </c>
      <c r="F33" s="950"/>
      <c r="G33" s="950" t="s">
        <v>9</v>
      </c>
    </row>
    <row r="34" spans="1:7">
      <c r="A34" s="57">
        <v>45</v>
      </c>
      <c r="B34" s="57" t="s">
        <v>11</v>
      </c>
      <c r="C34" s="57">
        <v>1060345</v>
      </c>
      <c r="D34" s="209">
        <v>45860</v>
      </c>
      <c r="E34" s="212">
        <v>18500000</v>
      </c>
      <c r="F34" t="s">
        <v>1459</v>
      </c>
      <c r="G34" t="s">
        <v>9</v>
      </c>
    </row>
    <row r="35" spans="1:7">
      <c r="A35" s="951">
        <v>46</v>
      </c>
      <c r="B35" s="951" t="s">
        <v>11</v>
      </c>
      <c r="C35" s="951">
        <v>1040109</v>
      </c>
      <c r="D35" s="952">
        <v>45860</v>
      </c>
      <c r="E35" s="953">
        <v>205.54</v>
      </c>
      <c r="F35" s="954"/>
      <c r="G35" s="954" t="s">
        <v>9</v>
      </c>
    </row>
    <row r="36" spans="1:7">
      <c r="A36" s="951">
        <v>47</v>
      </c>
      <c r="B36" s="951" t="s">
        <v>11</v>
      </c>
      <c r="C36" s="951">
        <v>1040109</v>
      </c>
      <c r="D36" s="952">
        <v>45860</v>
      </c>
      <c r="E36" s="953">
        <v>252.56</v>
      </c>
      <c r="F36" s="954"/>
      <c r="G36" s="954" t="s">
        <v>9</v>
      </c>
    </row>
    <row r="37" spans="1:7">
      <c r="A37" s="951">
        <v>48</v>
      </c>
      <c r="B37" s="951" t="s">
        <v>11</v>
      </c>
      <c r="C37" s="951">
        <v>1040109</v>
      </c>
      <c r="D37" s="952">
        <v>45860</v>
      </c>
      <c r="E37" s="953">
        <v>896.83</v>
      </c>
      <c r="F37" s="954"/>
      <c r="G37" s="954" t="s">
        <v>9</v>
      </c>
    </row>
    <row r="38" spans="1:7">
      <c r="A38" s="951">
        <v>49</v>
      </c>
      <c r="B38" s="951" t="s">
        <v>11</v>
      </c>
      <c r="C38" s="951">
        <v>1040109</v>
      </c>
      <c r="D38" s="952">
        <v>45860</v>
      </c>
      <c r="E38" s="953">
        <v>137.82</v>
      </c>
      <c r="F38" s="954"/>
      <c r="G38" s="954" t="s">
        <v>9</v>
      </c>
    </row>
    <row r="39" spans="1:7">
      <c r="A39" s="951">
        <v>50</v>
      </c>
      <c r="B39" s="951" t="s">
        <v>11</v>
      </c>
      <c r="C39" s="951">
        <v>1040109</v>
      </c>
      <c r="D39" s="952">
        <v>45860</v>
      </c>
      <c r="E39" s="953">
        <v>617.03</v>
      </c>
      <c r="F39" s="954"/>
      <c r="G39" s="954" t="s">
        <v>9</v>
      </c>
    </row>
    <row r="40" spans="1:7">
      <c r="A40" s="951">
        <v>51</v>
      </c>
      <c r="B40" s="951" t="s">
        <v>11</v>
      </c>
      <c r="C40" s="951">
        <v>1040109</v>
      </c>
      <c r="D40" s="952">
        <v>45860</v>
      </c>
      <c r="E40" s="953">
        <v>160.82</v>
      </c>
      <c r="F40" s="954"/>
      <c r="G40" s="954" t="s">
        <v>9</v>
      </c>
    </row>
    <row r="41" spans="1:7">
      <c r="A41" s="381">
        <v>56</v>
      </c>
      <c r="B41" s="381" t="s">
        <v>11</v>
      </c>
      <c r="C41" s="381">
        <v>1040375</v>
      </c>
      <c r="D41" s="963">
        <v>45860</v>
      </c>
      <c r="E41" s="964">
        <v>207.12</v>
      </c>
      <c r="F41" s="211"/>
      <c r="G41" s="211" t="s">
        <v>9</v>
      </c>
    </row>
    <row r="42" spans="1:7">
      <c r="A42" s="381">
        <v>57</v>
      </c>
      <c r="B42" s="381" t="s">
        <v>11</v>
      </c>
      <c r="C42" s="381">
        <v>1040375</v>
      </c>
      <c r="D42" s="963">
        <v>45860</v>
      </c>
      <c r="E42" s="964">
        <v>49.31</v>
      </c>
      <c r="F42" s="211"/>
      <c r="G42" s="211" t="s">
        <v>9</v>
      </c>
    </row>
    <row r="43" spans="1:7">
      <c r="A43" s="381">
        <v>58</v>
      </c>
      <c r="B43" s="381" t="s">
        <v>11</v>
      </c>
      <c r="C43" s="381">
        <v>1040375</v>
      </c>
      <c r="D43" s="963">
        <v>45860</v>
      </c>
      <c r="E43" s="964">
        <v>19.45</v>
      </c>
      <c r="F43" s="211"/>
      <c r="G43" s="211" t="s">
        <v>9</v>
      </c>
    </row>
    <row r="44" spans="1:7">
      <c r="A44" s="967">
        <v>60</v>
      </c>
      <c r="B44" s="967" t="s">
        <v>11</v>
      </c>
      <c r="C44" s="967">
        <v>1040375</v>
      </c>
      <c r="D44" s="968">
        <v>45860</v>
      </c>
      <c r="E44" s="969">
        <v>9.7200000000000006</v>
      </c>
      <c r="F44" s="970"/>
      <c r="G44" s="970" t="s">
        <v>9</v>
      </c>
    </row>
    <row r="45" spans="1:7">
      <c r="A45" s="967">
        <v>61</v>
      </c>
      <c r="B45" s="967" t="s">
        <v>11</v>
      </c>
      <c r="C45" s="967">
        <v>1040375</v>
      </c>
      <c r="D45" s="968">
        <v>45860</v>
      </c>
      <c r="E45" s="969">
        <v>842.23</v>
      </c>
      <c r="F45" s="970"/>
      <c r="G45" s="970" t="s">
        <v>9</v>
      </c>
    </row>
    <row r="46" spans="1:7">
      <c r="A46" s="102">
        <v>63</v>
      </c>
      <c r="B46" s="102" t="s">
        <v>11</v>
      </c>
      <c r="C46" s="102">
        <v>1040375</v>
      </c>
      <c r="D46" s="973">
        <v>45860</v>
      </c>
      <c r="E46" s="974">
        <v>72.67</v>
      </c>
      <c r="F46" s="96"/>
      <c r="G46" s="96" t="s">
        <v>9</v>
      </c>
    </row>
    <row r="47" spans="1:7">
      <c r="A47" s="102">
        <v>64</v>
      </c>
      <c r="B47" s="102" t="s">
        <v>11</v>
      </c>
      <c r="C47" s="102">
        <v>1040375</v>
      </c>
      <c r="D47" s="973">
        <v>45860</v>
      </c>
      <c r="E47" s="974">
        <v>11.82</v>
      </c>
      <c r="F47" s="96"/>
      <c r="G47" s="96" t="s">
        <v>9</v>
      </c>
    </row>
    <row r="48" spans="1:7">
      <c r="A48" s="102">
        <v>65</v>
      </c>
      <c r="B48" s="102" t="s">
        <v>11</v>
      </c>
      <c r="C48" s="102">
        <v>1040375</v>
      </c>
      <c r="D48" s="973">
        <v>45860</v>
      </c>
      <c r="E48" s="974">
        <v>103.27</v>
      </c>
      <c r="F48" s="96"/>
      <c r="G48" s="96" t="s">
        <v>9</v>
      </c>
    </row>
    <row r="49" spans="1:7">
      <c r="A49" s="102">
        <v>66</v>
      </c>
      <c r="B49" s="102" t="s">
        <v>11</v>
      </c>
      <c r="C49" s="102">
        <v>1040375</v>
      </c>
      <c r="D49" s="973">
        <v>45860</v>
      </c>
      <c r="E49" s="974">
        <v>25.11</v>
      </c>
      <c r="F49" s="96"/>
      <c r="G49" s="96" t="s">
        <v>9</v>
      </c>
    </row>
    <row r="50" spans="1:7">
      <c r="A50" s="414">
        <v>68</v>
      </c>
      <c r="B50" s="414" t="s">
        <v>11</v>
      </c>
      <c r="C50" s="414">
        <v>1040375</v>
      </c>
      <c r="D50" s="975">
        <v>45860</v>
      </c>
      <c r="E50" s="976">
        <v>0.98</v>
      </c>
      <c r="F50" s="21"/>
      <c r="G50" s="21" t="s">
        <v>9</v>
      </c>
    </row>
    <row r="51" spans="1:7">
      <c r="A51" s="414">
        <v>69</v>
      </c>
      <c r="B51" s="414" t="s">
        <v>11</v>
      </c>
      <c r="C51" s="414">
        <v>1040375</v>
      </c>
      <c r="D51" s="975">
        <v>45860</v>
      </c>
      <c r="E51" s="976">
        <v>14.44</v>
      </c>
      <c r="F51" s="21"/>
      <c r="G51" s="21" t="s">
        <v>9</v>
      </c>
    </row>
    <row r="52" spans="1:7">
      <c r="A52" s="414">
        <v>70</v>
      </c>
      <c r="B52" s="414" t="s">
        <v>11</v>
      </c>
      <c r="C52" s="414">
        <v>1040375</v>
      </c>
      <c r="D52" s="975">
        <v>45860</v>
      </c>
      <c r="E52" s="976">
        <v>75.92</v>
      </c>
      <c r="F52" s="21"/>
      <c r="G52" s="21" t="s">
        <v>9</v>
      </c>
    </row>
    <row r="53" spans="1:7">
      <c r="A53" s="414">
        <v>71</v>
      </c>
      <c r="B53" s="414" t="s">
        <v>11</v>
      </c>
      <c r="C53" s="414">
        <v>1040375</v>
      </c>
      <c r="D53" s="975">
        <v>45860</v>
      </c>
      <c r="E53" s="976">
        <v>15.29</v>
      </c>
      <c r="F53" s="21"/>
      <c r="G53" s="21" t="s">
        <v>9</v>
      </c>
    </row>
    <row r="54" spans="1:7">
      <c r="A54" s="414">
        <v>72</v>
      </c>
      <c r="B54" s="414" t="s">
        <v>11</v>
      </c>
      <c r="C54" s="414">
        <v>1040375</v>
      </c>
      <c r="D54" s="975">
        <v>45860</v>
      </c>
      <c r="E54" s="976">
        <v>76.41</v>
      </c>
      <c r="F54" s="21"/>
      <c r="G54" s="21" t="s">
        <v>9</v>
      </c>
    </row>
    <row r="55" spans="1:7">
      <c r="A55" s="414">
        <v>73</v>
      </c>
      <c r="B55" s="414" t="s">
        <v>11</v>
      </c>
      <c r="C55" s="414">
        <v>1040375</v>
      </c>
      <c r="D55" s="975">
        <v>45860</v>
      </c>
      <c r="E55" s="976">
        <v>288.54000000000002</v>
      </c>
      <c r="F55" s="21"/>
      <c r="G55" s="21" t="s">
        <v>9</v>
      </c>
    </row>
    <row r="56" spans="1:7">
      <c r="A56" s="414">
        <v>74</v>
      </c>
      <c r="B56" s="414" t="s">
        <v>11</v>
      </c>
      <c r="C56" s="414">
        <v>1040375</v>
      </c>
      <c r="D56" s="975">
        <v>45860</v>
      </c>
      <c r="E56" s="976">
        <v>392.03</v>
      </c>
      <c r="F56" s="21"/>
      <c r="G56" s="21" t="s">
        <v>9</v>
      </c>
    </row>
    <row r="57" spans="1:7">
      <c r="A57" s="414">
        <v>75</v>
      </c>
      <c r="B57" s="414" t="s">
        <v>11</v>
      </c>
      <c r="C57" s="414">
        <v>1040375</v>
      </c>
      <c r="D57" s="975">
        <v>45860</v>
      </c>
      <c r="E57" s="976">
        <v>405.39</v>
      </c>
      <c r="F57" s="21"/>
      <c r="G57" s="21" t="s">
        <v>9</v>
      </c>
    </row>
    <row r="58" spans="1:7">
      <c r="A58" s="414">
        <v>76</v>
      </c>
      <c r="B58" s="414" t="s">
        <v>11</v>
      </c>
      <c r="C58" s="414">
        <v>1040375</v>
      </c>
      <c r="D58" s="975">
        <v>45860</v>
      </c>
      <c r="E58" s="976">
        <v>137.1</v>
      </c>
      <c r="F58" s="21"/>
      <c r="G58" s="21" t="s">
        <v>9</v>
      </c>
    </row>
    <row r="59" spans="1:7">
      <c r="A59" s="414">
        <v>77</v>
      </c>
      <c r="B59" s="414" t="s">
        <v>11</v>
      </c>
      <c r="C59" s="414">
        <v>1040375</v>
      </c>
      <c r="D59" s="975">
        <v>45860</v>
      </c>
      <c r="E59" s="976">
        <v>231.15</v>
      </c>
      <c r="F59" s="21"/>
      <c r="G59" s="21" t="s">
        <v>9</v>
      </c>
    </row>
    <row r="60" spans="1:7">
      <c r="A60" s="414">
        <v>78</v>
      </c>
      <c r="B60" s="414" t="s">
        <v>11</v>
      </c>
      <c r="C60" s="414">
        <v>1040375</v>
      </c>
      <c r="D60" s="975">
        <v>45860</v>
      </c>
      <c r="E60" s="976">
        <v>314.63</v>
      </c>
      <c r="F60" s="21"/>
      <c r="G60" s="21" t="s">
        <v>9</v>
      </c>
    </row>
    <row r="61" spans="1:7">
      <c r="A61" s="414">
        <v>79</v>
      </c>
      <c r="B61" s="414" t="s">
        <v>11</v>
      </c>
      <c r="C61" s="414">
        <v>1040375</v>
      </c>
      <c r="D61" s="975">
        <v>45860</v>
      </c>
      <c r="E61" s="976">
        <v>394.78</v>
      </c>
      <c r="F61" s="21"/>
      <c r="G61" s="21" t="s">
        <v>9</v>
      </c>
    </row>
    <row r="62" spans="1:7">
      <c r="A62" s="424">
        <v>83</v>
      </c>
      <c r="B62" s="424" t="s">
        <v>11</v>
      </c>
      <c r="C62" s="424">
        <v>1040375</v>
      </c>
      <c r="D62" s="955">
        <v>45860</v>
      </c>
      <c r="E62" s="956">
        <v>2132.23</v>
      </c>
      <c r="F62" s="957"/>
      <c r="G62" s="957" t="s">
        <v>9</v>
      </c>
    </row>
    <row r="63" spans="1:7">
      <c r="A63" s="424">
        <v>84</v>
      </c>
      <c r="B63" s="424" t="s">
        <v>11</v>
      </c>
      <c r="C63" s="424">
        <v>1040375</v>
      </c>
      <c r="D63" s="955">
        <v>45860</v>
      </c>
      <c r="E63" s="956">
        <v>1194.3800000000001</v>
      </c>
      <c r="F63" s="957"/>
      <c r="G63" s="957" t="s">
        <v>9</v>
      </c>
    </row>
    <row r="64" spans="1:7">
      <c r="A64" s="709">
        <v>86</v>
      </c>
      <c r="B64" s="709" t="s">
        <v>11</v>
      </c>
      <c r="C64" s="709">
        <v>1040375</v>
      </c>
      <c r="D64" s="960">
        <v>45860</v>
      </c>
      <c r="E64" s="961">
        <v>3.11</v>
      </c>
      <c r="F64" s="51"/>
      <c r="G64" s="51" t="s">
        <v>9</v>
      </c>
    </row>
    <row r="65" spans="1:7">
      <c r="A65" s="709">
        <v>87</v>
      </c>
      <c r="B65" s="709" t="s">
        <v>11</v>
      </c>
      <c r="C65" s="709">
        <v>1040375</v>
      </c>
      <c r="D65" s="960">
        <v>45860</v>
      </c>
      <c r="E65" s="961">
        <v>11.69</v>
      </c>
      <c r="F65" s="51"/>
      <c r="G65" s="51" t="s">
        <v>9</v>
      </c>
    </row>
    <row r="66" spans="1:7">
      <c r="A66" s="709">
        <v>88</v>
      </c>
      <c r="B66" s="709" t="s">
        <v>11</v>
      </c>
      <c r="C66" s="709">
        <v>1040375</v>
      </c>
      <c r="D66" s="960">
        <v>45860</v>
      </c>
      <c r="E66" s="961">
        <v>182.38</v>
      </c>
      <c r="F66" s="51"/>
      <c r="G66" s="51" t="s">
        <v>9</v>
      </c>
    </row>
    <row r="67" spans="1:7">
      <c r="A67" s="709">
        <v>89</v>
      </c>
      <c r="B67" s="709" t="s">
        <v>11</v>
      </c>
      <c r="C67" s="709">
        <v>1040375</v>
      </c>
      <c r="D67" s="960">
        <v>45860</v>
      </c>
      <c r="E67" s="961">
        <v>109.72</v>
      </c>
      <c r="F67" s="51"/>
      <c r="G67" s="51" t="s">
        <v>9</v>
      </c>
    </row>
    <row r="68" spans="1:7">
      <c r="A68" s="709">
        <v>90</v>
      </c>
      <c r="B68" s="709" t="s">
        <v>11</v>
      </c>
      <c r="C68" s="709">
        <v>1040375</v>
      </c>
      <c r="D68" s="960">
        <v>45860</v>
      </c>
      <c r="E68" s="961">
        <v>197.22</v>
      </c>
      <c r="F68" s="51"/>
      <c r="G68" s="51" t="s">
        <v>9</v>
      </c>
    </row>
    <row r="69" spans="1:7">
      <c r="A69" s="709">
        <v>91</v>
      </c>
      <c r="B69" s="709" t="s">
        <v>11</v>
      </c>
      <c r="C69" s="709">
        <v>1040375</v>
      </c>
      <c r="D69" s="960">
        <v>45860</v>
      </c>
      <c r="E69" s="961">
        <v>125.34</v>
      </c>
      <c r="F69" s="51"/>
      <c r="G69" s="51" t="s">
        <v>9</v>
      </c>
    </row>
    <row r="70" spans="1:7">
      <c r="A70" s="709">
        <v>92</v>
      </c>
      <c r="B70" s="709" t="s">
        <v>11</v>
      </c>
      <c r="C70" s="709">
        <v>1040375</v>
      </c>
      <c r="D70" s="960">
        <v>45860</v>
      </c>
      <c r="E70" s="961">
        <v>251.29</v>
      </c>
      <c r="F70" s="51"/>
      <c r="G70" s="51" t="s">
        <v>9</v>
      </c>
    </row>
    <row r="71" spans="1:7">
      <c r="A71" s="57"/>
      <c r="B71" s="57"/>
      <c r="C71" s="57"/>
    </row>
    <row r="72" spans="1:7">
      <c r="A72" s="57"/>
      <c r="B72" s="57"/>
      <c r="C72" s="57"/>
    </row>
    <row r="73" spans="1:7">
      <c r="A73" s="57"/>
      <c r="B73" s="57"/>
      <c r="C73" s="57"/>
    </row>
    <row r="74" spans="1:7">
      <c r="A74" s="57"/>
      <c r="B74" s="57"/>
      <c r="C74" s="57"/>
    </row>
    <row r="75" spans="1:7">
      <c r="A75" s="57"/>
      <c r="B75" s="57"/>
      <c r="C75" s="57"/>
    </row>
    <row r="76" spans="1:7">
      <c r="A76" s="57"/>
      <c r="B76" s="57"/>
      <c r="C76" s="57"/>
    </row>
    <row r="77" spans="1:7">
      <c r="A77" s="57"/>
      <c r="B77" s="57"/>
      <c r="C77" s="57"/>
    </row>
    <row r="78" spans="1:7">
      <c r="A78" s="57"/>
      <c r="B78" s="57"/>
      <c r="C78" s="57"/>
    </row>
    <row r="79" spans="1:7">
      <c r="A79" s="57"/>
      <c r="B79" s="57"/>
      <c r="C79" s="57"/>
    </row>
    <row r="80" spans="1:7">
      <c r="A80" s="57"/>
      <c r="B80" s="57"/>
      <c r="C80" s="57"/>
    </row>
    <row r="81" spans="1:3">
      <c r="A81" s="57"/>
      <c r="B81" s="57"/>
      <c r="C81" s="57"/>
    </row>
    <row r="82" spans="1:3">
      <c r="A82" s="57"/>
      <c r="B82" s="57"/>
      <c r="C82" s="57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970EE-99A2-405A-A03F-EE6DAD4394C6}">
  <sheetPr>
    <tabColor rgb="FFFFFF00"/>
  </sheetPr>
  <dimension ref="A1:K81"/>
  <sheetViews>
    <sheetView showGridLines="0" zoomScaleNormal="100" workbookViewId="0">
      <selection activeCellId="1" sqref="I8 A1:XFD1048576"/>
    </sheetView>
  </sheetViews>
  <sheetFormatPr defaultColWidth="8.8984375" defaultRowHeight="13.8"/>
  <cols>
    <col min="1" max="1" width="5.59765625" style="248" bestFit="1" customWidth="1"/>
    <col min="2" max="2" width="16.69921875" style="248" bestFit="1" customWidth="1"/>
    <col min="3" max="3" width="8" style="248" bestFit="1" customWidth="1"/>
    <col min="4" max="4" width="12.69921875" style="248" bestFit="1" customWidth="1"/>
    <col min="5" max="5" width="15.59765625" style="222" bestFit="1" customWidth="1"/>
    <col min="6" max="6" width="22.19921875" style="248" bestFit="1" customWidth="1"/>
    <col min="7" max="7" width="15.5" style="222" bestFit="1" customWidth="1"/>
    <col min="8" max="9" width="8.8984375" style="248"/>
    <col min="10" max="10" width="9" style="248" bestFit="1" customWidth="1"/>
    <col min="11" max="11" width="14.09765625" style="977" bestFit="1" customWidth="1"/>
    <col min="12" max="16384" width="8.8984375" style="248"/>
  </cols>
  <sheetData>
    <row r="1" spans="1:11" ht="14.4" thickBot="1">
      <c r="A1" s="369" t="s">
        <v>0</v>
      </c>
      <c r="B1" s="369" t="s">
        <v>1</v>
      </c>
      <c r="C1" s="369" t="s">
        <v>2</v>
      </c>
      <c r="D1" s="369" t="s">
        <v>1322</v>
      </c>
      <c r="E1" s="371" t="s">
        <v>1323</v>
      </c>
      <c r="F1" s="370" t="s">
        <v>3</v>
      </c>
      <c r="G1" s="369" t="s">
        <v>4</v>
      </c>
      <c r="H1"/>
      <c r="I1" s="57"/>
      <c r="J1" s="370" t="s">
        <v>5</v>
      </c>
      <c r="K1" s="372" t="s">
        <v>1324</v>
      </c>
    </row>
    <row r="2" spans="1:11" ht="14.4" thickTop="1">
      <c r="A2" s="252">
        <v>1</v>
      </c>
      <c r="B2" s="252" t="s">
        <v>7</v>
      </c>
      <c r="C2" s="252">
        <v>2130870</v>
      </c>
      <c r="D2" s="245">
        <v>45861</v>
      </c>
      <c r="E2" s="222">
        <v>4400228.38</v>
      </c>
      <c r="F2" s="248" t="s">
        <v>32</v>
      </c>
      <c r="G2" s="244" t="s">
        <v>9</v>
      </c>
      <c r="J2" s="1008">
        <v>174952</v>
      </c>
      <c r="K2" s="1009">
        <v>50354.370000000017</v>
      </c>
    </row>
    <row r="3" spans="1:11">
      <c r="A3" s="252">
        <v>2</v>
      </c>
      <c r="B3" s="252" t="s">
        <v>7</v>
      </c>
      <c r="C3" s="252">
        <v>2130870</v>
      </c>
      <c r="D3" s="245">
        <v>45861</v>
      </c>
      <c r="E3" s="222">
        <v>1313.88</v>
      </c>
      <c r="F3" s="248" t="s">
        <v>1328</v>
      </c>
      <c r="G3" s="244" t="s">
        <v>9</v>
      </c>
      <c r="J3" s="1014">
        <v>174953</v>
      </c>
      <c r="K3" s="1015">
        <v>505174.68999999989</v>
      </c>
    </row>
    <row r="4" spans="1:11">
      <c r="A4" s="252">
        <v>3</v>
      </c>
      <c r="B4" s="252" t="s">
        <v>7</v>
      </c>
      <c r="C4" s="252">
        <v>2130870</v>
      </c>
      <c r="D4" s="245">
        <v>45861</v>
      </c>
      <c r="E4" s="222">
        <v>384.49</v>
      </c>
      <c r="G4" s="244" t="s">
        <v>9</v>
      </c>
      <c r="J4" s="1002">
        <v>174966</v>
      </c>
      <c r="K4" s="1003">
        <v>1496</v>
      </c>
    </row>
    <row r="5" spans="1:11">
      <c r="A5" s="978">
        <v>4</v>
      </c>
      <c r="B5" s="978" t="s">
        <v>7</v>
      </c>
      <c r="C5" s="978">
        <v>2060855</v>
      </c>
      <c r="D5" s="979">
        <v>45861</v>
      </c>
      <c r="E5" s="980">
        <v>2000000</v>
      </c>
      <c r="F5" s="981" t="s">
        <v>1329</v>
      </c>
      <c r="G5" s="244" t="s">
        <v>9</v>
      </c>
      <c r="J5" s="991">
        <v>174969</v>
      </c>
      <c r="K5" s="992">
        <v>1355.27</v>
      </c>
    </row>
    <row r="6" spans="1:11">
      <c r="A6" s="252">
        <v>6</v>
      </c>
      <c r="B6" s="252" t="s">
        <v>11</v>
      </c>
      <c r="C6" s="252">
        <v>1170470</v>
      </c>
      <c r="D6" s="245">
        <v>45861</v>
      </c>
      <c r="E6" s="222">
        <v>470779.18</v>
      </c>
      <c r="F6" s="248" t="s">
        <v>1361</v>
      </c>
      <c r="G6" s="244" t="s">
        <v>9</v>
      </c>
      <c r="J6" s="997" t="s">
        <v>1470</v>
      </c>
      <c r="K6" s="346">
        <v>107.79</v>
      </c>
    </row>
    <row r="7" spans="1:11">
      <c r="A7" s="252">
        <v>7</v>
      </c>
      <c r="B7" s="252" t="s">
        <v>11</v>
      </c>
      <c r="C7" s="252">
        <v>1170470</v>
      </c>
      <c r="D7" s="823">
        <v>45861</v>
      </c>
      <c r="E7" s="222">
        <v>1124.9100000000001</v>
      </c>
      <c r="F7" s="248" t="s">
        <v>1365</v>
      </c>
      <c r="G7" s="244" t="s">
        <v>9</v>
      </c>
      <c r="J7" s="986" t="s">
        <v>1471</v>
      </c>
      <c r="K7" s="360">
        <v>19.77</v>
      </c>
    </row>
    <row r="8" spans="1:11">
      <c r="A8" s="252">
        <v>8</v>
      </c>
      <c r="B8" s="252" t="s">
        <v>11</v>
      </c>
      <c r="C8" s="252">
        <v>1170470</v>
      </c>
      <c r="D8" s="823">
        <v>45861</v>
      </c>
      <c r="E8" s="222">
        <v>1396.5</v>
      </c>
      <c r="F8" s="248" t="s">
        <v>1458</v>
      </c>
      <c r="G8" s="244" t="s">
        <v>9</v>
      </c>
      <c r="J8" s="1091" t="s">
        <v>1480</v>
      </c>
      <c r="K8" s="1092">
        <v>1422.76</v>
      </c>
    </row>
    <row r="9" spans="1:11">
      <c r="A9" s="252">
        <v>9</v>
      </c>
      <c r="B9" s="252" t="s">
        <v>11</v>
      </c>
      <c r="C9" s="252">
        <v>1170470</v>
      </c>
      <c r="D9" s="823">
        <v>45861</v>
      </c>
      <c r="E9" s="222">
        <v>663.34</v>
      </c>
      <c r="F9" s="248" t="s">
        <v>1458</v>
      </c>
      <c r="G9" s="244" t="s">
        <v>9</v>
      </c>
    </row>
    <row r="10" spans="1:11">
      <c r="A10" s="1089">
        <v>10</v>
      </c>
      <c r="B10" s="1089" t="s">
        <v>12</v>
      </c>
      <c r="C10" s="1089">
        <v>1040500</v>
      </c>
      <c r="D10" s="1090">
        <v>45861</v>
      </c>
      <c r="E10" s="817">
        <v>280.56</v>
      </c>
      <c r="F10" s="1091" t="s">
        <v>1472</v>
      </c>
      <c r="G10" s="816" t="s">
        <v>9</v>
      </c>
    </row>
    <row r="11" spans="1:11">
      <c r="A11" s="1089">
        <v>11</v>
      </c>
      <c r="B11" s="1089" t="s">
        <v>12</v>
      </c>
      <c r="C11" s="1089">
        <v>1040500</v>
      </c>
      <c r="D11" s="1090">
        <v>45861</v>
      </c>
      <c r="E11" s="817">
        <v>1142.2</v>
      </c>
      <c r="F11" s="1091" t="s">
        <v>1472</v>
      </c>
      <c r="G11" s="817" t="s">
        <v>9</v>
      </c>
    </row>
    <row r="12" spans="1:11">
      <c r="A12" s="1011">
        <v>12</v>
      </c>
      <c r="B12" s="1011" t="s">
        <v>11</v>
      </c>
      <c r="C12" s="1011">
        <v>1200393</v>
      </c>
      <c r="D12" s="1012">
        <v>45861</v>
      </c>
      <c r="E12" s="1010">
        <v>51492.36</v>
      </c>
      <c r="F12" s="1013"/>
      <c r="G12" s="1010" t="s">
        <v>9</v>
      </c>
    </row>
    <row r="13" spans="1:11">
      <c r="A13" s="1011">
        <v>13</v>
      </c>
      <c r="B13" s="1011" t="s">
        <v>11</v>
      </c>
      <c r="C13" s="1011">
        <v>1040211</v>
      </c>
      <c r="D13" s="1012">
        <v>45861</v>
      </c>
      <c r="E13" s="1010">
        <v>443892.33</v>
      </c>
      <c r="F13" s="1013"/>
      <c r="G13" s="1010" t="s">
        <v>9</v>
      </c>
    </row>
    <row r="14" spans="1:11">
      <c r="A14" s="998">
        <v>17</v>
      </c>
      <c r="B14" s="998" t="s">
        <v>11</v>
      </c>
      <c r="C14" s="998">
        <v>1200393</v>
      </c>
      <c r="D14" s="999">
        <v>45861</v>
      </c>
      <c r="E14" s="1000">
        <v>1496</v>
      </c>
      <c r="F14" s="1001"/>
      <c r="G14" s="1000" t="s">
        <v>9</v>
      </c>
    </row>
    <row r="15" spans="1:11">
      <c r="A15" s="1004">
        <v>19</v>
      </c>
      <c r="B15" s="1004" t="s">
        <v>11</v>
      </c>
      <c r="C15" s="1004">
        <v>1200393</v>
      </c>
      <c r="D15" s="1005">
        <v>45861</v>
      </c>
      <c r="E15" s="1006">
        <v>11399.88</v>
      </c>
      <c r="F15" s="1007"/>
      <c r="G15" s="1006" t="s">
        <v>9</v>
      </c>
    </row>
    <row r="16" spans="1:11">
      <c r="A16" s="1004">
        <v>20</v>
      </c>
      <c r="B16" s="1004" t="s">
        <v>11</v>
      </c>
      <c r="C16" s="1004">
        <v>1040211</v>
      </c>
      <c r="D16" s="1005">
        <v>45861</v>
      </c>
      <c r="E16" s="1006">
        <v>38954.49</v>
      </c>
      <c r="F16" s="1007"/>
      <c r="G16" s="1006" t="s">
        <v>9</v>
      </c>
    </row>
    <row r="17" spans="1:7">
      <c r="A17" s="1011">
        <v>21</v>
      </c>
      <c r="B17" s="1011" t="s">
        <v>11</v>
      </c>
      <c r="C17" s="1011">
        <v>1200393</v>
      </c>
      <c r="D17" s="1012">
        <v>45861</v>
      </c>
      <c r="E17" s="1010">
        <v>9790</v>
      </c>
      <c r="F17" s="1013"/>
      <c r="G17" s="1010" t="s">
        <v>9</v>
      </c>
    </row>
    <row r="18" spans="1:7">
      <c r="A18" s="252">
        <v>22</v>
      </c>
      <c r="B18" s="252" t="s">
        <v>11</v>
      </c>
      <c r="C18" s="252">
        <v>1060345</v>
      </c>
      <c r="D18" s="823">
        <v>45861</v>
      </c>
      <c r="E18" s="222">
        <v>2300000</v>
      </c>
      <c r="F18" s="248" t="s">
        <v>1459</v>
      </c>
      <c r="G18" s="244" t="s">
        <v>9</v>
      </c>
    </row>
    <row r="19" spans="1:7">
      <c r="A19" s="994">
        <v>31</v>
      </c>
      <c r="B19" s="994" t="s">
        <v>11</v>
      </c>
      <c r="C19" s="994">
        <v>1040375</v>
      </c>
      <c r="D19" s="995">
        <v>45861</v>
      </c>
      <c r="E19" s="993">
        <v>42.54</v>
      </c>
      <c r="F19" s="996"/>
      <c r="G19" s="993" t="s">
        <v>9</v>
      </c>
    </row>
    <row r="20" spans="1:7">
      <c r="A20" s="994">
        <v>32</v>
      </c>
      <c r="B20" s="994" t="s">
        <v>11</v>
      </c>
      <c r="C20" s="994">
        <v>1040375</v>
      </c>
      <c r="D20" s="995">
        <v>45861</v>
      </c>
      <c r="E20" s="993">
        <v>18.329999999999998</v>
      </c>
      <c r="F20" s="996"/>
      <c r="G20" s="993" t="s">
        <v>9</v>
      </c>
    </row>
    <row r="21" spans="1:7">
      <c r="A21" s="994">
        <v>33</v>
      </c>
      <c r="B21" s="994" t="s">
        <v>11</v>
      </c>
      <c r="C21" s="994">
        <v>1040375</v>
      </c>
      <c r="D21" s="995">
        <v>45861</v>
      </c>
      <c r="E21" s="993">
        <v>46.92</v>
      </c>
      <c r="F21" s="996"/>
      <c r="G21" s="993" t="s">
        <v>9</v>
      </c>
    </row>
    <row r="22" spans="1:7">
      <c r="A22" s="987">
        <v>35</v>
      </c>
      <c r="B22" s="987" t="s">
        <v>11</v>
      </c>
      <c r="C22" s="987">
        <v>1040375</v>
      </c>
      <c r="D22" s="988">
        <v>45861</v>
      </c>
      <c r="E22" s="989">
        <v>794.61</v>
      </c>
      <c r="F22" s="990"/>
      <c r="G22" s="989" t="s">
        <v>9</v>
      </c>
    </row>
    <row r="23" spans="1:7">
      <c r="A23" s="987">
        <v>36</v>
      </c>
      <c r="B23" s="987" t="s">
        <v>11</v>
      </c>
      <c r="C23" s="987">
        <v>1040375</v>
      </c>
      <c r="D23" s="988">
        <v>45861</v>
      </c>
      <c r="E23" s="989">
        <v>560.66</v>
      </c>
      <c r="F23" s="990"/>
      <c r="G23" s="989" t="s">
        <v>9</v>
      </c>
    </row>
    <row r="24" spans="1:7">
      <c r="A24" s="982">
        <v>40</v>
      </c>
      <c r="B24" s="982" t="s">
        <v>11</v>
      </c>
      <c r="C24" s="982">
        <v>1040375</v>
      </c>
      <c r="D24" s="983">
        <v>45861</v>
      </c>
      <c r="E24" s="984">
        <v>0.61</v>
      </c>
      <c r="F24" s="985"/>
      <c r="G24" s="984" t="s">
        <v>9</v>
      </c>
    </row>
    <row r="25" spans="1:7">
      <c r="A25" s="982">
        <v>41</v>
      </c>
      <c r="B25" s="982" t="s">
        <v>11</v>
      </c>
      <c r="C25" s="982">
        <v>1040375</v>
      </c>
      <c r="D25" s="983">
        <v>45861</v>
      </c>
      <c r="E25" s="984">
        <v>5.2</v>
      </c>
      <c r="F25" s="985"/>
      <c r="G25" s="984" t="s">
        <v>9</v>
      </c>
    </row>
    <row r="26" spans="1:7">
      <c r="A26" s="982">
        <v>42</v>
      </c>
      <c r="B26" s="982" t="s">
        <v>11</v>
      </c>
      <c r="C26" s="982">
        <v>1040375</v>
      </c>
      <c r="D26" s="983">
        <v>45861</v>
      </c>
      <c r="E26" s="984">
        <v>13.96</v>
      </c>
      <c r="F26" s="985"/>
      <c r="G26" s="984" t="s">
        <v>9</v>
      </c>
    </row>
    <row r="27" spans="1:7">
      <c r="A27" s="252"/>
      <c r="B27" s="252"/>
      <c r="C27" s="252"/>
    </row>
    <row r="28" spans="1:7">
      <c r="A28" s="252"/>
      <c r="B28" s="252"/>
      <c r="C28" s="252"/>
    </row>
    <row r="29" spans="1:7">
      <c r="A29" s="252"/>
      <c r="B29" s="252"/>
      <c r="C29" s="252"/>
    </row>
    <row r="30" spans="1:7">
      <c r="A30" s="252"/>
      <c r="B30" s="252"/>
      <c r="C30" s="252"/>
    </row>
    <row r="31" spans="1:7">
      <c r="A31" s="252"/>
      <c r="B31" s="252"/>
      <c r="C31" s="252"/>
    </row>
    <row r="32" spans="1:7">
      <c r="A32" s="252"/>
      <c r="B32" s="252"/>
      <c r="C32" s="252"/>
    </row>
    <row r="33" spans="1:5">
      <c r="A33" s="252"/>
      <c r="B33" s="252"/>
      <c r="C33" s="252"/>
    </row>
    <row r="34" spans="1:5">
      <c r="A34" s="252"/>
      <c r="B34" s="252"/>
      <c r="C34" s="252"/>
    </row>
    <row r="35" spans="1:5">
      <c r="A35" s="252"/>
      <c r="B35" s="252"/>
      <c r="C35" s="252"/>
    </row>
    <row r="36" spans="1:5">
      <c r="A36" s="252"/>
      <c r="B36" s="252"/>
      <c r="C36" s="252"/>
    </row>
    <row r="37" spans="1:5">
      <c r="A37" s="252"/>
      <c r="B37" s="252"/>
      <c r="C37" s="252"/>
    </row>
    <row r="38" spans="1:5">
      <c r="A38" s="252"/>
      <c r="B38" s="252"/>
      <c r="C38" s="252"/>
    </row>
    <row r="39" spans="1:5">
      <c r="A39" s="252"/>
      <c r="B39" s="252"/>
      <c r="C39" s="252"/>
    </row>
    <row r="40" spans="1:5">
      <c r="A40" s="254"/>
      <c r="B40" s="254"/>
      <c r="C40" s="254"/>
      <c r="D40" s="256"/>
      <c r="E40" s="231"/>
    </row>
    <row r="41" spans="1:5">
      <c r="A41" s="252"/>
      <c r="B41" s="252"/>
      <c r="C41" s="252"/>
    </row>
    <row r="42" spans="1:5">
      <c r="A42" s="252"/>
      <c r="B42" s="252"/>
      <c r="C42" s="252"/>
    </row>
    <row r="43" spans="1:5">
      <c r="A43" s="252"/>
      <c r="B43" s="252"/>
      <c r="C43" s="252"/>
    </row>
    <row r="44" spans="1:5">
      <c r="A44" s="252"/>
      <c r="B44" s="252"/>
      <c r="C44" s="252"/>
    </row>
    <row r="45" spans="1:5">
      <c r="A45" s="252"/>
      <c r="B45" s="252"/>
      <c r="C45" s="252"/>
    </row>
    <row r="46" spans="1:5">
      <c r="A46" s="252"/>
      <c r="B46" s="252"/>
      <c r="C46" s="252"/>
    </row>
    <row r="47" spans="1:5">
      <c r="A47" s="252"/>
      <c r="B47" s="252"/>
      <c r="C47" s="252"/>
    </row>
    <row r="48" spans="1:5">
      <c r="A48" s="252"/>
      <c r="B48" s="252"/>
      <c r="C48" s="252"/>
    </row>
    <row r="49" spans="1:3">
      <c r="A49" s="252"/>
      <c r="B49" s="252"/>
      <c r="C49" s="252"/>
    </row>
    <row r="50" spans="1:3">
      <c r="A50" s="252"/>
      <c r="B50" s="252"/>
      <c r="C50" s="252"/>
    </row>
    <row r="51" spans="1:3">
      <c r="A51" s="252"/>
      <c r="B51" s="252"/>
      <c r="C51" s="252"/>
    </row>
    <row r="52" spans="1:3">
      <c r="A52" s="252"/>
      <c r="B52" s="252"/>
      <c r="C52" s="252"/>
    </row>
    <row r="53" spans="1:3">
      <c r="A53" s="252"/>
      <c r="B53" s="252"/>
      <c r="C53" s="252"/>
    </row>
    <row r="54" spans="1:3">
      <c r="A54" s="252"/>
      <c r="B54" s="252"/>
      <c r="C54" s="252"/>
    </row>
    <row r="55" spans="1:3">
      <c r="A55" s="252"/>
      <c r="B55" s="252"/>
      <c r="C55" s="252"/>
    </row>
    <row r="56" spans="1:3">
      <c r="A56" s="252"/>
      <c r="B56" s="252"/>
      <c r="C56" s="252"/>
    </row>
    <row r="57" spans="1:3">
      <c r="A57" s="252"/>
      <c r="B57" s="252"/>
      <c r="C57" s="252"/>
    </row>
    <row r="58" spans="1:3">
      <c r="A58" s="252"/>
      <c r="B58" s="252"/>
      <c r="C58" s="252"/>
    </row>
    <row r="59" spans="1:3">
      <c r="A59" s="252"/>
      <c r="B59" s="252"/>
      <c r="C59" s="252"/>
    </row>
    <row r="60" spans="1:3">
      <c r="A60" s="252"/>
      <c r="B60" s="252"/>
      <c r="C60" s="252"/>
    </row>
    <row r="61" spans="1:3">
      <c r="A61" s="252"/>
      <c r="B61" s="252"/>
      <c r="C61" s="252"/>
    </row>
    <row r="62" spans="1:3">
      <c r="A62" s="252"/>
      <c r="B62" s="252"/>
      <c r="C62" s="252"/>
    </row>
    <row r="63" spans="1:3">
      <c r="A63" s="252"/>
      <c r="B63" s="252"/>
      <c r="C63" s="252"/>
    </row>
    <row r="64" spans="1:3">
      <c r="A64" s="252"/>
      <c r="B64" s="252"/>
      <c r="C64" s="252"/>
    </row>
    <row r="65" spans="1:3">
      <c r="A65" s="252"/>
      <c r="B65" s="252"/>
      <c r="C65" s="252"/>
    </row>
    <row r="66" spans="1:3">
      <c r="A66" s="252"/>
      <c r="B66" s="252"/>
      <c r="C66" s="252"/>
    </row>
    <row r="67" spans="1:3">
      <c r="A67" s="252"/>
      <c r="B67" s="252"/>
      <c r="C67" s="252"/>
    </row>
    <row r="68" spans="1:3">
      <c r="A68" s="252"/>
      <c r="B68" s="252"/>
      <c r="C68" s="252"/>
    </row>
    <row r="69" spans="1:3">
      <c r="A69" s="252"/>
      <c r="B69" s="252"/>
      <c r="C69" s="252"/>
    </row>
    <row r="70" spans="1:3">
      <c r="A70" s="252"/>
      <c r="B70" s="252"/>
      <c r="C70" s="252"/>
    </row>
    <row r="71" spans="1:3">
      <c r="A71" s="252"/>
      <c r="B71" s="252"/>
      <c r="C71" s="252"/>
    </row>
    <row r="72" spans="1:3">
      <c r="A72" s="252"/>
      <c r="B72" s="252"/>
      <c r="C72" s="252"/>
    </row>
    <row r="73" spans="1:3">
      <c r="A73" s="252"/>
      <c r="B73" s="252"/>
      <c r="C73" s="252"/>
    </row>
    <row r="74" spans="1:3">
      <c r="A74" s="252"/>
      <c r="B74" s="252"/>
      <c r="C74" s="252"/>
    </row>
    <row r="75" spans="1:3">
      <c r="A75" s="252"/>
      <c r="B75" s="252"/>
      <c r="C75" s="252"/>
    </row>
    <row r="76" spans="1:3">
      <c r="A76" s="252"/>
      <c r="B76" s="252"/>
      <c r="C76" s="252"/>
    </row>
    <row r="77" spans="1:3">
      <c r="A77" s="252"/>
      <c r="B77" s="252"/>
      <c r="C77" s="252"/>
    </row>
    <row r="78" spans="1:3">
      <c r="A78" s="252"/>
      <c r="B78" s="252"/>
      <c r="C78" s="252"/>
    </row>
    <row r="79" spans="1:3">
      <c r="A79" s="252"/>
      <c r="B79" s="252"/>
      <c r="C79" s="252"/>
    </row>
    <row r="80" spans="1:3">
      <c r="A80" s="252"/>
      <c r="B80" s="252"/>
      <c r="C80" s="252"/>
    </row>
    <row r="81" spans="1:3">
      <c r="A81" s="252"/>
      <c r="B81" s="252"/>
      <c r="C81" s="252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300AA-BC98-404E-A504-9ED2383F67DA}">
  <sheetPr>
    <tabColor rgb="FFFFFF00"/>
  </sheetPr>
  <dimension ref="A1:K85"/>
  <sheetViews>
    <sheetView showGridLines="0" zoomScaleNormal="100" workbookViewId="0">
      <selection activeCellId="1" sqref="I8 A1:XFD1048576"/>
    </sheetView>
  </sheetViews>
  <sheetFormatPr defaultColWidth="8.8984375" defaultRowHeight="13.8"/>
  <cols>
    <col min="1" max="1" width="5.59765625" bestFit="1" customWidth="1"/>
    <col min="2" max="2" width="16.69921875" bestFit="1" customWidth="1"/>
    <col min="3" max="3" width="7.8984375" bestFit="1" customWidth="1"/>
    <col min="4" max="4" width="8" bestFit="1" customWidth="1"/>
    <col min="5" max="5" width="16.59765625" style="212" bestFit="1" customWidth="1"/>
    <col min="7" max="7" width="27.09765625" bestFit="1" customWidth="1"/>
    <col min="10" max="10" width="25.59765625" bestFit="1" customWidth="1"/>
    <col min="11" max="11" width="12.8984375" style="8" bestFit="1" customWidth="1"/>
  </cols>
  <sheetData>
    <row r="1" spans="1:11" ht="14.4" thickBot="1">
      <c r="A1" s="369" t="s">
        <v>0</v>
      </c>
      <c r="B1" s="369" t="s">
        <v>1</v>
      </c>
      <c r="C1" s="369" t="s">
        <v>2</v>
      </c>
      <c r="D1" s="369" t="s">
        <v>1322</v>
      </c>
      <c r="E1" s="371" t="s">
        <v>1323</v>
      </c>
      <c r="F1" s="370" t="s">
        <v>3</v>
      </c>
      <c r="G1" s="369" t="s">
        <v>4</v>
      </c>
      <c r="I1" s="57"/>
      <c r="J1" s="370" t="s">
        <v>5</v>
      </c>
      <c r="K1" s="372" t="s">
        <v>1324</v>
      </c>
    </row>
    <row r="2" spans="1:11" s="246" customFormat="1" ht="14.4" thickTop="1">
      <c r="A2" s="252">
        <v>1</v>
      </c>
      <c r="B2" s="252" t="s">
        <v>7</v>
      </c>
      <c r="C2" s="252">
        <v>2130870</v>
      </c>
      <c r="D2" s="245">
        <v>45862</v>
      </c>
      <c r="E2" s="222">
        <v>59192.46</v>
      </c>
      <c r="F2" s="248" t="s">
        <v>1325</v>
      </c>
      <c r="G2" s="244" t="s">
        <v>9</v>
      </c>
      <c r="J2" s="1027">
        <v>174987</v>
      </c>
      <c r="K2" s="1028">
        <v>38406.530000000006</v>
      </c>
    </row>
    <row r="3" spans="1:11" s="246" customFormat="1">
      <c r="A3" s="252">
        <v>2</v>
      </c>
      <c r="B3" s="252" t="s">
        <v>7</v>
      </c>
      <c r="C3" s="252">
        <v>2130870</v>
      </c>
      <c r="D3" s="245">
        <v>45862</v>
      </c>
      <c r="E3" s="222">
        <v>323614.13</v>
      </c>
      <c r="F3" s="248" t="s">
        <v>32</v>
      </c>
      <c r="G3" s="244" t="s">
        <v>9</v>
      </c>
      <c r="J3" s="1024">
        <v>174988</v>
      </c>
      <c r="K3" s="355">
        <v>592123.42999999993</v>
      </c>
    </row>
    <row r="4" spans="1:11" s="246" customFormat="1">
      <c r="A4" s="252">
        <v>3</v>
      </c>
      <c r="B4" s="252" t="s">
        <v>7</v>
      </c>
      <c r="C4" s="252">
        <v>2150983</v>
      </c>
      <c r="D4" s="245">
        <v>45862</v>
      </c>
      <c r="E4" s="222">
        <v>3429.9</v>
      </c>
      <c r="F4" s="248"/>
      <c r="G4" s="244" t="s">
        <v>9</v>
      </c>
      <c r="J4" s="1036">
        <v>174989</v>
      </c>
      <c r="K4" s="1037">
        <v>2016.81</v>
      </c>
    </row>
    <row r="5" spans="1:11" s="246" customFormat="1">
      <c r="A5" s="252">
        <v>4</v>
      </c>
      <c r="B5" s="252" t="s">
        <v>7</v>
      </c>
      <c r="C5" s="252">
        <v>2060855</v>
      </c>
      <c r="D5" s="245">
        <v>45862</v>
      </c>
      <c r="E5" s="222">
        <v>12000000</v>
      </c>
      <c r="F5" s="248" t="s">
        <v>1329</v>
      </c>
      <c r="G5" s="244" t="s">
        <v>9</v>
      </c>
      <c r="J5" s="971">
        <v>174994</v>
      </c>
      <c r="K5" s="972">
        <v>7158.01</v>
      </c>
    </row>
    <row r="6" spans="1:11" s="246" customFormat="1" ht="14.4" thickBot="1">
      <c r="A6" s="1016">
        <v>6</v>
      </c>
      <c r="B6" s="1016" t="s">
        <v>13</v>
      </c>
      <c r="C6" s="1016">
        <v>2090821</v>
      </c>
      <c r="D6" s="1017">
        <v>45862</v>
      </c>
      <c r="E6" s="1018">
        <v>19580</v>
      </c>
      <c r="F6" s="1019"/>
      <c r="G6" s="288" t="s">
        <v>9</v>
      </c>
      <c r="J6" s="1042">
        <v>175008</v>
      </c>
      <c r="K6" s="1043">
        <v>2926.65</v>
      </c>
    </row>
    <row r="7" spans="1:11" s="246" customFormat="1">
      <c r="A7" s="252">
        <v>10</v>
      </c>
      <c r="B7" s="252" t="s">
        <v>11</v>
      </c>
      <c r="C7" s="252">
        <v>1170470</v>
      </c>
      <c r="D7" s="245">
        <v>45862</v>
      </c>
      <c r="E7" s="222">
        <v>59192.46</v>
      </c>
      <c r="F7" s="248" t="s">
        <v>1354</v>
      </c>
      <c r="G7" s="244" t="s">
        <v>9</v>
      </c>
      <c r="J7" s="1054" t="s">
        <v>1473</v>
      </c>
      <c r="K7" s="1055">
        <v>36.67</v>
      </c>
    </row>
    <row r="8" spans="1:11" s="246" customFormat="1">
      <c r="A8" s="252">
        <v>11</v>
      </c>
      <c r="B8" s="252" t="s">
        <v>11</v>
      </c>
      <c r="C8" s="252">
        <v>1170470</v>
      </c>
      <c r="D8" s="245">
        <v>45862</v>
      </c>
      <c r="E8" s="222">
        <v>854642.4</v>
      </c>
      <c r="F8" s="248" t="s">
        <v>1360</v>
      </c>
      <c r="G8" s="244" t="s">
        <v>9</v>
      </c>
      <c r="J8" s="1060" t="s">
        <v>1474</v>
      </c>
      <c r="K8" s="1061">
        <v>775.48</v>
      </c>
    </row>
    <row r="9" spans="1:11" s="246" customFormat="1">
      <c r="A9" s="252">
        <v>12</v>
      </c>
      <c r="B9" s="252" t="s">
        <v>11</v>
      </c>
      <c r="C9" s="252">
        <v>1170470</v>
      </c>
      <c r="D9" s="245">
        <v>45862</v>
      </c>
      <c r="E9" s="222">
        <v>2030.7</v>
      </c>
      <c r="F9" s="248" t="s">
        <v>1365</v>
      </c>
      <c r="G9" s="244" t="s">
        <v>9</v>
      </c>
      <c r="J9" s="1048" t="s">
        <v>1475</v>
      </c>
      <c r="K9" s="1049">
        <v>75.819999999999993</v>
      </c>
    </row>
    <row r="10" spans="1:11" s="246" customFormat="1">
      <c r="A10" s="252">
        <v>13</v>
      </c>
      <c r="B10" s="252" t="s">
        <v>11</v>
      </c>
      <c r="C10" s="252">
        <v>1170470</v>
      </c>
      <c r="D10" s="823">
        <v>45862</v>
      </c>
      <c r="E10" s="222">
        <v>359.87</v>
      </c>
      <c r="F10" s="248" t="s">
        <v>1365</v>
      </c>
      <c r="G10" s="244" t="s">
        <v>9</v>
      </c>
      <c r="K10" s="316"/>
    </row>
    <row r="11" spans="1:11" s="246" customFormat="1">
      <c r="A11" s="252">
        <v>14</v>
      </c>
      <c r="B11" s="252" t="s">
        <v>11</v>
      </c>
      <c r="C11" s="252">
        <v>1170470</v>
      </c>
      <c r="D11" s="823">
        <v>45862</v>
      </c>
      <c r="E11" s="222">
        <v>2064.06</v>
      </c>
      <c r="F11" s="248" t="s">
        <v>1365</v>
      </c>
      <c r="G11" s="244" t="s">
        <v>9</v>
      </c>
      <c r="K11" s="316"/>
    </row>
    <row r="12" spans="1:11" s="246" customFormat="1">
      <c r="A12" s="252">
        <v>15</v>
      </c>
      <c r="B12" s="252" t="s">
        <v>11</v>
      </c>
      <c r="C12" s="252">
        <v>1170470</v>
      </c>
      <c r="D12" s="823">
        <v>45862</v>
      </c>
      <c r="E12" s="222">
        <v>1542.3</v>
      </c>
      <c r="F12" s="248" t="s">
        <v>1365</v>
      </c>
      <c r="G12" s="244" t="s">
        <v>9</v>
      </c>
      <c r="K12" s="316"/>
    </row>
    <row r="13" spans="1:11" s="246" customFormat="1">
      <c r="A13" s="252">
        <v>16</v>
      </c>
      <c r="B13" s="252" t="s">
        <v>11</v>
      </c>
      <c r="C13" s="252">
        <v>1170470</v>
      </c>
      <c r="D13" s="823">
        <v>45862</v>
      </c>
      <c r="E13" s="222">
        <v>1867.39</v>
      </c>
      <c r="F13" s="248" t="s">
        <v>1365</v>
      </c>
      <c r="G13" s="244" t="s">
        <v>9</v>
      </c>
      <c r="K13" s="316"/>
    </row>
    <row r="14" spans="1:11" s="246" customFormat="1">
      <c r="A14" s="252">
        <v>17</v>
      </c>
      <c r="B14" s="252" t="s">
        <v>11</v>
      </c>
      <c r="C14" s="252">
        <v>1170470</v>
      </c>
      <c r="D14" s="823">
        <v>45862</v>
      </c>
      <c r="E14" s="222">
        <v>2529.41</v>
      </c>
      <c r="F14" s="248" t="s">
        <v>1365</v>
      </c>
      <c r="G14" s="244" t="s">
        <v>9</v>
      </c>
      <c r="K14" s="316"/>
    </row>
    <row r="15" spans="1:11" s="246" customFormat="1">
      <c r="A15" s="252">
        <v>18</v>
      </c>
      <c r="B15" s="252" t="s">
        <v>11</v>
      </c>
      <c r="C15" s="252">
        <v>1170470</v>
      </c>
      <c r="D15" s="823">
        <v>45862</v>
      </c>
      <c r="E15" s="222">
        <v>2038.78</v>
      </c>
      <c r="F15" s="248" t="s">
        <v>1365</v>
      </c>
      <c r="G15" s="244" t="s">
        <v>9</v>
      </c>
      <c r="K15" s="316"/>
    </row>
    <row r="16" spans="1:11" s="246" customFormat="1">
      <c r="A16" s="252">
        <v>19</v>
      </c>
      <c r="B16" s="252" t="s">
        <v>11</v>
      </c>
      <c r="C16" s="252">
        <v>1170470</v>
      </c>
      <c r="D16" s="823">
        <v>45862</v>
      </c>
      <c r="E16" s="222">
        <v>2145.71</v>
      </c>
      <c r="F16" s="248" t="s">
        <v>1365</v>
      </c>
      <c r="G16" s="244" t="s">
        <v>9</v>
      </c>
      <c r="K16" s="316"/>
    </row>
    <row r="17" spans="1:11" s="246" customFormat="1">
      <c r="A17" s="252">
        <v>20</v>
      </c>
      <c r="B17" s="252" t="s">
        <v>11</v>
      </c>
      <c r="C17" s="252">
        <v>1170470</v>
      </c>
      <c r="D17" s="823">
        <v>45862</v>
      </c>
      <c r="E17" s="222">
        <v>531.11</v>
      </c>
      <c r="F17" s="248" t="s">
        <v>1365</v>
      </c>
      <c r="G17" s="244" t="s">
        <v>9</v>
      </c>
      <c r="K17" s="316"/>
    </row>
    <row r="18" spans="1:11" s="246" customFormat="1">
      <c r="A18" s="252">
        <v>21</v>
      </c>
      <c r="B18" s="252" t="s">
        <v>11</v>
      </c>
      <c r="C18" s="252">
        <v>1170470</v>
      </c>
      <c r="D18" s="823">
        <v>45862</v>
      </c>
      <c r="E18" s="222">
        <v>2641.93</v>
      </c>
      <c r="F18" s="248" t="s">
        <v>1365</v>
      </c>
      <c r="G18" s="244" t="s">
        <v>9</v>
      </c>
      <c r="K18" s="316"/>
    </row>
    <row r="19" spans="1:11" s="246" customFormat="1">
      <c r="A19" s="252">
        <v>22</v>
      </c>
      <c r="B19" s="252" t="s">
        <v>11</v>
      </c>
      <c r="C19" s="252">
        <v>1170470</v>
      </c>
      <c r="D19" s="823">
        <v>45862</v>
      </c>
      <c r="E19" s="222">
        <v>1208.5</v>
      </c>
      <c r="F19" s="248" t="s">
        <v>1365</v>
      </c>
      <c r="G19" s="244" t="s">
        <v>9</v>
      </c>
      <c r="K19" s="316"/>
    </row>
    <row r="20" spans="1:11" s="246" customFormat="1">
      <c r="A20" s="252">
        <v>23</v>
      </c>
      <c r="B20" s="252" t="s">
        <v>11</v>
      </c>
      <c r="C20" s="252">
        <v>1170470</v>
      </c>
      <c r="D20" s="823">
        <v>45862</v>
      </c>
      <c r="E20" s="222">
        <v>287.27999999999997</v>
      </c>
      <c r="F20" s="248" t="s">
        <v>1365</v>
      </c>
      <c r="G20" s="244" t="s">
        <v>9</v>
      </c>
      <c r="K20" s="316"/>
    </row>
    <row r="21" spans="1:11" s="246" customFormat="1">
      <c r="A21" s="252">
        <v>24</v>
      </c>
      <c r="B21" s="252" t="s">
        <v>11</v>
      </c>
      <c r="C21" s="252">
        <v>1170470</v>
      </c>
      <c r="D21" s="823">
        <v>45862</v>
      </c>
      <c r="E21" s="222">
        <v>4225.1899999999996</v>
      </c>
      <c r="F21" s="248" t="s">
        <v>1458</v>
      </c>
      <c r="G21" s="244" t="s">
        <v>9</v>
      </c>
      <c r="K21" s="316"/>
    </row>
    <row r="22" spans="1:11" s="246" customFormat="1">
      <c r="A22" s="252">
        <v>25</v>
      </c>
      <c r="B22" s="252" t="s">
        <v>11</v>
      </c>
      <c r="C22" s="252">
        <v>1170470</v>
      </c>
      <c r="D22" s="823">
        <v>45862</v>
      </c>
      <c r="E22" s="222">
        <v>1083.06</v>
      </c>
      <c r="F22" s="248" t="s">
        <v>1458</v>
      </c>
      <c r="G22" s="244" t="s">
        <v>9</v>
      </c>
      <c r="K22" s="316"/>
    </row>
    <row r="23" spans="1:11" s="246" customFormat="1">
      <c r="A23" s="252">
        <v>26</v>
      </c>
      <c r="B23" s="252" t="s">
        <v>11</v>
      </c>
      <c r="C23" s="252">
        <v>1170470</v>
      </c>
      <c r="D23" s="823">
        <v>45862</v>
      </c>
      <c r="E23" s="222">
        <v>698.25</v>
      </c>
      <c r="F23" s="248" t="s">
        <v>1458</v>
      </c>
      <c r="G23" s="244" t="s">
        <v>9</v>
      </c>
      <c r="K23" s="316"/>
    </row>
    <row r="24" spans="1:11" s="246" customFormat="1">
      <c r="A24" s="252">
        <v>27</v>
      </c>
      <c r="B24" s="252" t="s">
        <v>11</v>
      </c>
      <c r="C24" s="252">
        <v>1170470</v>
      </c>
      <c r="D24" s="823">
        <v>45862</v>
      </c>
      <c r="E24" s="222">
        <v>698.25</v>
      </c>
      <c r="F24" s="248" t="s">
        <v>1458</v>
      </c>
      <c r="G24" s="244" t="s">
        <v>9</v>
      </c>
      <c r="K24" s="316"/>
    </row>
    <row r="25" spans="1:11" s="246" customFormat="1">
      <c r="A25" s="1021">
        <v>28</v>
      </c>
      <c r="B25" s="1021" t="s">
        <v>11</v>
      </c>
      <c r="C25" s="1021">
        <v>1040211</v>
      </c>
      <c r="D25" s="1022">
        <v>45862</v>
      </c>
      <c r="E25" s="1020">
        <v>523256.96</v>
      </c>
      <c r="F25" s="1023"/>
      <c r="G25" s="1023" t="s">
        <v>9</v>
      </c>
      <c r="K25" s="316"/>
    </row>
    <row r="26" spans="1:11" s="246" customFormat="1">
      <c r="A26" s="1025">
        <v>40</v>
      </c>
      <c r="B26" s="1025" t="s">
        <v>11</v>
      </c>
      <c r="C26" s="1025">
        <v>1200393</v>
      </c>
      <c r="D26" s="433">
        <v>45862</v>
      </c>
      <c r="E26" s="1026">
        <v>5775.01</v>
      </c>
      <c r="F26" s="432"/>
      <c r="G26" s="432" t="s">
        <v>9</v>
      </c>
      <c r="K26" s="316"/>
    </row>
    <row r="27" spans="1:11" s="246" customFormat="1">
      <c r="A27" s="1025">
        <v>41</v>
      </c>
      <c r="B27" s="1025" t="s">
        <v>11</v>
      </c>
      <c r="C27" s="1025">
        <v>1040211</v>
      </c>
      <c r="D27" s="433">
        <v>45862</v>
      </c>
      <c r="E27" s="1026">
        <v>32631.52</v>
      </c>
      <c r="F27" s="432"/>
      <c r="G27" s="432" t="s">
        <v>9</v>
      </c>
      <c r="K27" s="316"/>
    </row>
    <row r="28" spans="1:11" s="246" customFormat="1">
      <c r="A28" s="1021">
        <v>42</v>
      </c>
      <c r="B28" s="1021" t="s">
        <v>11</v>
      </c>
      <c r="C28" s="1021">
        <v>1200393</v>
      </c>
      <c r="D28" s="1022">
        <v>45862</v>
      </c>
      <c r="E28" s="1020">
        <v>7772.06</v>
      </c>
      <c r="F28" s="1023"/>
      <c r="G28" s="1023" t="s">
        <v>9</v>
      </c>
      <c r="K28" s="316"/>
    </row>
    <row r="29" spans="1:11" s="246" customFormat="1">
      <c r="A29" s="1021">
        <v>43</v>
      </c>
      <c r="B29" s="1021" t="s">
        <v>11</v>
      </c>
      <c r="C29" s="1021">
        <v>1200393</v>
      </c>
      <c r="D29" s="1022">
        <v>45862</v>
      </c>
      <c r="E29" s="1020">
        <v>61094.41</v>
      </c>
      <c r="F29" s="1023"/>
      <c r="G29" s="1023" t="s">
        <v>9</v>
      </c>
      <c r="K29" s="316"/>
    </row>
    <row r="30" spans="1:11" s="246" customFormat="1">
      <c r="A30" s="252">
        <v>44</v>
      </c>
      <c r="B30" s="252" t="s">
        <v>11</v>
      </c>
      <c r="C30" s="252">
        <v>1060345</v>
      </c>
      <c r="D30" s="823">
        <v>45862</v>
      </c>
      <c r="E30" s="222">
        <v>700000</v>
      </c>
      <c r="F30" s="248" t="s">
        <v>1459</v>
      </c>
      <c r="G30" s="248" t="s">
        <v>9</v>
      </c>
      <c r="K30" s="316"/>
    </row>
    <row r="31" spans="1:11" s="246" customFormat="1">
      <c r="A31" s="1032">
        <v>47</v>
      </c>
      <c r="B31" s="1032" t="s">
        <v>11</v>
      </c>
      <c r="C31" s="1032">
        <v>1040362</v>
      </c>
      <c r="D31" s="1033">
        <v>45862</v>
      </c>
      <c r="E31" s="1034">
        <v>952.77</v>
      </c>
      <c r="F31" s="1035"/>
      <c r="G31" s="1035" t="s">
        <v>9</v>
      </c>
      <c r="K31" s="316"/>
    </row>
    <row r="32" spans="1:11" s="246" customFormat="1">
      <c r="A32" s="1032">
        <v>48</v>
      </c>
      <c r="B32" s="1032" t="s">
        <v>11</v>
      </c>
      <c r="C32" s="1032">
        <v>1040362</v>
      </c>
      <c r="D32" s="1033">
        <v>45862</v>
      </c>
      <c r="E32" s="1034">
        <v>964.62</v>
      </c>
      <c r="F32" s="1035"/>
      <c r="G32" s="1035" t="s">
        <v>9</v>
      </c>
      <c r="K32" s="316"/>
    </row>
    <row r="33" spans="1:11" s="246" customFormat="1">
      <c r="A33" s="1032">
        <v>49</v>
      </c>
      <c r="B33" s="1032" t="s">
        <v>11</v>
      </c>
      <c r="C33" s="1032">
        <v>1040362</v>
      </c>
      <c r="D33" s="1033">
        <v>45862</v>
      </c>
      <c r="E33" s="1034">
        <v>99.42</v>
      </c>
      <c r="F33" s="1035"/>
      <c r="G33" s="1035" t="s">
        <v>9</v>
      </c>
      <c r="K33" s="316"/>
    </row>
    <row r="34" spans="1:11" s="246" customFormat="1">
      <c r="A34" s="967">
        <v>54</v>
      </c>
      <c r="B34" s="967" t="s">
        <v>11</v>
      </c>
      <c r="C34" s="967">
        <v>1040375</v>
      </c>
      <c r="D34" s="1029">
        <v>45862</v>
      </c>
      <c r="E34" s="1030">
        <v>1784.55</v>
      </c>
      <c r="F34" s="1031"/>
      <c r="G34" s="1031" t="s">
        <v>9</v>
      </c>
      <c r="K34" s="316"/>
    </row>
    <row r="35" spans="1:11" s="246" customFormat="1">
      <c r="A35" s="967">
        <v>55</v>
      </c>
      <c r="B35" s="967" t="s">
        <v>11</v>
      </c>
      <c r="C35" s="967">
        <v>1040375</v>
      </c>
      <c r="D35" s="1029">
        <v>45862</v>
      </c>
      <c r="E35" s="1030">
        <v>4858.5</v>
      </c>
      <c r="F35" s="1031"/>
      <c r="G35" s="1031" t="s">
        <v>9</v>
      </c>
      <c r="K35" s="316"/>
    </row>
    <row r="36" spans="1:11" s="246" customFormat="1">
      <c r="A36" s="967">
        <v>56</v>
      </c>
      <c r="B36" s="967" t="s">
        <v>11</v>
      </c>
      <c r="C36" s="967">
        <v>1040375</v>
      </c>
      <c r="D36" s="1029">
        <v>45862</v>
      </c>
      <c r="E36" s="1030">
        <v>230.53</v>
      </c>
      <c r="F36" s="1031"/>
      <c r="G36" s="1031" t="s">
        <v>9</v>
      </c>
      <c r="K36" s="316"/>
    </row>
    <row r="37" spans="1:11" s="246" customFormat="1">
      <c r="A37" s="967">
        <v>57</v>
      </c>
      <c r="B37" s="967" t="s">
        <v>11</v>
      </c>
      <c r="C37" s="967">
        <v>1040375</v>
      </c>
      <c r="D37" s="1029">
        <v>45862</v>
      </c>
      <c r="E37" s="1030">
        <v>214.39</v>
      </c>
      <c r="F37" s="1031"/>
      <c r="G37" s="1031" t="s">
        <v>9</v>
      </c>
      <c r="K37" s="316"/>
    </row>
    <row r="38" spans="1:11" s="246" customFormat="1">
      <c r="A38" s="967">
        <v>58</v>
      </c>
      <c r="B38" s="967" t="s">
        <v>11</v>
      </c>
      <c r="C38" s="967">
        <v>1040375</v>
      </c>
      <c r="D38" s="1029">
        <v>45862</v>
      </c>
      <c r="E38" s="1030">
        <v>70.040000000000006</v>
      </c>
      <c r="F38" s="1031"/>
      <c r="G38" s="1031" t="s">
        <v>9</v>
      </c>
      <c r="K38" s="316"/>
    </row>
    <row r="39" spans="1:11" s="246" customFormat="1">
      <c r="A39" s="1050">
        <v>59</v>
      </c>
      <c r="B39" s="1050" t="s">
        <v>11</v>
      </c>
      <c r="C39" s="1050">
        <v>1040375</v>
      </c>
      <c r="D39" s="1051">
        <v>45862</v>
      </c>
      <c r="E39" s="1052">
        <v>18</v>
      </c>
      <c r="F39" s="1053"/>
      <c r="G39" s="1053" t="s">
        <v>9</v>
      </c>
      <c r="K39" s="316"/>
    </row>
    <row r="40" spans="1:11" s="246" customFormat="1">
      <c r="A40" s="1050">
        <v>60</v>
      </c>
      <c r="B40" s="1050" t="s">
        <v>11</v>
      </c>
      <c r="C40" s="1050">
        <v>1040375</v>
      </c>
      <c r="D40" s="1051">
        <v>45862</v>
      </c>
      <c r="E40" s="1052">
        <v>18.670000000000002</v>
      </c>
      <c r="F40" s="1053"/>
      <c r="G40" s="1053" t="s">
        <v>9</v>
      </c>
      <c r="K40" s="316"/>
    </row>
    <row r="41" spans="1:11" s="246" customFormat="1">
      <c r="A41" s="1056">
        <v>61</v>
      </c>
      <c r="B41" s="1056" t="s">
        <v>11</v>
      </c>
      <c r="C41" s="1056">
        <v>1040375</v>
      </c>
      <c r="D41" s="1057">
        <v>45862</v>
      </c>
      <c r="E41" s="1058">
        <v>246.72</v>
      </c>
      <c r="F41" s="1059"/>
      <c r="G41" s="1059" t="s">
        <v>9</v>
      </c>
      <c r="K41" s="316"/>
    </row>
    <row r="42" spans="1:11" s="246" customFormat="1">
      <c r="A42" s="1056">
        <v>62</v>
      </c>
      <c r="B42" s="1056" t="s">
        <v>11</v>
      </c>
      <c r="C42" s="1056">
        <v>1040375</v>
      </c>
      <c r="D42" s="1057">
        <v>45862</v>
      </c>
      <c r="E42" s="1058">
        <v>372.01</v>
      </c>
      <c r="F42" s="1059"/>
      <c r="G42" s="1059" t="s">
        <v>9</v>
      </c>
      <c r="K42" s="316"/>
    </row>
    <row r="43" spans="1:11" s="246" customFormat="1">
      <c r="A43" s="1056">
        <v>63</v>
      </c>
      <c r="B43" s="1056" t="s">
        <v>11</v>
      </c>
      <c r="C43" s="1056">
        <v>1040375</v>
      </c>
      <c r="D43" s="1057">
        <v>45862</v>
      </c>
      <c r="E43" s="1058">
        <v>156.75</v>
      </c>
      <c r="F43" s="1059"/>
      <c r="G43" s="1059" t="s">
        <v>9</v>
      </c>
      <c r="K43" s="316"/>
    </row>
    <row r="44" spans="1:11" s="246" customFormat="1">
      <c r="A44" s="1038">
        <v>68</v>
      </c>
      <c r="B44" s="1038" t="s">
        <v>11</v>
      </c>
      <c r="C44" s="1038">
        <v>1040375</v>
      </c>
      <c r="D44" s="1039">
        <v>45862</v>
      </c>
      <c r="E44" s="1040">
        <v>2651.95</v>
      </c>
      <c r="F44" s="1041"/>
      <c r="G44" s="1041" t="s">
        <v>9</v>
      </c>
      <c r="K44" s="316"/>
    </row>
    <row r="45" spans="1:11" s="246" customFormat="1">
      <c r="A45" s="1038">
        <v>69</v>
      </c>
      <c r="B45" s="1038" t="s">
        <v>11</v>
      </c>
      <c r="C45" s="1038">
        <v>1040375</v>
      </c>
      <c r="D45" s="1039">
        <v>45862</v>
      </c>
      <c r="E45" s="1040">
        <v>59.71</v>
      </c>
      <c r="F45" s="1041"/>
      <c r="G45" s="1041" t="s">
        <v>9</v>
      </c>
      <c r="K45" s="316"/>
    </row>
    <row r="46" spans="1:11" s="246" customFormat="1">
      <c r="A46" s="1038">
        <v>70</v>
      </c>
      <c r="B46" s="1038" t="s">
        <v>11</v>
      </c>
      <c r="C46" s="1038">
        <v>1040375</v>
      </c>
      <c r="D46" s="1039">
        <v>45862</v>
      </c>
      <c r="E46" s="1040">
        <v>163.6</v>
      </c>
      <c r="F46" s="1041"/>
      <c r="G46" s="1041" t="s">
        <v>9</v>
      </c>
      <c r="K46" s="316"/>
    </row>
    <row r="47" spans="1:11" s="246" customFormat="1">
      <c r="A47" s="1038">
        <v>71</v>
      </c>
      <c r="B47" s="1038" t="s">
        <v>11</v>
      </c>
      <c r="C47" s="1038">
        <v>1040375</v>
      </c>
      <c r="D47" s="1039">
        <v>45862</v>
      </c>
      <c r="E47" s="1040">
        <v>51.39</v>
      </c>
      <c r="F47" s="1041"/>
      <c r="G47" s="1041" t="s">
        <v>9</v>
      </c>
      <c r="K47" s="316"/>
    </row>
    <row r="48" spans="1:11" s="246" customFormat="1">
      <c r="A48" s="1044">
        <v>77</v>
      </c>
      <c r="B48" s="1044" t="s">
        <v>11</v>
      </c>
      <c r="C48" s="1044">
        <v>1040375</v>
      </c>
      <c r="D48" s="1045">
        <v>45862</v>
      </c>
      <c r="E48" s="1046">
        <v>22.96</v>
      </c>
      <c r="F48" s="1047"/>
      <c r="G48" s="1047" t="s">
        <v>9</v>
      </c>
      <c r="K48" s="316"/>
    </row>
    <row r="49" spans="1:11" s="246" customFormat="1">
      <c r="A49" s="1044">
        <v>78</v>
      </c>
      <c r="B49" s="1044" t="s">
        <v>11</v>
      </c>
      <c r="C49" s="1044">
        <v>1040375</v>
      </c>
      <c r="D49" s="1045">
        <v>45862</v>
      </c>
      <c r="E49" s="1046">
        <v>52.86</v>
      </c>
      <c r="F49" s="1047"/>
      <c r="G49" s="1047" t="s">
        <v>9</v>
      </c>
      <c r="K49" s="316"/>
    </row>
    <row r="50" spans="1:11" s="246" customFormat="1">
      <c r="A50" s="252"/>
      <c r="B50" s="252"/>
      <c r="C50" s="252"/>
      <c r="E50" s="215"/>
      <c r="K50" s="316"/>
    </row>
    <row r="51" spans="1:11" s="246" customFormat="1">
      <c r="A51" s="252"/>
      <c r="B51" s="252"/>
      <c r="C51" s="252"/>
      <c r="E51" s="215"/>
      <c r="K51" s="316"/>
    </row>
    <row r="52" spans="1:11" s="246" customFormat="1">
      <c r="A52" s="252"/>
      <c r="B52" s="252"/>
      <c r="C52" s="252"/>
      <c r="E52" s="215"/>
      <c r="K52" s="316"/>
    </row>
    <row r="53" spans="1:11" s="246" customFormat="1">
      <c r="A53" s="252"/>
      <c r="B53" s="252"/>
      <c r="C53" s="252"/>
      <c r="E53" s="215"/>
      <c r="K53" s="316"/>
    </row>
    <row r="54" spans="1:11" s="246" customFormat="1">
      <c r="A54" s="252"/>
      <c r="B54" s="252"/>
      <c r="C54" s="252"/>
      <c r="E54" s="215"/>
      <c r="K54" s="316"/>
    </row>
    <row r="55" spans="1:11" s="246" customFormat="1">
      <c r="A55" s="252"/>
      <c r="B55" s="252"/>
      <c r="C55" s="252"/>
      <c r="E55" s="215"/>
      <c r="K55" s="316"/>
    </row>
    <row r="56" spans="1:11" s="246" customFormat="1">
      <c r="A56" s="252"/>
      <c r="B56" s="252"/>
      <c r="C56" s="252"/>
      <c r="E56" s="215"/>
      <c r="K56" s="316"/>
    </row>
    <row r="57" spans="1:11" s="246" customFormat="1">
      <c r="A57" s="252"/>
      <c r="B57" s="252"/>
      <c r="C57" s="252"/>
      <c r="E57" s="215"/>
      <c r="K57" s="316"/>
    </row>
    <row r="58" spans="1:11" s="246" customFormat="1">
      <c r="A58" s="252"/>
      <c r="B58" s="252"/>
      <c r="C58" s="252"/>
      <c r="E58" s="215"/>
      <c r="K58" s="316"/>
    </row>
    <row r="59" spans="1:11" s="246" customFormat="1">
      <c r="A59" s="252"/>
      <c r="B59" s="252"/>
      <c r="C59" s="252"/>
      <c r="E59" s="215"/>
      <c r="K59" s="316"/>
    </row>
    <row r="60" spans="1:11" s="246" customFormat="1">
      <c r="A60" s="252"/>
      <c r="B60" s="252"/>
      <c r="C60" s="252"/>
      <c r="E60" s="215"/>
      <c r="K60" s="316"/>
    </row>
    <row r="61" spans="1:11" s="246" customFormat="1">
      <c r="A61" s="252"/>
      <c r="B61" s="252"/>
      <c r="C61" s="252"/>
      <c r="E61" s="215"/>
      <c r="K61" s="316"/>
    </row>
    <row r="62" spans="1:11" s="246" customFormat="1">
      <c r="A62" s="252"/>
      <c r="B62" s="252"/>
      <c r="C62" s="252"/>
      <c r="E62" s="215"/>
      <c r="K62" s="316"/>
    </row>
    <row r="63" spans="1:11" s="246" customFormat="1">
      <c r="A63" s="252"/>
      <c r="B63" s="252"/>
      <c r="C63" s="252"/>
      <c r="E63" s="215"/>
      <c r="K63" s="316"/>
    </row>
    <row r="64" spans="1:11" s="246" customFormat="1">
      <c r="A64" s="252"/>
      <c r="B64" s="252"/>
      <c r="C64" s="252"/>
      <c r="E64" s="215"/>
      <c r="K64" s="316"/>
    </row>
    <row r="65" spans="1:11" s="246" customFormat="1">
      <c r="A65" s="252"/>
      <c r="B65" s="252"/>
      <c r="C65" s="252"/>
      <c r="E65" s="215"/>
      <c r="K65" s="316"/>
    </row>
    <row r="66" spans="1:11" s="246" customFormat="1">
      <c r="A66" s="252"/>
      <c r="B66" s="252"/>
      <c r="C66" s="252"/>
      <c r="E66" s="215"/>
      <c r="K66" s="316"/>
    </row>
    <row r="67" spans="1:11" s="246" customFormat="1">
      <c r="A67" s="252"/>
      <c r="B67" s="252"/>
      <c r="C67" s="252"/>
      <c r="E67" s="215"/>
      <c r="K67" s="316"/>
    </row>
    <row r="68" spans="1:11" s="246" customFormat="1">
      <c r="A68" s="252"/>
      <c r="B68" s="252"/>
      <c r="C68" s="252"/>
      <c r="E68" s="215"/>
      <c r="K68" s="316"/>
    </row>
    <row r="69" spans="1:11" s="246" customFormat="1">
      <c r="A69" s="252"/>
      <c r="B69" s="252"/>
      <c r="C69" s="252"/>
      <c r="E69" s="215"/>
      <c r="K69" s="316"/>
    </row>
    <row r="70" spans="1:11" s="246" customFormat="1">
      <c r="A70" s="252"/>
      <c r="B70" s="252"/>
      <c r="C70" s="252"/>
      <c r="E70" s="215"/>
      <c r="K70" s="316"/>
    </row>
    <row r="71" spans="1:11" s="246" customFormat="1">
      <c r="A71" s="252"/>
      <c r="B71" s="252"/>
      <c r="C71" s="252"/>
      <c r="E71" s="215"/>
      <c r="K71" s="316"/>
    </row>
    <row r="72" spans="1:11" s="246" customFormat="1">
      <c r="A72" s="252"/>
      <c r="B72" s="252"/>
      <c r="C72" s="252"/>
      <c r="E72" s="215"/>
      <c r="K72" s="316"/>
    </row>
    <row r="73" spans="1:11" s="246" customFormat="1">
      <c r="A73" s="252"/>
      <c r="B73" s="252"/>
      <c r="C73" s="252"/>
      <c r="E73" s="215"/>
      <c r="K73" s="316"/>
    </row>
    <row r="74" spans="1:11" s="246" customFormat="1">
      <c r="A74" s="252"/>
      <c r="B74" s="252"/>
      <c r="C74" s="252"/>
      <c r="E74" s="215"/>
      <c r="K74" s="316"/>
    </row>
    <row r="75" spans="1:11" s="246" customFormat="1">
      <c r="A75" s="252"/>
      <c r="B75" s="252"/>
      <c r="C75" s="252"/>
      <c r="E75" s="215"/>
      <c r="K75" s="316"/>
    </row>
    <row r="76" spans="1:11" s="246" customFormat="1">
      <c r="A76" s="252"/>
      <c r="B76" s="252"/>
      <c r="C76" s="252"/>
      <c r="E76" s="215"/>
      <c r="K76" s="316"/>
    </row>
    <row r="77" spans="1:11" s="246" customFormat="1">
      <c r="A77" s="252"/>
      <c r="B77" s="252"/>
      <c r="C77" s="252"/>
      <c r="E77" s="215"/>
      <c r="K77" s="316"/>
    </row>
    <row r="78" spans="1:11" s="246" customFormat="1">
      <c r="A78" s="252"/>
      <c r="B78" s="252"/>
      <c r="C78" s="252"/>
      <c r="E78" s="215"/>
      <c r="K78" s="316"/>
    </row>
    <row r="79" spans="1:11" s="246" customFormat="1">
      <c r="A79" s="252"/>
      <c r="B79" s="252"/>
      <c r="C79" s="252"/>
      <c r="E79" s="215"/>
      <c r="K79" s="316"/>
    </row>
    <row r="80" spans="1:11">
      <c r="A80" s="57"/>
      <c r="B80" s="57"/>
      <c r="C80" s="57"/>
    </row>
    <row r="81" spans="1:3">
      <c r="A81" s="57"/>
      <c r="B81" s="57"/>
      <c r="C81" s="57"/>
    </row>
    <row r="82" spans="1:3">
      <c r="A82" s="251"/>
      <c r="B82" s="251"/>
      <c r="C82" s="251"/>
    </row>
    <row r="83" spans="1:3">
      <c r="A83" s="251"/>
      <c r="B83" s="251"/>
      <c r="C83" s="251"/>
    </row>
    <row r="84" spans="1:3">
      <c r="A84" s="251"/>
      <c r="B84" s="251"/>
      <c r="C84" s="251"/>
    </row>
    <row r="85" spans="1:3">
      <c r="A85" s="251"/>
      <c r="B85" s="251"/>
      <c r="C85" s="251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F414B-9A43-4160-8A96-9B03CD1287AA}">
  <sheetPr>
    <tabColor rgb="FFFFFF00"/>
  </sheetPr>
  <dimension ref="A1:K85"/>
  <sheetViews>
    <sheetView showGridLines="0" zoomScaleNormal="100" workbookViewId="0">
      <selection activeCellId="1" sqref="I8 A1:XFD1048576"/>
    </sheetView>
  </sheetViews>
  <sheetFormatPr defaultColWidth="8.8984375" defaultRowHeight="13.8"/>
  <cols>
    <col min="1" max="1" width="5.69921875" bestFit="1" customWidth="1"/>
    <col min="2" max="2" width="15.19921875" bestFit="1" customWidth="1"/>
    <col min="3" max="3" width="7.796875" bestFit="1" customWidth="1"/>
    <col min="4" max="4" width="11.296875" style="208" bestFit="1" customWidth="1"/>
    <col min="5" max="5" width="16.3984375" style="212" bestFit="1" customWidth="1"/>
    <col min="6" max="6" width="12.8984375" style="6" bestFit="1" customWidth="1"/>
    <col min="7" max="7" width="28.5" bestFit="1" customWidth="1"/>
    <col min="11" max="11" width="15.296875" style="8" bestFit="1" customWidth="1"/>
  </cols>
  <sheetData>
    <row r="1" spans="1:11" ht="14.4" thickBot="1">
      <c r="A1" s="369" t="s">
        <v>0</v>
      </c>
      <c r="B1" s="369" t="s">
        <v>1</v>
      </c>
      <c r="C1" s="369" t="s">
        <v>2</v>
      </c>
      <c r="D1" s="369" t="s">
        <v>1322</v>
      </c>
      <c r="E1" s="371" t="s">
        <v>1323</v>
      </c>
      <c r="F1" s="370" t="s">
        <v>3</v>
      </c>
      <c r="G1" s="369" t="s">
        <v>4</v>
      </c>
      <c r="I1" s="57"/>
      <c r="J1" s="370" t="s">
        <v>5</v>
      </c>
      <c r="K1" s="372" t="s">
        <v>1324</v>
      </c>
    </row>
    <row r="2" spans="1:11" ht="14.4" thickTop="1">
      <c r="A2" s="246">
        <v>1</v>
      </c>
      <c r="B2" s="246" t="s">
        <v>7</v>
      </c>
      <c r="C2" s="246">
        <v>2130870</v>
      </c>
      <c r="D2" s="249">
        <v>45863</v>
      </c>
      <c r="E2" s="215">
        <v>59699.24</v>
      </c>
      <c r="F2" s="257" t="s">
        <v>1348</v>
      </c>
      <c r="G2" s="208" t="s">
        <v>9</v>
      </c>
      <c r="H2" s="246"/>
      <c r="I2" s="246"/>
      <c r="J2" s="1079">
        <v>175024</v>
      </c>
      <c r="K2" s="1080">
        <v>51643.17</v>
      </c>
    </row>
    <row r="3" spans="1:11">
      <c r="A3" s="248">
        <v>2</v>
      </c>
      <c r="B3" s="248" t="s">
        <v>7</v>
      </c>
      <c r="C3" s="248">
        <v>2130870</v>
      </c>
      <c r="D3" s="249">
        <v>45863</v>
      </c>
      <c r="E3" s="215">
        <v>11782.43</v>
      </c>
      <c r="F3" s="257" t="s">
        <v>1339</v>
      </c>
      <c r="G3" s="208" t="s">
        <v>9</v>
      </c>
      <c r="H3" s="246"/>
      <c r="I3" s="246"/>
      <c r="J3" s="1062">
        <v>175029</v>
      </c>
      <c r="K3" s="1063">
        <v>1659146.67</v>
      </c>
    </row>
    <row r="4" spans="1:11">
      <c r="A4" s="246">
        <v>3</v>
      </c>
      <c r="B4" s="246" t="s">
        <v>7</v>
      </c>
      <c r="C4" s="246">
        <v>2130870</v>
      </c>
      <c r="D4" s="249">
        <v>45863</v>
      </c>
      <c r="E4" s="215">
        <v>19092.54</v>
      </c>
      <c r="F4" s="257" t="s">
        <v>1340</v>
      </c>
      <c r="G4" s="208" t="s">
        <v>9</v>
      </c>
      <c r="H4" s="246"/>
      <c r="I4" s="246"/>
      <c r="J4" s="1062">
        <v>175030</v>
      </c>
      <c r="K4" s="1063">
        <v>3015070.1199999996</v>
      </c>
    </row>
    <row r="5" spans="1:11">
      <c r="A5" s="246">
        <v>4</v>
      </c>
      <c r="B5" s="246" t="s">
        <v>7</v>
      </c>
      <c r="C5" s="246">
        <v>2130870</v>
      </c>
      <c r="D5" s="249">
        <v>45863</v>
      </c>
      <c r="E5" s="215">
        <v>19522173.579999998</v>
      </c>
      <c r="F5" s="257" t="s">
        <v>32</v>
      </c>
      <c r="G5" s="208" t="s">
        <v>9</v>
      </c>
      <c r="H5" s="246"/>
      <c r="I5" s="246"/>
      <c r="J5" s="946">
        <v>175036</v>
      </c>
      <c r="K5" s="36">
        <v>2864640.5300000007</v>
      </c>
    </row>
    <row r="6" spans="1:11">
      <c r="A6" s="246">
        <v>5</v>
      </c>
      <c r="B6" s="246" t="s">
        <v>7</v>
      </c>
      <c r="C6" s="246">
        <v>2130870</v>
      </c>
      <c r="D6" s="249">
        <v>45863</v>
      </c>
      <c r="E6" s="215">
        <v>9421.8799999999992</v>
      </c>
      <c r="F6" s="257" t="s">
        <v>1328</v>
      </c>
      <c r="G6" s="208" t="s">
        <v>9</v>
      </c>
      <c r="H6" s="246"/>
      <c r="I6" s="246"/>
      <c r="J6" s="1002">
        <v>175044</v>
      </c>
      <c r="K6" s="1003">
        <v>31552.960000000006</v>
      </c>
    </row>
    <row r="7" spans="1:11">
      <c r="A7" s="246">
        <v>6</v>
      </c>
      <c r="B7" s="246" t="s">
        <v>7</v>
      </c>
      <c r="C7" s="246">
        <v>2150983</v>
      </c>
      <c r="D7" s="249">
        <v>45863</v>
      </c>
      <c r="E7" s="215">
        <v>139.05000000000001</v>
      </c>
      <c r="F7" s="257" t="s">
        <v>1349</v>
      </c>
      <c r="G7" s="208" t="s">
        <v>9</v>
      </c>
      <c r="H7" s="246"/>
      <c r="I7" s="246"/>
      <c r="J7" s="347">
        <v>175047</v>
      </c>
      <c r="K7" s="348">
        <v>38101.64</v>
      </c>
    </row>
    <row r="8" spans="1:11">
      <c r="A8" s="246">
        <v>7</v>
      </c>
      <c r="B8" s="246" t="s">
        <v>7</v>
      </c>
      <c r="C8" s="246">
        <v>2150983</v>
      </c>
      <c r="D8" s="249">
        <v>45863</v>
      </c>
      <c r="E8" s="215">
        <v>10152.18</v>
      </c>
      <c r="F8" s="257" t="s">
        <v>1349</v>
      </c>
      <c r="G8" s="208" t="s">
        <v>9</v>
      </c>
      <c r="H8" s="246"/>
      <c r="I8" s="246"/>
      <c r="J8" s="1069">
        <v>175051</v>
      </c>
      <c r="K8" s="67">
        <v>2042599.96</v>
      </c>
    </row>
    <row r="9" spans="1:11">
      <c r="A9" s="246">
        <v>9</v>
      </c>
      <c r="B9" s="246" t="s">
        <v>7</v>
      </c>
      <c r="C9" s="246">
        <v>2060855</v>
      </c>
      <c r="D9" s="249">
        <v>45863</v>
      </c>
      <c r="E9" s="215">
        <v>10600000</v>
      </c>
      <c r="F9" s="257" t="s">
        <v>1478</v>
      </c>
      <c r="G9" s="208" t="s">
        <v>9</v>
      </c>
      <c r="H9" s="246"/>
      <c r="I9" s="246"/>
      <c r="J9" s="1073">
        <v>175053</v>
      </c>
      <c r="K9" s="1074">
        <v>129262.9</v>
      </c>
    </row>
    <row r="10" spans="1:11">
      <c r="A10" s="246">
        <v>10</v>
      </c>
      <c r="B10" s="246" t="s">
        <v>7</v>
      </c>
      <c r="C10" s="246">
        <v>2050808</v>
      </c>
      <c r="D10" s="249">
        <v>45863</v>
      </c>
      <c r="E10" s="215">
        <v>47101.62</v>
      </c>
      <c r="F10" s="257" t="s">
        <v>1479</v>
      </c>
      <c r="G10" s="208" t="s">
        <v>9</v>
      </c>
      <c r="H10" s="246"/>
      <c r="I10" s="246"/>
      <c r="J10" s="123">
        <v>175060</v>
      </c>
      <c r="K10" s="25">
        <v>528.80999999999995</v>
      </c>
    </row>
    <row r="11" spans="1:11" ht="14.4" thickBot="1">
      <c r="A11" s="246">
        <v>11</v>
      </c>
      <c r="B11" s="246" t="s">
        <v>7</v>
      </c>
      <c r="C11" s="246">
        <v>2050808</v>
      </c>
      <c r="D11" s="249">
        <v>45863</v>
      </c>
      <c r="E11" s="215">
        <v>488192.88</v>
      </c>
      <c r="F11" s="257" t="s">
        <v>1479</v>
      </c>
      <c r="G11" s="208" t="s">
        <v>9</v>
      </c>
      <c r="H11" s="246"/>
      <c r="I11" s="246"/>
      <c r="J11" s="1075">
        <v>175061</v>
      </c>
      <c r="K11" s="1076">
        <v>42352.800000000003</v>
      </c>
    </row>
    <row r="12" spans="1:11" ht="14.4" thickTop="1">
      <c r="A12" s="1148">
        <v>14</v>
      </c>
      <c r="B12" s="1149" t="s">
        <v>11</v>
      </c>
      <c r="C12" s="1149">
        <v>1170470</v>
      </c>
      <c r="D12" s="1150">
        <v>45863</v>
      </c>
      <c r="E12" s="1151">
        <v>624.22</v>
      </c>
      <c r="F12" s="1149" t="s">
        <v>1365</v>
      </c>
      <c r="G12" s="517" t="s">
        <v>9</v>
      </c>
      <c r="H12" s="246"/>
      <c r="I12" s="246"/>
      <c r="J12" s="1077">
        <v>175062</v>
      </c>
      <c r="K12" s="1078">
        <v>17780.490000000002</v>
      </c>
    </row>
    <row r="13" spans="1:11">
      <c r="A13" s="1152">
        <v>15</v>
      </c>
      <c r="B13" s="252" t="s">
        <v>11</v>
      </c>
      <c r="C13" s="252">
        <v>1170470</v>
      </c>
      <c r="D13" s="253">
        <v>45863</v>
      </c>
      <c r="E13" s="225">
        <v>2168.25</v>
      </c>
      <c r="F13" s="252" t="s">
        <v>1458</v>
      </c>
      <c r="G13" s="520" t="s">
        <v>9</v>
      </c>
      <c r="H13" s="246"/>
      <c r="I13" s="246"/>
      <c r="J13" s="117">
        <v>175063</v>
      </c>
      <c r="K13" s="33">
        <v>496.89</v>
      </c>
    </row>
    <row r="14" spans="1:11">
      <c r="A14" s="1152">
        <v>16</v>
      </c>
      <c r="B14" s="252" t="s">
        <v>11</v>
      </c>
      <c r="C14" s="252">
        <v>1170470</v>
      </c>
      <c r="D14" s="253">
        <v>45863</v>
      </c>
      <c r="E14" s="225">
        <v>257.25</v>
      </c>
      <c r="F14" s="252" t="s">
        <v>1458</v>
      </c>
      <c r="G14" s="520" t="s">
        <v>9</v>
      </c>
      <c r="H14" s="246"/>
      <c r="I14" s="246"/>
      <c r="J14" s="1084" t="s">
        <v>1476</v>
      </c>
      <c r="K14" s="1085">
        <v>39.18</v>
      </c>
    </row>
    <row r="15" spans="1:11">
      <c r="A15" s="1153">
        <v>18</v>
      </c>
      <c r="B15" s="987" t="s">
        <v>11</v>
      </c>
      <c r="C15" s="987">
        <v>1200393</v>
      </c>
      <c r="D15" s="1121">
        <v>45863</v>
      </c>
      <c r="E15" s="1122">
        <v>1659146.67</v>
      </c>
      <c r="F15" s="987"/>
      <c r="G15" s="1154" t="s">
        <v>9</v>
      </c>
      <c r="H15" s="246"/>
      <c r="I15" s="246"/>
      <c r="J15" s="118" t="s">
        <v>1477</v>
      </c>
      <c r="K15" s="18">
        <v>529.37</v>
      </c>
    </row>
    <row r="16" spans="1:11">
      <c r="A16" s="1153">
        <v>19</v>
      </c>
      <c r="B16" s="987" t="s">
        <v>11</v>
      </c>
      <c r="C16" s="987">
        <v>1040211</v>
      </c>
      <c r="D16" s="1121">
        <v>45863</v>
      </c>
      <c r="E16" s="1122">
        <v>3015070.12</v>
      </c>
      <c r="F16" s="987"/>
      <c r="G16" s="1154" t="s">
        <v>9</v>
      </c>
      <c r="H16" s="246"/>
      <c r="I16" s="246"/>
      <c r="J16" s="246"/>
      <c r="K16" s="316"/>
    </row>
    <row r="17" spans="1:11">
      <c r="A17" s="1155">
        <v>23</v>
      </c>
      <c r="B17" s="1123" t="s">
        <v>11</v>
      </c>
      <c r="C17" s="1123">
        <v>1200393</v>
      </c>
      <c r="D17" s="1124">
        <v>45863</v>
      </c>
      <c r="E17" s="1125">
        <v>21779.38</v>
      </c>
      <c r="F17" s="1123"/>
      <c r="G17" s="1156" t="s">
        <v>9</v>
      </c>
      <c r="H17" s="246"/>
      <c r="I17" s="246"/>
      <c r="J17" s="246"/>
      <c r="K17" s="316"/>
    </row>
    <row r="18" spans="1:11">
      <c r="A18" s="1155">
        <v>24</v>
      </c>
      <c r="B18" s="1123" t="s">
        <v>11</v>
      </c>
      <c r="C18" s="1123">
        <v>1200393</v>
      </c>
      <c r="D18" s="1124">
        <v>45863</v>
      </c>
      <c r="E18" s="1125">
        <v>2309915.04</v>
      </c>
      <c r="F18" s="1123"/>
      <c r="G18" s="1156" t="s">
        <v>9</v>
      </c>
      <c r="H18" s="246"/>
      <c r="I18" s="246"/>
      <c r="J18" s="246"/>
      <c r="K18" s="316"/>
    </row>
    <row r="19" spans="1:11">
      <c r="A19" s="1155">
        <v>25</v>
      </c>
      <c r="B19" s="1123" t="s">
        <v>11</v>
      </c>
      <c r="C19" s="1123">
        <v>1040211</v>
      </c>
      <c r="D19" s="1124">
        <v>45863</v>
      </c>
      <c r="E19" s="1125">
        <v>532946.11</v>
      </c>
      <c r="F19" s="1123"/>
      <c r="G19" s="1157" t="s">
        <v>9</v>
      </c>
      <c r="H19" s="246"/>
      <c r="I19" s="246"/>
      <c r="J19" s="246"/>
      <c r="K19" s="316"/>
    </row>
    <row r="20" spans="1:11">
      <c r="A20" s="1158">
        <v>32</v>
      </c>
      <c r="B20" s="998" t="s">
        <v>11</v>
      </c>
      <c r="C20" s="998">
        <v>1200393</v>
      </c>
      <c r="D20" s="1126">
        <v>45863</v>
      </c>
      <c r="E20" s="1127">
        <v>2952.38</v>
      </c>
      <c r="F20" s="998"/>
      <c r="G20" s="1159" t="s">
        <v>9</v>
      </c>
      <c r="H20" s="246"/>
      <c r="I20" s="246"/>
      <c r="J20" s="246"/>
      <c r="K20" s="316"/>
    </row>
    <row r="21" spans="1:11">
      <c r="A21" s="1158">
        <v>33</v>
      </c>
      <c r="B21" s="998" t="s">
        <v>11</v>
      </c>
      <c r="C21" s="998">
        <v>1040211</v>
      </c>
      <c r="D21" s="1126">
        <v>45863</v>
      </c>
      <c r="E21" s="1127">
        <v>28600.58</v>
      </c>
      <c r="F21" s="998"/>
      <c r="G21" s="1159" t="s">
        <v>9</v>
      </c>
      <c r="H21" s="246"/>
      <c r="I21" s="246"/>
      <c r="J21" s="246"/>
      <c r="K21" s="316"/>
    </row>
    <row r="22" spans="1:11">
      <c r="A22" s="1160">
        <v>37</v>
      </c>
      <c r="B22" s="994" t="s">
        <v>11</v>
      </c>
      <c r="C22" s="994">
        <v>1040211</v>
      </c>
      <c r="D22" s="1128">
        <v>45863</v>
      </c>
      <c r="E22" s="1129">
        <v>38101.64</v>
      </c>
      <c r="F22" s="994"/>
      <c r="G22" s="1161" t="s">
        <v>9</v>
      </c>
      <c r="H22" s="246"/>
      <c r="I22" s="246"/>
      <c r="J22" s="246"/>
      <c r="K22" s="316"/>
    </row>
    <row r="23" spans="1:11">
      <c r="A23" s="1162">
        <v>41</v>
      </c>
      <c r="B23" s="1130" t="s">
        <v>11</v>
      </c>
      <c r="C23" s="1130">
        <v>1040211</v>
      </c>
      <c r="D23" s="1131">
        <v>45863</v>
      </c>
      <c r="E23" s="1132">
        <v>17780.490000000002</v>
      </c>
      <c r="F23" s="1130"/>
      <c r="G23" s="1163" t="s">
        <v>9</v>
      </c>
      <c r="H23" s="246"/>
      <c r="I23" s="246"/>
      <c r="J23" s="246"/>
      <c r="K23" s="316"/>
    </row>
    <row r="24" spans="1:11">
      <c r="A24" s="398">
        <v>42</v>
      </c>
      <c r="B24" s="399" t="s">
        <v>11</v>
      </c>
      <c r="C24" s="399">
        <v>1200393</v>
      </c>
      <c r="D24" s="400">
        <v>45863</v>
      </c>
      <c r="E24" s="401">
        <v>7071.81</v>
      </c>
      <c r="F24" s="399"/>
      <c r="G24" s="402" t="s">
        <v>9</v>
      </c>
      <c r="H24" s="246"/>
      <c r="I24" s="246"/>
      <c r="J24" s="246"/>
      <c r="K24" s="316"/>
    </row>
    <row r="25" spans="1:11">
      <c r="A25" s="398">
        <v>43</v>
      </c>
      <c r="B25" s="399" t="s">
        <v>11</v>
      </c>
      <c r="C25" s="399">
        <v>1040211</v>
      </c>
      <c r="D25" s="400">
        <v>45863</v>
      </c>
      <c r="E25" s="401">
        <v>44571.360000000001</v>
      </c>
      <c r="F25" s="399"/>
      <c r="G25" s="402" t="s">
        <v>9</v>
      </c>
      <c r="H25" s="246"/>
      <c r="I25" s="246"/>
      <c r="J25" s="246"/>
      <c r="K25" s="316"/>
    </row>
    <row r="26" spans="1:11">
      <c r="A26" s="663">
        <v>46</v>
      </c>
      <c r="B26" s="370" t="s">
        <v>12</v>
      </c>
      <c r="C26" s="370">
        <v>1100118</v>
      </c>
      <c r="D26" s="664">
        <v>45863</v>
      </c>
      <c r="E26" s="665">
        <v>49.87</v>
      </c>
      <c r="F26" s="370"/>
      <c r="G26" s="1164" t="s">
        <v>1487</v>
      </c>
      <c r="H26" s="246" t="s">
        <v>1488</v>
      </c>
      <c r="I26" s="246"/>
      <c r="J26" s="246"/>
      <c r="K26" s="316"/>
    </row>
    <row r="27" spans="1:11">
      <c r="A27" s="1165">
        <v>52</v>
      </c>
      <c r="B27" s="1133" t="s">
        <v>11</v>
      </c>
      <c r="C27" s="1133">
        <v>1040109</v>
      </c>
      <c r="D27" s="1134">
        <v>45863</v>
      </c>
      <c r="E27" s="1135">
        <v>2042599.96</v>
      </c>
      <c r="F27" s="1133"/>
      <c r="G27" s="1166" t="s">
        <v>9</v>
      </c>
      <c r="H27" s="246"/>
      <c r="I27" s="246"/>
      <c r="J27" s="246"/>
      <c r="K27" s="316"/>
    </row>
    <row r="28" spans="1:11">
      <c r="A28" s="1167">
        <v>53</v>
      </c>
      <c r="B28" s="1136" t="s">
        <v>11</v>
      </c>
      <c r="C28" s="1136">
        <v>1040109</v>
      </c>
      <c r="D28" s="1137">
        <v>45863</v>
      </c>
      <c r="E28" s="1138">
        <v>928.51</v>
      </c>
      <c r="F28" s="1136"/>
      <c r="G28" s="1168" t="s">
        <v>9</v>
      </c>
      <c r="H28" s="246"/>
      <c r="I28" s="246"/>
      <c r="J28" s="246"/>
      <c r="K28" s="316"/>
    </row>
    <row r="29" spans="1:11">
      <c r="A29" s="1167">
        <v>54</v>
      </c>
      <c r="B29" s="1136" t="s">
        <v>11</v>
      </c>
      <c r="C29" s="1136">
        <v>1040109</v>
      </c>
      <c r="D29" s="1137">
        <v>45863</v>
      </c>
      <c r="E29" s="1138">
        <v>873.25</v>
      </c>
      <c r="F29" s="1136"/>
      <c r="G29" s="1168" t="s">
        <v>9</v>
      </c>
      <c r="H29" s="246"/>
      <c r="I29" s="246"/>
      <c r="J29" s="246"/>
      <c r="K29" s="316"/>
    </row>
    <row r="30" spans="1:11">
      <c r="A30" s="1167">
        <v>55</v>
      </c>
      <c r="B30" s="1136" t="s">
        <v>11</v>
      </c>
      <c r="C30" s="1136">
        <v>1040363</v>
      </c>
      <c r="D30" s="1137">
        <v>45863</v>
      </c>
      <c r="E30" s="1138">
        <v>127461.14</v>
      </c>
      <c r="F30" s="1136"/>
      <c r="G30" s="1168" t="s">
        <v>9</v>
      </c>
      <c r="H30" s="246"/>
      <c r="I30" s="246"/>
      <c r="J30" s="246"/>
      <c r="K30" s="316"/>
    </row>
    <row r="31" spans="1:11">
      <c r="A31" s="1169">
        <v>59</v>
      </c>
      <c r="B31" s="1044" t="s">
        <v>11</v>
      </c>
      <c r="C31" s="1044">
        <v>1040109</v>
      </c>
      <c r="D31" s="1139">
        <v>45863</v>
      </c>
      <c r="E31" s="1140">
        <v>41417.69</v>
      </c>
      <c r="F31" s="1044"/>
      <c r="G31" s="1170" t="s">
        <v>9</v>
      </c>
      <c r="H31" s="246"/>
      <c r="I31" s="246"/>
      <c r="J31" s="246"/>
      <c r="K31" s="316"/>
    </row>
    <row r="32" spans="1:11">
      <c r="A32" s="1169">
        <v>60</v>
      </c>
      <c r="B32" s="1044" t="s">
        <v>11</v>
      </c>
      <c r="C32" s="1044">
        <v>1040109</v>
      </c>
      <c r="D32" s="1139">
        <v>45863</v>
      </c>
      <c r="E32" s="1140">
        <v>282.67</v>
      </c>
      <c r="F32" s="1044"/>
      <c r="G32" s="1170" t="s">
        <v>9</v>
      </c>
      <c r="H32" s="246"/>
      <c r="I32" s="246"/>
      <c r="J32" s="246"/>
      <c r="K32" s="316"/>
    </row>
    <row r="33" spans="1:11">
      <c r="A33" s="1169">
        <v>72</v>
      </c>
      <c r="B33" s="1044" t="s">
        <v>11</v>
      </c>
      <c r="C33" s="1044">
        <v>1040362</v>
      </c>
      <c r="D33" s="1139">
        <v>45863</v>
      </c>
      <c r="E33" s="1140">
        <v>222.04</v>
      </c>
      <c r="F33" s="1044"/>
      <c r="G33" s="1170" t="s">
        <v>9</v>
      </c>
      <c r="H33" s="246"/>
      <c r="I33" s="246"/>
      <c r="J33" s="246"/>
      <c r="K33" s="316"/>
    </row>
    <row r="34" spans="1:11">
      <c r="A34" s="1169">
        <v>74</v>
      </c>
      <c r="B34" s="1044" t="s">
        <v>11</v>
      </c>
      <c r="C34" s="1044">
        <v>1040362</v>
      </c>
      <c r="D34" s="1139">
        <v>45863</v>
      </c>
      <c r="E34" s="1140">
        <v>161.38999999999999</v>
      </c>
      <c r="F34" s="1044"/>
      <c r="G34" s="1170" t="s">
        <v>9</v>
      </c>
      <c r="H34" s="246"/>
      <c r="I34" s="246"/>
      <c r="J34" s="246"/>
      <c r="K34" s="316"/>
    </row>
    <row r="35" spans="1:11">
      <c r="A35" s="1169">
        <v>76</v>
      </c>
      <c r="B35" s="1044" t="s">
        <v>11</v>
      </c>
      <c r="C35" s="1044">
        <v>1040362</v>
      </c>
      <c r="D35" s="1139">
        <v>45863</v>
      </c>
      <c r="E35" s="1140">
        <v>269.01</v>
      </c>
      <c r="F35" s="1044"/>
      <c r="G35" s="1170" t="s">
        <v>9</v>
      </c>
      <c r="H35" s="246"/>
      <c r="I35" s="246"/>
      <c r="J35" s="246"/>
      <c r="K35" s="316"/>
    </row>
    <row r="36" spans="1:11">
      <c r="A36" s="1171">
        <v>77</v>
      </c>
      <c r="B36" s="1141" t="s">
        <v>11</v>
      </c>
      <c r="C36" s="1141">
        <v>1040375</v>
      </c>
      <c r="D36" s="1142">
        <v>45863</v>
      </c>
      <c r="E36" s="1143">
        <v>13.56</v>
      </c>
      <c r="F36" s="1141"/>
      <c r="G36" s="1172" t="s">
        <v>9</v>
      </c>
      <c r="H36" s="246"/>
      <c r="I36" s="246"/>
      <c r="J36" s="246"/>
      <c r="K36" s="316"/>
    </row>
    <row r="37" spans="1:11">
      <c r="A37" s="1171">
        <v>78</v>
      </c>
      <c r="B37" s="1141" t="s">
        <v>11</v>
      </c>
      <c r="C37" s="1141">
        <v>1040375</v>
      </c>
      <c r="D37" s="1142">
        <v>45863</v>
      </c>
      <c r="E37" s="1143">
        <v>25.62</v>
      </c>
      <c r="F37" s="1141"/>
      <c r="G37" s="1172" t="s">
        <v>9</v>
      </c>
      <c r="H37" s="246"/>
      <c r="I37" s="246"/>
      <c r="J37" s="246"/>
      <c r="K37" s="316"/>
    </row>
    <row r="38" spans="1:11">
      <c r="A38" s="1173">
        <v>81</v>
      </c>
      <c r="B38" s="982" t="s">
        <v>11</v>
      </c>
      <c r="C38" s="982">
        <v>1040375</v>
      </c>
      <c r="D38" s="1144">
        <v>45863</v>
      </c>
      <c r="E38" s="1145">
        <v>37.869999999999997</v>
      </c>
      <c r="F38" s="982"/>
      <c r="G38" s="1174" t="s">
        <v>9</v>
      </c>
      <c r="H38" s="246"/>
      <c r="I38" s="246"/>
      <c r="J38" s="246"/>
      <c r="K38" s="316"/>
    </row>
    <row r="39" spans="1:11">
      <c r="A39" s="1173">
        <v>82</v>
      </c>
      <c r="B39" s="982" t="s">
        <v>11</v>
      </c>
      <c r="C39" s="982">
        <v>1040375</v>
      </c>
      <c r="D39" s="1144">
        <v>45863</v>
      </c>
      <c r="E39" s="1145">
        <v>490.94</v>
      </c>
      <c r="F39" s="982"/>
      <c r="G39" s="1174" t="s">
        <v>9</v>
      </c>
      <c r="H39" s="246"/>
      <c r="I39" s="246"/>
      <c r="J39" s="246"/>
      <c r="K39" s="316"/>
    </row>
    <row r="40" spans="1:11">
      <c r="A40" s="1175">
        <v>83</v>
      </c>
      <c r="B40" s="906" t="s">
        <v>11</v>
      </c>
      <c r="C40" s="906">
        <v>1040362</v>
      </c>
      <c r="D40" s="907">
        <v>45863</v>
      </c>
      <c r="E40" s="904">
        <v>184.86</v>
      </c>
      <c r="F40" s="906"/>
      <c r="G40" s="1176" t="s">
        <v>9</v>
      </c>
      <c r="H40" s="246"/>
      <c r="I40" s="246"/>
      <c r="J40" s="246"/>
      <c r="K40" s="316"/>
    </row>
    <row r="41" spans="1:11">
      <c r="A41" s="1175">
        <v>84</v>
      </c>
      <c r="B41" s="906" t="s">
        <v>11</v>
      </c>
      <c r="C41" s="906">
        <v>1040362</v>
      </c>
      <c r="D41" s="907">
        <v>45863</v>
      </c>
      <c r="E41" s="904">
        <v>185.85</v>
      </c>
      <c r="F41" s="906"/>
      <c r="G41" s="1176" t="s">
        <v>9</v>
      </c>
      <c r="H41" s="246"/>
      <c r="I41" s="246"/>
      <c r="J41" s="246"/>
      <c r="K41" s="316"/>
    </row>
    <row r="42" spans="1:11">
      <c r="A42" s="1175">
        <v>85</v>
      </c>
      <c r="B42" s="906" t="s">
        <v>11</v>
      </c>
      <c r="C42" s="906">
        <v>1040362</v>
      </c>
      <c r="D42" s="907">
        <v>45863</v>
      </c>
      <c r="E42" s="904">
        <v>126.18</v>
      </c>
      <c r="F42" s="906"/>
      <c r="G42" s="1176" t="s">
        <v>9</v>
      </c>
      <c r="H42" s="246"/>
      <c r="I42" s="246"/>
      <c r="J42" s="246"/>
      <c r="K42" s="316"/>
    </row>
    <row r="43" spans="1:11">
      <c r="A43" s="1177">
        <v>87</v>
      </c>
      <c r="B43" s="1011" t="s">
        <v>11</v>
      </c>
      <c r="C43" s="1011">
        <v>1040375</v>
      </c>
      <c r="D43" s="1146">
        <v>45863</v>
      </c>
      <c r="E43" s="1147">
        <v>379.04</v>
      </c>
      <c r="F43" s="1011"/>
      <c r="G43" s="1178" t="s">
        <v>9</v>
      </c>
      <c r="H43" s="246"/>
      <c r="I43" s="246"/>
      <c r="J43" s="246"/>
      <c r="K43" s="316"/>
    </row>
    <row r="44" spans="1:11">
      <c r="A44" s="1177">
        <v>88</v>
      </c>
      <c r="B44" s="1011" t="s">
        <v>11</v>
      </c>
      <c r="C44" s="1011">
        <v>1040375</v>
      </c>
      <c r="D44" s="1146">
        <v>45863</v>
      </c>
      <c r="E44" s="1147">
        <v>1.1499999999999999</v>
      </c>
      <c r="F44" s="1011"/>
      <c r="G44" s="1178" t="s">
        <v>9</v>
      </c>
      <c r="H44" s="246"/>
      <c r="I44" s="246"/>
      <c r="J44" s="246"/>
      <c r="K44" s="316"/>
    </row>
    <row r="45" spans="1:11" ht="14.4" thickBot="1">
      <c r="A45" s="1179">
        <v>89</v>
      </c>
      <c r="B45" s="1180" t="s">
        <v>11</v>
      </c>
      <c r="C45" s="1180">
        <v>1040375</v>
      </c>
      <c r="D45" s="1181">
        <v>45863</v>
      </c>
      <c r="E45" s="1182">
        <v>149.18</v>
      </c>
      <c r="F45" s="1180"/>
      <c r="G45" s="1183" t="s">
        <v>9</v>
      </c>
      <c r="H45" s="246"/>
      <c r="I45" s="246"/>
    </row>
    <row r="46" spans="1:11" ht="14.4" thickTop="1">
      <c r="A46" s="246"/>
      <c r="B46" s="246"/>
      <c r="C46" s="246"/>
      <c r="D46" s="247"/>
      <c r="E46" s="215"/>
      <c r="F46" s="257"/>
      <c r="G46" s="246"/>
      <c r="H46" s="246"/>
      <c r="I46" s="246"/>
    </row>
    <row r="47" spans="1:11">
      <c r="A47" s="246"/>
      <c r="B47" s="246"/>
      <c r="C47" s="246"/>
      <c r="D47" s="247"/>
      <c r="E47" s="215"/>
      <c r="F47" s="257"/>
      <c r="G47" s="246"/>
      <c r="H47" s="246"/>
      <c r="I47" s="246"/>
    </row>
    <row r="48" spans="1:11">
      <c r="A48" s="246"/>
      <c r="B48" s="246"/>
      <c r="C48" s="246"/>
    </row>
    <row r="49" spans="1:3">
      <c r="A49" s="248"/>
      <c r="B49" s="248"/>
      <c r="C49" s="248"/>
    </row>
    <row r="50" spans="1:3">
      <c r="A50" s="248"/>
      <c r="B50" s="248"/>
      <c r="C50" s="248"/>
    </row>
    <row r="51" spans="1:3">
      <c r="A51" s="248"/>
      <c r="B51" s="248"/>
      <c r="C51" s="248"/>
    </row>
    <row r="52" spans="1:3">
      <c r="A52" s="248"/>
      <c r="B52" s="248"/>
      <c r="C52" s="248"/>
    </row>
    <row r="53" spans="1:3">
      <c r="A53" s="248"/>
      <c r="B53" s="248"/>
      <c r="C53" s="248"/>
    </row>
    <row r="54" spans="1:3">
      <c r="A54" s="248"/>
      <c r="B54" s="248"/>
      <c r="C54" s="248"/>
    </row>
    <row r="55" spans="1:3">
      <c r="A55" s="248"/>
      <c r="B55" s="248"/>
      <c r="C55" s="248"/>
    </row>
    <row r="56" spans="1:3">
      <c r="A56" s="248"/>
      <c r="B56" s="248"/>
      <c r="C56" s="248"/>
    </row>
    <row r="57" spans="1:3">
      <c r="A57" s="248"/>
      <c r="B57" s="248"/>
      <c r="C57" s="248"/>
    </row>
    <row r="58" spans="1:3">
      <c r="A58" s="248"/>
      <c r="B58" s="248"/>
      <c r="C58" s="248"/>
    </row>
    <row r="59" spans="1:3">
      <c r="A59" s="248"/>
      <c r="B59" s="248"/>
      <c r="C59" s="248"/>
    </row>
    <row r="60" spans="1:3">
      <c r="A60" s="248"/>
      <c r="B60" s="248"/>
      <c r="C60" s="248"/>
    </row>
    <row r="61" spans="1:3">
      <c r="A61" s="248"/>
      <c r="B61" s="248"/>
      <c r="C61" s="248"/>
    </row>
    <row r="62" spans="1:3">
      <c r="A62" s="248"/>
      <c r="B62" s="248"/>
      <c r="C62" s="248"/>
    </row>
    <row r="63" spans="1:3">
      <c r="A63" s="248"/>
      <c r="B63" s="248"/>
      <c r="C63" s="248"/>
    </row>
    <row r="64" spans="1:3">
      <c r="A64" s="248"/>
      <c r="B64" s="248"/>
      <c r="C64" s="248"/>
    </row>
    <row r="65" spans="1:3">
      <c r="A65" s="250"/>
      <c r="B65" s="250"/>
      <c r="C65" s="250"/>
    </row>
    <row r="66" spans="1:3">
      <c r="A66" s="250"/>
      <c r="B66" s="250"/>
      <c r="C66" s="250"/>
    </row>
    <row r="67" spans="1:3">
      <c r="A67" s="250"/>
      <c r="B67" s="250"/>
      <c r="C67" s="250"/>
    </row>
    <row r="68" spans="1:3">
      <c r="A68" s="250"/>
      <c r="B68" s="250"/>
      <c r="C68" s="250"/>
    </row>
    <row r="69" spans="1:3">
      <c r="A69" s="250"/>
      <c r="B69" s="250"/>
      <c r="C69" s="250"/>
    </row>
    <row r="70" spans="1:3">
      <c r="A70" s="250"/>
      <c r="B70" s="250"/>
      <c r="C70" s="250"/>
    </row>
    <row r="71" spans="1:3">
      <c r="A71" s="250"/>
      <c r="B71" s="250"/>
      <c r="C71" s="250"/>
    </row>
    <row r="72" spans="1:3">
      <c r="A72" s="250"/>
      <c r="B72" s="250"/>
      <c r="C72" s="250"/>
    </row>
    <row r="73" spans="1:3">
      <c r="A73" s="250"/>
      <c r="B73" s="250"/>
      <c r="C73" s="250"/>
    </row>
    <row r="74" spans="1:3">
      <c r="A74" s="250"/>
      <c r="B74" s="250"/>
      <c r="C74" s="250"/>
    </row>
    <row r="75" spans="1:3">
      <c r="A75" s="250"/>
      <c r="B75" s="250"/>
      <c r="C75" s="250"/>
    </row>
    <row r="76" spans="1:3">
      <c r="A76" s="250"/>
      <c r="B76" s="250"/>
      <c r="C76" s="250"/>
    </row>
    <row r="77" spans="1:3">
      <c r="A77" s="250"/>
      <c r="B77" s="250"/>
      <c r="C77" s="250"/>
    </row>
    <row r="78" spans="1:3">
      <c r="A78" s="250"/>
      <c r="B78" s="250"/>
      <c r="C78" s="250"/>
    </row>
    <row r="79" spans="1:3">
      <c r="A79" s="250"/>
      <c r="B79" s="250"/>
      <c r="C79" s="250"/>
    </row>
    <row r="80" spans="1:3">
      <c r="A80" s="250"/>
      <c r="B80" s="250"/>
      <c r="C80" s="250"/>
    </row>
    <row r="81" spans="1:3">
      <c r="A81" s="250"/>
      <c r="B81" s="250"/>
      <c r="C81" s="250"/>
    </row>
    <row r="82" spans="1:3">
      <c r="A82" s="251"/>
      <c r="B82" s="251"/>
      <c r="C82" s="251"/>
    </row>
    <row r="83" spans="1:3">
      <c r="A83" s="251"/>
      <c r="B83" s="251"/>
      <c r="C83" s="251"/>
    </row>
    <row r="84" spans="1:3">
      <c r="A84" s="251"/>
      <c r="B84" s="251"/>
      <c r="C84" s="251"/>
    </row>
    <row r="85" spans="1:3">
      <c r="A85" s="251"/>
      <c r="B85" s="251"/>
      <c r="C85" s="251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A0602-7D98-4694-A32D-69D529EAEAE8}">
  <sheetPr>
    <tabColor rgb="FFFFFF00"/>
  </sheetPr>
  <dimension ref="A1:K82"/>
  <sheetViews>
    <sheetView showGridLines="0" zoomScaleNormal="100" workbookViewId="0">
      <selection activeCellId="1" sqref="I8 A1:XFD1048576"/>
    </sheetView>
  </sheetViews>
  <sheetFormatPr defaultColWidth="8.8984375" defaultRowHeight="13.8"/>
  <cols>
    <col min="1" max="1" width="5.5" style="246" bestFit="1" customWidth="1"/>
    <col min="2" max="2" width="15.69921875" style="246" bestFit="1" customWidth="1"/>
    <col min="3" max="3" width="7.796875" style="246" bestFit="1" customWidth="1"/>
    <col min="4" max="4" width="11.796875" style="247" bestFit="1" customWidth="1"/>
    <col min="5" max="5" width="15.296875" style="215" bestFit="1" customWidth="1"/>
    <col min="6" max="6" width="11.5" style="246" bestFit="1" customWidth="1"/>
    <col min="7" max="7" width="28.5" style="246" bestFit="1" customWidth="1"/>
    <col min="8" max="9" width="8.8984375" style="246"/>
    <col min="10" max="10" width="26.8984375" style="246" bestFit="1" customWidth="1"/>
    <col min="11" max="11" width="13.69921875" style="316" bestFit="1" customWidth="1"/>
    <col min="12" max="16384" width="8.8984375" style="246"/>
  </cols>
  <sheetData>
    <row r="1" spans="1:11" ht="14.4" thickBot="1">
      <c r="A1" s="369" t="s">
        <v>0</v>
      </c>
      <c r="B1" s="369" t="s">
        <v>1</v>
      </c>
      <c r="C1" s="369" t="s">
        <v>2</v>
      </c>
      <c r="D1" s="596" t="s">
        <v>1322</v>
      </c>
      <c r="E1" s="371" t="s">
        <v>1323</v>
      </c>
      <c r="F1" s="370" t="s">
        <v>3</v>
      </c>
      <c r="G1" s="369" t="s">
        <v>4</v>
      </c>
      <c r="H1"/>
      <c r="I1" s="57"/>
      <c r="J1" s="370" t="s">
        <v>5</v>
      </c>
      <c r="K1" s="372" t="s">
        <v>1324</v>
      </c>
    </row>
    <row r="2" spans="1:11" ht="14.4" thickTop="1">
      <c r="A2" s="246">
        <v>1</v>
      </c>
      <c r="B2" s="246" t="s">
        <v>7</v>
      </c>
      <c r="C2" s="246">
        <v>2130870</v>
      </c>
      <c r="D2" s="249">
        <v>45866</v>
      </c>
      <c r="E2" s="215">
        <v>3024.73</v>
      </c>
      <c r="F2" s="246" t="s">
        <v>1325</v>
      </c>
      <c r="G2" s="247" t="s">
        <v>9</v>
      </c>
      <c r="J2" s="117">
        <v>175067</v>
      </c>
      <c r="K2" s="33">
        <v>39640.850000000006</v>
      </c>
    </row>
    <row r="3" spans="1:11">
      <c r="A3" s="248">
        <v>2</v>
      </c>
      <c r="B3" s="248" t="s">
        <v>7</v>
      </c>
      <c r="C3" s="248">
        <v>2130870</v>
      </c>
      <c r="D3" s="249">
        <v>45866</v>
      </c>
      <c r="E3" s="215">
        <v>2763.08</v>
      </c>
      <c r="F3" s="246" t="s">
        <v>1326</v>
      </c>
      <c r="G3" s="247" t="s">
        <v>9</v>
      </c>
      <c r="J3" s="1100">
        <v>175068</v>
      </c>
      <c r="K3" s="1101">
        <v>93915.12</v>
      </c>
    </row>
    <row r="4" spans="1:11">
      <c r="A4" s="246">
        <v>3</v>
      </c>
      <c r="B4" s="246" t="s">
        <v>7</v>
      </c>
      <c r="C4" s="246">
        <v>2130870</v>
      </c>
      <c r="D4" s="249">
        <v>45866</v>
      </c>
      <c r="E4" s="215">
        <v>1228919.04</v>
      </c>
      <c r="F4" s="246" t="s">
        <v>32</v>
      </c>
      <c r="G4" s="247" t="s">
        <v>9</v>
      </c>
      <c r="J4" s="946">
        <v>175080</v>
      </c>
      <c r="K4" s="36">
        <v>215470.32</v>
      </c>
    </row>
    <row r="5" spans="1:11">
      <c r="A5" s="1093">
        <v>4</v>
      </c>
      <c r="B5" s="1093" t="s">
        <v>7</v>
      </c>
      <c r="C5" s="1093">
        <v>2130870</v>
      </c>
      <c r="D5" s="1094">
        <v>45866</v>
      </c>
      <c r="E5" s="1095">
        <v>3603.54</v>
      </c>
      <c r="F5" s="1093" t="s">
        <v>1328</v>
      </c>
      <c r="G5" s="247" t="s">
        <v>9</v>
      </c>
      <c r="J5" s="1073">
        <v>175095</v>
      </c>
      <c r="K5" s="1074">
        <v>309778.38</v>
      </c>
    </row>
    <row r="6" spans="1:11">
      <c r="A6" s="246">
        <v>8</v>
      </c>
      <c r="B6" s="246" t="s">
        <v>11</v>
      </c>
      <c r="C6" s="246">
        <v>1170470</v>
      </c>
      <c r="D6" s="249">
        <v>45866</v>
      </c>
      <c r="E6" s="215">
        <v>1584.94</v>
      </c>
      <c r="F6" s="246" t="s">
        <v>1458</v>
      </c>
      <c r="G6" s="247" t="s">
        <v>9</v>
      </c>
      <c r="J6" s="962">
        <v>175100</v>
      </c>
      <c r="K6" s="53">
        <v>5825.18</v>
      </c>
    </row>
    <row r="7" spans="1:11">
      <c r="A7" s="1065">
        <v>19</v>
      </c>
      <c r="B7" s="1065" t="s">
        <v>11</v>
      </c>
      <c r="C7" s="1065">
        <v>1040211</v>
      </c>
      <c r="D7" s="303">
        <v>45866</v>
      </c>
      <c r="E7" s="1064">
        <v>215470.32</v>
      </c>
      <c r="F7" s="1065"/>
      <c r="G7" s="305" t="s">
        <v>9</v>
      </c>
      <c r="J7" s="1060">
        <v>175114</v>
      </c>
      <c r="K7" s="1061">
        <v>7015.05</v>
      </c>
    </row>
    <row r="8" spans="1:11">
      <c r="A8" s="1070">
        <v>27</v>
      </c>
      <c r="B8" s="1070" t="s">
        <v>11</v>
      </c>
      <c r="C8" s="1070">
        <v>1200393</v>
      </c>
      <c r="D8" s="1071">
        <v>45866</v>
      </c>
      <c r="E8" s="1072">
        <v>28729.32</v>
      </c>
      <c r="F8" s="1070"/>
      <c r="G8" s="1073" t="s">
        <v>9</v>
      </c>
      <c r="J8" s="680">
        <v>175115</v>
      </c>
      <c r="K8" s="30">
        <v>728.95</v>
      </c>
    </row>
    <row r="9" spans="1:11">
      <c r="A9" s="1070">
        <v>28</v>
      </c>
      <c r="B9" s="1070" t="s">
        <v>11</v>
      </c>
      <c r="C9" s="1070">
        <v>1040211</v>
      </c>
      <c r="D9" s="1071">
        <v>45866</v>
      </c>
      <c r="E9" s="1072">
        <v>281049.06</v>
      </c>
      <c r="F9" s="1070"/>
      <c r="G9" s="1073" t="s">
        <v>9</v>
      </c>
      <c r="J9" s="1112">
        <v>175116</v>
      </c>
      <c r="K9" s="1113">
        <v>600</v>
      </c>
    </row>
    <row r="10" spans="1:11">
      <c r="A10" s="1086">
        <v>41</v>
      </c>
      <c r="B10" s="1086" t="s">
        <v>11</v>
      </c>
      <c r="C10" s="1086">
        <v>1040211</v>
      </c>
      <c r="D10" s="1087">
        <v>45866</v>
      </c>
      <c r="E10" s="1088">
        <v>36357.43</v>
      </c>
      <c r="F10" s="1086"/>
      <c r="G10" s="1096" t="s">
        <v>9</v>
      </c>
      <c r="J10" s="1002" t="s">
        <v>1483</v>
      </c>
      <c r="K10" s="1003">
        <v>2025</v>
      </c>
    </row>
    <row r="11" spans="1:11">
      <c r="A11" s="1086">
        <v>42</v>
      </c>
      <c r="B11" s="1086" t="s">
        <v>11</v>
      </c>
      <c r="C11" s="1086">
        <v>1200393</v>
      </c>
      <c r="D11" s="1087">
        <v>45866</v>
      </c>
      <c r="E11" s="1088">
        <v>3283.42</v>
      </c>
      <c r="F11" s="1086"/>
      <c r="G11" s="1086" t="s">
        <v>9</v>
      </c>
      <c r="J11" s="971" t="s">
        <v>1481</v>
      </c>
      <c r="K11" s="972">
        <v>156.54</v>
      </c>
    </row>
    <row r="12" spans="1:11">
      <c r="A12" s="1097">
        <v>43</v>
      </c>
      <c r="B12" s="1097" t="s">
        <v>11</v>
      </c>
      <c r="C12" s="1097">
        <v>1040211</v>
      </c>
      <c r="D12" s="1098">
        <v>45866</v>
      </c>
      <c r="E12" s="1099">
        <v>93915.12</v>
      </c>
      <c r="F12" s="1097"/>
      <c r="G12" s="1097" t="s">
        <v>9</v>
      </c>
      <c r="J12" s="119" t="s">
        <v>1484</v>
      </c>
      <c r="K12" s="120">
        <v>3568.95</v>
      </c>
    </row>
    <row r="13" spans="1:11">
      <c r="A13" s="246">
        <v>44</v>
      </c>
      <c r="B13" s="246" t="s">
        <v>11</v>
      </c>
      <c r="C13" s="246">
        <v>1060345</v>
      </c>
      <c r="D13" s="249">
        <v>45866</v>
      </c>
      <c r="E13" s="215">
        <v>2500000</v>
      </c>
      <c r="F13" s="246" t="s">
        <v>1459</v>
      </c>
      <c r="G13" s="247" t="s">
        <v>9</v>
      </c>
      <c r="J13" s="115" t="s">
        <v>1482</v>
      </c>
      <c r="K13" s="79">
        <v>18625.27</v>
      </c>
    </row>
    <row r="14" spans="1:11">
      <c r="A14" s="1066">
        <v>46</v>
      </c>
      <c r="B14" s="1066" t="s">
        <v>12</v>
      </c>
      <c r="C14" s="1066">
        <v>1170144</v>
      </c>
      <c r="D14" s="1067">
        <v>45866</v>
      </c>
      <c r="E14" s="1068">
        <v>2025</v>
      </c>
      <c r="F14" s="1066"/>
      <c r="G14" s="1066" t="s">
        <v>9</v>
      </c>
      <c r="J14" s="118" t="s">
        <v>1485</v>
      </c>
      <c r="K14" s="18">
        <v>482.55</v>
      </c>
    </row>
    <row r="15" spans="1:11">
      <c r="A15" s="1102">
        <v>47</v>
      </c>
      <c r="B15" s="1102" t="s">
        <v>12</v>
      </c>
      <c r="C15" s="1102">
        <v>1170144</v>
      </c>
      <c r="D15" s="1103">
        <v>45866</v>
      </c>
      <c r="E15" s="1104">
        <v>3568.95</v>
      </c>
      <c r="F15" s="1102"/>
      <c r="G15" s="1102" t="s">
        <v>9</v>
      </c>
    </row>
    <row r="16" spans="1:11">
      <c r="A16" s="970">
        <v>49</v>
      </c>
      <c r="B16" s="970" t="s">
        <v>11</v>
      </c>
      <c r="C16" s="970">
        <v>1040375</v>
      </c>
      <c r="D16" s="1105">
        <v>45866</v>
      </c>
      <c r="E16" s="969">
        <v>47</v>
      </c>
      <c r="F16" s="970"/>
      <c r="G16" s="970" t="s">
        <v>9</v>
      </c>
    </row>
    <row r="17" spans="1:7">
      <c r="A17" s="970">
        <v>50</v>
      </c>
      <c r="B17" s="970" t="s">
        <v>11</v>
      </c>
      <c r="C17" s="970">
        <v>1040375</v>
      </c>
      <c r="D17" s="1105">
        <v>45866</v>
      </c>
      <c r="E17" s="969">
        <v>109.54</v>
      </c>
      <c r="F17" s="970"/>
      <c r="G17" s="970" t="s">
        <v>9</v>
      </c>
    </row>
    <row r="18" spans="1:7">
      <c r="A18" s="1106">
        <v>51</v>
      </c>
      <c r="B18" s="1106" t="s">
        <v>11</v>
      </c>
      <c r="C18" s="1106">
        <v>1040109</v>
      </c>
      <c r="D18" s="1107">
        <v>45866</v>
      </c>
      <c r="E18" s="1108">
        <v>15121.9</v>
      </c>
      <c r="F18" s="1106"/>
      <c r="G18" s="1106" t="s">
        <v>9</v>
      </c>
    </row>
    <row r="19" spans="1:7">
      <c r="A19" s="1106">
        <v>52</v>
      </c>
      <c r="B19" s="1106" t="s">
        <v>11</v>
      </c>
      <c r="C19" s="1106">
        <v>1040109</v>
      </c>
      <c r="D19" s="1107">
        <v>45866</v>
      </c>
      <c r="E19" s="1108">
        <v>3503.37</v>
      </c>
      <c r="F19" s="1106"/>
      <c r="G19" s="1106" t="s">
        <v>9</v>
      </c>
    </row>
    <row r="20" spans="1:7">
      <c r="A20" s="1081">
        <v>53</v>
      </c>
      <c r="B20" s="1081" t="s">
        <v>12</v>
      </c>
      <c r="C20" s="1081">
        <v>1170144</v>
      </c>
      <c r="D20" s="1082">
        <v>45866</v>
      </c>
      <c r="E20" s="1083">
        <v>482.55</v>
      </c>
      <c r="F20" s="1081"/>
      <c r="G20" s="1081" t="s">
        <v>9</v>
      </c>
    </row>
    <row r="21" spans="1:7">
      <c r="A21" s="1114">
        <v>55</v>
      </c>
      <c r="B21" s="1114" t="s">
        <v>11</v>
      </c>
      <c r="C21" s="1114">
        <v>1040375</v>
      </c>
      <c r="D21" s="298">
        <v>45866</v>
      </c>
      <c r="E21" s="1115">
        <v>303.25</v>
      </c>
      <c r="F21" s="1114"/>
      <c r="G21" s="1114" t="s">
        <v>9</v>
      </c>
    </row>
    <row r="22" spans="1:7">
      <c r="A22" s="1114">
        <v>56</v>
      </c>
      <c r="B22" s="1114" t="s">
        <v>11</v>
      </c>
      <c r="C22" s="1114">
        <v>1040375</v>
      </c>
      <c r="D22" s="298">
        <v>45866</v>
      </c>
      <c r="E22" s="1115">
        <v>3618.83</v>
      </c>
      <c r="F22" s="1114"/>
      <c r="G22" s="1114" t="s">
        <v>9</v>
      </c>
    </row>
    <row r="23" spans="1:7">
      <c r="A23" s="1114">
        <v>57</v>
      </c>
      <c r="B23" s="1114" t="s">
        <v>11</v>
      </c>
      <c r="C23" s="1114">
        <v>1040375</v>
      </c>
      <c r="D23" s="298">
        <v>45866</v>
      </c>
      <c r="E23" s="1115">
        <v>28.9</v>
      </c>
      <c r="F23" s="1114"/>
      <c r="G23" s="1114" t="s">
        <v>9</v>
      </c>
    </row>
    <row r="24" spans="1:7">
      <c r="A24" s="1114">
        <v>58</v>
      </c>
      <c r="B24" s="1114" t="s">
        <v>11</v>
      </c>
      <c r="C24" s="1114">
        <v>1040375</v>
      </c>
      <c r="D24" s="298">
        <v>45866</v>
      </c>
      <c r="E24" s="1115">
        <v>190.51</v>
      </c>
      <c r="F24" s="1114"/>
      <c r="G24" s="1114" t="s">
        <v>9</v>
      </c>
    </row>
    <row r="25" spans="1:7">
      <c r="A25" s="1114">
        <v>59</v>
      </c>
      <c r="B25" s="1114" t="s">
        <v>11</v>
      </c>
      <c r="C25" s="1114">
        <v>1040375</v>
      </c>
      <c r="D25" s="298">
        <v>45866</v>
      </c>
      <c r="E25" s="1115">
        <v>450.81</v>
      </c>
      <c r="F25" s="1114"/>
      <c r="G25" s="1114" t="s">
        <v>9</v>
      </c>
    </row>
    <row r="26" spans="1:7">
      <c r="A26" s="1114">
        <v>60</v>
      </c>
      <c r="B26" s="1114" t="s">
        <v>11</v>
      </c>
      <c r="C26" s="1114">
        <v>1040375</v>
      </c>
      <c r="D26" s="298">
        <v>45866</v>
      </c>
      <c r="E26" s="1115">
        <v>823.17</v>
      </c>
      <c r="F26" s="1114"/>
      <c r="G26" s="1114" t="s">
        <v>9</v>
      </c>
    </row>
    <row r="27" spans="1:7">
      <c r="A27" s="1114">
        <v>61</v>
      </c>
      <c r="B27" s="1114" t="s">
        <v>11</v>
      </c>
      <c r="C27" s="1114">
        <v>1040375</v>
      </c>
      <c r="D27" s="298">
        <v>45866</v>
      </c>
      <c r="E27" s="1115">
        <v>409.71</v>
      </c>
      <c r="F27" s="1114"/>
      <c r="G27" s="1114" t="s">
        <v>9</v>
      </c>
    </row>
    <row r="28" spans="1:7">
      <c r="A28" s="1059">
        <v>66</v>
      </c>
      <c r="B28" s="1059" t="s">
        <v>11</v>
      </c>
      <c r="C28" s="1059">
        <v>1040375</v>
      </c>
      <c r="D28" s="1116">
        <v>45866</v>
      </c>
      <c r="E28" s="1058">
        <v>1.03</v>
      </c>
      <c r="F28" s="1059"/>
      <c r="G28" s="1059" t="s">
        <v>9</v>
      </c>
    </row>
    <row r="29" spans="1:7">
      <c r="A29" s="1059">
        <v>67</v>
      </c>
      <c r="B29" s="1059" t="s">
        <v>11</v>
      </c>
      <c r="C29" s="1059">
        <v>1040375</v>
      </c>
      <c r="D29" s="1116">
        <v>45866</v>
      </c>
      <c r="E29" s="1058">
        <v>3345.47</v>
      </c>
      <c r="F29" s="1059"/>
      <c r="G29" s="1059" t="s">
        <v>9</v>
      </c>
    </row>
    <row r="30" spans="1:7">
      <c r="A30" s="1059">
        <v>68</v>
      </c>
      <c r="B30" s="1059" t="s">
        <v>11</v>
      </c>
      <c r="C30" s="1059">
        <v>1040375</v>
      </c>
      <c r="D30" s="1116">
        <v>45866</v>
      </c>
      <c r="E30" s="1058">
        <v>93.19</v>
      </c>
      <c r="F30" s="1059"/>
      <c r="G30" s="1059" t="s">
        <v>9</v>
      </c>
    </row>
    <row r="31" spans="1:7">
      <c r="A31" s="1059">
        <v>69</v>
      </c>
      <c r="B31" s="1059" t="s">
        <v>11</v>
      </c>
      <c r="C31" s="1059">
        <v>1040375</v>
      </c>
      <c r="D31" s="1116">
        <v>45866</v>
      </c>
      <c r="E31" s="1058">
        <v>781.86</v>
      </c>
      <c r="F31" s="1059"/>
      <c r="G31" s="1059" t="s">
        <v>9</v>
      </c>
    </row>
    <row r="32" spans="1:7">
      <c r="A32" s="1059">
        <v>70</v>
      </c>
      <c r="B32" s="1059" t="s">
        <v>11</v>
      </c>
      <c r="C32" s="1059">
        <v>1040375</v>
      </c>
      <c r="D32" s="1116">
        <v>45866</v>
      </c>
      <c r="E32" s="1058">
        <v>459.89</v>
      </c>
      <c r="F32" s="1059"/>
      <c r="G32" s="1059" t="s">
        <v>9</v>
      </c>
    </row>
    <row r="33" spans="1:7">
      <c r="A33" s="1059">
        <v>71</v>
      </c>
      <c r="B33" s="1059" t="s">
        <v>11</v>
      </c>
      <c r="C33" s="1059">
        <v>1040375</v>
      </c>
      <c r="D33" s="1116">
        <v>45866</v>
      </c>
      <c r="E33" s="1058">
        <v>390.92</v>
      </c>
      <c r="F33" s="1059"/>
      <c r="G33" s="1059" t="s">
        <v>9</v>
      </c>
    </row>
    <row r="34" spans="1:7">
      <c r="A34" s="1059">
        <v>72</v>
      </c>
      <c r="B34" s="1059" t="s">
        <v>11</v>
      </c>
      <c r="C34" s="1059">
        <v>1040375</v>
      </c>
      <c r="D34" s="1116">
        <v>45866</v>
      </c>
      <c r="E34" s="1058">
        <v>182.1</v>
      </c>
      <c r="F34" s="1059"/>
      <c r="G34" s="1059" t="s">
        <v>9</v>
      </c>
    </row>
    <row r="35" spans="1:7">
      <c r="A35" s="1059">
        <v>73</v>
      </c>
      <c r="B35" s="1059" t="s">
        <v>11</v>
      </c>
      <c r="C35" s="1059">
        <v>1040375</v>
      </c>
      <c r="D35" s="1116">
        <v>45866</v>
      </c>
      <c r="E35" s="1058">
        <v>67.53</v>
      </c>
      <c r="F35" s="1059"/>
      <c r="G35" s="1059" t="s">
        <v>9</v>
      </c>
    </row>
    <row r="36" spans="1:7">
      <c r="A36" s="1059">
        <v>74</v>
      </c>
      <c r="B36" s="1059" t="s">
        <v>11</v>
      </c>
      <c r="C36" s="1059">
        <v>1040375</v>
      </c>
      <c r="D36" s="1116">
        <v>45866</v>
      </c>
      <c r="E36" s="1058">
        <v>387.49</v>
      </c>
      <c r="F36" s="1059"/>
      <c r="G36" s="1059" t="s">
        <v>9</v>
      </c>
    </row>
    <row r="37" spans="1:7">
      <c r="A37" s="1059">
        <v>75</v>
      </c>
      <c r="B37" s="1059" t="s">
        <v>11</v>
      </c>
      <c r="C37" s="1059">
        <v>1040375</v>
      </c>
      <c r="D37" s="1116">
        <v>45866</v>
      </c>
      <c r="E37" s="1058">
        <v>689.27</v>
      </c>
      <c r="F37" s="1059"/>
      <c r="G37" s="1059" t="s">
        <v>9</v>
      </c>
    </row>
    <row r="38" spans="1:7">
      <c r="A38" s="1059">
        <v>76</v>
      </c>
      <c r="B38" s="1059" t="s">
        <v>11</v>
      </c>
      <c r="C38" s="1059">
        <v>1040375</v>
      </c>
      <c r="D38" s="1116">
        <v>45866</v>
      </c>
      <c r="E38" s="1058">
        <v>153.29</v>
      </c>
      <c r="F38" s="1059"/>
      <c r="G38" s="1059" t="s">
        <v>9</v>
      </c>
    </row>
    <row r="39" spans="1:7">
      <c r="A39" s="1059">
        <v>77</v>
      </c>
      <c r="B39" s="1059" t="s">
        <v>11</v>
      </c>
      <c r="C39" s="1059">
        <v>1040375</v>
      </c>
      <c r="D39" s="1116">
        <v>45866</v>
      </c>
      <c r="E39" s="1058">
        <v>32.74</v>
      </c>
      <c r="F39" s="1059"/>
      <c r="G39" s="1059" t="s">
        <v>9</v>
      </c>
    </row>
    <row r="40" spans="1:7">
      <c r="A40" s="1059">
        <v>78</v>
      </c>
      <c r="B40" s="1059" t="s">
        <v>11</v>
      </c>
      <c r="C40" s="1059">
        <v>1040375</v>
      </c>
      <c r="D40" s="1116">
        <v>45866</v>
      </c>
      <c r="E40" s="1058">
        <v>182.1</v>
      </c>
      <c r="F40" s="1059"/>
      <c r="G40" s="1059" t="s">
        <v>9</v>
      </c>
    </row>
    <row r="41" spans="1:7">
      <c r="A41" s="1059">
        <v>79</v>
      </c>
      <c r="B41" s="1059" t="s">
        <v>11</v>
      </c>
      <c r="C41" s="1059">
        <v>1040375</v>
      </c>
      <c r="D41" s="1116">
        <v>45866</v>
      </c>
      <c r="E41" s="1058">
        <v>215.43</v>
      </c>
      <c r="F41" s="1059"/>
      <c r="G41" s="1059" t="s">
        <v>9</v>
      </c>
    </row>
    <row r="42" spans="1:7">
      <c r="A42" s="1059">
        <v>80</v>
      </c>
      <c r="B42" s="1059" t="s">
        <v>11</v>
      </c>
      <c r="C42" s="1059">
        <v>1040375</v>
      </c>
      <c r="D42" s="1116">
        <v>45866</v>
      </c>
      <c r="E42" s="1058">
        <v>32.74</v>
      </c>
      <c r="F42" s="1059"/>
      <c r="G42" s="1059" t="s">
        <v>9</v>
      </c>
    </row>
    <row r="43" spans="1:7">
      <c r="A43" s="1118">
        <v>82</v>
      </c>
      <c r="B43" s="1118" t="s">
        <v>11</v>
      </c>
      <c r="C43" s="1118">
        <v>1040375</v>
      </c>
      <c r="D43" s="1119">
        <v>45866</v>
      </c>
      <c r="E43" s="1117">
        <v>32.74</v>
      </c>
      <c r="F43" s="1118"/>
      <c r="G43" s="1118" t="s">
        <v>9</v>
      </c>
    </row>
    <row r="44" spans="1:7">
      <c r="A44" s="1118">
        <v>83</v>
      </c>
      <c r="B44" s="1118" t="s">
        <v>11</v>
      </c>
      <c r="C44" s="1118">
        <v>1040375</v>
      </c>
      <c r="D44" s="1119">
        <v>45866</v>
      </c>
      <c r="E44" s="1117">
        <v>113.9</v>
      </c>
      <c r="F44" s="1118"/>
      <c r="G44" s="1118" t="s">
        <v>9</v>
      </c>
    </row>
    <row r="45" spans="1:7">
      <c r="A45" s="1118">
        <v>84</v>
      </c>
      <c r="B45" s="1118" t="s">
        <v>11</v>
      </c>
      <c r="C45" s="1118">
        <v>1040375</v>
      </c>
      <c r="D45" s="1119">
        <v>45866</v>
      </c>
      <c r="E45" s="1117">
        <v>32.74</v>
      </c>
      <c r="F45" s="1118"/>
      <c r="G45" s="1118" t="s">
        <v>9</v>
      </c>
    </row>
    <row r="46" spans="1:7">
      <c r="A46" s="1118">
        <v>85</v>
      </c>
      <c r="B46" s="1118" t="s">
        <v>11</v>
      </c>
      <c r="C46" s="1118">
        <v>1040375</v>
      </c>
      <c r="D46" s="1119">
        <v>45866</v>
      </c>
      <c r="E46" s="1117">
        <v>32.74</v>
      </c>
      <c r="F46" s="1118"/>
      <c r="G46" s="1118" t="s">
        <v>9</v>
      </c>
    </row>
    <row r="47" spans="1:7">
      <c r="A47" s="1118">
        <v>86</v>
      </c>
      <c r="B47" s="1118" t="s">
        <v>11</v>
      </c>
      <c r="C47" s="1118">
        <v>1040375</v>
      </c>
      <c r="D47" s="1119">
        <v>45866</v>
      </c>
      <c r="E47" s="1117">
        <v>364.22</v>
      </c>
      <c r="F47" s="1118"/>
      <c r="G47" s="1118" t="s">
        <v>9</v>
      </c>
    </row>
    <row r="48" spans="1:7">
      <c r="A48" s="1109">
        <v>87</v>
      </c>
      <c r="B48" s="1109"/>
      <c r="C48" s="1109"/>
      <c r="D48" s="1110"/>
      <c r="E48" s="1111">
        <v>600</v>
      </c>
      <c r="F48" s="1109"/>
      <c r="G48" s="1109" t="s">
        <v>9</v>
      </c>
    </row>
    <row r="49" spans="1:7">
      <c r="A49" s="1118">
        <v>88</v>
      </c>
      <c r="B49" s="1118" t="s">
        <v>11</v>
      </c>
      <c r="C49" s="1118">
        <v>1040375</v>
      </c>
      <c r="D49" s="1119">
        <v>45866</v>
      </c>
      <c r="E49" s="1117">
        <v>44.06</v>
      </c>
      <c r="F49" s="1118"/>
      <c r="G49" s="1118" t="s">
        <v>9</v>
      </c>
    </row>
    <row r="50" spans="1:7">
      <c r="A50" s="1120">
        <v>89</v>
      </c>
      <c r="B50" s="1120" t="s">
        <v>11</v>
      </c>
      <c r="C50" s="1120">
        <v>1040375</v>
      </c>
      <c r="D50" s="1119">
        <v>45866</v>
      </c>
      <c r="E50" s="1117">
        <v>49.72</v>
      </c>
      <c r="F50" s="1118"/>
      <c r="G50" s="1118" t="s">
        <v>9</v>
      </c>
    </row>
    <row r="51" spans="1:7">
      <c r="A51" s="1120">
        <v>90</v>
      </c>
      <c r="B51" s="1120" t="s">
        <v>11</v>
      </c>
      <c r="C51" s="1120">
        <v>1040375</v>
      </c>
      <c r="D51" s="1119">
        <v>45866</v>
      </c>
      <c r="E51" s="1117">
        <v>58.83</v>
      </c>
      <c r="F51" s="1118"/>
      <c r="G51" s="1118" t="s">
        <v>9</v>
      </c>
    </row>
    <row r="52" spans="1:7">
      <c r="A52" s="248">
        <v>99</v>
      </c>
      <c r="B52" s="248" t="s">
        <v>11</v>
      </c>
      <c r="C52" s="248">
        <v>1040258</v>
      </c>
      <c r="D52" s="249">
        <v>45866</v>
      </c>
      <c r="E52" s="215">
        <v>14.77</v>
      </c>
      <c r="F52" s="246" t="s">
        <v>1486</v>
      </c>
      <c r="G52" s="246" t="s">
        <v>9</v>
      </c>
    </row>
    <row r="53" spans="1:7">
      <c r="A53" s="248"/>
      <c r="B53" s="248"/>
      <c r="C53" s="248"/>
    </row>
    <row r="54" spans="1:7">
      <c r="A54" s="248"/>
      <c r="B54" s="248"/>
      <c r="C54" s="248"/>
    </row>
    <row r="55" spans="1:7">
      <c r="A55" s="248"/>
      <c r="B55" s="248"/>
      <c r="C55" s="248"/>
    </row>
    <row r="56" spans="1:7">
      <c r="A56" s="248"/>
      <c r="B56" s="248"/>
      <c r="C56" s="248"/>
    </row>
    <row r="57" spans="1:7">
      <c r="A57" s="248"/>
      <c r="B57" s="248"/>
      <c r="C57" s="248"/>
    </row>
    <row r="58" spans="1:7">
      <c r="A58" s="248"/>
      <c r="B58" s="248"/>
      <c r="C58" s="248"/>
    </row>
    <row r="59" spans="1:7">
      <c r="A59" s="248"/>
      <c r="B59" s="248"/>
      <c r="C59" s="248"/>
    </row>
    <row r="60" spans="1:7">
      <c r="A60" s="248"/>
      <c r="B60" s="248"/>
      <c r="C60" s="248"/>
    </row>
    <row r="61" spans="1:7">
      <c r="A61" s="248"/>
      <c r="B61" s="248"/>
      <c r="C61" s="248"/>
    </row>
    <row r="62" spans="1:7">
      <c r="A62" s="248"/>
      <c r="B62" s="248"/>
      <c r="C62" s="248"/>
    </row>
    <row r="63" spans="1:7">
      <c r="A63" s="248"/>
      <c r="B63" s="248"/>
      <c r="C63" s="248"/>
    </row>
    <row r="64" spans="1:7">
      <c r="A64" s="248"/>
      <c r="B64" s="248"/>
      <c r="C64" s="248"/>
    </row>
    <row r="65" spans="1:3">
      <c r="A65" s="248"/>
      <c r="B65" s="248"/>
      <c r="C65" s="248"/>
    </row>
    <row r="66" spans="1:3">
      <c r="A66" s="248"/>
      <c r="B66" s="248"/>
      <c r="C66" s="248"/>
    </row>
    <row r="67" spans="1:3">
      <c r="A67" s="248"/>
      <c r="B67" s="248"/>
      <c r="C67" s="248"/>
    </row>
    <row r="68" spans="1:3">
      <c r="A68" s="248"/>
      <c r="B68" s="248"/>
      <c r="C68" s="248"/>
    </row>
    <row r="69" spans="1:3">
      <c r="A69" s="248"/>
      <c r="B69" s="248"/>
      <c r="C69" s="248"/>
    </row>
    <row r="70" spans="1:3">
      <c r="A70" s="248"/>
      <c r="B70" s="248"/>
      <c r="C70" s="248"/>
    </row>
    <row r="71" spans="1:3">
      <c r="A71" s="248"/>
      <c r="B71" s="248"/>
      <c r="C71" s="248"/>
    </row>
    <row r="72" spans="1:3">
      <c r="A72" s="248"/>
      <c r="B72" s="248"/>
      <c r="C72" s="248"/>
    </row>
    <row r="73" spans="1:3">
      <c r="A73" s="248"/>
      <c r="B73" s="248"/>
      <c r="C73" s="248"/>
    </row>
    <row r="74" spans="1:3">
      <c r="A74" s="248"/>
      <c r="B74" s="248"/>
      <c r="C74" s="248"/>
    </row>
    <row r="75" spans="1:3">
      <c r="A75" s="248"/>
      <c r="B75" s="248"/>
      <c r="C75" s="248"/>
    </row>
    <row r="76" spans="1:3">
      <c r="A76" s="248"/>
      <c r="B76" s="248"/>
      <c r="C76" s="248"/>
    </row>
    <row r="77" spans="1:3">
      <c r="A77" s="248"/>
      <c r="B77" s="248"/>
      <c r="C77" s="248"/>
    </row>
    <row r="78" spans="1:3">
      <c r="A78" s="248"/>
      <c r="B78" s="248"/>
      <c r="C78" s="248"/>
    </row>
    <row r="79" spans="1:3">
      <c r="A79" s="248"/>
      <c r="B79" s="248"/>
      <c r="C79" s="248"/>
    </row>
    <row r="80" spans="1:3">
      <c r="A80" s="248"/>
      <c r="B80" s="248"/>
      <c r="C80" s="248"/>
    </row>
    <row r="81" spans="1:3">
      <c r="A81" s="248"/>
      <c r="B81" s="248"/>
      <c r="C81" s="248"/>
    </row>
    <row r="82" spans="1:3">
      <c r="A82" s="248"/>
      <c r="B82" s="248"/>
      <c r="C82" s="248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971D7-CAD6-4F65-B5BB-A3461A425CEB}">
  <sheetPr>
    <tabColor rgb="FFFFFF00"/>
  </sheetPr>
  <dimension ref="A1:K81"/>
  <sheetViews>
    <sheetView showGridLines="0" zoomScaleNormal="100" workbookViewId="0">
      <selection activeCellId="1" sqref="I8 A1:XFD1048576"/>
    </sheetView>
  </sheetViews>
  <sheetFormatPr defaultColWidth="8.8984375" defaultRowHeight="13.8"/>
  <cols>
    <col min="1" max="1" width="5.59765625" style="246" bestFit="1" customWidth="1"/>
    <col min="2" max="2" width="4.3984375" style="246" bestFit="1" customWidth="1"/>
    <col min="3" max="3" width="7.8984375" style="246" bestFit="1" customWidth="1"/>
    <col min="4" max="4" width="7.59765625" style="246" bestFit="1" customWidth="1"/>
    <col min="5" max="5" width="16.59765625" style="215" bestFit="1" customWidth="1"/>
    <col min="6" max="6" width="10.5" style="246" bestFit="1" customWidth="1"/>
    <col min="7" max="7" width="27.09765625" style="246" bestFit="1" customWidth="1"/>
    <col min="8" max="9" width="8.8984375" style="246"/>
    <col min="10" max="10" width="25.5" style="246" bestFit="1" customWidth="1"/>
    <col min="11" max="11" width="13.09765625" style="316" bestFit="1" customWidth="1"/>
    <col min="12" max="16384" width="8.8984375" style="246"/>
  </cols>
  <sheetData>
    <row r="1" spans="1:11" ht="14.4" thickBot="1">
      <c r="A1" s="369" t="s">
        <v>0</v>
      </c>
      <c r="B1" s="369" t="s">
        <v>1</v>
      </c>
      <c r="C1" s="369" t="s">
        <v>2</v>
      </c>
      <c r="D1" s="596" t="s">
        <v>1322</v>
      </c>
      <c r="E1" s="371" t="s">
        <v>1323</v>
      </c>
      <c r="F1" s="370" t="s">
        <v>3</v>
      </c>
      <c r="G1" s="369" t="s">
        <v>4</v>
      </c>
      <c r="H1"/>
      <c r="I1" s="57"/>
      <c r="J1" s="370" t="s">
        <v>5</v>
      </c>
      <c r="K1" s="372" t="s">
        <v>1324</v>
      </c>
    </row>
    <row r="2" spans="1:11" ht="14.4" thickTop="1">
      <c r="A2" s="246">
        <v>1</v>
      </c>
      <c r="B2" s="246" t="s">
        <v>7</v>
      </c>
      <c r="C2" s="246">
        <v>2130870</v>
      </c>
      <c r="D2" s="249">
        <v>45867</v>
      </c>
      <c r="E2" s="215">
        <v>2796.49</v>
      </c>
      <c r="F2" s="246" t="s">
        <v>1340</v>
      </c>
      <c r="G2" s="247" t="s">
        <v>9</v>
      </c>
      <c r="J2" s="962">
        <v>175122</v>
      </c>
      <c r="K2" s="53">
        <v>54694.180000000008</v>
      </c>
    </row>
    <row r="3" spans="1:11">
      <c r="A3" s="248">
        <v>2</v>
      </c>
      <c r="B3" s="248" t="s">
        <v>7</v>
      </c>
      <c r="C3" s="248">
        <v>2130870</v>
      </c>
      <c r="D3" s="249">
        <v>45867</v>
      </c>
      <c r="E3" s="215">
        <v>309126.14</v>
      </c>
      <c r="F3" s="246" t="s">
        <v>1492</v>
      </c>
      <c r="G3" s="247" t="s">
        <v>9</v>
      </c>
      <c r="J3" s="946">
        <v>175139</v>
      </c>
      <c r="K3" s="36">
        <v>25878.16</v>
      </c>
    </row>
    <row r="4" spans="1:11">
      <c r="A4" s="246">
        <v>3</v>
      </c>
      <c r="B4" s="246" t="s">
        <v>7</v>
      </c>
      <c r="C4" s="246">
        <v>2130870</v>
      </c>
      <c r="D4" s="249">
        <v>45867</v>
      </c>
      <c r="E4" s="215">
        <v>40235130.520000003</v>
      </c>
      <c r="F4" s="246" t="s">
        <v>32</v>
      </c>
      <c r="G4" s="247" t="s">
        <v>9</v>
      </c>
      <c r="J4" s="1002">
        <v>175146</v>
      </c>
      <c r="K4" s="1003">
        <v>5417</v>
      </c>
    </row>
    <row r="5" spans="1:11">
      <c r="A5" s="246">
        <v>4</v>
      </c>
      <c r="B5" s="246" t="s">
        <v>7</v>
      </c>
      <c r="C5" s="246">
        <v>2130870</v>
      </c>
      <c r="D5" s="249">
        <v>45867</v>
      </c>
      <c r="E5" s="215">
        <v>3043.79</v>
      </c>
      <c r="F5" s="246" t="s">
        <v>1328</v>
      </c>
      <c r="G5" s="247" t="s">
        <v>9</v>
      </c>
      <c r="J5" s="352" t="s">
        <v>1490</v>
      </c>
      <c r="K5" s="20">
        <v>840.89</v>
      </c>
    </row>
    <row r="6" spans="1:11">
      <c r="A6" s="246">
        <v>9</v>
      </c>
      <c r="B6" s="246" t="s">
        <v>13</v>
      </c>
      <c r="C6" s="246">
        <v>2050752</v>
      </c>
      <c r="D6" s="249">
        <v>45867</v>
      </c>
      <c r="E6" s="215">
        <v>472934.51</v>
      </c>
      <c r="F6" s="246" t="s">
        <v>1467</v>
      </c>
      <c r="G6" s="247" t="s">
        <v>9</v>
      </c>
      <c r="J6" s="1194" t="s">
        <v>1491</v>
      </c>
      <c r="K6" s="1195">
        <v>360</v>
      </c>
    </row>
    <row r="7" spans="1:11">
      <c r="A7" s="1093">
        <v>10</v>
      </c>
      <c r="B7" s="1093" t="s">
        <v>13</v>
      </c>
      <c r="C7" s="1093">
        <v>2050752</v>
      </c>
      <c r="D7" s="1184">
        <v>45867</v>
      </c>
      <c r="E7" s="1095">
        <v>2589264.2200000002</v>
      </c>
      <c r="F7" s="1093" t="s">
        <v>1467</v>
      </c>
      <c r="G7" s="1185" t="s">
        <v>9</v>
      </c>
      <c r="J7" s="113" t="s">
        <v>1491</v>
      </c>
      <c r="K7" s="83">
        <v>169.45</v>
      </c>
    </row>
    <row r="8" spans="1:11">
      <c r="A8" s="246">
        <v>11</v>
      </c>
      <c r="B8" s="246" t="s">
        <v>11</v>
      </c>
      <c r="C8" s="246">
        <v>1170470</v>
      </c>
      <c r="D8" s="264">
        <v>45867</v>
      </c>
      <c r="E8" s="215">
        <v>526801.34</v>
      </c>
      <c r="F8" s="246" t="s">
        <v>1493</v>
      </c>
      <c r="G8" s="247" t="s">
        <v>9</v>
      </c>
      <c r="J8" s="347" t="s">
        <v>1489</v>
      </c>
      <c r="K8" s="348">
        <v>205.3</v>
      </c>
    </row>
    <row r="9" spans="1:11">
      <c r="A9" s="246">
        <v>12</v>
      </c>
      <c r="B9" s="246" t="s">
        <v>11</v>
      </c>
      <c r="C9" s="246">
        <v>1170470</v>
      </c>
      <c r="D9" s="264">
        <v>45867</v>
      </c>
      <c r="E9" s="215">
        <v>80858.289999999994</v>
      </c>
      <c r="F9" s="246" t="s">
        <v>1493</v>
      </c>
      <c r="G9" s="247" t="s">
        <v>9</v>
      </c>
    </row>
    <row r="10" spans="1:11">
      <c r="A10" s="1065">
        <v>17</v>
      </c>
      <c r="B10" s="1065" t="s">
        <v>11</v>
      </c>
      <c r="C10" s="1065">
        <v>1200393</v>
      </c>
      <c r="D10" s="1186">
        <v>45867</v>
      </c>
      <c r="E10" s="1064">
        <v>1759.34</v>
      </c>
      <c r="F10" s="1065"/>
      <c r="G10" s="305" t="s">
        <v>9</v>
      </c>
    </row>
    <row r="11" spans="1:11">
      <c r="A11" s="1065">
        <v>18</v>
      </c>
      <c r="B11" s="1065" t="s">
        <v>11</v>
      </c>
      <c r="C11" s="1065">
        <v>1040211</v>
      </c>
      <c r="D11" s="1186">
        <v>45867</v>
      </c>
      <c r="E11" s="1064">
        <v>24118.82</v>
      </c>
      <c r="F11" s="1065"/>
      <c r="G11" s="1065" t="s">
        <v>9</v>
      </c>
    </row>
    <row r="12" spans="1:11">
      <c r="A12" s="1066">
        <v>19</v>
      </c>
      <c r="B12" s="1066" t="s">
        <v>11</v>
      </c>
      <c r="C12" s="1066">
        <v>1040211</v>
      </c>
      <c r="D12" s="1188">
        <v>45867</v>
      </c>
      <c r="E12" s="1068">
        <v>5417</v>
      </c>
      <c r="F12" s="1066"/>
      <c r="G12" s="1066" t="s">
        <v>9</v>
      </c>
    </row>
    <row r="13" spans="1:11">
      <c r="A13" s="1114">
        <v>20</v>
      </c>
      <c r="B13" s="1114" t="s">
        <v>11</v>
      </c>
      <c r="C13" s="1114">
        <v>1200393</v>
      </c>
      <c r="D13" s="1187">
        <v>45867</v>
      </c>
      <c r="E13" s="1115">
        <v>10533.9</v>
      </c>
      <c r="F13" s="1114"/>
      <c r="G13" s="1114" t="s">
        <v>9</v>
      </c>
    </row>
    <row r="14" spans="1:11">
      <c r="A14" s="1114">
        <v>21</v>
      </c>
      <c r="B14" s="1114" t="s">
        <v>11</v>
      </c>
      <c r="C14" s="1114">
        <v>1040211</v>
      </c>
      <c r="D14" s="1187">
        <v>45867</v>
      </c>
      <c r="E14" s="1115">
        <v>44160.28</v>
      </c>
      <c r="F14" s="1114"/>
      <c r="G14" s="1114" t="s">
        <v>9</v>
      </c>
    </row>
    <row r="15" spans="1:11">
      <c r="A15" s="246">
        <v>23</v>
      </c>
      <c r="B15" s="246" t="s">
        <v>11</v>
      </c>
      <c r="C15" s="246">
        <v>1060345</v>
      </c>
      <c r="D15" s="264">
        <v>45867</v>
      </c>
      <c r="E15" s="215">
        <v>46600000</v>
      </c>
      <c r="F15" s="246" t="s">
        <v>1459</v>
      </c>
      <c r="G15" s="247" t="s">
        <v>9</v>
      </c>
      <c r="J15" s="246" t="s">
        <v>1495</v>
      </c>
      <c r="K15" s="316">
        <v>3043.79</v>
      </c>
    </row>
    <row r="16" spans="1:11">
      <c r="A16" s="246">
        <v>24</v>
      </c>
      <c r="B16" s="246" t="s">
        <v>12</v>
      </c>
      <c r="C16" s="246">
        <v>1040500</v>
      </c>
      <c r="D16" s="264">
        <v>45867</v>
      </c>
      <c r="E16" s="215">
        <v>427.68</v>
      </c>
      <c r="F16" s="246" t="s">
        <v>1494</v>
      </c>
      <c r="G16" s="246" t="s">
        <v>9</v>
      </c>
    </row>
    <row r="17" spans="1:7">
      <c r="A17" s="246">
        <v>25</v>
      </c>
      <c r="B17" s="246" t="s">
        <v>12</v>
      </c>
      <c r="C17" s="246">
        <v>1040500</v>
      </c>
      <c r="D17" s="264">
        <v>45867</v>
      </c>
      <c r="E17" s="215">
        <v>213.9</v>
      </c>
      <c r="F17" s="246" t="s">
        <v>1494</v>
      </c>
      <c r="G17" s="246" t="s">
        <v>9</v>
      </c>
    </row>
    <row r="18" spans="1:7">
      <c r="A18" s="246">
        <v>26</v>
      </c>
      <c r="B18" s="246" t="s">
        <v>12</v>
      </c>
      <c r="C18" s="246">
        <v>1040500</v>
      </c>
      <c r="D18" s="264">
        <v>45867</v>
      </c>
      <c r="E18" s="215">
        <v>175.52</v>
      </c>
      <c r="F18" s="246" t="s">
        <v>1494</v>
      </c>
      <c r="G18" s="246" t="s">
        <v>9</v>
      </c>
    </row>
    <row r="19" spans="1:7">
      <c r="A19" s="349">
        <v>32</v>
      </c>
      <c r="B19" s="349" t="s">
        <v>12</v>
      </c>
      <c r="C19" s="349">
        <v>1170144</v>
      </c>
      <c r="D19" s="350">
        <v>45867</v>
      </c>
      <c r="E19" s="1190">
        <v>840.89</v>
      </c>
      <c r="F19" s="349"/>
      <c r="G19" s="349" t="s">
        <v>9</v>
      </c>
    </row>
    <row r="20" spans="1:7">
      <c r="A20" s="1191">
        <v>33</v>
      </c>
      <c r="B20" s="1191" t="s">
        <v>12</v>
      </c>
      <c r="C20" s="1191">
        <v>1170144</v>
      </c>
      <c r="D20" s="1192">
        <v>45867</v>
      </c>
      <c r="E20" s="1193">
        <v>360</v>
      </c>
      <c r="F20" s="1191"/>
      <c r="G20" s="1191" t="s">
        <v>9</v>
      </c>
    </row>
    <row r="21" spans="1:7">
      <c r="A21" s="1196">
        <v>39</v>
      </c>
      <c r="B21" s="1196" t="s">
        <v>11</v>
      </c>
      <c r="C21" s="1196">
        <v>1040375</v>
      </c>
      <c r="D21" s="1197">
        <v>45867</v>
      </c>
      <c r="E21" s="1198">
        <v>37.46</v>
      </c>
      <c r="F21" s="1196"/>
      <c r="G21" s="1196" t="s">
        <v>9</v>
      </c>
    </row>
    <row r="22" spans="1:7">
      <c r="A22" s="1196">
        <v>40</v>
      </c>
      <c r="B22" s="1196" t="s">
        <v>11</v>
      </c>
      <c r="C22" s="1196">
        <v>1040375</v>
      </c>
      <c r="D22" s="1197">
        <v>45867</v>
      </c>
      <c r="E22" s="1198">
        <v>28.28</v>
      </c>
      <c r="F22" s="1196"/>
      <c r="G22" s="1196" t="s">
        <v>9</v>
      </c>
    </row>
    <row r="23" spans="1:7">
      <c r="A23" s="1196">
        <v>41</v>
      </c>
      <c r="B23" s="1196" t="s">
        <v>11</v>
      </c>
      <c r="C23" s="1196">
        <v>1040375</v>
      </c>
      <c r="D23" s="1197">
        <v>45867</v>
      </c>
      <c r="E23" s="1198">
        <v>43.57</v>
      </c>
      <c r="F23" s="1196"/>
      <c r="G23" s="1196" t="s">
        <v>9</v>
      </c>
    </row>
    <row r="24" spans="1:7">
      <c r="A24" s="1196">
        <v>42</v>
      </c>
      <c r="B24" s="1196" t="s">
        <v>11</v>
      </c>
      <c r="C24" s="1196">
        <v>1040375</v>
      </c>
      <c r="D24" s="1197">
        <v>45867</v>
      </c>
      <c r="E24" s="1198">
        <v>60.14</v>
      </c>
      <c r="F24" s="1196"/>
      <c r="G24" s="1196" t="s">
        <v>9</v>
      </c>
    </row>
    <row r="25" spans="1:7">
      <c r="A25" s="344">
        <v>44</v>
      </c>
      <c r="B25" s="344" t="s">
        <v>11</v>
      </c>
      <c r="C25" s="344">
        <v>1040375</v>
      </c>
      <c r="D25" s="345">
        <v>45867</v>
      </c>
      <c r="E25" s="1189">
        <v>198.38</v>
      </c>
      <c r="F25" s="344"/>
      <c r="G25" s="344" t="s">
        <v>9</v>
      </c>
    </row>
    <row r="26" spans="1:7">
      <c r="A26" s="344">
        <v>45</v>
      </c>
      <c r="B26" s="344" t="s">
        <v>11</v>
      </c>
      <c r="C26" s="344">
        <v>1040375</v>
      </c>
      <c r="D26" s="345">
        <v>45867</v>
      </c>
      <c r="E26" s="1189">
        <v>6.92</v>
      </c>
      <c r="F26" s="344"/>
      <c r="G26" s="344" t="s">
        <v>9</v>
      </c>
    </row>
    <row r="27" spans="1:7">
      <c r="A27" s="246">
        <v>61</v>
      </c>
      <c r="B27" s="246" t="s">
        <v>11</v>
      </c>
      <c r="C27" s="246">
        <v>1040258</v>
      </c>
      <c r="D27" s="264">
        <v>45867</v>
      </c>
      <c r="E27" s="215">
        <v>11.88</v>
      </c>
      <c r="F27" s="246" t="s">
        <v>1486</v>
      </c>
      <c r="G27" s="246" t="s">
        <v>9</v>
      </c>
    </row>
    <row r="49" spans="1:3">
      <c r="A49" s="248"/>
      <c r="B49" s="248"/>
      <c r="C49" s="248"/>
    </row>
    <row r="50" spans="1:3">
      <c r="A50" s="248"/>
      <c r="B50" s="248"/>
      <c r="C50" s="248"/>
    </row>
    <row r="51" spans="1:3">
      <c r="A51" s="248"/>
      <c r="B51" s="248"/>
      <c r="C51" s="248"/>
    </row>
    <row r="52" spans="1:3">
      <c r="A52" s="248"/>
      <c r="B52" s="248"/>
      <c r="C52" s="248"/>
    </row>
    <row r="53" spans="1:3">
      <c r="A53" s="248"/>
      <c r="B53" s="248"/>
      <c r="C53" s="248"/>
    </row>
    <row r="54" spans="1:3">
      <c r="A54" s="248"/>
      <c r="B54" s="248"/>
      <c r="C54" s="248"/>
    </row>
    <row r="55" spans="1:3">
      <c r="A55" s="248"/>
      <c r="B55" s="248"/>
      <c r="C55" s="248"/>
    </row>
    <row r="56" spans="1:3">
      <c r="A56" s="248"/>
      <c r="B56" s="248"/>
      <c r="C56" s="248"/>
    </row>
    <row r="57" spans="1:3">
      <c r="A57" s="248"/>
      <c r="B57" s="248"/>
      <c r="C57" s="248"/>
    </row>
    <row r="58" spans="1:3">
      <c r="A58" s="248"/>
      <c r="B58" s="248"/>
      <c r="C58" s="248"/>
    </row>
    <row r="59" spans="1:3">
      <c r="A59" s="248"/>
      <c r="B59" s="248"/>
      <c r="C59" s="248"/>
    </row>
    <row r="60" spans="1:3">
      <c r="A60" s="248"/>
      <c r="B60" s="248"/>
      <c r="C60" s="248"/>
    </row>
    <row r="61" spans="1:3">
      <c r="A61" s="248"/>
      <c r="B61" s="248"/>
      <c r="C61" s="248"/>
    </row>
    <row r="62" spans="1:3">
      <c r="A62" s="248"/>
      <c r="B62" s="248"/>
      <c r="C62" s="248"/>
    </row>
    <row r="63" spans="1:3">
      <c r="A63" s="248"/>
      <c r="B63" s="248"/>
      <c r="C63" s="248"/>
    </row>
    <row r="64" spans="1:3">
      <c r="A64" s="248"/>
      <c r="B64" s="248"/>
      <c r="C64" s="248"/>
    </row>
    <row r="65" spans="1:3">
      <c r="A65" s="248"/>
      <c r="B65" s="248"/>
      <c r="C65" s="248"/>
    </row>
    <row r="66" spans="1:3">
      <c r="A66" s="248"/>
      <c r="B66" s="248"/>
      <c r="C66" s="248"/>
    </row>
    <row r="67" spans="1:3">
      <c r="A67" s="248"/>
      <c r="B67" s="248"/>
      <c r="C67" s="248"/>
    </row>
    <row r="68" spans="1:3">
      <c r="A68" s="248"/>
      <c r="B68" s="248"/>
      <c r="C68" s="248"/>
    </row>
    <row r="69" spans="1:3">
      <c r="A69" s="248"/>
      <c r="B69" s="248"/>
      <c r="C69" s="248"/>
    </row>
    <row r="70" spans="1:3">
      <c r="A70" s="248"/>
      <c r="B70" s="248"/>
      <c r="C70" s="248"/>
    </row>
    <row r="71" spans="1:3">
      <c r="A71" s="248"/>
      <c r="B71" s="248"/>
      <c r="C71" s="248"/>
    </row>
    <row r="72" spans="1:3">
      <c r="A72" s="248"/>
      <c r="B72" s="248"/>
      <c r="C72" s="248"/>
    </row>
    <row r="73" spans="1:3">
      <c r="A73" s="248"/>
      <c r="B73" s="248"/>
      <c r="C73" s="248"/>
    </row>
    <row r="74" spans="1:3">
      <c r="A74" s="248"/>
      <c r="B74" s="248"/>
      <c r="C74" s="248"/>
    </row>
    <row r="75" spans="1:3">
      <c r="A75" s="248"/>
      <c r="B75" s="248"/>
      <c r="C75" s="248"/>
    </row>
    <row r="76" spans="1:3">
      <c r="A76" s="248"/>
      <c r="B76" s="248"/>
      <c r="C76" s="248"/>
    </row>
    <row r="77" spans="1:3">
      <c r="A77" s="248"/>
      <c r="B77" s="248"/>
      <c r="C77" s="248"/>
    </row>
    <row r="78" spans="1:3">
      <c r="A78" s="248"/>
      <c r="B78" s="248"/>
      <c r="C78" s="248"/>
    </row>
    <row r="79" spans="1:3">
      <c r="A79" s="248"/>
      <c r="B79" s="248"/>
      <c r="C79" s="248"/>
    </row>
    <row r="80" spans="1:3">
      <c r="A80" s="248"/>
      <c r="B80" s="248"/>
      <c r="C80" s="248"/>
    </row>
    <row r="81" spans="1:3">
      <c r="A81" s="248"/>
      <c r="B81" s="248"/>
      <c r="C81" s="248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23D44-47C0-4C9E-A62D-55AE55BBEC9A}">
  <sheetPr>
    <tabColor rgb="FFFFFF00"/>
  </sheetPr>
  <dimension ref="A1:K27"/>
  <sheetViews>
    <sheetView showGridLines="0" topLeftCell="A3" zoomScaleNormal="100" workbookViewId="0">
      <selection activeCellId="1" sqref="I8 A1:XFD1048576"/>
    </sheetView>
  </sheetViews>
  <sheetFormatPr defaultColWidth="8.8984375" defaultRowHeight="13.8"/>
  <cols>
    <col min="1" max="1" width="5.09765625" style="244" bestFit="1" customWidth="1"/>
    <col min="2" max="2" width="15.69921875" style="244" bestFit="1" customWidth="1"/>
    <col min="3" max="3" width="7.8984375" style="244" bestFit="1" customWidth="1"/>
    <col min="4" max="4" width="14.59765625" style="244" bestFit="1" customWidth="1"/>
    <col min="5" max="5" width="28.5" style="216" bestFit="1" customWidth="1"/>
    <col min="6" max="6" width="8.8984375" style="244"/>
    <col min="7" max="7" width="28.5" style="244" bestFit="1" customWidth="1"/>
    <col min="8" max="9" width="8.8984375" style="244"/>
    <col min="10" max="10" width="26.8984375" style="244" bestFit="1" customWidth="1"/>
    <col min="11" max="11" width="12.59765625" style="1201" bestFit="1" customWidth="1"/>
    <col min="12" max="16384" width="8.8984375" style="244"/>
  </cols>
  <sheetData>
    <row r="1" spans="1:11" ht="14.4" thickBot="1">
      <c r="A1" s="369" t="s">
        <v>0</v>
      </c>
      <c r="B1" s="369" t="s">
        <v>1</v>
      </c>
      <c r="C1" s="369" t="s">
        <v>2</v>
      </c>
      <c r="D1" s="596" t="s">
        <v>1322</v>
      </c>
      <c r="E1" s="371" t="s">
        <v>1323</v>
      </c>
      <c r="F1" s="370" t="s">
        <v>3</v>
      </c>
      <c r="G1" s="369" t="s">
        <v>4</v>
      </c>
      <c r="H1"/>
      <c r="I1" s="57"/>
      <c r="J1" s="370" t="s">
        <v>5</v>
      </c>
      <c r="K1" s="372" t="s">
        <v>1324</v>
      </c>
    </row>
    <row r="2" spans="1:11" ht="14.4" thickTop="1">
      <c r="A2" s="244">
        <v>1</v>
      </c>
      <c r="B2" s="244" t="s">
        <v>7</v>
      </c>
      <c r="C2" s="244">
        <v>2130870</v>
      </c>
      <c r="D2" s="245">
        <v>45868</v>
      </c>
      <c r="E2" s="216">
        <v>14344.06</v>
      </c>
      <c r="F2" s="244" t="s">
        <v>1339</v>
      </c>
      <c r="G2" s="247" t="s">
        <v>9</v>
      </c>
      <c r="J2" s="1073">
        <v>175150</v>
      </c>
      <c r="K2" s="1074">
        <v>35583.180000000008</v>
      </c>
    </row>
    <row r="3" spans="1:11">
      <c r="A3" s="244">
        <v>2</v>
      </c>
      <c r="B3" s="244" t="s">
        <v>7</v>
      </c>
      <c r="C3" s="244">
        <v>2130870</v>
      </c>
      <c r="D3" s="245">
        <v>45868</v>
      </c>
      <c r="E3" s="216">
        <v>8000</v>
      </c>
      <c r="F3" s="244" t="s">
        <v>1339</v>
      </c>
      <c r="G3" s="247" t="s">
        <v>9</v>
      </c>
      <c r="J3" s="356">
        <v>175156</v>
      </c>
      <c r="K3" s="357">
        <v>30107.199999999997</v>
      </c>
    </row>
    <row r="4" spans="1:11">
      <c r="A4" s="244">
        <v>3</v>
      </c>
      <c r="B4" s="244" t="s">
        <v>7</v>
      </c>
      <c r="C4" s="244">
        <v>2130870</v>
      </c>
      <c r="D4" s="245">
        <v>45868</v>
      </c>
      <c r="E4" s="216">
        <v>2253561.33</v>
      </c>
      <c r="F4" s="244" t="s">
        <v>32</v>
      </c>
      <c r="G4" s="247" t="s">
        <v>9</v>
      </c>
      <c r="J4" s="946">
        <v>175160</v>
      </c>
      <c r="K4" s="36">
        <v>5137.33</v>
      </c>
    </row>
    <row r="5" spans="1:11">
      <c r="A5" s="244">
        <v>4</v>
      </c>
      <c r="B5" s="244" t="s">
        <v>7</v>
      </c>
      <c r="C5" s="244">
        <v>2130870</v>
      </c>
      <c r="D5" s="245">
        <v>45868</v>
      </c>
      <c r="E5" s="216">
        <v>2417.2199999999998</v>
      </c>
      <c r="F5" s="244" t="s">
        <v>1328</v>
      </c>
      <c r="G5" s="247" t="s">
        <v>9</v>
      </c>
      <c r="J5" s="114" t="s">
        <v>1497</v>
      </c>
      <c r="K5" s="22">
        <v>448.26</v>
      </c>
    </row>
    <row r="6" spans="1:11">
      <c r="A6" s="244">
        <v>5</v>
      </c>
      <c r="B6" s="244" t="s">
        <v>7</v>
      </c>
      <c r="C6" s="244">
        <v>2050900</v>
      </c>
      <c r="D6" s="245">
        <v>45868</v>
      </c>
      <c r="E6" s="216">
        <v>13537.79</v>
      </c>
      <c r="G6" s="244" t="s">
        <v>9</v>
      </c>
    </row>
    <row r="7" spans="1:11">
      <c r="A7" s="244">
        <v>6</v>
      </c>
      <c r="B7" s="244" t="s">
        <v>7</v>
      </c>
      <c r="C7" s="244">
        <v>2050900</v>
      </c>
      <c r="D7" s="245">
        <v>45868</v>
      </c>
      <c r="E7" s="216">
        <v>56699.519999999997</v>
      </c>
      <c r="G7" s="244" t="s">
        <v>9</v>
      </c>
    </row>
    <row r="8" spans="1:11">
      <c r="A8" s="1199">
        <v>7</v>
      </c>
      <c r="B8" s="1199" t="s">
        <v>13</v>
      </c>
      <c r="C8" s="1199">
        <v>2050752</v>
      </c>
      <c r="D8" s="979">
        <v>45868</v>
      </c>
      <c r="E8" s="1200">
        <v>319320.09000000003</v>
      </c>
      <c r="F8" s="1199"/>
      <c r="G8" s="1199" t="s">
        <v>9</v>
      </c>
    </row>
    <row r="9" spans="1:11">
      <c r="A9" s="1205">
        <v>12</v>
      </c>
      <c r="B9" s="1205" t="s">
        <v>11</v>
      </c>
      <c r="C9" s="1205">
        <v>1200393</v>
      </c>
      <c r="D9" s="1206">
        <v>45868</v>
      </c>
      <c r="E9" s="1207">
        <v>6565.87</v>
      </c>
      <c r="F9" s="1205"/>
      <c r="G9" s="1205" t="s">
        <v>9</v>
      </c>
    </row>
    <row r="10" spans="1:11">
      <c r="A10" s="1205">
        <v>13</v>
      </c>
      <c r="B10" s="1205" t="s">
        <v>11</v>
      </c>
      <c r="C10" s="1205">
        <v>1040211</v>
      </c>
      <c r="D10" s="1206">
        <v>45868</v>
      </c>
      <c r="E10" s="1207">
        <v>23541.33</v>
      </c>
      <c r="F10" s="1205"/>
      <c r="G10" s="1205" t="s">
        <v>9</v>
      </c>
    </row>
    <row r="11" spans="1:11">
      <c r="A11" s="1202">
        <v>23</v>
      </c>
      <c r="B11" s="1202" t="s">
        <v>11</v>
      </c>
      <c r="C11" s="1202">
        <v>1200393</v>
      </c>
      <c r="D11" s="1203">
        <v>45868</v>
      </c>
      <c r="E11" s="1204">
        <v>6477.1</v>
      </c>
      <c r="F11" s="1202"/>
      <c r="G11" s="1202" t="s">
        <v>9</v>
      </c>
    </row>
    <row r="12" spans="1:11">
      <c r="A12" s="1202">
        <v>24</v>
      </c>
      <c r="B12" s="1202" t="s">
        <v>11</v>
      </c>
      <c r="C12" s="1202">
        <v>1040211</v>
      </c>
      <c r="D12" s="1203">
        <v>45868</v>
      </c>
      <c r="E12" s="1204">
        <v>29106.080000000002</v>
      </c>
      <c r="F12" s="1202"/>
      <c r="G12" s="1202" t="s">
        <v>9</v>
      </c>
    </row>
    <row r="13" spans="1:11">
      <c r="A13" s="244">
        <v>26</v>
      </c>
      <c r="B13" s="244" t="s">
        <v>11</v>
      </c>
      <c r="C13" s="244">
        <v>1060345</v>
      </c>
      <c r="D13" s="245">
        <v>45868</v>
      </c>
      <c r="E13" s="216">
        <v>5000000</v>
      </c>
      <c r="F13" s="244" t="s">
        <v>1459</v>
      </c>
      <c r="G13" s="247" t="s">
        <v>9</v>
      </c>
    </row>
    <row r="14" spans="1:11">
      <c r="A14" s="244">
        <v>27</v>
      </c>
      <c r="B14" s="244" t="s">
        <v>11</v>
      </c>
      <c r="C14" s="244">
        <v>1060345</v>
      </c>
      <c r="D14" s="245">
        <v>45868</v>
      </c>
      <c r="E14" s="216">
        <v>80696.23</v>
      </c>
      <c r="F14" s="244" t="s">
        <v>1498</v>
      </c>
      <c r="G14" s="247" t="s">
        <v>9</v>
      </c>
    </row>
    <row r="15" spans="1:11">
      <c r="A15" s="1208">
        <v>31</v>
      </c>
      <c r="B15" s="1208" t="s">
        <v>11</v>
      </c>
      <c r="C15" s="1208">
        <v>1040375</v>
      </c>
      <c r="D15" s="1209">
        <v>45868</v>
      </c>
      <c r="E15" s="1210">
        <v>84.24</v>
      </c>
      <c r="F15" s="1208"/>
      <c r="G15" s="1208" t="s">
        <v>9</v>
      </c>
    </row>
    <row r="16" spans="1:11">
      <c r="A16" s="1208">
        <v>32</v>
      </c>
      <c r="B16" s="1208" t="s">
        <v>11</v>
      </c>
      <c r="C16" s="1208">
        <v>1040375</v>
      </c>
      <c r="D16" s="1209">
        <v>45868</v>
      </c>
      <c r="E16" s="1210">
        <v>364.02</v>
      </c>
      <c r="F16" s="1208"/>
      <c r="G16" s="1208" t="s">
        <v>9</v>
      </c>
    </row>
    <row r="17" spans="1:7">
      <c r="A17" s="302">
        <v>34</v>
      </c>
      <c r="B17" s="302" t="s">
        <v>11</v>
      </c>
      <c r="C17" s="302">
        <v>1040375</v>
      </c>
      <c r="D17" s="1211">
        <v>45868</v>
      </c>
      <c r="E17" s="1212">
        <v>10.119999999999999</v>
      </c>
      <c r="F17" s="302"/>
      <c r="G17" s="302" t="s">
        <v>9</v>
      </c>
    </row>
    <row r="18" spans="1:7">
      <c r="A18" s="302">
        <v>35</v>
      </c>
      <c r="B18" s="302" t="s">
        <v>11</v>
      </c>
      <c r="C18" s="302">
        <v>1040375</v>
      </c>
      <c r="D18" s="1211">
        <v>45868</v>
      </c>
      <c r="E18" s="1212">
        <v>0.9</v>
      </c>
      <c r="F18" s="302"/>
      <c r="G18" s="302" t="s">
        <v>9</v>
      </c>
    </row>
    <row r="19" spans="1:7">
      <c r="A19" s="302">
        <v>36</v>
      </c>
      <c r="B19" s="302" t="s">
        <v>11</v>
      </c>
      <c r="C19" s="302">
        <v>1040375</v>
      </c>
      <c r="D19" s="1211">
        <v>45868</v>
      </c>
      <c r="E19" s="1212">
        <v>2087.44</v>
      </c>
      <c r="F19" s="302"/>
      <c r="G19" s="302" t="s">
        <v>9</v>
      </c>
    </row>
    <row r="20" spans="1:7">
      <c r="A20" s="302">
        <v>37</v>
      </c>
      <c r="B20" s="302" t="s">
        <v>11</v>
      </c>
      <c r="C20" s="302">
        <v>1040375</v>
      </c>
      <c r="D20" s="1211">
        <v>45868</v>
      </c>
      <c r="E20" s="1212">
        <v>196.78</v>
      </c>
      <c r="F20" s="302"/>
      <c r="G20" s="302" t="s">
        <v>9</v>
      </c>
    </row>
    <row r="21" spans="1:7">
      <c r="A21" s="302">
        <v>38</v>
      </c>
      <c r="B21" s="302" t="s">
        <v>11</v>
      </c>
      <c r="C21" s="302">
        <v>1040375</v>
      </c>
      <c r="D21" s="1211">
        <v>45868</v>
      </c>
      <c r="E21" s="1212">
        <v>3.86</v>
      </c>
      <c r="F21" s="302"/>
      <c r="G21" s="302" t="s">
        <v>9</v>
      </c>
    </row>
    <row r="22" spans="1:7">
      <c r="A22" s="302">
        <v>39</v>
      </c>
      <c r="B22" s="302" t="s">
        <v>11</v>
      </c>
      <c r="C22" s="302">
        <v>1040375</v>
      </c>
      <c r="D22" s="1211">
        <v>45868</v>
      </c>
      <c r="E22" s="1212">
        <v>130.16999999999999</v>
      </c>
      <c r="F22" s="302"/>
      <c r="G22" s="302" t="s">
        <v>9</v>
      </c>
    </row>
    <row r="23" spans="1:7">
      <c r="A23" s="302">
        <v>40</v>
      </c>
      <c r="B23" s="302" t="s">
        <v>11</v>
      </c>
      <c r="C23" s="302">
        <v>1040375</v>
      </c>
      <c r="D23" s="1211">
        <v>45868</v>
      </c>
      <c r="E23" s="1212">
        <v>2708.06</v>
      </c>
      <c r="F23" s="302"/>
      <c r="G23" s="302" t="s">
        <v>9</v>
      </c>
    </row>
    <row r="26" spans="1:7">
      <c r="E26" s="1201"/>
    </row>
    <row r="27" spans="1:7">
      <c r="E27" s="1201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D04ED-0B96-4897-9B10-EC6A559085C8}">
  <sheetPr>
    <tabColor rgb="FFFFFF00"/>
  </sheetPr>
  <dimension ref="A1:P25"/>
  <sheetViews>
    <sheetView showGridLines="0" zoomScaleNormal="100" workbookViewId="0">
      <selection activeCellId="1" sqref="I8 A1:XFD1048576"/>
    </sheetView>
  </sheetViews>
  <sheetFormatPr defaultColWidth="8.8984375" defaultRowHeight="13.8"/>
  <cols>
    <col min="1" max="1" width="5.09765625" style="244" bestFit="1" customWidth="1"/>
    <col min="2" max="2" width="15.69921875" style="244" bestFit="1" customWidth="1"/>
    <col min="3" max="3" width="7.8984375" style="244" bestFit="1" customWidth="1"/>
    <col min="4" max="4" width="14.59765625" style="244" bestFit="1" customWidth="1"/>
    <col min="5" max="5" width="16.3984375" style="216" bestFit="1" customWidth="1"/>
    <col min="6" max="6" width="11.5" style="244" bestFit="1" customWidth="1"/>
    <col min="7" max="7" width="28.5" style="244" bestFit="1" customWidth="1"/>
    <col min="8" max="9" width="8.8984375" style="244"/>
    <col min="10" max="10" width="26.8984375" style="244" bestFit="1" customWidth="1"/>
    <col min="11" max="11" width="13.09765625" style="1201" bestFit="1" customWidth="1"/>
    <col min="12" max="16384" width="8.8984375" style="244"/>
  </cols>
  <sheetData>
    <row r="1" spans="1:16" ht="14.4" thickBot="1">
      <c r="A1" s="369" t="s">
        <v>0</v>
      </c>
      <c r="B1" s="369" t="s">
        <v>1</v>
      </c>
      <c r="C1" s="369" t="s">
        <v>2</v>
      </c>
      <c r="D1" s="596" t="s">
        <v>1322</v>
      </c>
      <c r="E1" s="371" t="s">
        <v>1323</v>
      </c>
      <c r="F1" s="370" t="s">
        <v>3</v>
      </c>
      <c r="G1" s="369" t="s">
        <v>4</v>
      </c>
      <c r="H1"/>
      <c r="I1" s="57"/>
      <c r="J1" s="370" t="s">
        <v>5</v>
      </c>
      <c r="K1" s="372" t="s">
        <v>1324</v>
      </c>
    </row>
    <row r="2" spans="1:16" ht="14.4" thickTop="1">
      <c r="A2" s="244">
        <v>1</v>
      </c>
      <c r="B2" s="244" t="s">
        <v>7</v>
      </c>
      <c r="C2" s="244">
        <v>2130870</v>
      </c>
      <c r="D2" s="245">
        <v>45869</v>
      </c>
      <c r="E2" s="216">
        <v>31175.75</v>
      </c>
      <c r="F2" s="244" t="s">
        <v>1502</v>
      </c>
      <c r="G2" s="247" t="s">
        <v>9</v>
      </c>
      <c r="J2" s="1224">
        <v>175179</v>
      </c>
      <c r="K2" s="79">
        <v>29649.579999999994</v>
      </c>
    </row>
    <row r="3" spans="1:16">
      <c r="A3" s="244">
        <v>2</v>
      </c>
      <c r="B3" s="244" t="s">
        <v>7</v>
      </c>
      <c r="C3" s="244">
        <v>2130870</v>
      </c>
      <c r="D3" s="245">
        <v>45869</v>
      </c>
      <c r="E3" s="216">
        <v>4380.47</v>
      </c>
      <c r="F3" s="244" t="s">
        <v>1328</v>
      </c>
      <c r="G3" s="247" t="s">
        <v>9</v>
      </c>
      <c r="J3" s="1225">
        <v>175181</v>
      </c>
      <c r="K3" s="67">
        <v>3921.77</v>
      </c>
    </row>
    <row r="4" spans="1:16">
      <c r="A4" s="244">
        <v>3</v>
      </c>
      <c r="B4" s="244" t="s">
        <v>7</v>
      </c>
      <c r="C4" s="244">
        <v>2060855</v>
      </c>
      <c r="D4" s="245">
        <v>45869</v>
      </c>
      <c r="E4" s="216">
        <v>10000000</v>
      </c>
      <c r="F4" s="244" t="s">
        <v>1329</v>
      </c>
      <c r="G4" s="247" t="s">
        <v>9</v>
      </c>
      <c r="J4" s="1226">
        <v>175186</v>
      </c>
      <c r="K4" s="36">
        <v>56901.39</v>
      </c>
    </row>
    <row r="5" spans="1:16">
      <c r="A5" s="244">
        <v>4</v>
      </c>
      <c r="B5" s="244" t="s">
        <v>7</v>
      </c>
      <c r="C5" s="244">
        <v>2050900</v>
      </c>
      <c r="D5" s="245">
        <v>45869</v>
      </c>
      <c r="E5" s="216">
        <v>6645.57</v>
      </c>
      <c r="F5" s="244" t="s">
        <v>1503</v>
      </c>
      <c r="G5" s="247" t="s">
        <v>9</v>
      </c>
      <c r="J5" s="1220" t="s">
        <v>1499</v>
      </c>
      <c r="K5" s="972">
        <v>21.99</v>
      </c>
    </row>
    <row r="6" spans="1:16">
      <c r="A6" s="244">
        <v>5</v>
      </c>
      <c r="B6" s="244" t="s">
        <v>13</v>
      </c>
      <c r="C6" s="244">
        <v>2050752</v>
      </c>
      <c r="D6" s="245">
        <v>45869</v>
      </c>
      <c r="E6" s="216">
        <v>342614.6</v>
      </c>
      <c r="F6" s="244" t="s">
        <v>1467</v>
      </c>
      <c r="G6" s="244" t="s">
        <v>9</v>
      </c>
      <c r="J6" s="514" t="s">
        <v>1500</v>
      </c>
      <c r="K6" s="959">
        <v>53.98</v>
      </c>
    </row>
    <row r="7" spans="1:16">
      <c r="A7" s="244">
        <v>6</v>
      </c>
      <c r="B7" s="244" t="s">
        <v>13</v>
      </c>
      <c r="C7" s="244">
        <v>2050752</v>
      </c>
      <c r="D7" s="245">
        <v>45869</v>
      </c>
      <c r="E7" s="216">
        <v>128687.61</v>
      </c>
      <c r="F7" s="244" t="s">
        <v>1467</v>
      </c>
      <c r="G7" s="244" t="s">
        <v>9</v>
      </c>
      <c r="J7" s="830" t="s">
        <v>1501</v>
      </c>
      <c r="K7" s="18">
        <v>3813.97</v>
      </c>
    </row>
    <row r="8" spans="1:16">
      <c r="A8" s="1230">
        <v>7</v>
      </c>
      <c r="B8" s="1230" t="s">
        <v>13</v>
      </c>
      <c r="C8" s="1230">
        <v>2050752</v>
      </c>
      <c r="D8" s="1231">
        <v>45869</v>
      </c>
      <c r="E8" s="1232">
        <v>4551517.37</v>
      </c>
      <c r="F8" s="1230" t="s">
        <v>1467</v>
      </c>
      <c r="G8" s="1230" t="s">
        <v>9</v>
      </c>
    </row>
    <row r="9" spans="1:16">
      <c r="A9" s="244">
        <v>8</v>
      </c>
      <c r="B9" s="244" t="s">
        <v>13</v>
      </c>
      <c r="C9" s="244">
        <v>2050752</v>
      </c>
      <c r="D9" s="245">
        <v>45869</v>
      </c>
      <c r="E9" s="216">
        <v>4888681.55</v>
      </c>
      <c r="F9" s="244" t="s">
        <v>1467</v>
      </c>
      <c r="G9" s="244" t="s">
        <v>9</v>
      </c>
    </row>
    <row r="10" spans="1:16">
      <c r="A10" s="244">
        <v>9</v>
      </c>
      <c r="B10" s="244" t="s">
        <v>7</v>
      </c>
      <c r="C10" s="244">
        <v>2140632</v>
      </c>
      <c r="D10" s="245">
        <v>45869</v>
      </c>
      <c r="E10" s="216">
        <v>9758.18</v>
      </c>
      <c r="G10" s="244" t="s">
        <v>9</v>
      </c>
    </row>
    <row r="11" spans="1:16" ht="14.4" thickBot="1">
      <c r="A11" s="288">
        <v>10</v>
      </c>
      <c r="B11" s="288" t="s">
        <v>7</v>
      </c>
      <c r="C11" s="288">
        <v>2140632</v>
      </c>
      <c r="D11" s="1017">
        <v>45869</v>
      </c>
      <c r="E11" s="1213">
        <v>88874.47</v>
      </c>
      <c r="F11" s="288"/>
      <c r="G11" s="288" t="s">
        <v>9</v>
      </c>
    </row>
    <row r="12" spans="1:16">
      <c r="A12" s="1217">
        <v>12</v>
      </c>
      <c r="B12" s="1217" t="s">
        <v>11</v>
      </c>
      <c r="C12" s="1217">
        <v>1040211</v>
      </c>
      <c r="D12" s="1218">
        <v>45869</v>
      </c>
      <c r="E12" s="1219">
        <v>3921.77</v>
      </c>
      <c r="F12" s="1217"/>
      <c r="G12" s="1217" t="s">
        <v>9</v>
      </c>
    </row>
    <row r="13" spans="1:16">
      <c r="A13" s="1214">
        <v>27</v>
      </c>
      <c r="B13" s="1214" t="s">
        <v>11</v>
      </c>
      <c r="C13" s="1214">
        <v>1200393</v>
      </c>
      <c r="D13" s="1215">
        <v>45869</v>
      </c>
      <c r="E13" s="1216">
        <v>4298.25</v>
      </c>
      <c r="F13" s="1214"/>
      <c r="G13" s="1214" t="s">
        <v>9</v>
      </c>
      <c r="J13" s="1223">
        <f>E22-K7</f>
        <v>10500</v>
      </c>
    </row>
    <row r="14" spans="1:16">
      <c r="A14" s="1214">
        <v>28</v>
      </c>
      <c r="B14" s="1214" t="s">
        <v>11</v>
      </c>
      <c r="C14" s="1214">
        <v>1040211</v>
      </c>
      <c r="D14" s="1215">
        <v>45869</v>
      </c>
      <c r="E14" s="1216">
        <v>25351.33</v>
      </c>
      <c r="F14" s="1214"/>
      <c r="G14" s="1214" t="s">
        <v>9</v>
      </c>
    </row>
    <row r="15" spans="1:16">
      <c r="A15" s="244">
        <v>30</v>
      </c>
      <c r="B15" s="244" t="s">
        <v>11</v>
      </c>
      <c r="C15" s="244">
        <v>1060345</v>
      </c>
      <c r="D15" s="245">
        <v>45869</v>
      </c>
      <c r="E15" s="216">
        <v>400000</v>
      </c>
      <c r="F15" s="244" t="s">
        <v>1459</v>
      </c>
      <c r="G15" s="244" t="s">
        <v>9</v>
      </c>
    </row>
    <row r="16" spans="1:16">
      <c r="A16" s="302">
        <v>32</v>
      </c>
      <c r="B16" s="302" t="s">
        <v>11</v>
      </c>
      <c r="C16" s="302">
        <v>1040109</v>
      </c>
      <c r="D16" s="1211">
        <v>45869</v>
      </c>
      <c r="E16" s="1212">
        <v>14225.35</v>
      </c>
      <c r="F16" s="302"/>
      <c r="G16" s="302" t="s">
        <v>9</v>
      </c>
      <c r="P16" s="244">
        <v>611.07000000000005</v>
      </c>
    </row>
    <row r="17" spans="1:16">
      <c r="A17" s="302">
        <v>33</v>
      </c>
      <c r="B17" s="302" t="s">
        <v>11</v>
      </c>
      <c r="C17" s="302">
        <v>1040109</v>
      </c>
      <c r="D17" s="1211">
        <v>45869</v>
      </c>
      <c r="E17" s="1212">
        <v>14225.35</v>
      </c>
      <c r="F17" s="302"/>
      <c r="G17" s="302" t="s">
        <v>9</v>
      </c>
    </row>
    <row r="18" spans="1:16">
      <c r="A18" s="302">
        <v>34</v>
      </c>
      <c r="B18" s="302" t="s">
        <v>11</v>
      </c>
      <c r="C18" s="302">
        <v>1040109</v>
      </c>
      <c r="D18" s="1211">
        <v>45869</v>
      </c>
      <c r="E18" s="1212">
        <v>14225.34</v>
      </c>
      <c r="F18" s="302"/>
      <c r="G18" s="302" t="s">
        <v>9</v>
      </c>
      <c r="P18" s="244">
        <v>692.13</v>
      </c>
    </row>
    <row r="19" spans="1:16">
      <c r="A19" s="302">
        <v>35</v>
      </c>
      <c r="B19" s="302" t="s">
        <v>11</v>
      </c>
      <c r="C19" s="302">
        <v>1040109</v>
      </c>
      <c r="D19" s="1211">
        <v>45869</v>
      </c>
      <c r="E19" s="1212">
        <v>14225.35</v>
      </c>
      <c r="F19" s="302"/>
      <c r="G19" s="302" t="s">
        <v>9</v>
      </c>
      <c r="P19" s="244">
        <v>692.13</v>
      </c>
    </row>
    <row r="20" spans="1:16">
      <c r="A20" s="1220">
        <v>36</v>
      </c>
      <c r="B20" s="1220" t="s">
        <v>11</v>
      </c>
      <c r="C20" s="1220">
        <v>1040375</v>
      </c>
      <c r="D20" s="1221">
        <v>45869</v>
      </c>
      <c r="E20" s="1222">
        <v>10.3</v>
      </c>
      <c r="F20" s="1220"/>
      <c r="G20" s="1220" t="s">
        <v>9</v>
      </c>
      <c r="P20" s="244">
        <v>136.74</v>
      </c>
    </row>
    <row r="21" spans="1:16">
      <c r="A21" s="1220">
        <v>37</v>
      </c>
      <c r="B21" s="1220" t="s">
        <v>11</v>
      </c>
      <c r="C21" s="1220">
        <v>1040375</v>
      </c>
      <c r="D21" s="1221">
        <v>45869</v>
      </c>
      <c r="E21" s="1222">
        <v>11.69</v>
      </c>
      <c r="F21" s="1220"/>
      <c r="G21" s="1220" t="s">
        <v>9</v>
      </c>
      <c r="P21" s="244">
        <v>64.89</v>
      </c>
    </row>
    <row r="22" spans="1:16">
      <c r="A22" s="1227">
        <v>44</v>
      </c>
      <c r="B22" s="1227" t="s">
        <v>12</v>
      </c>
      <c r="C22" s="1227">
        <v>1170144</v>
      </c>
      <c r="D22" s="1228">
        <v>45869</v>
      </c>
      <c r="E22" s="1229">
        <v>14313.97</v>
      </c>
      <c r="F22" s="1227"/>
      <c r="G22" s="1227" t="s">
        <v>9</v>
      </c>
      <c r="H22" s="244" t="s">
        <v>1504</v>
      </c>
    </row>
    <row r="23" spans="1:16">
      <c r="A23" s="514">
        <v>45</v>
      </c>
      <c r="B23" s="514" t="s">
        <v>11</v>
      </c>
      <c r="C23" s="514">
        <v>1040375</v>
      </c>
      <c r="D23" s="515">
        <v>45869</v>
      </c>
      <c r="E23" s="516">
        <v>2.13</v>
      </c>
      <c r="F23" s="514"/>
      <c r="G23" s="514" t="s">
        <v>9</v>
      </c>
    </row>
    <row r="24" spans="1:16">
      <c r="A24" s="514">
        <v>46</v>
      </c>
      <c r="B24" s="514" t="s">
        <v>11</v>
      </c>
      <c r="C24" s="514">
        <v>1040375</v>
      </c>
      <c r="D24" s="515">
        <v>45869</v>
      </c>
      <c r="E24" s="516">
        <v>51.85</v>
      </c>
      <c r="F24" s="514"/>
      <c r="G24" s="514" t="s">
        <v>9</v>
      </c>
    </row>
    <row r="25" spans="1:16">
      <c r="A25" s="244">
        <v>67</v>
      </c>
      <c r="B25" s="244" t="s">
        <v>11</v>
      </c>
      <c r="C25" s="244">
        <v>1040258</v>
      </c>
      <c r="D25" s="245">
        <v>45869</v>
      </c>
      <c r="E25" s="216">
        <v>10</v>
      </c>
      <c r="F25" s="244" t="s">
        <v>1486</v>
      </c>
      <c r="G25" s="244" t="s">
        <v>9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38F4B-5A2C-45D9-9141-23C669D405B2}">
  <dimension ref="A3:B15"/>
  <sheetViews>
    <sheetView workbookViewId="0">
      <selection activeCell="A4" sqref="A4:B13"/>
    </sheetView>
  </sheetViews>
  <sheetFormatPr defaultRowHeight="13.8"/>
  <cols>
    <col min="1" max="1" width="28.296875" bestFit="1" customWidth="1"/>
    <col min="2" max="2" width="23.296875" bestFit="1" customWidth="1"/>
  </cols>
  <sheetData>
    <row r="3" spans="1:2">
      <c r="A3" s="210" t="s">
        <v>153</v>
      </c>
      <c r="B3" t="s">
        <v>154</v>
      </c>
    </row>
    <row r="4" spans="1:2">
      <c r="A4" s="208">
        <v>170522</v>
      </c>
      <c r="B4">
        <v>2306088.0899999975</v>
      </c>
    </row>
    <row r="5" spans="1:2">
      <c r="A5" s="208">
        <v>170525</v>
      </c>
      <c r="B5">
        <v>72207.040000000023</v>
      </c>
    </row>
    <row r="6" spans="1:2">
      <c r="A6" s="208">
        <v>170526</v>
      </c>
      <c r="B6">
        <v>8500</v>
      </c>
    </row>
    <row r="7" spans="1:2">
      <c r="A7" s="208">
        <v>170527</v>
      </c>
      <c r="B7">
        <v>500</v>
      </c>
    </row>
    <row r="8" spans="1:2">
      <c r="A8" s="208">
        <v>170530</v>
      </c>
      <c r="B8">
        <v>2436.11</v>
      </c>
    </row>
    <row r="9" spans="1:2">
      <c r="A9" s="208">
        <v>170546</v>
      </c>
      <c r="B9">
        <v>2230.1</v>
      </c>
    </row>
    <row r="10" spans="1:2">
      <c r="A10" s="208">
        <v>170558</v>
      </c>
      <c r="B10">
        <v>9213.7599999999984</v>
      </c>
    </row>
    <row r="11" spans="1:2">
      <c r="A11" s="208">
        <v>170571</v>
      </c>
      <c r="B11">
        <v>13182.119999999997</v>
      </c>
    </row>
    <row r="12" spans="1:2">
      <c r="A12" s="208" t="s">
        <v>155</v>
      </c>
      <c r="B12">
        <v>0</v>
      </c>
    </row>
    <row r="13" spans="1:2">
      <c r="A13" s="208" t="s">
        <v>156</v>
      </c>
      <c r="B13">
        <v>12.44</v>
      </c>
    </row>
    <row r="14" spans="1:2">
      <c r="A14" s="208" t="s">
        <v>157</v>
      </c>
    </row>
    <row r="15" spans="1:2">
      <c r="A15" s="208" t="s">
        <v>158</v>
      </c>
      <c r="B15">
        <v>2414369.6599999974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3CCC8-598D-4C14-A343-FCCAC1F1A407}">
  <dimension ref="A1:T342"/>
  <sheetViews>
    <sheetView workbookViewId="0">
      <selection sqref="A1:XFD1048576"/>
    </sheetView>
  </sheetViews>
  <sheetFormatPr defaultRowHeight="13.8"/>
  <sheetData>
    <row r="1" spans="1:20">
      <c r="A1" t="s">
        <v>38</v>
      </c>
      <c r="B1" t="s">
        <v>1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38</v>
      </c>
      <c r="M1" t="s">
        <v>1</v>
      </c>
      <c r="N1" t="s">
        <v>39</v>
      </c>
      <c r="O1" t="s">
        <v>48</v>
      </c>
      <c r="P1" t="s">
        <v>49</v>
      </c>
      <c r="Q1" t="s">
        <v>50</v>
      </c>
      <c r="R1" t="s">
        <v>51</v>
      </c>
      <c r="S1" t="s">
        <v>52</v>
      </c>
      <c r="T1" t="s">
        <v>53</v>
      </c>
    </row>
    <row r="2" spans="1:20">
      <c r="B2" t="s">
        <v>11</v>
      </c>
      <c r="C2">
        <v>559799</v>
      </c>
      <c r="D2" t="s">
        <v>54</v>
      </c>
      <c r="E2">
        <v>0</v>
      </c>
      <c r="F2">
        <v>0</v>
      </c>
      <c r="J2" s="209">
        <v>45693</v>
      </c>
      <c r="K2" s="209">
        <v>45693</v>
      </c>
      <c r="M2" t="s">
        <v>11</v>
      </c>
      <c r="N2">
        <v>559799</v>
      </c>
      <c r="O2" t="s">
        <v>155</v>
      </c>
      <c r="Q2" t="s">
        <v>159</v>
      </c>
    </row>
    <row r="3" spans="1:20">
      <c r="B3" t="s">
        <v>11</v>
      </c>
      <c r="C3">
        <v>330423188</v>
      </c>
      <c r="D3" t="s">
        <v>54</v>
      </c>
      <c r="E3" s="202">
        <v>15240</v>
      </c>
      <c r="F3">
        <v>15240</v>
      </c>
      <c r="J3" s="209">
        <v>45693</v>
      </c>
      <c r="K3" s="209">
        <v>45693</v>
      </c>
      <c r="M3" t="s">
        <v>11</v>
      </c>
      <c r="N3">
        <v>330423188</v>
      </c>
      <c r="O3">
        <v>170522</v>
      </c>
      <c r="Q3" t="s">
        <v>160</v>
      </c>
      <c r="R3">
        <v>170522</v>
      </c>
    </row>
    <row r="4" spans="1:20">
      <c r="B4" t="s">
        <v>11</v>
      </c>
      <c r="C4">
        <v>330423189</v>
      </c>
      <c r="D4" t="s">
        <v>54</v>
      </c>
      <c r="E4" s="202">
        <v>11240.58</v>
      </c>
      <c r="F4">
        <v>11240.58</v>
      </c>
      <c r="J4" s="209">
        <v>45693</v>
      </c>
      <c r="K4" s="209">
        <v>45693</v>
      </c>
      <c r="M4" t="s">
        <v>11</v>
      </c>
      <c r="N4">
        <v>330423189</v>
      </c>
      <c r="O4">
        <v>170522</v>
      </c>
      <c r="Q4" t="s">
        <v>161</v>
      </c>
      <c r="R4">
        <v>170522</v>
      </c>
    </row>
    <row r="5" spans="1:20">
      <c r="B5" t="s">
        <v>11</v>
      </c>
      <c r="C5">
        <v>330423190</v>
      </c>
      <c r="D5" t="s">
        <v>54</v>
      </c>
      <c r="E5" s="202">
        <v>12239.75</v>
      </c>
      <c r="F5">
        <v>12239.75</v>
      </c>
      <c r="J5" s="209">
        <v>45693</v>
      </c>
      <c r="K5" s="209">
        <v>45693</v>
      </c>
      <c r="M5" t="s">
        <v>11</v>
      </c>
      <c r="N5">
        <v>330423190</v>
      </c>
      <c r="O5">
        <v>170522</v>
      </c>
      <c r="Q5" t="s">
        <v>162</v>
      </c>
      <c r="R5">
        <v>170522</v>
      </c>
    </row>
    <row r="6" spans="1:20">
      <c r="B6" t="s">
        <v>11</v>
      </c>
      <c r="C6">
        <v>330423191</v>
      </c>
      <c r="D6" t="s">
        <v>54</v>
      </c>
      <c r="E6" s="202">
        <v>14577.42</v>
      </c>
      <c r="F6">
        <v>14577.42</v>
      </c>
      <c r="J6" s="209">
        <v>45693</v>
      </c>
      <c r="K6" s="209">
        <v>45693</v>
      </c>
      <c r="M6" t="s">
        <v>11</v>
      </c>
      <c r="N6">
        <v>330423191</v>
      </c>
      <c r="O6">
        <v>170522</v>
      </c>
      <c r="Q6" t="s">
        <v>163</v>
      </c>
      <c r="R6">
        <v>170522</v>
      </c>
    </row>
    <row r="7" spans="1:20">
      <c r="B7" t="s">
        <v>11</v>
      </c>
      <c r="C7">
        <v>330423192</v>
      </c>
      <c r="D7" t="s">
        <v>54</v>
      </c>
      <c r="E7" s="202">
        <v>12545.13</v>
      </c>
      <c r="F7">
        <v>12545.13</v>
      </c>
      <c r="J7" s="209">
        <v>45693</v>
      </c>
      <c r="K7" s="209">
        <v>45693</v>
      </c>
      <c r="M7" t="s">
        <v>11</v>
      </c>
      <c r="N7">
        <v>330423192</v>
      </c>
      <c r="O7">
        <v>170522</v>
      </c>
      <c r="Q7" t="s">
        <v>164</v>
      </c>
      <c r="R7">
        <v>170522</v>
      </c>
    </row>
    <row r="8" spans="1:20">
      <c r="B8" t="s">
        <v>11</v>
      </c>
      <c r="C8">
        <v>330423193</v>
      </c>
      <c r="D8" t="s">
        <v>54</v>
      </c>
      <c r="E8" s="202">
        <v>15068.82</v>
      </c>
      <c r="F8">
        <v>15068.82</v>
      </c>
      <c r="J8" s="209">
        <v>45693</v>
      </c>
      <c r="K8" s="209">
        <v>45693</v>
      </c>
      <c r="M8" t="s">
        <v>11</v>
      </c>
      <c r="N8">
        <v>330423193</v>
      </c>
      <c r="O8">
        <v>170522</v>
      </c>
      <c r="Q8" t="s">
        <v>165</v>
      </c>
      <c r="R8">
        <v>170522</v>
      </c>
    </row>
    <row r="9" spans="1:20">
      <c r="B9" t="s">
        <v>11</v>
      </c>
      <c r="C9">
        <v>330423194</v>
      </c>
      <c r="D9" t="s">
        <v>54</v>
      </c>
      <c r="E9" s="202">
        <v>11317.8</v>
      </c>
      <c r="F9">
        <v>11317.8</v>
      </c>
      <c r="J9" s="209">
        <v>45693</v>
      </c>
      <c r="K9" s="209">
        <v>45693</v>
      </c>
      <c r="M9" t="s">
        <v>11</v>
      </c>
      <c r="N9">
        <v>330423194</v>
      </c>
      <c r="O9">
        <v>170522</v>
      </c>
      <c r="Q9" t="s">
        <v>166</v>
      </c>
      <c r="R9">
        <v>170522</v>
      </c>
    </row>
    <row r="10" spans="1:20">
      <c r="B10" t="s">
        <v>11</v>
      </c>
      <c r="C10">
        <v>330423195</v>
      </c>
      <c r="D10" t="s">
        <v>54</v>
      </c>
      <c r="E10" s="202">
        <v>14577.42</v>
      </c>
      <c r="F10">
        <v>14577.42</v>
      </c>
      <c r="J10" s="209">
        <v>45693</v>
      </c>
      <c r="K10" s="209">
        <v>45693</v>
      </c>
      <c r="M10" t="s">
        <v>11</v>
      </c>
      <c r="N10">
        <v>330423195</v>
      </c>
      <c r="O10">
        <v>170522</v>
      </c>
      <c r="Q10" t="s">
        <v>167</v>
      </c>
      <c r="R10">
        <v>170522</v>
      </c>
    </row>
    <row r="11" spans="1:20">
      <c r="B11" t="s">
        <v>11</v>
      </c>
      <c r="C11">
        <v>330423196</v>
      </c>
      <c r="D11" t="s">
        <v>54</v>
      </c>
      <c r="E11" s="202">
        <v>13904.67</v>
      </c>
      <c r="F11">
        <v>13904.67</v>
      </c>
      <c r="J11" s="209">
        <v>45693</v>
      </c>
      <c r="K11" s="209">
        <v>45693</v>
      </c>
      <c r="M11" t="s">
        <v>11</v>
      </c>
      <c r="N11">
        <v>330423196</v>
      </c>
      <c r="O11">
        <v>170522</v>
      </c>
      <c r="Q11" t="s">
        <v>168</v>
      </c>
      <c r="R11">
        <v>170522</v>
      </c>
    </row>
    <row r="12" spans="1:20">
      <c r="B12" t="s">
        <v>11</v>
      </c>
      <c r="C12">
        <v>330423197</v>
      </c>
      <c r="D12" t="s">
        <v>54</v>
      </c>
      <c r="E12" s="202">
        <v>10912.98</v>
      </c>
      <c r="F12">
        <v>10912.98</v>
      </c>
      <c r="J12" s="209">
        <v>45693</v>
      </c>
      <c r="K12" s="209">
        <v>45693</v>
      </c>
      <c r="M12" t="s">
        <v>11</v>
      </c>
      <c r="N12">
        <v>330423197</v>
      </c>
      <c r="O12">
        <v>170522</v>
      </c>
      <c r="Q12" t="s">
        <v>169</v>
      </c>
      <c r="R12">
        <v>170522</v>
      </c>
    </row>
    <row r="13" spans="1:20">
      <c r="B13" t="s">
        <v>11</v>
      </c>
      <c r="C13">
        <v>330423198</v>
      </c>
      <c r="D13" t="s">
        <v>54</v>
      </c>
      <c r="E13" s="202">
        <v>15396.42</v>
      </c>
      <c r="F13">
        <v>15396.42</v>
      </c>
      <c r="J13" s="209">
        <v>45693</v>
      </c>
      <c r="K13" s="209">
        <v>45693</v>
      </c>
      <c r="M13" t="s">
        <v>11</v>
      </c>
      <c r="N13">
        <v>330423198</v>
      </c>
      <c r="O13">
        <v>170522</v>
      </c>
      <c r="Q13" t="s">
        <v>170</v>
      </c>
      <c r="R13">
        <v>170522</v>
      </c>
    </row>
    <row r="14" spans="1:20">
      <c r="B14" t="s">
        <v>11</v>
      </c>
      <c r="C14">
        <v>330423199</v>
      </c>
      <c r="D14" t="s">
        <v>54</v>
      </c>
      <c r="E14" s="202">
        <v>13271.7</v>
      </c>
      <c r="F14">
        <v>13271.7</v>
      </c>
      <c r="J14" s="209">
        <v>45693</v>
      </c>
      <c r="K14" s="209">
        <v>45693</v>
      </c>
      <c r="M14" t="s">
        <v>11</v>
      </c>
      <c r="N14">
        <v>330423199</v>
      </c>
      <c r="O14">
        <v>170522</v>
      </c>
      <c r="Q14" t="s">
        <v>171</v>
      </c>
      <c r="R14">
        <v>170522</v>
      </c>
    </row>
    <row r="15" spans="1:20">
      <c r="B15" t="s">
        <v>11</v>
      </c>
      <c r="C15">
        <v>330423200</v>
      </c>
      <c r="D15" t="s">
        <v>54</v>
      </c>
      <c r="E15" s="202">
        <v>11749.53</v>
      </c>
      <c r="F15">
        <v>11749.53</v>
      </c>
      <c r="J15" s="209">
        <v>45693</v>
      </c>
      <c r="K15" s="209">
        <v>45693</v>
      </c>
      <c r="M15" t="s">
        <v>11</v>
      </c>
      <c r="N15">
        <v>330423200</v>
      </c>
      <c r="O15">
        <v>170522</v>
      </c>
      <c r="Q15" t="s">
        <v>172</v>
      </c>
      <c r="R15">
        <v>170522</v>
      </c>
    </row>
    <row r="16" spans="1:20">
      <c r="B16" t="s">
        <v>11</v>
      </c>
      <c r="C16">
        <v>330423201</v>
      </c>
      <c r="D16" t="s">
        <v>54</v>
      </c>
      <c r="E16" s="202">
        <v>9883.3700000000008</v>
      </c>
      <c r="F16">
        <v>9883.3700000000008</v>
      </c>
      <c r="J16" s="209">
        <v>45693</v>
      </c>
      <c r="K16" s="209">
        <v>45693</v>
      </c>
      <c r="M16" t="s">
        <v>11</v>
      </c>
      <c r="N16">
        <v>330423201</v>
      </c>
      <c r="O16">
        <v>170522</v>
      </c>
      <c r="Q16" t="s">
        <v>173</v>
      </c>
      <c r="R16">
        <v>170522</v>
      </c>
    </row>
    <row r="17" spans="2:18">
      <c r="B17" t="s">
        <v>11</v>
      </c>
      <c r="C17">
        <v>330423202</v>
      </c>
      <c r="D17" t="s">
        <v>54</v>
      </c>
      <c r="E17" s="202">
        <v>12008.1</v>
      </c>
      <c r="F17">
        <v>12008.1</v>
      </c>
      <c r="J17" s="209">
        <v>45693</v>
      </c>
      <c r="K17" s="209">
        <v>45693</v>
      </c>
      <c r="M17" t="s">
        <v>11</v>
      </c>
      <c r="N17">
        <v>330423202</v>
      </c>
      <c r="O17">
        <v>170522</v>
      </c>
      <c r="Q17" t="s">
        <v>174</v>
      </c>
      <c r="R17">
        <v>170522</v>
      </c>
    </row>
    <row r="18" spans="2:18">
      <c r="B18" t="s">
        <v>11</v>
      </c>
      <c r="C18">
        <v>330423203</v>
      </c>
      <c r="D18" t="s">
        <v>54</v>
      </c>
      <c r="E18" s="202">
        <v>11739</v>
      </c>
      <c r="F18">
        <v>11739</v>
      </c>
      <c r="J18" s="209">
        <v>45693</v>
      </c>
      <c r="K18" s="209">
        <v>45693</v>
      </c>
      <c r="M18" t="s">
        <v>11</v>
      </c>
      <c r="N18">
        <v>330423203</v>
      </c>
      <c r="O18">
        <v>170522</v>
      </c>
      <c r="Q18" t="s">
        <v>175</v>
      </c>
      <c r="R18">
        <v>170522</v>
      </c>
    </row>
    <row r="19" spans="2:18">
      <c r="B19" t="s">
        <v>11</v>
      </c>
      <c r="C19">
        <v>330423204</v>
      </c>
      <c r="D19" t="s">
        <v>54</v>
      </c>
      <c r="E19" s="202">
        <v>14279.07</v>
      </c>
      <c r="F19">
        <v>14279.07</v>
      </c>
      <c r="J19" s="209">
        <v>45693</v>
      </c>
      <c r="K19" s="209">
        <v>45693</v>
      </c>
      <c r="M19" t="s">
        <v>11</v>
      </c>
      <c r="N19">
        <v>330423204</v>
      </c>
      <c r="O19">
        <v>170522</v>
      </c>
      <c r="Q19" t="s">
        <v>176</v>
      </c>
      <c r="R19">
        <v>170522</v>
      </c>
    </row>
    <row r="20" spans="2:18">
      <c r="B20" t="s">
        <v>11</v>
      </c>
      <c r="C20">
        <v>330423205</v>
      </c>
      <c r="D20" t="s">
        <v>54</v>
      </c>
      <c r="E20" s="202">
        <v>12360</v>
      </c>
      <c r="F20">
        <v>12360</v>
      </c>
      <c r="J20" s="209">
        <v>45693</v>
      </c>
      <c r="K20" s="209">
        <v>45693</v>
      </c>
      <c r="M20" t="s">
        <v>11</v>
      </c>
      <c r="N20">
        <v>330423205</v>
      </c>
      <c r="O20">
        <v>170522</v>
      </c>
      <c r="Q20" t="s">
        <v>177</v>
      </c>
      <c r="R20">
        <v>170522</v>
      </c>
    </row>
    <row r="21" spans="2:18">
      <c r="B21" t="s">
        <v>11</v>
      </c>
      <c r="C21">
        <v>330423206</v>
      </c>
      <c r="D21" t="s">
        <v>54</v>
      </c>
      <c r="E21" s="202">
        <v>12780.3</v>
      </c>
      <c r="F21">
        <v>12780.3</v>
      </c>
      <c r="J21" s="209">
        <v>45693</v>
      </c>
      <c r="K21" s="209">
        <v>45693</v>
      </c>
      <c r="M21" t="s">
        <v>11</v>
      </c>
      <c r="N21">
        <v>330423206</v>
      </c>
      <c r="O21">
        <v>170522</v>
      </c>
      <c r="Q21" t="s">
        <v>178</v>
      </c>
      <c r="R21">
        <v>170522</v>
      </c>
    </row>
    <row r="22" spans="2:18">
      <c r="B22" t="s">
        <v>11</v>
      </c>
      <c r="C22">
        <v>330423207</v>
      </c>
      <c r="D22" t="s">
        <v>54</v>
      </c>
      <c r="E22" s="202">
        <v>14325.87</v>
      </c>
      <c r="F22">
        <v>14325.87</v>
      </c>
      <c r="J22" s="209">
        <v>45693</v>
      </c>
      <c r="K22" s="209">
        <v>45693</v>
      </c>
      <c r="M22" t="s">
        <v>11</v>
      </c>
      <c r="N22">
        <v>330423207</v>
      </c>
      <c r="O22">
        <v>170522</v>
      </c>
      <c r="Q22" t="s">
        <v>179</v>
      </c>
      <c r="R22">
        <v>170522</v>
      </c>
    </row>
    <row r="23" spans="2:18">
      <c r="B23" t="s">
        <v>11</v>
      </c>
      <c r="C23">
        <v>330423208</v>
      </c>
      <c r="D23" t="s">
        <v>54</v>
      </c>
      <c r="E23" s="202">
        <v>11521.38</v>
      </c>
      <c r="F23">
        <v>11521.38</v>
      </c>
      <c r="J23" s="209">
        <v>45693</v>
      </c>
      <c r="K23" s="209">
        <v>45693</v>
      </c>
      <c r="M23" t="s">
        <v>11</v>
      </c>
      <c r="N23">
        <v>330423208</v>
      </c>
      <c r="O23">
        <v>170522</v>
      </c>
      <c r="Q23" t="s">
        <v>180</v>
      </c>
      <c r="R23">
        <v>170522</v>
      </c>
    </row>
    <row r="24" spans="2:18">
      <c r="B24" t="s">
        <v>11</v>
      </c>
      <c r="C24">
        <v>330423209</v>
      </c>
      <c r="D24" t="s">
        <v>54</v>
      </c>
      <c r="E24" s="202">
        <v>10632.17</v>
      </c>
      <c r="F24">
        <v>10632.17</v>
      </c>
      <c r="J24" s="209">
        <v>45693</v>
      </c>
      <c r="K24" s="209">
        <v>45693</v>
      </c>
      <c r="M24" t="s">
        <v>11</v>
      </c>
      <c r="N24">
        <v>330423209</v>
      </c>
      <c r="O24">
        <v>170522</v>
      </c>
      <c r="Q24" t="s">
        <v>181</v>
      </c>
      <c r="R24">
        <v>170522</v>
      </c>
    </row>
    <row r="25" spans="2:18">
      <c r="B25" t="s">
        <v>11</v>
      </c>
      <c r="C25">
        <v>330423211</v>
      </c>
      <c r="D25" t="s">
        <v>54</v>
      </c>
      <c r="E25" s="202">
        <v>15192.84</v>
      </c>
      <c r="F25">
        <v>15192.84</v>
      </c>
      <c r="J25" s="209">
        <v>45693</v>
      </c>
      <c r="K25" s="209">
        <v>45693</v>
      </c>
      <c r="M25" t="s">
        <v>11</v>
      </c>
      <c r="N25">
        <v>330423211</v>
      </c>
      <c r="O25">
        <v>170522</v>
      </c>
      <c r="Q25" t="s">
        <v>182</v>
      </c>
      <c r="R25">
        <v>170522</v>
      </c>
    </row>
    <row r="26" spans="2:18">
      <c r="B26" t="s">
        <v>11</v>
      </c>
      <c r="C26">
        <v>330423212</v>
      </c>
      <c r="D26" t="s">
        <v>54</v>
      </c>
      <c r="E26" s="202">
        <v>15272.4</v>
      </c>
      <c r="F26">
        <v>15272.4</v>
      </c>
      <c r="J26" s="209">
        <v>45693</v>
      </c>
      <c r="K26" s="209">
        <v>45693</v>
      </c>
      <c r="M26" t="s">
        <v>11</v>
      </c>
      <c r="N26">
        <v>330423212</v>
      </c>
      <c r="O26">
        <v>170522</v>
      </c>
      <c r="Q26" t="s">
        <v>183</v>
      </c>
      <c r="R26">
        <v>170522</v>
      </c>
    </row>
    <row r="27" spans="2:18">
      <c r="B27" t="s">
        <v>11</v>
      </c>
      <c r="C27">
        <v>330423213</v>
      </c>
      <c r="D27" t="s">
        <v>54</v>
      </c>
      <c r="E27" s="202">
        <v>10905.96</v>
      </c>
      <c r="F27">
        <v>10905.96</v>
      </c>
      <c r="J27" s="209">
        <v>45693</v>
      </c>
      <c r="K27" s="209">
        <v>45693</v>
      </c>
      <c r="M27" t="s">
        <v>11</v>
      </c>
      <c r="N27">
        <v>330423213</v>
      </c>
      <c r="O27">
        <v>170522</v>
      </c>
      <c r="Q27" t="s">
        <v>184</v>
      </c>
      <c r="R27">
        <v>170522</v>
      </c>
    </row>
    <row r="28" spans="2:18">
      <c r="B28" t="s">
        <v>11</v>
      </c>
      <c r="C28">
        <v>330423214</v>
      </c>
      <c r="D28" t="s">
        <v>54</v>
      </c>
      <c r="E28" s="202">
        <v>7273.26</v>
      </c>
      <c r="F28">
        <v>7273.26</v>
      </c>
      <c r="J28" s="209">
        <v>45693</v>
      </c>
      <c r="K28" s="209">
        <v>45693</v>
      </c>
      <c r="M28" t="s">
        <v>11</v>
      </c>
      <c r="N28">
        <v>330423214</v>
      </c>
      <c r="O28">
        <v>170522</v>
      </c>
      <c r="Q28" t="s">
        <v>185</v>
      </c>
      <c r="R28">
        <v>170522</v>
      </c>
    </row>
    <row r="29" spans="2:18">
      <c r="B29" t="s">
        <v>11</v>
      </c>
      <c r="C29">
        <v>330423215</v>
      </c>
      <c r="D29" t="s">
        <v>54</v>
      </c>
      <c r="E29" s="202">
        <v>11954.28</v>
      </c>
      <c r="F29">
        <v>11954.28</v>
      </c>
      <c r="J29" s="209">
        <v>45693</v>
      </c>
      <c r="K29" s="209">
        <v>45693</v>
      </c>
      <c r="M29" t="s">
        <v>11</v>
      </c>
      <c r="N29">
        <v>330423215</v>
      </c>
      <c r="O29">
        <v>170522</v>
      </c>
      <c r="Q29" t="s">
        <v>186</v>
      </c>
      <c r="R29">
        <v>170522</v>
      </c>
    </row>
    <row r="30" spans="2:18">
      <c r="B30" t="s">
        <v>11</v>
      </c>
      <c r="C30">
        <v>330423216</v>
      </c>
      <c r="D30" t="s">
        <v>54</v>
      </c>
      <c r="E30" s="202">
        <v>15068.82</v>
      </c>
      <c r="F30">
        <v>15068.82</v>
      </c>
      <c r="J30" s="209">
        <v>45693</v>
      </c>
      <c r="K30" s="209">
        <v>45693</v>
      </c>
      <c r="M30" t="s">
        <v>11</v>
      </c>
      <c r="N30">
        <v>330423216</v>
      </c>
      <c r="O30">
        <v>170522</v>
      </c>
      <c r="Q30" t="s">
        <v>187</v>
      </c>
      <c r="R30">
        <v>170522</v>
      </c>
    </row>
    <row r="31" spans="2:18">
      <c r="B31" t="s">
        <v>11</v>
      </c>
      <c r="C31">
        <v>330423217</v>
      </c>
      <c r="D31" t="s">
        <v>54</v>
      </c>
      <c r="E31" s="202">
        <v>13973.7</v>
      </c>
      <c r="F31">
        <v>13973.7</v>
      </c>
      <c r="J31" s="209">
        <v>45693</v>
      </c>
      <c r="K31" s="209">
        <v>45693</v>
      </c>
      <c r="M31" t="s">
        <v>11</v>
      </c>
      <c r="N31">
        <v>330423217</v>
      </c>
      <c r="O31">
        <v>170522</v>
      </c>
      <c r="Q31" t="s">
        <v>188</v>
      </c>
      <c r="R31">
        <v>170522</v>
      </c>
    </row>
    <row r="32" spans="2:18">
      <c r="B32" t="s">
        <v>11</v>
      </c>
      <c r="C32">
        <v>330423218</v>
      </c>
      <c r="D32" t="s">
        <v>54</v>
      </c>
      <c r="E32" s="202">
        <v>14068.47</v>
      </c>
      <c r="F32">
        <v>14068.47</v>
      </c>
      <c r="J32" s="209">
        <v>45693</v>
      </c>
      <c r="K32" s="209">
        <v>45693</v>
      </c>
      <c r="M32" t="s">
        <v>11</v>
      </c>
      <c r="N32">
        <v>330423218</v>
      </c>
      <c r="O32">
        <v>170522</v>
      </c>
      <c r="Q32" t="s">
        <v>189</v>
      </c>
      <c r="R32">
        <v>170522</v>
      </c>
    </row>
    <row r="33" spans="2:18">
      <c r="B33" t="s">
        <v>11</v>
      </c>
      <c r="C33">
        <v>330423219</v>
      </c>
      <c r="D33" t="s">
        <v>54</v>
      </c>
      <c r="E33" s="202">
        <v>6920.44</v>
      </c>
      <c r="F33">
        <v>6920.44</v>
      </c>
      <c r="J33" s="209">
        <v>45693</v>
      </c>
      <c r="K33" s="209">
        <v>45693</v>
      </c>
      <c r="M33" t="s">
        <v>11</v>
      </c>
      <c r="N33">
        <v>330423219</v>
      </c>
      <c r="O33">
        <v>170522</v>
      </c>
      <c r="Q33" t="s">
        <v>190</v>
      </c>
      <c r="R33">
        <v>170522</v>
      </c>
    </row>
    <row r="34" spans="2:18">
      <c r="B34" t="s">
        <v>11</v>
      </c>
      <c r="C34">
        <v>330423220</v>
      </c>
      <c r="D34" t="s">
        <v>54</v>
      </c>
      <c r="E34" s="202">
        <v>11025.3</v>
      </c>
      <c r="F34">
        <v>11025.3</v>
      </c>
      <c r="J34" s="209">
        <v>45693</v>
      </c>
      <c r="K34" s="209">
        <v>45693</v>
      </c>
      <c r="M34" t="s">
        <v>11</v>
      </c>
      <c r="N34">
        <v>330423220</v>
      </c>
      <c r="O34">
        <v>170522</v>
      </c>
      <c r="Q34" t="s">
        <v>191</v>
      </c>
      <c r="R34">
        <v>170522</v>
      </c>
    </row>
    <row r="35" spans="2:18">
      <c r="B35" t="s">
        <v>11</v>
      </c>
      <c r="C35">
        <v>330423221</v>
      </c>
      <c r="D35" t="s">
        <v>54</v>
      </c>
      <c r="E35" s="202">
        <v>11193.78</v>
      </c>
      <c r="F35">
        <v>11193.78</v>
      </c>
      <c r="J35" s="209">
        <v>45693</v>
      </c>
      <c r="K35" s="209">
        <v>45693</v>
      </c>
      <c r="M35" t="s">
        <v>11</v>
      </c>
      <c r="N35">
        <v>330423221</v>
      </c>
      <c r="O35">
        <v>170522</v>
      </c>
      <c r="Q35" t="s">
        <v>192</v>
      </c>
      <c r="R35">
        <v>170522</v>
      </c>
    </row>
    <row r="36" spans="2:18">
      <c r="B36" t="s">
        <v>11</v>
      </c>
      <c r="C36">
        <v>330423222</v>
      </c>
      <c r="D36" t="s">
        <v>54</v>
      </c>
      <c r="E36">
        <v>267.06</v>
      </c>
      <c r="F36">
        <v>267.06</v>
      </c>
      <c r="J36" s="209">
        <v>45693</v>
      </c>
      <c r="K36" s="209">
        <v>45693</v>
      </c>
      <c r="M36" t="s">
        <v>11</v>
      </c>
      <c r="N36">
        <v>330423222</v>
      </c>
      <c r="O36">
        <v>170522</v>
      </c>
      <c r="Q36" t="s">
        <v>193</v>
      </c>
      <c r="R36">
        <v>170522</v>
      </c>
    </row>
    <row r="37" spans="2:18">
      <c r="B37" t="s">
        <v>11</v>
      </c>
      <c r="C37">
        <v>330423223</v>
      </c>
      <c r="D37" t="s">
        <v>54</v>
      </c>
      <c r="E37" s="202">
        <v>11680.5</v>
      </c>
      <c r="F37">
        <v>11680.5</v>
      </c>
      <c r="J37" s="209">
        <v>45693</v>
      </c>
      <c r="K37" s="209">
        <v>45693</v>
      </c>
      <c r="M37" t="s">
        <v>11</v>
      </c>
      <c r="N37">
        <v>330423223</v>
      </c>
      <c r="O37">
        <v>170522</v>
      </c>
      <c r="Q37" t="s">
        <v>194</v>
      </c>
      <c r="R37">
        <v>170522</v>
      </c>
    </row>
    <row r="38" spans="2:18">
      <c r="B38" t="s">
        <v>11</v>
      </c>
      <c r="C38">
        <v>330423224</v>
      </c>
      <c r="D38" t="s">
        <v>54</v>
      </c>
      <c r="E38" s="202">
        <v>14887.47</v>
      </c>
      <c r="F38">
        <v>14887.47</v>
      </c>
      <c r="J38" s="209">
        <v>45693</v>
      </c>
      <c r="K38" s="209">
        <v>45693</v>
      </c>
      <c r="M38" t="s">
        <v>11</v>
      </c>
      <c r="N38">
        <v>330423224</v>
      </c>
      <c r="O38">
        <v>170522</v>
      </c>
      <c r="Q38" t="s">
        <v>195</v>
      </c>
      <c r="R38">
        <v>170522</v>
      </c>
    </row>
    <row r="39" spans="2:18">
      <c r="B39" t="s">
        <v>11</v>
      </c>
      <c r="C39">
        <v>330423225</v>
      </c>
      <c r="D39" t="s">
        <v>54</v>
      </c>
      <c r="E39" s="202">
        <v>12784.98</v>
      </c>
      <c r="F39">
        <v>12784.98</v>
      </c>
      <c r="J39" s="209">
        <v>45693</v>
      </c>
      <c r="K39" s="209">
        <v>45693</v>
      </c>
      <c r="M39" t="s">
        <v>11</v>
      </c>
      <c r="N39">
        <v>330423225</v>
      </c>
      <c r="O39">
        <v>170522</v>
      </c>
      <c r="Q39" t="s">
        <v>196</v>
      </c>
      <c r="R39">
        <v>170522</v>
      </c>
    </row>
    <row r="40" spans="2:18">
      <c r="B40" t="s">
        <v>11</v>
      </c>
      <c r="C40">
        <v>330423226</v>
      </c>
      <c r="D40" t="s">
        <v>54</v>
      </c>
      <c r="E40" s="202">
        <v>13483.47</v>
      </c>
      <c r="F40">
        <v>13483.47</v>
      </c>
      <c r="J40" s="209">
        <v>45693</v>
      </c>
      <c r="K40" s="209">
        <v>45693</v>
      </c>
      <c r="M40" t="s">
        <v>11</v>
      </c>
      <c r="N40">
        <v>330423226</v>
      </c>
      <c r="O40">
        <v>170522</v>
      </c>
      <c r="Q40" t="s">
        <v>197</v>
      </c>
      <c r="R40">
        <v>170522</v>
      </c>
    </row>
    <row r="41" spans="2:18">
      <c r="B41" t="s">
        <v>11</v>
      </c>
      <c r="C41">
        <v>330423227</v>
      </c>
      <c r="D41" t="s">
        <v>54</v>
      </c>
      <c r="E41" s="202">
        <v>13599.3</v>
      </c>
      <c r="F41">
        <v>13599.3</v>
      </c>
      <c r="J41" s="209">
        <v>45693</v>
      </c>
      <c r="K41" s="209">
        <v>45693</v>
      </c>
      <c r="M41" t="s">
        <v>11</v>
      </c>
      <c r="N41">
        <v>330423227</v>
      </c>
      <c r="O41">
        <v>170522</v>
      </c>
      <c r="Q41" t="s">
        <v>198</v>
      </c>
      <c r="R41">
        <v>170522</v>
      </c>
    </row>
    <row r="42" spans="2:18">
      <c r="B42" t="s">
        <v>11</v>
      </c>
      <c r="C42">
        <v>330423228</v>
      </c>
      <c r="D42" t="s">
        <v>54</v>
      </c>
      <c r="E42" s="202">
        <v>2145.71</v>
      </c>
      <c r="F42">
        <v>2145.71</v>
      </c>
      <c r="J42" s="209">
        <v>45693</v>
      </c>
      <c r="K42" s="209">
        <v>45693</v>
      </c>
      <c r="M42" t="s">
        <v>11</v>
      </c>
      <c r="N42">
        <v>330423228</v>
      </c>
      <c r="O42">
        <v>170522</v>
      </c>
      <c r="Q42" t="s">
        <v>199</v>
      </c>
      <c r="R42">
        <v>170522</v>
      </c>
    </row>
    <row r="43" spans="2:18">
      <c r="B43" t="s">
        <v>11</v>
      </c>
      <c r="C43">
        <v>330423229</v>
      </c>
      <c r="D43" t="s">
        <v>54</v>
      </c>
      <c r="E43" s="202">
        <v>247631.23</v>
      </c>
      <c r="F43">
        <v>247631.23</v>
      </c>
      <c r="J43" s="209">
        <v>45693</v>
      </c>
      <c r="K43" s="209">
        <v>45693</v>
      </c>
      <c r="M43" t="s">
        <v>11</v>
      </c>
      <c r="N43">
        <v>330423229</v>
      </c>
      <c r="O43">
        <v>170522</v>
      </c>
      <c r="Q43" t="s">
        <v>200</v>
      </c>
      <c r="R43">
        <v>170522</v>
      </c>
    </row>
    <row r="44" spans="2:18">
      <c r="B44" t="s">
        <v>11</v>
      </c>
      <c r="C44">
        <v>330423230</v>
      </c>
      <c r="D44" t="s">
        <v>54</v>
      </c>
      <c r="E44" s="202">
        <v>14086.02</v>
      </c>
      <c r="F44">
        <v>14086.02</v>
      </c>
      <c r="J44" s="209">
        <v>45693</v>
      </c>
      <c r="K44" s="209">
        <v>45693</v>
      </c>
      <c r="M44" t="s">
        <v>11</v>
      </c>
      <c r="N44">
        <v>330423230</v>
      </c>
      <c r="O44">
        <v>170522</v>
      </c>
      <c r="Q44" t="s">
        <v>201</v>
      </c>
      <c r="R44">
        <v>170522</v>
      </c>
    </row>
    <row r="45" spans="2:18">
      <c r="B45" t="s">
        <v>11</v>
      </c>
      <c r="C45">
        <v>330423231</v>
      </c>
      <c r="D45" t="s">
        <v>54</v>
      </c>
      <c r="E45" s="202">
        <v>62500.97</v>
      </c>
      <c r="F45">
        <v>62500.97</v>
      </c>
      <c r="J45" s="209">
        <v>45693</v>
      </c>
      <c r="K45" s="209">
        <v>45693</v>
      </c>
      <c r="M45" t="s">
        <v>11</v>
      </c>
      <c r="N45">
        <v>330423231</v>
      </c>
      <c r="O45">
        <v>170522</v>
      </c>
      <c r="Q45" t="s">
        <v>202</v>
      </c>
      <c r="R45">
        <v>170522</v>
      </c>
    </row>
    <row r="46" spans="2:18">
      <c r="B46" t="s">
        <v>11</v>
      </c>
      <c r="C46">
        <v>330423232</v>
      </c>
      <c r="D46" t="s">
        <v>54</v>
      </c>
      <c r="E46" s="202">
        <v>59963.22</v>
      </c>
      <c r="F46">
        <v>59963.22</v>
      </c>
      <c r="J46" s="209">
        <v>45693</v>
      </c>
      <c r="K46" s="209">
        <v>45693</v>
      </c>
      <c r="M46" t="s">
        <v>11</v>
      </c>
      <c r="N46">
        <v>330423232</v>
      </c>
      <c r="O46">
        <v>170522</v>
      </c>
      <c r="Q46" t="s">
        <v>203</v>
      </c>
      <c r="R46">
        <v>170522</v>
      </c>
    </row>
    <row r="47" spans="2:18">
      <c r="B47" t="s">
        <v>11</v>
      </c>
      <c r="C47">
        <v>330423233</v>
      </c>
      <c r="D47" t="s">
        <v>54</v>
      </c>
      <c r="E47" s="202">
        <v>228163.01</v>
      </c>
      <c r="F47">
        <v>228163.01</v>
      </c>
      <c r="J47" s="209">
        <v>45693</v>
      </c>
      <c r="K47" s="209">
        <v>45693</v>
      </c>
      <c r="M47" t="s">
        <v>11</v>
      </c>
      <c r="N47">
        <v>330423233</v>
      </c>
      <c r="O47">
        <v>170522</v>
      </c>
      <c r="Q47" t="s">
        <v>204</v>
      </c>
      <c r="R47">
        <v>170522</v>
      </c>
    </row>
    <row r="48" spans="2:18">
      <c r="B48" t="s">
        <v>11</v>
      </c>
      <c r="C48">
        <v>330423234</v>
      </c>
      <c r="D48" t="s">
        <v>54</v>
      </c>
      <c r="E48" s="202">
        <v>4114.6899999999996</v>
      </c>
      <c r="F48">
        <v>4114.6899999999996</v>
      </c>
      <c r="J48" s="209">
        <v>45693</v>
      </c>
      <c r="K48" s="209">
        <v>45693</v>
      </c>
      <c r="M48" t="s">
        <v>11</v>
      </c>
      <c r="N48">
        <v>330423234</v>
      </c>
      <c r="O48">
        <v>170522</v>
      </c>
      <c r="Q48" t="s">
        <v>205</v>
      </c>
      <c r="R48">
        <v>170522</v>
      </c>
    </row>
    <row r="49" spans="2:18">
      <c r="B49" t="s">
        <v>11</v>
      </c>
      <c r="C49">
        <v>330423235</v>
      </c>
      <c r="D49" t="s">
        <v>54</v>
      </c>
      <c r="E49" s="202">
        <v>13554.84</v>
      </c>
      <c r="F49">
        <v>13554.84</v>
      </c>
      <c r="J49" s="209">
        <v>45693</v>
      </c>
      <c r="K49" s="209">
        <v>45693</v>
      </c>
      <c r="M49" t="s">
        <v>11</v>
      </c>
      <c r="N49">
        <v>330423235</v>
      </c>
      <c r="O49">
        <v>170522</v>
      </c>
      <c r="Q49" t="s">
        <v>206</v>
      </c>
      <c r="R49">
        <v>170522</v>
      </c>
    </row>
    <row r="50" spans="2:18">
      <c r="B50" t="s">
        <v>11</v>
      </c>
      <c r="C50">
        <v>330423236</v>
      </c>
      <c r="D50" t="s">
        <v>54</v>
      </c>
      <c r="E50" s="202">
        <v>10907.13</v>
      </c>
      <c r="F50">
        <v>10907.13</v>
      </c>
      <c r="J50" s="209">
        <v>45693</v>
      </c>
      <c r="K50" s="209">
        <v>45693</v>
      </c>
      <c r="M50" t="s">
        <v>11</v>
      </c>
      <c r="N50">
        <v>330423236</v>
      </c>
      <c r="O50">
        <v>170522</v>
      </c>
      <c r="Q50" t="s">
        <v>207</v>
      </c>
      <c r="R50">
        <v>170522</v>
      </c>
    </row>
    <row r="51" spans="2:18">
      <c r="B51" t="s">
        <v>11</v>
      </c>
      <c r="C51">
        <v>330423237</v>
      </c>
      <c r="D51" t="s">
        <v>54</v>
      </c>
      <c r="E51" s="202">
        <v>1315.07</v>
      </c>
      <c r="F51">
        <v>1315.07</v>
      </c>
      <c r="J51" s="209">
        <v>45693</v>
      </c>
      <c r="K51" s="209">
        <v>45693</v>
      </c>
      <c r="M51" t="s">
        <v>11</v>
      </c>
      <c r="N51">
        <v>330423237</v>
      </c>
      <c r="O51">
        <v>170522</v>
      </c>
      <c r="Q51" t="s">
        <v>208</v>
      </c>
      <c r="R51">
        <v>170522</v>
      </c>
    </row>
    <row r="52" spans="2:18">
      <c r="B52" t="s">
        <v>11</v>
      </c>
      <c r="C52">
        <v>330423238</v>
      </c>
      <c r="D52" t="s">
        <v>54</v>
      </c>
      <c r="E52" s="202">
        <v>11842.74</v>
      </c>
      <c r="F52">
        <v>11842.74</v>
      </c>
      <c r="J52" s="209">
        <v>45693</v>
      </c>
      <c r="K52" s="209">
        <v>45693</v>
      </c>
      <c r="M52" t="s">
        <v>11</v>
      </c>
      <c r="N52">
        <v>330423238</v>
      </c>
      <c r="O52">
        <v>170522</v>
      </c>
      <c r="Q52" t="s">
        <v>209</v>
      </c>
      <c r="R52">
        <v>170522</v>
      </c>
    </row>
    <row r="53" spans="2:18">
      <c r="B53" t="s">
        <v>11</v>
      </c>
      <c r="C53">
        <v>330423239</v>
      </c>
      <c r="D53" t="s">
        <v>54</v>
      </c>
      <c r="E53">
        <v>906.56</v>
      </c>
      <c r="F53">
        <v>906.56</v>
      </c>
      <c r="J53" s="209">
        <v>45693</v>
      </c>
      <c r="K53" s="209">
        <v>45693</v>
      </c>
      <c r="M53" t="s">
        <v>11</v>
      </c>
      <c r="N53">
        <v>330423239</v>
      </c>
      <c r="O53">
        <v>170522</v>
      </c>
      <c r="Q53" t="s">
        <v>210</v>
      </c>
      <c r="R53">
        <v>170522</v>
      </c>
    </row>
    <row r="54" spans="2:18">
      <c r="B54" t="s">
        <v>11</v>
      </c>
      <c r="C54">
        <v>330423240</v>
      </c>
      <c r="D54" t="s">
        <v>54</v>
      </c>
      <c r="E54" s="202">
        <v>12451.53</v>
      </c>
      <c r="F54">
        <v>12451.53</v>
      </c>
      <c r="J54" s="209">
        <v>45693</v>
      </c>
      <c r="K54" s="209">
        <v>45693</v>
      </c>
      <c r="M54" t="s">
        <v>11</v>
      </c>
      <c r="N54">
        <v>330423240</v>
      </c>
      <c r="O54">
        <v>170522</v>
      </c>
      <c r="Q54" t="s">
        <v>211</v>
      </c>
      <c r="R54">
        <v>170522</v>
      </c>
    </row>
    <row r="55" spans="2:18">
      <c r="B55" t="s">
        <v>11</v>
      </c>
      <c r="C55">
        <v>330423241</v>
      </c>
      <c r="D55" t="s">
        <v>54</v>
      </c>
      <c r="E55" s="202">
        <v>10542</v>
      </c>
      <c r="F55">
        <v>10542</v>
      </c>
      <c r="J55" s="209">
        <v>45693</v>
      </c>
      <c r="K55" s="209">
        <v>45693</v>
      </c>
      <c r="M55" t="s">
        <v>11</v>
      </c>
      <c r="N55">
        <v>330423241</v>
      </c>
      <c r="O55">
        <v>170522</v>
      </c>
      <c r="Q55" t="s">
        <v>212</v>
      </c>
      <c r="R55">
        <v>170522</v>
      </c>
    </row>
    <row r="56" spans="2:18">
      <c r="B56" t="s">
        <v>11</v>
      </c>
      <c r="C56">
        <v>330423242</v>
      </c>
      <c r="D56" t="s">
        <v>54</v>
      </c>
      <c r="E56" s="202">
        <v>12631.46</v>
      </c>
      <c r="F56">
        <v>12631.46</v>
      </c>
      <c r="J56" s="209">
        <v>45693</v>
      </c>
      <c r="K56" s="209">
        <v>45693</v>
      </c>
      <c r="M56" t="s">
        <v>11</v>
      </c>
      <c r="N56">
        <v>330423242</v>
      </c>
      <c r="O56">
        <v>170522</v>
      </c>
      <c r="Q56" t="s">
        <v>213</v>
      </c>
      <c r="R56">
        <v>170522</v>
      </c>
    </row>
    <row r="57" spans="2:18">
      <c r="B57" t="s">
        <v>11</v>
      </c>
      <c r="C57">
        <v>330423243</v>
      </c>
      <c r="D57" t="s">
        <v>54</v>
      </c>
      <c r="E57" s="202">
        <v>11521.38</v>
      </c>
      <c r="F57">
        <v>11521.38</v>
      </c>
      <c r="J57" s="209">
        <v>45693</v>
      </c>
      <c r="K57" s="209">
        <v>45693</v>
      </c>
      <c r="M57" t="s">
        <v>11</v>
      </c>
      <c r="N57">
        <v>330423243</v>
      </c>
      <c r="O57">
        <v>170522</v>
      </c>
      <c r="Q57" t="s">
        <v>214</v>
      </c>
      <c r="R57">
        <v>170522</v>
      </c>
    </row>
    <row r="58" spans="2:18">
      <c r="B58" t="s">
        <v>11</v>
      </c>
      <c r="C58">
        <v>330423244</v>
      </c>
      <c r="D58" t="s">
        <v>54</v>
      </c>
      <c r="E58" s="202">
        <v>14577.42</v>
      </c>
      <c r="F58">
        <v>14577.42</v>
      </c>
      <c r="J58" s="209">
        <v>45693</v>
      </c>
      <c r="K58" s="209">
        <v>45693</v>
      </c>
      <c r="M58" t="s">
        <v>11</v>
      </c>
      <c r="N58">
        <v>330423244</v>
      </c>
      <c r="O58">
        <v>170522</v>
      </c>
      <c r="Q58" t="s">
        <v>215</v>
      </c>
      <c r="R58">
        <v>170522</v>
      </c>
    </row>
    <row r="59" spans="2:18">
      <c r="B59" t="s">
        <v>11</v>
      </c>
      <c r="C59">
        <v>330423245</v>
      </c>
      <c r="D59" t="s">
        <v>54</v>
      </c>
      <c r="E59" s="202">
        <v>14865.24</v>
      </c>
      <c r="F59">
        <v>14865.24</v>
      </c>
      <c r="J59" s="209">
        <v>45693</v>
      </c>
      <c r="K59" s="209">
        <v>45693</v>
      </c>
      <c r="M59" t="s">
        <v>11</v>
      </c>
      <c r="N59">
        <v>330423245</v>
      </c>
      <c r="O59">
        <v>170522</v>
      </c>
      <c r="Q59" t="s">
        <v>216</v>
      </c>
      <c r="R59">
        <v>170522</v>
      </c>
    </row>
    <row r="60" spans="2:18">
      <c r="B60" t="s">
        <v>11</v>
      </c>
      <c r="C60">
        <v>330423246</v>
      </c>
      <c r="D60" t="s">
        <v>54</v>
      </c>
      <c r="E60" s="202">
        <v>12457.38</v>
      </c>
      <c r="F60">
        <v>12457.38</v>
      </c>
      <c r="J60" s="209">
        <v>45693</v>
      </c>
      <c r="K60" s="209">
        <v>45693</v>
      </c>
      <c r="M60" t="s">
        <v>11</v>
      </c>
      <c r="N60">
        <v>330423246</v>
      </c>
      <c r="O60">
        <v>170522</v>
      </c>
      <c r="Q60" t="s">
        <v>217</v>
      </c>
      <c r="R60">
        <v>170522</v>
      </c>
    </row>
    <row r="61" spans="2:18">
      <c r="B61" t="s">
        <v>11</v>
      </c>
      <c r="C61">
        <v>330423247</v>
      </c>
      <c r="D61" t="s">
        <v>54</v>
      </c>
      <c r="E61" s="202">
        <v>19289.63</v>
      </c>
      <c r="F61">
        <v>19289.63</v>
      </c>
      <c r="J61" s="209">
        <v>45693</v>
      </c>
      <c r="K61" s="209">
        <v>45693</v>
      </c>
      <c r="M61" t="s">
        <v>11</v>
      </c>
      <c r="N61">
        <v>330423247</v>
      </c>
      <c r="O61">
        <v>170522</v>
      </c>
      <c r="Q61" t="s">
        <v>218</v>
      </c>
      <c r="R61">
        <v>170522</v>
      </c>
    </row>
    <row r="62" spans="2:18">
      <c r="B62" t="s">
        <v>11</v>
      </c>
      <c r="C62">
        <v>330423248</v>
      </c>
      <c r="D62" t="s">
        <v>54</v>
      </c>
      <c r="E62" s="202">
        <v>732084.2</v>
      </c>
      <c r="F62">
        <v>732084.2</v>
      </c>
      <c r="J62" s="209">
        <v>45693</v>
      </c>
      <c r="K62" s="209">
        <v>45693</v>
      </c>
      <c r="M62" t="s">
        <v>11</v>
      </c>
      <c r="N62">
        <v>330423248</v>
      </c>
      <c r="O62">
        <v>170522</v>
      </c>
      <c r="Q62" t="s">
        <v>219</v>
      </c>
      <c r="R62">
        <v>170522</v>
      </c>
    </row>
    <row r="63" spans="2:18">
      <c r="B63" t="s">
        <v>11</v>
      </c>
      <c r="C63">
        <v>330423249</v>
      </c>
      <c r="D63" t="s">
        <v>54</v>
      </c>
      <c r="E63" s="202">
        <v>13187.23</v>
      </c>
      <c r="F63">
        <v>13187.23</v>
      </c>
      <c r="J63" s="209">
        <v>45693</v>
      </c>
      <c r="K63" s="209">
        <v>45693</v>
      </c>
      <c r="M63" t="s">
        <v>11</v>
      </c>
      <c r="N63">
        <v>330423249</v>
      </c>
      <c r="O63">
        <v>170522</v>
      </c>
      <c r="Q63" t="s">
        <v>220</v>
      </c>
      <c r="R63">
        <v>170522</v>
      </c>
    </row>
    <row r="64" spans="2:18">
      <c r="B64" t="s">
        <v>11</v>
      </c>
      <c r="C64">
        <v>330423250</v>
      </c>
      <c r="D64" t="s">
        <v>54</v>
      </c>
      <c r="E64" s="202">
        <v>10920</v>
      </c>
      <c r="F64">
        <v>10920</v>
      </c>
      <c r="J64" s="209">
        <v>45693</v>
      </c>
      <c r="K64" s="209">
        <v>45693</v>
      </c>
      <c r="M64" t="s">
        <v>11</v>
      </c>
      <c r="N64">
        <v>330423250</v>
      </c>
      <c r="O64">
        <v>170522</v>
      </c>
      <c r="Q64" t="s">
        <v>221</v>
      </c>
      <c r="R64">
        <v>170522</v>
      </c>
    </row>
    <row r="65" spans="2:18">
      <c r="B65" t="s">
        <v>11</v>
      </c>
      <c r="C65">
        <v>330423251</v>
      </c>
      <c r="D65" t="s">
        <v>54</v>
      </c>
      <c r="E65" s="202">
        <v>37289.980000000003</v>
      </c>
      <c r="F65">
        <v>37289.980000000003</v>
      </c>
      <c r="J65" s="209">
        <v>45693</v>
      </c>
      <c r="K65" s="209">
        <v>45693</v>
      </c>
      <c r="M65" t="s">
        <v>11</v>
      </c>
      <c r="N65">
        <v>330423251</v>
      </c>
      <c r="O65">
        <v>170522</v>
      </c>
      <c r="Q65" t="s">
        <v>222</v>
      </c>
      <c r="R65">
        <v>170522</v>
      </c>
    </row>
    <row r="66" spans="2:18">
      <c r="B66" t="s">
        <v>11</v>
      </c>
      <c r="C66">
        <v>330423252</v>
      </c>
      <c r="D66" t="s">
        <v>54</v>
      </c>
      <c r="E66" s="202">
        <v>12878.58</v>
      </c>
      <c r="F66">
        <v>12878.58</v>
      </c>
      <c r="J66" s="209">
        <v>45693</v>
      </c>
      <c r="K66" s="209">
        <v>45693</v>
      </c>
      <c r="M66" t="s">
        <v>11</v>
      </c>
      <c r="N66">
        <v>330423252</v>
      </c>
      <c r="O66">
        <v>170522</v>
      </c>
      <c r="Q66" t="s">
        <v>223</v>
      </c>
      <c r="R66">
        <v>170522</v>
      </c>
    </row>
    <row r="67" spans="2:18">
      <c r="B67" t="s">
        <v>11</v>
      </c>
      <c r="C67">
        <v>330423253</v>
      </c>
      <c r="D67" t="s">
        <v>54</v>
      </c>
      <c r="E67" s="202">
        <v>14887.47</v>
      </c>
      <c r="F67">
        <v>14887.47</v>
      </c>
      <c r="J67" s="209">
        <v>45693</v>
      </c>
      <c r="K67" s="209">
        <v>45693</v>
      </c>
      <c r="M67" t="s">
        <v>11</v>
      </c>
      <c r="N67">
        <v>330423253</v>
      </c>
      <c r="O67">
        <v>170522</v>
      </c>
      <c r="Q67" t="s">
        <v>224</v>
      </c>
      <c r="R67">
        <v>170522</v>
      </c>
    </row>
    <row r="68" spans="2:18">
      <c r="B68" t="s">
        <v>11</v>
      </c>
      <c r="C68">
        <v>330423254</v>
      </c>
      <c r="D68" t="s">
        <v>54</v>
      </c>
      <c r="E68" s="202">
        <v>14606.67</v>
      </c>
      <c r="F68">
        <v>14606.67</v>
      </c>
      <c r="J68" s="209">
        <v>45693</v>
      </c>
      <c r="K68" s="209">
        <v>45693</v>
      </c>
      <c r="M68" t="s">
        <v>11</v>
      </c>
      <c r="N68">
        <v>330423254</v>
      </c>
      <c r="O68">
        <v>170522</v>
      </c>
      <c r="Q68" t="s">
        <v>225</v>
      </c>
      <c r="R68">
        <v>170522</v>
      </c>
    </row>
    <row r="69" spans="2:18">
      <c r="B69" t="s">
        <v>11</v>
      </c>
      <c r="C69">
        <v>330423255</v>
      </c>
      <c r="D69" t="s">
        <v>54</v>
      </c>
      <c r="E69" s="202">
        <v>11516.7</v>
      </c>
      <c r="F69">
        <v>11516.7</v>
      </c>
      <c r="J69" s="209">
        <v>45693</v>
      </c>
      <c r="K69" s="209">
        <v>45693</v>
      </c>
      <c r="M69" t="s">
        <v>11</v>
      </c>
      <c r="N69">
        <v>330423255</v>
      </c>
      <c r="O69">
        <v>170522</v>
      </c>
      <c r="Q69" t="s">
        <v>226</v>
      </c>
      <c r="R69">
        <v>170522</v>
      </c>
    </row>
    <row r="70" spans="2:18">
      <c r="B70" t="s">
        <v>11</v>
      </c>
      <c r="C70">
        <v>330423256</v>
      </c>
      <c r="D70" t="s">
        <v>54</v>
      </c>
      <c r="E70" s="202">
        <v>2125.9499999999998</v>
      </c>
      <c r="F70">
        <v>2125.9499999999998</v>
      </c>
      <c r="J70" s="209">
        <v>45693</v>
      </c>
      <c r="K70" s="209">
        <v>45693</v>
      </c>
      <c r="M70" t="s">
        <v>11</v>
      </c>
      <c r="N70">
        <v>330423256</v>
      </c>
      <c r="O70">
        <v>170522</v>
      </c>
      <c r="Q70" t="s">
        <v>227</v>
      </c>
      <c r="R70">
        <v>170522</v>
      </c>
    </row>
    <row r="71" spans="2:18">
      <c r="B71" t="s">
        <v>11</v>
      </c>
      <c r="C71">
        <v>330423257</v>
      </c>
      <c r="D71" t="s">
        <v>54</v>
      </c>
      <c r="E71" s="202">
        <v>12872.73</v>
      </c>
      <c r="F71">
        <v>12872.73</v>
      </c>
      <c r="J71" s="209">
        <v>45693</v>
      </c>
      <c r="K71" s="209">
        <v>45693</v>
      </c>
      <c r="M71" t="s">
        <v>11</v>
      </c>
      <c r="N71">
        <v>330423257</v>
      </c>
      <c r="O71">
        <v>170522</v>
      </c>
      <c r="Q71" t="s">
        <v>228</v>
      </c>
      <c r="R71">
        <v>170522</v>
      </c>
    </row>
    <row r="72" spans="2:18">
      <c r="B72" t="s">
        <v>11</v>
      </c>
      <c r="C72">
        <v>330423258</v>
      </c>
      <c r="D72" t="s">
        <v>54</v>
      </c>
      <c r="E72" s="202">
        <v>12115.27</v>
      </c>
      <c r="F72">
        <v>12115.27</v>
      </c>
      <c r="J72" s="209">
        <v>45693</v>
      </c>
      <c r="K72" s="209">
        <v>45693</v>
      </c>
      <c r="M72" t="s">
        <v>11</v>
      </c>
      <c r="N72">
        <v>330423258</v>
      </c>
      <c r="O72">
        <v>170522</v>
      </c>
      <c r="Q72" t="s">
        <v>229</v>
      </c>
      <c r="R72">
        <v>170522</v>
      </c>
    </row>
    <row r="73" spans="2:18">
      <c r="B73" t="s">
        <v>11</v>
      </c>
      <c r="C73">
        <v>330423259</v>
      </c>
      <c r="D73" t="s">
        <v>54</v>
      </c>
      <c r="E73">
        <v>235.78</v>
      </c>
      <c r="F73">
        <v>235.78</v>
      </c>
      <c r="J73" s="209">
        <v>45693</v>
      </c>
      <c r="K73" s="209">
        <v>45693</v>
      </c>
      <c r="M73" t="s">
        <v>11</v>
      </c>
      <c r="N73">
        <v>330423259</v>
      </c>
      <c r="O73">
        <v>170522</v>
      </c>
      <c r="Q73" t="s">
        <v>230</v>
      </c>
      <c r="R73">
        <v>170522</v>
      </c>
    </row>
    <row r="74" spans="2:18">
      <c r="B74" t="s">
        <v>11</v>
      </c>
      <c r="C74">
        <v>330423260</v>
      </c>
      <c r="D74" t="s">
        <v>54</v>
      </c>
      <c r="E74">
        <v>760.53</v>
      </c>
      <c r="F74">
        <v>760.53</v>
      </c>
      <c r="J74" s="209">
        <v>45693</v>
      </c>
      <c r="K74" s="209">
        <v>45693</v>
      </c>
      <c r="M74" t="s">
        <v>11</v>
      </c>
      <c r="N74">
        <v>330423260</v>
      </c>
      <c r="O74">
        <v>170522</v>
      </c>
      <c r="Q74" t="s">
        <v>231</v>
      </c>
      <c r="R74">
        <v>170522</v>
      </c>
    </row>
    <row r="75" spans="2:18">
      <c r="B75" t="s">
        <v>11</v>
      </c>
      <c r="C75">
        <v>330423261</v>
      </c>
      <c r="D75" t="s">
        <v>54</v>
      </c>
      <c r="E75" s="202">
        <v>13554.84</v>
      </c>
      <c r="F75">
        <v>13554.84</v>
      </c>
      <c r="J75" s="209">
        <v>45693</v>
      </c>
      <c r="K75" s="209">
        <v>45693</v>
      </c>
      <c r="M75" t="s">
        <v>11</v>
      </c>
      <c r="N75">
        <v>330423261</v>
      </c>
      <c r="O75">
        <v>170522</v>
      </c>
      <c r="Q75" t="s">
        <v>232</v>
      </c>
      <c r="R75">
        <v>170522</v>
      </c>
    </row>
    <row r="76" spans="2:18">
      <c r="B76" t="s">
        <v>11</v>
      </c>
      <c r="C76">
        <v>330423262</v>
      </c>
      <c r="D76" t="s">
        <v>54</v>
      </c>
      <c r="E76" s="202">
        <v>22299.9</v>
      </c>
      <c r="F76">
        <v>22299.9</v>
      </c>
      <c r="J76" s="209">
        <v>45693</v>
      </c>
      <c r="K76" s="209">
        <v>45693</v>
      </c>
      <c r="M76" t="s">
        <v>11</v>
      </c>
      <c r="N76">
        <v>330423262</v>
      </c>
      <c r="O76">
        <v>170522</v>
      </c>
      <c r="Q76" t="s">
        <v>233</v>
      </c>
      <c r="R76">
        <v>170522</v>
      </c>
    </row>
    <row r="77" spans="2:18">
      <c r="B77" t="s">
        <v>11</v>
      </c>
      <c r="C77">
        <v>330423263</v>
      </c>
      <c r="D77" t="s">
        <v>54</v>
      </c>
      <c r="E77" s="202">
        <v>15396.42</v>
      </c>
      <c r="F77">
        <v>15396.42</v>
      </c>
      <c r="J77" s="209">
        <v>45693</v>
      </c>
      <c r="K77" s="209">
        <v>45693</v>
      </c>
      <c r="M77" t="s">
        <v>11</v>
      </c>
      <c r="N77">
        <v>330423263</v>
      </c>
      <c r="O77">
        <v>170522</v>
      </c>
      <c r="Q77" t="s">
        <v>234</v>
      </c>
      <c r="R77">
        <v>170522</v>
      </c>
    </row>
    <row r="78" spans="2:18">
      <c r="B78" t="s">
        <v>11</v>
      </c>
      <c r="C78">
        <v>330423264</v>
      </c>
      <c r="D78" t="s">
        <v>54</v>
      </c>
      <c r="E78" s="202">
        <v>12775.62</v>
      </c>
      <c r="F78">
        <v>12775.62</v>
      </c>
      <c r="J78" s="209">
        <v>45693</v>
      </c>
      <c r="K78" s="209">
        <v>45693</v>
      </c>
      <c r="M78" t="s">
        <v>11</v>
      </c>
      <c r="N78">
        <v>330423264</v>
      </c>
      <c r="O78">
        <v>170522</v>
      </c>
      <c r="Q78" t="s">
        <v>235</v>
      </c>
      <c r="R78">
        <v>170522</v>
      </c>
    </row>
    <row r="79" spans="2:18">
      <c r="B79" t="s">
        <v>11</v>
      </c>
      <c r="C79">
        <v>330423265</v>
      </c>
      <c r="D79" t="s">
        <v>54</v>
      </c>
      <c r="E79">
        <v>151.13</v>
      </c>
      <c r="F79">
        <v>151.13</v>
      </c>
      <c r="J79" s="209">
        <v>45693</v>
      </c>
      <c r="K79" s="209">
        <v>45693</v>
      </c>
      <c r="M79" t="s">
        <v>11</v>
      </c>
      <c r="N79">
        <v>330423265</v>
      </c>
      <c r="O79">
        <v>170522</v>
      </c>
      <c r="Q79" t="s">
        <v>236</v>
      </c>
      <c r="R79">
        <v>170522</v>
      </c>
    </row>
    <row r="80" spans="2:18">
      <c r="B80" t="s">
        <v>11</v>
      </c>
      <c r="C80">
        <v>330423266</v>
      </c>
      <c r="D80" t="s">
        <v>54</v>
      </c>
      <c r="E80">
        <v>359.09</v>
      </c>
      <c r="F80">
        <v>359.09</v>
      </c>
      <c r="J80" s="209">
        <v>45693</v>
      </c>
      <c r="K80" s="209">
        <v>45693</v>
      </c>
      <c r="M80" t="s">
        <v>11</v>
      </c>
      <c r="N80">
        <v>330423266</v>
      </c>
      <c r="O80">
        <v>170522</v>
      </c>
      <c r="Q80" t="s">
        <v>237</v>
      </c>
      <c r="R80">
        <v>170522</v>
      </c>
    </row>
    <row r="81" spans="2:18">
      <c r="B81" t="s">
        <v>11</v>
      </c>
      <c r="C81">
        <v>330423267</v>
      </c>
      <c r="D81" t="s">
        <v>54</v>
      </c>
      <c r="E81">
        <v>175.98</v>
      </c>
      <c r="F81">
        <v>175.98</v>
      </c>
      <c r="J81" s="209">
        <v>45693</v>
      </c>
      <c r="K81" s="209">
        <v>45693</v>
      </c>
      <c r="M81" t="s">
        <v>11</v>
      </c>
      <c r="N81">
        <v>330423267</v>
      </c>
      <c r="O81">
        <v>170522</v>
      </c>
      <c r="Q81" t="s">
        <v>238</v>
      </c>
      <c r="R81">
        <v>170522</v>
      </c>
    </row>
    <row r="82" spans="2:18">
      <c r="B82" t="s">
        <v>11</v>
      </c>
      <c r="C82">
        <v>330423268</v>
      </c>
      <c r="D82" t="s">
        <v>54</v>
      </c>
      <c r="E82" s="202">
        <v>1067.33</v>
      </c>
      <c r="F82">
        <v>1067.33</v>
      </c>
      <c r="J82" s="209">
        <v>45693</v>
      </c>
      <c r="K82" s="209">
        <v>45693</v>
      </c>
      <c r="M82" t="s">
        <v>11</v>
      </c>
      <c r="N82">
        <v>330423268</v>
      </c>
      <c r="O82">
        <v>170522</v>
      </c>
      <c r="Q82" t="s">
        <v>239</v>
      </c>
      <c r="R82">
        <v>170522</v>
      </c>
    </row>
    <row r="83" spans="2:18">
      <c r="B83" t="s">
        <v>11</v>
      </c>
      <c r="C83">
        <v>330423269</v>
      </c>
      <c r="D83" t="s">
        <v>54</v>
      </c>
      <c r="E83">
        <v>233.87</v>
      </c>
      <c r="F83">
        <v>233.87</v>
      </c>
      <c r="J83" s="209">
        <v>45693</v>
      </c>
      <c r="K83" s="209">
        <v>45693</v>
      </c>
      <c r="M83" t="s">
        <v>11</v>
      </c>
      <c r="N83">
        <v>330423269</v>
      </c>
      <c r="O83">
        <v>170522</v>
      </c>
      <c r="Q83" t="s">
        <v>240</v>
      </c>
      <c r="R83">
        <v>170522</v>
      </c>
    </row>
    <row r="84" spans="2:18">
      <c r="B84" t="s">
        <v>11</v>
      </c>
      <c r="C84">
        <v>330423270</v>
      </c>
      <c r="D84" t="s">
        <v>54</v>
      </c>
      <c r="E84">
        <v>777.57</v>
      </c>
      <c r="F84">
        <v>777.57</v>
      </c>
      <c r="J84" s="209">
        <v>45693</v>
      </c>
      <c r="K84" s="209">
        <v>45693</v>
      </c>
      <c r="M84" t="s">
        <v>11</v>
      </c>
      <c r="N84">
        <v>330423270</v>
      </c>
      <c r="O84">
        <v>170522</v>
      </c>
      <c r="Q84" t="s">
        <v>241</v>
      </c>
      <c r="R84">
        <v>170522</v>
      </c>
    </row>
    <row r="85" spans="2:18">
      <c r="B85" t="s">
        <v>11</v>
      </c>
      <c r="C85">
        <v>330423271</v>
      </c>
      <c r="D85" t="s">
        <v>54</v>
      </c>
      <c r="E85">
        <v>150.82</v>
      </c>
      <c r="F85">
        <v>150.82</v>
      </c>
      <c r="J85" s="209">
        <v>45693</v>
      </c>
      <c r="K85" s="209">
        <v>45693</v>
      </c>
      <c r="M85" t="s">
        <v>11</v>
      </c>
      <c r="N85">
        <v>330423271</v>
      </c>
      <c r="O85">
        <v>170522</v>
      </c>
      <c r="Q85" t="s">
        <v>242</v>
      </c>
      <c r="R85">
        <v>170522</v>
      </c>
    </row>
    <row r="86" spans="2:18">
      <c r="B86" t="s">
        <v>11</v>
      </c>
      <c r="C86">
        <v>330423272</v>
      </c>
      <c r="D86" t="s">
        <v>54</v>
      </c>
      <c r="E86">
        <v>312.89999999999998</v>
      </c>
      <c r="F86">
        <v>312.89999999999998</v>
      </c>
      <c r="J86" s="209">
        <v>45693</v>
      </c>
      <c r="K86" s="209">
        <v>45693</v>
      </c>
      <c r="M86" t="s">
        <v>11</v>
      </c>
      <c r="N86">
        <v>330423272</v>
      </c>
      <c r="O86">
        <v>170522</v>
      </c>
      <c r="Q86" t="s">
        <v>243</v>
      </c>
      <c r="R86">
        <v>170522</v>
      </c>
    </row>
    <row r="87" spans="2:18">
      <c r="B87" t="s">
        <v>11</v>
      </c>
      <c r="C87">
        <v>330423273</v>
      </c>
      <c r="D87" t="s">
        <v>54</v>
      </c>
      <c r="E87">
        <v>68.069999999999993</v>
      </c>
      <c r="F87">
        <v>68.069999999999993</v>
      </c>
      <c r="J87" s="209">
        <v>45693</v>
      </c>
      <c r="K87" s="209">
        <v>45693</v>
      </c>
      <c r="M87" t="s">
        <v>11</v>
      </c>
      <c r="N87">
        <v>330423273</v>
      </c>
      <c r="O87">
        <v>170522</v>
      </c>
      <c r="Q87" t="s">
        <v>244</v>
      </c>
      <c r="R87">
        <v>170522</v>
      </c>
    </row>
    <row r="88" spans="2:18">
      <c r="B88" t="s">
        <v>11</v>
      </c>
      <c r="C88">
        <v>330423274</v>
      </c>
      <c r="D88" t="s">
        <v>54</v>
      </c>
      <c r="E88">
        <v>883.39</v>
      </c>
      <c r="F88">
        <v>883.39</v>
      </c>
      <c r="J88" s="209">
        <v>45693</v>
      </c>
      <c r="K88" s="209">
        <v>45693</v>
      </c>
      <c r="M88" t="s">
        <v>11</v>
      </c>
      <c r="N88">
        <v>330423274</v>
      </c>
      <c r="O88">
        <v>170522</v>
      </c>
      <c r="Q88" t="s">
        <v>245</v>
      </c>
      <c r="R88">
        <v>170522</v>
      </c>
    </row>
    <row r="89" spans="2:18">
      <c r="B89" t="s">
        <v>11</v>
      </c>
      <c r="C89">
        <v>330423275</v>
      </c>
      <c r="D89" t="s">
        <v>54</v>
      </c>
      <c r="E89" s="202">
        <v>4020.65</v>
      </c>
      <c r="F89">
        <v>4020.65</v>
      </c>
      <c r="J89" s="209">
        <v>45693</v>
      </c>
      <c r="K89" s="209">
        <v>45693</v>
      </c>
      <c r="M89" t="s">
        <v>11</v>
      </c>
      <c r="N89">
        <v>330423275</v>
      </c>
      <c r="O89">
        <v>170522</v>
      </c>
      <c r="Q89" t="s">
        <v>246</v>
      </c>
      <c r="R89">
        <v>170522</v>
      </c>
    </row>
    <row r="90" spans="2:18">
      <c r="B90" t="s">
        <v>11</v>
      </c>
      <c r="C90">
        <v>330423276</v>
      </c>
      <c r="D90" t="s">
        <v>54</v>
      </c>
      <c r="E90">
        <v>843.63</v>
      </c>
      <c r="F90">
        <v>843.63</v>
      </c>
      <c r="J90" s="209">
        <v>45693</v>
      </c>
      <c r="K90" s="209">
        <v>45693</v>
      </c>
      <c r="M90" t="s">
        <v>11</v>
      </c>
      <c r="N90">
        <v>330423276</v>
      </c>
      <c r="O90">
        <v>170522</v>
      </c>
      <c r="Q90" t="s">
        <v>247</v>
      </c>
      <c r="R90">
        <v>170522</v>
      </c>
    </row>
    <row r="91" spans="2:18">
      <c r="B91" t="s">
        <v>11</v>
      </c>
      <c r="C91">
        <v>330423277</v>
      </c>
      <c r="D91" t="s">
        <v>54</v>
      </c>
      <c r="E91">
        <v>264.36</v>
      </c>
      <c r="F91">
        <v>264.36</v>
      </c>
      <c r="J91" s="209">
        <v>45693</v>
      </c>
      <c r="K91" s="209">
        <v>45693</v>
      </c>
      <c r="M91" t="s">
        <v>11</v>
      </c>
      <c r="N91">
        <v>330423277</v>
      </c>
      <c r="O91">
        <v>170522</v>
      </c>
      <c r="Q91" t="s">
        <v>248</v>
      </c>
      <c r="R91">
        <v>170522</v>
      </c>
    </row>
    <row r="92" spans="2:18">
      <c r="B92" t="s">
        <v>11</v>
      </c>
      <c r="C92">
        <v>330423278</v>
      </c>
      <c r="D92" t="s">
        <v>54</v>
      </c>
      <c r="E92">
        <v>666.91</v>
      </c>
      <c r="F92">
        <v>666.91</v>
      </c>
      <c r="J92" s="209">
        <v>45693</v>
      </c>
      <c r="K92" s="209">
        <v>45693</v>
      </c>
      <c r="M92" t="s">
        <v>11</v>
      </c>
      <c r="N92">
        <v>330423278</v>
      </c>
      <c r="O92">
        <v>170522</v>
      </c>
      <c r="Q92" t="s">
        <v>249</v>
      </c>
      <c r="R92">
        <v>170522</v>
      </c>
    </row>
    <row r="93" spans="2:18">
      <c r="B93" t="s">
        <v>11</v>
      </c>
      <c r="C93">
        <v>330423279</v>
      </c>
      <c r="D93" t="s">
        <v>54</v>
      </c>
      <c r="E93">
        <v>183.21</v>
      </c>
      <c r="F93">
        <v>183.21</v>
      </c>
      <c r="J93" s="209">
        <v>45693</v>
      </c>
      <c r="K93" s="209">
        <v>45693</v>
      </c>
      <c r="M93" t="s">
        <v>11</v>
      </c>
      <c r="N93">
        <v>330423279</v>
      </c>
      <c r="O93">
        <v>170522</v>
      </c>
      <c r="Q93" t="s">
        <v>250</v>
      </c>
      <c r="R93">
        <v>170522</v>
      </c>
    </row>
    <row r="94" spans="2:18">
      <c r="B94" t="s">
        <v>11</v>
      </c>
      <c r="C94">
        <v>330423280</v>
      </c>
      <c r="D94" t="s">
        <v>54</v>
      </c>
      <c r="E94">
        <v>643.29999999999995</v>
      </c>
      <c r="F94">
        <v>643.29999999999995</v>
      </c>
      <c r="J94" s="209">
        <v>45693</v>
      </c>
      <c r="K94" s="209">
        <v>45693</v>
      </c>
      <c r="M94" t="s">
        <v>11</v>
      </c>
      <c r="N94">
        <v>330423280</v>
      </c>
      <c r="O94">
        <v>170522</v>
      </c>
      <c r="Q94" t="s">
        <v>251</v>
      </c>
      <c r="R94">
        <v>170522</v>
      </c>
    </row>
    <row r="95" spans="2:18">
      <c r="B95" t="s">
        <v>11</v>
      </c>
      <c r="C95">
        <v>330423281</v>
      </c>
      <c r="D95" t="s">
        <v>54</v>
      </c>
      <c r="E95" s="202">
        <v>1178.54</v>
      </c>
      <c r="F95">
        <v>1178.54</v>
      </c>
      <c r="J95" s="209">
        <v>45693</v>
      </c>
      <c r="K95" s="209">
        <v>45693</v>
      </c>
      <c r="M95" t="s">
        <v>11</v>
      </c>
      <c r="N95">
        <v>330423281</v>
      </c>
      <c r="O95">
        <v>170522</v>
      </c>
      <c r="Q95" t="s">
        <v>252</v>
      </c>
      <c r="R95">
        <v>170522</v>
      </c>
    </row>
    <row r="96" spans="2:18">
      <c r="B96" t="s">
        <v>11</v>
      </c>
      <c r="C96">
        <v>330423282</v>
      </c>
      <c r="D96" t="s">
        <v>54</v>
      </c>
      <c r="E96">
        <v>109.1</v>
      </c>
      <c r="F96">
        <v>109.1</v>
      </c>
      <c r="J96" s="209">
        <v>45693</v>
      </c>
      <c r="K96" s="209">
        <v>45693</v>
      </c>
      <c r="M96" t="s">
        <v>11</v>
      </c>
      <c r="N96">
        <v>330423282</v>
      </c>
      <c r="O96">
        <v>170522</v>
      </c>
      <c r="Q96" t="s">
        <v>253</v>
      </c>
      <c r="R96">
        <v>170522</v>
      </c>
    </row>
    <row r="97" spans="2:18">
      <c r="B97" t="s">
        <v>11</v>
      </c>
      <c r="C97">
        <v>330423283</v>
      </c>
      <c r="D97" t="s">
        <v>54</v>
      </c>
      <c r="E97">
        <v>963.56</v>
      </c>
      <c r="F97">
        <v>963.56</v>
      </c>
      <c r="J97" s="209">
        <v>45693</v>
      </c>
      <c r="K97" s="209">
        <v>45693</v>
      </c>
      <c r="M97" t="s">
        <v>11</v>
      </c>
      <c r="N97">
        <v>330423283</v>
      </c>
      <c r="O97">
        <v>170522</v>
      </c>
      <c r="Q97" t="s">
        <v>254</v>
      </c>
      <c r="R97">
        <v>170522</v>
      </c>
    </row>
    <row r="98" spans="2:18">
      <c r="B98" t="s">
        <v>11</v>
      </c>
      <c r="C98">
        <v>330423284</v>
      </c>
      <c r="D98" t="s">
        <v>54</v>
      </c>
      <c r="E98" s="202">
        <v>2110.9</v>
      </c>
      <c r="F98">
        <v>2110.9</v>
      </c>
      <c r="J98" s="209">
        <v>45693</v>
      </c>
      <c r="K98" s="209">
        <v>45693</v>
      </c>
      <c r="M98" t="s">
        <v>11</v>
      </c>
      <c r="N98">
        <v>330423284</v>
      </c>
      <c r="O98">
        <v>170522</v>
      </c>
      <c r="Q98" t="s">
        <v>255</v>
      </c>
      <c r="R98">
        <v>170522</v>
      </c>
    </row>
    <row r="99" spans="2:18">
      <c r="B99" t="s">
        <v>11</v>
      </c>
      <c r="C99">
        <v>330423285</v>
      </c>
      <c r="D99" t="s">
        <v>54</v>
      </c>
      <c r="E99">
        <v>108.9</v>
      </c>
      <c r="F99">
        <v>108.9</v>
      </c>
      <c r="J99" s="209">
        <v>45693</v>
      </c>
      <c r="K99" s="209">
        <v>45693</v>
      </c>
      <c r="M99" t="s">
        <v>11</v>
      </c>
      <c r="N99">
        <v>330423285</v>
      </c>
      <c r="O99">
        <v>170522</v>
      </c>
      <c r="Q99" t="s">
        <v>256</v>
      </c>
      <c r="R99">
        <v>170522</v>
      </c>
    </row>
    <row r="100" spans="2:18">
      <c r="B100" t="s">
        <v>11</v>
      </c>
      <c r="C100">
        <v>330423286</v>
      </c>
      <c r="D100" t="s">
        <v>54</v>
      </c>
      <c r="E100" s="202">
        <v>6579.3</v>
      </c>
      <c r="F100">
        <v>6579.3</v>
      </c>
      <c r="J100" s="209">
        <v>45693</v>
      </c>
      <c r="K100" s="209">
        <v>45693</v>
      </c>
      <c r="M100" t="s">
        <v>11</v>
      </c>
      <c r="N100">
        <v>330423286</v>
      </c>
      <c r="O100">
        <v>170522</v>
      </c>
      <c r="Q100" t="s">
        <v>257</v>
      </c>
      <c r="R100">
        <v>170522</v>
      </c>
    </row>
    <row r="101" spans="2:18">
      <c r="B101" t="s">
        <v>11</v>
      </c>
      <c r="C101">
        <v>330423287</v>
      </c>
      <c r="D101" t="s">
        <v>54</v>
      </c>
      <c r="E101" s="202">
        <v>13746.3</v>
      </c>
      <c r="F101">
        <v>13746.3</v>
      </c>
      <c r="J101" s="209">
        <v>45693</v>
      </c>
      <c r="K101" s="209">
        <v>45693</v>
      </c>
      <c r="M101" t="s">
        <v>11</v>
      </c>
      <c r="N101">
        <v>330423287</v>
      </c>
      <c r="O101">
        <v>170522</v>
      </c>
      <c r="Q101" t="s">
        <v>258</v>
      </c>
      <c r="R101">
        <v>170522</v>
      </c>
    </row>
    <row r="102" spans="2:18">
      <c r="B102" t="s">
        <v>11</v>
      </c>
      <c r="C102">
        <v>330423288</v>
      </c>
      <c r="D102" t="s">
        <v>54</v>
      </c>
      <c r="E102" s="202">
        <v>35122.83</v>
      </c>
      <c r="F102">
        <v>35122.83</v>
      </c>
      <c r="J102" s="209">
        <v>45693</v>
      </c>
      <c r="K102" s="209">
        <v>45693</v>
      </c>
      <c r="M102" t="s">
        <v>11</v>
      </c>
      <c r="N102">
        <v>330423288</v>
      </c>
      <c r="O102">
        <v>170522</v>
      </c>
      <c r="Q102" t="s">
        <v>259</v>
      </c>
      <c r="R102">
        <v>170522</v>
      </c>
    </row>
    <row r="103" spans="2:18">
      <c r="B103" t="s">
        <v>11</v>
      </c>
      <c r="C103">
        <v>330423289</v>
      </c>
      <c r="D103" t="s">
        <v>54</v>
      </c>
      <c r="E103" s="202">
        <v>17707.5</v>
      </c>
      <c r="F103">
        <v>17707.5</v>
      </c>
      <c r="J103" s="209">
        <v>45693</v>
      </c>
      <c r="K103" s="209">
        <v>45693</v>
      </c>
      <c r="M103" t="s">
        <v>11</v>
      </c>
      <c r="N103">
        <v>330423289</v>
      </c>
      <c r="O103">
        <v>170522</v>
      </c>
      <c r="Q103" t="s">
        <v>260</v>
      </c>
      <c r="R103">
        <v>170522</v>
      </c>
    </row>
    <row r="104" spans="2:18">
      <c r="B104" t="s">
        <v>11</v>
      </c>
      <c r="C104">
        <v>330423290</v>
      </c>
      <c r="D104" t="s">
        <v>54</v>
      </c>
      <c r="E104" s="202">
        <v>12182.04</v>
      </c>
      <c r="F104">
        <v>12182.04</v>
      </c>
      <c r="J104" s="209">
        <v>45693</v>
      </c>
      <c r="K104" s="209">
        <v>45693</v>
      </c>
      <c r="M104" t="s">
        <v>11</v>
      </c>
      <c r="N104">
        <v>330423290</v>
      </c>
      <c r="O104">
        <v>170522</v>
      </c>
      <c r="Q104" t="s">
        <v>261</v>
      </c>
      <c r="R104">
        <v>170522</v>
      </c>
    </row>
    <row r="105" spans="2:18">
      <c r="B105" t="s">
        <v>11</v>
      </c>
      <c r="C105">
        <v>330423291</v>
      </c>
      <c r="D105" t="s">
        <v>54</v>
      </c>
      <c r="E105" s="202">
        <v>13949.13</v>
      </c>
      <c r="F105">
        <v>13949.13</v>
      </c>
      <c r="J105" s="209">
        <v>45693</v>
      </c>
      <c r="K105" s="209">
        <v>45693</v>
      </c>
      <c r="M105" t="s">
        <v>11</v>
      </c>
      <c r="N105">
        <v>330423291</v>
      </c>
      <c r="O105">
        <v>170522</v>
      </c>
      <c r="Q105" t="s">
        <v>262</v>
      </c>
      <c r="R105">
        <v>170522</v>
      </c>
    </row>
    <row r="106" spans="2:18">
      <c r="B106" t="s">
        <v>11</v>
      </c>
      <c r="C106">
        <v>330423292</v>
      </c>
      <c r="D106" t="s">
        <v>54</v>
      </c>
      <c r="E106" s="202">
        <v>5429.17</v>
      </c>
      <c r="F106">
        <v>5429.17</v>
      </c>
      <c r="J106" s="209">
        <v>45693</v>
      </c>
      <c r="K106" s="209">
        <v>45693</v>
      </c>
      <c r="M106" t="s">
        <v>11</v>
      </c>
      <c r="N106">
        <v>330423292</v>
      </c>
      <c r="O106">
        <v>170522</v>
      </c>
      <c r="Q106" t="s">
        <v>263</v>
      </c>
      <c r="R106">
        <v>170522</v>
      </c>
    </row>
    <row r="107" spans="2:18">
      <c r="B107" t="s">
        <v>11</v>
      </c>
      <c r="C107">
        <v>330423293</v>
      </c>
      <c r="D107" t="s">
        <v>54</v>
      </c>
      <c r="E107">
        <v>335.91</v>
      </c>
      <c r="F107">
        <v>335.91</v>
      </c>
      <c r="J107" s="209">
        <v>45693</v>
      </c>
      <c r="K107" s="209">
        <v>45693</v>
      </c>
      <c r="M107" t="s">
        <v>11</v>
      </c>
      <c r="N107">
        <v>330423293</v>
      </c>
      <c r="O107">
        <v>170525</v>
      </c>
      <c r="Q107" t="s">
        <v>264</v>
      </c>
      <c r="R107">
        <v>170525</v>
      </c>
    </row>
    <row r="108" spans="2:18">
      <c r="B108" t="s">
        <v>11</v>
      </c>
      <c r="C108">
        <v>330423294</v>
      </c>
      <c r="D108" t="s">
        <v>54</v>
      </c>
      <c r="E108">
        <v>145.5</v>
      </c>
      <c r="F108">
        <v>145.5</v>
      </c>
      <c r="J108" s="209">
        <v>45693</v>
      </c>
      <c r="K108" s="209">
        <v>45693</v>
      </c>
      <c r="M108" t="s">
        <v>11</v>
      </c>
      <c r="N108">
        <v>330423294</v>
      </c>
      <c r="O108">
        <v>170525</v>
      </c>
      <c r="Q108" t="s">
        <v>265</v>
      </c>
      <c r="R108">
        <v>170525</v>
      </c>
    </row>
    <row r="109" spans="2:18">
      <c r="B109" t="s">
        <v>11</v>
      </c>
      <c r="C109">
        <v>330423295</v>
      </c>
      <c r="D109" t="s">
        <v>54</v>
      </c>
      <c r="E109">
        <v>455.24</v>
      </c>
      <c r="F109">
        <v>455.24</v>
      </c>
      <c r="J109" s="209">
        <v>45693</v>
      </c>
      <c r="K109" s="209">
        <v>45693</v>
      </c>
      <c r="M109" t="s">
        <v>11</v>
      </c>
      <c r="N109">
        <v>330423295</v>
      </c>
      <c r="O109">
        <v>170525</v>
      </c>
      <c r="Q109" t="s">
        <v>266</v>
      </c>
      <c r="R109">
        <v>170525</v>
      </c>
    </row>
    <row r="110" spans="2:18">
      <c r="B110" t="s">
        <v>11</v>
      </c>
      <c r="C110">
        <v>330423296</v>
      </c>
      <c r="D110" t="s">
        <v>54</v>
      </c>
      <c r="E110">
        <v>455.24</v>
      </c>
      <c r="F110">
        <v>455.24</v>
      </c>
      <c r="J110" s="209">
        <v>45693</v>
      </c>
      <c r="K110" s="209">
        <v>45693</v>
      </c>
      <c r="M110" t="s">
        <v>11</v>
      </c>
      <c r="N110">
        <v>330423296</v>
      </c>
      <c r="O110">
        <v>170525</v>
      </c>
      <c r="Q110" t="s">
        <v>267</v>
      </c>
      <c r="R110">
        <v>170525</v>
      </c>
    </row>
    <row r="111" spans="2:18">
      <c r="B111" t="s">
        <v>11</v>
      </c>
      <c r="C111">
        <v>330423297</v>
      </c>
      <c r="D111" t="s">
        <v>54</v>
      </c>
      <c r="E111">
        <v>141.35</v>
      </c>
      <c r="F111">
        <v>141.35</v>
      </c>
      <c r="J111" s="209">
        <v>45693</v>
      </c>
      <c r="K111" s="209">
        <v>45693</v>
      </c>
      <c r="M111" t="s">
        <v>11</v>
      </c>
      <c r="N111">
        <v>330423297</v>
      </c>
      <c r="O111">
        <v>170525</v>
      </c>
      <c r="Q111" t="s">
        <v>268</v>
      </c>
      <c r="R111">
        <v>170525</v>
      </c>
    </row>
    <row r="112" spans="2:18">
      <c r="B112" t="s">
        <v>11</v>
      </c>
      <c r="C112">
        <v>330423298</v>
      </c>
      <c r="D112" t="s">
        <v>54</v>
      </c>
      <c r="E112">
        <v>6</v>
      </c>
      <c r="F112">
        <v>6</v>
      </c>
      <c r="J112" s="209">
        <v>45693</v>
      </c>
      <c r="K112" s="209">
        <v>45693</v>
      </c>
      <c r="M112" t="s">
        <v>11</v>
      </c>
      <c r="N112">
        <v>330423298</v>
      </c>
      <c r="O112">
        <v>170525</v>
      </c>
      <c r="Q112" t="s">
        <v>269</v>
      </c>
      <c r="R112">
        <v>170525</v>
      </c>
    </row>
    <row r="113" spans="2:18">
      <c r="B113" t="s">
        <v>11</v>
      </c>
      <c r="C113">
        <v>330423299</v>
      </c>
      <c r="D113" t="s">
        <v>54</v>
      </c>
      <c r="E113">
        <v>43.84</v>
      </c>
      <c r="F113">
        <v>43.84</v>
      </c>
      <c r="J113" s="209">
        <v>45693</v>
      </c>
      <c r="K113" s="209">
        <v>45693</v>
      </c>
      <c r="M113" t="s">
        <v>11</v>
      </c>
      <c r="N113">
        <v>330423299</v>
      </c>
      <c r="O113">
        <v>170525</v>
      </c>
      <c r="Q113" t="s">
        <v>270</v>
      </c>
      <c r="R113">
        <v>170525</v>
      </c>
    </row>
    <row r="114" spans="2:18">
      <c r="B114" t="s">
        <v>11</v>
      </c>
      <c r="C114">
        <v>330423300</v>
      </c>
      <c r="D114" t="s">
        <v>54</v>
      </c>
      <c r="E114" s="202">
        <v>1167.2</v>
      </c>
      <c r="F114">
        <v>1167.2</v>
      </c>
      <c r="J114" s="209">
        <v>45693</v>
      </c>
      <c r="K114" s="209">
        <v>45693</v>
      </c>
      <c r="M114" t="s">
        <v>11</v>
      </c>
      <c r="N114">
        <v>330423300</v>
      </c>
      <c r="O114">
        <v>170525</v>
      </c>
      <c r="Q114" t="s">
        <v>55</v>
      </c>
      <c r="R114">
        <v>170525</v>
      </c>
    </row>
    <row r="115" spans="2:18">
      <c r="B115" t="s">
        <v>11</v>
      </c>
      <c r="C115">
        <v>330423301</v>
      </c>
      <c r="D115" t="s">
        <v>54</v>
      </c>
      <c r="E115">
        <v>104.58</v>
      </c>
      <c r="F115">
        <v>104.58</v>
      </c>
      <c r="J115" s="209">
        <v>45693</v>
      </c>
      <c r="K115" s="209">
        <v>45693</v>
      </c>
      <c r="M115" t="s">
        <v>11</v>
      </c>
      <c r="N115">
        <v>330423301</v>
      </c>
      <c r="O115">
        <v>170525</v>
      </c>
      <c r="Q115" t="s">
        <v>56</v>
      </c>
      <c r="R115">
        <v>170525</v>
      </c>
    </row>
    <row r="116" spans="2:18">
      <c r="B116" t="s">
        <v>11</v>
      </c>
      <c r="C116">
        <v>330423302</v>
      </c>
      <c r="D116" t="s">
        <v>54</v>
      </c>
      <c r="E116">
        <v>455.24</v>
      </c>
      <c r="F116">
        <v>455.24</v>
      </c>
      <c r="J116" s="209">
        <v>45693</v>
      </c>
      <c r="K116" s="209">
        <v>45693</v>
      </c>
      <c r="M116" t="s">
        <v>11</v>
      </c>
      <c r="N116">
        <v>330423302</v>
      </c>
      <c r="O116">
        <v>170525</v>
      </c>
      <c r="Q116" t="s">
        <v>271</v>
      </c>
      <c r="R116">
        <v>170525</v>
      </c>
    </row>
    <row r="117" spans="2:18">
      <c r="B117" t="s">
        <v>11</v>
      </c>
      <c r="C117">
        <v>330423303</v>
      </c>
      <c r="D117" t="s">
        <v>54</v>
      </c>
      <c r="E117">
        <v>77.31</v>
      </c>
      <c r="F117">
        <v>77.31</v>
      </c>
      <c r="J117" s="209">
        <v>45693</v>
      </c>
      <c r="K117" s="209">
        <v>45693</v>
      </c>
      <c r="M117" t="s">
        <v>11</v>
      </c>
      <c r="N117">
        <v>330423303</v>
      </c>
      <c r="O117">
        <v>170525</v>
      </c>
      <c r="Q117" t="s">
        <v>272</v>
      </c>
      <c r="R117">
        <v>170525</v>
      </c>
    </row>
    <row r="118" spans="2:18">
      <c r="B118" t="s">
        <v>11</v>
      </c>
      <c r="C118">
        <v>330423304</v>
      </c>
      <c r="D118" t="s">
        <v>54</v>
      </c>
      <c r="E118">
        <v>440.29</v>
      </c>
      <c r="F118">
        <v>440.29</v>
      </c>
      <c r="J118" s="209">
        <v>45693</v>
      </c>
      <c r="K118" s="209">
        <v>45693</v>
      </c>
      <c r="M118" t="s">
        <v>11</v>
      </c>
      <c r="N118">
        <v>330423304</v>
      </c>
      <c r="O118">
        <v>170525</v>
      </c>
      <c r="Q118" t="s">
        <v>273</v>
      </c>
      <c r="R118">
        <v>170525</v>
      </c>
    </row>
    <row r="119" spans="2:18">
      <c r="B119" t="s">
        <v>11</v>
      </c>
      <c r="C119">
        <v>330423305</v>
      </c>
      <c r="D119" t="s">
        <v>54</v>
      </c>
      <c r="E119">
        <v>32.5</v>
      </c>
      <c r="F119">
        <v>32.5</v>
      </c>
      <c r="J119" s="209">
        <v>45693</v>
      </c>
      <c r="K119" s="209">
        <v>45693</v>
      </c>
      <c r="M119" t="s">
        <v>11</v>
      </c>
      <c r="N119">
        <v>330423305</v>
      </c>
      <c r="O119">
        <v>170525</v>
      </c>
      <c r="Q119" t="s">
        <v>274</v>
      </c>
      <c r="R119">
        <v>170525</v>
      </c>
    </row>
    <row r="120" spans="2:18">
      <c r="B120" t="s">
        <v>11</v>
      </c>
      <c r="C120">
        <v>330423306</v>
      </c>
      <c r="D120" t="s">
        <v>54</v>
      </c>
      <c r="E120">
        <v>464.5</v>
      </c>
      <c r="F120">
        <v>464.5</v>
      </c>
      <c r="J120" s="209">
        <v>45693</v>
      </c>
      <c r="K120" s="209">
        <v>45693</v>
      </c>
      <c r="M120" t="s">
        <v>11</v>
      </c>
      <c r="N120">
        <v>330423306</v>
      </c>
      <c r="O120">
        <v>170525</v>
      </c>
      <c r="Q120" t="s">
        <v>275</v>
      </c>
      <c r="R120">
        <v>170525</v>
      </c>
    </row>
    <row r="121" spans="2:18">
      <c r="B121" t="s">
        <v>11</v>
      </c>
      <c r="C121">
        <v>330423307</v>
      </c>
      <c r="D121" t="s">
        <v>54</v>
      </c>
      <c r="E121">
        <v>455.24</v>
      </c>
      <c r="F121">
        <v>455.24</v>
      </c>
      <c r="J121" s="209">
        <v>45693</v>
      </c>
      <c r="K121" s="209">
        <v>45693</v>
      </c>
      <c r="M121" t="s">
        <v>11</v>
      </c>
      <c r="N121">
        <v>330423307</v>
      </c>
      <c r="O121">
        <v>170525</v>
      </c>
      <c r="Q121" t="s">
        <v>276</v>
      </c>
      <c r="R121">
        <v>170525</v>
      </c>
    </row>
    <row r="122" spans="2:18">
      <c r="B122" t="s">
        <v>11</v>
      </c>
      <c r="C122">
        <v>330423308</v>
      </c>
      <c r="D122" t="s">
        <v>54</v>
      </c>
      <c r="E122">
        <v>119.34</v>
      </c>
      <c r="F122">
        <v>119.34</v>
      </c>
      <c r="J122" s="209">
        <v>45693</v>
      </c>
      <c r="K122" s="209">
        <v>45693</v>
      </c>
      <c r="M122" t="s">
        <v>11</v>
      </c>
      <c r="N122">
        <v>330423308</v>
      </c>
      <c r="O122">
        <v>170525</v>
      </c>
      <c r="Q122" t="s">
        <v>277</v>
      </c>
      <c r="R122">
        <v>170525</v>
      </c>
    </row>
    <row r="123" spans="2:18">
      <c r="B123" t="s">
        <v>11</v>
      </c>
      <c r="C123">
        <v>330423309</v>
      </c>
      <c r="D123" t="s">
        <v>54</v>
      </c>
      <c r="E123" s="202">
        <v>2898.5</v>
      </c>
      <c r="F123">
        <v>2898.5</v>
      </c>
      <c r="J123" s="209">
        <v>45693</v>
      </c>
      <c r="K123" s="209">
        <v>45693</v>
      </c>
      <c r="M123" t="s">
        <v>11</v>
      </c>
      <c r="N123">
        <v>330423309</v>
      </c>
      <c r="O123">
        <v>170525</v>
      </c>
      <c r="Q123" t="s">
        <v>278</v>
      </c>
      <c r="R123">
        <v>170525</v>
      </c>
    </row>
    <row r="124" spans="2:18">
      <c r="B124" t="s">
        <v>11</v>
      </c>
      <c r="C124">
        <v>330423310</v>
      </c>
      <c r="D124" t="s">
        <v>54</v>
      </c>
      <c r="E124">
        <v>453.6</v>
      </c>
      <c r="F124">
        <v>453.6</v>
      </c>
      <c r="J124" s="209">
        <v>45693</v>
      </c>
      <c r="K124" s="209">
        <v>45693</v>
      </c>
      <c r="M124" t="s">
        <v>11</v>
      </c>
      <c r="N124">
        <v>330423310</v>
      </c>
      <c r="O124">
        <v>170525</v>
      </c>
      <c r="Q124" t="s">
        <v>279</v>
      </c>
      <c r="R124">
        <v>170525</v>
      </c>
    </row>
    <row r="125" spans="2:18">
      <c r="B125" t="s">
        <v>11</v>
      </c>
      <c r="C125">
        <v>330423311</v>
      </c>
      <c r="D125" t="s">
        <v>54</v>
      </c>
      <c r="E125">
        <v>162.65</v>
      </c>
      <c r="F125">
        <v>162.65</v>
      </c>
      <c r="J125" s="209">
        <v>45693</v>
      </c>
      <c r="K125" s="209">
        <v>45693</v>
      </c>
      <c r="M125" t="s">
        <v>11</v>
      </c>
      <c r="N125">
        <v>330423311</v>
      </c>
      <c r="O125">
        <v>170525</v>
      </c>
      <c r="Q125" t="s">
        <v>280</v>
      </c>
      <c r="R125">
        <v>170525</v>
      </c>
    </row>
    <row r="126" spans="2:18">
      <c r="B126" t="s">
        <v>11</v>
      </c>
      <c r="C126">
        <v>330423312</v>
      </c>
      <c r="D126" t="s">
        <v>54</v>
      </c>
      <c r="E126">
        <v>455.24</v>
      </c>
      <c r="F126">
        <v>455.24</v>
      </c>
      <c r="J126" s="209">
        <v>45693</v>
      </c>
      <c r="K126" s="209">
        <v>45693</v>
      </c>
      <c r="M126" t="s">
        <v>11</v>
      </c>
      <c r="N126">
        <v>330423312</v>
      </c>
      <c r="O126">
        <v>170525</v>
      </c>
      <c r="Q126" t="s">
        <v>281</v>
      </c>
      <c r="R126">
        <v>170525</v>
      </c>
    </row>
    <row r="127" spans="2:18">
      <c r="B127" t="s">
        <v>11</v>
      </c>
      <c r="C127">
        <v>330423313</v>
      </c>
      <c r="D127" t="s">
        <v>54</v>
      </c>
      <c r="E127">
        <v>6</v>
      </c>
      <c r="F127">
        <v>6</v>
      </c>
      <c r="J127" s="209">
        <v>45693</v>
      </c>
      <c r="K127" s="209">
        <v>45693</v>
      </c>
      <c r="M127" t="s">
        <v>11</v>
      </c>
      <c r="N127">
        <v>330423313</v>
      </c>
      <c r="O127">
        <v>170525</v>
      </c>
      <c r="Q127" t="s">
        <v>282</v>
      </c>
      <c r="R127">
        <v>170525</v>
      </c>
    </row>
    <row r="128" spans="2:18">
      <c r="B128" t="s">
        <v>11</v>
      </c>
      <c r="C128">
        <v>330423314</v>
      </c>
      <c r="D128" t="s">
        <v>54</v>
      </c>
      <c r="E128" s="202">
        <v>1424.52</v>
      </c>
      <c r="F128">
        <v>1424.52</v>
      </c>
      <c r="J128" s="209">
        <v>45693</v>
      </c>
      <c r="K128" s="209">
        <v>45693</v>
      </c>
      <c r="M128" t="s">
        <v>11</v>
      </c>
      <c r="N128">
        <v>330423314</v>
      </c>
      <c r="O128">
        <v>170525</v>
      </c>
      <c r="Q128" t="s">
        <v>60</v>
      </c>
      <c r="R128">
        <v>170525</v>
      </c>
    </row>
    <row r="129" spans="2:18">
      <c r="B129" t="s">
        <v>11</v>
      </c>
      <c r="C129">
        <v>330423315</v>
      </c>
      <c r="D129" t="s">
        <v>54</v>
      </c>
      <c r="E129">
        <v>82.26</v>
      </c>
      <c r="F129">
        <v>82.26</v>
      </c>
      <c r="J129" s="209">
        <v>45693</v>
      </c>
      <c r="K129" s="209">
        <v>45693</v>
      </c>
      <c r="M129" t="s">
        <v>11</v>
      </c>
      <c r="N129">
        <v>330423315</v>
      </c>
      <c r="O129">
        <v>170525</v>
      </c>
      <c r="Q129" t="s">
        <v>283</v>
      </c>
      <c r="R129">
        <v>170525</v>
      </c>
    </row>
    <row r="130" spans="2:18">
      <c r="B130" t="s">
        <v>11</v>
      </c>
      <c r="C130">
        <v>330423316</v>
      </c>
      <c r="D130" t="s">
        <v>54</v>
      </c>
      <c r="E130">
        <v>469.04</v>
      </c>
      <c r="F130">
        <v>469.04</v>
      </c>
      <c r="J130" s="209">
        <v>45693</v>
      </c>
      <c r="K130" s="209">
        <v>45693</v>
      </c>
      <c r="M130" t="s">
        <v>11</v>
      </c>
      <c r="N130">
        <v>330423316</v>
      </c>
      <c r="O130">
        <v>170525</v>
      </c>
      <c r="Q130" t="s">
        <v>284</v>
      </c>
      <c r="R130">
        <v>170525</v>
      </c>
    </row>
    <row r="131" spans="2:18">
      <c r="B131" t="s">
        <v>11</v>
      </c>
      <c r="C131">
        <v>330423317</v>
      </c>
      <c r="D131" t="s">
        <v>54</v>
      </c>
      <c r="E131">
        <v>12</v>
      </c>
      <c r="F131">
        <v>12</v>
      </c>
      <c r="J131" s="209">
        <v>45693</v>
      </c>
      <c r="K131" s="209">
        <v>45693</v>
      </c>
      <c r="M131" t="s">
        <v>11</v>
      </c>
      <c r="N131">
        <v>330423317</v>
      </c>
      <c r="O131">
        <v>170525</v>
      </c>
      <c r="Q131" t="s">
        <v>285</v>
      </c>
      <c r="R131">
        <v>170525</v>
      </c>
    </row>
    <row r="132" spans="2:18">
      <c r="B132" t="s">
        <v>11</v>
      </c>
      <c r="C132">
        <v>330423318</v>
      </c>
      <c r="D132" t="s">
        <v>54</v>
      </c>
      <c r="E132">
        <v>128.18</v>
      </c>
      <c r="F132">
        <v>128.18</v>
      </c>
      <c r="J132" s="209">
        <v>45693</v>
      </c>
      <c r="K132" s="209">
        <v>45693</v>
      </c>
      <c r="M132" t="s">
        <v>11</v>
      </c>
      <c r="N132">
        <v>330423318</v>
      </c>
      <c r="O132">
        <v>170525</v>
      </c>
      <c r="Q132" t="s">
        <v>286</v>
      </c>
      <c r="R132">
        <v>170525</v>
      </c>
    </row>
    <row r="133" spans="2:18">
      <c r="B133" t="s">
        <v>11</v>
      </c>
      <c r="C133">
        <v>330423319</v>
      </c>
      <c r="D133" t="s">
        <v>54</v>
      </c>
      <c r="E133">
        <v>465.14</v>
      </c>
      <c r="F133">
        <v>465.14</v>
      </c>
      <c r="J133" s="209">
        <v>45693</v>
      </c>
      <c r="K133" s="209">
        <v>45693</v>
      </c>
      <c r="M133" t="s">
        <v>11</v>
      </c>
      <c r="N133">
        <v>330423319</v>
      </c>
      <c r="O133">
        <v>170525</v>
      </c>
      <c r="Q133" t="s">
        <v>63</v>
      </c>
      <c r="R133">
        <v>170525</v>
      </c>
    </row>
    <row r="134" spans="2:18">
      <c r="B134" t="s">
        <v>11</v>
      </c>
      <c r="C134">
        <v>330423320</v>
      </c>
      <c r="D134" t="s">
        <v>54</v>
      </c>
      <c r="E134">
        <v>531.5</v>
      </c>
      <c r="F134">
        <v>531.5</v>
      </c>
      <c r="J134" s="209">
        <v>45693</v>
      </c>
      <c r="K134" s="209">
        <v>45693</v>
      </c>
      <c r="M134" t="s">
        <v>11</v>
      </c>
      <c r="N134">
        <v>330423320</v>
      </c>
      <c r="O134">
        <v>170525</v>
      </c>
      <c r="Q134" t="s">
        <v>287</v>
      </c>
      <c r="R134">
        <v>170525</v>
      </c>
    </row>
    <row r="135" spans="2:18">
      <c r="B135" t="s">
        <v>11</v>
      </c>
      <c r="C135">
        <v>330423321</v>
      </c>
      <c r="D135" t="s">
        <v>54</v>
      </c>
      <c r="E135">
        <v>36.299999999999997</v>
      </c>
      <c r="F135">
        <v>36.299999999999997</v>
      </c>
      <c r="J135" s="209">
        <v>45693</v>
      </c>
      <c r="K135" s="209">
        <v>45693</v>
      </c>
      <c r="M135" t="s">
        <v>11</v>
      </c>
      <c r="N135">
        <v>330423321</v>
      </c>
      <c r="O135">
        <v>170525</v>
      </c>
      <c r="Q135" t="s">
        <v>288</v>
      </c>
      <c r="R135">
        <v>170525</v>
      </c>
    </row>
    <row r="136" spans="2:18">
      <c r="B136" t="s">
        <v>11</v>
      </c>
      <c r="C136">
        <v>330423322</v>
      </c>
      <c r="D136" t="s">
        <v>54</v>
      </c>
      <c r="E136">
        <v>289.26</v>
      </c>
      <c r="F136">
        <v>289.26</v>
      </c>
      <c r="J136" s="209">
        <v>45693</v>
      </c>
      <c r="K136" s="209">
        <v>45693</v>
      </c>
      <c r="M136" t="s">
        <v>11</v>
      </c>
      <c r="N136">
        <v>330423322</v>
      </c>
      <c r="O136">
        <v>170525</v>
      </c>
      <c r="Q136" t="s">
        <v>66</v>
      </c>
      <c r="R136">
        <v>170525</v>
      </c>
    </row>
    <row r="137" spans="2:18">
      <c r="B137" t="s">
        <v>11</v>
      </c>
      <c r="C137">
        <v>330423323</v>
      </c>
      <c r="D137" t="s">
        <v>54</v>
      </c>
      <c r="E137">
        <v>50</v>
      </c>
      <c r="F137">
        <v>50</v>
      </c>
      <c r="J137" s="209">
        <v>45693</v>
      </c>
      <c r="K137" s="209">
        <v>45693</v>
      </c>
      <c r="M137" t="s">
        <v>11</v>
      </c>
      <c r="N137">
        <v>330423323</v>
      </c>
      <c r="O137">
        <v>170525</v>
      </c>
      <c r="Q137" t="s">
        <v>289</v>
      </c>
      <c r="R137">
        <v>170525</v>
      </c>
    </row>
    <row r="138" spans="2:18">
      <c r="B138" t="s">
        <v>11</v>
      </c>
      <c r="C138">
        <v>330423324</v>
      </c>
      <c r="D138" t="s">
        <v>54</v>
      </c>
      <c r="E138">
        <v>43.68</v>
      </c>
      <c r="F138">
        <v>43.68</v>
      </c>
      <c r="J138" s="209">
        <v>45693</v>
      </c>
      <c r="K138" s="209">
        <v>45693</v>
      </c>
      <c r="M138" t="s">
        <v>11</v>
      </c>
      <c r="N138">
        <v>330423324</v>
      </c>
      <c r="O138">
        <v>170525</v>
      </c>
      <c r="Q138" t="s">
        <v>290</v>
      </c>
      <c r="R138">
        <v>170525</v>
      </c>
    </row>
    <row r="139" spans="2:18">
      <c r="B139" t="s">
        <v>11</v>
      </c>
      <c r="C139">
        <v>330423325</v>
      </c>
      <c r="D139" t="s">
        <v>54</v>
      </c>
      <c r="E139">
        <v>962.08</v>
      </c>
      <c r="F139">
        <v>962.08</v>
      </c>
      <c r="J139" s="209">
        <v>45693</v>
      </c>
      <c r="K139" s="209">
        <v>45693</v>
      </c>
      <c r="M139" t="s">
        <v>11</v>
      </c>
      <c r="N139">
        <v>330423325</v>
      </c>
      <c r="O139">
        <v>170525</v>
      </c>
      <c r="Q139" t="s">
        <v>291</v>
      </c>
      <c r="R139">
        <v>170525</v>
      </c>
    </row>
    <row r="140" spans="2:18">
      <c r="B140" t="s">
        <v>11</v>
      </c>
      <c r="C140">
        <v>330423326</v>
      </c>
      <c r="D140" t="s">
        <v>54</v>
      </c>
      <c r="E140">
        <v>978.04</v>
      </c>
      <c r="F140">
        <v>978.04</v>
      </c>
      <c r="J140" s="209">
        <v>45693</v>
      </c>
      <c r="K140" s="209">
        <v>45693</v>
      </c>
      <c r="M140" t="s">
        <v>11</v>
      </c>
      <c r="N140">
        <v>330423326</v>
      </c>
      <c r="O140">
        <v>170525</v>
      </c>
      <c r="Q140" t="s">
        <v>292</v>
      </c>
      <c r="R140">
        <v>170525</v>
      </c>
    </row>
    <row r="141" spans="2:18">
      <c r="B141" t="s">
        <v>11</v>
      </c>
      <c r="C141">
        <v>330423327</v>
      </c>
      <c r="D141" t="s">
        <v>54</v>
      </c>
      <c r="E141">
        <v>88.23</v>
      </c>
      <c r="F141">
        <v>88.23</v>
      </c>
      <c r="J141" s="209">
        <v>45693</v>
      </c>
      <c r="K141" s="209">
        <v>45693</v>
      </c>
      <c r="M141" t="s">
        <v>11</v>
      </c>
      <c r="N141">
        <v>330423327</v>
      </c>
      <c r="O141">
        <v>170525</v>
      </c>
      <c r="Q141" t="s">
        <v>293</v>
      </c>
      <c r="R141">
        <v>170525</v>
      </c>
    </row>
    <row r="142" spans="2:18">
      <c r="B142" t="s">
        <v>11</v>
      </c>
      <c r="C142">
        <v>330423328</v>
      </c>
      <c r="D142" t="s">
        <v>54</v>
      </c>
      <c r="E142">
        <v>195.8</v>
      </c>
      <c r="F142">
        <v>195.8</v>
      </c>
      <c r="J142" s="209">
        <v>45693</v>
      </c>
      <c r="K142" s="209">
        <v>45693</v>
      </c>
      <c r="M142" t="s">
        <v>11</v>
      </c>
      <c r="N142">
        <v>330423328</v>
      </c>
      <c r="O142">
        <v>170525</v>
      </c>
      <c r="Q142" t="s">
        <v>294</v>
      </c>
      <c r="R142">
        <v>170525</v>
      </c>
    </row>
    <row r="143" spans="2:18">
      <c r="B143" t="s">
        <v>11</v>
      </c>
      <c r="C143">
        <v>330423329</v>
      </c>
      <c r="D143" t="s">
        <v>54</v>
      </c>
      <c r="E143" s="202">
        <v>1880</v>
      </c>
      <c r="F143">
        <v>1880</v>
      </c>
      <c r="J143" s="209">
        <v>45693</v>
      </c>
      <c r="K143" s="209">
        <v>45693</v>
      </c>
      <c r="M143" t="s">
        <v>11</v>
      </c>
      <c r="N143">
        <v>330423329</v>
      </c>
      <c r="O143">
        <v>170525</v>
      </c>
      <c r="Q143" t="s">
        <v>295</v>
      </c>
      <c r="R143">
        <v>170525</v>
      </c>
    </row>
    <row r="144" spans="2:18">
      <c r="B144" t="s">
        <v>11</v>
      </c>
      <c r="C144">
        <v>330423330</v>
      </c>
      <c r="D144" t="s">
        <v>54</v>
      </c>
      <c r="E144">
        <v>20</v>
      </c>
      <c r="F144">
        <v>20</v>
      </c>
      <c r="J144" s="209">
        <v>45693</v>
      </c>
      <c r="K144" s="209">
        <v>45693</v>
      </c>
      <c r="M144" t="s">
        <v>11</v>
      </c>
      <c r="N144">
        <v>330423330</v>
      </c>
      <c r="O144">
        <v>170525</v>
      </c>
      <c r="Q144" t="s">
        <v>296</v>
      </c>
      <c r="R144">
        <v>170525</v>
      </c>
    </row>
    <row r="145" spans="2:18">
      <c r="B145" t="s">
        <v>11</v>
      </c>
      <c r="C145">
        <v>330423331</v>
      </c>
      <c r="D145" t="s">
        <v>54</v>
      </c>
      <c r="E145">
        <v>26</v>
      </c>
      <c r="F145">
        <v>26</v>
      </c>
      <c r="J145" s="209">
        <v>45693</v>
      </c>
      <c r="K145" s="209">
        <v>45693</v>
      </c>
      <c r="M145" t="s">
        <v>11</v>
      </c>
      <c r="N145">
        <v>330423331</v>
      </c>
      <c r="O145">
        <v>170525</v>
      </c>
      <c r="Q145" t="s">
        <v>75</v>
      </c>
      <c r="R145">
        <v>170525</v>
      </c>
    </row>
    <row r="146" spans="2:18">
      <c r="B146" t="s">
        <v>11</v>
      </c>
      <c r="C146">
        <v>330423332</v>
      </c>
      <c r="D146" t="s">
        <v>54</v>
      </c>
      <c r="E146">
        <v>45.25</v>
      </c>
      <c r="F146">
        <v>45.25</v>
      </c>
      <c r="J146" s="209">
        <v>45693</v>
      </c>
      <c r="K146" s="209">
        <v>45693</v>
      </c>
      <c r="M146" t="s">
        <v>11</v>
      </c>
      <c r="N146">
        <v>330423332</v>
      </c>
      <c r="O146">
        <v>170525</v>
      </c>
      <c r="Q146" t="s">
        <v>297</v>
      </c>
      <c r="R146">
        <v>170525</v>
      </c>
    </row>
    <row r="147" spans="2:18">
      <c r="B147" t="s">
        <v>11</v>
      </c>
      <c r="C147">
        <v>330423333</v>
      </c>
      <c r="D147" t="s">
        <v>54</v>
      </c>
      <c r="E147">
        <v>39.97</v>
      </c>
      <c r="F147">
        <v>39.97</v>
      </c>
      <c r="J147" s="209">
        <v>45693</v>
      </c>
      <c r="K147" s="209">
        <v>45693</v>
      </c>
      <c r="M147" t="s">
        <v>11</v>
      </c>
      <c r="N147">
        <v>330423333</v>
      </c>
      <c r="O147">
        <v>170525</v>
      </c>
      <c r="Q147" t="s">
        <v>298</v>
      </c>
      <c r="R147">
        <v>170525</v>
      </c>
    </row>
    <row r="148" spans="2:18">
      <c r="B148" t="s">
        <v>11</v>
      </c>
      <c r="C148">
        <v>330423334</v>
      </c>
      <c r="D148" t="s">
        <v>54</v>
      </c>
      <c r="E148">
        <v>17.600000000000001</v>
      </c>
      <c r="F148">
        <v>17.600000000000001</v>
      </c>
      <c r="J148" s="209">
        <v>45693</v>
      </c>
      <c r="K148" s="209">
        <v>45693</v>
      </c>
      <c r="M148" t="s">
        <v>11</v>
      </c>
      <c r="N148">
        <v>330423334</v>
      </c>
      <c r="O148">
        <v>170525</v>
      </c>
      <c r="Q148" t="s">
        <v>299</v>
      </c>
      <c r="R148">
        <v>170525</v>
      </c>
    </row>
    <row r="149" spans="2:18">
      <c r="B149" t="s">
        <v>11</v>
      </c>
      <c r="C149">
        <v>330423335</v>
      </c>
      <c r="D149" t="s">
        <v>54</v>
      </c>
      <c r="E149">
        <v>12</v>
      </c>
      <c r="F149">
        <v>12</v>
      </c>
      <c r="J149" s="209">
        <v>45693</v>
      </c>
      <c r="K149" s="209">
        <v>45693</v>
      </c>
      <c r="M149" t="s">
        <v>11</v>
      </c>
      <c r="N149">
        <v>330423335</v>
      </c>
      <c r="O149">
        <v>170525</v>
      </c>
      <c r="Q149" t="s">
        <v>300</v>
      </c>
      <c r="R149">
        <v>170525</v>
      </c>
    </row>
    <row r="150" spans="2:18">
      <c r="B150" t="s">
        <v>11</v>
      </c>
      <c r="C150">
        <v>330423336</v>
      </c>
      <c r="D150" t="s">
        <v>54</v>
      </c>
      <c r="E150" s="202">
        <v>2236.1999999999998</v>
      </c>
      <c r="F150">
        <v>2236.1999999999998</v>
      </c>
      <c r="J150" s="209">
        <v>45693</v>
      </c>
      <c r="K150" s="209">
        <v>45693</v>
      </c>
      <c r="M150" t="s">
        <v>11</v>
      </c>
      <c r="N150">
        <v>330423336</v>
      </c>
      <c r="O150">
        <v>170525</v>
      </c>
      <c r="Q150" t="s">
        <v>301</v>
      </c>
      <c r="R150">
        <v>170525</v>
      </c>
    </row>
    <row r="151" spans="2:18">
      <c r="B151" t="s">
        <v>11</v>
      </c>
      <c r="C151">
        <v>330423337</v>
      </c>
      <c r="D151" t="s">
        <v>54</v>
      </c>
      <c r="E151">
        <v>65</v>
      </c>
      <c r="F151">
        <v>65</v>
      </c>
      <c r="J151" s="209">
        <v>45693</v>
      </c>
      <c r="K151" s="209">
        <v>45693</v>
      </c>
      <c r="M151" t="s">
        <v>11</v>
      </c>
      <c r="N151">
        <v>330423337</v>
      </c>
      <c r="O151">
        <v>170525</v>
      </c>
      <c r="Q151" t="s">
        <v>302</v>
      </c>
      <c r="R151">
        <v>170525</v>
      </c>
    </row>
    <row r="152" spans="2:18">
      <c r="B152" t="s">
        <v>11</v>
      </c>
      <c r="C152">
        <v>330423338</v>
      </c>
      <c r="D152" t="s">
        <v>54</v>
      </c>
      <c r="E152">
        <v>55</v>
      </c>
      <c r="F152">
        <v>55</v>
      </c>
      <c r="J152" s="209">
        <v>45693</v>
      </c>
      <c r="K152" s="209">
        <v>45693</v>
      </c>
      <c r="M152" t="s">
        <v>11</v>
      </c>
      <c r="N152">
        <v>330423338</v>
      </c>
      <c r="O152">
        <v>170525</v>
      </c>
      <c r="Q152" t="s">
        <v>303</v>
      </c>
      <c r="R152">
        <v>170525</v>
      </c>
    </row>
    <row r="153" spans="2:18">
      <c r="B153" t="s">
        <v>11</v>
      </c>
      <c r="C153">
        <v>330423339</v>
      </c>
      <c r="D153" t="s">
        <v>54</v>
      </c>
      <c r="E153">
        <v>124.15</v>
      </c>
      <c r="F153">
        <v>124.15</v>
      </c>
      <c r="J153" s="209">
        <v>45693</v>
      </c>
      <c r="K153" s="209">
        <v>45693</v>
      </c>
      <c r="M153" t="s">
        <v>11</v>
      </c>
      <c r="N153">
        <v>330423339</v>
      </c>
      <c r="O153">
        <v>170525</v>
      </c>
      <c r="Q153" t="s">
        <v>304</v>
      </c>
      <c r="R153">
        <v>170525</v>
      </c>
    </row>
    <row r="154" spans="2:18">
      <c r="B154" t="s">
        <v>11</v>
      </c>
      <c r="C154">
        <v>330423340</v>
      </c>
      <c r="D154" t="s">
        <v>54</v>
      </c>
      <c r="E154">
        <v>455.24</v>
      </c>
      <c r="F154">
        <v>455.24</v>
      </c>
      <c r="J154" s="209">
        <v>45693</v>
      </c>
      <c r="K154" s="209">
        <v>45693</v>
      </c>
      <c r="M154" t="s">
        <v>11</v>
      </c>
      <c r="N154">
        <v>330423340</v>
      </c>
      <c r="O154">
        <v>170525</v>
      </c>
      <c r="Q154" t="s">
        <v>305</v>
      </c>
      <c r="R154">
        <v>170525</v>
      </c>
    </row>
    <row r="155" spans="2:18">
      <c r="B155" t="s">
        <v>11</v>
      </c>
      <c r="C155">
        <v>330423341</v>
      </c>
      <c r="D155" t="s">
        <v>54</v>
      </c>
      <c r="E155">
        <v>720.23</v>
      </c>
      <c r="F155">
        <v>720.23</v>
      </c>
      <c r="J155" s="209">
        <v>45693</v>
      </c>
      <c r="K155" s="209">
        <v>45693</v>
      </c>
      <c r="M155" t="s">
        <v>11</v>
      </c>
      <c r="N155">
        <v>330423341</v>
      </c>
      <c r="O155">
        <v>170525</v>
      </c>
      <c r="Q155" t="s">
        <v>77</v>
      </c>
      <c r="R155">
        <v>170525</v>
      </c>
    </row>
    <row r="156" spans="2:18">
      <c r="B156" t="s">
        <v>11</v>
      </c>
      <c r="C156">
        <v>330423342</v>
      </c>
      <c r="D156" t="s">
        <v>54</v>
      </c>
      <c r="E156">
        <v>464</v>
      </c>
      <c r="F156">
        <v>464</v>
      </c>
      <c r="J156" s="209">
        <v>45693</v>
      </c>
      <c r="K156" s="209">
        <v>45693</v>
      </c>
      <c r="M156" t="s">
        <v>11</v>
      </c>
      <c r="N156">
        <v>330423342</v>
      </c>
      <c r="O156">
        <v>170525</v>
      </c>
      <c r="Q156" t="s">
        <v>306</v>
      </c>
      <c r="R156">
        <v>170525</v>
      </c>
    </row>
    <row r="157" spans="2:18">
      <c r="B157" t="s">
        <v>11</v>
      </c>
      <c r="C157">
        <v>330423343</v>
      </c>
      <c r="D157" t="s">
        <v>54</v>
      </c>
      <c r="E157">
        <v>27.6</v>
      </c>
      <c r="F157">
        <v>27.6</v>
      </c>
      <c r="J157" s="209">
        <v>45693</v>
      </c>
      <c r="K157" s="209">
        <v>45693</v>
      </c>
      <c r="M157" t="s">
        <v>11</v>
      </c>
      <c r="N157">
        <v>330423343</v>
      </c>
      <c r="O157">
        <v>170525</v>
      </c>
      <c r="Q157" t="s">
        <v>307</v>
      </c>
      <c r="R157">
        <v>170525</v>
      </c>
    </row>
    <row r="158" spans="2:18">
      <c r="B158" t="s">
        <v>11</v>
      </c>
      <c r="C158">
        <v>330423344</v>
      </c>
      <c r="D158" t="s">
        <v>54</v>
      </c>
      <c r="E158">
        <v>922.48</v>
      </c>
      <c r="F158">
        <v>922.48</v>
      </c>
      <c r="J158" s="209">
        <v>45693</v>
      </c>
      <c r="K158" s="209">
        <v>45693</v>
      </c>
      <c r="M158" t="s">
        <v>11</v>
      </c>
      <c r="N158">
        <v>330423344</v>
      </c>
      <c r="O158">
        <v>170525</v>
      </c>
      <c r="Q158" t="s">
        <v>308</v>
      </c>
      <c r="R158">
        <v>170525</v>
      </c>
    </row>
    <row r="159" spans="2:18">
      <c r="B159" t="s">
        <v>11</v>
      </c>
      <c r="C159">
        <v>330423345</v>
      </c>
      <c r="D159" t="s">
        <v>54</v>
      </c>
      <c r="E159">
        <v>432.26</v>
      </c>
      <c r="F159">
        <v>432.26</v>
      </c>
      <c r="J159" s="209">
        <v>45693</v>
      </c>
      <c r="K159" s="209">
        <v>45693</v>
      </c>
      <c r="M159" t="s">
        <v>11</v>
      </c>
      <c r="N159">
        <v>330423345</v>
      </c>
      <c r="O159">
        <v>170525</v>
      </c>
      <c r="Q159" t="s">
        <v>79</v>
      </c>
      <c r="R159">
        <v>170525</v>
      </c>
    </row>
    <row r="160" spans="2:18">
      <c r="B160" t="s">
        <v>11</v>
      </c>
      <c r="C160">
        <v>330423346</v>
      </c>
      <c r="D160" t="s">
        <v>54</v>
      </c>
      <c r="E160">
        <v>46</v>
      </c>
      <c r="F160">
        <v>46</v>
      </c>
      <c r="J160" s="209">
        <v>45693</v>
      </c>
      <c r="K160" s="209">
        <v>45693</v>
      </c>
      <c r="M160" t="s">
        <v>11</v>
      </c>
      <c r="N160">
        <v>330423346</v>
      </c>
      <c r="O160">
        <v>170525</v>
      </c>
      <c r="Q160" t="s">
        <v>309</v>
      </c>
      <c r="R160">
        <v>170525</v>
      </c>
    </row>
    <row r="161" spans="2:18">
      <c r="B161" t="s">
        <v>11</v>
      </c>
      <c r="C161">
        <v>330423347</v>
      </c>
      <c r="D161" t="s">
        <v>54</v>
      </c>
      <c r="E161">
        <v>313.95</v>
      </c>
      <c r="F161">
        <v>313.95</v>
      </c>
      <c r="J161" s="209">
        <v>45693</v>
      </c>
      <c r="K161" s="209">
        <v>45693</v>
      </c>
      <c r="M161" t="s">
        <v>11</v>
      </c>
      <c r="N161">
        <v>330423347</v>
      </c>
      <c r="O161">
        <v>170525</v>
      </c>
      <c r="Q161" t="s">
        <v>310</v>
      </c>
      <c r="R161">
        <v>170525</v>
      </c>
    </row>
    <row r="162" spans="2:18">
      <c r="B162" t="s">
        <v>11</v>
      </c>
      <c r="C162">
        <v>330423348</v>
      </c>
      <c r="D162" t="s">
        <v>54</v>
      </c>
      <c r="E162">
        <v>141</v>
      </c>
      <c r="F162">
        <v>141</v>
      </c>
      <c r="J162" s="209">
        <v>45693</v>
      </c>
      <c r="K162" s="209">
        <v>45693</v>
      </c>
      <c r="M162" t="s">
        <v>11</v>
      </c>
      <c r="N162">
        <v>330423348</v>
      </c>
      <c r="O162">
        <v>170525</v>
      </c>
      <c r="Q162" t="s">
        <v>311</v>
      </c>
      <c r="R162">
        <v>170525</v>
      </c>
    </row>
    <row r="163" spans="2:18">
      <c r="B163" t="s">
        <v>11</v>
      </c>
      <c r="C163">
        <v>330423349</v>
      </c>
      <c r="D163" t="s">
        <v>54</v>
      </c>
      <c r="E163">
        <v>102.41</v>
      </c>
      <c r="F163">
        <v>102.41</v>
      </c>
      <c r="J163" s="209">
        <v>45693</v>
      </c>
      <c r="K163" s="209">
        <v>45693</v>
      </c>
      <c r="M163" t="s">
        <v>11</v>
      </c>
      <c r="N163">
        <v>330423349</v>
      </c>
      <c r="O163">
        <v>170525</v>
      </c>
      <c r="Q163" t="s">
        <v>80</v>
      </c>
      <c r="R163">
        <v>170525</v>
      </c>
    </row>
    <row r="164" spans="2:18">
      <c r="B164" t="s">
        <v>11</v>
      </c>
      <c r="C164">
        <v>330423350</v>
      </c>
      <c r="D164" t="s">
        <v>54</v>
      </c>
      <c r="E164" s="202">
        <v>1590.38</v>
      </c>
      <c r="F164">
        <v>1590.38</v>
      </c>
      <c r="J164" s="209">
        <v>45693</v>
      </c>
      <c r="K164" s="209">
        <v>45693</v>
      </c>
      <c r="M164" t="s">
        <v>11</v>
      </c>
      <c r="N164">
        <v>330423350</v>
      </c>
      <c r="O164">
        <v>170525</v>
      </c>
      <c r="Q164" t="s">
        <v>312</v>
      </c>
      <c r="R164">
        <v>170525</v>
      </c>
    </row>
    <row r="165" spans="2:18">
      <c r="B165" t="s">
        <v>11</v>
      </c>
      <c r="C165">
        <v>330423351</v>
      </c>
      <c r="D165" t="s">
        <v>54</v>
      </c>
      <c r="E165">
        <v>432.26</v>
      </c>
      <c r="F165">
        <v>432.26</v>
      </c>
      <c r="J165" s="209">
        <v>45693</v>
      </c>
      <c r="K165" s="209">
        <v>45693</v>
      </c>
      <c r="M165" t="s">
        <v>11</v>
      </c>
      <c r="N165">
        <v>330423351</v>
      </c>
      <c r="O165">
        <v>170525</v>
      </c>
      <c r="Q165" t="s">
        <v>81</v>
      </c>
      <c r="R165">
        <v>170525</v>
      </c>
    </row>
    <row r="166" spans="2:18">
      <c r="B166" t="s">
        <v>11</v>
      </c>
      <c r="C166">
        <v>330423352</v>
      </c>
      <c r="D166" t="s">
        <v>54</v>
      </c>
      <c r="E166">
        <v>166</v>
      </c>
      <c r="F166">
        <v>166</v>
      </c>
      <c r="J166" s="209">
        <v>45693</v>
      </c>
      <c r="K166" s="209">
        <v>45693</v>
      </c>
      <c r="M166" t="s">
        <v>11</v>
      </c>
      <c r="N166">
        <v>330423352</v>
      </c>
      <c r="O166">
        <v>170525</v>
      </c>
      <c r="Q166" t="s">
        <v>313</v>
      </c>
      <c r="R166">
        <v>170525</v>
      </c>
    </row>
    <row r="167" spans="2:18">
      <c r="B167" t="s">
        <v>11</v>
      </c>
      <c r="C167">
        <v>330423353</v>
      </c>
      <c r="D167" t="s">
        <v>54</v>
      </c>
      <c r="E167">
        <v>110.34</v>
      </c>
      <c r="F167">
        <v>110.34</v>
      </c>
      <c r="J167" s="209">
        <v>45693</v>
      </c>
      <c r="K167" s="209">
        <v>45693</v>
      </c>
      <c r="M167" t="s">
        <v>11</v>
      </c>
      <c r="N167">
        <v>330423353</v>
      </c>
      <c r="O167">
        <v>170525</v>
      </c>
      <c r="Q167" t="s">
        <v>314</v>
      </c>
      <c r="R167">
        <v>170525</v>
      </c>
    </row>
    <row r="168" spans="2:18">
      <c r="B168" t="s">
        <v>11</v>
      </c>
      <c r="C168">
        <v>330423354</v>
      </c>
      <c r="D168" t="s">
        <v>54</v>
      </c>
      <c r="E168">
        <v>124.99</v>
      </c>
      <c r="F168">
        <v>124.99</v>
      </c>
      <c r="J168" s="209">
        <v>45693</v>
      </c>
      <c r="K168" s="209">
        <v>45693</v>
      </c>
      <c r="M168" t="s">
        <v>11</v>
      </c>
      <c r="N168">
        <v>330423354</v>
      </c>
      <c r="O168">
        <v>170525</v>
      </c>
      <c r="Q168" t="s">
        <v>315</v>
      </c>
      <c r="R168">
        <v>170525</v>
      </c>
    </row>
    <row r="169" spans="2:18">
      <c r="B169" t="s">
        <v>11</v>
      </c>
      <c r="C169">
        <v>330423355</v>
      </c>
      <c r="D169" t="s">
        <v>54</v>
      </c>
      <c r="E169">
        <v>562.4</v>
      </c>
      <c r="F169">
        <v>562.4</v>
      </c>
      <c r="J169" s="209">
        <v>45693</v>
      </c>
      <c r="K169" s="209">
        <v>45693</v>
      </c>
      <c r="M169" t="s">
        <v>11</v>
      </c>
      <c r="N169">
        <v>330423355</v>
      </c>
      <c r="O169">
        <v>170525</v>
      </c>
      <c r="Q169" t="s">
        <v>316</v>
      </c>
      <c r="R169">
        <v>170525</v>
      </c>
    </row>
    <row r="170" spans="2:18">
      <c r="B170" t="s">
        <v>11</v>
      </c>
      <c r="C170">
        <v>330423356</v>
      </c>
      <c r="D170" t="s">
        <v>54</v>
      </c>
      <c r="E170">
        <v>824.25</v>
      </c>
      <c r="F170">
        <v>824.25</v>
      </c>
      <c r="J170" s="209">
        <v>45693</v>
      </c>
      <c r="K170" s="209">
        <v>45693</v>
      </c>
      <c r="M170" t="s">
        <v>11</v>
      </c>
      <c r="N170">
        <v>330423356</v>
      </c>
      <c r="O170">
        <v>170525</v>
      </c>
      <c r="Q170" t="s">
        <v>317</v>
      </c>
      <c r="R170">
        <v>170525</v>
      </c>
    </row>
    <row r="171" spans="2:18">
      <c r="B171" t="s">
        <v>11</v>
      </c>
      <c r="C171">
        <v>330423357</v>
      </c>
      <c r="D171" t="s">
        <v>54</v>
      </c>
      <c r="E171" s="202">
        <v>1127.07</v>
      </c>
      <c r="F171">
        <v>1127.07</v>
      </c>
      <c r="J171" s="209">
        <v>45693</v>
      </c>
      <c r="K171" s="209">
        <v>45693</v>
      </c>
      <c r="M171" t="s">
        <v>11</v>
      </c>
      <c r="N171">
        <v>330423357</v>
      </c>
      <c r="O171">
        <v>170525</v>
      </c>
      <c r="Q171" t="s">
        <v>318</v>
      </c>
      <c r="R171">
        <v>170525</v>
      </c>
    </row>
    <row r="172" spans="2:18">
      <c r="B172" t="s">
        <v>11</v>
      </c>
      <c r="C172">
        <v>330423358</v>
      </c>
      <c r="D172" t="s">
        <v>54</v>
      </c>
      <c r="E172">
        <v>910.48</v>
      </c>
      <c r="F172">
        <v>910.48</v>
      </c>
      <c r="J172" s="209">
        <v>45693</v>
      </c>
      <c r="K172" s="209">
        <v>45693</v>
      </c>
      <c r="M172" t="s">
        <v>11</v>
      </c>
      <c r="N172">
        <v>330423358</v>
      </c>
      <c r="O172">
        <v>170525</v>
      </c>
      <c r="Q172" t="s">
        <v>319</v>
      </c>
      <c r="R172">
        <v>170525</v>
      </c>
    </row>
    <row r="173" spans="2:18">
      <c r="B173" t="s">
        <v>11</v>
      </c>
      <c r="C173">
        <v>330423359</v>
      </c>
      <c r="D173" t="s">
        <v>54</v>
      </c>
      <c r="E173">
        <v>67.900000000000006</v>
      </c>
      <c r="F173">
        <v>67.900000000000006</v>
      </c>
      <c r="J173" s="209">
        <v>45693</v>
      </c>
      <c r="K173" s="209">
        <v>45693</v>
      </c>
      <c r="M173" t="s">
        <v>11</v>
      </c>
      <c r="N173">
        <v>330423359</v>
      </c>
      <c r="O173">
        <v>170525</v>
      </c>
      <c r="Q173" t="s">
        <v>320</v>
      </c>
      <c r="R173">
        <v>170525</v>
      </c>
    </row>
    <row r="174" spans="2:18">
      <c r="B174" t="s">
        <v>11</v>
      </c>
      <c r="C174">
        <v>330423360</v>
      </c>
      <c r="D174" t="s">
        <v>54</v>
      </c>
      <c r="E174">
        <v>400</v>
      </c>
      <c r="F174">
        <v>400</v>
      </c>
      <c r="J174" s="209">
        <v>45693</v>
      </c>
      <c r="K174" s="209">
        <v>45693</v>
      </c>
      <c r="M174" t="s">
        <v>11</v>
      </c>
      <c r="N174">
        <v>330423360</v>
      </c>
      <c r="O174">
        <v>170525</v>
      </c>
      <c r="Q174" t="s">
        <v>321</v>
      </c>
      <c r="R174">
        <v>170525</v>
      </c>
    </row>
    <row r="175" spans="2:18">
      <c r="B175" t="s">
        <v>11</v>
      </c>
      <c r="C175">
        <v>330423361</v>
      </c>
      <c r="D175" t="s">
        <v>54</v>
      </c>
      <c r="E175">
        <v>19</v>
      </c>
      <c r="F175">
        <v>19</v>
      </c>
      <c r="J175" s="209">
        <v>45693</v>
      </c>
      <c r="K175" s="209">
        <v>45693</v>
      </c>
      <c r="M175" t="s">
        <v>11</v>
      </c>
      <c r="N175">
        <v>330423361</v>
      </c>
      <c r="O175">
        <v>170525</v>
      </c>
      <c r="Q175" t="s">
        <v>322</v>
      </c>
      <c r="R175">
        <v>170525</v>
      </c>
    </row>
    <row r="176" spans="2:18">
      <c r="B176" t="s">
        <v>11</v>
      </c>
      <c r="C176">
        <v>330423362</v>
      </c>
      <c r="D176" t="s">
        <v>54</v>
      </c>
      <c r="E176">
        <v>103</v>
      </c>
      <c r="F176">
        <v>103</v>
      </c>
      <c r="J176" s="209">
        <v>45693</v>
      </c>
      <c r="K176" s="209">
        <v>45693</v>
      </c>
      <c r="M176" t="s">
        <v>11</v>
      </c>
      <c r="N176">
        <v>330423362</v>
      </c>
      <c r="O176">
        <v>170525</v>
      </c>
      <c r="Q176" t="s">
        <v>323</v>
      </c>
      <c r="R176">
        <v>170525</v>
      </c>
    </row>
    <row r="177" spans="2:18">
      <c r="B177" t="s">
        <v>11</v>
      </c>
      <c r="C177">
        <v>330423363</v>
      </c>
      <c r="D177" t="s">
        <v>54</v>
      </c>
      <c r="E177">
        <v>890</v>
      </c>
      <c r="F177">
        <v>890</v>
      </c>
      <c r="J177" s="209">
        <v>45693</v>
      </c>
      <c r="K177" s="209">
        <v>45693</v>
      </c>
      <c r="M177" t="s">
        <v>11</v>
      </c>
      <c r="N177">
        <v>330423363</v>
      </c>
      <c r="O177">
        <v>170525</v>
      </c>
      <c r="Q177" t="s">
        <v>324</v>
      </c>
      <c r="R177">
        <v>170525</v>
      </c>
    </row>
    <row r="178" spans="2:18">
      <c r="B178" t="s">
        <v>11</v>
      </c>
      <c r="C178">
        <v>330423364</v>
      </c>
      <c r="D178" t="s">
        <v>54</v>
      </c>
      <c r="E178">
        <v>969.03</v>
      </c>
      <c r="F178">
        <v>969.03</v>
      </c>
      <c r="J178" s="209">
        <v>45693</v>
      </c>
      <c r="K178" s="209">
        <v>45693</v>
      </c>
      <c r="M178" t="s">
        <v>11</v>
      </c>
      <c r="N178">
        <v>330423364</v>
      </c>
      <c r="O178">
        <v>170525</v>
      </c>
      <c r="Q178" t="s">
        <v>325</v>
      </c>
      <c r="R178">
        <v>170525</v>
      </c>
    </row>
    <row r="179" spans="2:18">
      <c r="B179" t="s">
        <v>11</v>
      </c>
      <c r="C179">
        <v>330423365</v>
      </c>
      <c r="D179" t="s">
        <v>54</v>
      </c>
      <c r="E179">
        <v>358</v>
      </c>
      <c r="F179">
        <v>358</v>
      </c>
      <c r="J179" s="209">
        <v>45693</v>
      </c>
      <c r="K179" s="209">
        <v>45693</v>
      </c>
      <c r="M179" t="s">
        <v>11</v>
      </c>
      <c r="N179">
        <v>330423365</v>
      </c>
      <c r="O179">
        <v>170525</v>
      </c>
      <c r="Q179" t="s">
        <v>326</v>
      </c>
      <c r="R179">
        <v>170525</v>
      </c>
    </row>
    <row r="180" spans="2:18">
      <c r="B180" t="s">
        <v>11</v>
      </c>
      <c r="C180">
        <v>330423366</v>
      </c>
      <c r="D180" t="s">
        <v>54</v>
      </c>
      <c r="E180">
        <v>148.34</v>
      </c>
      <c r="F180">
        <v>148.34</v>
      </c>
      <c r="J180" s="209">
        <v>45693</v>
      </c>
      <c r="K180" s="209">
        <v>45693</v>
      </c>
      <c r="M180" t="s">
        <v>11</v>
      </c>
      <c r="N180">
        <v>330423366</v>
      </c>
      <c r="O180">
        <v>170525</v>
      </c>
      <c r="Q180" t="s">
        <v>327</v>
      </c>
      <c r="R180">
        <v>170525</v>
      </c>
    </row>
    <row r="181" spans="2:18">
      <c r="B181" t="s">
        <v>11</v>
      </c>
      <c r="C181">
        <v>330423367</v>
      </c>
      <c r="D181" t="s">
        <v>54</v>
      </c>
      <c r="E181">
        <v>175</v>
      </c>
      <c r="F181">
        <v>175</v>
      </c>
      <c r="J181" s="209">
        <v>45693</v>
      </c>
      <c r="K181" s="209">
        <v>45693</v>
      </c>
      <c r="M181" t="s">
        <v>11</v>
      </c>
      <c r="N181">
        <v>330423367</v>
      </c>
      <c r="O181">
        <v>170525</v>
      </c>
      <c r="Q181" t="s">
        <v>328</v>
      </c>
      <c r="R181">
        <v>170525</v>
      </c>
    </row>
    <row r="182" spans="2:18">
      <c r="B182" t="s">
        <v>11</v>
      </c>
      <c r="C182">
        <v>330423368</v>
      </c>
      <c r="D182" t="s">
        <v>54</v>
      </c>
      <c r="E182">
        <v>180.72</v>
      </c>
      <c r="F182">
        <v>180.72</v>
      </c>
      <c r="J182" s="209">
        <v>45693</v>
      </c>
      <c r="K182" s="209">
        <v>45693</v>
      </c>
      <c r="M182" t="s">
        <v>11</v>
      </c>
      <c r="N182">
        <v>330423368</v>
      </c>
      <c r="O182">
        <v>170525</v>
      </c>
      <c r="Q182" t="s">
        <v>329</v>
      </c>
      <c r="R182">
        <v>170525</v>
      </c>
    </row>
    <row r="183" spans="2:18">
      <c r="B183" t="s">
        <v>11</v>
      </c>
      <c r="C183">
        <v>330423369</v>
      </c>
      <c r="D183" t="s">
        <v>54</v>
      </c>
      <c r="E183">
        <v>432.26</v>
      </c>
      <c r="F183">
        <v>432.26</v>
      </c>
      <c r="J183" s="209">
        <v>45693</v>
      </c>
      <c r="K183" s="209">
        <v>45693</v>
      </c>
      <c r="M183" t="s">
        <v>11</v>
      </c>
      <c r="N183">
        <v>330423369</v>
      </c>
      <c r="O183">
        <v>170525</v>
      </c>
      <c r="Q183" t="s">
        <v>330</v>
      </c>
      <c r="R183">
        <v>170525</v>
      </c>
    </row>
    <row r="184" spans="2:18">
      <c r="B184" t="s">
        <v>11</v>
      </c>
      <c r="C184">
        <v>330423370</v>
      </c>
      <c r="D184" t="s">
        <v>54</v>
      </c>
      <c r="E184">
        <v>139</v>
      </c>
      <c r="F184">
        <v>139</v>
      </c>
      <c r="J184" s="209">
        <v>45693</v>
      </c>
      <c r="K184" s="209">
        <v>45693</v>
      </c>
      <c r="M184" t="s">
        <v>11</v>
      </c>
      <c r="N184">
        <v>330423370</v>
      </c>
      <c r="O184">
        <v>170525</v>
      </c>
      <c r="Q184" t="s">
        <v>331</v>
      </c>
      <c r="R184">
        <v>170525</v>
      </c>
    </row>
    <row r="185" spans="2:18">
      <c r="B185" t="s">
        <v>11</v>
      </c>
      <c r="C185">
        <v>330423371</v>
      </c>
      <c r="D185" t="s">
        <v>54</v>
      </c>
      <c r="E185">
        <v>99.98</v>
      </c>
      <c r="F185">
        <v>99.98</v>
      </c>
      <c r="J185" s="209">
        <v>45693</v>
      </c>
      <c r="K185" s="209">
        <v>45693</v>
      </c>
      <c r="M185" t="s">
        <v>11</v>
      </c>
      <c r="N185">
        <v>330423371</v>
      </c>
      <c r="O185">
        <v>170525</v>
      </c>
      <c r="Q185" t="s">
        <v>332</v>
      </c>
      <c r="R185">
        <v>170525</v>
      </c>
    </row>
    <row r="186" spans="2:18">
      <c r="B186" t="s">
        <v>11</v>
      </c>
      <c r="C186">
        <v>330423372</v>
      </c>
      <c r="D186" t="s">
        <v>54</v>
      </c>
      <c r="E186">
        <v>288</v>
      </c>
      <c r="F186">
        <v>288</v>
      </c>
      <c r="J186" s="209">
        <v>45693</v>
      </c>
      <c r="K186" s="209">
        <v>45693</v>
      </c>
      <c r="M186" t="s">
        <v>11</v>
      </c>
      <c r="N186">
        <v>330423372</v>
      </c>
      <c r="O186">
        <v>170525</v>
      </c>
      <c r="Q186" t="s">
        <v>333</v>
      </c>
      <c r="R186">
        <v>170525</v>
      </c>
    </row>
    <row r="187" spans="2:18">
      <c r="B187" t="s">
        <v>11</v>
      </c>
      <c r="C187">
        <v>330423373</v>
      </c>
      <c r="D187" t="s">
        <v>54</v>
      </c>
      <c r="E187">
        <v>37.67</v>
      </c>
      <c r="F187">
        <v>37.67</v>
      </c>
      <c r="J187" s="209">
        <v>45693</v>
      </c>
      <c r="K187" s="209">
        <v>45693</v>
      </c>
      <c r="M187" t="s">
        <v>11</v>
      </c>
      <c r="N187">
        <v>330423373</v>
      </c>
      <c r="O187">
        <v>170525</v>
      </c>
      <c r="Q187" t="s">
        <v>334</v>
      </c>
      <c r="R187">
        <v>170525</v>
      </c>
    </row>
    <row r="188" spans="2:18">
      <c r="B188" t="s">
        <v>11</v>
      </c>
      <c r="C188">
        <v>330423374</v>
      </c>
      <c r="D188" t="s">
        <v>54</v>
      </c>
      <c r="E188">
        <v>118.37</v>
      </c>
      <c r="F188">
        <v>118.37</v>
      </c>
      <c r="J188" s="209">
        <v>45693</v>
      </c>
      <c r="K188" s="209">
        <v>45693</v>
      </c>
      <c r="M188" t="s">
        <v>11</v>
      </c>
      <c r="N188">
        <v>330423374</v>
      </c>
      <c r="O188">
        <v>170525</v>
      </c>
      <c r="Q188" t="s">
        <v>335</v>
      </c>
      <c r="R188">
        <v>170525</v>
      </c>
    </row>
    <row r="189" spans="2:18">
      <c r="B189" t="s">
        <v>11</v>
      </c>
      <c r="C189">
        <v>330423375</v>
      </c>
      <c r="D189" t="s">
        <v>54</v>
      </c>
      <c r="E189">
        <v>313.95</v>
      </c>
      <c r="F189">
        <v>313.95</v>
      </c>
      <c r="J189" s="209">
        <v>45693</v>
      </c>
      <c r="K189" s="209">
        <v>45693</v>
      </c>
      <c r="M189" t="s">
        <v>11</v>
      </c>
      <c r="N189">
        <v>330423375</v>
      </c>
      <c r="O189">
        <v>170525</v>
      </c>
      <c r="Q189" t="s">
        <v>336</v>
      </c>
      <c r="R189">
        <v>170525</v>
      </c>
    </row>
    <row r="190" spans="2:18">
      <c r="B190" t="s">
        <v>11</v>
      </c>
      <c r="C190">
        <v>330423376</v>
      </c>
      <c r="D190" t="s">
        <v>54</v>
      </c>
      <c r="E190">
        <v>69.53</v>
      </c>
      <c r="F190">
        <v>69.53</v>
      </c>
      <c r="J190" s="209">
        <v>45693</v>
      </c>
      <c r="K190" s="209">
        <v>45693</v>
      </c>
      <c r="M190" t="s">
        <v>11</v>
      </c>
      <c r="N190">
        <v>330423376</v>
      </c>
      <c r="O190">
        <v>170525</v>
      </c>
      <c r="Q190" t="s">
        <v>337</v>
      </c>
      <c r="R190">
        <v>170525</v>
      </c>
    </row>
    <row r="191" spans="2:18">
      <c r="B191" t="s">
        <v>11</v>
      </c>
      <c r="C191">
        <v>330423377</v>
      </c>
      <c r="D191" t="s">
        <v>54</v>
      </c>
      <c r="E191">
        <v>80.5</v>
      </c>
      <c r="F191">
        <v>80.5</v>
      </c>
      <c r="J191" s="209">
        <v>45693</v>
      </c>
      <c r="K191" s="209">
        <v>45693</v>
      </c>
      <c r="M191" t="s">
        <v>11</v>
      </c>
      <c r="N191">
        <v>330423377</v>
      </c>
      <c r="O191">
        <v>170525</v>
      </c>
      <c r="Q191" t="s">
        <v>338</v>
      </c>
      <c r="R191">
        <v>170525</v>
      </c>
    </row>
    <row r="192" spans="2:18">
      <c r="B192" t="s">
        <v>11</v>
      </c>
      <c r="C192">
        <v>330423378</v>
      </c>
      <c r="D192" t="s">
        <v>54</v>
      </c>
      <c r="E192">
        <v>450</v>
      </c>
      <c r="F192">
        <v>450</v>
      </c>
      <c r="J192" s="209">
        <v>45693</v>
      </c>
      <c r="K192" s="209">
        <v>45693</v>
      </c>
      <c r="M192" t="s">
        <v>11</v>
      </c>
      <c r="N192">
        <v>330423378</v>
      </c>
      <c r="O192">
        <v>170525</v>
      </c>
      <c r="Q192" t="s">
        <v>339</v>
      </c>
      <c r="R192">
        <v>170525</v>
      </c>
    </row>
    <row r="193" spans="2:18">
      <c r="B193" t="s">
        <v>11</v>
      </c>
      <c r="C193">
        <v>330423379</v>
      </c>
      <c r="D193" t="s">
        <v>54</v>
      </c>
      <c r="E193">
        <v>18.39</v>
      </c>
      <c r="F193">
        <v>18.39</v>
      </c>
      <c r="J193" s="209">
        <v>45693</v>
      </c>
      <c r="K193" s="209">
        <v>45693</v>
      </c>
      <c r="M193" t="s">
        <v>11</v>
      </c>
      <c r="N193">
        <v>330423379</v>
      </c>
      <c r="O193">
        <v>170525</v>
      </c>
      <c r="Q193" t="s">
        <v>340</v>
      </c>
      <c r="R193">
        <v>170525</v>
      </c>
    </row>
    <row r="194" spans="2:18">
      <c r="B194" t="s">
        <v>11</v>
      </c>
      <c r="C194">
        <v>330423380</v>
      </c>
      <c r="D194" t="s">
        <v>54</v>
      </c>
      <c r="E194">
        <v>455.24</v>
      </c>
      <c r="F194">
        <v>455.24</v>
      </c>
      <c r="J194" s="209">
        <v>45693</v>
      </c>
      <c r="K194" s="209">
        <v>45693</v>
      </c>
      <c r="M194" t="s">
        <v>11</v>
      </c>
      <c r="N194">
        <v>330423380</v>
      </c>
      <c r="O194">
        <v>170525</v>
      </c>
      <c r="Q194" t="s">
        <v>341</v>
      </c>
      <c r="R194">
        <v>170525</v>
      </c>
    </row>
    <row r="195" spans="2:18">
      <c r="B195" t="s">
        <v>11</v>
      </c>
      <c r="C195">
        <v>330423381</v>
      </c>
      <c r="D195" t="s">
        <v>54</v>
      </c>
      <c r="E195">
        <v>35.799999999999997</v>
      </c>
      <c r="F195">
        <v>35.799999999999997</v>
      </c>
      <c r="J195" s="209">
        <v>45693</v>
      </c>
      <c r="K195" s="209">
        <v>45693</v>
      </c>
      <c r="M195" t="s">
        <v>11</v>
      </c>
      <c r="N195">
        <v>330423381</v>
      </c>
      <c r="O195">
        <v>170525</v>
      </c>
      <c r="Q195" t="s">
        <v>342</v>
      </c>
      <c r="R195">
        <v>170525</v>
      </c>
    </row>
    <row r="196" spans="2:18">
      <c r="B196" t="s">
        <v>11</v>
      </c>
      <c r="C196">
        <v>330423382</v>
      </c>
      <c r="D196" t="s">
        <v>54</v>
      </c>
      <c r="E196">
        <v>657.69</v>
      </c>
      <c r="F196">
        <v>657.69</v>
      </c>
      <c r="J196" s="209">
        <v>45693</v>
      </c>
      <c r="K196" s="209">
        <v>45693</v>
      </c>
      <c r="M196" t="s">
        <v>11</v>
      </c>
      <c r="N196">
        <v>330423382</v>
      </c>
      <c r="O196">
        <v>170525</v>
      </c>
      <c r="Q196" t="s">
        <v>343</v>
      </c>
      <c r="R196">
        <v>170525</v>
      </c>
    </row>
    <row r="197" spans="2:18">
      <c r="B197" t="s">
        <v>11</v>
      </c>
      <c r="C197">
        <v>330423383</v>
      </c>
      <c r="D197" t="s">
        <v>54</v>
      </c>
      <c r="E197">
        <v>455.24</v>
      </c>
      <c r="F197">
        <v>455.24</v>
      </c>
      <c r="J197" s="209">
        <v>45693</v>
      </c>
      <c r="K197" s="209">
        <v>45693</v>
      </c>
      <c r="M197" t="s">
        <v>11</v>
      </c>
      <c r="N197">
        <v>330423383</v>
      </c>
      <c r="O197">
        <v>170525</v>
      </c>
      <c r="Q197" t="s">
        <v>344</v>
      </c>
      <c r="R197">
        <v>170525</v>
      </c>
    </row>
    <row r="198" spans="2:18">
      <c r="B198" t="s">
        <v>11</v>
      </c>
      <c r="C198">
        <v>330423384</v>
      </c>
      <c r="D198" t="s">
        <v>54</v>
      </c>
      <c r="E198">
        <v>12</v>
      </c>
      <c r="F198">
        <v>12</v>
      </c>
      <c r="J198" s="209">
        <v>45693</v>
      </c>
      <c r="K198" s="209">
        <v>45693</v>
      </c>
      <c r="M198" t="s">
        <v>11</v>
      </c>
      <c r="N198">
        <v>330423384</v>
      </c>
      <c r="O198">
        <v>170525</v>
      </c>
      <c r="Q198" t="s">
        <v>345</v>
      </c>
      <c r="R198">
        <v>170525</v>
      </c>
    </row>
    <row r="199" spans="2:18">
      <c r="B199" t="s">
        <v>11</v>
      </c>
      <c r="C199">
        <v>330423385</v>
      </c>
      <c r="D199" t="s">
        <v>54</v>
      </c>
      <c r="E199">
        <v>108</v>
      </c>
      <c r="F199">
        <v>108</v>
      </c>
      <c r="J199" s="209">
        <v>45693</v>
      </c>
      <c r="K199" s="209">
        <v>45693</v>
      </c>
      <c r="M199" t="s">
        <v>11</v>
      </c>
      <c r="N199">
        <v>330423385</v>
      </c>
      <c r="O199">
        <v>170525</v>
      </c>
      <c r="Q199" t="s">
        <v>346</v>
      </c>
      <c r="R199">
        <v>170525</v>
      </c>
    </row>
    <row r="200" spans="2:18">
      <c r="B200" t="s">
        <v>11</v>
      </c>
      <c r="C200">
        <v>330423386</v>
      </c>
      <c r="D200" t="s">
        <v>54</v>
      </c>
      <c r="E200" s="202">
        <v>1518</v>
      </c>
      <c r="F200">
        <v>1518</v>
      </c>
      <c r="J200" s="209">
        <v>45693</v>
      </c>
      <c r="K200" s="209">
        <v>45693</v>
      </c>
      <c r="M200" t="s">
        <v>11</v>
      </c>
      <c r="N200">
        <v>330423386</v>
      </c>
      <c r="O200">
        <v>170525</v>
      </c>
      <c r="Q200" t="s">
        <v>104</v>
      </c>
      <c r="R200">
        <v>170525</v>
      </c>
    </row>
    <row r="201" spans="2:18">
      <c r="B201" t="s">
        <v>11</v>
      </c>
      <c r="C201">
        <v>330423387</v>
      </c>
      <c r="D201" t="s">
        <v>54</v>
      </c>
      <c r="E201">
        <v>135.1</v>
      </c>
      <c r="F201">
        <v>135.1</v>
      </c>
      <c r="J201" s="209">
        <v>45693</v>
      </c>
      <c r="K201" s="209">
        <v>45693</v>
      </c>
      <c r="M201" t="s">
        <v>11</v>
      </c>
      <c r="N201">
        <v>330423387</v>
      </c>
      <c r="O201">
        <v>170525</v>
      </c>
      <c r="Q201" t="s">
        <v>105</v>
      </c>
      <c r="R201">
        <v>170525</v>
      </c>
    </row>
    <row r="202" spans="2:18">
      <c r="B202" t="s">
        <v>11</v>
      </c>
      <c r="C202">
        <v>330423388</v>
      </c>
      <c r="D202" t="s">
        <v>54</v>
      </c>
      <c r="E202">
        <v>55.39</v>
      </c>
      <c r="F202">
        <v>55.39</v>
      </c>
      <c r="J202" s="209">
        <v>45693</v>
      </c>
      <c r="K202" s="209">
        <v>45693</v>
      </c>
      <c r="M202" t="s">
        <v>11</v>
      </c>
      <c r="N202">
        <v>330423388</v>
      </c>
      <c r="O202">
        <v>170525</v>
      </c>
      <c r="Q202" t="s">
        <v>347</v>
      </c>
      <c r="R202">
        <v>170525</v>
      </c>
    </row>
    <row r="203" spans="2:18">
      <c r="B203" t="s">
        <v>11</v>
      </c>
      <c r="C203">
        <v>330423389</v>
      </c>
      <c r="D203" t="s">
        <v>54</v>
      </c>
      <c r="E203">
        <v>336</v>
      </c>
      <c r="F203">
        <v>336</v>
      </c>
      <c r="J203" s="209">
        <v>45693</v>
      </c>
      <c r="K203" s="209">
        <v>45693</v>
      </c>
      <c r="M203" t="s">
        <v>11</v>
      </c>
      <c r="N203">
        <v>330423389</v>
      </c>
      <c r="O203">
        <v>170525</v>
      </c>
      <c r="Q203" t="s">
        <v>348</v>
      </c>
      <c r="R203">
        <v>170525</v>
      </c>
    </row>
    <row r="204" spans="2:18">
      <c r="B204" t="s">
        <v>11</v>
      </c>
      <c r="C204">
        <v>330423390</v>
      </c>
      <c r="D204" t="s">
        <v>54</v>
      </c>
      <c r="E204">
        <v>326.62</v>
      </c>
      <c r="F204">
        <v>326.62</v>
      </c>
      <c r="J204" s="209">
        <v>45693</v>
      </c>
      <c r="K204" s="209">
        <v>45693</v>
      </c>
      <c r="M204" t="s">
        <v>11</v>
      </c>
      <c r="N204">
        <v>330423390</v>
      </c>
      <c r="O204">
        <v>170525</v>
      </c>
      <c r="Q204" t="s">
        <v>349</v>
      </c>
      <c r="R204">
        <v>170525</v>
      </c>
    </row>
    <row r="205" spans="2:18">
      <c r="B205" t="s">
        <v>11</v>
      </c>
      <c r="C205">
        <v>330423391</v>
      </c>
      <c r="D205" t="s">
        <v>54</v>
      </c>
      <c r="E205">
        <v>902.28</v>
      </c>
      <c r="F205">
        <v>902.28</v>
      </c>
      <c r="J205" s="209">
        <v>45693</v>
      </c>
      <c r="K205" s="209">
        <v>45693</v>
      </c>
      <c r="M205" t="s">
        <v>11</v>
      </c>
      <c r="N205">
        <v>330423391</v>
      </c>
      <c r="O205">
        <v>170525</v>
      </c>
      <c r="Q205" t="s">
        <v>350</v>
      </c>
      <c r="R205">
        <v>170525</v>
      </c>
    </row>
    <row r="206" spans="2:18">
      <c r="B206" t="s">
        <v>11</v>
      </c>
      <c r="C206">
        <v>330423392</v>
      </c>
      <c r="D206" t="s">
        <v>54</v>
      </c>
      <c r="E206">
        <v>455.24</v>
      </c>
      <c r="F206">
        <v>455.24</v>
      </c>
      <c r="J206" s="209">
        <v>45693</v>
      </c>
      <c r="K206" s="209">
        <v>45693</v>
      </c>
      <c r="M206" t="s">
        <v>11</v>
      </c>
      <c r="N206">
        <v>330423392</v>
      </c>
      <c r="O206">
        <v>170525</v>
      </c>
      <c r="Q206" t="s">
        <v>351</v>
      </c>
      <c r="R206">
        <v>170525</v>
      </c>
    </row>
    <row r="207" spans="2:18">
      <c r="B207" t="s">
        <v>11</v>
      </c>
      <c r="C207">
        <v>330423393</v>
      </c>
      <c r="D207" t="s">
        <v>54</v>
      </c>
      <c r="E207">
        <v>12</v>
      </c>
      <c r="F207">
        <v>12</v>
      </c>
      <c r="J207" s="209">
        <v>45693</v>
      </c>
      <c r="K207" s="209">
        <v>45693</v>
      </c>
      <c r="M207" t="s">
        <v>11</v>
      </c>
      <c r="N207">
        <v>330423393</v>
      </c>
      <c r="O207">
        <v>170525</v>
      </c>
      <c r="Q207" t="s">
        <v>352</v>
      </c>
      <c r="R207">
        <v>170525</v>
      </c>
    </row>
    <row r="208" spans="2:18">
      <c r="B208" t="s">
        <v>11</v>
      </c>
      <c r="C208">
        <v>330423394</v>
      </c>
      <c r="D208" t="s">
        <v>54</v>
      </c>
      <c r="E208">
        <v>414.36</v>
      </c>
      <c r="F208">
        <v>414.36</v>
      </c>
      <c r="J208" s="209">
        <v>45693</v>
      </c>
      <c r="K208" s="209">
        <v>45693</v>
      </c>
      <c r="M208" t="s">
        <v>11</v>
      </c>
      <c r="N208">
        <v>330423394</v>
      </c>
      <c r="O208">
        <v>170525</v>
      </c>
      <c r="Q208" t="s">
        <v>353</v>
      </c>
      <c r="R208">
        <v>170525</v>
      </c>
    </row>
    <row r="209" spans="2:18">
      <c r="B209" t="s">
        <v>11</v>
      </c>
      <c r="C209">
        <v>330423395</v>
      </c>
      <c r="D209" t="s">
        <v>54</v>
      </c>
      <c r="E209">
        <v>8</v>
      </c>
      <c r="F209">
        <v>8</v>
      </c>
      <c r="J209" s="209">
        <v>45693</v>
      </c>
      <c r="K209" s="209">
        <v>45693</v>
      </c>
      <c r="M209" t="s">
        <v>11</v>
      </c>
      <c r="N209">
        <v>330423395</v>
      </c>
      <c r="O209">
        <v>170525</v>
      </c>
      <c r="Q209" t="s">
        <v>107</v>
      </c>
      <c r="R209">
        <v>170525</v>
      </c>
    </row>
    <row r="210" spans="2:18">
      <c r="B210" t="s">
        <v>11</v>
      </c>
      <c r="C210">
        <v>330423396</v>
      </c>
      <c r="D210" t="s">
        <v>54</v>
      </c>
      <c r="E210">
        <v>12</v>
      </c>
      <c r="F210">
        <v>12</v>
      </c>
      <c r="J210" s="209">
        <v>45693</v>
      </c>
      <c r="K210" s="209">
        <v>45693</v>
      </c>
      <c r="M210" t="s">
        <v>11</v>
      </c>
      <c r="N210">
        <v>330423396</v>
      </c>
      <c r="O210">
        <v>170525</v>
      </c>
      <c r="Q210" t="s">
        <v>108</v>
      </c>
      <c r="R210">
        <v>170525</v>
      </c>
    </row>
    <row r="211" spans="2:18">
      <c r="B211" t="s">
        <v>11</v>
      </c>
      <c r="C211">
        <v>330423397</v>
      </c>
      <c r="D211" t="s">
        <v>54</v>
      </c>
      <c r="E211">
        <v>137.30000000000001</v>
      </c>
      <c r="F211">
        <v>137.30000000000001</v>
      </c>
      <c r="J211" s="209">
        <v>45693</v>
      </c>
      <c r="K211" s="209">
        <v>45693</v>
      </c>
      <c r="M211" t="s">
        <v>11</v>
      </c>
      <c r="N211">
        <v>330423397</v>
      </c>
      <c r="O211">
        <v>170525</v>
      </c>
      <c r="Q211" t="s">
        <v>109</v>
      </c>
      <c r="R211">
        <v>170525</v>
      </c>
    </row>
    <row r="212" spans="2:18">
      <c r="B212" t="s">
        <v>11</v>
      </c>
      <c r="C212">
        <v>330423398</v>
      </c>
      <c r="D212" t="s">
        <v>54</v>
      </c>
      <c r="E212">
        <v>455.24</v>
      </c>
      <c r="F212">
        <v>455.24</v>
      </c>
      <c r="J212" s="209">
        <v>45693</v>
      </c>
      <c r="K212" s="209">
        <v>45693</v>
      </c>
      <c r="M212" t="s">
        <v>11</v>
      </c>
      <c r="N212">
        <v>330423398</v>
      </c>
      <c r="O212">
        <v>170525</v>
      </c>
      <c r="Q212" t="s">
        <v>354</v>
      </c>
      <c r="R212">
        <v>170525</v>
      </c>
    </row>
    <row r="213" spans="2:18">
      <c r="B213" t="s">
        <v>11</v>
      </c>
      <c r="C213">
        <v>330423399</v>
      </c>
      <c r="D213" t="s">
        <v>54</v>
      </c>
      <c r="E213" s="202">
        <v>1462.5</v>
      </c>
      <c r="F213">
        <v>1462.5</v>
      </c>
      <c r="J213" s="209">
        <v>45693</v>
      </c>
      <c r="K213" s="209">
        <v>45693</v>
      </c>
      <c r="M213" t="s">
        <v>11</v>
      </c>
      <c r="N213">
        <v>330423399</v>
      </c>
      <c r="O213">
        <v>170525</v>
      </c>
      <c r="Q213" t="s">
        <v>355</v>
      </c>
      <c r="R213">
        <v>170525</v>
      </c>
    </row>
    <row r="214" spans="2:18">
      <c r="B214" t="s">
        <v>11</v>
      </c>
      <c r="C214">
        <v>330423400</v>
      </c>
      <c r="D214" t="s">
        <v>54</v>
      </c>
      <c r="E214">
        <v>204.7</v>
      </c>
      <c r="F214">
        <v>204.7</v>
      </c>
      <c r="J214" s="209">
        <v>45693</v>
      </c>
      <c r="K214" s="209">
        <v>45693</v>
      </c>
      <c r="M214" t="s">
        <v>11</v>
      </c>
      <c r="N214">
        <v>330423400</v>
      </c>
      <c r="O214">
        <v>170525</v>
      </c>
      <c r="Q214" t="s">
        <v>356</v>
      </c>
      <c r="R214">
        <v>170525</v>
      </c>
    </row>
    <row r="215" spans="2:18">
      <c r="B215" t="s">
        <v>11</v>
      </c>
      <c r="C215">
        <v>330423401</v>
      </c>
      <c r="D215" t="s">
        <v>54</v>
      </c>
      <c r="E215">
        <v>455.24</v>
      </c>
      <c r="F215">
        <v>455.24</v>
      </c>
      <c r="J215" s="209">
        <v>45693</v>
      </c>
      <c r="K215" s="209">
        <v>45693</v>
      </c>
      <c r="M215" t="s">
        <v>11</v>
      </c>
      <c r="N215">
        <v>330423401</v>
      </c>
      <c r="O215">
        <v>170525</v>
      </c>
      <c r="Q215" t="s">
        <v>357</v>
      </c>
      <c r="R215">
        <v>170525</v>
      </c>
    </row>
    <row r="216" spans="2:18">
      <c r="B216" t="s">
        <v>11</v>
      </c>
      <c r="C216">
        <v>330423402</v>
      </c>
      <c r="D216" t="s">
        <v>54</v>
      </c>
      <c r="E216">
        <v>2</v>
      </c>
      <c r="F216">
        <v>2</v>
      </c>
      <c r="J216" s="209">
        <v>45693</v>
      </c>
      <c r="K216" s="209">
        <v>45693</v>
      </c>
      <c r="M216" t="s">
        <v>11</v>
      </c>
      <c r="N216">
        <v>330423402</v>
      </c>
      <c r="O216">
        <v>170525</v>
      </c>
      <c r="Q216" t="s">
        <v>112</v>
      </c>
      <c r="R216">
        <v>170525</v>
      </c>
    </row>
    <row r="217" spans="2:18">
      <c r="B217" t="s">
        <v>11</v>
      </c>
      <c r="C217">
        <v>330423403</v>
      </c>
      <c r="D217" t="s">
        <v>54</v>
      </c>
      <c r="E217">
        <v>112.48</v>
      </c>
      <c r="F217">
        <v>112.48</v>
      </c>
      <c r="J217" s="209">
        <v>45693</v>
      </c>
      <c r="K217" s="209">
        <v>45693</v>
      </c>
      <c r="M217" t="s">
        <v>11</v>
      </c>
      <c r="N217">
        <v>330423403</v>
      </c>
      <c r="O217">
        <v>170525</v>
      </c>
      <c r="Q217" t="s">
        <v>358</v>
      </c>
      <c r="R217">
        <v>170525</v>
      </c>
    </row>
    <row r="218" spans="2:18">
      <c r="B218" t="s">
        <v>11</v>
      </c>
      <c r="C218">
        <v>330423404</v>
      </c>
      <c r="D218" t="s">
        <v>54</v>
      </c>
      <c r="E218">
        <v>163.95</v>
      </c>
      <c r="F218">
        <v>163.95</v>
      </c>
      <c r="J218" s="209">
        <v>45693</v>
      </c>
      <c r="K218" s="209">
        <v>45693</v>
      </c>
      <c r="M218" t="s">
        <v>11</v>
      </c>
      <c r="N218">
        <v>330423404</v>
      </c>
      <c r="O218">
        <v>170525</v>
      </c>
      <c r="Q218" t="s">
        <v>114</v>
      </c>
      <c r="R218">
        <v>170525</v>
      </c>
    </row>
    <row r="219" spans="2:18">
      <c r="B219" t="s">
        <v>11</v>
      </c>
      <c r="C219">
        <v>330423405</v>
      </c>
      <c r="D219" t="s">
        <v>54</v>
      </c>
      <c r="E219">
        <v>21.5</v>
      </c>
      <c r="F219">
        <v>21.5</v>
      </c>
      <c r="J219" s="209">
        <v>45693</v>
      </c>
      <c r="K219" s="209">
        <v>45693</v>
      </c>
      <c r="M219" t="s">
        <v>11</v>
      </c>
      <c r="N219">
        <v>330423405</v>
      </c>
      <c r="O219">
        <v>170525</v>
      </c>
      <c r="Q219" t="s">
        <v>359</v>
      </c>
      <c r="R219">
        <v>170525</v>
      </c>
    </row>
    <row r="220" spans="2:18">
      <c r="B220" t="s">
        <v>11</v>
      </c>
      <c r="C220">
        <v>330423406</v>
      </c>
      <c r="D220" t="s">
        <v>54</v>
      </c>
      <c r="E220">
        <v>570</v>
      </c>
      <c r="F220">
        <v>570</v>
      </c>
      <c r="J220" s="209">
        <v>45693</v>
      </c>
      <c r="K220" s="209">
        <v>45693</v>
      </c>
      <c r="M220" t="s">
        <v>11</v>
      </c>
      <c r="N220">
        <v>330423406</v>
      </c>
      <c r="O220">
        <v>170525</v>
      </c>
      <c r="Q220" t="s">
        <v>115</v>
      </c>
      <c r="R220">
        <v>170525</v>
      </c>
    </row>
    <row r="221" spans="2:18">
      <c r="B221" t="s">
        <v>11</v>
      </c>
      <c r="C221">
        <v>330423407</v>
      </c>
      <c r="D221" t="s">
        <v>54</v>
      </c>
      <c r="E221" s="202">
        <v>1365.72</v>
      </c>
      <c r="F221">
        <v>1365.72</v>
      </c>
      <c r="J221" s="209">
        <v>45693</v>
      </c>
      <c r="K221" s="209">
        <v>45693</v>
      </c>
      <c r="M221" t="s">
        <v>11</v>
      </c>
      <c r="N221">
        <v>330423407</v>
      </c>
      <c r="O221">
        <v>170525</v>
      </c>
      <c r="Q221" t="s">
        <v>360</v>
      </c>
      <c r="R221">
        <v>170525</v>
      </c>
    </row>
    <row r="222" spans="2:18">
      <c r="B222" t="s">
        <v>11</v>
      </c>
      <c r="C222">
        <v>330423408</v>
      </c>
      <c r="D222" t="s">
        <v>54</v>
      </c>
      <c r="E222">
        <v>251.83</v>
      </c>
      <c r="F222">
        <v>251.83</v>
      </c>
      <c r="J222" s="209">
        <v>45693</v>
      </c>
      <c r="K222" s="209">
        <v>45693</v>
      </c>
      <c r="M222" t="s">
        <v>11</v>
      </c>
      <c r="N222">
        <v>330423408</v>
      </c>
      <c r="O222">
        <v>170525</v>
      </c>
      <c r="Q222" t="s">
        <v>361</v>
      </c>
      <c r="R222">
        <v>170525</v>
      </c>
    </row>
    <row r="223" spans="2:18">
      <c r="B223" t="s">
        <v>11</v>
      </c>
      <c r="C223">
        <v>330423409</v>
      </c>
      <c r="D223" t="s">
        <v>54</v>
      </c>
      <c r="E223">
        <v>455.24</v>
      </c>
      <c r="F223">
        <v>455.24</v>
      </c>
      <c r="J223" s="209">
        <v>45693</v>
      </c>
      <c r="K223" s="209">
        <v>45693</v>
      </c>
      <c r="M223" t="s">
        <v>11</v>
      </c>
      <c r="N223">
        <v>330423409</v>
      </c>
      <c r="O223">
        <v>170525</v>
      </c>
      <c r="Q223" t="s">
        <v>116</v>
      </c>
      <c r="R223">
        <v>170525</v>
      </c>
    </row>
    <row r="224" spans="2:18">
      <c r="B224" t="s">
        <v>11</v>
      </c>
      <c r="C224">
        <v>330423410</v>
      </c>
      <c r="D224" t="s">
        <v>54</v>
      </c>
      <c r="E224">
        <v>73</v>
      </c>
      <c r="F224">
        <v>73</v>
      </c>
      <c r="J224" s="209">
        <v>45693</v>
      </c>
      <c r="K224" s="209">
        <v>45693</v>
      </c>
      <c r="M224" t="s">
        <v>11</v>
      </c>
      <c r="N224">
        <v>330423410</v>
      </c>
      <c r="O224">
        <v>170525</v>
      </c>
      <c r="Q224" t="s">
        <v>362</v>
      </c>
      <c r="R224">
        <v>170525</v>
      </c>
    </row>
    <row r="225" spans="2:18">
      <c r="B225" t="s">
        <v>11</v>
      </c>
      <c r="C225">
        <v>330423411</v>
      </c>
      <c r="D225" t="s">
        <v>54</v>
      </c>
      <c r="E225">
        <v>163.15</v>
      </c>
      <c r="F225">
        <v>163.15</v>
      </c>
      <c r="J225" s="209">
        <v>45693</v>
      </c>
      <c r="K225" s="209">
        <v>45693</v>
      </c>
      <c r="M225" t="s">
        <v>11</v>
      </c>
      <c r="N225">
        <v>330423411</v>
      </c>
      <c r="O225">
        <v>170525</v>
      </c>
      <c r="Q225" t="s">
        <v>363</v>
      </c>
      <c r="R225">
        <v>170525</v>
      </c>
    </row>
    <row r="226" spans="2:18">
      <c r="B226" t="s">
        <v>11</v>
      </c>
      <c r="C226">
        <v>330423412</v>
      </c>
      <c r="D226" t="s">
        <v>54</v>
      </c>
      <c r="E226">
        <v>432.26</v>
      </c>
      <c r="F226">
        <v>432.26</v>
      </c>
      <c r="J226" s="209">
        <v>45693</v>
      </c>
      <c r="K226" s="209">
        <v>45693</v>
      </c>
      <c r="M226" t="s">
        <v>11</v>
      </c>
      <c r="N226">
        <v>330423412</v>
      </c>
      <c r="O226">
        <v>170525</v>
      </c>
      <c r="Q226" t="s">
        <v>117</v>
      </c>
      <c r="R226">
        <v>170525</v>
      </c>
    </row>
    <row r="227" spans="2:18">
      <c r="B227" t="s">
        <v>11</v>
      </c>
      <c r="C227">
        <v>330423413</v>
      </c>
      <c r="D227" t="s">
        <v>54</v>
      </c>
      <c r="E227">
        <v>18.78</v>
      </c>
      <c r="F227">
        <v>18.78</v>
      </c>
      <c r="J227" s="209">
        <v>45693</v>
      </c>
      <c r="K227" s="209">
        <v>45693</v>
      </c>
      <c r="M227" t="s">
        <v>11</v>
      </c>
      <c r="N227">
        <v>330423413</v>
      </c>
      <c r="O227">
        <v>170525</v>
      </c>
      <c r="Q227" t="s">
        <v>118</v>
      </c>
      <c r="R227">
        <v>170525</v>
      </c>
    </row>
    <row r="228" spans="2:18">
      <c r="B228" t="s">
        <v>11</v>
      </c>
      <c r="C228">
        <v>330423414</v>
      </c>
      <c r="D228" t="s">
        <v>54</v>
      </c>
      <c r="E228">
        <v>6</v>
      </c>
      <c r="F228">
        <v>6</v>
      </c>
      <c r="J228" s="209">
        <v>45693</v>
      </c>
      <c r="K228" s="209">
        <v>45693</v>
      </c>
      <c r="M228" t="s">
        <v>11</v>
      </c>
      <c r="N228">
        <v>330423414</v>
      </c>
      <c r="O228">
        <v>170525</v>
      </c>
      <c r="Q228" t="s">
        <v>364</v>
      </c>
      <c r="R228">
        <v>170525</v>
      </c>
    </row>
    <row r="229" spans="2:18">
      <c r="B229" t="s">
        <v>11</v>
      </c>
      <c r="C229">
        <v>330423415</v>
      </c>
      <c r="D229" t="s">
        <v>54</v>
      </c>
      <c r="E229">
        <v>122.38</v>
      </c>
      <c r="F229">
        <v>122.38</v>
      </c>
      <c r="J229" s="209">
        <v>45693</v>
      </c>
      <c r="K229" s="209">
        <v>45693</v>
      </c>
      <c r="M229" t="s">
        <v>11</v>
      </c>
      <c r="N229">
        <v>330423415</v>
      </c>
      <c r="O229">
        <v>170525</v>
      </c>
      <c r="Q229" t="s">
        <v>119</v>
      </c>
      <c r="R229">
        <v>170525</v>
      </c>
    </row>
    <row r="230" spans="2:18">
      <c r="B230" t="s">
        <v>11</v>
      </c>
      <c r="C230">
        <v>330423416</v>
      </c>
      <c r="D230" t="s">
        <v>54</v>
      </c>
      <c r="E230" s="202">
        <v>1503.25</v>
      </c>
      <c r="F230">
        <v>1503.25</v>
      </c>
      <c r="J230" s="209">
        <v>45693</v>
      </c>
      <c r="K230" s="209">
        <v>45693</v>
      </c>
      <c r="M230" t="s">
        <v>11</v>
      </c>
      <c r="N230">
        <v>330423416</v>
      </c>
      <c r="O230">
        <v>170525</v>
      </c>
      <c r="Q230" t="s">
        <v>120</v>
      </c>
      <c r="R230">
        <v>170525</v>
      </c>
    </row>
    <row r="231" spans="2:18">
      <c r="B231" t="s">
        <v>11</v>
      </c>
      <c r="C231">
        <v>330423417</v>
      </c>
      <c r="D231" t="s">
        <v>54</v>
      </c>
      <c r="E231">
        <v>52.63</v>
      </c>
      <c r="F231">
        <v>52.63</v>
      </c>
      <c r="J231" s="209">
        <v>45693</v>
      </c>
      <c r="K231" s="209">
        <v>45693</v>
      </c>
      <c r="M231" t="s">
        <v>11</v>
      </c>
      <c r="N231">
        <v>330423417</v>
      </c>
      <c r="O231">
        <v>170525</v>
      </c>
      <c r="Q231" t="s">
        <v>365</v>
      </c>
      <c r="R231">
        <v>170525</v>
      </c>
    </row>
    <row r="232" spans="2:18">
      <c r="B232" t="s">
        <v>11</v>
      </c>
      <c r="C232">
        <v>330423418</v>
      </c>
      <c r="D232" t="s">
        <v>54</v>
      </c>
      <c r="E232">
        <v>158.13999999999999</v>
      </c>
      <c r="F232">
        <v>158.13999999999999</v>
      </c>
      <c r="J232" s="209">
        <v>45693</v>
      </c>
      <c r="K232" s="209">
        <v>45693</v>
      </c>
      <c r="M232" t="s">
        <v>11</v>
      </c>
      <c r="N232">
        <v>330423418</v>
      </c>
      <c r="O232">
        <v>170525</v>
      </c>
      <c r="Q232" t="s">
        <v>366</v>
      </c>
      <c r="R232">
        <v>170525</v>
      </c>
    </row>
    <row r="233" spans="2:18">
      <c r="B233" t="s">
        <v>11</v>
      </c>
      <c r="C233">
        <v>330423419</v>
      </c>
      <c r="D233" t="s">
        <v>54</v>
      </c>
      <c r="E233">
        <v>455.24</v>
      </c>
      <c r="F233">
        <v>455.24</v>
      </c>
      <c r="J233" s="209">
        <v>45693</v>
      </c>
      <c r="K233" s="209">
        <v>45693</v>
      </c>
      <c r="M233" t="s">
        <v>11</v>
      </c>
      <c r="N233">
        <v>330423419</v>
      </c>
      <c r="O233">
        <v>170525</v>
      </c>
      <c r="Q233" t="s">
        <v>367</v>
      </c>
      <c r="R233">
        <v>170525</v>
      </c>
    </row>
    <row r="234" spans="2:18">
      <c r="B234" t="s">
        <v>11</v>
      </c>
      <c r="C234">
        <v>330423420</v>
      </c>
      <c r="D234" t="s">
        <v>54</v>
      </c>
      <c r="E234">
        <v>455.24</v>
      </c>
      <c r="F234">
        <v>455.24</v>
      </c>
      <c r="J234" s="209">
        <v>45693</v>
      </c>
      <c r="K234" s="209">
        <v>45693</v>
      </c>
      <c r="M234" t="s">
        <v>11</v>
      </c>
      <c r="N234">
        <v>330423420</v>
      </c>
      <c r="O234">
        <v>170525</v>
      </c>
      <c r="Q234" t="s">
        <v>368</v>
      </c>
      <c r="R234">
        <v>170525</v>
      </c>
    </row>
    <row r="235" spans="2:18">
      <c r="B235" t="s">
        <v>11</v>
      </c>
      <c r="C235">
        <v>330423421</v>
      </c>
      <c r="D235" t="s">
        <v>54</v>
      </c>
      <c r="E235">
        <v>469.04</v>
      </c>
      <c r="F235">
        <v>469.04</v>
      </c>
      <c r="J235" s="209">
        <v>45693</v>
      </c>
      <c r="K235" s="209">
        <v>45693</v>
      </c>
      <c r="M235" t="s">
        <v>11</v>
      </c>
      <c r="N235">
        <v>330423421</v>
      </c>
      <c r="O235">
        <v>170525</v>
      </c>
      <c r="Q235" t="s">
        <v>369</v>
      </c>
      <c r="R235">
        <v>170525</v>
      </c>
    </row>
    <row r="236" spans="2:18">
      <c r="B236" t="s">
        <v>11</v>
      </c>
      <c r="C236">
        <v>330423422</v>
      </c>
      <c r="D236" t="s">
        <v>54</v>
      </c>
      <c r="E236">
        <v>455.24</v>
      </c>
      <c r="F236">
        <v>455.24</v>
      </c>
      <c r="J236" s="209">
        <v>45693</v>
      </c>
      <c r="K236" s="209">
        <v>45693</v>
      </c>
      <c r="M236" t="s">
        <v>11</v>
      </c>
      <c r="N236">
        <v>330423422</v>
      </c>
      <c r="O236">
        <v>170525</v>
      </c>
      <c r="Q236" t="s">
        <v>370</v>
      </c>
      <c r="R236">
        <v>170525</v>
      </c>
    </row>
    <row r="237" spans="2:18">
      <c r="B237" t="s">
        <v>11</v>
      </c>
      <c r="C237">
        <v>330423423</v>
      </c>
      <c r="D237" t="s">
        <v>54</v>
      </c>
      <c r="E237">
        <v>6</v>
      </c>
      <c r="F237">
        <v>6</v>
      </c>
      <c r="J237" s="209">
        <v>45693</v>
      </c>
      <c r="K237" s="209">
        <v>45693</v>
      </c>
      <c r="M237" t="s">
        <v>11</v>
      </c>
      <c r="N237">
        <v>330423423</v>
      </c>
      <c r="O237">
        <v>170525</v>
      </c>
      <c r="Q237" t="s">
        <v>126</v>
      </c>
      <c r="R237">
        <v>170525</v>
      </c>
    </row>
    <row r="238" spans="2:18">
      <c r="B238" t="s">
        <v>11</v>
      </c>
      <c r="C238">
        <v>330423424</v>
      </c>
      <c r="D238" t="s">
        <v>54</v>
      </c>
      <c r="E238">
        <v>694.89</v>
      </c>
      <c r="F238">
        <v>694.89</v>
      </c>
      <c r="J238" s="209">
        <v>45693</v>
      </c>
      <c r="K238" s="209">
        <v>45693</v>
      </c>
      <c r="M238" t="s">
        <v>11</v>
      </c>
      <c r="N238">
        <v>330423424</v>
      </c>
      <c r="O238">
        <v>170525</v>
      </c>
      <c r="Q238" t="s">
        <v>371</v>
      </c>
      <c r="R238">
        <v>170525</v>
      </c>
    </row>
    <row r="239" spans="2:18">
      <c r="B239" t="s">
        <v>11</v>
      </c>
      <c r="C239">
        <v>330423425</v>
      </c>
      <c r="D239" t="s">
        <v>54</v>
      </c>
      <c r="E239">
        <v>18.39</v>
      </c>
      <c r="F239">
        <v>18.39</v>
      </c>
      <c r="J239" s="209">
        <v>45693</v>
      </c>
      <c r="K239" s="209">
        <v>45693</v>
      </c>
      <c r="M239" t="s">
        <v>11</v>
      </c>
      <c r="N239">
        <v>330423425</v>
      </c>
      <c r="O239">
        <v>170525</v>
      </c>
      <c r="Q239" t="s">
        <v>372</v>
      </c>
      <c r="R239">
        <v>170525</v>
      </c>
    </row>
    <row r="240" spans="2:18">
      <c r="B240" t="s">
        <v>11</v>
      </c>
      <c r="C240">
        <v>330423426</v>
      </c>
      <c r="D240" t="s">
        <v>54</v>
      </c>
      <c r="E240">
        <v>455.24</v>
      </c>
      <c r="F240">
        <v>455.24</v>
      </c>
      <c r="J240" s="209">
        <v>45693</v>
      </c>
      <c r="K240" s="209">
        <v>45693</v>
      </c>
      <c r="M240" t="s">
        <v>11</v>
      </c>
      <c r="N240">
        <v>330423426</v>
      </c>
      <c r="O240">
        <v>170525</v>
      </c>
      <c r="Q240" t="s">
        <v>373</v>
      </c>
      <c r="R240">
        <v>170525</v>
      </c>
    </row>
    <row r="241" spans="2:18">
      <c r="B241" t="s">
        <v>11</v>
      </c>
      <c r="C241">
        <v>330423427</v>
      </c>
      <c r="D241" t="s">
        <v>54</v>
      </c>
      <c r="E241" s="202">
        <v>2190.11</v>
      </c>
      <c r="F241">
        <v>2190.11</v>
      </c>
      <c r="J241" s="209">
        <v>45693</v>
      </c>
      <c r="K241" s="209">
        <v>45693</v>
      </c>
      <c r="M241" t="s">
        <v>11</v>
      </c>
      <c r="N241">
        <v>330423427</v>
      </c>
      <c r="O241">
        <v>170525</v>
      </c>
      <c r="Q241" t="s">
        <v>374</v>
      </c>
      <c r="R241">
        <v>170525</v>
      </c>
    </row>
    <row r="242" spans="2:18">
      <c r="B242" t="s">
        <v>11</v>
      </c>
      <c r="C242">
        <v>330423428</v>
      </c>
      <c r="D242" t="s">
        <v>54</v>
      </c>
      <c r="E242">
        <v>35.799999999999997</v>
      </c>
      <c r="F242">
        <v>35.799999999999997</v>
      </c>
      <c r="J242" s="209">
        <v>45693</v>
      </c>
      <c r="K242" s="209">
        <v>45693</v>
      </c>
      <c r="M242" t="s">
        <v>11</v>
      </c>
      <c r="N242">
        <v>330423428</v>
      </c>
      <c r="O242">
        <v>170525</v>
      </c>
      <c r="Q242" t="s">
        <v>375</v>
      </c>
      <c r="R242">
        <v>170525</v>
      </c>
    </row>
    <row r="243" spans="2:18">
      <c r="B243" t="s">
        <v>11</v>
      </c>
      <c r="C243">
        <v>330423429</v>
      </c>
      <c r="D243" t="s">
        <v>54</v>
      </c>
      <c r="E243">
        <v>69.42</v>
      </c>
      <c r="F243">
        <v>69.42</v>
      </c>
      <c r="J243" s="209">
        <v>45693</v>
      </c>
      <c r="K243" s="209">
        <v>45693</v>
      </c>
      <c r="M243" t="s">
        <v>11</v>
      </c>
      <c r="N243">
        <v>330423429</v>
      </c>
      <c r="O243">
        <v>170525</v>
      </c>
      <c r="Q243" t="s">
        <v>376</v>
      </c>
      <c r="R243">
        <v>170525</v>
      </c>
    </row>
    <row r="244" spans="2:18">
      <c r="B244" t="s">
        <v>11</v>
      </c>
      <c r="C244">
        <v>330423430</v>
      </c>
      <c r="D244" t="s">
        <v>54</v>
      </c>
      <c r="E244">
        <v>820.99</v>
      </c>
      <c r="F244">
        <v>820.99</v>
      </c>
      <c r="J244" s="209">
        <v>45693</v>
      </c>
      <c r="K244" s="209">
        <v>45693</v>
      </c>
      <c r="M244" t="s">
        <v>11</v>
      </c>
      <c r="N244">
        <v>330423430</v>
      </c>
      <c r="O244">
        <v>170525</v>
      </c>
      <c r="Q244" t="s">
        <v>377</v>
      </c>
      <c r="R244">
        <v>170525</v>
      </c>
    </row>
    <row r="245" spans="2:18">
      <c r="B245" t="s">
        <v>11</v>
      </c>
      <c r="C245">
        <v>330423431</v>
      </c>
      <c r="D245" t="s">
        <v>54</v>
      </c>
      <c r="E245">
        <v>36.78</v>
      </c>
      <c r="F245">
        <v>36.78</v>
      </c>
      <c r="J245" s="209">
        <v>45693</v>
      </c>
      <c r="K245" s="209">
        <v>45693</v>
      </c>
      <c r="M245" t="s">
        <v>11</v>
      </c>
      <c r="N245">
        <v>330423431</v>
      </c>
      <c r="O245">
        <v>170525</v>
      </c>
      <c r="Q245" t="s">
        <v>378</v>
      </c>
      <c r="R245">
        <v>170525</v>
      </c>
    </row>
    <row r="246" spans="2:18">
      <c r="B246" t="s">
        <v>11</v>
      </c>
      <c r="C246">
        <v>330423432</v>
      </c>
      <c r="D246" t="s">
        <v>54</v>
      </c>
      <c r="E246" s="202">
        <v>1054</v>
      </c>
      <c r="F246">
        <v>1054</v>
      </c>
      <c r="J246" s="209">
        <v>45693</v>
      </c>
      <c r="K246" s="209">
        <v>45693</v>
      </c>
      <c r="M246" t="s">
        <v>11</v>
      </c>
      <c r="N246">
        <v>330423432</v>
      </c>
      <c r="O246">
        <v>170525</v>
      </c>
      <c r="Q246" t="s">
        <v>379</v>
      </c>
      <c r="R246">
        <v>170525</v>
      </c>
    </row>
    <row r="247" spans="2:18">
      <c r="B247" t="s">
        <v>11</v>
      </c>
      <c r="C247">
        <v>330423433</v>
      </c>
      <c r="D247" t="s">
        <v>54</v>
      </c>
      <c r="E247">
        <v>26.45</v>
      </c>
      <c r="F247">
        <v>26.45</v>
      </c>
      <c r="J247" s="209">
        <v>45693</v>
      </c>
      <c r="K247" s="209">
        <v>45693</v>
      </c>
      <c r="M247" t="s">
        <v>11</v>
      </c>
      <c r="N247">
        <v>330423433</v>
      </c>
      <c r="O247">
        <v>170525</v>
      </c>
      <c r="Q247" t="s">
        <v>380</v>
      </c>
      <c r="R247">
        <v>170525</v>
      </c>
    </row>
    <row r="248" spans="2:18">
      <c r="B248" t="s">
        <v>11</v>
      </c>
      <c r="C248">
        <v>330423434</v>
      </c>
      <c r="D248" t="s">
        <v>54</v>
      </c>
      <c r="E248">
        <v>432.26</v>
      </c>
      <c r="F248">
        <v>432.26</v>
      </c>
      <c r="J248" s="209">
        <v>45693</v>
      </c>
      <c r="K248" s="209">
        <v>45693</v>
      </c>
      <c r="M248" t="s">
        <v>11</v>
      </c>
      <c r="N248">
        <v>330423434</v>
      </c>
      <c r="O248">
        <v>170525</v>
      </c>
      <c r="Q248" t="s">
        <v>381</v>
      </c>
      <c r="R248">
        <v>170525</v>
      </c>
    </row>
    <row r="249" spans="2:18">
      <c r="B249" t="s">
        <v>11</v>
      </c>
      <c r="C249">
        <v>330423435</v>
      </c>
      <c r="D249" t="s">
        <v>54</v>
      </c>
      <c r="E249" s="202">
        <v>1684.29</v>
      </c>
      <c r="F249">
        <v>1684.29</v>
      </c>
      <c r="J249" s="209">
        <v>45693</v>
      </c>
      <c r="K249" s="209">
        <v>45693</v>
      </c>
      <c r="M249" t="s">
        <v>11</v>
      </c>
      <c r="N249">
        <v>330423435</v>
      </c>
      <c r="O249">
        <v>170525</v>
      </c>
      <c r="Q249" t="s">
        <v>132</v>
      </c>
      <c r="R249">
        <v>170525</v>
      </c>
    </row>
    <row r="250" spans="2:18">
      <c r="B250" t="s">
        <v>11</v>
      </c>
      <c r="C250">
        <v>330423436</v>
      </c>
      <c r="D250" t="s">
        <v>54</v>
      </c>
      <c r="E250">
        <v>28.85</v>
      </c>
      <c r="F250">
        <v>28.85</v>
      </c>
      <c r="J250" s="209">
        <v>45693</v>
      </c>
      <c r="K250" s="209">
        <v>45693</v>
      </c>
      <c r="M250" t="s">
        <v>11</v>
      </c>
      <c r="N250">
        <v>330423436</v>
      </c>
      <c r="O250">
        <v>170525</v>
      </c>
      <c r="Q250" t="s">
        <v>382</v>
      </c>
      <c r="R250">
        <v>170525</v>
      </c>
    </row>
    <row r="251" spans="2:18">
      <c r="B251" t="s">
        <v>11</v>
      </c>
      <c r="C251">
        <v>330423437</v>
      </c>
      <c r="D251" t="s">
        <v>54</v>
      </c>
      <c r="E251">
        <v>299.99</v>
      </c>
      <c r="F251">
        <v>299.99</v>
      </c>
      <c r="J251" s="209">
        <v>45693</v>
      </c>
      <c r="K251" s="209">
        <v>45693</v>
      </c>
      <c r="M251" t="s">
        <v>11</v>
      </c>
      <c r="N251">
        <v>330423437</v>
      </c>
      <c r="O251">
        <v>170525</v>
      </c>
      <c r="Q251" t="s">
        <v>383</v>
      </c>
      <c r="R251">
        <v>170525</v>
      </c>
    </row>
    <row r="252" spans="2:18">
      <c r="B252" t="s">
        <v>11</v>
      </c>
      <c r="C252">
        <v>330423438</v>
      </c>
      <c r="D252" t="s">
        <v>54</v>
      </c>
      <c r="E252">
        <v>455.24</v>
      </c>
      <c r="F252">
        <v>455.24</v>
      </c>
      <c r="J252" s="209">
        <v>45693</v>
      </c>
      <c r="K252" s="209">
        <v>45693</v>
      </c>
      <c r="M252" t="s">
        <v>11</v>
      </c>
      <c r="N252">
        <v>330423438</v>
      </c>
      <c r="O252">
        <v>170525</v>
      </c>
      <c r="Q252" t="s">
        <v>384</v>
      </c>
      <c r="R252">
        <v>170525</v>
      </c>
    </row>
    <row r="253" spans="2:18">
      <c r="B253" t="s">
        <v>11</v>
      </c>
      <c r="C253">
        <v>330423439</v>
      </c>
      <c r="D253" t="s">
        <v>54</v>
      </c>
      <c r="E253">
        <v>241.38</v>
      </c>
      <c r="F253">
        <v>241.38</v>
      </c>
      <c r="J253" s="209">
        <v>45693</v>
      </c>
      <c r="K253" s="209">
        <v>45693</v>
      </c>
      <c r="M253" t="s">
        <v>11</v>
      </c>
      <c r="N253">
        <v>330423439</v>
      </c>
      <c r="O253">
        <v>170525</v>
      </c>
      <c r="Q253" t="s">
        <v>385</v>
      </c>
      <c r="R253">
        <v>170525</v>
      </c>
    </row>
    <row r="254" spans="2:18">
      <c r="B254" t="s">
        <v>11</v>
      </c>
      <c r="C254">
        <v>330423440</v>
      </c>
      <c r="D254" t="s">
        <v>54</v>
      </c>
      <c r="E254">
        <v>518.26</v>
      </c>
      <c r="F254">
        <v>518.26</v>
      </c>
      <c r="J254" s="209">
        <v>45693</v>
      </c>
      <c r="K254" s="209">
        <v>45693</v>
      </c>
      <c r="M254" t="s">
        <v>11</v>
      </c>
      <c r="N254">
        <v>330423440</v>
      </c>
      <c r="O254">
        <v>170525</v>
      </c>
      <c r="Q254" t="s">
        <v>135</v>
      </c>
      <c r="R254">
        <v>170525</v>
      </c>
    </row>
    <row r="255" spans="2:18">
      <c r="B255" t="s">
        <v>11</v>
      </c>
      <c r="C255">
        <v>330423441</v>
      </c>
      <c r="D255" t="s">
        <v>54</v>
      </c>
      <c r="E255">
        <v>43.1</v>
      </c>
      <c r="F255">
        <v>43.1</v>
      </c>
      <c r="J255" s="209">
        <v>45693</v>
      </c>
      <c r="K255" s="209">
        <v>45693</v>
      </c>
      <c r="M255" t="s">
        <v>11</v>
      </c>
      <c r="N255">
        <v>330423441</v>
      </c>
      <c r="O255">
        <v>170525</v>
      </c>
      <c r="Q255" t="s">
        <v>386</v>
      </c>
      <c r="R255">
        <v>170525</v>
      </c>
    </row>
    <row r="256" spans="2:18">
      <c r="B256" t="s">
        <v>11</v>
      </c>
      <c r="C256">
        <v>330423442</v>
      </c>
      <c r="D256" t="s">
        <v>54</v>
      </c>
      <c r="E256">
        <v>100.65</v>
      </c>
      <c r="F256">
        <v>100.65</v>
      </c>
      <c r="J256" s="209">
        <v>45693</v>
      </c>
      <c r="K256" s="209">
        <v>45693</v>
      </c>
      <c r="M256" t="s">
        <v>11</v>
      </c>
      <c r="N256">
        <v>330423442</v>
      </c>
      <c r="O256">
        <v>170525</v>
      </c>
      <c r="Q256" t="s">
        <v>387</v>
      </c>
      <c r="R256">
        <v>170525</v>
      </c>
    </row>
    <row r="257" spans="2:18">
      <c r="B257" t="s">
        <v>11</v>
      </c>
      <c r="C257">
        <v>330423443</v>
      </c>
      <c r="D257" t="s">
        <v>54</v>
      </c>
      <c r="E257">
        <v>16</v>
      </c>
      <c r="F257">
        <v>16</v>
      </c>
      <c r="J257" s="209">
        <v>45693</v>
      </c>
      <c r="K257" s="209">
        <v>45693</v>
      </c>
      <c r="M257" t="s">
        <v>11</v>
      </c>
      <c r="N257">
        <v>330423443</v>
      </c>
      <c r="O257">
        <v>170525</v>
      </c>
      <c r="Q257" t="s">
        <v>137</v>
      </c>
      <c r="R257">
        <v>170525</v>
      </c>
    </row>
    <row r="258" spans="2:18">
      <c r="B258" t="s">
        <v>11</v>
      </c>
      <c r="C258">
        <v>330423444</v>
      </c>
      <c r="D258" t="s">
        <v>54</v>
      </c>
      <c r="E258">
        <v>783.48</v>
      </c>
      <c r="F258">
        <v>783.48</v>
      </c>
      <c r="J258" s="209">
        <v>45693</v>
      </c>
      <c r="K258" s="209">
        <v>45693</v>
      </c>
      <c r="M258" t="s">
        <v>11</v>
      </c>
      <c r="N258">
        <v>330423444</v>
      </c>
      <c r="O258">
        <v>170525</v>
      </c>
      <c r="Q258" t="s">
        <v>388</v>
      </c>
      <c r="R258">
        <v>170525</v>
      </c>
    </row>
    <row r="259" spans="2:18">
      <c r="B259" t="s">
        <v>11</v>
      </c>
      <c r="C259">
        <v>330423445</v>
      </c>
      <c r="D259" t="s">
        <v>54</v>
      </c>
      <c r="E259">
        <v>795.17</v>
      </c>
      <c r="F259">
        <v>795.17</v>
      </c>
      <c r="J259" s="209">
        <v>45693</v>
      </c>
      <c r="K259" s="209">
        <v>45693</v>
      </c>
      <c r="M259" t="s">
        <v>11</v>
      </c>
      <c r="N259">
        <v>330423445</v>
      </c>
      <c r="O259">
        <v>170525</v>
      </c>
      <c r="Q259" t="s">
        <v>138</v>
      </c>
      <c r="R259">
        <v>170525</v>
      </c>
    </row>
    <row r="260" spans="2:18">
      <c r="B260" t="s">
        <v>11</v>
      </c>
      <c r="C260">
        <v>330423446</v>
      </c>
      <c r="D260" t="s">
        <v>54</v>
      </c>
      <c r="E260">
        <v>12</v>
      </c>
      <c r="F260">
        <v>12</v>
      </c>
      <c r="J260" s="209">
        <v>45693</v>
      </c>
      <c r="K260" s="209">
        <v>45693</v>
      </c>
      <c r="M260" t="s">
        <v>11</v>
      </c>
      <c r="N260">
        <v>330423446</v>
      </c>
      <c r="O260">
        <v>170525</v>
      </c>
      <c r="Q260" t="s">
        <v>389</v>
      </c>
      <c r="R260">
        <v>170525</v>
      </c>
    </row>
    <row r="261" spans="2:18">
      <c r="B261" t="s">
        <v>11</v>
      </c>
      <c r="C261">
        <v>330423447</v>
      </c>
      <c r="D261" t="s">
        <v>54</v>
      </c>
      <c r="E261">
        <v>675</v>
      </c>
      <c r="F261">
        <v>675</v>
      </c>
      <c r="J261" s="209">
        <v>45693</v>
      </c>
      <c r="K261" s="209">
        <v>45693</v>
      </c>
      <c r="M261" t="s">
        <v>11</v>
      </c>
      <c r="N261">
        <v>330423447</v>
      </c>
      <c r="O261">
        <v>170525</v>
      </c>
      <c r="Q261" t="s">
        <v>390</v>
      </c>
      <c r="R261">
        <v>170525</v>
      </c>
    </row>
    <row r="262" spans="2:18">
      <c r="B262" t="s">
        <v>11</v>
      </c>
      <c r="C262">
        <v>330423448</v>
      </c>
      <c r="D262" t="s">
        <v>54</v>
      </c>
      <c r="E262">
        <v>910.48</v>
      </c>
      <c r="F262">
        <v>910.48</v>
      </c>
      <c r="J262" s="209">
        <v>45693</v>
      </c>
      <c r="K262" s="209">
        <v>45693</v>
      </c>
      <c r="M262" t="s">
        <v>11</v>
      </c>
      <c r="N262">
        <v>330423448</v>
      </c>
      <c r="O262">
        <v>170525</v>
      </c>
      <c r="Q262" t="s">
        <v>391</v>
      </c>
      <c r="R262">
        <v>170525</v>
      </c>
    </row>
    <row r="263" spans="2:18">
      <c r="B263" t="s">
        <v>11</v>
      </c>
      <c r="C263">
        <v>330423449</v>
      </c>
      <c r="D263" t="s">
        <v>54</v>
      </c>
      <c r="E263">
        <v>12</v>
      </c>
      <c r="F263">
        <v>12</v>
      </c>
      <c r="J263" s="209">
        <v>45693</v>
      </c>
      <c r="K263" s="209">
        <v>45693</v>
      </c>
      <c r="M263" t="s">
        <v>11</v>
      </c>
      <c r="N263">
        <v>330423449</v>
      </c>
      <c r="O263">
        <v>170525</v>
      </c>
      <c r="Q263" t="s">
        <v>392</v>
      </c>
      <c r="R263">
        <v>170525</v>
      </c>
    </row>
    <row r="264" spans="2:18">
      <c r="B264" t="s">
        <v>11</v>
      </c>
      <c r="C264">
        <v>330423450</v>
      </c>
      <c r="D264" t="s">
        <v>54</v>
      </c>
      <c r="E264" s="202">
        <v>1233</v>
      </c>
      <c r="F264">
        <v>1233</v>
      </c>
      <c r="J264" s="209">
        <v>45693</v>
      </c>
      <c r="K264" s="209">
        <v>45693</v>
      </c>
      <c r="M264" t="s">
        <v>11</v>
      </c>
      <c r="N264">
        <v>330423450</v>
      </c>
      <c r="O264">
        <v>170525</v>
      </c>
      <c r="Q264" t="s">
        <v>393</v>
      </c>
      <c r="R264">
        <v>170525</v>
      </c>
    </row>
    <row r="265" spans="2:18">
      <c r="B265" t="s">
        <v>11</v>
      </c>
      <c r="C265">
        <v>330423451</v>
      </c>
      <c r="D265" t="s">
        <v>54</v>
      </c>
      <c r="E265">
        <v>12</v>
      </c>
      <c r="F265">
        <v>12</v>
      </c>
      <c r="J265" s="209">
        <v>45693</v>
      </c>
      <c r="K265" s="209">
        <v>45693</v>
      </c>
      <c r="M265" t="s">
        <v>11</v>
      </c>
      <c r="N265">
        <v>330423451</v>
      </c>
      <c r="O265">
        <v>170525</v>
      </c>
      <c r="Q265" t="s">
        <v>394</v>
      </c>
      <c r="R265">
        <v>170525</v>
      </c>
    </row>
    <row r="266" spans="2:18">
      <c r="B266" t="s">
        <v>11</v>
      </c>
      <c r="C266">
        <v>330423452</v>
      </c>
      <c r="D266" t="s">
        <v>54</v>
      </c>
      <c r="E266">
        <v>111.67</v>
      </c>
      <c r="F266">
        <v>111.67</v>
      </c>
      <c r="J266" s="209">
        <v>45693</v>
      </c>
      <c r="K266" s="209">
        <v>45693</v>
      </c>
      <c r="M266" t="s">
        <v>11</v>
      </c>
      <c r="N266">
        <v>330423452</v>
      </c>
      <c r="O266">
        <v>170525</v>
      </c>
      <c r="Q266" t="s">
        <v>395</v>
      </c>
      <c r="R266">
        <v>170525</v>
      </c>
    </row>
    <row r="267" spans="2:18">
      <c r="B267" t="s">
        <v>11</v>
      </c>
      <c r="C267">
        <v>330423453</v>
      </c>
      <c r="D267" t="s">
        <v>54</v>
      </c>
      <c r="E267">
        <v>455.24</v>
      </c>
      <c r="F267">
        <v>455.24</v>
      </c>
      <c r="J267" s="209">
        <v>45693</v>
      </c>
      <c r="K267" s="209">
        <v>45693</v>
      </c>
      <c r="M267" t="s">
        <v>11</v>
      </c>
      <c r="N267">
        <v>330423453</v>
      </c>
      <c r="O267">
        <v>170525</v>
      </c>
      <c r="Q267" t="s">
        <v>396</v>
      </c>
      <c r="R267">
        <v>170525</v>
      </c>
    </row>
    <row r="268" spans="2:18">
      <c r="B268" t="s">
        <v>11</v>
      </c>
      <c r="C268">
        <v>330423454</v>
      </c>
      <c r="D268" t="s">
        <v>54</v>
      </c>
      <c r="E268">
        <v>432.26</v>
      </c>
      <c r="F268">
        <v>432.26</v>
      </c>
      <c r="J268" s="209">
        <v>45693</v>
      </c>
      <c r="K268" s="209">
        <v>45693</v>
      </c>
      <c r="M268" t="s">
        <v>11</v>
      </c>
      <c r="N268">
        <v>330423454</v>
      </c>
      <c r="O268">
        <v>170525</v>
      </c>
      <c r="Q268" t="s">
        <v>397</v>
      </c>
      <c r="R268">
        <v>170525</v>
      </c>
    </row>
    <row r="269" spans="2:18">
      <c r="B269" t="s">
        <v>11</v>
      </c>
      <c r="C269">
        <v>330423455</v>
      </c>
      <c r="D269" t="s">
        <v>54</v>
      </c>
      <c r="E269">
        <v>681.65</v>
      </c>
      <c r="F269">
        <v>681.65</v>
      </c>
      <c r="J269" s="209">
        <v>45693</v>
      </c>
      <c r="K269" s="209">
        <v>45693</v>
      </c>
      <c r="M269" t="s">
        <v>11</v>
      </c>
      <c r="N269">
        <v>330423455</v>
      </c>
      <c r="O269">
        <v>170525</v>
      </c>
      <c r="Q269" t="s">
        <v>398</v>
      </c>
      <c r="R269">
        <v>170525</v>
      </c>
    </row>
    <row r="270" spans="2:18">
      <c r="B270" t="s">
        <v>11</v>
      </c>
      <c r="C270">
        <v>330423456</v>
      </c>
      <c r="D270" t="s">
        <v>54</v>
      </c>
      <c r="E270">
        <v>33.4</v>
      </c>
      <c r="F270">
        <v>33.4</v>
      </c>
      <c r="J270" s="209">
        <v>45693</v>
      </c>
      <c r="K270" s="209">
        <v>45693</v>
      </c>
      <c r="M270" t="s">
        <v>11</v>
      </c>
      <c r="N270">
        <v>330423456</v>
      </c>
      <c r="O270">
        <v>170525</v>
      </c>
      <c r="Q270" t="s">
        <v>399</v>
      </c>
      <c r="R270">
        <v>170525</v>
      </c>
    </row>
    <row r="271" spans="2:18">
      <c r="B271" t="s">
        <v>11</v>
      </c>
      <c r="C271">
        <v>330423457</v>
      </c>
      <c r="D271" t="s">
        <v>54</v>
      </c>
      <c r="E271">
        <v>350</v>
      </c>
      <c r="F271">
        <v>350</v>
      </c>
      <c r="J271" s="209">
        <v>45693</v>
      </c>
      <c r="K271" s="209">
        <v>45693</v>
      </c>
      <c r="M271" t="s">
        <v>11</v>
      </c>
      <c r="N271">
        <v>330423457</v>
      </c>
      <c r="O271">
        <v>170525</v>
      </c>
      <c r="Q271" t="s">
        <v>400</v>
      </c>
      <c r="R271">
        <v>170525</v>
      </c>
    </row>
    <row r="272" spans="2:18">
      <c r="B272" t="s">
        <v>11</v>
      </c>
      <c r="C272">
        <v>330423458</v>
      </c>
      <c r="D272" t="s">
        <v>54</v>
      </c>
      <c r="E272" s="202">
        <v>1672.53</v>
      </c>
      <c r="F272">
        <v>1672.53</v>
      </c>
      <c r="J272" s="209">
        <v>45693</v>
      </c>
      <c r="K272" s="209">
        <v>45693</v>
      </c>
      <c r="M272" t="s">
        <v>11</v>
      </c>
      <c r="N272">
        <v>330423458</v>
      </c>
      <c r="O272">
        <v>170525</v>
      </c>
      <c r="Q272" t="s">
        <v>401</v>
      </c>
      <c r="R272">
        <v>170525</v>
      </c>
    </row>
    <row r="273" spans="2:18">
      <c r="B273" t="s">
        <v>11</v>
      </c>
      <c r="C273">
        <v>330423459</v>
      </c>
      <c r="D273" t="s">
        <v>54</v>
      </c>
      <c r="E273" s="202">
        <v>1127.07</v>
      </c>
      <c r="F273">
        <v>1127.07</v>
      </c>
      <c r="J273" s="209">
        <v>45693</v>
      </c>
      <c r="K273" s="209">
        <v>45693</v>
      </c>
      <c r="M273" t="s">
        <v>11</v>
      </c>
      <c r="N273">
        <v>330423459</v>
      </c>
      <c r="O273">
        <v>170525</v>
      </c>
      <c r="Q273" t="s">
        <v>402</v>
      </c>
      <c r="R273">
        <v>170525</v>
      </c>
    </row>
    <row r="274" spans="2:18">
      <c r="B274" t="s">
        <v>11</v>
      </c>
      <c r="C274">
        <v>330423460</v>
      </c>
      <c r="D274" t="s">
        <v>54</v>
      </c>
      <c r="E274">
        <v>62.99</v>
      </c>
      <c r="F274">
        <v>62.99</v>
      </c>
      <c r="J274" s="209">
        <v>45693</v>
      </c>
      <c r="K274" s="209">
        <v>45693</v>
      </c>
      <c r="M274" t="s">
        <v>11</v>
      </c>
      <c r="N274">
        <v>330423460</v>
      </c>
      <c r="O274">
        <v>170525</v>
      </c>
      <c r="Q274" t="s">
        <v>142</v>
      </c>
      <c r="R274">
        <v>170525</v>
      </c>
    </row>
    <row r="275" spans="2:18">
      <c r="B275" t="s">
        <v>11</v>
      </c>
      <c r="C275">
        <v>330423461</v>
      </c>
      <c r="D275" t="s">
        <v>54</v>
      </c>
      <c r="E275" s="202">
        <v>1127.07</v>
      </c>
      <c r="F275">
        <v>1127.07</v>
      </c>
      <c r="J275" s="209">
        <v>45693</v>
      </c>
      <c r="K275" s="209">
        <v>45693</v>
      </c>
      <c r="M275" t="s">
        <v>11</v>
      </c>
      <c r="N275">
        <v>330423461</v>
      </c>
      <c r="O275">
        <v>170525</v>
      </c>
      <c r="Q275" t="s">
        <v>403</v>
      </c>
      <c r="R275">
        <v>170525</v>
      </c>
    </row>
    <row r="276" spans="2:18">
      <c r="B276" t="s">
        <v>11</v>
      </c>
      <c r="C276">
        <v>330423462</v>
      </c>
      <c r="D276" t="s">
        <v>54</v>
      </c>
      <c r="E276">
        <v>9.85</v>
      </c>
      <c r="F276">
        <v>9.85</v>
      </c>
      <c r="J276" s="209">
        <v>45693</v>
      </c>
      <c r="K276" s="209">
        <v>45693</v>
      </c>
      <c r="M276" t="s">
        <v>11</v>
      </c>
      <c r="N276">
        <v>330423462</v>
      </c>
      <c r="O276">
        <v>170525</v>
      </c>
      <c r="Q276" t="s">
        <v>404</v>
      </c>
      <c r="R276">
        <v>170525</v>
      </c>
    </row>
    <row r="277" spans="2:18">
      <c r="B277" t="s">
        <v>11</v>
      </c>
      <c r="C277">
        <v>330423463</v>
      </c>
      <c r="D277" t="s">
        <v>54</v>
      </c>
      <c r="E277">
        <v>6</v>
      </c>
      <c r="F277">
        <v>6</v>
      </c>
      <c r="J277" s="209">
        <v>45693</v>
      </c>
      <c r="K277" s="209">
        <v>45693</v>
      </c>
      <c r="M277" t="s">
        <v>11</v>
      </c>
      <c r="N277">
        <v>330423463</v>
      </c>
      <c r="O277">
        <v>170525</v>
      </c>
      <c r="Q277" t="s">
        <v>405</v>
      </c>
      <c r="R277">
        <v>170525</v>
      </c>
    </row>
    <row r="278" spans="2:18">
      <c r="B278" t="s">
        <v>11</v>
      </c>
      <c r="C278">
        <v>330423464</v>
      </c>
      <c r="D278" t="s">
        <v>54</v>
      </c>
      <c r="E278">
        <v>19.07</v>
      </c>
      <c r="F278">
        <v>19.07</v>
      </c>
      <c r="J278" s="209">
        <v>45693</v>
      </c>
      <c r="K278" s="209">
        <v>45693</v>
      </c>
      <c r="M278" t="s">
        <v>11</v>
      </c>
      <c r="N278">
        <v>330423464</v>
      </c>
      <c r="O278">
        <v>170525</v>
      </c>
      <c r="Q278" t="s">
        <v>406</v>
      </c>
      <c r="R278">
        <v>170525</v>
      </c>
    </row>
    <row r="279" spans="2:18">
      <c r="B279" t="s">
        <v>11</v>
      </c>
      <c r="C279">
        <v>330423465</v>
      </c>
      <c r="D279" t="s">
        <v>54</v>
      </c>
      <c r="E279">
        <v>380.5</v>
      </c>
      <c r="F279">
        <v>380.5</v>
      </c>
      <c r="J279" s="209">
        <v>45693</v>
      </c>
      <c r="K279" s="209">
        <v>45693</v>
      </c>
      <c r="M279" t="s">
        <v>11</v>
      </c>
      <c r="N279">
        <v>330423465</v>
      </c>
      <c r="O279">
        <v>170525</v>
      </c>
      <c r="Q279" t="s">
        <v>407</v>
      </c>
      <c r="R279">
        <v>170525</v>
      </c>
    </row>
    <row r="280" spans="2:18">
      <c r="B280" t="s">
        <v>11</v>
      </c>
      <c r="C280">
        <v>330423466</v>
      </c>
      <c r="D280" t="s">
        <v>54</v>
      </c>
      <c r="E280">
        <v>64.41</v>
      </c>
      <c r="F280">
        <v>64.41</v>
      </c>
      <c r="J280" s="209">
        <v>45693</v>
      </c>
      <c r="K280" s="209">
        <v>45693</v>
      </c>
      <c r="M280" t="s">
        <v>11</v>
      </c>
      <c r="N280">
        <v>330423466</v>
      </c>
      <c r="O280">
        <v>170525</v>
      </c>
      <c r="Q280" t="s">
        <v>408</v>
      </c>
      <c r="R280">
        <v>170525</v>
      </c>
    </row>
    <row r="281" spans="2:18">
      <c r="B281" t="s">
        <v>11</v>
      </c>
      <c r="C281">
        <v>330423467</v>
      </c>
      <c r="D281" t="s">
        <v>54</v>
      </c>
      <c r="E281">
        <v>154.80000000000001</v>
      </c>
      <c r="F281">
        <v>154.80000000000001</v>
      </c>
      <c r="J281" s="209">
        <v>45693</v>
      </c>
      <c r="K281" s="209">
        <v>45693</v>
      </c>
      <c r="M281" t="s">
        <v>11</v>
      </c>
      <c r="N281">
        <v>330423467</v>
      </c>
      <c r="O281">
        <v>170525</v>
      </c>
      <c r="Q281" t="s">
        <v>409</v>
      </c>
      <c r="R281">
        <v>170525</v>
      </c>
    </row>
    <row r="282" spans="2:18">
      <c r="B282" t="s">
        <v>11</v>
      </c>
      <c r="C282">
        <v>330423468</v>
      </c>
      <c r="D282" t="s">
        <v>54</v>
      </c>
      <c r="E282">
        <v>465.14</v>
      </c>
      <c r="F282">
        <v>465.14</v>
      </c>
      <c r="J282" s="209">
        <v>45693</v>
      </c>
      <c r="K282" s="209">
        <v>45693</v>
      </c>
      <c r="M282" t="s">
        <v>11</v>
      </c>
      <c r="N282">
        <v>330423468</v>
      </c>
      <c r="O282">
        <v>170525</v>
      </c>
      <c r="Q282" t="s">
        <v>410</v>
      </c>
      <c r="R282">
        <v>170525</v>
      </c>
    </row>
    <row r="283" spans="2:18">
      <c r="B283" t="s">
        <v>11</v>
      </c>
      <c r="C283">
        <v>330423469</v>
      </c>
      <c r="D283" t="s">
        <v>54</v>
      </c>
      <c r="E283">
        <v>901.3</v>
      </c>
      <c r="F283">
        <v>901.3</v>
      </c>
      <c r="J283" s="209">
        <v>45693</v>
      </c>
      <c r="K283" s="209">
        <v>45693</v>
      </c>
      <c r="M283" t="s">
        <v>11</v>
      </c>
      <c r="N283">
        <v>330423469</v>
      </c>
      <c r="O283">
        <v>170525</v>
      </c>
      <c r="Q283" t="s">
        <v>411</v>
      </c>
      <c r="R283">
        <v>170525</v>
      </c>
    </row>
    <row r="284" spans="2:18">
      <c r="B284" t="s">
        <v>11</v>
      </c>
      <c r="C284">
        <v>330423470</v>
      </c>
      <c r="D284" t="s">
        <v>54</v>
      </c>
      <c r="E284">
        <v>335.91</v>
      </c>
      <c r="F284">
        <v>335.91</v>
      </c>
      <c r="J284" s="209">
        <v>45693</v>
      </c>
      <c r="K284" s="209">
        <v>45693</v>
      </c>
      <c r="M284" t="s">
        <v>11</v>
      </c>
      <c r="N284">
        <v>330423470</v>
      </c>
      <c r="O284">
        <v>170525</v>
      </c>
      <c r="Q284" t="s">
        <v>143</v>
      </c>
      <c r="R284">
        <v>170525</v>
      </c>
    </row>
    <row r="285" spans="2:18">
      <c r="B285" t="s">
        <v>11</v>
      </c>
      <c r="C285">
        <v>330423471</v>
      </c>
      <c r="D285" t="s">
        <v>54</v>
      </c>
      <c r="E285">
        <v>208.8</v>
      </c>
      <c r="F285">
        <v>208.8</v>
      </c>
      <c r="J285" s="209">
        <v>45693</v>
      </c>
      <c r="K285" s="209">
        <v>45693</v>
      </c>
      <c r="M285" t="s">
        <v>11</v>
      </c>
      <c r="N285">
        <v>330423471</v>
      </c>
      <c r="O285">
        <v>170525</v>
      </c>
      <c r="Q285" t="s">
        <v>146</v>
      </c>
      <c r="R285">
        <v>170525</v>
      </c>
    </row>
    <row r="286" spans="2:18">
      <c r="B286" t="s">
        <v>11</v>
      </c>
      <c r="C286">
        <v>330423472</v>
      </c>
      <c r="D286" t="s">
        <v>54</v>
      </c>
      <c r="E286">
        <v>40.700000000000003</v>
      </c>
      <c r="F286">
        <v>40.700000000000003</v>
      </c>
      <c r="J286" s="209">
        <v>45693</v>
      </c>
      <c r="K286" s="209">
        <v>45693</v>
      </c>
      <c r="M286" t="s">
        <v>11</v>
      </c>
      <c r="N286">
        <v>330423472</v>
      </c>
      <c r="O286">
        <v>170525</v>
      </c>
      <c r="Q286" t="s">
        <v>412</v>
      </c>
      <c r="R286">
        <v>170525</v>
      </c>
    </row>
    <row r="287" spans="2:18">
      <c r="B287" t="s">
        <v>11</v>
      </c>
      <c r="C287">
        <v>330423474</v>
      </c>
      <c r="D287" t="s">
        <v>54</v>
      </c>
      <c r="E287">
        <v>500</v>
      </c>
      <c r="F287">
        <v>500</v>
      </c>
      <c r="J287" s="209">
        <v>45693</v>
      </c>
      <c r="K287" s="209">
        <v>45693</v>
      </c>
      <c r="M287" t="s">
        <v>11</v>
      </c>
      <c r="N287">
        <v>330423474</v>
      </c>
      <c r="O287">
        <v>170526</v>
      </c>
      <c r="Q287" t="s">
        <v>413</v>
      </c>
      <c r="R287">
        <v>170526</v>
      </c>
    </row>
    <row r="288" spans="2:18">
      <c r="B288" t="s">
        <v>11</v>
      </c>
      <c r="C288">
        <v>330423475</v>
      </c>
      <c r="D288" t="s">
        <v>54</v>
      </c>
      <c r="E288">
        <v>500</v>
      </c>
      <c r="F288">
        <v>500</v>
      </c>
      <c r="J288" s="209">
        <v>45693</v>
      </c>
      <c r="K288" s="209">
        <v>45693</v>
      </c>
      <c r="M288" t="s">
        <v>11</v>
      </c>
      <c r="N288">
        <v>330423475</v>
      </c>
      <c r="O288">
        <v>170526</v>
      </c>
      <c r="Q288" t="s">
        <v>68</v>
      </c>
      <c r="R288">
        <v>170526</v>
      </c>
    </row>
    <row r="289" spans="2:18">
      <c r="B289" t="s">
        <v>11</v>
      </c>
      <c r="C289">
        <v>330423476</v>
      </c>
      <c r="D289" t="s">
        <v>54</v>
      </c>
      <c r="E289">
        <v>500</v>
      </c>
      <c r="F289">
        <v>500</v>
      </c>
      <c r="J289" s="209">
        <v>45693</v>
      </c>
      <c r="K289" s="209">
        <v>45693</v>
      </c>
      <c r="M289" t="s">
        <v>11</v>
      </c>
      <c r="N289">
        <v>330423476</v>
      </c>
      <c r="O289">
        <v>170526</v>
      </c>
      <c r="Q289" t="s">
        <v>414</v>
      </c>
      <c r="R289">
        <v>170526</v>
      </c>
    </row>
    <row r="290" spans="2:18">
      <c r="B290" t="s">
        <v>11</v>
      </c>
      <c r="C290">
        <v>330423477</v>
      </c>
      <c r="D290" t="s">
        <v>54</v>
      </c>
      <c r="E290">
        <v>500</v>
      </c>
      <c r="F290">
        <v>500</v>
      </c>
      <c r="J290" s="209">
        <v>45693</v>
      </c>
      <c r="K290" s="209">
        <v>45693</v>
      </c>
      <c r="M290" t="s">
        <v>11</v>
      </c>
      <c r="N290">
        <v>330423477</v>
      </c>
      <c r="O290">
        <v>170526</v>
      </c>
      <c r="Q290" t="s">
        <v>415</v>
      </c>
      <c r="R290">
        <v>170526</v>
      </c>
    </row>
    <row r="291" spans="2:18">
      <c r="B291" t="s">
        <v>11</v>
      </c>
      <c r="C291">
        <v>330423478</v>
      </c>
      <c r="D291" t="s">
        <v>54</v>
      </c>
      <c r="E291">
        <v>500</v>
      </c>
      <c r="F291">
        <v>500</v>
      </c>
      <c r="J291" s="209">
        <v>45693</v>
      </c>
      <c r="K291" s="209">
        <v>45693</v>
      </c>
      <c r="M291" t="s">
        <v>11</v>
      </c>
      <c r="N291">
        <v>330423478</v>
      </c>
      <c r="O291">
        <v>170526</v>
      </c>
      <c r="Q291" t="s">
        <v>416</v>
      </c>
      <c r="R291">
        <v>170526</v>
      </c>
    </row>
    <row r="292" spans="2:18">
      <c r="B292" t="s">
        <v>11</v>
      </c>
      <c r="C292">
        <v>330423479</v>
      </c>
      <c r="D292" t="s">
        <v>54</v>
      </c>
      <c r="E292">
        <v>500</v>
      </c>
      <c r="F292">
        <v>500</v>
      </c>
      <c r="J292" s="209">
        <v>45693</v>
      </c>
      <c r="K292" s="209">
        <v>45693</v>
      </c>
      <c r="M292" t="s">
        <v>11</v>
      </c>
      <c r="N292">
        <v>330423479</v>
      </c>
      <c r="O292">
        <v>170526</v>
      </c>
      <c r="Q292" t="s">
        <v>417</v>
      </c>
      <c r="R292">
        <v>170526</v>
      </c>
    </row>
    <row r="293" spans="2:18">
      <c r="B293" t="s">
        <v>11</v>
      </c>
      <c r="C293">
        <v>330423480</v>
      </c>
      <c r="D293" t="s">
        <v>54</v>
      </c>
      <c r="E293">
        <v>500</v>
      </c>
      <c r="F293">
        <v>500</v>
      </c>
      <c r="J293" s="209">
        <v>45693</v>
      </c>
      <c r="K293" s="209">
        <v>45693</v>
      </c>
      <c r="M293" t="s">
        <v>11</v>
      </c>
      <c r="N293">
        <v>330423480</v>
      </c>
      <c r="O293">
        <v>170526</v>
      </c>
      <c r="Q293" t="s">
        <v>418</v>
      </c>
      <c r="R293">
        <v>170526</v>
      </c>
    </row>
    <row r="294" spans="2:18">
      <c r="B294" t="s">
        <v>11</v>
      </c>
      <c r="C294">
        <v>330423481</v>
      </c>
      <c r="D294" t="s">
        <v>54</v>
      </c>
      <c r="E294">
        <v>500</v>
      </c>
      <c r="F294">
        <v>500</v>
      </c>
      <c r="J294" s="209">
        <v>45693</v>
      </c>
      <c r="K294" s="209">
        <v>45693</v>
      </c>
      <c r="M294" t="s">
        <v>11</v>
      </c>
      <c r="N294">
        <v>330423481</v>
      </c>
      <c r="O294">
        <v>170526</v>
      </c>
      <c r="Q294" t="s">
        <v>419</v>
      </c>
      <c r="R294">
        <v>170526</v>
      </c>
    </row>
    <row r="295" spans="2:18">
      <c r="B295" t="s">
        <v>11</v>
      </c>
      <c r="C295">
        <v>330423482</v>
      </c>
      <c r="D295" t="s">
        <v>54</v>
      </c>
      <c r="E295">
        <v>500</v>
      </c>
      <c r="F295">
        <v>500</v>
      </c>
      <c r="J295" s="209">
        <v>45693</v>
      </c>
      <c r="K295" s="209">
        <v>45693</v>
      </c>
      <c r="M295" t="s">
        <v>11</v>
      </c>
      <c r="N295">
        <v>330423482</v>
      </c>
      <c r="O295">
        <v>170526</v>
      </c>
      <c r="Q295" t="s">
        <v>420</v>
      </c>
      <c r="R295">
        <v>170526</v>
      </c>
    </row>
    <row r="296" spans="2:18">
      <c r="B296" t="s">
        <v>11</v>
      </c>
      <c r="C296">
        <v>330423483</v>
      </c>
      <c r="D296" t="s">
        <v>54</v>
      </c>
      <c r="E296">
        <v>500</v>
      </c>
      <c r="F296">
        <v>500</v>
      </c>
      <c r="J296" s="209">
        <v>45693</v>
      </c>
      <c r="K296" s="209">
        <v>45693</v>
      </c>
      <c r="M296" t="s">
        <v>11</v>
      </c>
      <c r="N296">
        <v>330423483</v>
      </c>
      <c r="O296">
        <v>170526</v>
      </c>
      <c r="Q296" t="s">
        <v>421</v>
      </c>
      <c r="R296">
        <v>170526</v>
      </c>
    </row>
    <row r="297" spans="2:18">
      <c r="B297" t="s">
        <v>11</v>
      </c>
      <c r="C297">
        <v>330423484</v>
      </c>
      <c r="D297" t="s">
        <v>54</v>
      </c>
      <c r="E297">
        <v>500</v>
      </c>
      <c r="F297">
        <v>500</v>
      </c>
      <c r="J297" s="209">
        <v>45693</v>
      </c>
      <c r="K297" s="209">
        <v>45693</v>
      </c>
      <c r="M297" t="s">
        <v>11</v>
      </c>
      <c r="N297">
        <v>330423484</v>
      </c>
      <c r="O297">
        <v>170526</v>
      </c>
      <c r="Q297" t="s">
        <v>422</v>
      </c>
      <c r="R297">
        <v>170526</v>
      </c>
    </row>
    <row r="298" spans="2:18">
      <c r="B298" t="s">
        <v>11</v>
      </c>
      <c r="C298">
        <v>330423485</v>
      </c>
      <c r="D298" t="s">
        <v>54</v>
      </c>
      <c r="E298">
        <v>500</v>
      </c>
      <c r="F298">
        <v>500</v>
      </c>
      <c r="J298" s="209">
        <v>45693</v>
      </c>
      <c r="K298" s="209">
        <v>45693</v>
      </c>
      <c r="M298" t="s">
        <v>11</v>
      </c>
      <c r="N298">
        <v>330423485</v>
      </c>
      <c r="O298">
        <v>170526</v>
      </c>
      <c r="Q298" t="s">
        <v>423</v>
      </c>
      <c r="R298">
        <v>170526</v>
      </c>
    </row>
    <row r="299" spans="2:18">
      <c r="B299" t="s">
        <v>11</v>
      </c>
      <c r="C299">
        <v>330423486</v>
      </c>
      <c r="D299" t="s">
        <v>54</v>
      </c>
      <c r="E299">
        <v>500</v>
      </c>
      <c r="F299">
        <v>500</v>
      </c>
      <c r="J299" s="209">
        <v>45693</v>
      </c>
      <c r="K299" s="209">
        <v>45693</v>
      </c>
      <c r="M299" t="s">
        <v>11</v>
      </c>
      <c r="N299">
        <v>330423486</v>
      </c>
      <c r="O299">
        <v>170526</v>
      </c>
      <c r="Q299" t="s">
        <v>424</v>
      </c>
      <c r="R299">
        <v>170526</v>
      </c>
    </row>
    <row r="300" spans="2:18">
      <c r="B300" t="s">
        <v>11</v>
      </c>
      <c r="C300">
        <v>330423487</v>
      </c>
      <c r="D300" t="s">
        <v>54</v>
      </c>
      <c r="E300">
        <v>500</v>
      </c>
      <c r="F300">
        <v>500</v>
      </c>
      <c r="J300" s="209">
        <v>45693</v>
      </c>
      <c r="K300" s="209">
        <v>45693</v>
      </c>
      <c r="M300" t="s">
        <v>11</v>
      </c>
      <c r="N300">
        <v>330423487</v>
      </c>
      <c r="O300">
        <v>170526</v>
      </c>
      <c r="Q300" t="s">
        <v>425</v>
      </c>
      <c r="R300">
        <v>170526</v>
      </c>
    </row>
    <row r="301" spans="2:18">
      <c r="B301" t="s">
        <v>11</v>
      </c>
      <c r="C301">
        <v>330423488</v>
      </c>
      <c r="D301" t="s">
        <v>54</v>
      </c>
      <c r="E301">
        <v>500</v>
      </c>
      <c r="F301">
        <v>500</v>
      </c>
      <c r="J301" s="209">
        <v>45693</v>
      </c>
      <c r="K301" s="209">
        <v>45693</v>
      </c>
      <c r="M301" t="s">
        <v>11</v>
      </c>
      <c r="N301">
        <v>330423488</v>
      </c>
      <c r="O301">
        <v>170526</v>
      </c>
      <c r="Q301" t="s">
        <v>133</v>
      </c>
      <c r="R301">
        <v>170526</v>
      </c>
    </row>
    <row r="302" spans="2:18">
      <c r="B302" t="s">
        <v>11</v>
      </c>
      <c r="C302">
        <v>330423489</v>
      </c>
      <c r="D302" t="s">
        <v>54</v>
      </c>
      <c r="E302">
        <v>500</v>
      </c>
      <c r="F302">
        <v>500</v>
      </c>
      <c r="J302" s="209">
        <v>45693</v>
      </c>
      <c r="K302" s="209">
        <v>45693</v>
      </c>
      <c r="M302" t="s">
        <v>11</v>
      </c>
      <c r="N302">
        <v>330423489</v>
      </c>
      <c r="O302">
        <v>170526</v>
      </c>
      <c r="Q302" t="s">
        <v>426</v>
      </c>
      <c r="R302">
        <v>170526</v>
      </c>
    </row>
    <row r="303" spans="2:18">
      <c r="B303" t="s">
        <v>11</v>
      </c>
      <c r="C303">
        <v>330423490</v>
      </c>
      <c r="D303" t="s">
        <v>54</v>
      </c>
      <c r="E303">
        <v>500</v>
      </c>
      <c r="F303">
        <v>500</v>
      </c>
      <c r="J303" s="209">
        <v>45693</v>
      </c>
      <c r="K303" s="209">
        <v>45693</v>
      </c>
      <c r="M303" t="s">
        <v>11</v>
      </c>
      <c r="N303">
        <v>330423490</v>
      </c>
      <c r="O303">
        <v>170526</v>
      </c>
      <c r="Q303" t="s">
        <v>427</v>
      </c>
      <c r="R303">
        <v>170526</v>
      </c>
    </row>
    <row r="304" spans="2:18">
      <c r="B304" t="s">
        <v>11</v>
      </c>
      <c r="C304">
        <v>330423492</v>
      </c>
      <c r="D304" t="s">
        <v>54</v>
      </c>
      <c r="E304">
        <v>432.26</v>
      </c>
      <c r="F304">
        <v>432.26</v>
      </c>
      <c r="J304" s="209">
        <v>45693</v>
      </c>
      <c r="K304" s="209">
        <v>45693</v>
      </c>
      <c r="M304" t="s">
        <v>11</v>
      </c>
      <c r="N304">
        <v>330423492</v>
      </c>
      <c r="O304">
        <v>170571</v>
      </c>
      <c r="Q304" t="s">
        <v>428</v>
      </c>
      <c r="R304">
        <v>170571</v>
      </c>
    </row>
    <row r="305" spans="2:18">
      <c r="B305" t="s">
        <v>11</v>
      </c>
      <c r="C305">
        <v>330423493</v>
      </c>
      <c r="D305" t="s">
        <v>54</v>
      </c>
      <c r="E305">
        <v>125</v>
      </c>
      <c r="F305">
        <v>125</v>
      </c>
      <c r="J305" s="209">
        <v>45693</v>
      </c>
      <c r="K305" s="209">
        <v>45693</v>
      </c>
      <c r="M305" t="s">
        <v>11</v>
      </c>
      <c r="N305">
        <v>330423493</v>
      </c>
      <c r="O305">
        <v>170571</v>
      </c>
      <c r="Q305" t="s">
        <v>271</v>
      </c>
      <c r="R305">
        <v>170571</v>
      </c>
    </row>
    <row r="306" spans="2:18">
      <c r="B306" t="s">
        <v>11</v>
      </c>
      <c r="C306">
        <v>330423494</v>
      </c>
      <c r="D306" t="s">
        <v>54</v>
      </c>
      <c r="E306">
        <v>283.56</v>
      </c>
      <c r="F306">
        <v>283.56</v>
      </c>
      <c r="J306" s="209">
        <v>45693</v>
      </c>
      <c r="K306" s="209">
        <v>45693</v>
      </c>
      <c r="M306" t="s">
        <v>11</v>
      </c>
      <c r="N306">
        <v>330423494</v>
      </c>
      <c r="O306">
        <v>170571</v>
      </c>
      <c r="Q306" t="s">
        <v>429</v>
      </c>
      <c r="R306">
        <v>170571</v>
      </c>
    </row>
    <row r="307" spans="2:18">
      <c r="B307" t="s">
        <v>11</v>
      </c>
      <c r="C307">
        <v>330423495</v>
      </c>
      <c r="D307" t="s">
        <v>54</v>
      </c>
      <c r="E307">
        <v>55</v>
      </c>
      <c r="F307">
        <v>55</v>
      </c>
      <c r="J307" s="209">
        <v>45693</v>
      </c>
      <c r="K307" s="209">
        <v>45693</v>
      </c>
      <c r="M307" t="s">
        <v>11</v>
      </c>
      <c r="N307">
        <v>330423495</v>
      </c>
      <c r="O307">
        <v>170571</v>
      </c>
      <c r="Q307" t="s">
        <v>61</v>
      </c>
      <c r="R307">
        <v>170571</v>
      </c>
    </row>
    <row r="308" spans="2:18">
      <c r="B308" t="s">
        <v>11</v>
      </c>
      <c r="C308">
        <v>330423496</v>
      </c>
      <c r="D308" t="s">
        <v>54</v>
      </c>
      <c r="E308" s="202">
        <v>3319.02</v>
      </c>
      <c r="F308">
        <v>3319.02</v>
      </c>
      <c r="J308" s="209">
        <v>45693</v>
      </c>
      <c r="K308" s="209">
        <v>45693</v>
      </c>
      <c r="M308" t="s">
        <v>11</v>
      </c>
      <c r="N308">
        <v>330423496</v>
      </c>
      <c r="O308">
        <v>170571</v>
      </c>
      <c r="Q308" t="s">
        <v>430</v>
      </c>
      <c r="R308">
        <v>170571</v>
      </c>
    </row>
    <row r="309" spans="2:18">
      <c r="B309" t="s">
        <v>11</v>
      </c>
      <c r="C309">
        <v>330423497</v>
      </c>
      <c r="D309" t="s">
        <v>54</v>
      </c>
      <c r="E309">
        <v>99.82</v>
      </c>
      <c r="F309">
        <v>99.82</v>
      </c>
      <c r="J309" s="209">
        <v>45693</v>
      </c>
      <c r="K309" s="209">
        <v>45693</v>
      </c>
      <c r="M309" t="s">
        <v>11</v>
      </c>
      <c r="N309">
        <v>330423497</v>
      </c>
      <c r="O309">
        <v>170571</v>
      </c>
      <c r="Q309" t="s">
        <v>431</v>
      </c>
      <c r="R309">
        <v>170571</v>
      </c>
    </row>
    <row r="310" spans="2:18">
      <c r="B310" t="s">
        <v>11</v>
      </c>
      <c r="C310">
        <v>330423498</v>
      </c>
      <c r="D310" t="s">
        <v>54</v>
      </c>
      <c r="E310">
        <v>139.66999999999999</v>
      </c>
      <c r="F310">
        <v>139.66999999999999</v>
      </c>
      <c r="J310" s="209">
        <v>45693</v>
      </c>
      <c r="K310" s="209">
        <v>45693</v>
      </c>
      <c r="M310" t="s">
        <v>11</v>
      </c>
      <c r="N310">
        <v>330423498</v>
      </c>
      <c r="O310">
        <v>170571</v>
      </c>
      <c r="Q310" t="s">
        <v>432</v>
      </c>
      <c r="R310">
        <v>170571</v>
      </c>
    </row>
    <row r="311" spans="2:18">
      <c r="B311" t="s">
        <v>11</v>
      </c>
      <c r="C311">
        <v>330423499</v>
      </c>
      <c r="D311" t="s">
        <v>54</v>
      </c>
      <c r="E311">
        <v>457.36</v>
      </c>
      <c r="F311">
        <v>457.36</v>
      </c>
      <c r="J311" s="209">
        <v>45693</v>
      </c>
      <c r="K311" s="209">
        <v>45693</v>
      </c>
      <c r="M311" t="s">
        <v>11</v>
      </c>
      <c r="N311">
        <v>330423499</v>
      </c>
      <c r="O311">
        <v>170571</v>
      </c>
      <c r="Q311" t="s">
        <v>433</v>
      </c>
      <c r="R311">
        <v>170571</v>
      </c>
    </row>
    <row r="312" spans="2:18">
      <c r="B312" t="s">
        <v>11</v>
      </c>
      <c r="C312">
        <v>330423500</v>
      </c>
      <c r="D312" t="s">
        <v>54</v>
      </c>
      <c r="E312" s="202">
        <v>1121.5999999999999</v>
      </c>
      <c r="F312">
        <v>1121.5999999999999</v>
      </c>
      <c r="J312" s="209">
        <v>45693</v>
      </c>
      <c r="K312" s="209">
        <v>45693</v>
      </c>
      <c r="M312" t="s">
        <v>11</v>
      </c>
      <c r="N312">
        <v>330423500</v>
      </c>
      <c r="O312">
        <v>170571</v>
      </c>
      <c r="Q312" t="s">
        <v>306</v>
      </c>
      <c r="R312">
        <v>170571</v>
      </c>
    </row>
    <row r="313" spans="2:18">
      <c r="B313" t="s">
        <v>11</v>
      </c>
      <c r="C313">
        <v>330423501</v>
      </c>
      <c r="D313" t="s">
        <v>54</v>
      </c>
      <c r="E313">
        <v>272.75</v>
      </c>
      <c r="F313">
        <v>272.75</v>
      </c>
      <c r="J313" s="209">
        <v>45693</v>
      </c>
      <c r="K313" s="209">
        <v>45693</v>
      </c>
      <c r="M313" t="s">
        <v>11</v>
      </c>
      <c r="N313">
        <v>330423501</v>
      </c>
      <c r="O313">
        <v>170571</v>
      </c>
      <c r="Q313" t="s">
        <v>434</v>
      </c>
      <c r="R313">
        <v>170571</v>
      </c>
    </row>
    <row r="314" spans="2:18">
      <c r="B314" t="s">
        <v>11</v>
      </c>
      <c r="C314">
        <v>330423502</v>
      </c>
      <c r="D314" t="s">
        <v>54</v>
      </c>
      <c r="E314">
        <v>864.52</v>
      </c>
      <c r="F314">
        <v>864.52</v>
      </c>
      <c r="J314" s="209">
        <v>45693</v>
      </c>
      <c r="K314" s="209">
        <v>45693</v>
      </c>
      <c r="M314" t="s">
        <v>11</v>
      </c>
      <c r="N314">
        <v>330423502</v>
      </c>
      <c r="O314">
        <v>170571</v>
      </c>
      <c r="Q314" t="s">
        <v>435</v>
      </c>
      <c r="R314">
        <v>170571</v>
      </c>
    </row>
    <row r="315" spans="2:18">
      <c r="B315" t="s">
        <v>11</v>
      </c>
      <c r="C315">
        <v>330423503</v>
      </c>
      <c r="D315" t="s">
        <v>54</v>
      </c>
      <c r="E315">
        <v>515.5</v>
      </c>
      <c r="F315">
        <v>515.5</v>
      </c>
      <c r="J315" s="209">
        <v>45693</v>
      </c>
      <c r="K315" s="209">
        <v>45693</v>
      </c>
      <c r="M315" t="s">
        <v>11</v>
      </c>
      <c r="N315">
        <v>330423503</v>
      </c>
      <c r="O315">
        <v>170571</v>
      </c>
      <c r="Q315" t="s">
        <v>436</v>
      </c>
      <c r="R315">
        <v>170571</v>
      </c>
    </row>
    <row r="316" spans="2:18">
      <c r="B316" t="s">
        <v>11</v>
      </c>
      <c r="C316">
        <v>330423504</v>
      </c>
      <c r="D316" t="s">
        <v>54</v>
      </c>
      <c r="E316">
        <v>232.26</v>
      </c>
      <c r="F316">
        <v>232.26</v>
      </c>
      <c r="J316" s="209">
        <v>45693</v>
      </c>
      <c r="K316" s="209">
        <v>45693</v>
      </c>
      <c r="M316" t="s">
        <v>11</v>
      </c>
      <c r="N316">
        <v>330423504</v>
      </c>
      <c r="O316">
        <v>170571</v>
      </c>
      <c r="Q316" t="s">
        <v>84</v>
      </c>
      <c r="R316">
        <v>170571</v>
      </c>
    </row>
    <row r="317" spans="2:18">
      <c r="B317" t="s">
        <v>11</v>
      </c>
      <c r="C317">
        <v>330423505</v>
      </c>
      <c r="D317" t="s">
        <v>54</v>
      </c>
      <c r="E317">
        <v>49.15</v>
      </c>
      <c r="F317">
        <v>49.15</v>
      </c>
      <c r="J317" s="209">
        <v>45693</v>
      </c>
      <c r="K317" s="209">
        <v>45693</v>
      </c>
      <c r="M317" t="s">
        <v>11</v>
      </c>
      <c r="N317">
        <v>330423505</v>
      </c>
      <c r="O317">
        <v>170571</v>
      </c>
      <c r="Q317" t="s">
        <v>437</v>
      </c>
      <c r="R317">
        <v>170571</v>
      </c>
    </row>
    <row r="318" spans="2:18">
      <c r="B318" t="s">
        <v>11</v>
      </c>
      <c r="C318">
        <v>330423506</v>
      </c>
      <c r="D318" t="s">
        <v>54</v>
      </c>
      <c r="E318">
        <v>143.5</v>
      </c>
      <c r="F318">
        <v>143.5</v>
      </c>
      <c r="J318" s="209">
        <v>45693</v>
      </c>
      <c r="K318" s="209">
        <v>45693</v>
      </c>
      <c r="M318" t="s">
        <v>11</v>
      </c>
      <c r="N318">
        <v>330423506</v>
      </c>
      <c r="O318">
        <v>170571</v>
      </c>
      <c r="Q318" t="s">
        <v>438</v>
      </c>
      <c r="R318">
        <v>170571</v>
      </c>
    </row>
    <row r="319" spans="2:18">
      <c r="B319" t="s">
        <v>11</v>
      </c>
      <c r="C319">
        <v>330423507</v>
      </c>
      <c r="D319" t="s">
        <v>54</v>
      </c>
      <c r="E319">
        <v>12</v>
      </c>
      <c r="F319">
        <v>12</v>
      </c>
      <c r="J319" s="209">
        <v>45693</v>
      </c>
      <c r="K319" s="209">
        <v>45693</v>
      </c>
      <c r="M319" t="s">
        <v>11</v>
      </c>
      <c r="N319">
        <v>330423507</v>
      </c>
      <c r="O319">
        <v>170571</v>
      </c>
      <c r="Q319" t="s">
        <v>439</v>
      </c>
      <c r="R319">
        <v>170571</v>
      </c>
    </row>
    <row r="320" spans="2:18">
      <c r="B320" t="s">
        <v>11</v>
      </c>
      <c r="C320">
        <v>330423508</v>
      </c>
      <c r="D320" t="s">
        <v>54</v>
      </c>
      <c r="E320">
        <v>71</v>
      </c>
      <c r="F320">
        <v>71</v>
      </c>
      <c r="J320" s="209">
        <v>45693</v>
      </c>
      <c r="K320" s="209">
        <v>45693</v>
      </c>
      <c r="M320" t="s">
        <v>11</v>
      </c>
      <c r="N320">
        <v>330423508</v>
      </c>
      <c r="O320">
        <v>170571</v>
      </c>
      <c r="Q320" t="s">
        <v>440</v>
      </c>
      <c r="R320">
        <v>170571</v>
      </c>
    </row>
    <row r="321" spans="2:18">
      <c r="B321" t="s">
        <v>11</v>
      </c>
      <c r="C321">
        <v>330423509</v>
      </c>
      <c r="D321" t="s">
        <v>54</v>
      </c>
      <c r="E321">
        <v>125.85</v>
      </c>
      <c r="F321">
        <v>125.85</v>
      </c>
      <c r="J321" s="209">
        <v>45693</v>
      </c>
      <c r="K321" s="209">
        <v>45693</v>
      </c>
      <c r="M321" t="s">
        <v>11</v>
      </c>
      <c r="N321">
        <v>330423509</v>
      </c>
      <c r="O321">
        <v>170571</v>
      </c>
      <c r="Q321" t="s">
        <v>118</v>
      </c>
      <c r="R321">
        <v>170571</v>
      </c>
    </row>
    <row r="322" spans="2:18">
      <c r="B322" t="s">
        <v>11</v>
      </c>
      <c r="C322">
        <v>330423510</v>
      </c>
      <c r="D322" t="s">
        <v>54</v>
      </c>
      <c r="E322">
        <v>91.95</v>
      </c>
      <c r="F322">
        <v>91.95</v>
      </c>
      <c r="J322" s="209">
        <v>45693</v>
      </c>
      <c r="K322" s="209">
        <v>45693</v>
      </c>
      <c r="M322" t="s">
        <v>11</v>
      </c>
      <c r="N322">
        <v>330423510</v>
      </c>
      <c r="O322">
        <v>170571</v>
      </c>
      <c r="Q322" t="s">
        <v>441</v>
      </c>
      <c r="R322">
        <v>170571</v>
      </c>
    </row>
    <row r="323" spans="2:18">
      <c r="B323" t="s">
        <v>11</v>
      </c>
      <c r="C323">
        <v>330423511</v>
      </c>
      <c r="D323" t="s">
        <v>54</v>
      </c>
      <c r="E323">
        <v>39.86</v>
      </c>
      <c r="F323">
        <v>39.86</v>
      </c>
      <c r="J323" s="209">
        <v>45693</v>
      </c>
      <c r="K323" s="209">
        <v>45693</v>
      </c>
      <c r="M323" t="s">
        <v>11</v>
      </c>
      <c r="N323">
        <v>330423511</v>
      </c>
      <c r="O323">
        <v>170571</v>
      </c>
      <c r="Q323" t="s">
        <v>442</v>
      </c>
      <c r="R323">
        <v>170571</v>
      </c>
    </row>
    <row r="324" spans="2:18">
      <c r="B324" t="s">
        <v>11</v>
      </c>
      <c r="C324">
        <v>330423512</v>
      </c>
      <c r="D324" t="s">
        <v>54</v>
      </c>
      <c r="E324">
        <v>919.69</v>
      </c>
      <c r="F324">
        <v>919.69</v>
      </c>
      <c r="J324" s="209">
        <v>45693</v>
      </c>
      <c r="K324" s="209">
        <v>45693</v>
      </c>
      <c r="M324" t="s">
        <v>11</v>
      </c>
      <c r="N324">
        <v>330423512</v>
      </c>
      <c r="O324">
        <v>170571</v>
      </c>
      <c r="Q324" t="s">
        <v>443</v>
      </c>
      <c r="R324">
        <v>170571</v>
      </c>
    </row>
    <row r="325" spans="2:18">
      <c r="B325" t="s">
        <v>11</v>
      </c>
      <c r="C325">
        <v>330423513</v>
      </c>
      <c r="D325" t="s">
        <v>54</v>
      </c>
      <c r="E325">
        <v>432.26</v>
      </c>
      <c r="F325">
        <v>432.26</v>
      </c>
      <c r="J325" s="209">
        <v>45693</v>
      </c>
      <c r="K325" s="209">
        <v>45693</v>
      </c>
      <c r="M325" t="s">
        <v>11</v>
      </c>
      <c r="N325">
        <v>330423513</v>
      </c>
      <c r="O325">
        <v>170571</v>
      </c>
      <c r="Q325" t="s">
        <v>444</v>
      </c>
      <c r="R325">
        <v>170571</v>
      </c>
    </row>
    <row r="326" spans="2:18">
      <c r="B326" t="s">
        <v>11</v>
      </c>
      <c r="C326">
        <v>330423514</v>
      </c>
      <c r="D326" t="s">
        <v>54</v>
      </c>
      <c r="E326">
        <v>669.32</v>
      </c>
      <c r="F326">
        <v>669.32</v>
      </c>
      <c r="J326" s="209">
        <v>45693</v>
      </c>
      <c r="K326" s="209">
        <v>45693</v>
      </c>
      <c r="M326" t="s">
        <v>11</v>
      </c>
      <c r="N326">
        <v>330423514</v>
      </c>
      <c r="O326">
        <v>170571</v>
      </c>
      <c r="Q326" t="s">
        <v>445</v>
      </c>
      <c r="R326">
        <v>170571</v>
      </c>
    </row>
    <row r="327" spans="2:18">
      <c r="B327" t="s">
        <v>11</v>
      </c>
      <c r="C327">
        <v>330423515</v>
      </c>
      <c r="D327" t="s">
        <v>54</v>
      </c>
      <c r="E327">
        <v>133.13999999999999</v>
      </c>
      <c r="F327">
        <v>133.13999999999999</v>
      </c>
      <c r="J327" s="209">
        <v>45693</v>
      </c>
      <c r="K327" s="209">
        <v>45693</v>
      </c>
      <c r="M327" t="s">
        <v>11</v>
      </c>
      <c r="N327">
        <v>330423515</v>
      </c>
      <c r="O327">
        <v>170571</v>
      </c>
      <c r="Q327" t="s">
        <v>134</v>
      </c>
      <c r="R327">
        <v>170571</v>
      </c>
    </row>
    <row r="328" spans="2:18">
      <c r="B328" t="s">
        <v>11</v>
      </c>
      <c r="C328">
        <v>330423516</v>
      </c>
      <c r="D328" t="s">
        <v>54</v>
      </c>
      <c r="E328">
        <v>77.88</v>
      </c>
      <c r="F328">
        <v>77.88</v>
      </c>
      <c r="J328" s="209">
        <v>45693</v>
      </c>
      <c r="K328" s="209">
        <v>45693</v>
      </c>
      <c r="M328" t="s">
        <v>11</v>
      </c>
      <c r="N328">
        <v>330423516</v>
      </c>
      <c r="O328">
        <v>170571</v>
      </c>
      <c r="Q328" t="s">
        <v>446</v>
      </c>
      <c r="R328">
        <v>170571</v>
      </c>
    </row>
    <row r="329" spans="2:18">
      <c r="B329" t="s">
        <v>11</v>
      </c>
      <c r="C329">
        <v>330423517</v>
      </c>
      <c r="D329" t="s">
        <v>54</v>
      </c>
      <c r="E329">
        <v>901.3</v>
      </c>
      <c r="F329">
        <v>901.3</v>
      </c>
      <c r="J329" s="209">
        <v>45693</v>
      </c>
      <c r="K329" s="209">
        <v>45693</v>
      </c>
      <c r="M329" t="s">
        <v>11</v>
      </c>
      <c r="N329">
        <v>330423517</v>
      </c>
      <c r="O329">
        <v>170571</v>
      </c>
      <c r="Q329" t="s">
        <v>387</v>
      </c>
      <c r="R329">
        <v>170571</v>
      </c>
    </row>
    <row r="330" spans="2:18">
      <c r="B330" t="s">
        <v>11</v>
      </c>
      <c r="C330">
        <v>330423518</v>
      </c>
      <c r="D330" t="s">
        <v>54</v>
      </c>
      <c r="E330">
        <v>215</v>
      </c>
      <c r="F330">
        <v>215</v>
      </c>
      <c r="J330" s="209">
        <v>45693</v>
      </c>
      <c r="K330" s="209">
        <v>45693</v>
      </c>
      <c r="M330" t="s">
        <v>11</v>
      </c>
      <c r="N330">
        <v>330423518</v>
      </c>
      <c r="O330">
        <v>170571</v>
      </c>
      <c r="Q330" t="s">
        <v>447</v>
      </c>
      <c r="R330">
        <v>170571</v>
      </c>
    </row>
    <row r="331" spans="2:18">
      <c r="B331" t="s">
        <v>11</v>
      </c>
      <c r="C331">
        <v>330423519</v>
      </c>
      <c r="D331" t="s">
        <v>54</v>
      </c>
      <c r="E331">
        <v>221.13</v>
      </c>
      <c r="F331">
        <v>221.13</v>
      </c>
      <c r="J331" s="209">
        <v>45693</v>
      </c>
      <c r="K331" s="209">
        <v>45693</v>
      </c>
      <c r="M331" t="s">
        <v>11</v>
      </c>
      <c r="N331">
        <v>330423519</v>
      </c>
      <c r="O331">
        <v>170571</v>
      </c>
      <c r="Q331" t="s">
        <v>448</v>
      </c>
      <c r="R331">
        <v>170571</v>
      </c>
    </row>
    <row r="332" spans="2:18">
      <c r="B332" t="s">
        <v>11</v>
      </c>
      <c r="C332">
        <v>330423520</v>
      </c>
      <c r="D332" t="s">
        <v>54</v>
      </c>
      <c r="E332">
        <v>18.39</v>
      </c>
      <c r="F332">
        <v>18.39</v>
      </c>
      <c r="J332" s="209">
        <v>45693</v>
      </c>
      <c r="K332" s="209">
        <v>45693</v>
      </c>
      <c r="M332" t="s">
        <v>11</v>
      </c>
      <c r="N332">
        <v>330423520</v>
      </c>
      <c r="O332">
        <v>170571</v>
      </c>
      <c r="Q332" t="s">
        <v>401</v>
      </c>
      <c r="R332">
        <v>170571</v>
      </c>
    </row>
    <row r="333" spans="2:18">
      <c r="B333" t="s">
        <v>11</v>
      </c>
      <c r="C333">
        <v>330423521</v>
      </c>
      <c r="D333" t="s">
        <v>54</v>
      </c>
      <c r="E333">
        <v>161.38</v>
      </c>
      <c r="F333">
        <v>161.38</v>
      </c>
      <c r="J333" s="209">
        <v>45693</v>
      </c>
      <c r="K333" s="209">
        <v>45693</v>
      </c>
      <c r="M333" t="s">
        <v>11</v>
      </c>
      <c r="N333">
        <v>330423521</v>
      </c>
      <c r="O333">
        <v>170571</v>
      </c>
      <c r="Q333" t="s">
        <v>449</v>
      </c>
      <c r="R333">
        <v>170571</v>
      </c>
    </row>
    <row r="334" spans="2:18">
      <c r="B334" t="s">
        <v>11</v>
      </c>
      <c r="C334">
        <v>330423522</v>
      </c>
      <c r="D334" t="s">
        <v>54</v>
      </c>
      <c r="E334">
        <v>46.08</v>
      </c>
      <c r="F334">
        <v>46.08</v>
      </c>
      <c r="J334" s="209">
        <v>45693</v>
      </c>
      <c r="K334" s="209">
        <v>45693</v>
      </c>
      <c r="M334" t="s">
        <v>11</v>
      </c>
      <c r="N334">
        <v>330423522</v>
      </c>
      <c r="O334">
        <v>170571</v>
      </c>
      <c r="Q334" t="s">
        <v>450</v>
      </c>
      <c r="R334">
        <v>170571</v>
      </c>
    </row>
    <row r="335" spans="2:18">
      <c r="B335" t="s">
        <v>11</v>
      </c>
      <c r="C335">
        <v>330423523</v>
      </c>
      <c r="D335" t="s">
        <v>54</v>
      </c>
      <c r="E335">
        <v>70.400000000000006</v>
      </c>
      <c r="F335">
        <v>70.400000000000006</v>
      </c>
      <c r="J335" s="209">
        <v>45693</v>
      </c>
      <c r="K335" s="209">
        <v>45693</v>
      </c>
      <c r="M335" t="s">
        <v>11</v>
      </c>
      <c r="N335">
        <v>330423523</v>
      </c>
      <c r="O335">
        <v>170571</v>
      </c>
      <c r="Q335" t="s">
        <v>451</v>
      </c>
      <c r="R335">
        <v>170571</v>
      </c>
    </row>
    <row r="336" spans="2:18">
      <c r="B336" t="s">
        <v>11</v>
      </c>
      <c r="C336">
        <v>330423524</v>
      </c>
      <c r="D336" t="s">
        <v>54</v>
      </c>
      <c r="E336">
        <v>864.52</v>
      </c>
      <c r="F336">
        <v>864.52</v>
      </c>
      <c r="J336" s="209">
        <v>45693</v>
      </c>
      <c r="K336" s="209">
        <v>45693</v>
      </c>
      <c r="M336" t="s">
        <v>11</v>
      </c>
      <c r="N336">
        <v>330423524</v>
      </c>
      <c r="O336">
        <v>170571</v>
      </c>
      <c r="Q336" t="s">
        <v>145</v>
      </c>
      <c r="R336">
        <v>170571</v>
      </c>
    </row>
    <row r="337" spans="2:18">
      <c r="B337" t="s">
        <v>11</v>
      </c>
      <c r="C337">
        <v>910037372</v>
      </c>
      <c r="D337" t="s">
        <v>54</v>
      </c>
      <c r="E337">
        <v>500</v>
      </c>
      <c r="F337">
        <v>500</v>
      </c>
      <c r="J337" s="209">
        <v>45693</v>
      </c>
      <c r="K337" s="209">
        <v>45693</v>
      </c>
      <c r="M337" t="s">
        <v>11</v>
      </c>
      <c r="N337">
        <v>910037372</v>
      </c>
      <c r="O337">
        <v>170527</v>
      </c>
      <c r="Q337" t="s">
        <v>452</v>
      </c>
      <c r="R337">
        <v>170527</v>
      </c>
    </row>
    <row r="338" spans="2:18">
      <c r="B338" t="s">
        <v>11</v>
      </c>
      <c r="C338">
        <v>910037374</v>
      </c>
      <c r="D338" t="s">
        <v>54</v>
      </c>
      <c r="E338" s="202">
        <v>2230.1</v>
      </c>
      <c r="F338">
        <v>2230.1</v>
      </c>
      <c r="J338" s="209">
        <v>45693</v>
      </c>
      <c r="K338" s="209">
        <v>45693</v>
      </c>
      <c r="M338" t="s">
        <v>11</v>
      </c>
      <c r="N338">
        <v>910037374</v>
      </c>
      <c r="O338">
        <v>170546</v>
      </c>
      <c r="Q338" t="s">
        <v>453</v>
      </c>
      <c r="R338">
        <v>170546</v>
      </c>
    </row>
    <row r="339" spans="2:18">
      <c r="B339" t="s">
        <v>11</v>
      </c>
      <c r="C339">
        <v>910037381</v>
      </c>
      <c r="D339" t="s">
        <v>54</v>
      </c>
      <c r="E339" s="202">
        <v>2436.11</v>
      </c>
      <c r="F339">
        <v>2436.11</v>
      </c>
      <c r="J339" s="209">
        <v>45693</v>
      </c>
      <c r="K339" s="209">
        <v>45693</v>
      </c>
      <c r="M339" t="s">
        <v>11</v>
      </c>
      <c r="N339">
        <v>910037381</v>
      </c>
      <c r="O339">
        <v>170530</v>
      </c>
      <c r="Q339" t="s">
        <v>149</v>
      </c>
      <c r="R339">
        <v>170530</v>
      </c>
    </row>
    <row r="340" spans="2:18">
      <c r="B340" t="s">
        <v>11</v>
      </c>
      <c r="C340">
        <v>910037388</v>
      </c>
      <c r="D340" t="s">
        <v>54</v>
      </c>
      <c r="E340">
        <v>12.44</v>
      </c>
      <c r="F340">
        <v>12.44</v>
      </c>
      <c r="J340" s="209">
        <v>45693</v>
      </c>
      <c r="K340" s="209">
        <v>45693</v>
      </c>
      <c r="M340" t="s">
        <v>11</v>
      </c>
      <c r="N340">
        <v>910037388</v>
      </c>
      <c r="O340" t="s">
        <v>156</v>
      </c>
      <c r="Q340" t="s">
        <v>152</v>
      </c>
    </row>
    <row r="341" spans="2:18">
      <c r="B341" t="s">
        <v>11</v>
      </c>
      <c r="C341">
        <v>910037390</v>
      </c>
      <c r="D341" t="s">
        <v>54</v>
      </c>
      <c r="E341" s="202">
        <v>4248.28</v>
      </c>
      <c r="F341">
        <v>4248.28</v>
      </c>
      <c r="J341" s="209">
        <v>45693</v>
      </c>
      <c r="K341" s="209">
        <v>45693</v>
      </c>
      <c r="M341" t="s">
        <v>11</v>
      </c>
      <c r="N341">
        <v>910037390</v>
      </c>
      <c r="O341">
        <v>170558</v>
      </c>
      <c r="Q341" t="s">
        <v>151</v>
      </c>
      <c r="R341">
        <v>170558</v>
      </c>
    </row>
    <row r="342" spans="2:18">
      <c r="B342" t="s">
        <v>11</v>
      </c>
      <c r="C342">
        <v>910037391</v>
      </c>
      <c r="D342" t="s">
        <v>54</v>
      </c>
      <c r="E342" s="202">
        <v>4965.4799999999996</v>
      </c>
      <c r="F342">
        <v>4965.4799999999996</v>
      </c>
      <c r="J342" s="209">
        <v>45693</v>
      </c>
      <c r="K342" s="209">
        <v>45693</v>
      </c>
      <c r="M342" t="s">
        <v>11</v>
      </c>
      <c r="N342">
        <v>910037391</v>
      </c>
      <c r="O342">
        <v>170558</v>
      </c>
      <c r="Q342" t="s">
        <v>454</v>
      </c>
      <c r="R342">
        <v>170558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5287E-7DD1-471A-B3B0-94D08A91A568}">
  <sheetPr>
    <tabColor theme="0"/>
  </sheetPr>
  <dimension ref="A1:M157"/>
  <sheetViews>
    <sheetView showGridLines="0" topLeftCell="F69" workbookViewId="0">
      <selection activeCell="I70" sqref="I70:M84"/>
    </sheetView>
  </sheetViews>
  <sheetFormatPr defaultRowHeight="13.8"/>
  <cols>
    <col min="1" max="1" width="4.8984375" bestFit="1" customWidth="1"/>
    <col min="2" max="2" width="15.09765625" bestFit="1" customWidth="1"/>
    <col min="3" max="3" width="7.8984375" bestFit="1" customWidth="1"/>
    <col min="4" max="4" width="14.8984375" bestFit="1" customWidth="1"/>
    <col min="5" max="5" width="16.3984375" style="8" bestFit="1" customWidth="1"/>
    <col min="6" max="6" width="12.69921875" bestFit="1" customWidth="1"/>
    <col min="7" max="7" width="13.296875" bestFit="1" customWidth="1"/>
    <col min="8" max="8" width="38.69921875" bestFit="1" customWidth="1"/>
    <col min="9" max="9" width="24.3984375" customWidth="1"/>
    <col min="10" max="10" width="31.8984375" style="8" bestFit="1" customWidth="1"/>
    <col min="11" max="11" width="15.3984375" bestFit="1" customWidth="1"/>
    <col min="12" max="12" width="20.3984375" bestFit="1" customWidth="1"/>
  </cols>
  <sheetData>
    <row r="1" spans="1:10">
      <c r="A1" s="2" t="s">
        <v>0</v>
      </c>
      <c r="B1" s="3" t="s">
        <v>1</v>
      </c>
      <c r="C1" s="3" t="s">
        <v>2</v>
      </c>
      <c r="D1" s="3" t="s">
        <v>455</v>
      </c>
      <c r="E1" s="9" t="s">
        <v>36</v>
      </c>
      <c r="F1" s="110" t="s">
        <v>456</v>
      </c>
      <c r="G1" s="3" t="s">
        <v>3</v>
      </c>
      <c r="H1" s="4" t="s">
        <v>4</v>
      </c>
      <c r="I1" s="5" t="s">
        <v>5</v>
      </c>
      <c r="J1" s="7" t="s">
        <v>6</v>
      </c>
    </row>
    <row r="2" spans="1:10">
      <c r="A2">
        <v>1</v>
      </c>
      <c r="B2" t="s">
        <v>7</v>
      </c>
      <c r="C2">
        <v>2130870</v>
      </c>
      <c r="D2" s="1">
        <v>45541</v>
      </c>
      <c r="E2" s="13">
        <v>4735.8500000000004</v>
      </c>
      <c r="F2" t="s">
        <v>32</v>
      </c>
      <c r="G2" t="s">
        <v>9</v>
      </c>
      <c r="I2" s="115">
        <v>165219</v>
      </c>
      <c r="J2" s="79">
        <v>12746.179999999998</v>
      </c>
    </row>
    <row r="3" spans="1:10">
      <c r="A3">
        <v>2</v>
      </c>
      <c r="B3" t="s">
        <v>7</v>
      </c>
      <c r="C3">
        <v>2130870</v>
      </c>
      <c r="D3" s="1">
        <v>45541</v>
      </c>
      <c r="E3" s="13">
        <v>18608.66</v>
      </c>
      <c r="F3" t="s">
        <v>8</v>
      </c>
      <c r="G3" t="s">
        <v>9</v>
      </c>
      <c r="I3" s="118">
        <v>165222</v>
      </c>
      <c r="J3" s="18">
        <v>92275.840000000011</v>
      </c>
    </row>
    <row r="4" spans="1:10">
      <c r="A4">
        <v>3</v>
      </c>
      <c r="B4" t="s">
        <v>13</v>
      </c>
      <c r="C4">
        <v>2050612</v>
      </c>
      <c r="D4" s="1">
        <v>45541</v>
      </c>
      <c r="E4" s="13">
        <v>0.86</v>
      </c>
      <c r="G4" t="s">
        <v>9</v>
      </c>
      <c r="I4" s="155">
        <v>165223</v>
      </c>
      <c r="J4" s="154">
        <v>929701.6399999999</v>
      </c>
    </row>
    <row r="5" spans="1:10">
      <c r="A5">
        <v>4</v>
      </c>
      <c r="B5" t="s">
        <v>7</v>
      </c>
      <c r="C5">
        <v>2060855</v>
      </c>
      <c r="D5" s="1">
        <v>45541</v>
      </c>
      <c r="E5" s="13">
        <v>10000000</v>
      </c>
      <c r="F5" t="s">
        <v>457</v>
      </c>
      <c r="G5" t="s">
        <v>9</v>
      </c>
      <c r="I5" s="139">
        <v>165226</v>
      </c>
      <c r="J5" s="138">
        <v>125.14</v>
      </c>
    </row>
    <row r="6" spans="1:10">
      <c r="A6">
        <v>5</v>
      </c>
      <c r="B6" t="s">
        <v>13</v>
      </c>
      <c r="C6">
        <v>2050752</v>
      </c>
      <c r="D6" s="1">
        <v>45541</v>
      </c>
      <c r="E6" s="13">
        <v>775749.15</v>
      </c>
      <c r="G6" t="s">
        <v>9</v>
      </c>
      <c r="I6" s="135">
        <v>165229</v>
      </c>
      <c r="J6" s="132">
        <v>125.14</v>
      </c>
    </row>
    <row r="7" spans="1:10">
      <c r="A7">
        <v>6</v>
      </c>
      <c r="B7" t="s">
        <v>13</v>
      </c>
      <c r="C7">
        <v>2050752</v>
      </c>
      <c r="D7" s="1">
        <v>45541</v>
      </c>
      <c r="E7" s="13">
        <v>113250.88</v>
      </c>
      <c r="G7" t="s">
        <v>9</v>
      </c>
      <c r="I7" s="131">
        <v>165231</v>
      </c>
      <c r="J7" s="130">
        <v>1512.82</v>
      </c>
    </row>
    <row r="8" spans="1:10" ht="14.4" thickBot="1">
      <c r="A8" s="198">
        <v>7</v>
      </c>
      <c r="B8" s="198" t="s">
        <v>7</v>
      </c>
      <c r="C8" s="198">
        <v>2050900</v>
      </c>
      <c r="D8" s="199">
        <v>45541</v>
      </c>
      <c r="E8" s="200">
        <v>13044.79</v>
      </c>
      <c r="F8" s="198" t="s">
        <v>458</v>
      </c>
      <c r="G8" s="198" t="s">
        <v>9</v>
      </c>
      <c r="H8" s="198" t="s">
        <v>459</v>
      </c>
      <c r="I8" s="143">
        <v>165232</v>
      </c>
      <c r="J8" s="142">
        <v>130.27000000000001</v>
      </c>
    </row>
    <row r="9" spans="1:10">
      <c r="A9" s="156">
        <v>8</v>
      </c>
      <c r="B9" s="156" t="s">
        <v>11</v>
      </c>
      <c r="C9" s="156">
        <v>1170470</v>
      </c>
      <c r="D9" s="157">
        <v>45541</v>
      </c>
      <c r="E9" s="158">
        <v>1880</v>
      </c>
      <c r="F9" s="156"/>
      <c r="G9" s="156" t="s">
        <v>9</v>
      </c>
      <c r="I9" s="114">
        <v>165245</v>
      </c>
      <c r="J9" s="22">
        <v>14.01</v>
      </c>
    </row>
    <row r="10" spans="1:10">
      <c r="A10" s="156">
        <v>9</v>
      </c>
      <c r="B10" s="156" t="s">
        <v>11</v>
      </c>
      <c r="C10" s="156">
        <v>1170470</v>
      </c>
      <c r="D10" s="157">
        <v>45541</v>
      </c>
      <c r="E10" s="158">
        <v>1155</v>
      </c>
      <c r="F10" s="156"/>
      <c r="G10" s="156" t="s">
        <v>9</v>
      </c>
      <c r="I10" s="127">
        <v>165246</v>
      </c>
      <c r="J10" s="126">
        <v>13747.04</v>
      </c>
    </row>
    <row r="11" spans="1:10">
      <c r="A11" s="156">
        <v>12</v>
      </c>
      <c r="B11" s="156" t="s">
        <v>11</v>
      </c>
      <c r="C11" s="156">
        <v>1170470</v>
      </c>
      <c r="D11" s="157">
        <v>45541</v>
      </c>
      <c r="E11" s="158">
        <v>1155</v>
      </c>
      <c r="F11" s="156"/>
      <c r="G11" s="156" t="s">
        <v>9</v>
      </c>
      <c r="I11" s="160">
        <v>165247</v>
      </c>
      <c r="J11" s="161">
        <v>567606.01</v>
      </c>
    </row>
    <row r="12" spans="1:10">
      <c r="A12" s="152">
        <v>13</v>
      </c>
      <c r="B12" s="152" t="s">
        <v>11</v>
      </c>
      <c r="C12" s="152">
        <v>1040211</v>
      </c>
      <c r="D12" s="153">
        <v>45541</v>
      </c>
      <c r="E12" s="154">
        <v>565955.6</v>
      </c>
      <c r="F12" s="152"/>
      <c r="G12" s="152" t="s">
        <v>9</v>
      </c>
      <c r="H12" s="192"/>
      <c r="I12" s="123">
        <v>165249</v>
      </c>
      <c r="J12" s="25">
        <v>286.2</v>
      </c>
    </row>
    <row r="13" spans="1:10">
      <c r="A13" s="124">
        <v>19</v>
      </c>
      <c r="B13" s="124" t="s">
        <v>11</v>
      </c>
      <c r="C13" s="124">
        <v>1200393</v>
      </c>
      <c r="D13" s="125">
        <v>45541</v>
      </c>
      <c r="E13" s="126">
        <v>13507.04</v>
      </c>
      <c r="F13" s="124"/>
      <c r="G13" s="124" t="s">
        <v>9</v>
      </c>
      <c r="I13" s="113">
        <v>165252</v>
      </c>
      <c r="J13" s="83">
        <v>812.25</v>
      </c>
    </row>
    <row r="14" spans="1:10">
      <c r="A14" s="148">
        <v>20</v>
      </c>
      <c r="B14" s="148" t="s">
        <v>11</v>
      </c>
      <c r="C14" s="148">
        <v>1200393</v>
      </c>
      <c r="D14" s="149">
        <v>45541</v>
      </c>
      <c r="E14" s="150">
        <v>4101.6400000000003</v>
      </c>
      <c r="F14" s="148"/>
      <c r="G14" s="148" t="s">
        <v>9</v>
      </c>
      <c r="I14" s="151">
        <v>165262</v>
      </c>
      <c r="J14" s="150">
        <v>49583.749999999985</v>
      </c>
    </row>
    <row r="15" spans="1:10">
      <c r="A15" s="148">
        <v>21</v>
      </c>
      <c r="B15" s="148" t="s">
        <v>11</v>
      </c>
      <c r="C15" s="148">
        <v>1040211</v>
      </c>
      <c r="D15" s="149">
        <v>45541</v>
      </c>
      <c r="E15" s="150">
        <v>45482.11</v>
      </c>
      <c r="F15" s="148"/>
      <c r="G15" s="148" t="s">
        <v>9</v>
      </c>
      <c r="I15" s="147">
        <v>165264</v>
      </c>
      <c r="J15" s="144">
        <v>233.52</v>
      </c>
    </row>
    <row r="16" spans="1:10">
      <c r="A16" s="162">
        <v>22</v>
      </c>
      <c r="B16" s="162" t="s">
        <v>11</v>
      </c>
      <c r="C16" s="162">
        <v>1040211</v>
      </c>
      <c r="D16" s="163">
        <v>45541</v>
      </c>
      <c r="E16" s="161">
        <v>567606.01</v>
      </c>
      <c r="F16" s="162"/>
      <c r="G16" s="162" t="s">
        <v>9</v>
      </c>
      <c r="I16" s="117">
        <v>165265</v>
      </c>
      <c r="J16" s="33">
        <v>411924.46999999991</v>
      </c>
    </row>
    <row r="17" spans="1:11">
      <c r="A17" s="32">
        <v>23</v>
      </c>
      <c r="B17" s="32" t="s">
        <v>11</v>
      </c>
      <c r="C17" s="32">
        <v>1040211</v>
      </c>
      <c r="D17" s="62">
        <v>45541</v>
      </c>
      <c r="E17" s="33">
        <v>411924.47</v>
      </c>
      <c r="F17" s="32"/>
      <c r="G17" s="32" t="s">
        <v>9</v>
      </c>
      <c r="I17" s="119">
        <v>165268</v>
      </c>
      <c r="J17" s="120">
        <v>763557.01</v>
      </c>
    </row>
    <row r="18" spans="1:11">
      <c r="A18" s="17">
        <v>25</v>
      </c>
      <c r="B18" s="17" t="s">
        <v>11</v>
      </c>
      <c r="C18" s="17">
        <v>1200393</v>
      </c>
      <c r="D18" s="27">
        <v>45541</v>
      </c>
      <c r="E18" s="18">
        <v>9942.0499999999993</v>
      </c>
      <c r="F18" s="17"/>
      <c r="G18" s="17" t="s">
        <v>9</v>
      </c>
      <c r="I18" s="159" t="s">
        <v>460</v>
      </c>
      <c r="J18" s="158">
        <v>6070</v>
      </c>
    </row>
    <row r="19" spans="1:11" ht="14.4">
      <c r="A19" s="17">
        <v>26</v>
      </c>
      <c r="B19" s="17" t="s">
        <v>11</v>
      </c>
      <c r="C19" s="17">
        <v>1040211</v>
      </c>
      <c r="D19" s="27">
        <v>45541</v>
      </c>
      <c r="E19" s="18">
        <v>82333.789999999994</v>
      </c>
      <c r="F19" s="17"/>
      <c r="G19" s="17" t="s">
        <v>9</v>
      </c>
      <c r="I19" s="190" t="s">
        <v>461</v>
      </c>
      <c r="J19" s="191">
        <v>29447.3</v>
      </c>
      <c r="K19" s="64"/>
    </row>
    <row r="20" spans="1:11">
      <c r="A20" s="152">
        <v>27</v>
      </c>
      <c r="B20" s="152" t="s">
        <v>11</v>
      </c>
      <c r="C20" s="152">
        <v>1200393</v>
      </c>
      <c r="D20" s="153">
        <v>45541</v>
      </c>
      <c r="E20" s="154">
        <v>3492.49</v>
      </c>
      <c r="F20" s="152"/>
      <c r="G20" s="152" t="s">
        <v>9</v>
      </c>
      <c r="I20" s="37" t="s">
        <v>462</v>
      </c>
      <c r="J20" s="39">
        <v>4870.1000000000004</v>
      </c>
    </row>
    <row r="21" spans="1:11">
      <c r="A21" s="152">
        <v>28</v>
      </c>
      <c r="B21" s="152" t="s">
        <v>11</v>
      </c>
      <c r="C21" s="152">
        <v>1200393</v>
      </c>
      <c r="D21" s="153">
        <v>45541</v>
      </c>
      <c r="E21" s="154">
        <v>360253.55</v>
      </c>
      <c r="F21" s="152"/>
      <c r="G21" s="152" t="s">
        <v>9</v>
      </c>
      <c r="I21" s="37" t="s">
        <v>463</v>
      </c>
      <c r="J21" s="39">
        <v>29447.3</v>
      </c>
    </row>
    <row r="22" spans="1:11" ht="14.4">
      <c r="A22" s="77">
        <v>30</v>
      </c>
      <c r="B22" s="77" t="s">
        <v>11</v>
      </c>
      <c r="C22" s="77">
        <v>1040211</v>
      </c>
      <c r="D22" s="78">
        <v>45541</v>
      </c>
      <c r="E22" s="79">
        <v>4336.2700000000004</v>
      </c>
      <c r="F22" s="77"/>
      <c r="G22" s="77" t="s">
        <v>9</v>
      </c>
      <c r="I22" s="207" t="s">
        <v>464</v>
      </c>
      <c r="J22" s="205">
        <v>76813.09</v>
      </c>
      <c r="K22" t="s">
        <v>465</v>
      </c>
    </row>
    <row r="23" spans="1:11">
      <c r="A23" s="77">
        <v>31</v>
      </c>
      <c r="B23" s="77" t="s">
        <v>11</v>
      </c>
      <c r="C23" s="77">
        <v>1200393</v>
      </c>
      <c r="D23" s="78">
        <v>45541</v>
      </c>
      <c r="E23" s="79">
        <v>8409.91</v>
      </c>
      <c r="F23" s="77"/>
      <c r="G23" s="77" t="s">
        <v>9</v>
      </c>
      <c r="I23" s="192" t="s">
        <v>466</v>
      </c>
      <c r="J23" s="194">
        <v>3035121.91</v>
      </c>
    </row>
    <row r="24" spans="1:11" ht="14.4">
      <c r="A24" s="37">
        <v>32</v>
      </c>
      <c r="B24" s="37" t="s">
        <v>12</v>
      </c>
      <c r="C24" s="37">
        <v>1040352</v>
      </c>
      <c r="D24" s="38">
        <v>45541</v>
      </c>
      <c r="E24" s="39">
        <v>596.98</v>
      </c>
      <c r="F24" s="76" t="s">
        <v>467</v>
      </c>
      <c r="G24" s="37" t="s">
        <v>9</v>
      </c>
      <c r="H24" s="203" t="s">
        <v>468</v>
      </c>
      <c r="I24" s="37" t="s">
        <v>469</v>
      </c>
      <c r="J24" s="39">
        <v>765989.83</v>
      </c>
    </row>
    <row r="25" spans="1:11" ht="14.4">
      <c r="A25" s="37">
        <v>33</v>
      </c>
      <c r="B25" s="37" t="s">
        <v>12</v>
      </c>
      <c r="C25" s="37">
        <v>1040352</v>
      </c>
      <c r="D25" s="38">
        <v>45541</v>
      </c>
      <c r="E25" s="39">
        <v>986.43</v>
      </c>
      <c r="F25" s="76" t="s">
        <v>467</v>
      </c>
      <c r="G25" s="37" t="s">
        <v>9</v>
      </c>
      <c r="H25" s="203" t="s">
        <v>468</v>
      </c>
      <c r="I25" t="s">
        <v>470</v>
      </c>
      <c r="J25" s="8">
        <v>76813.09</v>
      </c>
      <c r="K25" t="s">
        <v>471</v>
      </c>
    </row>
    <row r="26" spans="1:11" ht="14.4">
      <c r="A26" s="37">
        <v>34</v>
      </c>
      <c r="B26" s="37" t="s">
        <v>12</v>
      </c>
      <c r="C26" s="37">
        <v>1040352</v>
      </c>
      <c r="D26" s="38">
        <v>45541</v>
      </c>
      <c r="E26" s="39">
        <v>870.32</v>
      </c>
      <c r="F26" s="76" t="s">
        <v>467</v>
      </c>
      <c r="G26" s="37" t="s">
        <v>9</v>
      </c>
      <c r="H26" s="203" t="s">
        <v>468</v>
      </c>
    </row>
    <row r="27" spans="1:11" ht="14.4">
      <c r="A27" s="37">
        <v>35</v>
      </c>
      <c r="B27" s="37" t="s">
        <v>12</v>
      </c>
      <c r="C27" s="37">
        <v>1040352</v>
      </c>
      <c r="D27" s="38">
        <v>45541</v>
      </c>
      <c r="E27" s="39">
        <v>105.77</v>
      </c>
      <c r="F27" s="76" t="s">
        <v>467</v>
      </c>
      <c r="G27" s="37" t="s">
        <v>9</v>
      </c>
      <c r="H27" s="203" t="s">
        <v>468</v>
      </c>
    </row>
    <row r="28" spans="1:11" ht="14.4">
      <c r="A28" s="37">
        <v>36</v>
      </c>
      <c r="B28" s="37" t="s">
        <v>12</v>
      </c>
      <c r="C28" s="37">
        <v>1040352</v>
      </c>
      <c r="D28" s="38">
        <v>45541</v>
      </c>
      <c r="E28" s="39">
        <v>689.85</v>
      </c>
      <c r="F28" s="76" t="s">
        <v>467</v>
      </c>
      <c r="G28" s="37" t="s">
        <v>9</v>
      </c>
      <c r="H28" s="203" t="s">
        <v>468</v>
      </c>
    </row>
    <row r="29" spans="1:11" ht="14.4">
      <c r="A29" s="37">
        <v>37</v>
      </c>
      <c r="B29" s="37" t="s">
        <v>12</v>
      </c>
      <c r="C29" s="37">
        <v>1040352</v>
      </c>
      <c r="D29" s="38">
        <v>45541</v>
      </c>
      <c r="E29" s="39">
        <v>49.95</v>
      </c>
      <c r="F29" s="76" t="s">
        <v>467</v>
      </c>
      <c r="G29" s="37" t="s">
        <v>9</v>
      </c>
      <c r="H29" s="203" t="s">
        <v>468</v>
      </c>
    </row>
    <row r="30" spans="1:11" ht="14.4">
      <c r="A30" s="37">
        <v>38</v>
      </c>
      <c r="B30" s="37" t="s">
        <v>12</v>
      </c>
      <c r="C30" s="37">
        <v>1040352</v>
      </c>
      <c r="D30" s="38">
        <v>45541</v>
      </c>
      <c r="E30" s="39">
        <v>104.13</v>
      </c>
      <c r="F30" s="76" t="s">
        <v>467</v>
      </c>
      <c r="G30" s="37" t="s">
        <v>9</v>
      </c>
      <c r="H30" s="203" t="s">
        <v>468</v>
      </c>
    </row>
    <row r="31" spans="1:11" ht="14.4">
      <c r="A31" s="37">
        <v>39</v>
      </c>
      <c r="B31" s="37" t="s">
        <v>12</v>
      </c>
      <c r="C31" s="37">
        <v>1040352</v>
      </c>
      <c r="D31" s="38">
        <v>45541</v>
      </c>
      <c r="E31" s="39">
        <v>2345.4</v>
      </c>
      <c r="F31" s="76" t="s">
        <v>467</v>
      </c>
      <c r="G31" s="37" t="s">
        <v>9</v>
      </c>
      <c r="H31" s="203" t="s">
        <v>468</v>
      </c>
    </row>
    <row r="32" spans="1:11" ht="14.4">
      <c r="A32" s="37">
        <v>40</v>
      </c>
      <c r="B32" s="37" t="s">
        <v>12</v>
      </c>
      <c r="C32" s="37">
        <v>1040352</v>
      </c>
      <c r="D32" s="38">
        <v>45541</v>
      </c>
      <c r="E32" s="39">
        <v>150</v>
      </c>
      <c r="F32" s="76" t="s">
        <v>467</v>
      </c>
      <c r="G32" s="37" t="s">
        <v>9</v>
      </c>
      <c r="H32" s="203" t="s">
        <v>468</v>
      </c>
    </row>
    <row r="33" spans="1:8" ht="14.4">
      <c r="A33" s="37">
        <v>41</v>
      </c>
      <c r="B33" s="37" t="s">
        <v>12</v>
      </c>
      <c r="C33" s="37">
        <v>1040352</v>
      </c>
      <c r="D33" s="38">
        <v>45541</v>
      </c>
      <c r="E33" s="39">
        <v>1562.85</v>
      </c>
      <c r="F33" s="76" t="s">
        <v>467</v>
      </c>
      <c r="G33" s="37" t="s">
        <v>9</v>
      </c>
      <c r="H33" s="203" t="s">
        <v>468</v>
      </c>
    </row>
    <row r="34" spans="1:8" ht="14.4">
      <c r="A34" s="37">
        <v>42</v>
      </c>
      <c r="B34" s="37" t="s">
        <v>12</v>
      </c>
      <c r="C34" s="37">
        <v>1040352</v>
      </c>
      <c r="D34" s="38">
        <v>45541</v>
      </c>
      <c r="E34" s="39">
        <v>49.95</v>
      </c>
      <c r="F34" s="76" t="s">
        <v>467</v>
      </c>
      <c r="G34" s="37" t="s">
        <v>9</v>
      </c>
      <c r="H34" s="203" t="s">
        <v>468</v>
      </c>
    </row>
    <row r="35" spans="1:8" ht="14.4">
      <c r="A35" s="37">
        <v>43</v>
      </c>
      <c r="B35" s="37" t="s">
        <v>12</v>
      </c>
      <c r="C35" s="37">
        <v>1040352</v>
      </c>
      <c r="D35" s="38">
        <v>45541</v>
      </c>
      <c r="E35" s="39">
        <v>1280.72</v>
      </c>
      <c r="F35" s="76" t="s">
        <v>467</v>
      </c>
      <c r="G35" s="37" t="s">
        <v>9</v>
      </c>
      <c r="H35" s="203" t="s">
        <v>468</v>
      </c>
    </row>
    <row r="36" spans="1:8" ht="14.4">
      <c r="A36" s="37">
        <v>44</v>
      </c>
      <c r="B36" s="37" t="s">
        <v>12</v>
      </c>
      <c r="C36" s="37">
        <v>1040352</v>
      </c>
      <c r="D36" s="38">
        <v>45541</v>
      </c>
      <c r="E36" s="39">
        <v>703.45</v>
      </c>
      <c r="F36" s="76" t="s">
        <v>467</v>
      </c>
      <c r="G36" s="37" t="s">
        <v>9</v>
      </c>
      <c r="H36" s="203" t="s">
        <v>468</v>
      </c>
    </row>
    <row r="37" spans="1:8" ht="14.4">
      <c r="A37" s="37">
        <v>45</v>
      </c>
      <c r="B37" s="37" t="s">
        <v>12</v>
      </c>
      <c r="C37" s="37">
        <v>1040352</v>
      </c>
      <c r="D37" s="38">
        <v>45541</v>
      </c>
      <c r="E37" s="39">
        <v>810.29</v>
      </c>
      <c r="F37" s="76" t="s">
        <v>467</v>
      </c>
      <c r="G37" s="37" t="s">
        <v>9</v>
      </c>
      <c r="H37" s="203" t="s">
        <v>468</v>
      </c>
    </row>
    <row r="38" spans="1:8" ht="14.4">
      <c r="A38" s="37">
        <v>46</v>
      </c>
      <c r="B38" s="37" t="s">
        <v>12</v>
      </c>
      <c r="C38" s="37">
        <v>1040352</v>
      </c>
      <c r="D38" s="38">
        <v>45541</v>
      </c>
      <c r="E38" s="39">
        <v>49.95</v>
      </c>
      <c r="F38" s="76" t="s">
        <v>467</v>
      </c>
      <c r="G38" s="37" t="s">
        <v>9</v>
      </c>
      <c r="H38" s="203" t="s">
        <v>468</v>
      </c>
    </row>
    <row r="39" spans="1:8" ht="14.4">
      <c r="A39" s="37">
        <v>47</v>
      </c>
      <c r="B39" s="37" t="s">
        <v>12</v>
      </c>
      <c r="C39" s="37">
        <v>1040352</v>
      </c>
      <c r="D39" s="38">
        <v>45541</v>
      </c>
      <c r="E39" s="39">
        <v>49.95</v>
      </c>
      <c r="F39" s="76" t="s">
        <v>467</v>
      </c>
      <c r="G39" s="37" t="s">
        <v>9</v>
      </c>
      <c r="H39" s="203" t="s">
        <v>468</v>
      </c>
    </row>
    <row r="40" spans="1:8" ht="14.4">
      <c r="A40" s="37">
        <v>48</v>
      </c>
      <c r="B40" s="37" t="s">
        <v>12</v>
      </c>
      <c r="C40" s="37">
        <v>1040352</v>
      </c>
      <c r="D40" s="38">
        <v>45541</v>
      </c>
      <c r="E40" s="39">
        <v>1445.75</v>
      </c>
      <c r="F40" s="76" t="s">
        <v>467</v>
      </c>
      <c r="G40" s="37" t="s">
        <v>9</v>
      </c>
      <c r="H40" s="203" t="s">
        <v>468</v>
      </c>
    </row>
    <row r="41" spans="1:8" ht="14.4">
      <c r="A41" s="37">
        <v>49</v>
      </c>
      <c r="B41" s="37" t="s">
        <v>12</v>
      </c>
      <c r="C41" s="37">
        <v>1040352</v>
      </c>
      <c r="D41" s="38">
        <v>45541</v>
      </c>
      <c r="E41" s="39">
        <v>49.95</v>
      </c>
      <c r="F41" s="76" t="s">
        <v>467</v>
      </c>
      <c r="G41" s="37" t="s">
        <v>9</v>
      </c>
      <c r="H41" s="203" t="s">
        <v>468</v>
      </c>
    </row>
    <row r="42" spans="1:8" ht="14.4">
      <c r="A42" s="37">
        <v>50</v>
      </c>
      <c r="B42" s="37" t="s">
        <v>12</v>
      </c>
      <c r="C42" s="37">
        <v>1040352</v>
      </c>
      <c r="D42" s="38">
        <v>45541</v>
      </c>
      <c r="E42" s="39">
        <v>12.4</v>
      </c>
      <c r="F42" s="76" t="s">
        <v>467</v>
      </c>
      <c r="G42" s="37" t="s">
        <v>9</v>
      </c>
      <c r="H42" s="203" t="s">
        <v>468</v>
      </c>
    </row>
    <row r="43" spans="1:8" ht="14.4">
      <c r="A43" s="37">
        <v>51</v>
      </c>
      <c r="B43" s="37" t="s">
        <v>12</v>
      </c>
      <c r="C43" s="37">
        <v>1040352</v>
      </c>
      <c r="D43" s="38">
        <v>45541</v>
      </c>
      <c r="E43" s="39">
        <v>2269.6799999999998</v>
      </c>
      <c r="F43" s="76" t="s">
        <v>467</v>
      </c>
      <c r="G43" s="37" t="s">
        <v>9</v>
      </c>
      <c r="H43" s="203" t="s">
        <v>468</v>
      </c>
    </row>
    <row r="44" spans="1:8" ht="14.4">
      <c r="A44" s="37">
        <v>52</v>
      </c>
      <c r="B44" s="37" t="s">
        <v>12</v>
      </c>
      <c r="C44" s="37">
        <v>1040352</v>
      </c>
      <c r="D44" s="38">
        <v>45541</v>
      </c>
      <c r="E44" s="39">
        <v>250</v>
      </c>
      <c r="F44" s="76" t="s">
        <v>467</v>
      </c>
      <c r="G44" s="37" t="s">
        <v>9</v>
      </c>
      <c r="H44" s="203" t="s">
        <v>468</v>
      </c>
    </row>
    <row r="45" spans="1:8" ht="14.4">
      <c r="A45" s="37">
        <v>53</v>
      </c>
      <c r="B45" s="37" t="s">
        <v>12</v>
      </c>
      <c r="C45" s="37">
        <v>1040352</v>
      </c>
      <c r="D45" s="38">
        <v>45541</v>
      </c>
      <c r="E45" s="39">
        <v>284.51</v>
      </c>
      <c r="F45" s="76" t="s">
        <v>467</v>
      </c>
      <c r="G45" s="37" t="s">
        <v>9</v>
      </c>
      <c r="H45" s="203" t="s">
        <v>468</v>
      </c>
    </row>
    <row r="46" spans="1:8" ht="14.4">
      <c r="A46" s="37">
        <v>54</v>
      </c>
      <c r="B46" s="37" t="s">
        <v>12</v>
      </c>
      <c r="C46" s="37">
        <v>1040352</v>
      </c>
      <c r="D46" s="38">
        <v>45541</v>
      </c>
      <c r="E46" s="39">
        <v>257.39999999999998</v>
      </c>
      <c r="F46" s="76" t="s">
        <v>467</v>
      </c>
      <c r="G46" s="37" t="s">
        <v>9</v>
      </c>
      <c r="H46" s="203" t="s">
        <v>468</v>
      </c>
    </row>
    <row r="47" spans="1:8" ht="14.4">
      <c r="A47" s="37">
        <v>55</v>
      </c>
      <c r="B47" s="37" t="s">
        <v>12</v>
      </c>
      <c r="C47" s="37">
        <v>1040352</v>
      </c>
      <c r="D47" s="38">
        <v>45541</v>
      </c>
      <c r="E47" s="39">
        <v>1373.72</v>
      </c>
      <c r="F47" s="76" t="s">
        <v>467</v>
      </c>
      <c r="G47" s="37" t="s">
        <v>9</v>
      </c>
      <c r="H47" s="203" t="s">
        <v>468</v>
      </c>
    </row>
    <row r="48" spans="1:8" ht="14.4">
      <c r="A48" s="37">
        <v>56</v>
      </c>
      <c r="B48" s="37" t="s">
        <v>12</v>
      </c>
      <c r="C48" s="37">
        <v>1040352</v>
      </c>
      <c r="D48" s="38">
        <v>45541</v>
      </c>
      <c r="E48" s="39">
        <v>49.95</v>
      </c>
      <c r="F48" s="76" t="s">
        <v>467</v>
      </c>
      <c r="G48" s="37" t="s">
        <v>9</v>
      </c>
      <c r="H48" s="203" t="s">
        <v>468</v>
      </c>
    </row>
    <row r="49" spans="1:8" ht="14.4">
      <c r="A49" s="37">
        <v>57</v>
      </c>
      <c r="B49" s="37" t="s">
        <v>12</v>
      </c>
      <c r="C49" s="37">
        <v>1040352</v>
      </c>
      <c r="D49" s="38">
        <v>45541</v>
      </c>
      <c r="E49" s="39">
        <v>581.9</v>
      </c>
      <c r="F49" s="76" t="s">
        <v>467</v>
      </c>
      <c r="G49" s="37" t="s">
        <v>9</v>
      </c>
      <c r="H49" s="203" t="s">
        <v>468</v>
      </c>
    </row>
    <row r="50" spans="1:8" ht="14.4">
      <c r="A50" s="37">
        <v>58</v>
      </c>
      <c r="B50" s="37" t="s">
        <v>12</v>
      </c>
      <c r="C50" s="37">
        <v>1040352</v>
      </c>
      <c r="D50" s="38">
        <v>45541</v>
      </c>
      <c r="E50" s="39">
        <v>49.95</v>
      </c>
      <c r="F50" s="76" t="s">
        <v>467</v>
      </c>
      <c r="G50" s="37" t="s">
        <v>9</v>
      </c>
      <c r="H50" s="203" t="s">
        <v>468</v>
      </c>
    </row>
    <row r="51" spans="1:8" ht="14.4">
      <c r="A51" s="37">
        <v>59</v>
      </c>
      <c r="B51" s="37" t="s">
        <v>12</v>
      </c>
      <c r="C51" s="37">
        <v>1040352</v>
      </c>
      <c r="D51" s="38">
        <v>45541</v>
      </c>
      <c r="E51" s="39">
        <v>437.89</v>
      </c>
      <c r="F51" s="76" t="s">
        <v>467</v>
      </c>
      <c r="G51" s="37" t="s">
        <v>9</v>
      </c>
      <c r="H51" s="203" t="s">
        <v>468</v>
      </c>
    </row>
    <row r="52" spans="1:8" ht="14.4">
      <c r="A52" s="37">
        <v>60</v>
      </c>
      <c r="B52" s="37" t="s">
        <v>12</v>
      </c>
      <c r="C52" s="37">
        <v>1040352</v>
      </c>
      <c r="D52" s="38">
        <v>45541</v>
      </c>
      <c r="E52" s="39">
        <v>49.95</v>
      </c>
      <c r="F52" s="76" t="s">
        <v>467</v>
      </c>
      <c r="G52" s="37" t="s">
        <v>9</v>
      </c>
      <c r="H52" s="203" t="s">
        <v>468</v>
      </c>
    </row>
    <row r="53" spans="1:8" ht="14.4">
      <c r="A53" s="37">
        <v>61</v>
      </c>
      <c r="B53" s="37" t="s">
        <v>12</v>
      </c>
      <c r="C53" s="37">
        <v>1040352</v>
      </c>
      <c r="D53" s="38">
        <v>45541</v>
      </c>
      <c r="E53" s="39">
        <v>529.97</v>
      </c>
      <c r="F53" s="76" t="s">
        <v>467</v>
      </c>
      <c r="G53" s="37" t="s">
        <v>9</v>
      </c>
      <c r="H53" s="203" t="s">
        <v>468</v>
      </c>
    </row>
    <row r="54" spans="1:8" ht="14.4">
      <c r="A54" s="37">
        <v>62</v>
      </c>
      <c r="B54" s="37" t="s">
        <v>12</v>
      </c>
      <c r="C54" s="37">
        <v>1040352</v>
      </c>
      <c r="D54" s="38">
        <v>45541</v>
      </c>
      <c r="E54" s="39">
        <v>49.95</v>
      </c>
      <c r="F54" s="76" t="s">
        <v>467</v>
      </c>
      <c r="G54" s="37" t="s">
        <v>9</v>
      </c>
      <c r="H54" s="203" t="s">
        <v>468</v>
      </c>
    </row>
    <row r="55" spans="1:8" ht="14.4">
      <c r="A55" s="37">
        <v>63</v>
      </c>
      <c r="B55" s="37" t="s">
        <v>12</v>
      </c>
      <c r="C55" s="37">
        <v>1040352</v>
      </c>
      <c r="D55" s="38">
        <v>45541</v>
      </c>
      <c r="E55" s="39">
        <v>766.43</v>
      </c>
      <c r="F55" s="76" t="s">
        <v>467</v>
      </c>
      <c r="G55" s="37" t="s">
        <v>9</v>
      </c>
      <c r="H55" s="203" t="s">
        <v>468</v>
      </c>
    </row>
    <row r="56" spans="1:8" ht="14.4">
      <c r="A56" s="37">
        <v>64</v>
      </c>
      <c r="B56" s="37" t="s">
        <v>12</v>
      </c>
      <c r="C56" s="37">
        <v>1040352</v>
      </c>
      <c r="D56" s="38">
        <v>45541</v>
      </c>
      <c r="E56" s="39">
        <v>49.95</v>
      </c>
      <c r="F56" s="76" t="s">
        <v>467</v>
      </c>
      <c r="G56" s="37" t="s">
        <v>9</v>
      </c>
      <c r="H56" s="203" t="s">
        <v>468</v>
      </c>
    </row>
    <row r="57" spans="1:8" ht="14.4">
      <c r="A57" s="37">
        <v>65</v>
      </c>
      <c r="B57" s="37" t="s">
        <v>12</v>
      </c>
      <c r="C57" s="37">
        <v>1040352</v>
      </c>
      <c r="D57" s="38">
        <v>45541</v>
      </c>
      <c r="E57" s="39">
        <v>704.33</v>
      </c>
      <c r="F57" s="76" t="s">
        <v>467</v>
      </c>
      <c r="G57" s="37" t="s">
        <v>9</v>
      </c>
      <c r="H57" s="203" t="s">
        <v>468</v>
      </c>
    </row>
    <row r="58" spans="1:8" ht="14.4">
      <c r="A58" s="37">
        <v>66</v>
      </c>
      <c r="B58" s="37" t="s">
        <v>12</v>
      </c>
      <c r="C58" s="37">
        <v>1040352</v>
      </c>
      <c r="D58" s="38">
        <v>45541</v>
      </c>
      <c r="E58" s="39">
        <v>1169.45</v>
      </c>
      <c r="F58" s="76" t="s">
        <v>467</v>
      </c>
      <c r="G58" s="37" t="s">
        <v>9</v>
      </c>
      <c r="H58" s="203" t="s">
        <v>468</v>
      </c>
    </row>
    <row r="59" spans="1:8" ht="14.4">
      <c r="A59" s="37">
        <v>67</v>
      </c>
      <c r="B59" s="37" t="s">
        <v>12</v>
      </c>
      <c r="C59" s="37">
        <v>1040352</v>
      </c>
      <c r="D59" s="38">
        <v>45541</v>
      </c>
      <c r="E59" s="39">
        <v>49.95</v>
      </c>
      <c r="F59" s="76" t="s">
        <v>467</v>
      </c>
      <c r="G59" s="37" t="s">
        <v>9</v>
      </c>
      <c r="H59" s="203" t="s">
        <v>468</v>
      </c>
    </row>
    <row r="60" spans="1:8" ht="14.4">
      <c r="A60" s="37">
        <v>68</v>
      </c>
      <c r="B60" s="37" t="s">
        <v>12</v>
      </c>
      <c r="C60" s="37">
        <v>1040352</v>
      </c>
      <c r="D60" s="38">
        <v>45541</v>
      </c>
      <c r="E60" s="39">
        <v>527.84</v>
      </c>
      <c r="F60" s="76" t="s">
        <v>467</v>
      </c>
      <c r="G60" s="37" t="s">
        <v>9</v>
      </c>
      <c r="H60" s="203" t="s">
        <v>468</v>
      </c>
    </row>
    <row r="61" spans="1:8" ht="14.4">
      <c r="A61" s="37">
        <v>69</v>
      </c>
      <c r="B61" s="37" t="s">
        <v>12</v>
      </c>
      <c r="C61" s="37">
        <v>1040352</v>
      </c>
      <c r="D61" s="38">
        <v>45541</v>
      </c>
      <c r="E61" s="39">
        <v>875.73</v>
      </c>
      <c r="F61" s="76" t="s">
        <v>467</v>
      </c>
      <c r="G61" s="37" t="s">
        <v>9</v>
      </c>
      <c r="H61" s="203" t="s">
        <v>468</v>
      </c>
    </row>
    <row r="62" spans="1:8" ht="14.4">
      <c r="A62" s="37">
        <v>70</v>
      </c>
      <c r="B62" s="37" t="s">
        <v>12</v>
      </c>
      <c r="C62" s="37">
        <v>1040352</v>
      </c>
      <c r="D62" s="38">
        <v>45541</v>
      </c>
      <c r="E62" s="39">
        <v>49.95</v>
      </c>
      <c r="F62" s="76" t="s">
        <v>467</v>
      </c>
      <c r="G62" s="37" t="s">
        <v>9</v>
      </c>
      <c r="H62" s="203" t="s">
        <v>468</v>
      </c>
    </row>
    <row r="63" spans="1:8" ht="14.4">
      <c r="A63" s="37">
        <v>71</v>
      </c>
      <c r="B63" s="37" t="s">
        <v>12</v>
      </c>
      <c r="C63" s="37">
        <v>1040352</v>
      </c>
      <c r="D63" s="38">
        <v>45541</v>
      </c>
      <c r="E63" s="39">
        <v>49.95</v>
      </c>
      <c r="F63" s="76" t="s">
        <v>467</v>
      </c>
      <c r="G63" s="37" t="s">
        <v>9</v>
      </c>
      <c r="H63" s="203" t="s">
        <v>468</v>
      </c>
    </row>
    <row r="64" spans="1:8" ht="14.4">
      <c r="A64" s="37">
        <v>72</v>
      </c>
      <c r="B64" s="37" t="s">
        <v>12</v>
      </c>
      <c r="C64" s="37">
        <v>1040352</v>
      </c>
      <c r="D64" s="38">
        <v>45541</v>
      </c>
      <c r="E64" s="39">
        <v>575.95000000000005</v>
      </c>
      <c r="F64" s="76" t="s">
        <v>467</v>
      </c>
      <c r="G64" s="37" t="s">
        <v>9</v>
      </c>
      <c r="H64" s="203" t="s">
        <v>468</v>
      </c>
    </row>
    <row r="65" spans="1:13" ht="14.4">
      <c r="A65" s="37">
        <v>73</v>
      </c>
      <c r="B65" s="37" t="s">
        <v>12</v>
      </c>
      <c r="C65" s="37">
        <v>1040352</v>
      </c>
      <c r="D65" s="38">
        <v>45541</v>
      </c>
      <c r="E65" s="39">
        <v>1290.1300000000001</v>
      </c>
      <c r="F65" s="76" t="s">
        <v>467</v>
      </c>
      <c r="G65" s="37" t="s">
        <v>9</v>
      </c>
      <c r="H65" s="203" t="s">
        <v>468</v>
      </c>
    </row>
    <row r="66" spans="1:13" ht="14.4">
      <c r="A66" s="37">
        <v>74</v>
      </c>
      <c r="B66" s="37" t="s">
        <v>12</v>
      </c>
      <c r="C66" s="37">
        <v>1040352</v>
      </c>
      <c r="D66" s="38">
        <v>45541</v>
      </c>
      <c r="E66" s="39">
        <v>49.95</v>
      </c>
      <c r="F66" s="76" t="s">
        <v>467</v>
      </c>
      <c r="G66" s="37" t="s">
        <v>9</v>
      </c>
      <c r="H66" s="203" t="s">
        <v>468</v>
      </c>
    </row>
    <row r="67" spans="1:13" ht="14.4">
      <c r="A67" s="37">
        <v>75</v>
      </c>
      <c r="B67" s="37" t="s">
        <v>12</v>
      </c>
      <c r="C67" s="37">
        <v>1040352</v>
      </c>
      <c r="D67" s="38">
        <v>45541</v>
      </c>
      <c r="E67" s="39">
        <v>49.95</v>
      </c>
      <c r="F67" s="76" t="s">
        <v>467</v>
      </c>
      <c r="G67" s="37" t="s">
        <v>9</v>
      </c>
      <c r="H67" s="203" t="s">
        <v>468</v>
      </c>
    </row>
    <row r="68" spans="1:13" ht="14.4">
      <c r="A68" s="37">
        <v>76</v>
      </c>
      <c r="B68" s="37" t="s">
        <v>12</v>
      </c>
      <c r="C68" s="37">
        <v>1040352</v>
      </c>
      <c r="D68" s="38">
        <v>45541</v>
      </c>
      <c r="E68" s="39">
        <v>130.16</v>
      </c>
      <c r="F68" s="76" t="s">
        <v>467</v>
      </c>
      <c r="G68" s="37" t="s">
        <v>9</v>
      </c>
      <c r="H68" s="203" t="s">
        <v>468</v>
      </c>
      <c r="K68" s="8"/>
    </row>
    <row r="69" spans="1:13" ht="14.4">
      <c r="A69" s="37">
        <v>77</v>
      </c>
      <c r="B69" s="37" t="s">
        <v>12</v>
      </c>
      <c r="C69" s="37">
        <v>1040352</v>
      </c>
      <c r="D69" s="38">
        <v>45541</v>
      </c>
      <c r="E69" s="39">
        <v>150.57</v>
      </c>
      <c r="F69" s="76" t="s">
        <v>467</v>
      </c>
      <c r="G69" s="37" t="s">
        <v>9</v>
      </c>
      <c r="H69" s="203" t="s">
        <v>468</v>
      </c>
    </row>
    <row r="70" spans="1:13" ht="14.4">
      <c r="A70" s="37">
        <v>78</v>
      </c>
      <c r="B70" s="37" t="s">
        <v>11</v>
      </c>
      <c r="C70" s="37">
        <v>1040221</v>
      </c>
      <c r="D70" s="38">
        <v>45541</v>
      </c>
      <c r="E70" s="39">
        <v>993417.44</v>
      </c>
      <c r="F70" s="76" t="s">
        <v>472</v>
      </c>
      <c r="G70" s="37" t="s">
        <v>9</v>
      </c>
      <c r="H70" s="203"/>
      <c r="I70" s="164" t="s">
        <v>473</v>
      </c>
      <c r="J70" s="164" t="s">
        <v>474</v>
      </c>
      <c r="K70" s="164" t="s">
        <v>6</v>
      </c>
      <c r="L70" s="164" t="s">
        <v>14</v>
      </c>
      <c r="M70" s="41"/>
    </row>
    <row r="71" spans="1:13" ht="14.4">
      <c r="A71" s="136">
        <v>86</v>
      </c>
      <c r="B71" s="136" t="s">
        <v>11</v>
      </c>
      <c r="C71" s="136">
        <v>1040109</v>
      </c>
      <c r="D71" s="137">
        <v>45541</v>
      </c>
      <c r="E71" s="138">
        <v>62.57</v>
      </c>
      <c r="F71" s="136"/>
      <c r="G71" s="136" t="s">
        <v>9</v>
      </c>
      <c r="I71" s="165" t="s">
        <v>15</v>
      </c>
      <c r="J71" s="166" t="s">
        <v>16</v>
      </c>
      <c r="K71" s="167">
        <v>28517.23</v>
      </c>
      <c r="L71" s="168" t="s">
        <v>9</v>
      </c>
      <c r="M71" s="41"/>
    </row>
    <row r="72" spans="1:13" ht="14.4">
      <c r="A72" s="136">
        <v>87</v>
      </c>
      <c r="B72" s="136" t="s">
        <v>11</v>
      </c>
      <c r="C72" s="136">
        <v>1040109</v>
      </c>
      <c r="D72" s="137">
        <v>45541</v>
      </c>
      <c r="E72" s="138">
        <v>62.57</v>
      </c>
      <c r="F72" s="136"/>
      <c r="G72" s="136" t="s">
        <v>9</v>
      </c>
      <c r="I72" s="165" t="s">
        <v>17</v>
      </c>
      <c r="J72" s="166" t="s">
        <v>16</v>
      </c>
      <c r="K72" s="167">
        <v>712883.35</v>
      </c>
      <c r="L72" s="168" t="s">
        <v>9</v>
      </c>
      <c r="M72" s="41"/>
    </row>
    <row r="73" spans="1:13" ht="14.4">
      <c r="A73" s="145">
        <v>88</v>
      </c>
      <c r="B73" s="145" t="s">
        <v>11</v>
      </c>
      <c r="C73" s="145">
        <v>1040109</v>
      </c>
      <c r="D73" s="146">
        <v>45541</v>
      </c>
      <c r="E73" s="144">
        <v>77.84</v>
      </c>
      <c r="F73" s="145"/>
      <c r="G73" s="145" t="s">
        <v>9</v>
      </c>
      <c r="I73" s="169" t="s">
        <v>475</v>
      </c>
      <c r="J73" s="170" t="s">
        <v>18</v>
      </c>
      <c r="K73" s="171">
        <v>29447.3</v>
      </c>
      <c r="L73" s="172" t="s">
        <v>9</v>
      </c>
      <c r="M73" s="41"/>
    </row>
    <row r="74" spans="1:13" ht="14.4">
      <c r="A74" s="145">
        <v>89</v>
      </c>
      <c r="B74" s="145" t="s">
        <v>11</v>
      </c>
      <c r="C74" s="145">
        <v>1040109</v>
      </c>
      <c r="D74" s="146">
        <v>45541</v>
      </c>
      <c r="E74" s="144">
        <v>77.84</v>
      </c>
      <c r="F74" s="145"/>
      <c r="G74" s="145" t="s">
        <v>9</v>
      </c>
      <c r="I74" s="173" t="s">
        <v>19</v>
      </c>
      <c r="J74" s="174" t="s">
        <v>20</v>
      </c>
      <c r="K74" s="175">
        <v>0</v>
      </c>
      <c r="L74" s="174" t="s">
        <v>476</v>
      </c>
      <c r="M74" s="42" t="s">
        <v>477</v>
      </c>
    </row>
    <row r="75" spans="1:13" ht="14.4">
      <c r="A75" s="156">
        <v>90</v>
      </c>
      <c r="B75" s="156" t="s">
        <v>11</v>
      </c>
      <c r="C75" s="156">
        <v>1200393</v>
      </c>
      <c r="D75" s="157">
        <v>45541</v>
      </c>
      <c r="E75" s="158">
        <v>1880</v>
      </c>
      <c r="F75" s="156"/>
      <c r="G75" s="156" t="s">
        <v>9</v>
      </c>
      <c r="I75" s="176" t="s">
        <v>21</v>
      </c>
      <c r="J75" s="177" t="s">
        <v>20</v>
      </c>
      <c r="K75" s="178">
        <v>0</v>
      </c>
      <c r="L75" s="179" t="s">
        <v>478</v>
      </c>
      <c r="M75" s="42" t="s">
        <v>22</v>
      </c>
    </row>
    <row r="76" spans="1:13" ht="14.4">
      <c r="A76" s="21">
        <v>93</v>
      </c>
      <c r="B76" s="21" t="s">
        <v>11</v>
      </c>
      <c r="C76" s="21">
        <v>1040375</v>
      </c>
      <c r="D76" s="34">
        <v>45541</v>
      </c>
      <c r="E76" s="22">
        <v>10.220000000000001</v>
      </c>
      <c r="F76" s="21"/>
      <c r="G76" s="21" t="s">
        <v>9</v>
      </c>
      <c r="I76" s="176" t="s">
        <v>23</v>
      </c>
      <c r="J76" s="177" t="s">
        <v>20</v>
      </c>
      <c r="K76" s="178">
        <v>97761.5</v>
      </c>
      <c r="L76" s="179" t="s">
        <v>9</v>
      </c>
      <c r="M76" s="42" t="s">
        <v>479</v>
      </c>
    </row>
    <row r="77" spans="1:13" ht="14.4">
      <c r="A77" s="21">
        <v>94</v>
      </c>
      <c r="B77" s="21" t="s">
        <v>11</v>
      </c>
      <c r="C77" s="21">
        <v>1040375</v>
      </c>
      <c r="D77" s="34">
        <v>45541</v>
      </c>
      <c r="E77" s="22">
        <v>3.79</v>
      </c>
      <c r="F77" s="21"/>
      <c r="G77" s="21" t="s">
        <v>9</v>
      </c>
      <c r="I77" s="176" t="s">
        <v>24</v>
      </c>
      <c r="J77" s="177" t="s">
        <v>20</v>
      </c>
      <c r="K77" s="178">
        <v>15149.68</v>
      </c>
      <c r="L77" s="179" t="s">
        <v>9</v>
      </c>
      <c r="M77" s="42" t="s">
        <v>25</v>
      </c>
    </row>
    <row r="78" spans="1:13" ht="14.4">
      <c r="A78" s="128">
        <v>95</v>
      </c>
      <c r="B78" s="128" t="s">
        <v>11</v>
      </c>
      <c r="C78" s="128">
        <v>1040375</v>
      </c>
      <c r="D78" s="129">
        <v>45541</v>
      </c>
      <c r="E78" s="130">
        <v>364.02</v>
      </c>
      <c r="F78" s="128"/>
      <c r="G78" s="128" t="s">
        <v>9</v>
      </c>
      <c r="I78" s="176" t="s">
        <v>26</v>
      </c>
      <c r="J78" s="177" t="s">
        <v>20</v>
      </c>
      <c r="K78" s="178">
        <v>27975.19</v>
      </c>
      <c r="L78" s="179" t="s">
        <v>9</v>
      </c>
      <c r="M78" s="42" t="s">
        <v>27</v>
      </c>
    </row>
    <row r="79" spans="1:13" ht="14.4">
      <c r="A79" s="128">
        <v>96</v>
      </c>
      <c r="B79" s="128" t="s">
        <v>11</v>
      </c>
      <c r="C79" s="128">
        <v>1040375</v>
      </c>
      <c r="D79" s="129">
        <v>45541</v>
      </c>
      <c r="E79" s="130">
        <v>364.02</v>
      </c>
      <c r="F79" s="128"/>
      <c r="G79" s="128" t="s">
        <v>9</v>
      </c>
      <c r="I79" s="173" t="s">
        <v>28</v>
      </c>
      <c r="J79" s="174" t="s">
        <v>20</v>
      </c>
      <c r="K79" s="175">
        <v>0</v>
      </c>
      <c r="L79" s="174" t="s">
        <v>480</v>
      </c>
    </row>
    <row r="80" spans="1:13" ht="14.4">
      <c r="A80" s="128">
        <v>97</v>
      </c>
      <c r="B80" s="128" t="s">
        <v>11</v>
      </c>
      <c r="C80" s="128">
        <v>1040375</v>
      </c>
      <c r="D80" s="129">
        <v>45541</v>
      </c>
      <c r="E80" s="130">
        <v>364.02</v>
      </c>
      <c r="F80" s="128"/>
      <c r="G80" s="128" t="s">
        <v>9</v>
      </c>
      <c r="I80" s="180" t="s">
        <v>29</v>
      </c>
      <c r="J80" s="181" t="s">
        <v>481</v>
      </c>
      <c r="K80" s="182">
        <v>76813.09</v>
      </c>
      <c r="L80" s="183" t="s">
        <v>9</v>
      </c>
    </row>
    <row r="81" spans="1:13" ht="14.4">
      <c r="A81" s="128">
        <v>98</v>
      </c>
      <c r="B81" s="128" t="s">
        <v>11</v>
      </c>
      <c r="C81" s="128">
        <v>1040375</v>
      </c>
      <c r="D81" s="129">
        <v>45541</v>
      </c>
      <c r="E81" s="130">
        <v>127.52</v>
      </c>
      <c r="F81" s="128"/>
      <c r="G81" s="128" t="s">
        <v>9</v>
      </c>
      <c r="I81" s="184" t="s">
        <v>30</v>
      </c>
      <c r="J81" s="185" t="s">
        <v>18</v>
      </c>
      <c r="K81" s="186">
        <v>4870.1000000000004</v>
      </c>
      <c r="L81" s="185" t="s">
        <v>10</v>
      </c>
      <c r="M81" s="41"/>
    </row>
    <row r="82" spans="1:13" ht="14.4">
      <c r="A82" s="128">
        <v>99</v>
      </c>
      <c r="B82" s="128" t="s">
        <v>11</v>
      </c>
      <c r="C82" s="128">
        <v>1040375</v>
      </c>
      <c r="D82" s="129">
        <v>45541</v>
      </c>
      <c r="E82" s="130">
        <v>52.33</v>
      </c>
      <c r="F82" s="128"/>
      <c r="G82" s="128" t="s">
        <v>9</v>
      </c>
      <c r="I82" s="187" t="s">
        <v>482</v>
      </c>
      <c r="J82" s="187"/>
      <c r="K82" s="188">
        <f>SUM(K71:K81)</f>
        <v>993417.44</v>
      </c>
      <c r="L82" s="189"/>
      <c r="M82" s="41"/>
    </row>
    <row r="83" spans="1:13" ht="14.4">
      <c r="A83" s="128">
        <v>100</v>
      </c>
      <c r="B83" s="128" t="s">
        <v>11</v>
      </c>
      <c r="C83" s="128">
        <v>1040375</v>
      </c>
      <c r="D83" s="129">
        <v>45541</v>
      </c>
      <c r="E83" s="130">
        <v>1.02</v>
      </c>
      <c r="F83" s="128"/>
      <c r="G83" s="128" t="s">
        <v>9</v>
      </c>
      <c r="I83" s="41"/>
      <c r="J83" s="41"/>
      <c r="K83" s="93">
        <f>SUMIF(L71:L81,"OK",K71:K81)</f>
        <v>993417.44</v>
      </c>
      <c r="L83" s="40" t="s">
        <v>31</v>
      </c>
      <c r="M83" s="41"/>
    </row>
    <row r="84" spans="1:13" ht="14.4">
      <c r="A84" s="128">
        <v>101</v>
      </c>
      <c r="B84" s="128" t="s">
        <v>11</v>
      </c>
      <c r="C84" s="128">
        <v>1040375</v>
      </c>
      <c r="D84" s="129">
        <v>45541</v>
      </c>
      <c r="E84" s="130">
        <v>24.56</v>
      </c>
      <c r="F84" s="128"/>
      <c r="G84" s="128" t="s">
        <v>9</v>
      </c>
      <c r="I84" s="10"/>
      <c r="K84" s="193">
        <f>K82-K83</f>
        <v>0</v>
      </c>
      <c r="L84" s="71" t="s">
        <v>483</v>
      </c>
    </row>
    <row r="85" spans="1:13">
      <c r="A85" s="128">
        <v>102</v>
      </c>
      <c r="B85" s="128" t="s">
        <v>11</v>
      </c>
      <c r="C85" s="128">
        <v>1040375</v>
      </c>
      <c r="D85" s="129">
        <v>45541</v>
      </c>
      <c r="E85" s="130">
        <v>130.86000000000001</v>
      </c>
      <c r="F85" s="128"/>
      <c r="G85" s="128" t="s">
        <v>9</v>
      </c>
      <c r="K85" s="64"/>
      <c r="L85" s="64"/>
    </row>
    <row r="86" spans="1:13">
      <c r="A86" s="128">
        <v>103</v>
      </c>
      <c r="B86" s="128" t="s">
        <v>11</v>
      </c>
      <c r="C86" s="128">
        <v>1040375</v>
      </c>
      <c r="D86" s="129">
        <v>45541</v>
      </c>
      <c r="E86" s="130">
        <v>4.83</v>
      </c>
      <c r="F86" s="128"/>
      <c r="G86" s="128" t="s">
        <v>9</v>
      </c>
      <c r="K86" s="201"/>
    </row>
    <row r="87" spans="1:13">
      <c r="A87" s="128">
        <v>104</v>
      </c>
      <c r="B87" s="128" t="s">
        <v>11</v>
      </c>
      <c r="C87" s="128">
        <v>1040375</v>
      </c>
      <c r="D87" s="129">
        <v>45541</v>
      </c>
      <c r="E87" s="130">
        <v>3.97</v>
      </c>
      <c r="F87" s="128"/>
      <c r="G87" s="128" t="s">
        <v>9</v>
      </c>
      <c r="K87" s="64"/>
    </row>
    <row r="88" spans="1:13">
      <c r="A88" s="128">
        <v>105</v>
      </c>
      <c r="B88" s="128" t="s">
        <v>11</v>
      </c>
      <c r="C88" s="128">
        <v>1040375</v>
      </c>
      <c r="D88" s="129">
        <v>45541</v>
      </c>
      <c r="E88" s="130">
        <v>51.26</v>
      </c>
      <c r="F88" s="128"/>
      <c r="G88" s="128" t="s">
        <v>9</v>
      </c>
      <c r="L88" s="196"/>
    </row>
    <row r="89" spans="1:13">
      <c r="A89" s="128">
        <v>106</v>
      </c>
      <c r="B89" s="128" t="s">
        <v>11</v>
      </c>
      <c r="C89" s="128">
        <v>1040375</v>
      </c>
      <c r="D89" s="129">
        <v>45541</v>
      </c>
      <c r="E89" s="130">
        <v>24.41</v>
      </c>
      <c r="F89" s="128"/>
      <c r="G89" s="128" t="s">
        <v>9</v>
      </c>
    </row>
    <row r="90" spans="1:13">
      <c r="A90" s="140">
        <v>108</v>
      </c>
      <c r="B90" s="140" t="s">
        <v>11</v>
      </c>
      <c r="C90" s="140">
        <v>1040375</v>
      </c>
      <c r="D90" s="141">
        <v>45541</v>
      </c>
      <c r="E90" s="142">
        <v>84.24</v>
      </c>
      <c r="F90" s="140"/>
      <c r="G90" s="140" t="s">
        <v>9</v>
      </c>
    </row>
    <row r="91" spans="1:13">
      <c r="A91" s="140">
        <v>109</v>
      </c>
      <c r="B91" s="140" t="s">
        <v>11</v>
      </c>
      <c r="C91" s="140">
        <v>1040375</v>
      </c>
      <c r="D91" s="141">
        <v>45541</v>
      </c>
      <c r="E91" s="142">
        <v>5.12</v>
      </c>
      <c r="F91" s="140"/>
      <c r="G91" s="140" t="s">
        <v>9</v>
      </c>
    </row>
    <row r="92" spans="1:13">
      <c r="A92" s="140">
        <v>110</v>
      </c>
      <c r="B92" s="140" t="s">
        <v>11</v>
      </c>
      <c r="C92" s="140">
        <v>1040375</v>
      </c>
      <c r="D92" s="141">
        <v>45541</v>
      </c>
      <c r="E92" s="142">
        <v>40.909999999999997</v>
      </c>
      <c r="F92" s="140"/>
      <c r="G92" s="140" t="s">
        <v>9</v>
      </c>
    </row>
    <row r="93" spans="1:13">
      <c r="A93" s="145">
        <v>112</v>
      </c>
      <c r="B93" s="145" t="s">
        <v>11</v>
      </c>
      <c r="C93" s="145">
        <v>1040109</v>
      </c>
      <c r="D93" s="146">
        <v>45541</v>
      </c>
      <c r="E93" s="144">
        <v>77.84</v>
      </c>
      <c r="F93" s="145"/>
      <c r="G93" s="145" t="s">
        <v>9</v>
      </c>
    </row>
    <row r="94" spans="1:13">
      <c r="A94" s="133">
        <v>114</v>
      </c>
      <c r="B94" s="133" t="s">
        <v>11</v>
      </c>
      <c r="C94" s="133">
        <v>1040109</v>
      </c>
      <c r="D94" s="134">
        <v>45541</v>
      </c>
      <c r="E94" s="132">
        <v>62.57</v>
      </c>
      <c r="F94" s="133"/>
      <c r="G94" s="133" t="s">
        <v>9</v>
      </c>
    </row>
    <row r="95" spans="1:13">
      <c r="A95" s="124">
        <v>115</v>
      </c>
      <c r="B95" s="124" t="s">
        <v>11</v>
      </c>
      <c r="C95" s="124">
        <v>1200393</v>
      </c>
      <c r="D95" s="125">
        <v>45541</v>
      </c>
      <c r="E95" s="126">
        <v>240</v>
      </c>
      <c r="F95" s="124"/>
      <c r="G95" s="124" t="s">
        <v>9</v>
      </c>
    </row>
    <row r="96" spans="1:13">
      <c r="A96" s="24">
        <v>116</v>
      </c>
      <c r="B96" s="24" t="s">
        <v>11</v>
      </c>
      <c r="C96" s="24">
        <v>1040375</v>
      </c>
      <c r="D96" s="35">
        <v>45541</v>
      </c>
      <c r="E96" s="25">
        <v>58.34</v>
      </c>
      <c r="F96" s="24"/>
      <c r="G96" s="24" t="s">
        <v>9</v>
      </c>
    </row>
    <row r="97" spans="1:8">
      <c r="A97" s="24">
        <v>117</v>
      </c>
      <c r="B97" s="24" t="s">
        <v>11</v>
      </c>
      <c r="C97" s="24">
        <v>1040375</v>
      </c>
      <c r="D97" s="35">
        <v>45541</v>
      </c>
      <c r="E97" s="25">
        <v>78.64</v>
      </c>
      <c r="F97" s="24"/>
      <c r="G97" s="24" t="s">
        <v>9</v>
      </c>
    </row>
    <row r="98" spans="1:8">
      <c r="A98" s="24">
        <v>118</v>
      </c>
      <c r="B98" s="24" t="s">
        <v>11</v>
      </c>
      <c r="C98" s="24">
        <v>1040375</v>
      </c>
      <c r="D98" s="35">
        <v>45541</v>
      </c>
      <c r="E98" s="25">
        <v>58.34</v>
      </c>
      <c r="F98" s="24"/>
      <c r="G98" s="24" t="s">
        <v>9</v>
      </c>
    </row>
    <row r="99" spans="1:8">
      <c r="A99" s="24">
        <v>119</v>
      </c>
      <c r="B99" s="24" t="s">
        <v>11</v>
      </c>
      <c r="C99" s="24">
        <v>1040375</v>
      </c>
      <c r="D99" s="35">
        <v>45541</v>
      </c>
      <c r="E99" s="25">
        <v>90.88</v>
      </c>
      <c r="F99" s="24"/>
      <c r="G99" s="24" t="s">
        <v>9</v>
      </c>
    </row>
    <row r="100" spans="1:8">
      <c r="A100" s="84">
        <v>121</v>
      </c>
      <c r="B100" s="84" t="s">
        <v>11</v>
      </c>
      <c r="C100" s="84">
        <v>1040375</v>
      </c>
      <c r="D100" s="85">
        <v>45541</v>
      </c>
      <c r="E100" s="83">
        <v>9.26</v>
      </c>
      <c r="F100" s="84"/>
      <c r="G100" s="84" t="s">
        <v>9</v>
      </c>
    </row>
    <row r="101" spans="1:8">
      <c r="A101" s="84">
        <v>122</v>
      </c>
      <c r="B101" s="84" t="s">
        <v>11</v>
      </c>
      <c r="C101" s="84">
        <v>1040375</v>
      </c>
      <c r="D101" s="85">
        <v>45541</v>
      </c>
      <c r="E101" s="83">
        <v>186.84</v>
      </c>
      <c r="F101" s="84"/>
      <c r="G101" s="84" t="s">
        <v>9</v>
      </c>
    </row>
    <row r="102" spans="1:8">
      <c r="A102" s="84">
        <v>124</v>
      </c>
      <c r="B102" s="84" t="s">
        <v>11</v>
      </c>
      <c r="C102" s="84">
        <v>1040375</v>
      </c>
      <c r="D102" s="85">
        <v>45541</v>
      </c>
      <c r="E102" s="83">
        <v>616.15</v>
      </c>
      <c r="F102" s="84"/>
      <c r="G102" s="84" t="s">
        <v>9</v>
      </c>
    </row>
    <row r="103" spans="1:8">
      <c r="A103" s="121">
        <v>126</v>
      </c>
      <c r="B103" s="121" t="s">
        <v>12</v>
      </c>
      <c r="C103" s="121">
        <v>1170144</v>
      </c>
      <c r="D103" s="122">
        <v>45541</v>
      </c>
      <c r="E103" s="120">
        <v>763557.01</v>
      </c>
      <c r="F103" s="121"/>
      <c r="G103" s="121" t="s">
        <v>9</v>
      </c>
    </row>
    <row r="104" spans="1:8">
      <c r="A104" s="133">
        <v>127</v>
      </c>
      <c r="B104" s="133" t="s">
        <v>11</v>
      </c>
      <c r="C104" s="133">
        <v>1040109</v>
      </c>
      <c r="D104" s="134">
        <v>45541</v>
      </c>
      <c r="E104" s="132">
        <v>62.57</v>
      </c>
      <c r="F104" s="133"/>
      <c r="G104" s="133" t="s">
        <v>9</v>
      </c>
    </row>
    <row r="105" spans="1:8">
      <c r="A105">
        <v>171</v>
      </c>
      <c r="B105" t="s">
        <v>12</v>
      </c>
      <c r="C105">
        <v>1040500</v>
      </c>
      <c r="D105" s="1">
        <v>45541</v>
      </c>
      <c r="E105" s="197">
        <v>79216.58</v>
      </c>
      <c r="F105" s="195"/>
      <c r="G105" s="195" t="s">
        <v>9</v>
      </c>
      <c r="H105" s="192" t="s">
        <v>484</v>
      </c>
    </row>
    <row r="106" spans="1:8">
      <c r="A106">
        <v>172</v>
      </c>
      <c r="B106" t="s">
        <v>12</v>
      </c>
      <c r="C106">
        <v>1040500</v>
      </c>
      <c r="D106" s="1">
        <v>45541</v>
      </c>
      <c r="E106" s="197">
        <v>78217.13</v>
      </c>
      <c r="F106" s="195"/>
      <c r="G106" s="195" t="s">
        <v>9</v>
      </c>
      <c r="H106" s="195" t="s">
        <v>485</v>
      </c>
    </row>
    <row r="107" spans="1:8">
      <c r="A107">
        <v>173</v>
      </c>
      <c r="B107" t="s">
        <v>12</v>
      </c>
      <c r="C107">
        <v>1040500</v>
      </c>
      <c r="D107" s="1">
        <v>45541</v>
      </c>
      <c r="E107" s="197">
        <v>91641.18</v>
      </c>
      <c r="F107" s="195"/>
      <c r="G107" s="195" t="s">
        <v>9</v>
      </c>
      <c r="H107" s="195" t="s">
        <v>485</v>
      </c>
    </row>
    <row r="108" spans="1:8">
      <c r="A108">
        <v>174</v>
      </c>
      <c r="B108" t="s">
        <v>12</v>
      </c>
      <c r="C108">
        <v>1040500</v>
      </c>
      <c r="D108" s="1">
        <v>45541</v>
      </c>
      <c r="E108" s="197">
        <v>35061.25</v>
      </c>
      <c r="F108" s="195"/>
      <c r="G108" s="195" t="s">
        <v>9</v>
      </c>
      <c r="H108" s="195" t="s">
        <v>485</v>
      </c>
    </row>
    <row r="109" spans="1:8">
      <c r="A109">
        <v>175</v>
      </c>
      <c r="B109" t="s">
        <v>12</v>
      </c>
      <c r="C109">
        <v>1040500</v>
      </c>
      <c r="D109" s="1">
        <v>45541</v>
      </c>
      <c r="E109" s="197">
        <v>34595.050000000003</v>
      </c>
      <c r="F109" s="195"/>
      <c r="G109" s="195" t="s">
        <v>9</v>
      </c>
      <c r="H109" s="195" t="s">
        <v>485</v>
      </c>
    </row>
    <row r="110" spans="1:8">
      <c r="A110">
        <v>176</v>
      </c>
      <c r="B110" t="s">
        <v>12</v>
      </c>
      <c r="C110">
        <v>1040500</v>
      </c>
      <c r="D110" s="1">
        <v>45541</v>
      </c>
      <c r="E110" s="197">
        <v>61074.39</v>
      </c>
      <c r="F110" s="195"/>
      <c r="G110" s="195" t="s">
        <v>9</v>
      </c>
      <c r="H110" s="195" t="s">
        <v>485</v>
      </c>
    </row>
    <row r="111" spans="1:8">
      <c r="A111">
        <v>177</v>
      </c>
      <c r="B111" t="s">
        <v>12</v>
      </c>
      <c r="C111">
        <v>1040500</v>
      </c>
      <c r="D111" s="1">
        <v>45541</v>
      </c>
      <c r="E111" s="197">
        <v>78217.13</v>
      </c>
      <c r="F111" s="195"/>
      <c r="G111" s="195" t="s">
        <v>9</v>
      </c>
      <c r="H111" s="195" t="s">
        <v>485</v>
      </c>
    </row>
    <row r="112" spans="1:8">
      <c r="A112">
        <v>178</v>
      </c>
      <c r="B112" t="s">
        <v>12</v>
      </c>
      <c r="C112">
        <v>1040500</v>
      </c>
      <c r="D112" s="1">
        <v>45541</v>
      </c>
      <c r="E112" s="197">
        <v>34789.58</v>
      </c>
      <c r="F112" s="195"/>
      <c r="G112" s="195" t="s">
        <v>9</v>
      </c>
      <c r="H112" s="195" t="s">
        <v>485</v>
      </c>
    </row>
    <row r="113" spans="1:8">
      <c r="A113">
        <v>179</v>
      </c>
      <c r="B113" t="s">
        <v>12</v>
      </c>
      <c r="C113">
        <v>1040500</v>
      </c>
      <c r="D113" s="1">
        <v>45541</v>
      </c>
      <c r="E113" s="197">
        <v>37944.480000000003</v>
      </c>
      <c r="F113" s="195"/>
      <c r="G113" s="195" t="s">
        <v>9</v>
      </c>
      <c r="H113" s="195" t="s">
        <v>485</v>
      </c>
    </row>
    <row r="114" spans="1:8">
      <c r="A114">
        <v>180</v>
      </c>
      <c r="B114" t="s">
        <v>12</v>
      </c>
      <c r="C114">
        <v>1040500</v>
      </c>
      <c r="D114" s="1">
        <v>45541</v>
      </c>
      <c r="E114" s="197">
        <v>85287.82</v>
      </c>
      <c r="F114" s="195"/>
      <c r="G114" s="195" t="s">
        <v>9</v>
      </c>
      <c r="H114" s="195" t="s">
        <v>485</v>
      </c>
    </row>
    <row r="115" spans="1:8">
      <c r="A115">
        <v>181</v>
      </c>
      <c r="B115" t="s">
        <v>12</v>
      </c>
      <c r="C115">
        <v>1040500</v>
      </c>
      <c r="D115" s="1">
        <v>45541</v>
      </c>
      <c r="E115" s="197">
        <v>80666.09</v>
      </c>
      <c r="F115" s="195"/>
      <c r="G115" s="195" t="s">
        <v>9</v>
      </c>
      <c r="H115" s="195" t="s">
        <v>485</v>
      </c>
    </row>
    <row r="116" spans="1:8">
      <c r="A116">
        <v>182</v>
      </c>
      <c r="B116" t="s">
        <v>12</v>
      </c>
      <c r="C116">
        <v>1040500</v>
      </c>
      <c r="D116" s="1">
        <v>45541</v>
      </c>
      <c r="E116" s="197">
        <v>36130.33</v>
      </c>
      <c r="F116" s="195"/>
      <c r="G116" s="195" t="s">
        <v>9</v>
      </c>
      <c r="H116" s="195" t="s">
        <v>485</v>
      </c>
    </row>
    <row r="117" spans="1:8">
      <c r="A117">
        <v>183</v>
      </c>
      <c r="B117" t="s">
        <v>12</v>
      </c>
      <c r="C117">
        <v>1040500</v>
      </c>
      <c r="D117" s="1">
        <v>45541</v>
      </c>
      <c r="E117" s="197">
        <v>59985.34</v>
      </c>
      <c r="F117" s="195"/>
      <c r="G117" s="195" t="s">
        <v>9</v>
      </c>
      <c r="H117" s="195" t="s">
        <v>485</v>
      </c>
    </row>
    <row r="118" spans="1:8">
      <c r="A118">
        <v>184</v>
      </c>
      <c r="B118" t="s">
        <v>12</v>
      </c>
      <c r="C118">
        <v>1040500</v>
      </c>
      <c r="D118" s="1">
        <v>45541</v>
      </c>
      <c r="E118" s="197">
        <v>69259.5</v>
      </c>
      <c r="F118" s="195"/>
      <c r="G118" s="195" t="s">
        <v>9</v>
      </c>
      <c r="H118" s="195" t="s">
        <v>485</v>
      </c>
    </row>
    <row r="119" spans="1:8">
      <c r="A119">
        <v>185</v>
      </c>
      <c r="B119" t="s">
        <v>12</v>
      </c>
      <c r="C119">
        <v>1040500</v>
      </c>
      <c r="D119" s="1">
        <v>45541</v>
      </c>
      <c r="E119" s="197">
        <v>61286.6</v>
      </c>
      <c r="F119" s="195"/>
      <c r="G119" s="195" t="s">
        <v>9</v>
      </c>
      <c r="H119" s="195" t="s">
        <v>485</v>
      </c>
    </row>
    <row r="120" spans="1:8">
      <c r="A120">
        <v>186</v>
      </c>
      <c r="B120" t="s">
        <v>12</v>
      </c>
      <c r="C120">
        <v>1040500</v>
      </c>
      <c r="D120" s="1">
        <v>45541</v>
      </c>
      <c r="E120" s="197">
        <v>32439.759999999998</v>
      </c>
      <c r="F120" s="195"/>
      <c r="G120" s="195" t="s">
        <v>9</v>
      </c>
      <c r="H120" s="195" t="s">
        <v>485</v>
      </c>
    </row>
    <row r="121" spans="1:8">
      <c r="A121">
        <v>187</v>
      </c>
      <c r="B121" t="s">
        <v>12</v>
      </c>
      <c r="C121">
        <v>1040500</v>
      </c>
      <c r="D121" s="1">
        <v>45541</v>
      </c>
      <c r="E121" s="197">
        <v>57539.34</v>
      </c>
      <c r="F121" s="195"/>
      <c r="G121" s="195" t="s">
        <v>9</v>
      </c>
      <c r="H121" s="195" t="s">
        <v>485</v>
      </c>
    </row>
    <row r="122" spans="1:8">
      <c r="A122">
        <v>188</v>
      </c>
      <c r="B122" t="s">
        <v>12</v>
      </c>
      <c r="C122">
        <v>1040500</v>
      </c>
      <c r="D122" s="1">
        <v>45541</v>
      </c>
      <c r="E122" s="197">
        <v>59679.6</v>
      </c>
      <c r="F122" s="195"/>
      <c r="G122" s="195" t="s">
        <v>9</v>
      </c>
      <c r="H122" s="195" t="s">
        <v>485</v>
      </c>
    </row>
    <row r="123" spans="1:8">
      <c r="A123">
        <v>189</v>
      </c>
      <c r="B123" t="s">
        <v>12</v>
      </c>
      <c r="C123">
        <v>1040500</v>
      </c>
      <c r="D123" s="1">
        <v>45541</v>
      </c>
      <c r="E123" s="197">
        <v>74383.17</v>
      </c>
      <c r="F123" s="195"/>
      <c r="G123" s="195" t="s">
        <v>9</v>
      </c>
      <c r="H123" s="195" t="s">
        <v>485</v>
      </c>
    </row>
    <row r="124" spans="1:8">
      <c r="A124">
        <v>190</v>
      </c>
      <c r="B124" t="s">
        <v>12</v>
      </c>
      <c r="C124">
        <v>1040500</v>
      </c>
      <c r="D124" s="1">
        <v>45541</v>
      </c>
      <c r="E124" s="197">
        <v>58762.33</v>
      </c>
      <c r="F124" s="195"/>
      <c r="G124" s="195" t="s">
        <v>9</v>
      </c>
      <c r="H124" s="195" t="s">
        <v>485</v>
      </c>
    </row>
    <row r="125" spans="1:8">
      <c r="A125">
        <v>191</v>
      </c>
      <c r="B125" t="s">
        <v>12</v>
      </c>
      <c r="C125">
        <v>1040500</v>
      </c>
      <c r="D125" s="1">
        <v>45541</v>
      </c>
      <c r="E125" s="197">
        <v>34160.93</v>
      </c>
      <c r="F125" s="195"/>
      <c r="G125" s="195" t="s">
        <v>9</v>
      </c>
      <c r="H125" s="195" t="s">
        <v>485</v>
      </c>
    </row>
    <row r="126" spans="1:8">
      <c r="A126">
        <v>192</v>
      </c>
      <c r="B126" t="s">
        <v>12</v>
      </c>
      <c r="C126">
        <v>1040500</v>
      </c>
      <c r="D126" s="1">
        <v>45541</v>
      </c>
      <c r="E126" s="197">
        <v>41640.339999999997</v>
      </c>
      <c r="F126" s="195"/>
      <c r="G126" s="195" t="s">
        <v>9</v>
      </c>
      <c r="H126" s="195" t="s">
        <v>485</v>
      </c>
    </row>
    <row r="127" spans="1:8">
      <c r="A127">
        <v>193</v>
      </c>
      <c r="B127" t="s">
        <v>12</v>
      </c>
      <c r="C127">
        <v>1040500</v>
      </c>
      <c r="D127" s="1">
        <v>45541</v>
      </c>
      <c r="E127" s="197">
        <v>44758.41</v>
      </c>
      <c r="F127" s="195"/>
      <c r="G127" s="195" t="s">
        <v>9</v>
      </c>
      <c r="H127" s="195" t="s">
        <v>485</v>
      </c>
    </row>
    <row r="128" spans="1:8">
      <c r="A128">
        <v>194</v>
      </c>
      <c r="B128" t="s">
        <v>12</v>
      </c>
      <c r="C128">
        <v>1040500</v>
      </c>
      <c r="D128" s="1">
        <v>45541</v>
      </c>
      <c r="E128" s="197">
        <v>60656.18</v>
      </c>
      <c r="F128" s="195"/>
      <c r="G128" s="195" t="s">
        <v>9</v>
      </c>
      <c r="H128" s="195" t="s">
        <v>485</v>
      </c>
    </row>
    <row r="129" spans="1:8">
      <c r="A129">
        <v>195</v>
      </c>
      <c r="B129" t="s">
        <v>12</v>
      </c>
      <c r="C129">
        <v>1040500</v>
      </c>
      <c r="D129" s="1">
        <v>45541</v>
      </c>
      <c r="E129" s="197">
        <v>58475.5</v>
      </c>
      <c r="F129" s="195"/>
      <c r="G129" s="195" t="s">
        <v>9</v>
      </c>
      <c r="H129" s="195" t="s">
        <v>485</v>
      </c>
    </row>
    <row r="130" spans="1:8">
      <c r="A130">
        <v>196</v>
      </c>
      <c r="B130" t="s">
        <v>12</v>
      </c>
      <c r="C130">
        <v>1040500</v>
      </c>
      <c r="D130" s="1">
        <v>45541</v>
      </c>
      <c r="E130" s="197">
        <v>36469.21</v>
      </c>
      <c r="F130" s="195"/>
      <c r="G130" s="195" t="s">
        <v>9</v>
      </c>
      <c r="H130" s="195" t="s">
        <v>485</v>
      </c>
    </row>
    <row r="131" spans="1:8">
      <c r="A131">
        <v>197</v>
      </c>
      <c r="B131" t="s">
        <v>12</v>
      </c>
      <c r="C131">
        <v>1040500</v>
      </c>
      <c r="D131" s="1">
        <v>45541</v>
      </c>
      <c r="E131" s="197">
        <v>58150.84</v>
      </c>
      <c r="F131" s="195"/>
      <c r="G131" s="195" t="s">
        <v>9</v>
      </c>
      <c r="H131" s="195" t="s">
        <v>485</v>
      </c>
    </row>
    <row r="132" spans="1:8">
      <c r="A132">
        <v>198</v>
      </c>
      <c r="B132" t="s">
        <v>12</v>
      </c>
      <c r="C132">
        <v>1040500</v>
      </c>
      <c r="D132" s="1">
        <v>45541</v>
      </c>
      <c r="E132" s="197">
        <v>58915.22</v>
      </c>
      <c r="F132" s="195"/>
      <c r="G132" s="195" t="s">
        <v>9</v>
      </c>
      <c r="H132" s="195" t="s">
        <v>485</v>
      </c>
    </row>
    <row r="133" spans="1:8">
      <c r="A133">
        <v>199</v>
      </c>
      <c r="B133" t="s">
        <v>12</v>
      </c>
      <c r="C133">
        <v>1040500</v>
      </c>
      <c r="D133" s="1">
        <v>45541</v>
      </c>
      <c r="E133" s="197">
        <v>82508.58</v>
      </c>
      <c r="F133" s="195"/>
      <c r="G133" s="195" t="s">
        <v>9</v>
      </c>
      <c r="H133" s="195" t="s">
        <v>485</v>
      </c>
    </row>
    <row r="134" spans="1:8">
      <c r="A134">
        <v>200</v>
      </c>
      <c r="B134" t="s">
        <v>12</v>
      </c>
      <c r="C134">
        <v>1040500</v>
      </c>
      <c r="D134" s="1">
        <v>45541</v>
      </c>
      <c r="E134" s="197">
        <v>63228.41</v>
      </c>
      <c r="F134" s="195"/>
      <c r="G134" s="195" t="s">
        <v>9</v>
      </c>
      <c r="H134" s="195" t="s">
        <v>485</v>
      </c>
    </row>
    <row r="135" spans="1:8">
      <c r="A135">
        <v>201</v>
      </c>
      <c r="B135" t="s">
        <v>12</v>
      </c>
      <c r="C135">
        <v>1040500</v>
      </c>
      <c r="D135" s="1">
        <v>45541</v>
      </c>
      <c r="E135" s="197">
        <v>1896.83</v>
      </c>
      <c r="F135" s="195"/>
      <c r="G135" s="195" t="s">
        <v>9</v>
      </c>
      <c r="H135" s="195" t="s">
        <v>485</v>
      </c>
    </row>
    <row r="136" spans="1:8">
      <c r="A136">
        <v>202</v>
      </c>
      <c r="B136" t="s">
        <v>12</v>
      </c>
      <c r="C136">
        <v>1040500</v>
      </c>
      <c r="D136" s="1">
        <v>45541</v>
      </c>
      <c r="E136" s="197">
        <v>55238.84</v>
      </c>
      <c r="F136" s="195"/>
      <c r="G136" s="195" t="s">
        <v>9</v>
      </c>
      <c r="H136" s="195" t="s">
        <v>485</v>
      </c>
    </row>
    <row r="137" spans="1:8">
      <c r="A137">
        <v>203</v>
      </c>
      <c r="B137" t="s">
        <v>12</v>
      </c>
      <c r="C137">
        <v>1040500</v>
      </c>
      <c r="D137" s="1">
        <v>45541</v>
      </c>
      <c r="E137" s="197">
        <v>60749.72</v>
      </c>
      <c r="F137" s="195"/>
      <c r="G137" s="195" t="s">
        <v>9</v>
      </c>
      <c r="H137" s="195" t="s">
        <v>485</v>
      </c>
    </row>
    <row r="138" spans="1:8">
      <c r="A138">
        <v>204</v>
      </c>
      <c r="B138" t="s">
        <v>12</v>
      </c>
      <c r="C138">
        <v>1040500</v>
      </c>
      <c r="D138" s="1">
        <v>45541</v>
      </c>
      <c r="E138" s="197">
        <v>68057.789999999994</v>
      </c>
      <c r="F138" s="195"/>
      <c r="G138" s="195" t="s">
        <v>9</v>
      </c>
      <c r="H138" s="195" t="s">
        <v>485</v>
      </c>
    </row>
    <row r="139" spans="1:8">
      <c r="A139">
        <v>205</v>
      </c>
      <c r="B139" t="s">
        <v>12</v>
      </c>
      <c r="C139">
        <v>1040500</v>
      </c>
      <c r="D139" s="1">
        <v>45541</v>
      </c>
      <c r="E139" s="197">
        <v>60902.6</v>
      </c>
      <c r="F139" s="195"/>
      <c r="G139" s="195" t="s">
        <v>9</v>
      </c>
      <c r="H139" s="195" t="s">
        <v>485</v>
      </c>
    </row>
    <row r="140" spans="1:8">
      <c r="A140">
        <v>206</v>
      </c>
      <c r="B140" t="s">
        <v>12</v>
      </c>
      <c r="C140">
        <v>1040500</v>
      </c>
      <c r="D140" s="1">
        <v>45541</v>
      </c>
      <c r="E140" s="197">
        <v>58333.34</v>
      </c>
      <c r="F140" s="195"/>
      <c r="G140" s="195" t="s">
        <v>9</v>
      </c>
      <c r="H140" s="195" t="s">
        <v>485</v>
      </c>
    </row>
    <row r="141" spans="1:8">
      <c r="A141">
        <v>207</v>
      </c>
      <c r="B141" t="s">
        <v>12</v>
      </c>
      <c r="C141">
        <v>1040500</v>
      </c>
      <c r="D141" s="1">
        <v>45541</v>
      </c>
      <c r="E141" s="197">
        <v>60577.65</v>
      </c>
      <c r="F141" s="195"/>
      <c r="G141" s="195" t="s">
        <v>9</v>
      </c>
      <c r="H141" s="195" t="s">
        <v>485</v>
      </c>
    </row>
    <row r="142" spans="1:8">
      <c r="A142">
        <v>208</v>
      </c>
      <c r="B142" t="s">
        <v>12</v>
      </c>
      <c r="C142">
        <v>1040500</v>
      </c>
      <c r="D142" s="1">
        <v>45541</v>
      </c>
      <c r="E142" s="197">
        <v>83151.41</v>
      </c>
      <c r="F142" s="195"/>
      <c r="G142" s="195" t="s">
        <v>9</v>
      </c>
      <c r="H142" s="195" t="s">
        <v>485</v>
      </c>
    </row>
    <row r="143" spans="1:8">
      <c r="A143">
        <v>209</v>
      </c>
      <c r="B143" t="s">
        <v>12</v>
      </c>
      <c r="C143">
        <v>1040500</v>
      </c>
      <c r="D143" s="1">
        <v>45541</v>
      </c>
      <c r="E143" s="197">
        <v>59068.09</v>
      </c>
      <c r="F143" s="195"/>
      <c r="G143" s="195" t="s">
        <v>9</v>
      </c>
      <c r="H143" s="195" t="s">
        <v>485</v>
      </c>
    </row>
    <row r="144" spans="1:8">
      <c r="A144">
        <v>210</v>
      </c>
      <c r="B144" t="s">
        <v>12</v>
      </c>
      <c r="C144">
        <v>1040500</v>
      </c>
      <c r="D144" s="1">
        <v>45541</v>
      </c>
      <c r="E144" s="197">
        <v>79255.7</v>
      </c>
      <c r="F144" s="195"/>
      <c r="G144" s="195" t="s">
        <v>9</v>
      </c>
      <c r="H144" s="195" t="s">
        <v>485</v>
      </c>
    </row>
    <row r="145" spans="1:8">
      <c r="A145">
        <v>211</v>
      </c>
      <c r="B145" t="s">
        <v>12</v>
      </c>
      <c r="C145">
        <v>1040500</v>
      </c>
      <c r="D145" s="1">
        <v>45541</v>
      </c>
      <c r="E145" s="197">
        <v>41558.67</v>
      </c>
      <c r="F145" s="195"/>
      <c r="G145" s="195" t="s">
        <v>9</v>
      </c>
      <c r="H145" s="195" t="s">
        <v>485</v>
      </c>
    </row>
    <row r="146" spans="1:8">
      <c r="A146">
        <v>212</v>
      </c>
      <c r="B146" t="s">
        <v>12</v>
      </c>
      <c r="C146">
        <v>1040500</v>
      </c>
      <c r="D146" s="1">
        <v>45541</v>
      </c>
      <c r="E146" s="197">
        <v>42446.6</v>
      </c>
      <c r="F146" s="195"/>
      <c r="G146" s="195" t="s">
        <v>9</v>
      </c>
      <c r="H146" s="195" t="s">
        <v>485</v>
      </c>
    </row>
    <row r="147" spans="1:8">
      <c r="A147">
        <v>213</v>
      </c>
      <c r="B147" t="s">
        <v>12</v>
      </c>
      <c r="C147">
        <v>1040500</v>
      </c>
      <c r="D147" s="1">
        <v>45541</v>
      </c>
      <c r="E147" s="197">
        <v>42927.27</v>
      </c>
      <c r="F147" s="195"/>
      <c r="G147" s="195" t="s">
        <v>9</v>
      </c>
      <c r="H147" s="195" t="s">
        <v>485</v>
      </c>
    </row>
    <row r="148" spans="1:8">
      <c r="A148">
        <v>214</v>
      </c>
      <c r="B148" t="s">
        <v>12</v>
      </c>
      <c r="C148">
        <v>1040500</v>
      </c>
      <c r="D148" s="1">
        <v>45541</v>
      </c>
      <c r="E148" s="197">
        <v>42835.8</v>
      </c>
      <c r="F148" s="195"/>
      <c r="G148" s="195" t="s">
        <v>9</v>
      </c>
      <c r="H148" s="195" t="s">
        <v>485</v>
      </c>
    </row>
    <row r="149" spans="1:8">
      <c r="A149">
        <v>215</v>
      </c>
      <c r="B149" t="s">
        <v>12</v>
      </c>
      <c r="C149">
        <v>1040500</v>
      </c>
      <c r="D149" s="1">
        <v>45541</v>
      </c>
      <c r="E149" s="197">
        <v>41155.730000000003</v>
      </c>
      <c r="F149" s="195"/>
      <c r="G149" s="195" t="s">
        <v>9</v>
      </c>
      <c r="H149" s="195" t="s">
        <v>485</v>
      </c>
    </row>
    <row r="150" spans="1:8">
      <c r="A150">
        <v>216</v>
      </c>
      <c r="B150" t="s">
        <v>12</v>
      </c>
      <c r="C150">
        <v>1040500</v>
      </c>
      <c r="D150" s="1">
        <v>45541</v>
      </c>
      <c r="E150" s="197">
        <v>60350.31</v>
      </c>
      <c r="F150" s="195"/>
      <c r="G150" s="195" t="s">
        <v>9</v>
      </c>
      <c r="H150" s="195" t="s">
        <v>485</v>
      </c>
    </row>
    <row r="151" spans="1:8">
      <c r="A151">
        <v>217</v>
      </c>
      <c r="B151" t="s">
        <v>12</v>
      </c>
      <c r="C151">
        <v>1040500</v>
      </c>
      <c r="D151" s="1">
        <v>45541</v>
      </c>
      <c r="E151" s="197">
        <v>41757.949999999997</v>
      </c>
      <c r="F151" s="195"/>
      <c r="G151" s="195" t="s">
        <v>9</v>
      </c>
      <c r="H151" s="195" t="s">
        <v>485</v>
      </c>
    </row>
    <row r="152" spans="1:8">
      <c r="A152">
        <v>218</v>
      </c>
      <c r="B152" t="s">
        <v>12</v>
      </c>
      <c r="C152">
        <v>1040500</v>
      </c>
      <c r="D152" s="1">
        <v>45541</v>
      </c>
      <c r="E152" s="197">
        <v>58762.35</v>
      </c>
      <c r="F152" s="195"/>
      <c r="G152" s="195" t="s">
        <v>9</v>
      </c>
      <c r="H152" s="195" t="s">
        <v>485</v>
      </c>
    </row>
    <row r="153" spans="1:8">
      <c r="A153">
        <v>219</v>
      </c>
      <c r="B153" t="s">
        <v>12</v>
      </c>
      <c r="C153">
        <v>1040500</v>
      </c>
      <c r="D153" s="1">
        <v>45541</v>
      </c>
      <c r="E153" s="197">
        <v>78217.13</v>
      </c>
      <c r="F153" s="195"/>
      <c r="G153" s="195" t="s">
        <v>9</v>
      </c>
      <c r="H153" s="195" t="s">
        <v>485</v>
      </c>
    </row>
    <row r="154" spans="1:8">
      <c r="A154">
        <v>220</v>
      </c>
      <c r="B154" t="s">
        <v>12</v>
      </c>
      <c r="C154">
        <v>1040500</v>
      </c>
      <c r="D154" s="1">
        <v>45541</v>
      </c>
      <c r="E154" s="197">
        <v>80775.55</v>
      </c>
      <c r="F154" s="195"/>
      <c r="G154" s="195" t="s">
        <v>9</v>
      </c>
      <c r="H154" s="195" t="s">
        <v>485</v>
      </c>
    </row>
    <row r="155" spans="1:8">
      <c r="A155">
        <v>221</v>
      </c>
      <c r="B155" t="s">
        <v>12</v>
      </c>
      <c r="C155">
        <v>1040500</v>
      </c>
      <c r="D155" s="1">
        <v>45541</v>
      </c>
      <c r="E155" s="197">
        <v>87487.09</v>
      </c>
      <c r="F155" s="195"/>
      <c r="G155" s="195" t="s">
        <v>9</v>
      </c>
      <c r="H155" s="195" t="s">
        <v>485</v>
      </c>
    </row>
    <row r="156" spans="1:8">
      <c r="A156">
        <v>222</v>
      </c>
      <c r="B156" t="s">
        <v>12</v>
      </c>
      <c r="C156">
        <v>1040500</v>
      </c>
      <c r="D156" s="1">
        <v>45541</v>
      </c>
      <c r="E156" s="197">
        <v>97520.01</v>
      </c>
      <c r="F156" s="195"/>
      <c r="G156" s="195" t="s">
        <v>9</v>
      </c>
      <c r="H156" s="195" t="s">
        <v>485</v>
      </c>
    </row>
    <row r="157" spans="1:8">
      <c r="G157" s="116" t="s">
        <v>9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F3373-186C-48EA-9D17-0621C594EBA5}">
  <dimension ref="A3:B13"/>
  <sheetViews>
    <sheetView workbookViewId="0">
      <selection activeCell="H16" sqref="H16"/>
    </sheetView>
  </sheetViews>
  <sheetFormatPr defaultRowHeight="13.8"/>
  <cols>
    <col min="1" max="1" width="27.3984375" bestFit="1" customWidth="1"/>
    <col min="2" max="2" width="20" bestFit="1" customWidth="1"/>
  </cols>
  <sheetData>
    <row r="3" spans="1:2">
      <c r="A3" s="210" t="s">
        <v>153</v>
      </c>
      <c r="B3" t="s">
        <v>154</v>
      </c>
    </row>
    <row r="4" spans="1:2">
      <c r="A4" s="208">
        <v>170282</v>
      </c>
      <c r="B4">
        <v>2897636.6999999997</v>
      </c>
    </row>
    <row r="5" spans="1:2">
      <c r="A5" s="208">
        <v>170283</v>
      </c>
      <c r="B5">
        <v>4164.1099999999997</v>
      </c>
    </row>
    <row r="6" spans="1:2">
      <c r="A6" s="208">
        <v>170285</v>
      </c>
      <c r="B6">
        <v>1189.76</v>
      </c>
    </row>
    <row r="7" spans="1:2">
      <c r="A7" s="208">
        <v>170288</v>
      </c>
      <c r="B7">
        <v>550546.57999999961</v>
      </c>
    </row>
    <row r="8" spans="1:2">
      <c r="A8" s="208">
        <v>170297</v>
      </c>
      <c r="B8">
        <v>37813.240000000013</v>
      </c>
    </row>
    <row r="9" spans="1:2">
      <c r="A9" s="208">
        <v>170311</v>
      </c>
      <c r="B9">
        <v>2360973.5299999998</v>
      </c>
    </row>
    <row r="10" spans="1:2">
      <c r="A10" s="208">
        <v>170319</v>
      </c>
      <c r="B10">
        <v>2603.7299999999996</v>
      </c>
    </row>
    <row r="11" spans="1:2">
      <c r="A11" s="208" t="s">
        <v>486</v>
      </c>
      <c r="B11">
        <v>444.4</v>
      </c>
    </row>
    <row r="12" spans="1:2">
      <c r="A12" s="208" t="s">
        <v>157</v>
      </c>
    </row>
    <row r="13" spans="1:2">
      <c r="A13" s="208" t="s">
        <v>158</v>
      </c>
      <c r="B13">
        <v>5855372.0499999998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3720F-2A83-43CC-AB85-686FF07A5B06}">
  <dimension ref="A1:T579"/>
  <sheetViews>
    <sheetView workbookViewId="0">
      <selection activeCell="H16" sqref="H16"/>
    </sheetView>
  </sheetViews>
  <sheetFormatPr defaultRowHeight="13.8"/>
  <sheetData>
    <row r="1" spans="1:20">
      <c r="A1" t="s">
        <v>38</v>
      </c>
      <c r="B1" t="s">
        <v>1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38</v>
      </c>
      <c r="M1" t="s">
        <v>1</v>
      </c>
      <c r="N1" t="s">
        <v>39</v>
      </c>
      <c r="O1" t="s">
        <v>48</v>
      </c>
      <c r="P1" t="s">
        <v>49</v>
      </c>
      <c r="Q1" t="s">
        <v>50</v>
      </c>
      <c r="R1" t="s">
        <v>51</v>
      </c>
      <c r="S1" t="s">
        <v>52</v>
      </c>
      <c r="T1" t="s">
        <v>53</v>
      </c>
    </row>
    <row r="2" spans="1:20">
      <c r="B2" t="s">
        <v>11</v>
      </c>
      <c r="C2">
        <v>330421415</v>
      </c>
      <c r="D2" t="s">
        <v>54</v>
      </c>
      <c r="E2">
        <v>87</v>
      </c>
      <c r="F2">
        <v>87</v>
      </c>
      <c r="J2" s="209">
        <v>45684</v>
      </c>
      <c r="K2" s="209">
        <v>45684</v>
      </c>
      <c r="M2" t="s">
        <v>11</v>
      </c>
      <c r="N2">
        <v>330421415</v>
      </c>
      <c r="O2">
        <v>170297</v>
      </c>
      <c r="Q2" t="s">
        <v>487</v>
      </c>
      <c r="R2">
        <v>170297</v>
      </c>
    </row>
    <row r="3" spans="1:20">
      <c r="B3" t="s">
        <v>11</v>
      </c>
      <c r="C3">
        <v>330421416</v>
      </c>
      <c r="D3" t="s">
        <v>54</v>
      </c>
      <c r="E3" s="202">
        <v>1304.52</v>
      </c>
      <c r="F3">
        <v>1304.52</v>
      </c>
      <c r="J3" s="209">
        <v>45684</v>
      </c>
      <c r="K3" s="209">
        <v>45684</v>
      </c>
      <c r="M3" t="s">
        <v>11</v>
      </c>
      <c r="N3">
        <v>330421416</v>
      </c>
      <c r="O3">
        <v>170297</v>
      </c>
      <c r="Q3" t="s">
        <v>488</v>
      </c>
      <c r="R3">
        <v>170297</v>
      </c>
    </row>
    <row r="4" spans="1:20">
      <c r="B4" t="s">
        <v>11</v>
      </c>
      <c r="C4">
        <v>330421417</v>
      </c>
      <c r="D4" t="s">
        <v>54</v>
      </c>
      <c r="E4">
        <v>455.24</v>
      </c>
      <c r="F4">
        <v>455.24</v>
      </c>
      <c r="J4" s="209">
        <v>45684</v>
      </c>
      <c r="K4" s="209">
        <v>45684</v>
      </c>
      <c r="M4" t="s">
        <v>11</v>
      </c>
      <c r="N4">
        <v>330421417</v>
      </c>
      <c r="O4">
        <v>170297</v>
      </c>
      <c r="Q4" t="s">
        <v>489</v>
      </c>
      <c r="R4">
        <v>170297</v>
      </c>
    </row>
    <row r="5" spans="1:20">
      <c r="B5" t="s">
        <v>11</v>
      </c>
      <c r="C5">
        <v>330421418</v>
      </c>
      <c r="D5" t="s">
        <v>54</v>
      </c>
      <c r="E5">
        <v>91.59</v>
      </c>
      <c r="F5">
        <v>91.59</v>
      </c>
      <c r="J5" s="209">
        <v>45684</v>
      </c>
      <c r="K5" s="209">
        <v>45684</v>
      </c>
      <c r="M5" t="s">
        <v>11</v>
      </c>
      <c r="N5">
        <v>330421418</v>
      </c>
      <c r="O5">
        <v>170297</v>
      </c>
      <c r="Q5" t="s">
        <v>490</v>
      </c>
      <c r="R5">
        <v>170297</v>
      </c>
    </row>
    <row r="6" spans="1:20">
      <c r="B6" t="s">
        <v>11</v>
      </c>
      <c r="C6">
        <v>330421419</v>
      </c>
      <c r="D6" t="s">
        <v>54</v>
      </c>
      <c r="E6">
        <v>82.75</v>
      </c>
      <c r="F6">
        <v>82.75</v>
      </c>
      <c r="J6" s="209">
        <v>45684</v>
      </c>
      <c r="K6" s="209">
        <v>45684</v>
      </c>
      <c r="M6" t="s">
        <v>11</v>
      </c>
      <c r="N6">
        <v>330421419</v>
      </c>
      <c r="O6">
        <v>170297</v>
      </c>
      <c r="Q6" t="s">
        <v>491</v>
      </c>
      <c r="R6">
        <v>170297</v>
      </c>
    </row>
    <row r="7" spans="1:20">
      <c r="B7" t="s">
        <v>11</v>
      </c>
      <c r="C7">
        <v>330421420</v>
      </c>
      <c r="D7" t="s">
        <v>54</v>
      </c>
      <c r="E7" s="202">
        <v>1050</v>
      </c>
      <c r="F7">
        <v>1050</v>
      </c>
      <c r="J7" s="209">
        <v>45684</v>
      </c>
      <c r="K7" s="209">
        <v>45684</v>
      </c>
      <c r="M7" t="s">
        <v>11</v>
      </c>
      <c r="N7">
        <v>330421420</v>
      </c>
      <c r="O7">
        <v>170297</v>
      </c>
      <c r="Q7" t="s">
        <v>492</v>
      </c>
      <c r="R7">
        <v>170297</v>
      </c>
    </row>
    <row r="8" spans="1:20">
      <c r="B8" t="s">
        <v>11</v>
      </c>
      <c r="C8">
        <v>330421421</v>
      </c>
      <c r="D8" t="s">
        <v>54</v>
      </c>
      <c r="E8">
        <v>127</v>
      </c>
      <c r="F8">
        <v>127</v>
      </c>
      <c r="J8" s="209">
        <v>45684</v>
      </c>
      <c r="K8" s="209">
        <v>45684</v>
      </c>
      <c r="M8" t="s">
        <v>11</v>
      </c>
      <c r="N8">
        <v>330421421</v>
      </c>
      <c r="O8">
        <v>170297</v>
      </c>
      <c r="Q8" t="s">
        <v>493</v>
      </c>
      <c r="R8">
        <v>170297</v>
      </c>
    </row>
    <row r="9" spans="1:20">
      <c r="B9" t="s">
        <v>11</v>
      </c>
      <c r="C9">
        <v>330421422</v>
      </c>
      <c r="D9" t="s">
        <v>54</v>
      </c>
      <c r="E9">
        <v>965.66</v>
      </c>
      <c r="F9">
        <v>965.66</v>
      </c>
      <c r="J9" s="209">
        <v>45684</v>
      </c>
      <c r="K9" s="209">
        <v>45684</v>
      </c>
      <c r="M9" t="s">
        <v>11</v>
      </c>
      <c r="N9">
        <v>330421422</v>
      </c>
      <c r="O9">
        <v>170297</v>
      </c>
      <c r="Q9" t="s">
        <v>62</v>
      </c>
      <c r="R9">
        <v>170297</v>
      </c>
    </row>
    <row r="10" spans="1:20">
      <c r="B10" t="s">
        <v>11</v>
      </c>
      <c r="C10">
        <v>330421423</v>
      </c>
      <c r="D10" t="s">
        <v>54</v>
      </c>
      <c r="E10">
        <v>500</v>
      </c>
      <c r="F10">
        <v>500</v>
      </c>
      <c r="J10" s="209">
        <v>45684</v>
      </c>
      <c r="K10" s="209">
        <v>45684</v>
      </c>
      <c r="M10" t="s">
        <v>11</v>
      </c>
      <c r="N10">
        <v>330421423</v>
      </c>
      <c r="O10">
        <v>170297</v>
      </c>
      <c r="Q10" t="s">
        <v>65</v>
      </c>
      <c r="R10">
        <v>170297</v>
      </c>
    </row>
    <row r="11" spans="1:20">
      <c r="B11" t="s">
        <v>11</v>
      </c>
      <c r="C11">
        <v>330421424</v>
      </c>
      <c r="D11" t="s">
        <v>54</v>
      </c>
      <c r="E11">
        <v>192.87</v>
      </c>
      <c r="F11">
        <v>192.87</v>
      </c>
      <c r="J11" s="209">
        <v>45684</v>
      </c>
      <c r="K11" s="209">
        <v>45684</v>
      </c>
      <c r="M11" t="s">
        <v>11</v>
      </c>
      <c r="N11">
        <v>330421424</v>
      </c>
      <c r="O11">
        <v>170297</v>
      </c>
      <c r="Q11" t="s">
        <v>494</v>
      </c>
      <c r="R11">
        <v>170297</v>
      </c>
    </row>
    <row r="12" spans="1:20">
      <c r="B12" t="s">
        <v>11</v>
      </c>
      <c r="C12">
        <v>330421425</v>
      </c>
      <c r="D12" t="s">
        <v>54</v>
      </c>
      <c r="E12" s="202">
        <v>1050</v>
      </c>
      <c r="F12">
        <v>1050</v>
      </c>
      <c r="J12" s="209">
        <v>45684</v>
      </c>
      <c r="K12" s="209">
        <v>45684</v>
      </c>
      <c r="M12" t="s">
        <v>11</v>
      </c>
      <c r="N12">
        <v>330421425</v>
      </c>
      <c r="O12">
        <v>170297</v>
      </c>
      <c r="Q12" t="s">
        <v>495</v>
      </c>
      <c r="R12">
        <v>170297</v>
      </c>
    </row>
    <row r="13" spans="1:20">
      <c r="B13" t="s">
        <v>11</v>
      </c>
      <c r="C13">
        <v>330421426</v>
      </c>
      <c r="D13" t="s">
        <v>54</v>
      </c>
      <c r="E13">
        <v>60</v>
      </c>
      <c r="F13">
        <v>60</v>
      </c>
      <c r="J13" s="209">
        <v>45684</v>
      </c>
      <c r="K13" s="209">
        <v>45684</v>
      </c>
      <c r="M13" t="s">
        <v>11</v>
      </c>
      <c r="N13">
        <v>330421426</v>
      </c>
      <c r="O13">
        <v>170297</v>
      </c>
      <c r="Q13" t="s">
        <v>496</v>
      </c>
      <c r="R13">
        <v>170297</v>
      </c>
    </row>
    <row r="14" spans="1:20">
      <c r="B14" t="s">
        <v>11</v>
      </c>
      <c r="C14">
        <v>330421427</v>
      </c>
      <c r="D14" t="s">
        <v>54</v>
      </c>
      <c r="E14">
        <v>18.39</v>
      </c>
      <c r="F14">
        <v>18.39</v>
      </c>
      <c r="J14" s="209">
        <v>45684</v>
      </c>
      <c r="K14" s="209">
        <v>45684</v>
      </c>
      <c r="M14" t="s">
        <v>11</v>
      </c>
      <c r="N14">
        <v>330421427</v>
      </c>
      <c r="O14">
        <v>170297</v>
      </c>
      <c r="Q14" t="s">
        <v>497</v>
      </c>
      <c r="R14">
        <v>170297</v>
      </c>
    </row>
    <row r="15" spans="1:20">
      <c r="B15" t="s">
        <v>11</v>
      </c>
      <c r="C15">
        <v>330421428</v>
      </c>
      <c r="D15" t="s">
        <v>54</v>
      </c>
      <c r="E15">
        <v>94.58</v>
      </c>
      <c r="F15">
        <v>94.58</v>
      </c>
      <c r="J15" s="209">
        <v>45684</v>
      </c>
      <c r="K15" s="209">
        <v>45684</v>
      </c>
      <c r="M15" t="s">
        <v>11</v>
      </c>
      <c r="N15">
        <v>330421428</v>
      </c>
      <c r="O15">
        <v>170297</v>
      </c>
      <c r="Q15" t="s">
        <v>73</v>
      </c>
      <c r="R15">
        <v>170297</v>
      </c>
    </row>
    <row r="16" spans="1:20">
      <c r="B16" t="s">
        <v>11</v>
      </c>
      <c r="C16">
        <v>330421429</v>
      </c>
      <c r="D16" t="s">
        <v>54</v>
      </c>
      <c r="E16">
        <v>465.14</v>
      </c>
      <c r="F16">
        <v>465.14</v>
      </c>
      <c r="J16" s="209">
        <v>45684</v>
      </c>
      <c r="K16" s="209">
        <v>45684</v>
      </c>
      <c r="M16" t="s">
        <v>11</v>
      </c>
      <c r="N16">
        <v>330421429</v>
      </c>
      <c r="O16">
        <v>170297</v>
      </c>
      <c r="Q16" t="s">
        <v>74</v>
      </c>
      <c r="R16">
        <v>170297</v>
      </c>
    </row>
    <row r="17" spans="2:18">
      <c r="B17" t="s">
        <v>11</v>
      </c>
      <c r="C17">
        <v>330421430</v>
      </c>
      <c r="D17" t="s">
        <v>54</v>
      </c>
      <c r="E17" s="202">
        <v>1641.78</v>
      </c>
      <c r="F17">
        <v>1641.78</v>
      </c>
      <c r="J17" s="209">
        <v>45684</v>
      </c>
      <c r="K17" s="209">
        <v>45684</v>
      </c>
      <c r="M17" t="s">
        <v>11</v>
      </c>
      <c r="N17">
        <v>330421430</v>
      </c>
      <c r="O17">
        <v>170297</v>
      </c>
      <c r="Q17" t="s">
        <v>75</v>
      </c>
      <c r="R17">
        <v>170297</v>
      </c>
    </row>
    <row r="18" spans="2:18">
      <c r="B18" t="s">
        <v>11</v>
      </c>
      <c r="C18">
        <v>330421431</v>
      </c>
      <c r="D18" t="s">
        <v>54</v>
      </c>
      <c r="E18">
        <v>474.26</v>
      </c>
      <c r="F18">
        <v>474.26</v>
      </c>
      <c r="J18" s="209">
        <v>45684</v>
      </c>
      <c r="K18" s="209">
        <v>45684</v>
      </c>
      <c r="M18" t="s">
        <v>11</v>
      </c>
      <c r="N18">
        <v>330421431</v>
      </c>
      <c r="O18">
        <v>170297</v>
      </c>
      <c r="Q18" t="s">
        <v>498</v>
      </c>
      <c r="R18">
        <v>170297</v>
      </c>
    </row>
    <row r="19" spans="2:18">
      <c r="B19" t="s">
        <v>11</v>
      </c>
      <c r="C19">
        <v>330421432</v>
      </c>
      <c r="D19" t="s">
        <v>54</v>
      </c>
      <c r="E19" s="202">
        <v>1448.94</v>
      </c>
      <c r="F19">
        <v>1448.94</v>
      </c>
      <c r="J19" s="209">
        <v>45684</v>
      </c>
      <c r="K19" s="209">
        <v>45684</v>
      </c>
      <c r="M19" t="s">
        <v>11</v>
      </c>
      <c r="N19">
        <v>330421432</v>
      </c>
      <c r="O19">
        <v>170297</v>
      </c>
      <c r="Q19" t="s">
        <v>499</v>
      </c>
      <c r="R19">
        <v>170297</v>
      </c>
    </row>
    <row r="20" spans="2:18">
      <c r="B20" t="s">
        <v>11</v>
      </c>
      <c r="C20">
        <v>330421433</v>
      </c>
      <c r="D20" t="s">
        <v>54</v>
      </c>
      <c r="E20">
        <v>69.58</v>
      </c>
      <c r="F20">
        <v>69.58</v>
      </c>
      <c r="J20" s="209">
        <v>45684</v>
      </c>
      <c r="K20" s="209">
        <v>45684</v>
      </c>
      <c r="M20" t="s">
        <v>11</v>
      </c>
      <c r="N20">
        <v>330421433</v>
      </c>
      <c r="O20">
        <v>170297</v>
      </c>
      <c r="Q20" t="s">
        <v>500</v>
      </c>
      <c r="R20">
        <v>170297</v>
      </c>
    </row>
    <row r="21" spans="2:18">
      <c r="B21" t="s">
        <v>11</v>
      </c>
      <c r="C21">
        <v>330421434</v>
      </c>
      <c r="D21" t="s">
        <v>54</v>
      </c>
      <c r="E21">
        <v>66.599999999999994</v>
      </c>
      <c r="F21">
        <v>66.599999999999994</v>
      </c>
      <c r="J21" s="209">
        <v>45684</v>
      </c>
      <c r="K21" s="209">
        <v>45684</v>
      </c>
      <c r="M21" t="s">
        <v>11</v>
      </c>
      <c r="N21">
        <v>330421434</v>
      </c>
      <c r="O21">
        <v>170297</v>
      </c>
      <c r="Q21" t="s">
        <v>501</v>
      </c>
      <c r="R21">
        <v>170297</v>
      </c>
    </row>
    <row r="22" spans="2:18">
      <c r="B22" t="s">
        <v>11</v>
      </c>
      <c r="C22">
        <v>330421435</v>
      </c>
      <c r="D22" t="s">
        <v>54</v>
      </c>
      <c r="E22">
        <v>60.75</v>
      </c>
      <c r="F22">
        <v>60.75</v>
      </c>
      <c r="J22" s="209">
        <v>45684</v>
      </c>
      <c r="K22" s="209">
        <v>45684</v>
      </c>
      <c r="M22" t="s">
        <v>11</v>
      </c>
      <c r="N22">
        <v>330421435</v>
      </c>
      <c r="O22">
        <v>170297</v>
      </c>
      <c r="Q22" t="s">
        <v>502</v>
      </c>
      <c r="R22">
        <v>170297</v>
      </c>
    </row>
    <row r="23" spans="2:18">
      <c r="B23" t="s">
        <v>11</v>
      </c>
      <c r="C23">
        <v>330421436</v>
      </c>
      <c r="D23" t="s">
        <v>54</v>
      </c>
      <c r="E23">
        <v>64.790000000000006</v>
      </c>
      <c r="F23">
        <v>64.790000000000006</v>
      </c>
      <c r="J23" s="209">
        <v>45684</v>
      </c>
      <c r="K23" s="209">
        <v>45684</v>
      </c>
      <c r="M23" t="s">
        <v>11</v>
      </c>
      <c r="N23">
        <v>330421436</v>
      </c>
      <c r="O23">
        <v>170297</v>
      </c>
      <c r="Q23" t="s">
        <v>503</v>
      </c>
      <c r="R23">
        <v>170297</v>
      </c>
    </row>
    <row r="24" spans="2:18">
      <c r="B24" t="s">
        <v>11</v>
      </c>
      <c r="C24">
        <v>330421437</v>
      </c>
      <c r="D24" t="s">
        <v>54</v>
      </c>
      <c r="E24">
        <v>25.8</v>
      </c>
      <c r="F24">
        <v>25.8</v>
      </c>
      <c r="J24" s="209">
        <v>45684</v>
      </c>
      <c r="K24" s="209">
        <v>45684</v>
      </c>
      <c r="M24" t="s">
        <v>11</v>
      </c>
      <c r="N24">
        <v>330421437</v>
      </c>
      <c r="O24">
        <v>170297</v>
      </c>
      <c r="Q24" t="s">
        <v>504</v>
      </c>
      <c r="R24">
        <v>170297</v>
      </c>
    </row>
    <row r="25" spans="2:18">
      <c r="B25" t="s">
        <v>11</v>
      </c>
      <c r="C25">
        <v>330421438</v>
      </c>
      <c r="D25" t="s">
        <v>54</v>
      </c>
      <c r="E25">
        <v>35</v>
      </c>
      <c r="F25">
        <v>35</v>
      </c>
      <c r="J25" s="209">
        <v>45684</v>
      </c>
      <c r="K25" s="209">
        <v>45684</v>
      </c>
      <c r="M25" t="s">
        <v>11</v>
      </c>
      <c r="N25">
        <v>330421438</v>
      </c>
      <c r="O25">
        <v>170297</v>
      </c>
      <c r="Q25" t="s">
        <v>83</v>
      </c>
      <c r="R25">
        <v>170297</v>
      </c>
    </row>
    <row r="26" spans="2:18">
      <c r="B26" t="s">
        <v>11</v>
      </c>
      <c r="C26">
        <v>330421439</v>
      </c>
      <c r="D26" t="s">
        <v>54</v>
      </c>
      <c r="E26">
        <v>161.72999999999999</v>
      </c>
      <c r="F26">
        <v>161.72999999999999</v>
      </c>
      <c r="J26" s="209">
        <v>45684</v>
      </c>
      <c r="K26" s="209">
        <v>45684</v>
      </c>
      <c r="M26" t="s">
        <v>11</v>
      </c>
      <c r="N26">
        <v>330421439</v>
      </c>
      <c r="O26">
        <v>170297</v>
      </c>
      <c r="Q26" t="s">
        <v>505</v>
      </c>
      <c r="R26">
        <v>170297</v>
      </c>
    </row>
    <row r="27" spans="2:18">
      <c r="B27" t="s">
        <v>11</v>
      </c>
      <c r="C27">
        <v>330421440</v>
      </c>
      <c r="D27" t="s">
        <v>54</v>
      </c>
      <c r="E27">
        <v>455.24</v>
      </c>
      <c r="F27">
        <v>455.24</v>
      </c>
      <c r="J27" s="209">
        <v>45684</v>
      </c>
      <c r="K27" s="209">
        <v>45684</v>
      </c>
      <c r="M27" t="s">
        <v>11</v>
      </c>
      <c r="N27">
        <v>330421440</v>
      </c>
      <c r="O27">
        <v>170297</v>
      </c>
      <c r="Q27" t="s">
        <v>506</v>
      </c>
      <c r="R27">
        <v>170297</v>
      </c>
    </row>
    <row r="28" spans="2:18">
      <c r="B28" t="s">
        <v>11</v>
      </c>
      <c r="C28">
        <v>330421441</v>
      </c>
      <c r="D28" t="s">
        <v>54</v>
      </c>
      <c r="E28">
        <v>31.2</v>
      </c>
      <c r="F28">
        <v>31.2</v>
      </c>
      <c r="J28" s="209">
        <v>45684</v>
      </c>
      <c r="K28" s="209">
        <v>45684</v>
      </c>
      <c r="M28" t="s">
        <v>11</v>
      </c>
      <c r="N28">
        <v>330421441</v>
      </c>
      <c r="O28">
        <v>170297</v>
      </c>
      <c r="Q28" t="s">
        <v>326</v>
      </c>
      <c r="R28">
        <v>170297</v>
      </c>
    </row>
    <row r="29" spans="2:18">
      <c r="B29" t="s">
        <v>11</v>
      </c>
      <c r="C29">
        <v>330421442</v>
      </c>
      <c r="D29" t="s">
        <v>54</v>
      </c>
      <c r="E29">
        <v>13.3</v>
      </c>
      <c r="F29">
        <v>13.3</v>
      </c>
      <c r="J29" s="209">
        <v>45684</v>
      </c>
      <c r="K29" s="209">
        <v>45684</v>
      </c>
      <c r="M29" t="s">
        <v>11</v>
      </c>
      <c r="N29">
        <v>330421442</v>
      </c>
      <c r="O29">
        <v>170297</v>
      </c>
      <c r="Q29" t="s">
        <v>437</v>
      </c>
      <c r="R29">
        <v>170297</v>
      </c>
    </row>
    <row r="30" spans="2:18">
      <c r="B30" t="s">
        <v>11</v>
      </c>
      <c r="C30">
        <v>330421443</v>
      </c>
      <c r="D30" t="s">
        <v>54</v>
      </c>
      <c r="E30">
        <v>389</v>
      </c>
      <c r="F30">
        <v>389</v>
      </c>
      <c r="J30" s="209">
        <v>45684</v>
      </c>
      <c r="K30" s="209">
        <v>45684</v>
      </c>
      <c r="M30" t="s">
        <v>11</v>
      </c>
      <c r="N30">
        <v>330421443</v>
      </c>
      <c r="O30">
        <v>170297</v>
      </c>
      <c r="Q30" t="s">
        <v>507</v>
      </c>
      <c r="R30">
        <v>170297</v>
      </c>
    </row>
    <row r="31" spans="2:18">
      <c r="B31" t="s">
        <v>11</v>
      </c>
      <c r="C31">
        <v>330421444</v>
      </c>
      <c r="D31" t="s">
        <v>54</v>
      </c>
      <c r="E31">
        <v>455.24</v>
      </c>
      <c r="F31">
        <v>455.24</v>
      </c>
      <c r="J31" s="209">
        <v>45684</v>
      </c>
      <c r="K31" s="209">
        <v>45684</v>
      </c>
      <c r="M31" t="s">
        <v>11</v>
      </c>
      <c r="N31">
        <v>330421444</v>
      </c>
      <c r="O31">
        <v>170297</v>
      </c>
      <c r="Q31" t="s">
        <v>508</v>
      </c>
      <c r="R31">
        <v>170297</v>
      </c>
    </row>
    <row r="32" spans="2:18">
      <c r="B32" t="s">
        <v>11</v>
      </c>
      <c r="C32">
        <v>330421445</v>
      </c>
      <c r="D32" t="s">
        <v>54</v>
      </c>
      <c r="E32" s="202">
        <v>1820.99</v>
      </c>
      <c r="F32">
        <v>1820.99</v>
      </c>
      <c r="J32" s="209">
        <v>45684</v>
      </c>
      <c r="K32" s="209">
        <v>45684</v>
      </c>
      <c r="M32" t="s">
        <v>11</v>
      </c>
      <c r="N32">
        <v>330421445</v>
      </c>
      <c r="O32">
        <v>170297</v>
      </c>
      <c r="Q32" t="s">
        <v>333</v>
      </c>
      <c r="R32">
        <v>170297</v>
      </c>
    </row>
    <row r="33" spans="2:18">
      <c r="B33" t="s">
        <v>11</v>
      </c>
      <c r="C33">
        <v>330421447</v>
      </c>
      <c r="D33" t="s">
        <v>54</v>
      </c>
      <c r="E33">
        <v>984.05</v>
      </c>
      <c r="F33">
        <v>984.05</v>
      </c>
      <c r="J33" s="209">
        <v>45684</v>
      </c>
      <c r="K33" s="209">
        <v>45684</v>
      </c>
      <c r="M33" t="s">
        <v>11</v>
      </c>
      <c r="N33">
        <v>330421447</v>
      </c>
      <c r="O33">
        <v>170297</v>
      </c>
      <c r="Q33" t="s">
        <v>336</v>
      </c>
      <c r="R33">
        <v>170297</v>
      </c>
    </row>
    <row r="34" spans="2:18">
      <c r="B34" t="s">
        <v>11</v>
      </c>
      <c r="C34">
        <v>330421448</v>
      </c>
      <c r="D34" t="s">
        <v>54</v>
      </c>
      <c r="E34">
        <v>82.75</v>
      </c>
      <c r="F34">
        <v>82.75</v>
      </c>
      <c r="J34" s="209">
        <v>45684</v>
      </c>
      <c r="K34" s="209">
        <v>45684</v>
      </c>
      <c r="M34" t="s">
        <v>11</v>
      </c>
      <c r="N34">
        <v>330421448</v>
      </c>
      <c r="O34">
        <v>170297</v>
      </c>
      <c r="Q34" t="s">
        <v>509</v>
      </c>
      <c r="R34">
        <v>170297</v>
      </c>
    </row>
    <row r="35" spans="2:18">
      <c r="B35" t="s">
        <v>11</v>
      </c>
      <c r="C35">
        <v>330421449</v>
      </c>
      <c r="D35" t="s">
        <v>54</v>
      </c>
      <c r="E35" s="202">
        <v>1560</v>
      </c>
      <c r="F35">
        <v>1560</v>
      </c>
      <c r="J35" s="209">
        <v>45684</v>
      </c>
      <c r="K35" s="209">
        <v>45684</v>
      </c>
      <c r="M35" t="s">
        <v>11</v>
      </c>
      <c r="N35">
        <v>330421449</v>
      </c>
      <c r="O35">
        <v>170297</v>
      </c>
      <c r="Q35" t="s">
        <v>510</v>
      </c>
      <c r="R35">
        <v>170297</v>
      </c>
    </row>
    <row r="36" spans="2:18">
      <c r="B36" t="s">
        <v>11</v>
      </c>
      <c r="C36">
        <v>330421450</v>
      </c>
      <c r="D36" t="s">
        <v>54</v>
      </c>
      <c r="E36" s="202">
        <v>1215.79</v>
      </c>
      <c r="F36">
        <v>1215.79</v>
      </c>
      <c r="J36" s="209">
        <v>45684</v>
      </c>
      <c r="K36" s="209">
        <v>45684</v>
      </c>
      <c r="M36" t="s">
        <v>11</v>
      </c>
      <c r="N36">
        <v>330421450</v>
      </c>
      <c r="O36">
        <v>170297</v>
      </c>
      <c r="Q36" t="s">
        <v>511</v>
      </c>
      <c r="R36">
        <v>170297</v>
      </c>
    </row>
    <row r="37" spans="2:18">
      <c r="B37" t="s">
        <v>11</v>
      </c>
      <c r="C37">
        <v>330421451</v>
      </c>
      <c r="D37" t="s">
        <v>54</v>
      </c>
      <c r="E37">
        <v>823.88</v>
      </c>
      <c r="F37">
        <v>823.88</v>
      </c>
      <c r="J37" s="209">
        <v>45684</v>
      </c>
      <c r="K37" s="209">
        <v>45684</v>
      </c>
      <c r="M37" t="s">
        <v>11</v>
      </c>
      <c r="N37">
        <v>330421451</v>
      </c>
      <c r="O37">
        <v>170297</v>
      </c>
      <c r="Q37" t="s">
        <v>512</v>
      </c>
      <c r="R37">
        <v>170297</v>
      </c>
    </row>
    <row r="38" spans="2:18">
      <c r="B38" t="s">
        <v>11</v>
      </c>
      <c r="C38">
        <v>330421452</v>
      </c>
      <c r="D38" t="s">
        <v>54</v>
      </c>
      <c r="E38">
        <v>820</v>
      </c>
      <c r="F38">
        <v>820</v>
      </c>
      <c r="J38" s="209">
        <v>45684</v>
      </c>
      <c r="K38" s="209">
        <v>45684</v>
      </c>
      <c r="M38" t="s">
        <v>11</v>
      </c>
      <c r="N38">
        <v>330421452</v>
      </c>
      <c r="O38">
        <v>170297</v>
      </c>
      <c r="Q38" t="s">
        <v>96</v>
      </c>
      <c r="R38">
        <v>170297</v>
      </c>
    </row>
    <row r="39" spans="2:18">
      <c r="B39" t="s">
        <v>11</v>
      </c>
      <c r="C39">
        <v>330421453</v>
      </c>
      <c r="D39" t="s">
        <v>54</v>
      </c>
      <c r="E39">
        <v>102</v>
      </c>
      <c r="F39">
        <v>102</v>
      </c>
      <c r="J39" s="209">
        <v>45684</v>
      </c>
      <c r="K39" s="209">
        <v>45684</v>
      </c>
      <c r="M39" t="s">
        <v>11</v>
      </c>
      <c r="N39">
        <v>330421453</v>
      </c>
      <c r="O39">
        <v>170297</v>
      </c>
      <c r="Q39" t="s">
        <v>513</v>
      </c>
      <c r="R39">
        <v>170297</v>
      </c>
    </row>
    <row r="40" spans="2:18">
      <c r="B40" t="s">
        <v>11</v>
      </c>
      <c r="C40">
        <v>330421454</v>
      </c>
      <c r="D40" t="s">
        <v>54</v>
      </c>
      <c r="E40">
        <v>455.24</v>
      </c>
      <c r="F40">
        <v>455.24</v>
      </c>
      <c r="J40" s="209">
        <v>45684</v>
      </c>
      <c r="K40" s="209">
        <v>45684</v>
      </c>
      <c r="M40" t="s">
        <v>11</v>
      </c>
      <c r="N40">
        <v>330421454</v>
      </c>
      <c r="O40">
        <v>170297</v>
      </c>
      <c r="Q40" t="s">
        <v>514</v>
      </c>
      <c r="R40">
        <v>170297</v>
      </c>
    </row>
    <row r="41" spans="2:18">
      <c r="B41" t="s">
        <v>11</v>
      </c>
      <c r="C41">
        <v>330421455</v>
      </c>
      <c r="D41" t="s">
        <v>54</v>
      </c>
      <c r="E41">
        <v>20</v>
      </c>
      <c r="F41">
        <v>20</v>
      </c>
      <c r="J41" s="209">
        <v>45684</v>
      </c>
      <c r="K41" s="209">
        <v>45684</v>
      </c>
      <c r="M41" t="s">
        <v>11</v>
      </c>
      <c r="N41">
        <v>330421455</v>
      </c>
      <c r="O41">
        <v>170297</v>
      </c>
      <c r="Q41" t="s">
        <v>515</v>
      </c>
      <c r="R41">
        <v>170297</v>
      </c>
    </row>
    <row r="42" spans="2:18">
      <c r="B42" t="s">
        <v>11</v>
      </c>
      <c r="C42">
        <v>330421456</v>
      </c>
      <c r="D42" t="s">
        <v>54</v>
      </c>
      <c r="E42">
        <v>400</v>
      </c>
      <c r="F42">
        <v>400</v>
      </c>
      <c r="J42" s="209">
        <v>45684</v>
      </c>
      <c r="K42" s="209">
        <v>45684</v>
      </c>
      <c r="M42" t="s">
        <v>11</v>
      </c>
      <c r="N42">
        <v>330421456</v>
      </c>
      <c r="O42">
        <v>170297</v>
      </c>
      <c r="Q42" t="s">
        <v>100</v>
      </c>
      <c r="R42">
        <v>170297</v>
      </c>
    </row>
    <row r="43" spans="2:18">
      <c r="B43" t="s">
        <v>11</v>
      </c>
      <c r="C43">
        <v>330421457</v>
      </c>
      <c r="D43" t="s">
        <v>54</v>
      </c>
      <c r="E43">
        <v>601.29999999999995</v>
      </c>
      <c r="F43">
        <v>601.29999999999995</v>
      </c>
      <c r="J43" s="209">
        <v>45684</v>
      </c>
      <c r="K43" s="209">
        <v>45684</v>
      </c>
      <c r="M43" t="s">
        <v>11</v>
      </c>
      <c r="N43">
        <v>330421457</v>
      </c>
      <c r="O43">
        <v>170297</v>
      </c>
      <c r="Q43" t="s">
        <v>103</v>
      </c>
      <c r="R43">
        <v>170297</v>
      </c>
    </row>
    <row r="44" spans="2:18">
      <c r="B44" t="s">
        <v>11</v>
      </c>
      <c r="C44">
        <v>330421458</v>
      </c>
      <c r="D44" t="s">
        <v>54</v>
      </c>
      <c r="E44">
        <v>100</v>
      </c>
      <c r="F44">
        <v>100</v>
      </c>
      <c r="J44" s="209">
        <v>45684</v>
      </c>
      <c r="K44" s="209">
        <v>45684</v>
      </c>
      <c r="M44" t="s">
        <v>11</v>
      </c>
      <c r="N44">
        <v>330421458</v>
      </c>
      <c r="O44">
        <v>170297</v>
      </c>
      <c r="Q44" t="s">
        <v>516</v>
      </c>
      <c r="R44">
        <v>170297</v>
      </c>
    </row>
    <row r="45" spans="2:18">
      <c r="B45" t="s">
        <v>11</v>
      </c>
      <c r="C45">
        <v>330421459</v>
      </c>
      <c r="D45" t="s">
        <v>54</v>
      </c>
      <c r="E45">
        <v>455.24</v>
      </c>
      <c r="F45">
        <v>455.24</v>
      </c>
      <c r="J45" s="209">
        <v>45684</v>
      </c>
      <c r="K45" s="209">
        <v>45684</v>
      </c>
      <c r="M45" t="s">
        <v>11</v>
      </c>
      <c r="N45">
        <v>330421459</v>
      </c>
      <c r="O45">
        <v>170297</v>
      </c>
      <c r="Q45" t="s">
        <v>517</v>
      </c>
      <c r="R45">
        <v>170297</v>
      </c>
    </row>
    <row r="46" spans="2:18">
      <c r="B46" t="s">
        <v>11</v>
      </c>
      <c r="C46">
        <v>330421460</v>
      </c>
      <c r="D46" t="s">
        <v>54</v>
      </c>
      <c r="E46">
        <v>253.17</v>
      </c>
      <c r="F46">
        <v>253.17</v>
      </c>
      <c r="J46" s="209">
        <v>45684</v>
      </c>
      <c r="K46" s="209">
        <v>45684</v>
      </c>
      <c r="M46" t="s">
        <v>11</v>
      </c>
      <c r="N46">
        <v>330421460</v>
      </c>
      <c r="O46">
        <v>170297</v>
      </c>
      <c r="Q46" t="s">
        <v>518</v>
      </c>
      <c r="R46">
        <v>170297</v>
      </c>
    </row>
    <row r="47" spans="2:18">
      <c r="B47" t="s">
        <v>11</v>
      </c>
      <c r="C47">
        <v>330421461</v>
      </c>
      <c r="D47" t="s">
        <v>54</v>
      </c>
      <c r="E47" s="202">
        <v>1164.52</v>
      </c>
      <c r="F47">
        <v>1164.52</v>
      </c>
      <c r="J47" s="209">
        <v>45684</v>
      </c>
      <c r="K47" s="209">
        <v>45684</v>
      </c>
      <c r="M47" t="s">
        <v>11</v>
      </c>
      <c r="N47">
        <v>330421461</v>
      </c>
      <c r="O47">
        <v>170297</v>
      </c>
      <c r="Q47" t="s">
        <v>519</v>
      </c>
      <c r="R47">
        <v>170297</v>
      </c>
    </row>
    <row r="48" spans="2:18">
      <c r="B48" t="s">
        <v>11</v>
      </c>
      <c r="C48">
        <v>330421462</v>
      </c>
      <c r="D48" t="s">
        <v>54</v>
      </c>
      <c r="E48">
        <v>65.099999999999994</v>
      </c>
      <c r="F48">
        <v>65.099999999999994</v>
      </c>
      <c r="J48" s="209">
        <v>45684</v>
      </c>
      <c r="K48" s="209">
        <v>45684</v>
      </c>
      <c r="M48" t="s">
        <v>11</v>
      </c>
      <c r="N48">
        <v>330421462</v>
      </c>
      <c r="O48">
        <v>170297</v>
      </c>
      <c r="Q48" t="s">
        <v>356</v>
      </c>
      <c r="R48">
        <v>170297</v>
      </c>
    </row>
    <row r="49" spans="2:18">
      <c r="B49" t="s">
        <v>11</v>
      </c>
      <c r="C49">
        <v>330421463</v>
      </c>
      <c r="D49" t="s">
        <v>54</v>
      </c>
      <c r="E49">
        <v>27.99</v>
      </c>
      <c r="F49">
        <v>27.99</v>
      </c>
      <c r="J49" s="209">
        <v>45684</v>
      </c>
      <c r="K49" s="209">
        <v>45684</v>
      </c>
      <c r="M49" t="s">
        <v>11</v>
      </c>
      <c r="N49">
        <v>330421463</v>
      </c>
      <c r="O49">
        <v>170297</v>
      </c>
      <c r="Q49" t="s">
        <v>520</v>
      </c>
      <c r="R49">
        <v>170297</v>
      </c>
    </row>
    <row r="50" spans="2:18">
      <c r="B50" t="s">
        <v>11</v>
      </c>
      <c r="C50">
        <v>330421464</v>
      </c>
      <c r="D50" t="s">
        <v>54</v>
      </c>
      <c r="E50">
        <v>455.24</v>
      </c>
      <c r="F50">
        <v>455.24</v>
      </c>
      <c r="J50" s="209">
        <v>45684</v>
      </c>
      <c r="K50" s="209">
        <v>45684</v>
      </c>
      <c r="M50" t="s">
        <v>11</v>
      </c>
      <c r="N50">
        <v>330421464</v>
      </c>
      <c r="O50">
        <v>170297</v>
      </c>
      <c r="Q50" t="s">
        <v>521</v>
      </c>
      <c r="R50">
        <v>170297</v>
      </c>
    </row>
    <row r="51" spans="2:18">
      <c r="B51" t="s">
        <v>11</v>
      </c>
      <c r="C51">
        <v>330421465</v>
      </c>
      <c r="D51" t="s">
        <v>54</v>
      </c>
      <c r="E51">
        <v>200</v>
      </c>
      <c r="F51">
        <v>200</v>
      </c>
      <c r="J51" s="209">
        <v>45684</v>
      </c>
      <c r="K51" s="209">
        <v>45684</v>
      </c>
      <c r="M51" t="s">
        <v>11</v>
      </c>
      <c r="N51">
        <v>330421465</v>
      </c>
      <c r="O51">
        <v>170297</v>
      </c>
      <c r="Q51" t="s">
        <v>113</v>
      </c>
      <c r="R51">
        <v>170297</v>
      </c>
    </row>
    <row r="52" spans="2:18">
      <c r="B52" t="s">
        <v>11</v>
      </c>
      <c r="C52">
        <v>330421466</v>
      </c>
      <c r="D52" t="s">
        <v>54</v>
      </c>
      <c r="E52">
        <v>201.3</v>
      </c>
      <c r="F52">
        <v>201.3</v>
      </c>
      <c r="J52" s="209">
        <v>45684</v>
      </c>
      <c r="K52" s="209">
        <v>45684</v>
      </c>
      <c r="M52" t="s">
        <v>11</v>
      </c>
      <c r="N52">
        <v>330421466</v>
      </c>
      <c r="O52">
        <v>170297</v>
      </c>
      <c r="Q52" t="s">
        <v>522</v>
      </c>
      <c r="R52">
        <v>170297</v>
      </c>
    </row>
    <row r="53" spans="2:18">
      <c r="B53" t="s">
        <v>11</v>
      </c>
      <c r="C53">
        <v>330421467</v>
      </c>
      <c r="D53" t="s">
        <v>54</v>
      </c>
      <c r="E53">
        <v>200.44</v>
      </c>
      <c r="F53">
        <v>200.44</v>
      </c>
      <c r="J53" s="209">
        <v>45684</v>
      </c>
      <c r="K53" s="209">
        <v>45684</v>
      </c>
      <c r="M53" t="s">
        <v>11</v>
      </c>
      <c r="N53">
        <v>330421467</v>
      </c>
      <c r="O53">
        <v>170297</v>
      </c>
      <c r="Q53" t="s">
        <v>523</v>
      </c>
      <c r="R53">
        <v>170297</v>
      </c>
    </row>
    <row r="54" spans="2:18">
      <c r="B54" t="s">
        <v>11</v>
      </c>
      <c r="C54">
        <v>330421468</v>
      </c>
      <c r="D54" t="s">
        <v>54</v>
      </c>
      <c r="E54">
        <v>57</v>
      </c>
      <c r="F54">
        <v>57</v>
      </c>
      <c r="J54" s="209">
        <v>45684</v>
      </c>
      <c r="K54" s="209">
        <v>45684</v>
      </c>
      <c r="M54" t="s">
        <v>11</v>
      </c>
      <c r="N54">
        <v>330421468</v>
      </c>
      <c r="O54">
        <v>170297</v>
      </c>
      <c r="Q54" t="s">
        <v>524</v>
      </c>
      <c r="R54">
        <v>170297</v>
      </c>
    </row>
    <row r="55" spans="2:18">
      <c r="B55" t="s">
        <v>11</v>
      </c>
      <c r="C55">
        <v>330421469</v>
      </c>
      <c r="D55" t="s">
        <v>54</v>
      </c>
      <c r="E55">
        <v>294.22000000000003</v>
      </c>
      <c r="F55">
        <v>294.22000000000003</v>
      </c>
      <c r="J55" s="209">
        <v>45684</v>
      </c>
      <c r="K55" s="209">
        <v>45684</v>
      </c>
      <c r="M55" t="s">
        <v>11</v>
      </c>
      <c r="N55">
        <v>330421469</v>
      </c>
      <c r="O55">
        <v>170297</v>
      </c>
      <c r="Q55" t="s">
        <v>525</v>
      </c>
      <c r="R55">
        <v>170297</v>
      </c>
    </row>
    <row r="56" spans="2:18">
      <c r="B56" t="s">
        <v>11</v>
      </c>
      <c r="C56">
        <v>330421470</v>
      </c>
      <c r="D56" t="s">
        <v>54</v>
      </c>
      <c r="E56">
        <v>455.24</v>
      </c>
      <c r="F56">
        <v>455.24</v>
      </c>
      <c r="J56" s="209">
        <v>45684</v>
      </c>
      <c r="K56" s="209">
        <v>45684</v>
      </c>
      <c r="M56" t="s">
        <v>11</v>
      </c>
      <c r="N56">
        <v>330421470</v>
      </c>
      <c r="O56">
        <v>170297</v>
      </c>
      <c r="Q56" t="s">
        <v>526</v>
      </c>
      <c r="R56">
        <v>170297</v>
      </c>
    </row>
    <row r="57" spans="2:18">
      <c r="B57" t="s">
        <v>11</v>
      </c>
      <c r="C57">
        <v>330421471</v>
      </c>
      <c r="D57" t="s">
        <v>54</v>
      </c>
      <c r="E57">
        <v>15.52</v>
      </c>
      <c r="F57">
        <v>15.52</v>
      </c>
      <c r="J57" s="209">
        <v>45684</v>
      </c>
      <c r="K57" s="209">
        <v>45684</v>
      </c>
      <c r="M57" t="s">
        <v>11</v>
      </c>
      <c r="N57">
        <v>330421471</v>
      </c>
      <c r="O57">
        <v>170297</v>
      </c>
      <c r="Q57" t="s">
        <v>527</v>
      </c>
      <c r="R57">
        <v>170297</v>
      </c>
    </row>
    <row r="58" spans="2:18">
      <c r="B58" t="s">
        <v>11</v>
      </c>
      <c r="C58">
        <v>330421472</v>
      </c>
      <c r="D58" t="s">
        <v>54</v>
      </c>
      <c r="E58">
        <v>350</v>
      </c>
      <c r="F58">
        <v>350</v>
      </c>
      <c r="J58" s="209">
        <v>45684</v>
      </c>
      <c r="K58" s="209">
        <v>45684</v>
      </c>
      <c r="M58" t="s">
        <v>11</v>
      </c>
      <c r="N58">
        <v>330421472</v>
      </c>
      <c r="O58">
        <v>170297</v>
      </c>
      <c r="Q58" t="s">
        <v>121</v>
      </c>
      <c r="R58">
        <v>170297</v>
      </c>
    </row>
    <row r="59" spans="2:18">
      <c r="B59" t="s">
        <v>11</v>
      </c>
      <c r="C59">
        <v>330421473</v>
      </c>
      <c r="D59" t="s">
        <v>54</v>
      </c>
      <c r="E59">
        <v>420.99</v>
      </c>
      <c r="F59">
        <v>420.99</v>
      </c>
      <c r="J59" s="209">
        <v>45684</v>
      </c>
      <c r="K59" s="209">
        <v>45684</v>
      </c>
      <c r="M59" t="s">
        <v>11</v>
      </c>
      <c r="N59">
        <v>330421473</v>
      </c>
      <c r="O59">
        <v>170297</v>
      </c>
      <c r="Q59" t="s">
        <v>528</v>
      </c>
      <c r="R59">
        <v>170297</v>
      </c>
    </row>
    <row r="60" spans="2:18">
      <c r="B60" t="s">
        <v>11</v>
      </c>
      <c r="C60">
        <v>330421474</v>
      </c>
      <c r="D60" t="s">
        <v>54</v>
      </c>
      <c r="E60">
        <v>100</v>
      </c>
      <c r="F60">
        <v>100</v>
      </c>
      <c r="J60" s="209">
        <v>45684</v>
      </c>
      <c r="K60" s="209">
        <v>45684</v>
      </c>
      <c r="M60" t="s">
        <v>11</v>
      </c>
      <c r="N60">
        <v>330421474</v>
      </c>
      <c r="O60">
        <v>170297</v>
      </c>
      <c r="Q60" t="s">
        <v>123</v>
      </c>
      <c r="R60">
        <v>170297</v>
      </c>
    </row>
    <row r="61" spans="2:18">
      <c r="B61" t="s">
        <v>11</v>
      </c>
      <c r="C61">
        <v>330421475</v>
      </c>
      <c r="D61" t="s">
        <v>54</v>
      </c>
      <c r="E61">
        <v>31.28</v>
      </c>
      <c r="F61">
        <v>31.28</v>
      </c>
      <c r="J61" s="209">
        <v>45684</v>
      </c>
      <c r="K61" s="209">
        <v>45684</v>
      </c>
      <c r="M61" t="s">
        <v>11</v>
      </c>
      <c r="N61">
        <v>330421475</v>
      </c>
      <c r="O61">
        <v>170297</v>
      </c>
      <c r="Q61" t="s">
        <v>529</v>
      </c>
      <c r="R61">
        <v>170297</v>
      </c>
    </row>
    <row r="62" spans="2:18">
      <c r="B62" t="s">
        <v>11</v>
      </c>
      <c r="C62">
        <v>330421476</v>
      </c>
      <c r="D62" t="s">
        <v>54</v>
      </c>
      <c r="E62">
        <v>18.8</v>
      </c>
      <c r="F62">
        <v>18.8</v>
      </c>
      <c r="J62" s="209">
        <v>45684</v>
      </c>
      <c r="K62" s="209">
        <v>45684</v>
      </c>
      <c r="M62" t="s">
        <v>11</v>
      </c>
      <c r="N62">
        <v>330421476</v>
      </c>
      <c r="O62">
        <v>170297</v>
      </c>
      <c r="Q62" t="s">
        <v>530</v>
      </c>
      <c r="R62">
        <v>170297</v>
      </c>
    </row>
    <row r="63" spans="2:18">
      <c r="B63" t="s">
        <v>11</v>
      </c>
      <c r="C63">
        <v>330421477</v>
      </c>
      <c r="D63" t="s">
        <v>54</v>
      </c>
      <c r="E63">
        <v>147</v>
      </c>
      <c r="F63">
        <v>147</v>
      </c>
      <c r="J63" s="209">
        <v>45684</v>
      </c>
      <c r="K63" s="209">
        <v>45684</v>
      </c>
      <c r="M63" t="s">
        <v>11</v>
      </c>
      <c r="N63">
        <v>330421477</v>
      </c>
      <c r="O63">
        <v>170297</v>
      </c>
      <c r="Q63" t="s">
        <v>531</v>
      </c>
      <c r="R63">
        <v>170297</v>
      </c>
    </row>
    <row r="64" spans="2:18">
      <c r="B64" t="s">
        <v>11</v>
      </c>
      <c r="C64">
        <v>330421478</v>
      </c>
      <c r="D64" t="s">
        <v>54</v>
      </c>
      <c r="E64">
        <v>103.36</v>
      </c>
      <c r="F64">
        <v>103.36</v>
      </c>
      <c r="J64" s="209">
        <v>45684</v>
      </c>
      <c r="K64" s="209">
        <v>45684</v>
      </c>
      <c r="M64" t="s">
        <v>11</v>
      </c>
      <c r="N64">
        <v>330421478</v>
      </c>
      <c r="O64">
        <v>170297</v>
      </c>
      <c r="Q64" t="s">
        <v>372</v>
      </c>
      <c r="R64">
        <v>170297</v>
      </c>
    </row>
    <row r="65" spans="2:18">
      <c r="B65" t="s">
        <v>11</v>
      </c>
      <c r="C65">
        <v>330421479</v>
      </c>
      <c r="D65" t="s">
        <v>54</v>
      </c>
      <c r="E65">
        <v>18.8</v>
      </c>
      <c r="F65">
        <v>18.8</v>
      </c>
      <c r="J65" s="209">
        <v>45684</v>
      </c>
      <c r="K65" s="209">
        <v>45684</v>
      </c>
      <c r="M65" t="s">
        <v>11</v>
      </c>
      <c r="N65">
        <v>330421479</v>
      </c>
      <c r="O65">
        <v>170297</v>
      </c>
      <c r="Q65" t="s">
        <v>532</v>
      </c>
      <c r="R65">
        <v>170297</v>
      </c>
    </row>
    <row r="66" spans="2:18">
      <c r="B66" t="s">
        <v>11</v>
      </c>
      <c r="C66">
        <v>330421480</v>
      </c>
      <c r="D66" t="s">
        <v>54</v>
      </c>
      <c r="E66">
        <v>19.2</v>
      </c>
      <c r="F66">
        <v>19.2</v>
      </c>
      <c r="J66" s="209">
        <v>45684</v>
      </c>
      <c r="K66" s="209">
        <v>45684</v>
      </c>
      <c r="M66" t="s">
        <v>11</v>
      </c>
      <c r="N66">
        <v>330421480</v>
      </c>
      <c r="O66">
        <v>170297</v>
      </c>
      <c r="Q66" t="s">
        <v>533</v>
      </c>
      <c r="R66">
        <v>170297</v>
      </c>
    </row>
    <row r="67" spans="2:18">
      <c r="B67" t="s">
        <v>11</v>
      </c>
      <c r="C67">
        <v>330421481</v>
      </c>
      <c r="D67" t="s">
        <v>54</v>
      </c>
      <c r="E67">
        <v>13.45</v>
      </c>
      <c r="F67">
        <v>13.45</v>
      </c>
      <c r="J67" s="209">
        <v>45684</v>
      </c>
      <c r="K67" s="209">
        <v>45684</v>
      </c>
      <c r="M67" t="s">
        <v>11</v>
      </c>
      <c r="N67">
        <v>330421481</v>
      </c>
      <c r="O67">
        <v>170297</v>
      </c>
      <c r="Q67" t="s">
        <v>534</v>
      </c>
      <c r="R67">
        <v>170297</v>
      </c>
    </row>
    <row r="68" spans="2:18">
      <c r="B68" t="s">
        <v>11</v>
      </c>
      <c r="C68">
        <v>330421482</v>
      </c>
      <c r="D68" t="s">
        <v>54</v>
      </c>
      <c r="E68">
        <v>88.6</v>
      </c>
      <c r="F68">
        <v>88.6</v>
      </c>
      <c r="J68" s="209">
        <v>45684</v>
      </c>
      <c r="K68" s="209">
        <v>45684</v>
      </c>
      <c r="M68" t="s">
        <v>11</v>
      </c>
      <c r="N68">
        <v>330421482</v>
      </c>
      <c r="O68">
        <v>170297</v>
      </c>
      <c r="Q68" t="s">
        <v>130</v>
      </c>
      <c r="R68">
        <v>170297</v>
      </c>
    </row>
    <row r="69" spans="2:18">
      <c r="B69" t="s">
        <v>11</v>
      </c>
      <c r="C69">
        <v>330421483</v>
      </c>
      <c r="D69" t="s">
        <v>54</v>
      </c>
      <c r="E69">
        <v>455.24</v>
      </c>
      <c r="F69">
        <v>455.24</v>
      </c>
      <c r="J69" s="209">
        <v>45684</v>
      </c>
      <c r="K69" s="209">
        <v>45684</v>
      </c>
      <c r="M69" t="s">
        <v>11</v>
      </c>
      <c r="N69">
        <v>330421483</v>
      </c>
      <c r="O69">
        <v>170297</v>
      </c>
      <c r="Q69" t="s">
        <v>535</v>
      </c>
      <c r="R69">
        <v>170297</v>
      </c>
    </row>
    <row r="70" spans="2:18">
      <c r="B70" t="s">
        <v>11</v>
      </c>
      <c r="C70">
        <v>330421484</v>
      </c>
      <c r="D70" t="s">
        <v>54</v>
      </c>
      <c r="E70" s="202">
        <v>1304.52</v>
      </c>
      <c r="F70">
        <v>1304.52</v>
      </c>
      <c r="J70" s="209">
        <v>45684</v>
      </c>
      <c r="K70" s="209">
        <v>45684</v>
      </c>
      <c r="M70" t="s">
        <v>11</v>
      </c>
      <c r="N70">
        <v>330421484</v>
      </c>
      <c r="O70">
        <v>170297</v>
      </c>
      <c r="Q70" t="s">
        <v>536</v>
      </c>
      <c r="R70">
        <v>170297</v>
      </c>
    </row>
    <row r="71" spans="2:18">
      <c r="B71" t="s">
        <v>11</v>
      </c>
      <c r="C71">
        <v>330421485</v>
      </c>
      <c r="D71" t="s">
        <v>54</v>
      </c>
      <c r="E71">
        <v>937</v>
      </c>
      <c r="F71">
        <v>937</v>
      </c>
      <c r="J71" s="209">
        <v>45684</v>
      </c>
      <c r="K71" s="209">
        <v>45684</v>
      </c>
      <c r="M71" t="s">
        <v>11</v>
      </c>
      <c r="N71">
        <v>330421485</v>
      </c>
      <c r="O71">
        <v>170297</v>
      </c>
      <c r="Q71" t="s">
        <v>537</v>
      </c>
      <c r="R71">
        <v>170297</v>
      </c>
    </row>
    <row r="72" spans="2:18">
      <c r="B72" t="s">
        <v>11</v>
      </c>
      <c r="C72">
        <v>330421486</v>
      </c>
      <c r="D72" t="s">
        <v>54</v>
      </c>
      <c r="E72">
        <v>350</v>
      </c>
      <c r="F72">
        <v>350</v>
      </c>
      <c r="J72" s="209">
        <v>45684</v>
      </c>
      <c r="K72" s="209">
        <v>45684</v>
      </c>
      <c r="M72" t="s">
        <v>11</v>
      </c>
      <c r="N72">
        <v>330421486</v>
      </c>
      <c r="O72">
        <v>170297</v>
      </c>
      <c r="Q72" t="s">
        <v>538</v>
      </c>
      <c r="R72">
        <v>170297</v>
      </c>
    </row>
    <row r="73" spans="2:18">
      <c r="B73" t="s">
        <v>11</v>
      </c>
      <c r="C73">
        <v>330421487</v>
      </c>
      <c r="D73" t="s">
        <v>54</v>
      </c>
      <c r="E73">
        <v>450.65</v>
      </c>
      <c r="F73">
        <v>450.65</v>
      </c>
      <c r="J73" s="209">
        <v>45684</v>
      </c>
      <c r="K73" s="209">
        <v>45684</v>
      </c>
      <c r="M73" t="s">
        <v>11</v>
      </c>
      <c r="N73">
        <v>330421487</v>
      </c>
      <c r="O73">
        <v>170297</v>
      </c>
      <c r="Q73" t="s">
        <v>539</v>
      </c>
      <c r="R73">
        <v>170297</v>
      </c>
    </row>
    <row r="74" spans="2:18">
      <c r="B74" t="s">
        <v>11</v>
      </c>
      <c r="C74">
        <v>330421488</v>
      </c>
      <c r="D74" t="s">
        <v>54</v>
      </c>
      <c r="E74">
        <v>300</v>
      </c>
      <c r="F74">
        <v>300</v>
      </c>
      <c r="J74" s="209">
        <v>45684</v>
      </c>
      <c r="K74" s="209">
        <v>45684</v>
      </c>
      <c r="M74" t="s">
        <v>11</v>
      </c>
      <c r="N74">
        <v>330421488</v>
      </c>
      <c r="O74">
        <v>170297</v>
      </c>
      <c r="Q74" t="s">
        <v>540</v>
      </c>
      <c r="R74">
        <v>170297</v>
      </c>
    </row>
    <row r="75" spans="2:18">
      <c r="B75" t="s">
        <v>11</v>
      </c>
      <c r="C75">
        <v>330421489</v>
      </c>
      <c r="D75" t="s">
        <v>54</v>
      </c>
      <c r="E75">
        <v>518.57000000000005</v>
      </c>
      <c r="F75">
        <v>518.57000000000005</v>
      </c>
      <c r="J75" s="209">
        <v>45684</v>
      </c>
      <c r="K75" s="209">
        <v>45684</v>
      </c>
      <c r="M75" t="s">
        <v>11</v>
      </c>
      <c r="N75">
        <v>330421489</v>
      </c>
      <c r="O75">
        <v>170297</v>
      </c>
      <c r="Q75" t="s">
        <v>541</v>
      </c>
      <c r="R75">
        <v>170297</v>
      </c>
    </row>
    <row r="76" spans="2:18">
      <c r="B76" t="s">
        <v>11</v>
      </c>
      <c r="C76">
        <v>330421490</v>
      </c>
      <c r="D76" t="s">
        <v>54</v>
      </c>
      <c r="E76">
        <v>455.24</v>
      </c>
      <c r="F76">
        <v>455.24</v>
      </c>
      <c r="J76" s="209">
        <v>45684</v>
      </c>
      <c r="K76" s="209">
        <v>45684</v>
      </c>
      <c r="M76" t="s">
        <v>11</v>
      </c>
      <c r="N76">
        <v>330421490</v>
      </c>
      <c r="O76">
        <v>170297</v>
      </c>
      <c r="Q76" t="s">
        <v>542</v>
      </c>
      <c r="R76">
        <v>170297</v>
      </c>
    </row>
    <row r="77" spans="2:18">
      <c r="B77" t="s">
        <v>11</v>
      </c>
      <c r="C77">
        <v>330421491</v>
      </c>
      <c r="D77" t="s">
        <v>54</v>
      </c>
      <c r="E77">
        <v>455.24</v>
      </c>
      <c r="F77">
        <v>455.24</v>
      </c>
      <c r="J77" s="209">
        <v>45684</v>
      </c>
      <c r="K77" s="209">
        <v>45684</v>
      </c>
      <c r="M77" t="s">
        <v>11</v>
      </c>
      <c r="N77">
        <v>330421491</v>
      </c>
      <c r="O77">
        <v>170297</v>
      </c>
      <c r="Q77" t="s">
        <v>543</v>
      </c>
      <c r="R77">
        <v>170297</v>
      </c>
    </row>
    <row r="78" spans="2:18">
      <c r="B78" t="s">
        <v>11</v>
      </c>
      <c r="C78">
        <v>330421492</v>
      </c>
      <c r="D78" t="s">
        <v>54</v>
      </c>
      <c r="E78">
        <v>360</v>
      </c>
      <c r="F78">
        <v>360</v>
      </c>
      <c r="J78" s="209">
        <v>45684</v>
      </c>
      <c r="K78" s="209">
        <v>45684</v>
      </c>
      <c r="M78" t="s">
        <v>11</v>
      </c>
      <c r="N78">
        <v>330421492</v>
      </c>
      <c r="O78">
        <v>170297</v>
      </c>
      <c r="Q78" t="s">
        <v>136</v>
      </c>
      <c r="R78">
        <v>170297</v>
      </c>
    </row>
    <row r="79" spans="2:18">
      <c r="B79" t="s">
        <v>11</v>
      </c>
      <c r="C79">
        <v>330421493</v>
      </c>
      <c r="D79" t="s">
        <v>54</v>
      </c>
      <c r="E79">
        <v>66.150000000000006</v>
      </c>
      <c r="F79">
        <v>66.150000000000006</v>
      </c>
      <c r="J79" s="209">
        <v>45684</v>
      </c>
      <c r="K79" s="209">
        <v>45684</v>
      </c>
      <c r="M79" t="s">
        <v>11</v>
      </c>
      <c r="N79">
        <v>330421493</v>
      </c>
      <c r="O79">
        <v>170297</v>
      </c>
      <c r="Q79" t="s">
        <v>544</v>
      </c>
      <c r="R79">
        <v>170297</v>
      </c>
    </row>
    <row r="80" spans="2:18">
      <c r="B80" t="s">
        <v>11</v>
      </c>
      <c r="C80">
        <v>330421494</v>
      </c>
      <c r="D80" t="s">
        <v>54</v>
      </c>
      <c r="E80">
        <v>455.24</v>
      </c>
      <c r="F80">
        <v>455.24</v>
      </c>
      <c r="J80" s="209">
        <v>45684</v>
      </c>
      <c r="K80" s="209">
        <v>45684</v>
      </c>
      <c r="M80" t="s">
        <v>11</v>
      </c>
      <c r="N80">
        <v>330421494</v>
      </c>
      <c r="O80">
        <v>170297</v>
      </c>
      <c r="Q80" t="s">
        <v>545</v>
      </c>
      <c r="R80">
        <v>170297</v>
      </c>
    </row>
    <row r="81" spans="2:18">
      <c r="B81" t="s">
        <v>11</v>
      </c>
      <c r="C81">
        <v>330421495</v>
      </c>
      <c r="D81" t="s">
        <v>54</v>
      </c>
      <c r="E81">
        <v>86.92</v>
      </c>
      <c r="F81">
        <v>86.92</v>
      </c>
      <c r="J81" s="209">
        <v>45684</v>
      </c>
      <c r="K81" s="209">
        <v>45684</v>
      </c>
      <c r="M81" t="s">
        <v>11</v>
      </c>
      <c r="N81">
        <v>330421495</v>
      </c>
      <c r="O81">
        <v>170297</v>
      </c>
      <c r="Q81" t="s">
        <v>546</v>
      </c>
      <c r="R81">
        <v>170297</v>
      </c>
    </row>
    <row r="82" spans="2:18">
      <c r="B82" t="s">
        <v>11</v>
      </c>
      <c r="C82">
        <v>330421496</v>
      </c>
      <c r="D82" t="s">
        <v>54</v>
      </c>
      <c r="E82">
        <v>455.24</v>
      </c>
      <c r="F82">
        <v>455.24</v>
      </c>
      <c r="J82" s="209">
        <v>45684</v>
      </c>
      <c r="K82" s="209">
        <v>45684</v>
      </c>
      <c r="M82" t="s">
        <v>11</v>
      </c>
      <c r="N82">
        <v>330421496</v>
      </c>
      <c r="O82">
        <v>170297</v>
      </c>
      <c r="Q82" t="s">
        <v>547</v>
      </c>
      <c r="R82">
        <v>170297</v>
      </c>
    </row>
    <row r="83" spans="2:18">
      <c r="B83" t="s">
        <v>11</v>
      </c>
      <c r="C83">
        <v>330421497</v>
      </c>
      <c r="D83" t="s">
        <v>54</v>
      </c>
      <c r="E83">
        <v>172.99</v>
      </c>
      <c r="F83">
        <v>172.99</v>
      </c>
      <c r="J83" s="209">
        <v>45684</v>
      </c>
      <c r="K83" s="209">
        <v>45684</v>
      </c>
      <c r="M83" t="s">
        <v>11</v>
      </c>
      <c r="N83">
        <v>330421497</v>
      </c>
      <c r="O83">
        <v>170297</v>
      </c>
      <c r="Q83" t="s">
        <v>548</v>
      </c>
      <c r="R83">
        <v>170297</v>
      </c>
    </row>
    <row r="84" spans="2:18">
      <c r="B84" t="s">
        <v>11</v>
      </c>
      <c r="C84">
        <v>330421498</v>
      </c>
      <c r="D84" t="s">
        <v>54</v>
      </c>
      <c r="E84">
        <v>39</v>
      </c>
      <c r="F84">
        <v>39</v>
      </c>
      <c r="J84" s="209">
        <v>45684</v>
      </c>
      <c r="K84" s="209">
        <v>45684</v>
      </c>
      <c r="M84" t="s">
        <v>11</v>
      </c>
      <c r="N84">
        <v>330421498</v>
      </c>
      <c r="O84">
        <v>170297</v>
      </c>
      <c r="Q84" t="s">
        <v>549</v>
      </c>
      <c r="R84">
        <v>170297</v>
      </c>
    </row>
    <row r="85" spans="2:18">
      <c r="B85" t="s">
        <v>11</v>
      </c>
      <c r="C85">
        <v>330421499</v>
      </c>
      <c r="D85" t="s">
        <v>54</v>
      </c>
      <c r="E85">
        <v>86.51</v>
      </c>
      <c r="F85">
        <v>86.51</v>
      </c>
      <c r="J85" s="209">
        <v>45684</v>
      </c>
      <c r="K85" s="209">
        <v>45684</v>
      </c>
      <c r="M85" t="s">
        <v>11</v>
      </c>
      <c r="N85">
        <v>330421499</v>
      </c>
      <c r="O85">
        <v>170297</v>
      </c>
      <c r="Q85" t="s">
        <v>550</v>
      </c>
      <c r="R85">
        <v>170297</v>
      </c>
    </row>
    <row r="86" spans="2:18">
      <c r="B86" t="s">
        <v>11</v>
      </c>
      <c r="C86">
        <v>330421500</v>
      </c>
      <c r="D86" t="s">
        <v>54</v>
      </c>
      <c r="E86" s="202">
        <v>2020.99</v>
      </c>
      <c r="F86">
        <v>2020.99</v>
      </c>
      <c r="J86" s="209">
        <v>45684</v>
      </c>
      <c r="K86" s="209">
        <v>45684</v>
      </c>
      <c r="M86" t="s">
        <v>11</v>
      </c>
      <c r="N86">
        <v>330421500</v>
      </c>
      <c r="O86">
        <v>170297</v>
      </c>
      <c r="Q86" t="s">
        <v>551</v>
      </c>
      <c r="R86">
        <v>170297</v>
      </c>
    </row>
    <row r="87" spans="2:18">
      <c r="B87" t="s">
        <v>11</v>
      </c>
      <c r="C87">
        <v>330421501</v>
      </c>
      <c r="D87" t="s">
        <v>54</v>
      </c>
      <c r="E87">
        <v>432.26</v>
      </c>
      <c r="F87">
        <v>432.26</v>
      </c>
      <c r="J87" s="209">
        <v>45684</v>
      </c>
      <c r="K87" s="209">
        <v>45684</v>
      </c>
      <c r="M87" t="s">
        <v>11</v>
      </c>
      <c r="N87">
        <v>330421501</v>
      </c>
      <c r="O87">
        <v>170297</v>
      </c>
      <c r="Q87" t="s">
        <v>552</v>
      </c>
      <c r="R87">
        <v>170297</v>
      </c>
    </row>
    <row r="88" spans="2:18">
      <c r="B88" t="s">
        <v>11</v>
      </c>
      <c r="C88">
        <v>330421502</v>
      </c>
      <c r="D88" t="s">
        <v>54</v>
      </c>
      <c r="E88" s="202">
        <v>1443.89</v>
      </c>
      <c r="F88">
        <v>1443.89</v>
      </c>
      <c r="J88" s="209">
        <v>45684</v>
      </c>
      <c r="K88" s="209">
        <v>45684</v>
      </c>
      <c r="M88" t="s">
        <v>11</v>
      </c>
      <c r="N88">
        <v>330421502</v>
      </c>
      <c r="O88">
        <v>170297</v>
      </c>
      <c r="Q88" t="s">
        <v>144</v>
      </c>
      <c r="R88">
        <v>170297</v>
      </c>
    </row>
    <row r="89" spans="2:18">
      <c r="B89" t="s">
        <v>11</v>
      </c>
      <c r="C89">
        <v>330421503</v>
      </c>
      <c r="D89" t="s">
        <v>54</v>
      </c>
      <c r="E89">
        <v>55.66</v>
      </c>
      <c r="F89">
        <v>55.66</v>
      </c>
      <c r="J89" s="209">
        <v>45684</v>
      </c>
      <c r="K89" s="209">
        <v>45684</v>
      </c>
      <c r="M89" t="s">
        <v>11</v>
      </c>
      <c r="N89">
        <v>330421503</v>
      </c>
      <c r="O89">
        <v>170297</v>
      </c>
      <c r="Q89" t="s">
        <v>145</v>
      </c>
      <c r="R89">
        <v>170297</v>
      </c>
    </row>
    <row r="90" spans="2:18">
      <c r="B90" t="s">
        <v>11</v>
      </c>
      <c r="C90">
        <v>330421504</v>
      </c>
      <c r="D90" t="s">
        <v>54</v>
      </c>
      <c r="E90">
        <v>332.4</v>
      </c>
      <c r="F90">
        <v>332.4</v>
      </c>
      <c r="J90" s="209">
        <v>45684</v>
      </c>
      <c r="K90" s="209">
        <v>45684</v>
      </c>
      <c r="M90" t="s">
        <v>11</v>
      </c>
      <c r="N90">
        <v>330421504</v>
      </c>
      <c r="O90">
        <v>170297</v>
      </c>
      <c r="Q90" t="s">
        <v>553</v>
      </c>
      <c r="R90">
        <v>170297</v>
      </c>
    </row>
    <row r="91" spans="2:18">
      <c r="B91" t="s">
        <v>11</v>
      </c>
      <c r="C91">
        <v>330421505</v>
      </c>
      <c r="D91" t="s">
        <v>54</v>
      </c>
      <c r="E91">
        <v>455.24</v>
      </c>
      <c r="F91">
        <v>455.24</v>
      </c>
      <c r="J91" s="209">
        <v>45684</v>
      </c>
      <c r="K91" s="209">
        <v>45684</v>
      </c>
      <c r="M91" t="s">
        <v>11</v>
      </c>
      <c r="N91">
        <v>330421505</v>
      </c>
      <c r="O91">
        <v>170297</v>
      </c>
      <c r="Q91" t="s">
        <v>554</v>
      </c>
      <c r="R91">
        <v>170297</v>
      </c>
    </row>
    <row r="92" spans="2:18">
      <c r="B92" t="s">
        <v>11</v>
      </c>
      <c r="C92">
        <v>330421506</v>
      </c>
      <c r="D92" t="s">
        <v>54</v>
      </c>
      <c r="E92">
        <v>43.88</v>
      </c>
      <c r="F92">
        <v>43.88</v>
      </c>
      <c r="J92" s="209">
        <v>45684</v>
      </c>
      <c r="K92" s="209">
        <v>45684</v>
      </c>
      <c r="M92" t="s">
        <v>11</v>
      </c>
      <c r="N92">
        <v>330421506</v>
      </c>
      <c r="O92">
        <v>170297</v>
      </c>
      <c r="Q92" t="s">
        <v>555</v>
      </c>
      <c r="R92">
        <v>170297</v>
      </c>
    </row>
    <row r="93" spans="2:18">
      <c r="B93" t="s">
        <v>11</v>
      </c>
      <c r="C93">
        <v>330421507</v>
      </c>
      <c r="D93" t="s">
        <v>54</v>
      </c>
      <c r="E93" s="202">
        <v>3159.82</v>
      </c>
      <c r="F93">
        <v>3159.82</v>
      </c>
      <c r="J93" s="209">
        <v>45684</v>
      </c>
      <c r="K93" s="209">
        <v>45684</v>
      </c>
      <c r="M93" t="s">
        <v>11</v>
      </c>
      <c r="N93">
        <v>330421507</v>
      </c>
      <c r="O93">
        <v>170282</v>
      </c>
      <c r="Q93" t="s">
        <v>185</v>
      </c>
      <c r="R93">
        <v>170282</v>
      </c>
    </row>
    <row r="94" spans="2:18">
      <c r="B94" t="s">
        <v>11</v>
      </c>
      <c r="C94">
        <v>330421509</v>
      </c>
      <c r="D94" t="s">
        <v>54</v>
      </c>
      <c r="E94" s="202">
        <v>2887796.78</v>
      </c>
      <c r="F94">
        <v>2887796.78</v>
      </c>
      <c r="J94" s="209">
        <v>45684</v>
      </c>
      <c r="K94" s="209">
        <v>45684</v>
      </c>
      <c r="M94" t="s">
        <v>11</v>
      </c>
      <c r="N94">
        <v>330421509</v>
      </c>
      <c r="O94">
        <v>170282</v>
      </c>
      <c r="Q94" t="s">
        <v>556</v>
      </c>
      <c r="R94">
        <v>170282</v>
      </c>
    </row>
    <row r="95" spans="2:18">
      <c r="B95" t="s">
        <v>11</v>
      </c>
      <c r="C95">
        <v>330421511</v>
      </c>
      <c r="D95" t="s">
        <v>54</v>
      </c>
      <c r="E95">
        <v>792.62</v>
      </c>
      <c r="F95">
        <v>792.62</v>
      </c>
      <c r="J95" s="209">
        <v>45684</v>
      </c>
      <c r="K95" s="209">
        <v>45684</v>
      </c>
      <c r="M95" t="s">
        <v>11</v>
      </c>
      <c r="N95">
        <v>330421511</v>
      </c>
      <c r="O95">
        <v>170282</v>
      </c>
      <c r="Q95" t="s">
        <v>557</v>
      </c>
      <c r="R95">
        <v>170282</v>
      </c>
    </row>
    <row r="96" spans="2:18">
      <c r="B96" t="s">
        <v>11</v>
      </c>
      <c r="C96">
        <v>330421512</v>
      </c>
      <c r="D96" t="s">
        <v>54</v>
      </c>
      <c r="E96" s="202">
        <v>2327.16</v>
      </c>
      <c r="F96">
        <v>2327.16</v>
      </c>
      <c r="J96" s="209">
        <v>45684</v>
      </c>
      <c r="K96" s="209">
        <v>45684</v>
      </c>
      <c r="M96" t="s">
        <v>11</v>
      </c>
      <c r="N96">
        <v>330421512</v>
      </c>
      <c r="O96">
        <v>170282</v>
      </c>
      <c r="Q96" t="s">
        <v>148</v>
      </c>
      <c r="R96">
        <v>170282</v>
      </c>
    </row>
    <row r="97" spans="2:18">
      <c r="B97" t="s">
        <v>11</v>
      </c>
      <c r="C97">
        <v>330421513</v>
      </c>
      <c r="D97" t="s">
        <v>54</v>
      </c>
      <c r="E97" s="202">
        <v>3560.32</v>
      </c>
      <c r="F97">
        <v>3560.32</v>
      </c>
      <c r="J97" s="209">
        <v>45684</v>
      </c>
      <c r="K97" s="209">
        <v>45684</v>
      </c>
      <c r="M97" t="s">
        <v>11</v>
      </c>
      <c r="N97">
        <v>330421513</v>
      </c>
      <c r="O97">
        <v>170282</v>
      </c>
      <c r="Q97" t="s">
        <v>260</v>
      </c>
      <c r="R97">
        <v>170282</v>
      </c>
    </row>
    <row r="98" spans="2:18">
      <c r="B98" t="s">
        <v>11</v>
      </c>
      <c r="C98">
        <v>330421514</v>
      </c>
      <c r="D98" t="s">
        <v>54</v>
      </c>
      <c r="E98" s="202">
        <v>1672.98</v>
      </c>
      <c r="F98">
        <v>1672.98</v>
      </c>
      <c r="J98" s="209">
        <v>45684</v>
      </c>
      <c r="K98" s="209">
        <v>45684</v>
      </c>
      <c r="M98" t="s">
        <v>11</v>
      </c>
      <c r="N98">
        <v>330421514</v>
      </c>
      <c r="O98">
        <v>170288</v>
      </c>
      <c r="Q98" t="s">
        <v>558</v>
      </c>
      <c r="R98">
        <v>170288</v>
      </c>
    </row>
    <row r="99" spans="2:18">
      <c r="B99" t="s">
        <v>11</v>
      </c>
      <c r="C99">
        <v>330421515</v>
      </c>
      <c r="D99" t="s">
        <v>54</v>
      </c>
      <c r="E99" s="202">
        <v>1493.92</v>
      </c>
      <c r="F99">
        <v>1493.92</v>
      </c>
      <c r="J99" s="209">
        <v>45684</v>
      </c>
      <c r="K99" s="209">
        <v>45684</v>
      </c>
      <c r="M99" t="s">
        <v>11</v>
      </c>
      <c r="N99">
        <v>330421515</v>
      </c>
      <c r="O99">
        <v>170288</v>
      </c>
      <c r="Q99" t="s">
        <v>559</v>
      </c>
      <c r="R99">
        <v>170288</v>
      </c>
    </row>
    <row r="100" spans="2:18">
      <c r="B100" t="s">
        <v>11</v>
      </c>
      <c r="C100">
        <v>330421516</v>
      </c>
      <c r="D100" t="s">
        <v>54</v>
      </c>
      <c r="E100">
        <v>89.37</v>
      </c>
      <c r="F100">
        <v>89.37</v>
      </c>
      <c r="J100" s="209">
        <v>45684</v>
      </c>
      <c r="K100" s="209">
        <v>45684</v>
      </c>
      <c r="M100" t="s">
        <v>11</v>
      </c>
      <c r="N100">
        <v>330421516</v>
      </c>
      <c r="O100">
        <v>170288</v>
      </c>
      <c r="Q100" t="s">
        <v>560</v>
      </c>
      <c r="R100">
        <v>170288</v>
      </c>
    </row>
    <row r="101" spans="2:18">
      <c r="B101" t="s">
        <v>11</v>
      </c>
      <c r="C101">
        <v>330421517</v>
      </c>
      <c r="D101" t="s">
        <v>54</v>
      </c>
      <c r="E101" s="202">
        <v>1398.52</v>
      </c>
      <c r="F101">
        <v>1398.52</v>
      </c>
      <c r="J101" s="209">
        <v>45684</v>
      </c>
      <c r="K101" s="209">
        <v>45684</v>
      </c>
      <c r="M101" t="s">
        <v>11</v>
      </c>
      <c r="N101">
        <v>330421517</v>
      </c>
      <c r="O101">
        <v>170288</v>
      </c>
      <c r="Q101" t="s">
        <v>561</v>
      </c>
      <c r="R101">
        <v>170288</v>
      </c>
    </row>
    <row r="102" spans="2:18">
      <c r="B102" t="s">
        <v>11</v>
      </c>
      <c r="C102">
        <v>330421518</v>
      </c>
      <c r="D102" t="s">
        <v>54</v>
      </c>
      <c r="E102" s="202">
        <v>1672.98</v>
      </c>
      <c r="F102">
        <v>1672.98</v>
      </c>
      <c r="J102" s="209">
        <v>45684</v>
      </c>
      <c r="K102" s="209">
        <v>45684</v>
      </c>
      <c r="M102" t="s">
        <v>11</v>
      </c>
      <c r="N102">
        <v>330421518</v>
      </c>
      <c r="O102">
        <v>170288</v>
      </c>
      <c r="Q102" t="s">
        <v>562</v>
      </c>
      <c r="R102">
        <v>170288</v>
      </c>
    </row>
    <row r="103" spans="2:18">
      <c r="B103" t="s">
        <v>11</v>
      </c>
      <c r="C103">
        <v>330421519</v>
      </c>
      <c r="D103" t="s">
        <v>54</v>
      </c>
      <c r="E103" s="202">
        <v>1493.92</v>
      </c>
      <c r="F103">
        <v>1493.92</v>
      </c>
      <c r="J103" s="209">
        <v>45684</v>
      </c>
      <c r="K103" s="209">
        <v>45684</v>
      </c>
      <c r="M103" t="s">
        <v>11</v>
      </c>
      <c r="N103">
        <v>330421519</v>
      </c>
      <c r="O103">
        <v>170288</v>
      </c>
      <c r="Q103" t="s">
        <v>563</v>
      </c>
      <c r="R103">
        <v>170288</v>
      </c>
    </row>
    <row r="104" spans="2:18">
      <c r="B104" t="s">
        <v>11</v>
      </c>
      <c r="C104">
        <v>330421520</v>
      </c>
      <c r="D104" t="s">
        <v>54</v>
      </c>
      <c r="E104" s="202">
        <v>1511.97</v>
      </c>
      <c r="F104">
        <v>1511.97</v>
      </c>
      <c r="J104" s="209">
        <v>45684</v>
      </c>
      <c r="K104" s="209">
        <v>45684</v>
      </c>
      <c r="M104" t="s">
        <v>11</v>
      </c>
      <c r="N104">
        <v>330421520</v>
      </c>
      <c r="O104">
        <v>170288</v>
      </c>
      <c r="Q104" t="s">
        <v>564</v>
      </c>
      <c r="R104">
        <v>170288</v>
      </c>
    </row>
    <row r="105" spans="2:18">
      <c r="B105" t="s">
        <v>11</v>
      </c>
      <c r="C105">
        <v>330421521</v>
      </c>
      <c r="D105" t="s">
        <v>54</v>
      </c>
      <c r="E105">
        <v>651.55999999999995</v>
      </c>
      <c r="F105">
        <v>651.55999999999995</v>
      </c>
      <c r="J105" s="209">
        <v>45684</v>
      </c>
      <c r="K105" s="209">
        <v>45684</v>
      </c>
      <c r="M105" t="s">
        <v>11</v>
      </c>
      <c r="N105">
        <v>330421521</v>
      </c>
      <c r="O105">
        <v>170288</v>
      </c>
      <c r="Q105" t="s">
        <v>565</v>
      </c>
      <c r="R105">
        <v>170288</v>
      </c>
    </row>
    <row r="106" spans="2:18">
      <c r="B106" t="s">
        <v>11</v>
      </c>
      <c r="C106">
        <v>330421522</v>
      </c>
      <c r="D106" t="s">
        <v>54</v>
      </c>
      <c r="E106">
        <v>50.56</v>
      </c>
      <c r="F106">
        <v>50.56</v>
      </c>
      <c r="J106" s="209">
        <v>45684</v>
      </c>
      <c r="K106" s="209">
        <v>45684</v>
      </c>
      <c r="M106" t="s">
        <v>11</v>
      </c>
      <c r="N106">
        <v>330421522</v>
      </c>
      <c r="O106">
        <v>170288</v>
      </c>
      <c r="Q106" t="s">
        <v>267</v>
      </c>
      <c r="R106">
        <v>170288</v>
      </c>
    </row>
    <row r="107" spans="2:18">
      <c r="B107" t="s">
        <v>11</v>
      </c>
      <c r="C107">
        <v>330421523</v>
      </c>
      <c r="D107" t="s">
        <v>54</v>
      </c>
      <c r="E107" s="202">
        <v>2818.74</v>
      </c>
      <c r="F107">
        <v>2818.74</v>
      </c>
      <c r="J107" s="209">
        <v>45684</v>
      </c>
      <c r="K107" s="209">
        <v>45684</v>
      </c>
      <c r="M107" t="s">
        <v>11</v>
      </c>
      <c r="N107">
        <v>330421523</v>
      </c>
      <c r="O107">
        <v>170288</v>
      </c>
      <c r="Q107" t="s">
        <v>566</v>
      </c>
      <c r="R107">
        <v>170288</v>
      </c>
    </row>
    <row r="108" spans="2:18">
      <c r="B108" t="s">
        <v>11</v>
      </c>
      <c r="C108">
        <v>330421524</v>
      </c>
      <c r="D108" t="s">
        <v>54</v>
      </c>
      <c r="E108" s="202">
        <v>1255.42</v>
      </c>
      <c r="F108">
        <v>1255.42</v>
      </c>
      <c r="J108" s="209">
        <v>45684</v>
      </c>
      <c r="K108" s="209">
        <v>45684</v>
      </c>
      <c r="M108" t="s">
        <v>11</v>
      </c>
      <c r="N108">
        <v>330421524</v>
      </c>
      <c r="O108">
        <v>170288</v>
      </c>
      <c r="Q108" t="s">
        <v>567</v>
      </c>
      <c r="R108">
        <v>170288</v>
      </c>
    </row>
    <row r="109" spans="2:18">
      <c r="B109" t="s">
        <v>11</v>
      </c>
      <c r="C109">
        <v>330421525</v>
      </c>
      <c r="D109" t="s">
        <v>54</v>
      </c>
      <c r="E109" s="202">
        <v>1207.72</v>
      </c>
      <c r="F109">
        <v>1207.72</v>
      </c>
      <c r="J109" s="209">
        <v>45684</v>
      </c>
      <c r="K109" s="209">
        <v>45684</v>
      </c>
      <c r="M109" t="s">
        <v>11</v>
      </c>
      <c r="N109">
        <v>330421525</v>
      </c>
      <c r="O109">
        <v>170288</v>
      </c>
      <c r="Q109" t="s">
        <v>487</v>
      </c>
      <c r="R109">
        <v>170288</v>
      </c>
    </row>
    <row r="110" spans="2:18">
      <c r="B110" t="s">
        <v>11</v>
      </c>
      <c r="C110">
        <v>330421526</v>
      </c>
      <c r="D110" t="s">
        <v>54</v>
      </c>
      <c r="E110" s="202">
        <v>1706.85</v>
      </c>
      <c r="F110">
        <v>1706.85</v>
      </c>
      <c r="J110" s="209">
        <v>45684</v>
      </c>
      <c r="K110" s="209">
        <v>45684</v>
      </c>
      <c r="M110" t="s">
        <v>11</v>
      </c>
      <c r="N110">
        <v>330421526</v>
      </c>
      <c r="O110">
        <v>170288</v>
      </c>
      <c r="Q110" t="s">
        <v>568</v>
      </c>
      <c r="R110">
        <v>170288</v>
      </c>
    </row>
    <row r="111" spans="2:18">
      <c r="B111" t="s">
        <v>11</v>
      </c>
      <c r="C111">
        <v>330421527</v>
      </c>
      <c r="D111" t="s">
        <v>54</v>
      </c>
      <c r="E111">
        <v>873.81</v>
      </c>
      <c r="F111">
        <v>873.81</v>
      </c>
      <c r="J111" s="209">
        <v>45684</v>
      </c>
      <c r="K111" s="209">
        <v>45684</v>
      </c>
      <c r="M111" t="s">
        <v>11</v>
      </c>
      <c r="N111">
        <v>330421527</v>
      </c>
      <c r="O111">
        <v>170288</v>
      </c>
      <c r="Q111" t="s">
        <v>569</v>
      </c>
      <c r="R111">
        <v>170288</v>
      </c>
    </row>
    <row r="112" spans="2:18">
      <c r="B112" t="s">
        <v>11</v>
      </c>
      <c r="C112">
        <v>330421528</v>
      </c>
      <c r="D112" t="s">
        <v>54</v>
      </c>
      <c r="E112" s="202">
        <v>1511.97</v>
      </c>
      <c r="F112">
        <v>1511.97</v>
      </c>
      <c r="J112" s="209">
        <v>45684</v>
      </c>
      <c r="K112" s="209">
        <v>45684</v>
      </c>
      <c r="M112" t="s">
        <v>11</v>
      </c>
      <c r="N112">
        <v>330421528</v>
      </c>
      <c r="O112">
        <v>170288</v>
      </c>
      <c r="Q112" t="s">
        <v>570</v>
      </c>
      <c r="R112">
        <v>170288</v>
      </c>
    </row>
    <row r="113" spans="2:18">
      <c r="B113" t="s">
        <v>11</v>
      </c>
      <c r="C113">
        <v>330421529</v>
      </c>
      <c r="D113" t="s">
        <v>54</v>
      </c>
      <c r="E113" s="202">
        <v>1505.92</v>
      </c>
      <c r="F113">
        <v>1505.92</v>
      </c>
      <c r="J113" s="209">
        <v>45684</v>
      </c>
      <c r="K113" s="209">
        <v>45684</v>
      </c>
      <c r="M113" t="s">
        <v>11</v>
      </c>
      <c r="N113">
        <v>330421529</v>
      </c>
      <c r="O113">
        <v>170288</v>
      </c>
      <c r="Q113" t="s">
        <v>571</v>
      </c>
      <c r="R113">
        <v>170288</v>
      </c>
    </row>
    <row r="114" spans="2:18">
      <c r="B114" t="s">
        <v>11</v>
      </c>
      <c r="C114">
        <v>330421530</v>
      </c>
      <c r="D114" t="s">
        <v>54</v>
      </c>
      <c r="E114">
        <v>130</v>
      </c>
      <c r="F114">
        <v>130</v>
      </c>
      <c r="J114" s="209">
        <v>45684</v>
      </c>
      <c r="K114" s="209">
        <v>45684</v>
      </c>
      <c r="M114" t="s">
        <v>11</v>
      </c>
      <c r="N114">
        <v>330421530</v>
      </c>
      <c r="O114">
        <v>170288</v>
      </c>
      <c r="Q114" t="s">
        <v>271</v>
      </c>
      <c r="R114">
        <v>170288</v>
      </c>
    </row>
    <row r="115" spans="2:18">
      <c r="B115" t="s">
        <v>11</v>
      </c>
      <c r="C115">
        <v>330421531</v>
      </c>
      <c r="D115" t="s">
        <v>54</v>
      </c>
      <c r="E115" s="202">
        <v>1493.92</v>
      </c>
      <c r="F115">
        <v>1493.92</v>
      </c>
      <c r="J115" s="209">
        <v>45684</v>
      </c>
      <c r="K115" s="209">
        <v>45684</v>
      </c>
      <c r="M115" t="s">
        <v>11</v>
      </c>
      <c r="N115">
        <v>330421531</v>
      </c>
      <c r="O115">
        <v>170288</v>
      </c>
      <c r="Q115" t="s">
        <v>572</v>
      </c>
      <c r="R115">
        <v>170288</v>
      </c>
    </row>
    <row r="116" spans="2:18">
      <c r="B116" t="s">
        <v>11</v>
      </c>
      <c r="C116">
        <v>330421532</v>
      </c>
      <c r="D116" t="s">
        <v>54</v>
      </c>
      <c r="E116" s="202">
        <v>3158.19</v>
      </c>
      <c r="F116">
        <v>3158.19</v>
      </c>
      <c r="J116" s="209">
        <v>45684</v>
      </c>
      <c r="K116" s="209">
        <v>45684</v>
      </c>
      <c r="M116" t="s">
        <v>11</v>
      </c>
      <c r="N116">
        <v>330421532</v>
      </c>
      <c r="O116">
        <v>170288</v>
      </c>
      <c r="Q116" t="s">
        <v>573</v>
      </c>
      <c r="R116">
        <v>170288</v>
      </c>
    </row>
    <row r="117" spans="2:18">
      <c r="B117" t="s">
        <v>11</v>
      </c>
      <c r="C117">
        <v>330421533</v>
      </c>
      <c r="D117" t="s">
        <v>54</v>
      </c>
      <c r="E117">
        <v>699.26</v>
      </c>
      <c r="F117">
        <v>699.26</v>
      </c>
      <c r="J117" s="209">
        <v>45684</v>
      </c>
      <c r="K117" s="209">
        <v>45684</v>
      </c>
      <c r="M117" t="s">
        <v>11</v>
      </c>
      <c r="N117">
        <v>330421533</v>
      </c>
      <c r="O117">
        <v>170288</v>
      </c>
      <c r="Q117" t="s">
        <v>574</v>
      </c>
      <c r="R117">
        <v>170288</v>
      </c>
    </row>
    <row r="118" spans="2:18">
      <c r="B118" t="s">
        <v>11</v>
      </c>
      <c r="C118">
        <v>330421534</v>
      </c>
      <c r="D118" t="s">
        <v>54</v>
      </c>
      <c r="E118">
        <v>699.26</v>
      </c>
      <c r="F118">
        <v>699.26</v>
      </c>
      <c r="J118" s="209">
        <v>45684</v>
      </c>
      <c r="K118" s="209">
        <v>45684</v>
      </c>
      <c r="M118" t="s">
        <v>11</v>
      </c>
      <c r="N118">
        <v>330421534</v>
      </c>
      <c r="O118">
        <v>170288</v>
      </c>
      <c r="Q118" t="s">
        <v>575</v>
      </c>
      <c r="R118">
        <v>170288</v>
      </c>
    </row>
    <row r="119" spans="2:18">
      <c r="B119" t="s">
        <v>11</v>
      </c>
      <c r="C119">
        <v>330421535</v>
      </c>
      <c r="D119" t="s">
        <v>54</v>
      </c>
      <c r="E119">
        <v>174.55</v>
      </c>
      <c r="F119">
        <v>174.55</v>
      </c>
      <c r="J119" s="209">
        <v>45684</v>
      </c>
      <c r="K119" s="209">
        <v>45684</v>
      </c>
      <c r="M119" t="s">
        <v>11</v>
      </c>
      <c r="N119">
        <v>330421535</v>
      </c>
      <c r="O119">
        <v>170288</v>
      </c>
      <c r="Q119" t="s">
        <v>576</v>
      </c>
      <c r="R119">
        <v>170288</v>
      </c>
    </row>
    <row r="120" spans="2:18">
      <c r="B120" t="s">
        <v>11</v>
      </c>
      <c r="C120">
        <v>330421536</v>
      </c>
      <c r="D120" t="s">
        <v>54</v>
      </c>
      <c r="E120" s="202">
        <v>1493.92</v>
      </c>
      <c r="F120">
        <v>1493.92</v>
      </c>
      <c r="J120" s="209">
        <v>45684</v>
      </c>
      <c r="K120" s="209">
        <v>45684</v>
      </c>
      <c r="M120" t="s">
        <v>11</v>
      </c>
      <c r="N120">
        <v>330421536</v>
      </c>
      <c r="O120">
        <v>170288</v>
      </c>
      <c r="Q120" t="s">
        <v>577</v>
      </c>
      <c r="R120">
        <v>170288</v>
      </c>
    </row>
    <row r="121" spans="2:18">
      <c r="B121" t="s">
        <v>11</v>
      </c>
      <c r="C121">
        <v>330421537</v>
      </c>
      <c r="D121" t="s">
        <v>54</v>
      </c>
      <c r="E121" s="202">
        <v>1350.82</v>
      </c>
      <c r="F121">
        <v>1350.82</v>
      </c>
      <c r="J121" s="209">
        <v>45684</v>
      </c>
      <c r="K121" s="209">
        <v>45684</v>
      </c>
      <c r="M121" t="s">
        <v>11</v>
      </c>
      <c r="N121">
        <v>330421537</v>
      </c>
      <c r="O121">
        <v>170288</v>
      </c>
      <c r="Q121" t="s">
        <v>578</v>
      </c>
      <c r="R121">
        <v>170288</v>
      </c>
    </row>
    <row r="122" spans="2:18">
      <c r="B122" t="s">
        <v>11</v>
      </c>
      <c r="C122">
        <v>330421538</v>
      </c>
      <c r="D122" t="s">
        <v>54</v>
      </c>
      <c r="E122">
        <v>826.11</v>
      </c>
      <c r="F122">
        <v>826.11</v>
      </c>
      <c r="J122" s="209">
        <v>45684</v>
      </c>
      <c r="K122" s="209">
        <v>45684</v>
      </c>
      <c r="M122" t="s">
        <v>11</v>
      </c>
      <c r="N122">
        <v>330421538</v>
      </c>
      <c r="O122">
        <v>170288</v>
      </c>
      <c r="Q122" t="s">
        <v>579</v>
      </c>
      <c r="R122">
        <v>170288</v>
      </c>
    </row>
    <row r="123" spans="2:18">
      <c r="B123" t="s">
        <v>11</v>
      </c>
      <c r="C123">
        <v>330421539</v>
      </c>
      <c r="D123" t="s">
        <v>54</v>
      </c>
      <c r="E123" s="202">
        <v>1511.97</v>
      </c>
      <c r="F123">
        <v>1511.97</v>
      </c>
      <c r="J123" s="209">
        <v>45684</v>
      </c>
      <c r="K123" s="209">
        <v>45684</v>
      </c>
      <c r="M123" t="s">
        <v>11</v>
      </c>
      <c r="N123">
        <v>330421539</v>
      </c>
      <c r="O123">
        <v>170288</v>
      </c>
      <c r="Q123" t="s">
        <v>580</v>
      </c>
      <c r="R123">
        <v>170288</v>
      </c>
    </row>
    <row r="124" spans="2:18">
      <c r="B124" t="s">
        <v>11</v>
      </c>
      <c r="C124">
        <v>330421540</v>
      </c>
      <c r="D124" t="s">
        <v>54</v>
      </c>
      <c r="E124">
        <v>78</v>
      </c>
      <c r="F124">
        <v>78</v>
      </c>
      <c r="J124" s="209">
        <v>45684</v>
      </c>
      <c r="K124" s="209">
        <v>45684</v>
      </c>
      <c r="M124" t="s">
        <v>11</v>
      </c>
      <c r="N124">
        <v>330421540</v>
      </c>
      <c r="O124">
        <v>170288</v>
      </c>
      <c r="Q124" t="s">
        <v>581</v>
      </c>
      <c r="R124">
        <v>170288</v>
      </c>
    </row>
    <row r="125" spans="2:18">
      <c r="B125" t="s">
        <v>11</v>
      </c>
      <c r="C125">
        <v>330421541</v>
      </c>
      <c r="D125" t="s">
        <v>54</v>
      </c>
      <c r="E125">
        <v>729.15</v>
      </c>
      <c r="F125">
        <v>729.15</v>
      </c>
      <c r="J125" s="209">
        <v>45684</v>
      </c>
      <c r="K125" s="209">
        <v>45684</v>
      </c>
      <c r="M125" t="s">
        <v>11</v>
      </c>
      <c r="N125">
        <v>330421541</v>
      </c>
      <c r="O125">
        <v>170288</v>
      </c>
      <c r="Q125" t="s">
        <v>582</v>
      </c>
      <c r="R125">
        <v>170288</v>
      </c>
    </row>
    <row r="126" spans="2:18">
      <c r="B126" t="s">
        <v>11</v>
      </c>
      <c r="C126">
        <v>330421542</v>
      </c>
      <c r="D126" t="s">
        <v>54</v>
      </c>
      <c r="E126" s="202">
        <v>1398.52</v>
      </c>
      <c r="F126">
        <v>1398.52</v>
      </c>
      <c r="J126" s="209">
        <v>45684</v>
      </c>
      <c r="K126" s="209">
        <v>45684</v>
      </c>
      <c r="M126" t="s">
        <v>11</v>
      </c>
      <c r="N126">
        <v>330421542</v>
      </c>
      <c r="O126">
        <v>170288</v>
      </c>
      <c r="Q126" t="s">
        <v>583</v>
      </c>
      <c r="R126">
        <v>170288</v>
      </c>
    </row>
    <row r="127" spans="2:18">
      <c r="B127" t="s">
        <v>11</v>
      </c>
      <c r="C127">
        <v>330421543</v>
      </c>
      <c r="D127" t="s">
        <v>54</v>
      </c>
      <c r="E127">
        <v>140</v>
      </c>
      <c r="F127">
        <v>140</v>
      </c>
      <c r="J127" s="209">
        <v>45684</v>
      </c>
      <c r="K127" s="209">
        <v>45684</v>
      </c>
      <c r="M127" t="s">
        <v>11</v>
      </c>
      <c r="N127">
        <v>330421543</v>
      </c>
      <c r="O127">
        <v>170288</v>
      </c>
      <c r="Q127" t="s">
        <v>273</v>
      </c>
      <c r="R127">
        <v>170288</v>
      </c>
    </row>
    <row r="128" spans="2:18">
      <c r="B128" t="s">
        <v>11</v>
      </c>
      <c r="C128">
        <v>330421544</v>
      </c>
      <c r="D128" t="s">
        <v>54</v>
      </c>
      <c r="E128" s="202">
        <v>1350.82</v>
      </c>
      <c r="F128">
        <v>1350.82</v>
      </c>
      <c r="J128" s="209">
        <v>45684</v>
      </c>
      <c r="K128" s="209">
        <v>45684</v>
      </c>
      <c r="M128" t="s">
        <v>11</v>
      </c>
      <c r="N128">
        <v>330421544</v>
      </c>
      <c r="O128">
        <v>170288</v>
      </c>
      <c r="Q128" t="s">
        <v>57</v>
      </c>
      <c r="R128">
        <v>170288</v>
      </c>
    </row>
    <row r="129" spans="2:18">
      <c r="B129" t="s">
        <v>11</v>
      </c>
      <c r="C129">
        <v>330421545</v>
      </c>
      <c r="D129" t="s">
        <v>54</v>
      </c>
      <c r="E129" s="202">
        <v>1565.64</v>
      </c>
      <c r="F129">
        <v>1565.64</v>
      </c>
      <c r="J129" s="209">
        <v>45684</v>
      </c>
      <c r="K129" s="209">
        <v>45684</v>
      </c>
      <c r="M129" t="s">
        <v>11</v>
      </c>
      <c r="N129">
        <v>330421545</v>
      </c>
      <c r="O129">
        <v>170288</v>
      </c>
      <c r="Q129" t="s">
        <v>488</v>
      </c>
      <c r="R129">
        <v>170288</v>
      </c>
    </row>
    <row r="130" spans="2:18">
      <c r="B130" t="s">
        <v>11</v>
      </c>
      <c r="C130">
        <v>330421546</v>
      </c>
      <c r="D130" t="s">
        <v>54</v>
      </c>
      <c r="E130">
        <v>826.11</v>
      </c>
      <c r="F130">
        <v>826.11</v>
      </c>
      <c r="J130" s="209">
        <v>45684</v>
      </c>
      <c r="K130" s="209">
        <v>45684</v>
      </c>
      <c r="M130" t="s">
        <v>11</v>
      </c>
      <c r="N130">
        <v>330421546</v>
      </c>
      <c r="O130">
        <v>170288</v>
      </c>
      <c r="Q130" t="s">
        <v>58</v>
      </c>
      <c r="R130">
        <v>170288</v>
      </c>
    </row>
    <row r="131" spans="2:18">
      <c r="B131" t="s">
        <v>11</v>
      </c>
      <c r="C131">
        <v>330421547</v>
      </c>
      <c r="D131" t="s">
        <v>54</v>
      </c>
      <c r="E131" s="202">
        <v>1398.52</v>
      </c>
      <c r="F131">
        <v>1398.52</v>
      </c>
      <c r="J131" s="209">
        <v>45684</v>
      </c>
      <c r="K131" s="209">
        <v>45684</v>
      </c>
      <c r="M131" t="s">
        <v>11</v>
      </c>
      <c r="N131">
        <v>330421547</v>
      </c>
      <c r="O131">
        <v>170288</v>
      </c>
      <c r="Q131" t="s">
        <v>584</v>
      </c>
      <c r="R131">
        <v>170288</v>
      </c>
    </row>
    <row r="132" spans="2:18">
      <c r="B132" t="s">
        <v>11</v>
      </c>
      <c r="C132">
        <v>330421548</v>
      </c>
      <c r="D132" t="s">
        <v>54</v>
      </c>
      <c r="E132">
        <v>44.97</v>
      </c>
      <c r="F132">
        <v>44.97</v>
      </c>
      <c r="J132" s="209">
        <v>45684</v>
      </c>
      <c r="K132" s="209">
        <v>45684</v>
      </c>
      <c r="M132" t="s">
        <v>11</v>
      </c>
      <c r="N132">
        <v>330421548</v>
      </c>
      <c r="O132">
        <v>170288</v>
      </c>
      <c r="Q132" t="s">
        <v>585</v>
      </c>
      <c r="R132">
        <v>170288</v>
      </c>
    </row>
    <row r="133" spans="2:18">
      <c r="B133" t="s">
        <v>11</v>
      </c>
      <c r="C133">
        <v>330421549</v>
      </c>
      <c r="D133" t="s">
        <v>54</v>
      </c>
      <c r="E133" s="202">
        <v>1398.52</v>
      </c>
      <c r="F133">
        <v>1398.52</v>
      </c>
      <c r="J133" s="209">
        <v>45684</v>
      </c>
      <c r="K133" s="209">
        <v>45684</v>
      </c>
      <c r="M133" t="s">
        <v>11</v>
      </c>
      <c r="N133">
        <v>330421549</v>
      </c>
      <c r="O133">
        <v>170288</v>
      </c>
      <c r="Q133" t="s">
        <v>586</v>
      </c>
      <c r="R133">
        <v>170288</v>
      </c>
    </row>
    <row r="134" spans="2:18">
      <c r="B134" t="s">
        <v>11</v>
      </c>
      <c r="C134">
        <v>330421550</v>
      </c>
      <c r="D134" t="s">
        <v>54</v>
      </c>
      <c r="E134">
        <v>137.6</v>
      </c>
      <c r="F134">
        <v>137.6</v>
      </c>
      <c r="J134" s="209">
        <v>45684</v>
      </c>
      <c r="K134" s="209">
        <v>45684</v>
      </c>
      <c r="M134" t="s">
        <v>11</v>
      </c>
      <c r="N134">
        <v>330421550</v>
      </c>
      <c r="O134">
        <v>170288</v>
      </c>
      <c r="Q134" t="s">
        <v>59</v>
      </c>
      <c r="R134">
        <v>170288</v>
      </c>
    </row>
    <row r="135" spans="2:18">
      <c r="B135" t="s">
        <v>11</v>
      </c>
      <c r="C135">
        <v>330421551</v>
      </c>
      <c r="D135" t="s">
        <v>54</v>
      </c>
      <c r="E135" s="202">
        <v>1672.98</v>
      </c>
      <c r="F135">
        <v>1672.98</v>
      </c>
      <c r="J135" s="209">
        <v>45684</v>
      </c>
      <c r="K135" s="209">
        <v>45684</v>
      </c>
      <c r="M135" t="s">
        <v>11</v>
      </c>
      <c r="N135">
        <v>330421551</v>
      </c>
      <c r="O135">
        <v>170288</v>
      </c>
      <c r="Q135" t="s">
        <v>587</v>
      </c>
      <c r="R135">
        <v>170288</v>
      </c>
    </row>
    <row r="136" spans="2:18">
      <c r="B136" t="s">
        <v>11</v>
      </c>
      <c r="C136">
        <v>330421552</v>
      </c>
      <c r="D136" t="s">
        <v>54</v>
      </c>
      <c r="E136" s="202">
        <v>1398.52</v>
      </c>
      <c r="F136">
        <v>1398.52</v>
      </c>
      <c r="J136" s="209">
        <v>45684</v>
      </c>
      <c r="K136" s="209">
        <v>45684</v>
      </c>
      <c r="M136" t="s">
        <v>11</v>
      </c>
      <c r="N136">
        <v>330421552</v>
      </c>
      <c r="O136">
        <v>170288</v>
      </c>
      <c r="Q136" t="s">
        <v>588</v>
      </c>
      <c r="R136">
        <v>170288</v>
      </c>
    </row>
    <row r="137" spans="2:18">
      <c r="B137" t="s">
        <v>11</v>
      </c>
      <c r="C137">
        <v>330421553</v>
      </c>
      <c r="D137" t="s">
        <v>54</v>
      </c>
      <c r="E137" s="202">
        <v>1165.8599999999999</v>
      </c>
      <c r="F137">
        <v>1165.8599999999999</v>
      </c>
      <c r="J137" s="209">
        <v>45684</v>
      </c>
      <c r="K137" s="209">
        <v>45684</v>
      </c>
      <c r="M137" t="s">
        <v>11</v>
      </c>
      <c r="N137">
        <v>330421553</v>
      </c>
      <c r="O137">
        <v>170288</v>
      </c>
      <c r="Q137" t="s">
        <v>490</v>
      </c>
      <c r="R137">
        <v>170288</v>
      </c>
    </row>
    <row r="138" spans="2:18">
      <c r="B138" t="s">
        <v>11</v>
      </c>
      <c r="C138">
        <v>330421554</v>
      </c>
      <c r="D138" t="s">
        <v>54</v>
      </c>
      <c r="E138" s="202">
        <v>1350.82</v>
      </c>
      <c r="F138">
        <v>1350.82</v>
      </c>
      <c r="J138" s="209">
        <v>45684</v>
      </c>
      <c r="K138" s="209">
        <v>45684</v>
      </c>
      <c r="M138" t="s">
        <v>11</v>
      </c>
      <c r="N138">
        <v>330421554</v>
      </c>
      <c r="O138">
        <v>170288</v>
      </c>
      <c r="Q138" t="s">
        <v>589</v>
      </c>
      <c r="R138">
        <v>170288</v>
      </c>
    </row>
    <row r="139" spans="2:18">
      <c r="B139" t="s">
        <v>11</v>
      </c>
      <c r="C139">
        <v>330421555</v>
      </c>
      <c r="D139" t="s">
        <v>54</v>
      </c>
      <c r="E139" s="202">
        <v>2501.16</v>
      </c>
      <c r="F139">
        <v>2501.16</v>
      </c>
      <c r="J139" s="209">
        <v>45684</v>
      </c>
      <c r="K139" s="209">
        <v>45684</v>
      </c>
      <c r="M139" t="s">
        <v>11</v>
      </c>
      <c r="N139">
        <v>330421555</v>
      </c>
      <c r="O139">
        <v>170288</v>
      </c>
      <c r="Q139" t="s">
        <v>491</v>
      </c>
      <c r="R139">
        <v>170288</v>
      </c>
    </row>
    <row r="140" spans="2:18">
      <c r="B140" t="s">
        <v>11</v>
      </c>
      <c r="C140">
        <v>330421556</v>
      </c>
      <c r="D140" t="s">
        <v>54</v>
      </c>
      <c r="E140" s="202">
        <v>1672.98</v>
      </c>
      <c r="F140">
        <v>1672.98</v>
      </c>
      <c r="J140" s="209">
        <v>45684</v>
      </c>
      <c r="K140" s="209">
        <v>45684</v>
      </c>
      <c r="M140" t="s">
        <v>11</v>
      </c>
      <c r="N140">
        <v>330421556</v>
      </c>
      <c r="O140">
        <v>170288</v>
      </c>
      <c r="Q140" t="s">
        <v>590</v>
      </c>
      <c r="R140">
        <v>170288</v>
      </c>
    </row>
    <row r="141" spans="2:18">
      <c r="B141" t="s">
        <v>11</v>
      </c>
      <c r="C141">
        <v>330421557</v>
      </c>
      <c r="D141" t="s">
        <v>54</v>
      </c>
      <c r="E141" s="202">
        <v>1493.92</v>
      </c>
      <c r="F141">
        <v>1493.92</v>
      </c>
      <c r="J141" s="209">
        <v>45684</v>
      </c>
      <c r="K141" s="209">
        <v>45684</v>
      </c>
      <c r="M141" t="s">
        <v>11</v>
      </c>
      <c r="N141">
        <v>330421557</v>
      </c>
      <c r="O141">
        <v>170288</v>
      </c>
      <c r="Q141" t="s">
        <v>591</v>
      </c>
      <c r="R141">
        <v>170288</v>
      </c>
    </row>
    <row r="142" spans="2:18">
      <c r="B142" t="s">
        <v>11</v>
      </c>
      <c r="C142">
        <v>330421558</v>
      </c>
      <c r="D142" t="s">
        <v>54</v>
      </c>
      <c r="E142">
        <v>451.95</v>
      </c>
      <c r="F142">
        <v>451.95</v>
      </c>
      <c r="J142" s="209">
        <v>45684</v>
      </c>
      <c r="K142" s="209">
        <v>45684</v>
      </c>
      <c r="M142" t="s">
        <v>11</v>
      </c>
      <c r="N142">
        <v>330421558</v>
      </c>
      <c r="O142">
        <v>170288</v>
      </c>
      <c r="Q142" t="s">
        <v>592</v>
      </c>
      <c r="R142">
        <v>170288</v>
      </c>
    </row>
    <row r="143" spans="2:18">
      <c r="B143" t="s">
        <v>11</v>
      </c>
      <c r="C143">
        <v>330421559</v>
      </c>
      <c r="D143" t="s">
        <v>54</v>
      </c>
      <c r="E143" s="202">
        <v>1398.52</v>
      </c>
      <c r="F143">
        <v>1398.52</v>
      </c>
      <c r="J143" s="209">
        <v>45684</v>
      </c>
      <c r="K143" s="209">
        <v>45684</v>
      </c>
      <c r="M143" t="s">
        <v>11</v>
      </c>
      <c r="N143">
        <v>330421559</v>
      </c>
      <c r="O143">
        <v>170288</v>
      </c>
      <c r="Q143" t="s">
        <v>593</v>
      </c>
      <c r="R143">
        <v>170288</v>
      </c>
    </row>
    <row r="144" spans="2:18">
      <c r="B144" t="s">
        <v>11</v>
      </c>
      <c r="C144">
        <v>330421560</v>
      </c>
      <c r="D144" t="s">
        <v>54</v>
      </c>
      <c r="E144" s="202">
        <v>1243.6300000000001</v>
      </c>
      <c r="F144">
        <v>1243.6300000000001</v>
      </c>
      <c r="J144" s="209">
        <v>45684</v>
      </c>
      <c r="K144" s="209">
        <v>45684</v>
      </c>
      <c r="M144" t="s">
        <v>11</v>
      </c>
      <c r="N144">
        <v>330421560</v>
      </c>
      <c r="O144">
        <v>170288</v>
      </c>
      <c r="Q144" t="s">
        <v>594</v>
      </c>
      <c r="R144">
        <v>170288</v>
      </c>
    </row>
    <row r="145" spans="2:18">
      <c r="B145" t="s">
        <v>11</v>
      </c>
      <c r="C145">
        <v>330421561</v>
      </c>
      <c r="D145" t="s">
        <v>54</v>
      </c>
      <c r="E145">
        <v>921.61</v>
      </c>
      <c r="F145">
        <v>921.61</v>
      </c>
      <c r="J145" s="209">
        <v>45684</v>
      </c>
      <c r="K145" s="209">
        <v>45684</v>
      </c>
      <c r="M145" t="s">
        <v>11</v>
      </c>
      <c r="N145">
        <v>330421561</v>
      </c>
      <c r="O145">
        <v>170288</v>
      </c>
      <c r="Q145" t="s">
        <v>595</v>
      </c>
      <c r="R145">
        <v>170288</v>
      </c>
    </row>
    <row r="146" spans="2:18">
      <c r="B146" t="s">
        <v>11</v>
      </c>
      <c r="C146">
        <v>330421562</v>
      </c>
      <c r="D146" t="s">
        <v>54</v>
      </c>
      <c r="E146" s="202">
        <v>1350.82</v>
      </c>
      <c r="F146">
        <v>1350.82</v>
      </c>
      <c r="J146" s="209">
        <v>45684</v>
      </c>
      <c r="K146" s="209">
        <v>45684</v>
      </c>
      <c r="M146" t="s">
        <v>11</v>
      </c>
      <c r="N146">
        <v>330421562</v>
      </c>
      <c r="O146">
        <v>170288</v>
      </c>
      <c r="Q146" t="s">
        <v>596</v>
      </c>
      <c r="R146">
        <v>170288</v>
      </c>
    </row>
    <row r="147" spans="2:18">
      <c r="B147" t="s">
        <v>11</v>
      </c>
      <c r="C147">
        <v>330421563</v>
      </c>
      <c r="D147" t="s">
        <v>54</v>
      </c>
      <c r="E147" s="202">
        <v>1493.92</v>
      </c>
      <c r="F147">
        <v>1493.92</v>
      </c>
      <c r="J147" s="209">
        <v>45684</v>
      </c>
      <c r="K147" s="209">
        <v>45684</v>
      </c>
      <c r="M147" t="s">
        <v>11</v>
      </c>
      <c r="N147">
        <v>330421563</v>
      </c>
      <c r="O147">
        <v>170288</v>
      </c>
      <c r="Q147" t="s">
        <v>492</v>
      </c>
      <c r="R147">
        <v>170288</v>
      </c>
    </row>
    <row r="148" spans="2:18">
      <c r="B148" t="s">
        <v>11</v>
      </c>
      <c r="C148">
        <v>330421564</v>
      </c>
      <c r="D148" t="s">
        <v>54</v>
      </c>
      <c r="E148" s="202">
        <v>1350.82</v>
      </c>
      <c r="F148">
        <v>1350.82</v>
      </c>
      <c r="J148" s="209">
        <v>45684</v>
      </c>
      <c r="K148" s="209">
        <v>45684</v>
      </c>
      <c r="M148" t="s">
        <v>11</v>
      </c>
      <c r="N148">
        <v>330421564</v>
      </c>
      <c r="O148">
        <v>170288</v>
      </c>
      <c r="Q148" t="s">
        <v>597</v>
      </c>
      <c r="R148">
        <v>170288</v>
      </c>
    </row>
    <row r="149" spans="2:18">
      <c r="B149" t="s">
        <v>11</v>
      </c>
      <c r="C149">
        <v>330421565</v>
      </c>
      <c r="D149" t="s">
        <v>54</v>
      </c>
      <c r="E149">
        <v>556.16</v>
      </c>
      <c r="F149">
        <v>556.16</v>
      </c>
      <c r="J149" s="209">
        <v>45684</v>
      </c>
      <c r="K149" s="209">
        <v>45684</v>
      </c>
      <c r="M149" t="s">
        <v>11</v>
      </c>
      <c r="N149">
        <v>330421565</v>
      </c>
      <c r="O149">
        <v>170288</v>
      </c>
      <c r="Q149" t="s">
        <v>598</v>
      </c>
      <c r="R149">
        <v>170288</v>
      </c>
    </row>
    <row r="150" spans="2:18">
      <c r="B150" t="s">
        <v>11</v>
      </c>
      <c r="C150">
        <v>330421566</v>
      </c>
      <c r="D150" t="s">
        <v>54</v>
      </c>
      <c r="E150" s="202">
        <v>1672.98</v>
      </c>
      <c r="F150">
        <v>1672.98</v>
      </c>
      <c r="J150" s="209">
        <v>45684</v>
      </c>
      <c r="K150" s="209">
        <v>45684</v>
      </c>
      <c r="M150" t="s">
        <v>11</v>
      </c>
      <c r="N150">
        <v>330421566</v>
      </c>
      <c r="O150">
        <v>170288</v>
      </c>
      <c r="Q150" t="s">
        <v>599</v>
      </c>
      <c r="R150">
        <v>170288</v>
      </c>
    </row>
    <row r="151" spans="2:18">
      <c r="B151" t="s">
        <v>11</v>
      </c>
      <c r="C151">
        <v>330421567</v>
      </c>
      <c r="D151" t="s">
        <v>54</v>
      </c>
      <c r="E151">
        <v>120</v>
      </c>
      <c r="F151">
        <v>120</v>
      </c>
      <c r="J151" s="209">
        <v>45684</v>
      </c>
      <c r="K151" s="209">
        <v>45684</v>
      </c>
      <c r="M151" t="s">
        <v>11</v>
      </c>
      <c r="N151">
        <v>330421567</v>
      </c>
      <c r="O151">
        <v>170288</v>
      </c>
      <c r="Q151" t="s">
        <v>600</v>
      </c>
      <c r="R151">
        <v>170288</v>
      </c>
    </row>
    <row r="152" spans="2:18">
      <c r="B152" t="s">
        <v>11</v>
      </c>
      <c r="C152">
        <v>330421568</v>
      </c>
      <c r="D152" t="s">
        <v>54</v>
      </c>
      <c r="E152" s="202">
        <v>1398.52</v>
      </c>
      <c r="F152">
        <v>1398.52</v>
      </c>
      <c r="J152" s="209">
        <v>45684</v>
      </c>
      <c r="K152" s="209">
        <v>45684</v>
      </c>
      <c r="M152" t="s">
        <v>11</v>
      </c>
      <c r="N152">
        <v>330421568</v>
      </c>
      <c r="O152">
        <v>170288</v>
      </c>
      <c r="Q152" t="s">
        <v>601</v>
      </c>
      <c r="R152">
        <v>170288</v>
      </c>
    </row>
    <row r="153" spans="2:18">
      <c r="B153" t="s">
        <v>11</v>
      </c>
      <c r="C153">
        <v>330421569</v>
      </c>
      <c r="D153" t="s">
        <v>54</v>
      </c>
      <c r="E153" s="202">
        <v>1672.98</v>
      </c>
      <c r="F153">
        <v>1672.98</v>
      </c>
      <c r="J153" s="209">
        <v>45684</v>
      </c>
      <c r="K153" s="209">
        <v>45684</v>
      </c>
      <c r="M153" t="s">
        <v>11</v>
      </c>
      <c r="N153">
        <v>330421569</v>
      </c>
      <c r="O153">
        <v>170288</v>
      </c>
      <c r="Q153" t="s">
        <v>602</v>
      </c>
      <c r="R153">
        <v>170288</v>
      </c>
    </row>
    <row r="154" spans="2:18">
      <c r="B154" t="s">
        <v>11</v>
      </c>
      <c r="C154">
        <v>330421570</v>
      </c>
      <c r="D154" t="s">
        <v>54</v>
      </c>
      <c r="E154" s="202">
        <v>1493.92</v>
      </c>
      <c r="F154">
        <v>1493.92</v>
      </c>
      <c r="J154" s="209">
        <v>45684</v>
      </c>
      <c r="K154" s="209">
        <v>45684</v>
      </c>
      <c r="M154" t="s">
        <v>11</v>
      </c>
      <c r="N154">
        <v>330421570</v>
      </c>
      <c r="O154">
        <v>170288</v>
      </c>
      <c r="Q154" t="s">
        <v>493</v>
      </c>
      <c r="R154">
        <v>170288</v>
      </c>
    </row>
    <row r="155" spans="2:18">
      <c r="B155" t="s">
        <v>11</v>
      </c>
      <c r="C155">
        <v>330421571</v>
      </c>
      <c r="D155" t="s">
        <v>54</v>
      </c>
      <c r="E155">
        <v>556.16</v>
      </c>
      <c r="F155">
        <v>556.16</v>
      </c>
      <c r="J155" s="209">
        <v>45684</v>
      </c>
      <c r="K155" s="209">
        <v>45684</v>
      </c>
      <c r="M155" t="s">
        <v>11</v>
      </c>
      <c r="N155">
        <v>330421571</v>
      </c>
      <c r="O155">
        <v>170288</v>
      </c>
      <c r="Q155" t="s">
        <v>603</v>
      </c>
      <c r="R155">
        <v>170288</v>
      </c>
    </row>
    <row r="156" spans="2:18">
      <c r="B156" t="s">
        <v>11</v>
      </c>
      <c r="C156">
        <v>330421572</v>
      </c>
      <c r="D156" t="s">
        <v>54</v>
      </c>
      <c r="E156" s="202">
        <v>1493.92</v>
      </c>
      <c r="F156">
        <v>1493.92</v>
      </c>
      <c r="J156" s="209">
        <v>45684</v>
      </c>
      <c r="K156" s="209">
        <v>45684</v>
      </c>
      <c r="M156" t="s">
        <v>11</v>
      </c>
      <c r="N156">
        <v>330421572</v>
      </c>
      <c r="O156">
        <v>170288</v>
      </c>
      <c r="Q156" t="s">
        <v>604</v>
      </c>
      <c r="R156">
        <v>170288</v>
      </c>
    </row>
    <row r="157" spans="2:18">
      <c r="B157" t="s">
        <v>11</v>
      </c>
      <c r="C157">
        <v>330421573</v>
      </c>
      <c r="D157" t="s">
        <v>54</v>
      </c>
      <c r="E157" s="202">
        <v>1398.52</v>
      </c>
      <c r="F157">
        <v>1398.52</v>
      </c>
      <c r="J157" s="209">
        <v>45684</v>
      </c>
      <c r="K157" s="209">
        <v>45684</v>
      </c>
      <c r="M157" t="s">
        <v>11</v>
      </c>
      <c r="N157">
        <v>330421573</v>
      </c>
      <c r="O157">
        <v>170288</v>
      </c>
      <c r="Q157" t="s">
        <v>605</v>
      </c>
      <c r="R157">
        <v>170288</v>
      </c>
    </row>
    <row r="158" spans="2:18">
      <c r="B158" t="s">
        <v>11</v>
      </c>
      <c r="C158">
        <v>330421574</v>
      </c>
      <c r="D158" t="s">
        <v>54</v>
      </c>
      <c r="E158" s="202">
        <v>1511.97</v>
      </c>
      <c r="F158">
        <v>1511.97</v>
      </c>
      <c r="J158" s="209">
        <v>45684</v>
      </c>
      <c r="K158" s="209">
        <v>45684</v>
      </c>
      <c r="M158" t="s">
        <v>11</v>
      </c>
      <c r="N158">
        <v>330421574</v>
      </c>
      <c r="O158">
        <v>170288</v>
      </c>
      <c r="Q158" t="s">
        <v>606</v>
      </c>
      <c r="R158">
        <v>170288</v>
      </c>
    </row>
    <row r="159" spans="2:18">
      <c r="B159" t="s">
        <v>11</v>
      </c>
      <c r="C159">
        <v>330421575</v>
      </c>
      <c r="D159" t="s">
        <v>54</v>
      </c>
      <c r="E159" s="202">
        <v>1207.72</v>
      </c>
      <c r="F159">
        <v>1207.72</v>
      </c>
      <c r="J159" s="209">
        <v>45684</v>
      </c>
      <c r="K159" s="209">
        <v>45684</v>
      </c>
      <c r="M159" t="s">
        <v>11</v>
      </c>
      <c r="N159">
        <v>330421575</v>
      </c>
      <c r="O159">
        <v>170288</v>
      </c>
      <c r="Q159" t="s">
        <v>607</v>
      </c>
      <c r="R159">
        <v>170288</v>
      </c>
    </row>
    <row r="160" spans="2:18">
      <c r="B160" t="s">
        <v>11</v>
      </c>
      <c r="C160">
        <v>330421576</v>
      </c>
      <c r="D160" t="s">
        <v>54</v>
      </c>
      <c r="E160" s="202">
        <v>1493.92</v>
      </c>
      <c r="F160">
        <v>1493.92</v>
      </c>
      <c r="J160" s="209">
        <v>45684</v>
      </c>
      <c r="K160" s="209">
        <v>45684</v>
      </c>
      <c r="M160" t="s">
        <v>11</v>
      </c>
      <c r="N160">
        <v>330421576</v>
      </c>
      <c r="O160">
        <v>170288</v>
      </c>
      <c r="Q160" t="s">
        <v>608</v>
      </c>
      <c r="R160">
        <v>170288</v>
      </c>
    </row>
    <row r="161" spans="2:18">
      <c r="B161" t="s">
        <v>11</v>
      </c>
      <c r="C161">
        <v>330421577</v>
      </c>
      <c r="D161" t="s">
        <v>54</v>
      </c>
      <c r="E161" s="202">
        <v>1672.98</v>
      </c>
      <c r="F161">
        <v>1672.98</v>
      </c>
      <c r="J161" s="209">
        <v>45684</v>
      </c>
      <c r="K161" s="209">
        <v>45684</v>
      </c>
      <c r="M161" t="s">
        <v>11</v>
      </c>
      <c r="N161">
        <v>330421577</v>
      </c>
      <c r="O161">
        <v>170288</v>
      </c>
      <c r="Q161" t="s">
        <v>430</v>
      </c>
      <c r="R161">
        <v>170288</v>
      </c>
    </row>
    <row r="162" spans="2:18">
      <c r="B162" t="s">
        <v>11</v>
      </c>
      <c r="C162">
        <v>330421578</v>
      </c>
      <c r="D162" t="s">
        <v>54</v>
      </c>
      <c r="E162" s="202">
        <v>1672.98</v>
      </c>
      <c r="F162">
        <v>1672.98</v>
      </c>
      <c r="J162" s="209">
        <v>45684</v>
      </c>
      <c r="K162" s="209">
        <v>45684</v>
      </c>
      <c r="M162" t="s">
        <v>11</v>
      </c>
      <c r="N162">
        <v>330421578</v>
      </c>
      <c r="O162">
        <v>170288</v>
      </c>
      <c r="Q162" t="s">
        <v>286</v>
      </c>
      <c r="R162">
        <v>170288</v>
      </c>
    </row>
    <row r="163" spans="2:18">
      <c r="B163" t="s">
        <v>11</v>
      </c>
      <c r="C163">
        <v>330421579</v>
      </c>
      <c r="D163" t="s">
        <v>54</v>
      </c>
      <c r="E163" s="202">
        <v>1082.6199999999999</v>
      </c>
      <c r="F163">
        <v>1082.6199999999999</v>
      </c>
      <c r="J163" s="209">
        <v>45684</v>
      </c>
      <c r="K163" s="209">
        <v>45684</v>
      </c>
      <c r="M163" t="s">
        <v>11</v>
      </c>
      <c r="N163">
        <v>330421579</v>
      </c>
      <c r="O163">
        <v>170288</v>
      </c>
      <c r="Q163" t="s">
        <v>63</v>
      </c>
      <c r="R163">
        <v>170288</v>
      </c>
    </row>
    <row r="164" spans="2:18">
      <c r="B164" t="s">
        <v>11</v>
      </c>
      <c r="C164">
        <v>330421580</v>
      </c>
      <c r="D164" t="s">
        <v>54</v>
      </c>
      <c r="E164">
        <v>51.86</v>
      </c>
      <c r="F164">
        <v>51.86</v>
      </c>
      <c r="J164" s="209">
        <v>45684</v>
      </c>
      <c r="K164" s="209">
        <v>45684</v>
      </c>
      <c r="M164" t="s">
        <v>11</v>
      </c>
      <c r="N164">
        <v>330421580</v>
      </c>
      <c r="O164">
        <v>170288</v>
      </c>
      <c r="Q164" t="s">
        <v>64</v>
      </c>
      <c r="R164">
        <v>170288</v>
      </c>
    </row>
    <row r="165" spans="2:18">
      <c r="B165" t="s">
        <v>11</v>
      </c>
      <c r="C165">
        <v>330421581</v>
      </c>
      <c r="D165" t="s">
        <v>54</v>
      </c>
      <c r="E165" s="202">
        <v>1207.72</v>
      </c>
      <c r="F165">
        <v>1207.72</v>
      </c>
      <c r="J165" s="209">
        <v>45684</v>
      </c>
      <c r="K165" s="209">
        <v>45684</v>
      </c>
      <c r="M165" t="s">
        <v>11</v>
      </c>
      <c r="N165">
        <v>330421581</v>
      </c>
      <c r="O165">
        <v>170288</v>
      </c>
      <c r="Q165" t="s">
        <v>609</v>
      </c>
      <c r="R165">
        <v>170288</v>
      </c>
    </row>
    <row r="166" spans="2:18">
      <c r="B166" t="s">
        <v>11</v>
      </c>
      <c r="C166">
        <v>330421582</v>
      </c>
      <c r="D166" t="s">
        <v>54</v>
      </c>
      <c r="E166" s="202">
        <v>1761.07</v>
      </c>
      <c r="F166">
        <v>1761.07</v>
      </c>
      <c r="J166" s="209">
        <v>45684</v>
      </c>
      <c r="K166" s="209">
        <v>45684</v>
      </c>
      <c r="M166" t="s">
        <v>11</v>
      </c>
      <c r="N166">
        <v>330421582</v>
      </c>
      <c r="O166">
        <v>170288</v>
      </c>
      <c r="Q166" t="s">
        <v>610</v>
      </c>
      <c r="R166">
        <v>170288</v>
      </c>
    </row>
    <row r="167" spans="2:18">
      <c r="B167" t="s">
        <v>11</v>
      </c>
      <c r="C167">
        <v>330421583</v>
      </c>
      <c r="D167" t="s">
        <v>54</v>
      </c>
      <c r="E167" s="202">
        <v>1255.42</v>
      </c>
      <c r="F167">
        <v>1255.42</v>
      </c>
      <c r="J167" s="209">
        <v>45684</v>
      </c>
      <c r="K167" s="209">
        <v>45684</v>
      </c>
      <c r="M167" t="s">
        <v>11</v>
      </c>
      <c r="N167">
        <v>330421583</v>
      </c>
      <c r="O167">
        <v>170288</v>
      </c>
      <c r="Q167" t="s">
        <v>611</v>
      </c>
      <c r="R167">
        <v>170288</v>
      </c>
    </row>
    <row r="168" spans="2:18">
      <c r="B168" t="s">
        <v>11</v>
      </c>
      <c r="C168">
        <v>330421584</v>
      </c>
      <c r="D168" t="s">
        <v>54</v>
      </c>
      <c r="E168" s="202">
        <v>1398.52</v>
      </c>
      <c r="F168">
        <v>1398.52</v>
      </c>
      <c r="J168" s="209">
        <v>45684</v>
      </c>
      <c r="K168" s="209">
        <v>45684</v>
      </c>
      <c r="M168" t="s">
        <v>11</v>
      </c>
      <c r="N168">
        <v>330421584</v>
      </c>
      <c r="O168">
        <v>170288</v>
      </c>
      <c r="Q168" t="s">
        <v>612</v>
      </c>
      <c r="R168">
        <v>170288</v>
      </c>
    </row>
    <row r="169" spans="2:18">
      <c r="B169" t="s">
        <v>11</v>
      </c>
      <c r="C169">
        <v>330421585</v>
      </c>
      <c r="D169" t="s">
        <v>54</v>
      </c>
      <c r="E169">
        <v>237.29</v>
      </c>
      <c r="F169">
        <v>237.29</v>
      </c>
      <c r="J169" s="209">
        <v>45684</v>
      </c>
      <c r="K169" s="209">
        <v>45684</v>
      </c>
      <c r="M169" t="s">
        <v>11</v>
      </c>
      <c r="N169">
        <v>330421585</v>
      </c>
      <c r="O169">
        <v>170288</v>
      </c>
      <c r="Q169" t="s">
        <v>613</v>
      </c>
      <c r="R169">
        <v>170288</v>
      </c>
    </row>
    <row r="170" spans="2:18">
      <c r="B170" t="s">
        <v>11</v>
      </c>
      <c r="C170">
        <v>330421586</v>
      </c>
      <c r="D170" t="s">
        <v>54</v>
      </c>
      <c r="E170" s="202">
        <v>1493.92</v>
      </c>
      <c r="F170">
        <v>1493.92</v>
      </c>
      <c r="J170" s="209">
        <v>45684</v>
      </c>
      <c r="K170" s="209">
        <v>45684</v>
      </c>
      <c r="M170" t="s">
        <v>11</v>
      </c>
      <c r="N170">
        <v>330421586</v>
      </c>
      <c r="O170">
        <v>170288</v>
      </c>
      <c r="Q170" t="s">
        <v>66</v>
      </c>
      <c r="R170">
        <v>170288</v>
      </c>
    </row>
    <row r="171" spans="2:18">
      <c r="B171" t="s">
        <v>11</v>
      </c>
      <c r="C171">
        <v>330421587</v>
      </c>
      <c r="D171" t="s">
        <v>54</v>
      </c>
      <c r="E171">
        <v>699.26</v>
      </c>
      <c r="F171">
        <v>699.26</v>
      </c>
      <c r="J171" s="209">
        <v>45684</v>
      </c>
      <c r="K171" s="209">
        <v>45684</v>
      </c>
      <c r="M171" t="s">
        <v>11</v>
      </c>
      <c r="N171">
        <v>330421587</v>
      </c>
      <c r="O171">
        <v>170288</v>
      </c>
      <c r="Q171" t="s">
        <v>67</v>
      </c>
      <c r="R171">
        <v>170288</v>
      </c>
    </row>
    <row r="172" spans="2:18">
      <c r="B172" t="s">
        <v>11</v>
      </c>
      <c r="C172">
        <v>330421588</v>
      </c>
      <c r="D172" t="s">
        <v>54</v>
      </c>
      <c r="E172">
        <v>52.35</v>
      </c>
      <c r="F172">
        <v>52.35</v>
      </c>
      <c r="J172" s="209">
        <v>45684</v>
      </c>
      <c r="K172" s="209">
        <v>45684</v>
      </c>
      <c r="M172" t="s">
        <v>11</v>
      </c>
      <c r="N172">
        <v>330421588</v>
      </c>
      <c r="O172">
        <v>170288</v>
      </c>
      <c r="Q172" t="s">
        <v>614</v>
      </c>
      <c r="R172">
        <v>170288</v>
      </c>
    </row>
    <row r="173" spans="2:18">
      <c r="B173" t="s">
        <v>11</v>
      </c>
      <c r="C173">
        <v>330421589</v>
      </c>
      <c r="D173" t="s">
        <v>54</v>
      </c>
      <c r="E173">
        <v>460.8</v>
      </c>
      <c r="F173">
        <v>460.8</v>
      </c>
      <c r="J173" s="209">
        <v>45684</v>
      </c>
      <c r="K173" s="209">
        <v>45684</v>
      </c>
      <c r="M173" t="s">
        <v>11</v>
      </c>
      <c r="N173">
        <v>330421589</v>
      </c>
      <c r="O173">
        <v>170288</v>
      </c>
      <c r="Q173" t="s">
        <v>615</v>
      </c>
      <c r="R173">
        <v>170288</v>
      </c>
    </row>
    <row r="174" spans="2:18">
      <c r="B174" t="s">
        <v>11</v>
      </c>
      <c r="C174">
        <v>330421590</v>
      </c>
      <c r="D174" t="s">
        <v>54</v>
      </c>
      <c r="E174" s="202">
        <v>1565.64</v>
      </c>
      <c r="F174">
        <v>1565.64</v>
      </c>
      <c r="J174" s="209">
        <v>45684</v>
      </c>
      <c r="K174" s="209">
        <v>45684</v>
      </c>
      <c r="M174" t="s">
        <v>11</v>
      </c>
      <c r="N174">
        <v>330421590</v>
      </c>
      <c r="O174">
        <v>170288</v>
      </c>
      <c r="Q174" t="s">
        <v>289</v>
      </c>
      <c r="R174">
        <v>170288</v>
      </c>
    </row>
    <row r="175" spans="2:18">
      <c r="B175" t="s">
        <v>11</v>
      </c>
      <c r="C175">
        <v>330421591</v>
      </c>
      <c r="D175" t="s">
        <v>54</v>
      </c>
      <c r="E175" s="202">
        <v>1672.98</v>
      </c>
      <c r="F175">
        <v>1672.98</v>
      </c>
      <c r="J175" s="209">
        <v>45684</v>
      </c>
      <c r="K175" s="209">
        <v>45684</v>
      </c>
      <c r="M175" t="s">
        <v>11</v>
      </c>
      <c r="N175">
        <v>330421591</v>
      </c>
      <c r="O175">
        <v>170288</v>
      </c>
      <c r="Q175" t="s">
        <v>69</v>
      </c>
      <c r="R175">
        <v>170288</v>
      </c>
    </row>
    <row r="176" spans="2:18">
      <c r="B176" t="s">
        <v>11</v>
      </c>
      <c r="C176">
        <v>330421592</v>
      </c>
      <c r="D176" t="s">
        <v>54</v>
      </c>
      <c r="E176" s="202">
        <v>1351.95</v>
      </c>
      <c r="F176">
        <v>1351.95</v>
      </c>
      <c r="J176" s="209">
        <v>45684</v>
      </c>
      <c r="K176" s="209">
        <v>45684</v>
      </c>
      <c r="M176" t="s">
        <v>11</v>
      </c>
      <c r="N176">
        <v>330421592</v>
      </c>
      <c r="O176">
        <v>170288</v>
      </c>
      <c r="Q176" t="s">
        <v>70</v>
      </c>
      <c r="R176">
        <v>170288</v>
      </c>
    </row>
    <row r="177" spans="2:18">
      <c r="B177" t="s">
        <v>11</v>
      </c>
      <c r="C177">
        <v>330421593</v>
      </c>
      <c r="D177" t="s">
        <v>54</v>
      </c>
      <c r="E177">
        <v>39</v>
      </c>
      <c r="F177">
        <v>39</v>
      </c>
      <c r="J177" s="209">
        <v>45684</v>
      </c>
      <c r="K177" s="209">
        <v>45684</v>
      </c>
      <c r="M177" t="s">
        <v>11</v>
      </c>
      <c r="N177">
        <v>330421593</v>
      </c>
      <c r="O177">
        <v>170288</v>
      </c>
      <c r="Q177" t="s">
        <v>616</v>
      </c>
      <c r="R177">
        <v>170288</v>
      </c>
    </row>
    <row r="178" spans="2:18">
      <c r="B178" t="s">
        <v>11</v>
      </c>
      <c r="C178">
        <v>330421594</v>
      </c>
      <c r="D178" t="s">
        <v>54</v>
      </c>
      <c r="E178">
        <v>782.82</v>
      </c>
      <c r="F178">
        <v>782.82</v>
      </c>
      <c r="J178" s="209">
        <v>45684</v>
      </c>
      <c r="K178" s="209">
        <v>45684</v>
      </c>
      <c r="M178" t="s">
        <v>11</v>
      </c>
      <c r="N178">
        <v>330421594</v>
      </c>
      <c r="O178">
        <v>170288</v>
      </c>
      <c r="Q178" t="s">
        <v>617</v>
      </c>
      <c r="R178">
        <v>170288</v>
      </c>
    </row>
    <row r="179" spans="2:18">
      <c r="B179" t="s">
        <v>11</v>
      </c>
      <c r="C179">
        <v>330421595</v>
      </c>
      <c r="D179" t="s">
        <v>54</v>
      </c>
      <c r="E179" s="202">
        <v>1511.97</v>
      </c>
      <c r="F179">
        <v>1511.97</v>
      </c>
      <c r="J179" s="209">
        <v>45684</v>
      </c>
      <c r="K179" s="209">
        <v>45684</v>
      </c>
      <c r="M179" t="s">
        <v>11</v>
      </c>
      <c r="N179">
        <v>330421595</v>
      </c>
      <c r="O179">
        <v>170288</v>
      </c>
      <c r="Q179" t="s">
        <v>71</v>
      </c>
      <c r="R179">
        <v>170288</v>
      </c>
    </row>
    <row r="180" spans="2:18">
      <c r="B180" t="s">
        <v>11</v>
      </c>
      <c r="C180">
        <v>330421596</v>
      </c>
      <c r="D180" t="s">
        <v>54</v>
      </c>
      <c r="E180" s="202">
        <v>1404.63</v>
      </c>
      <c r="F180">
        <v>1404.63</v>
      </c>
      <c r="J180" s="209">
        <v>45684</v>
      </c>
      <c r="K180" s="209">
        <v>45684</v>
      </c>
      <c r="M180" t="s">
        <v>11</v>
      </c>
      <c r="N180">
        <v>330421596</v>
      </c>
      <c r="O180">
        <v>170288</v>
      </c>
      <c r="Q180" t="s">
        <v>618</v>
      </c>
      <c r="R180">
        <v>170288</v>
      </c>
    </row>
    <row r="181" spans="2:18">
      <c r="B181" t="s">
        <v>11</v>
      </c>
      <c r="C181">
        <v>330421597</v>
      </c>
      <c r="D181" t="s">
        <v>54</v>
      </c>
      <c r="E181" s="202">
        <v>1565.64</v>
      </c>
      <c r="F181">
        <v>1565.64</v>
      </c>
      <c r="J181" s="209">
        <v>45684</v>
      </c>
      <c r="K181" s="209">
        <v>45684</v>
      </c>
      <c r="M181" t="s">
        <v>11</v>
      </c>
      <c r="N181">
        <v>330421597</v>
      </c>
      <c r="O181">
        <v>170288</v>
      </c>
      <c r="Q181" t="s">
        <v>72</v>
      </c>
      <c r="R181">
        <v>170288</v>
      </c>
    </row>
    <row r="182" spans="2:18">
      <c r="B182" t="s">
        <v>11</v>
      </c>
      <c r="C182">
        <v>330421598</v>
      </c>
      <c r="D182" t="s">
        <v>54</v>
      </c>
      <c r="E182" s="202">
        <v>1112.31</v>
      </c>
      <c r="F182">
        <v>1112.31</v>
      </c>
      <c r="J182" s="209">
        <v>45684</v>
      </c>
      <c r="K182" s="209">
        <v>45684</v>
      </c>
      <c r="M182" t="s">
        <v>11</v>
      </c>
      <c r="N182">
        <v>330421598</v>
      </c>
      <c r="O182">
        <v>170288</v>
      </c>
      <c r="Q182" t="s">
        <v>619</v>
      </c>
      <c r="R182">
        <v>170288</v>
      </c>
    </row>
    <row r="183" spans="2:18">
      <c r="B183" t="s">
        <v>11</v>
      </c>
      <c r="C183">
        <v>330421599</v>
      </c>
      <c r="D183" t="s">
        <v>54</v>
      </c>
      <c r="E183">
        <v>782.82</v>
      </c>
      <c r="F183">
        <v>782.82</v>
      </c>
      <c r="J183" s="209">
        <v>45684</v>
      </c>
      <c r="K183" s="209">
        <v>45684</v>
      </c>
      <c r="M183" t="s">
        <v>11</v>
      </c>
      <c r="N183">
        <v>330421599</v>
      </c>
      <c r="O183">
        <v>170288</v>
      </c>
      <c r="Q183" t="s">
        <v>620</v>
      </c>
      <c r="R183">
        <v>170288</v>
      </c>
    </row>
    <row r="184" spans="2:18">
      <c r="B184" t="s">
        <v>11</v>
      </c>
      <c r="C184">
        <v>330421600</v>
      </c>
      <c r="D184" t="s">
        <v>54</v>
      </c>
      <c r="E184" s="202">
        <v>1493.92</v>
      </c>
      <c r="F184">
        <v>1493.92</v>
      </c>
      <c r="J184" s="209">
        <v>45684</v>
      </c>
      <c r="K184" s="209">
        <v>45684</v>
      </c>
      <c r="M184" t="s">
        <v>11</v>
      </c>
      <c r="N184">
        <v>330421600</v>
      </c>
      <c r="O184">
        <v>170288</v>
      </c>
      <c r="Q184" t="s">
        <v>621</v>
      </c>
      <c r="R184">
        <v>170288</v>
      </c>
    </row>
    <row r="185" spans="2:18">
      <c r="B185" t="s">
        <v>11</v>
      </c>
      <c r="C185">
        <v>330421601</v>
      </c>
      <c r="D185" t="s">
        <v>54</v>
      </c>
      <c r="E185" s="202">
        <v>1398.52</v>
      </c>
      <c r="F185">
        <v>1398.52</v>
      </c>
      <c r="J185" s="209">
        <v>45684</v>
      </c>
      <c r="K185" s="209">
        <v>45684</v>
      </c>
      <c r="M185" t="s">
        <v>11</v>
      </c>
      <c r="N185">
        <v>330421601</v>
      </c>
      <c r="O185">
        <v>170288</v>
      </c>
      <c r="Q185" t="s">
        <v>622</v>
      </c>
      <c r="R185">
        <v>170288</v>
      </c>
    </row>
    <row r="186" spans="2:18">
      <c r="B186" t="s">
        <v>11</v>
      </c>
      <c r="C186">
        <v>330421602</v>
      </c>
      <c r="D186" t="s">
        <v>54</v>
      </c>
      <c r="E186" s="202">
        <v>1672.98</v>
      </c>
      <c r="F186">
        <v>1672.98</v>
      </c>
      <c r="J186" s="209">
        <v>45684</v>
      </c>
      <c r="K186" s="209">
        <v>45684</v>
      </c>
      <c r="M186" t="s">
        <v>11</v>
      </c>
      <c r="N186">
        <v>330421602</v>
      </c>
      <c r="O186">
        <v>170288</v>
      </c>
      <c r="Q186" t="s">
        <v>623</v>
      </c>
      <c r="R186">
        <v>170288</v>
      </c>
    </row>
    <row r="187" spans="2:18">
      <c r="B187" t="s">
        <v>11</v>
      </c>
      <c r="C187">
        <v>330421603</v>
      </c>
      <c r="D187" t="s">
        <v>54</v>
      </c>
      <c r="E187" s="202">
        <v>1207.72</v>
      </c>
      <c r="F187">
        <v>1207.72</v>
      </c>
      <c r="J187" s="209">
        <v>45684</v>
      </c>
      <c r="K187" s="209">
        <v>45684</v>
      </c>
      <c r="M187" t="s">
        <v>11</v>
      </c>
      <c r="N187">
        <v>330421603</v>
      </c>
      <c r="O187">
        <v>170288</v>
      </c>
      <c r="Q187" t="s">
        <v>624</v>
      </c>
      <c r="R187">
        <v>170288</v>
      </c>
    </row>
    <row r="188" spans="2:18">
      <c r="B188" t="s">
        <v>11</v>
      </c>
      <c r="C188">
        <v>330421604</v>
      </c>
      <c r="D188" t="s">
        <v>54</v>
      </c>
      <c r="E188">
        <v>699.26</v>
      </c>
      <c r="F188">
        <v>699.26</v>
      </c>
      <c r="J188" s="209">
        <v>45684</v>
      </c>
      <c r="K188" s="209">
        <v>45684</v>
      </c>
      <c r="M188" t="s">
        <v>11</v>
      </c>
      <c r="N188">
        <v>330421604</v>
      </c>
      <c r="O188">
        <v>170288</v>
      </c>
      <c r="Q188" t="s">
        <v>625</v>
      </c>
      <c r="R188">
        <v>170288</v>
      </c>
    </row>
    <row r="189" spans="2:18">
      <c r="B189" t="s">
        <v>11</v>
      </c>
      <c r="C189">
        <v>330421605</v>
      </c>
      <c r="D189" t="s">
        <v>54</v>
      </c>
      <c r="E189" s="202">
        <v>1672.98</v>
      </c>
      <c r="F189">
        <v>1672.98</v>
      </c>
      <c r="J189" s="209">
        <v>45684</v>
      </c>
      <c r="K189" s="209">
        <v>45684</v>
      </c>
      <c r="M189" t="s">
        <v>11</v>
      </c>
      <c r="N189">
        <v>330421605</v>
      </c>
      <c r="O189">
        <v>170288</v>
      </c>
      <c r="Q189" t="s">
        <v>626</v>
      </c>
      <c r="R189">
        <v>170288</v>
      </c>
    </row>
    <row r="190" spans="2:18">
      <c r="B190" t="s">
        <v>11</v>
      </c>
      <c r="C190">
        <v>330421606</v>
      </c>
      <c r="D190" t="s">
        <v>54</v>
      </c>
      <c r="E190">
        <v>782.82</v>
      </c>
      <c r="F190">
        <v>782.82</v>
      </c>
      <c r="J190" s="209">
        <v>45684</v>
      </c>
      <c r="K190" s="209">
        <v>45684</v>
      </c>
      <c r="M190" t="s">
        <v>11</v>
      </c>
      <c r="N190">
        <v>330421606</v>
      </c>
      <c r="O190">
        <v>170288</v>
      </c>
      <c r="Q190" t="s">
        <v>292</v>
      </c>
      <c r="R190">
        <v>170288</v>
      </c>
    </row>
    <row r="191" spans="2:18">
      <c r="B191" t="s">
        <v>11</v>
      </c>
      <c r="C191">
        <v>330421607</v>
      </c>
      <c r="D191" t="s">
        <v>54</v>
      </c>
      <c r="E191" s="202">
        <v>1207.72</v>
      </c>
      <c r="F191">
        <v>1207.72</v>
      </c>
      <c r="J191" s="209">
        <v>45684</v>
      </c>
      <c r="K191" s="209">
        <v>45684</v>
      </c>
      <c r="M191" t="s">
        <v>11</v>
      </c>
      <c r="N191">
        <v>330421607</v>
      </c>
      <c r="O191">
        <v>170288</v>
      </c>
      <c r="Q191" t="s">
        <v>293</v>
      </c>
      <c r="R191">
        <v>170288</v>
      </c>
    </row>
    <row r="192" spans="2:18">
      <c r="B192" t="s">
        <v>11</v>
      </c>
      <c r="C192">
        <v>330421608</v>
      </c>
      <c r="D192" t="s">
        <v>54</v>
      </c>
      <c r="E192" s="202">
        <v>1672.98</v>
      </c>
      <c r="F192">
        <v>1672.98</v>
      </c>
      <c r="J192" s="209">
        <v>45684</v>
      </c>
      <c r="K192" s="209">
        <v>45684</v>
      </c>
      <c r="M192" t="s">
        <v>11</v>
      </c>
      <c r="N192">
        <v>330421608</v>
      </c>
      <c r="O192">
        <v>170288</v>
      </c>
      <c r="Q192" t="s">
        <v>74</v>
      </c>
      <c r="R192">
        <v>170288</v>
      </c>
    </row>
    <row r="193" spans="2:18">
      <c r="B193" t="s">
        <v>11</v>
      </c>
      <c r="C193">
        <v>330421609</v>
      </c>
      <c r="D193" t="s">
        <v>54</v>
      </c>
      <c r="E193" s="202">
        <v>1255.42</v>
      </c>
      <c r="F193">
        <v>1255.42</v>
      </c>
      <c r="J193" s="209">
        <v>45684</v>
      </c>
      <c r="K193" s="209">
        <v>45684</v>
      </c>
      <c r="M193" t="s">
        <v>11</v>
      </c>
      <c r="N193">
        <v>330421609</v>
      </c>
      <c r="O193">
        <v>170288</v>
      </c>
      <c r="Q193" t="s">
        <v>627</v>
      </c>
      <c r="R193">
        <v>170288</v>
      </c>
    </row>
    <row r="194" spans="2:18">
      <c r="B194" t="s">
        <v>11</v>
      </c>
      <c r="C194">
        <v>330421610</v>
      </c>
      <c r="D194" t="s">
        <v>54</v>
      </c>
      <c r="E194" s="202">
        <v>1672.98</v>
      </c>
      <c r="F194">
        <v>1672.98</v>
      </c>
      <c r="J194" s="209">
        <v>45684</v>
      </c>
      <c r="K194" s="209">
        <v>45684</v>
      </c>
      <c r="M194" t="s">
        <v>11</v>
      </c>
      <c r="N194">
        <v>330421610</v>
      </c>
      <c r="O194">
        <v>170288</v>
      </c>
      <c r="Q194" t="s">
        <v>498</v>
      </c>
      <c r="R194">
        <v>170288</v>
      </c>
    </row>
    <row r="195" spans="2:18">
      <c r="B195" t="s">
        <v>11</v>
      </c>
      <c r="C195">
        <v>330421611</v>
      </c>
      <c r="D195" t="s">
        <v>54</v>
      </c>
      <c r="E195" s="202">
        <v>1350.82</v>
      </c>
      <c r="F195">
        <v>1350.82</v>
      </c>
      <c r="J195" s="209">
        <v>45684</v>
      </c>
      <c r="K195" s="209">
        <v>45684</v>
      </c>
      <c r="M195" t="s">
        <v>11</v>
      </c>
      <c r="N195">
        <v>330421611</v>
      </c>
      <c r="O195">
        <v>170288</v>
      </c>
      <c r="Q195" t="s">
        <v>628</v>
      </c>
      <c r="R195">
        <v>170288</v>
      </c>
    </row>
    <row r="196" spans="2:18">
      <c r="B196" t="s">
        <v>11</v>
      </c>
      <c r="C196">
        <v>330421612</v>
      </c>
      <c r="D196" t="s">
        <v>54</v>
      </c>
      <c r="E196" s="202">
        <v>1672.98</v>
      </c>
      <c r="F196">
        <v>1672.98</v>
      </c>
      <c r="J196" s="209">
        <v>45684</v>
      </c>
      <c r="K196" s="209">
        <v>45684</v>
      </c>
      <c r="M196" t="s">
        <v>11</v>
      </c>
      <c r="N196">
        <v>330421612</v>
      </c>
      <c r="O196">
        <v>170288</v>
      </c>
      <c r="Q196" t="s">
        <v>76</v>
      </c>
      <c r="R196">
        <v>170288</v>
      </c>
    </row>
    <row r="197" spans="2:18">
      <c r="B197" t="s">
        <v>11</v>
      </c>
      <c r="C197">
        <v>330421613</v>
      </c>
      <c r="D197" t="s">
        <v>54</v>
      </c>
      <c r="E197" s="202">
        <v>2583.46</v>
      </c>
      <c r="F197">
        <v>2583.46</v>
      </c>
      <c r="J197" s="209">
        <v>45684</v>
      </c>
      <c r="K197" s="209">
        <v>45684</v>
      </c>
      <c r="M197" t="s">
        <v>11</v>
      </c>
      <c r="N197">
        <v>330421613</v>
      </c>
      <c r="O197">
        <v>170288</v>
      </c>
      <c r="Q197" t="s">
        <v>629</v>
      </c>
      <c r="R197">
        <v>170288</v>
      </c>
    </row>
    <row r="198" spans="2:18">
      <c r="B198" t="s">
        <v>11</v>
      </c>
      <c r="C198">
        <v>330421614</v>
      </c>
      <c r="D198" t="s">
        <v>54</v>
      </c>
      <c r="E198" s="202">
        <v>1493.92</v>
      </c>
      <c r="F198">
        <v>1493.92</v>
      </c>
      <c r="J198" s="209">
        <v>45684</v>
      </c>
      <c r="K198" s="209">
        <v>45684</v>
      </c>
      <c r="M198" t="s">
        <v>11</v>
      </c>
      <c r="N198">
        <v>330421614</v>
      </c>
      <c r="O198">
        <v>170288</v>
      </c>
      <c r="Q198" t="s">
        <v>630</v>
      </c>
      <c r="R198">
        <v>170288</v>
      </c>
    </row>
    <row r="199" spans="2:18">
      <c r="B199" t="s">
        <v>11</v>
      </c>
      <c r="C199">
        <v>330421615</v>
      </c>
      <c r="D199" t="s">
        <v>54</v>
      </c>
      <c r="E199" s="202">
        <v>1398.52</v>
      </c>
      <c r="F199">
        <v>1398.52</v>
      </c>
      <c r="J199" s="209">
        <v>45684</v>
      </c>
      <c r="K199" s="209">
        <v>45684</v>
      </c>
      <c r="M199" t="s">
        <v>11</v>
      </c>
      <c r="N199">
        <v>330421615</v>
      </c>
      <c r="O199">
        <v>170288</v>
      </c>
      <c r="Q199" t="s">
        <v>631</v>
      </c>
      <c r="R199">
        <v>170288</v>
      </c>
    </row>
    <row r="200" spans="2:18">
      <c r="B200" t="s">
        <v>11</v>
      </c>
      <c r="C200">
        <v>330421616</v>
      </c>
      <c r="D200" t="s">
        <v>54</v>
      </c>
      <c r="E200" s="202">
        <v>1493.92</v>
      </c>
      <c r="F200">
        <v>1493.92</v>
      </c>
      <c r="J200" s="209">
        <v>45684</v>
      </c>
      <c r="K200" s="209">
        <v>45684</v>
      </c>
      <c r="M200" t="s">
        <v>11</v>
      </c>
      <c r="N200">
        <v>330421616</v>
      </c>
      <c r="O200">
        <v>170288</v>
      </c>
      <c r="Q200" t="s">
        <v>632</v>
      </c>
      <c r="R200">
        <v>170288</v>
      </c>
    </row>
    <row r="201" spans="2:18">
      <c r="B201" t="s">
        <v>11</v>
      </c>
      <c r="C201">
        <v>330421617</v>
      </c>
      <c r="D201" t="s">
        <v>54</v>
      </c>
      <c r="E201" s="202">
        <v>1565.64</v>
      </c>
      <c r="F201">
        <v>1565.64</v>
      </c>
      <c r="J201" s="209">
        <v>45684</v>
      </c>
      <c r="K201" s="209">
        <v>45684</v>
      </c>
      <c r="M201" t="s">
        <v>11</v>
      </c>
      <c r="N201">
        <v>330421617</v>
      </c>
      <c r="O201">
        <v>170288</v>
      </c>
      <c r="Q201" t="s">
        <v>633</v>
      </c>
      <c r="R201">
        <v>170288</v>
      </c>
    </row>
    <row r="202" spans="2:18">
      <c r="B202" t="s">
        <v>11</v>
      </c>
      <c r="C202">
        <v>330421618</v>
      </c>
      <c r="D202" t="s">
        <v>54</v>
      </c>
      <c r="E202">
        <v>969.21</v>
      </c>
      <c r="F202">
        <v>969.21</v>
      </c>
      <c r="J202" s="209">
        <v>45684</v>
      </c>
      <c r="K202" s="209">
        <v>45684</v>
      </c>
      <c r="M202" t="s">
        <v>11</v>
      </c>
      <c r="N202">
        <v>330421618</v>
      </c>
      <c r="O202">
        <v>170288</v>
      </c>
      <c r="Q202" t="s">
        <v>634</v>
      </c>
      <c r="R202">
        <v>170288</v>
      </c>
    </row>
    <row r="203" spans="2:18">
      <c r="B203" t="s">
        <v>11</v>
      </c>
      <c r="C203">
        <v>330421619</v>
      </c>
      <c r="D203" t="s">
        <v>54</v>
      </c>
      <c r="E203" s="202">
        <v>1398.52</v>
      </c>
      <c r="F203">
        <v>1398.52</v>
      </c>
      <c r="J203" s="209">
        <v>45684</v>
      </c>
      <c r="K203" s="209">
        <v>45684</v>
      </c>
      <c r="M203" t="s">
        <v>11</v>
      </c>
      <c r="N203">
        <v>330421619</v>
      </c>
      <c r="O203">
        <v>170288</v>
      </c>
      <c r="Q203" t="s">
        <v>78</v>
      </c>
      <c r="R203">
        <v>170288</v>
      </c>
    </row>
    <row r="204" spans="2:18">
      <c r="B204" t="s">
        <v>11</v>
      </c>
      <c r="C204">
        <v>330421620</v>
      </c>
      <c r="D204" t="s">
        <v>54</v>
      </c>
      <c r="E204" s="202">
        <v>1493.92</v>
      </c>
      <c r="F204">
        <v>1493.92</v>
      </c>
      <c r="J204" s="209">
        <v>45684</v>
      </c>
      <c r="K204" s="209">
        <v>45684</v>
      </c>
      <c r="M204" t="s">
        <v>11</v>
      </c>
      <c r="N204">
        <v>330421620</v>
      </c>
      <c r="O204">
        <v>170288</v>
      </c>
      <c r="Q204" t="s">
        <v>635</v>
      </c>
      <c r="R204">
        <v>170288</v>
      </c>
    </row>
    <row r="205" spans="2:18">
      <c r="B205" t="s">
        <v>11</v>
      </c>
      <c r="C205">
        <v>330421621</v>
      </c>
      <c r="D205" t="s">
        <v>54</v>
      </c>
      <c r="E205" s="202">
        <v>1243.6300000000001</v>
      </c>
      <c r="F205">
        <v>1243.6300000000001</v>
      </c>
      <c r="J205" s="209">
        <v>45684</v>
      </c>
      <c r="K205" s="209">
        <v>45684</v>
      </c>
      <c r="M205" t="s">
        <v>11</v>
      </c>
      <c r="N205">
        <v>330421621</v>
      </c>
      <c r="O205">
        <v>170288</v>
      </c>
      <c r="Q205" t="s">
        <v>636</v>
      </c>
      <c r="R205">
        <v>170288</v>
      </c>
    </row>
    <row r="206" spans="2:18">
      <c r="B206" t="s">
        <v>11</v>
      </c>
      <c r="C206">
        <v>330421622</v>
      </c>
      <c r="D206" t="s">
        <v>54</v>
      </c>
      <c r="E206" s="202">
        <v>1207.72</v>
      </c>
      <c r="F206">
        <v>1207.72</v>
      </c>
      <c r="J206" s="209">
        <v>45684</v>
      </c>
      <c r="K206" s="209">
        <v>45684</v>
      </c>
      <c r="M206" t="s">
        <v>11</v>
      </c>
      <c r="N206">
        <v>330421622</v>
      </c>
      <c r="O206">
        <v>170288</v>
      </c>
      <c r="Q206" t="s">
        <v>637</v>
      </c>
      <c r="R206">
        <v>170288</v>
      </c>
    </row>
    <row r="207" spans="2:18">
      <c r="B207" t="s">
        <v>11</v>
      </c>
      <c r="C207">
        <v>330421623</v>
      </c>
      <c r="D207" t="s">
        <v>54</v>
      </c>
      <c r="E207" s="202">
        <v>1493.92</v>
      </c>
      <c r="F207">
        <v>1493.92</v>
      </c>
      <c r="J207" s="209">
        <v>45684</v>
      </c>
      <c r="K207" s="209">
        <v>45684</v>
      </c>
      <c r="M207" t="s">
        <v>11</v>
      </c>
      <c r="N207">
        <v>330421623</v>
      </c>
      <c r="O207">
        <v>170288</v>
      </c>
      <c r="Q207" t="s">
        <v>501</v>
      </c>
      <c r="R207">
        <v>170288</v>
      </c>
    </row>
    <row r="208" spans="2:18">
      <c r="B208" t="s">
        <v>11</v>
      </c>
      <c r="C208">
        <v>330421624</v>
      </c>
      <c r="D208" t="s">
        <v>54</v>
      </c>
      <c r="E208" s="202">
        <v>1825.89</v>
      </c>
      <c r="F208">
        <v>1825.89</v>
      </c>
      <c r="J208" s="209">
        <v>45684</v>
      </c>
      <c r="K208" s="209">
        <v>45684</v>
      </c>
      <c r="M208" t="s">
        <v>11</v>
      </c>
      <c r="N208">
        <v>330421624</v>
      </c>
      <c r="O208">
        <v>170288</v>
      </c>
      <c r="Q208" t="s">
        <v>638</v>
      </c>
      <c r="R208">
        <v>170288</v>
      </c>
    </row>
    <row r="209" spans="2:18">
      <c r="B209" t="s">
        <v>11</v>
      </c>
      <c r="C209">
        <v>330421625</v>
      </c>
      <c r="D209" t="s">
        <v>54</v>
      </c>
      <c r="E209">
        <v>100</v>
      </c>
      <c r="F209">
        <v>100</v>
      </c>
      <c r="J209" s="209">
        <v>45684</v>
      </c>
      <c r="K209" s="209">
        <v>45684</v>
      </c>
      <c r="M209" t="s">
        <v>11</v>
      </c>
      <c r="N209">
        <v>330421625</v>
      </c>
      <c r="O209">
        <v>170288</v>
      </c>
      <c r="Q209" t="s">
        <v>307</v>
      </c>
      <c r="R209">
        <v>170288</v>
      </c>
    </row>
    <row r="210" spans="2:18">
      <c r="B210" t="s">
        <v>11</v>
      </c>
      <c r="C210">
        <v>330421626</v>
      </c>
      <c r="D210" t="s">
        <v>54</v>
      </c>
      <c r="E210" s="202">
        <v>1350.82</v>
      </c>
      <c r="F210">
        <v>1350.82</v>
      </c>
      <c r="J210" s="209">
        <v>45684</v>
      </c>
      <c r="K210" s="209">
        <v>45684</v>
      </c>
      <c r="M210" t="s">
        <v>11</v>
      </c>
      <c r="N210">
        <v>330421626</v>
      </c>
      <c r="O210">
        <v>170288</v>
      </c>
      <c r="Q210" t="s">
        <v>639</v>
      </c>
      <c r="R210">
        <v>170288</v>
      </c>
    </row>
    <row r="211" spans="2:18">
      <c r="B211" t="s">
        <v>11</v>
      </c>
      <c r="C211">
        <v>330421627</v>
      </c>
      <c r="D211" t="s">
        <v>54</v>
      </c>
      <c r="E211" s="202">
        <v>2514.2600000000002</v>
      </c>
      <c r="F211">
        <v>2514.2600000000002</v>
      </c>
      <c r="J211" s="209">
        <v>45684</v>
      </c>
      <c r="K211" s="209">
        <v>45684</v>
      </c>
      <c r="M211" t="s">
        <v>11</v>
      </c>
      <c r="N211">
        <v>330421627</v>
      </c>
      <c r="O211">
        <v>170288</v>
      </c>
      <c r="Q211" t="s">
        <v>308</v>
      </c>
      <c r="R211">
        <v>170288</v>
      </c>
    </row>
    <row r="212" spans="2:18">
      <c r="B212" t="s">
        <v>11</v>
      </c>
      <c r="C212">
        <v>330421628</v>
      </c>
      <c r="D212" t="s">
        <v>54</v>
      </c>
      <c r="E212" s="202">
        <v>3224.92</v>
      </c>
      <c r="F212">
        <v>3224.92</v>
      </c>
      <c r="J212" s="209">
        <v>45684</v>
      </c>
      <c r="K212" s="209">
        <v>45684</v>
      </c>
      <c r="M212" t="s">
        <v>11</v>
      </c>
      <c r="N212">
        <v>330421628</v>
      </c>
      <c r="O212">
        <v>170288</v>
      </c>
      <c r="Q212" t="s">
        <v>640</v>
      </c>
      <c r="R212">
        <v>170288</v>
      </c>
    </row>
    <row r="213" spans="2:18">
      <c r="B213" t="s">
        <v>11</v>
      </c>
      <c r="C213">
        <v>330421629</v>
      </c>
      <c r="D213" t="s">
        <v>54</v>
      </c>
      <c r="E213" s="202">
        <v>1243.6300000000001</v>
      </c>
      <c r="F213">
        <v>1243.6300000000001</v>
      </c>
      <c r="J213" s="209">
        <v>45684</v>
      </c>
      <c r="K213" s="209">
        <v>45684</v>
      </c>
      <c r="M213" t="s">
        <v>11</v>
      </c>
      <c r="N213">
        <v>330421629</v>
      </c>
      <c r="O213">
        <v>170288</v>
      </c>
      <c r="Q213" t="s">
        <v>641</v>
      </c>
      <c r="R213">
        <v>170288</v>
      </c>
    </row>
    <row r="214" spans="2:18">
      <c r="B214" t="s">
        <v>11</v>
      </c>
      <c r="C214">
        <v>330421630</v>
      </c>
      <c r="D214" t="s">
        <v>54</v>
      </c>
      <c r="E214" s="202">
        <v>1672.98</v>
      </c>
      <c r="F214">
        <v>1672.98</v>
      </c>
      <c r="J214" s="209">
        <v>45684</v>
      </c>
      <c r="K214" s="209">
        <v>45684</v>
      </c>
      <c r="M214" t="s">
        <v>11</v>
      </c>
      <c r="N214">
        <v>330421630</v>
      </c>
      <c r="O214">
        <v>170288</v>
      </c>
      <c r="Q214" t="s">
        <v>642</v>
      </c>
      <c r="R214">
        <v>170288</v>
      </c>
    </row>
    <row r="215" spans="2:18">
      <c r="B215" t="s">
        <v>11</v>
      </c>
      <c r="C215">
        <v>330421631</v>
      </c>
      <c r="D215" t="s">
        <v>54</v>
      </c>
      <c r="E215">
        <v>621.80999999999995</v>
      </c>
      <c r="F215">
        <v>621.80999999999995</v>
      </c>
      <c r="J215" s="209">
        <v>45684</v>
      </c>
      <c r="K215" s="209">
        <v>45684</v>
      </c>
      <c r="M215" t="s">
        <v>11</v>
      </c>
      <c r="N215">
        <v>330421631</v>
      </c>
      <c r="O215">
        <v>170288</v>
      </c>
      <c r="Q215" t="s">
        <v>79</v>
      </c>
      <c r="R215">
        <v>170288</v>
      </c>
    </row>
    <row r="216" spans="2:18">
      <c r="B216" t="s">
        <v>11</v>
      </c>
      <c r="C216">
        <v>330421632</v>
      </c>
      <c r="D216" t="s">
        <v>54</v>
      </c>
      <c r="E216" s="202">
        <v>1082.6199999999999</v>
      </c>
      <c r="F216">
        <v>1082.6199999999999</v>
      </c>
      <c r="J216" s="209">
        <v>45684</v>
      </c>
      <c r="K216" s="209">
        <v>45684</v>
      </c>
      <c r="M216" t="s">
        <v>11</v>
      </c>
      <c r="N216">
        <v>330421632</v>
      </c>
      <c r="O216">
        <v>170288</v>
      </c>
      <c r="Q216" t="s">
        <v>643</v>
      </c>
      <c r="R216">
        <v>170288</v>
      </c>
    </row>
    <row r="217" spans="2:18">
      <c r="B217" t="s">
        <v>11</v>
      </c>
      <c r="C217">
        <v>330421634</v>
      </c>
      <c r="D217" t="s">
        <v>54</v>
      </c>
      <c r="E217" s="202">
        <v>1350.82</v>
      </c>
      <c r="F217">
        <v>1350.82</v>
      </c>
      <c r="J217" s="209">
        <v>45684</v>
      </c>
      <c r="K217" s="209">
        <v>45684</v>
      </c>
      <c r="M217" t="s">
        <v>11</v>
      </c>
      <c r="N217">
        <v>330421634</v>
      </c>
      <c r="O217">
        <v>170288</v>
      </c>
      <c r="Q217" t="s">
        <v>644</v>
      </c>
      <c r="R217">
        <v>170288</v>
      </c>
    </row>
    <row r="218" spans="2:18">
      <c r="B218" t="s">
        <v>11</v>
      </c>
      <c r="C218">
        <v>330421635</v>
      </c>
      <c r="D218" t="s">
        <v>54</v>
      </c>
      <c r="E218" s="202">
        <v>1350.82</v>
      </c>
      <c r="F218">
        <v>1350.82</v>
      </c>
      <c r="J218" s="209">
        <v>45684</v>
      </c>
      <c r="K218" s="209">
        <v>45684</v>
      </c>
      <c r="M218" t="s">
        <v>11</v>
      </c>
      <c r="N218">
        <v>330421635</v>
      </c>
      <c r="O218">
        <v>170288</v>
      </c>
      <c r="Q218" t="s">
        <v>645</v>
      </c>
      <c r="R218">
        <v>170288</v>
      </c>
    </row>
    <row r="219" spans="2:18">
      <c r="B219" t="s">
        <v>11</v>
      </c>
      <c r="C219">
        <v>330421636</v>
      </c>
      <c r="D219" t="s">
        <v>54</v>
      </c>
      <c r="E219" s="202">
        <v>1565.64</v>
      </c>
      <c r="F219">
        <v>1565.64</v>
      </c>
      <c r="J219" s="209">
        <v>45684</v>
      </c>
      <c r="K219" s="209">
        <v>45684</v>
      </c>
      <c r="M219" t="s">
        <v>11</v>
      </c>
      <c r="N219">
        <v>330421636</v>
      </c>
      <c r="O219">
        <v>170288</v>
      </c>
      <c r="Q219" t="s">
        <v>312</v>
      </c>
      <c r="R219">
        <v>170288</v>
      </c>
    </row>
    <row r="220" spans="2:18">
      <c r="B220" t="s">
        <v>11</v>
      </c>
      <c r="C220">
        <v>330421637</v>
      </c>
      <c r="D220" t="s">
        <v>54</v>
      </c>
      <c r="E220">
        <v>229.2</v>
      </c>
      <c r="F220">
        <v>229.2</v>
      </c>
      <c r="J220" s="209">
        <v>45684</v>
      </c>
      <c r="K220" s="209">
        <v>45684</v>
      </c>
      <c r="M220" t="s">
        <v>11</v>
      </c>
      <c r="N220">
        <v>330421637</v>
      </c>
      <c r="O220">
        <v>170288</v>
      </c>
      <c r="Q220" t="s">
        <v>646</v>
      </c>
      <c r="R220">
        <v>170288</v>
      </c>
    </row>
    <row r="221" spans="2:18">
      <c r="B221" t="s">
        <v>11</v>
      </c>
      <c r="C221">
        <v>330421638</v>
      </c>
      <c r="D221" t="s">
        <v>54</v>
      </c>
      <c r="E221" s="202">
        <v>1672.98</v>
      </c>
      <c r="F221">
        <v>1672.98</v>
      </c>
      <c r="J221" s="209">
        <v>45684</v>
      </c>
      <c r="K221" s="209">
        <v>45684</v>
      </c>
      <c r="M221" t="s">
        <v>11</v>
      </c>
      <c r="N221">
        <v>330421638</v>
      </c>
      <c r="O221">
        <v>170288</v>
      </c>
      <c r="Q221" t="s">
        <v>81</v>
      </c>
      <c r="R221">
        <v>170288</v>
      </c>
    </row>
    <row r="222" spans="2:18">
      <c r="B222" t="s">
        <v>11</v>
      </c>
      <c r="C222">
        <v>330421639</v>
      </c>
      <c r="D222" t="s">
        <v>54</v>
      </c>
      <c r="E222" s="202">
        <v>1398.52</v>
      </c>
      <c r="F222">
        <v>1398.52</v>
      </c>
      <c r="J222" s="209">
        <v>45684</v>
      </c>
      <c r="K222" s="209">
        <v>45684</v>
      </c>
      <c r="M222" t="s">
        <v>11</v>
      </c>
      <c r="N222">
        <v>330421639</v>
      </c>
      <c r="O222">
        <v>170288</v>
      </c>
      <c r="Q222" t="s">
        <v>647</v>
      </c>
      <c r="R222">
        <v>170288</v>
      </c>
    </row>
    <row r="223" spans="2:18">
      <c r="B223" t="s">
        <v>11</v>
      </c>
      <c r="C223">
        <v>330421640</v>
      </c>
      <c r="D223" t="s">
        <v>54</v>
      </c>
      <c r="E223">
        <v>17.93</v>
      </c>
      <c r="F223">
        <v>17.93</v>
      </c>
      <c r="J223" s="209">
        <v>45684</v>
      </c>
      <c r="K223" s="209">
        <v>45684</v>
      </c>
      <c r="M223" t="s">
        <v>11</v>
      </c>
      <c r="N223">
        <v>330421640</v>
      </c>
      <c r="O223">
        <v>170288</v>
      </c>
      <c r="Q223" t="s">
        <v>82</v>
      </c>
      <c r="R223">
        <v>170288</v>
      </c>
    </row>
    <row r="224" spans="2:18">
      <c r="B224" t="s">
        <v>11</v>
      </c>
      <c r="C224">
        <v>330421641</v>
      </c>
      <c r="D224" t="s">
        <v>54</v>
      </c>
      <c r="E224" s="202">
        <v>1672.98</v>
      </c>
      <c r="F224">
        <v>1672.98</v>
      </c>
      <c r="J224" s="209">
        <v>45684</v>
      </c>
      <c r="K224" s="209">
        <v>45684</v>
      </c>
      <c r="M224" t="s">
        <v>11</v>
      </c>
      <c r="N224">
        <v>330421641</v>
      </c>
      <c r="O224">
        <v>170288</v>
      </c>
      <c r="Q224" t="s">
        <v>648</v>
      </c>
      <c r="R224">
        <v>170288</v>
      </c>
    </row>
    <row r="225" spans="2:18">
      <c r="B225" t="s">
        <v>11</v>
      </c>
      <c r="C225">
        <v>330421642</v>
      </c>
      <c r="D225" t="s">
        <v>54</v>
      </c>
      <c r="E225">
        <v>460.76</v>
      </c>
      <c r="F225">
        <v>460.76</v>
      </c>
      <c r="J225" s="209">
        <v>45684</v>
      </c>
      <c r="K225" s="209">
        <v>45684</v>
      </c>
      <c r="M225" t="s">
        <v>11</v>
      </c>
      <c r="N225">
        <v>330421642</v>
      </c>
      <c r="O225">
        <v>170288</v>
      </c>
      <c r="Q225" t="s">
        <v>649</v>
      </c>
      <c r="R225">
        <v>170288</v>
      </c>
    </row>
    <row r="226" spans="2:18">
      <c r="B226" t="s">
        <v>11</v>
      </c>
      <c r="C226">
        <v>330421643</v>
      </c>
      <c r="D226" t="s">
        <v>54</v>
      </c>
      <c r="E226" s="202">
        <v>1398.52</v>
      </c>
      <c r="F226">
        <v>1398.52</v>
      </c>
      <c r="J226" s="209">
        <v>45684</v>
      </c>
      <c r="K226" s="209">
        <v>45684</v>
      </c>
      <c r="M226" t="s">
        <v>11</v>
      </c>
      <c r="N226">
        <v>330421643</v>
      </c>
      <c r="O226">
        <v>170288</v>
      </c>
      <c r="Q226" t="s">
        <v>650</v>
      </c>
      <c r="R226">
        <v>170288</v>
      </c>
    </row>
    <row r="227" spans="2:18">
      <c r="B227" t="s">
        <v>11</v>
      </c>
      <c r="C227">
        <v>330421644</v>
      </c>
      <c r="D227" t="s">
        <v>54</v>
      </c>
      <c r="E227" s="202">
        <v>1565.64</v>
      </c>
      <c r="F227">
        <v>1565.64</v>
      </c>
      <c r="J227" s="209">
        <v>45684</v>
      </c>
      <c r="K227" s="209">
        <v>45684</v>
      </c>
      <c r="M227" t="s">
        <v>11</v>
      </c>
      <c r="N227">
        <v>330421644</v>
      </c>
      <c r="O227">
        <v>170288</v>
      </c>
      <c r="Q227" t="s">
        <v>651</v>
      </c>
      <c r="R227">
        <v>170288</v>
      </c>
    </row>
    <row r="228" spans="2:18">
      <c r="B228" t="s">
        <v>11</v>
      </c>
      <c r="C228">
        <v>330421645</v>
      </c>
      <c r="D228" t="s">
        <v>54</v>
      </c>
      <c r="E228">
        <v>699.26</v>
      </c>
      <c r="F228">
        <v>699.26</v>
      </c>
      <c r="J228" s="209">
        <v>45684</v>
      </c>
      <c r="K228" s="209">
        <v>45684</v>
      </c>
      <c r="M228" t="s">
        <v>11</v>
      </c>
      <c r="N228">
        <v>330421645</v>
      </c>
      <c r="O228">
        <v>170288</v>
      </c>
      <c r="Q228" t="s">
        <v>313</v>
      </c>
      <c r="R228">
        <v>170288</v>
      </c>
    </row>
    <row r="229" spans="2:18">
      <c r="B229" t="s">
        <v>11</v>
      </c>
      <c r="C229">
        <v>330421646</v>
      </c>
      <c r="D229" t="s">
        <v>54</v>
      </c>
      <c r="E229">
        <v>60.01</v>
      </c>
      <c r="F229">
        <v>60.01</v>
      </c>
      <c r="J229" s="209">
        <v>45684</v>
      </c>
      <c r="K229" s="209">
        <v>45684</v>
      </c>
      <c r="M229" t="s">
        <v>11</v>
      </c>
      <c r="N229">
        <v>330421646</v>
      </c>
      <c r="O229">
        <v>170288</v>
      </c>
      <c r="Q229" t="s">
        <v>652</v>
      </c>
      <c r="R229">
        <v>170288</v>
      </c>
    </row>
    <row r="230" spans="2:18">
      <c r="B230" t="s">
        <v>11</v>
      </c>
      <c r="C230">
        <v>330421647</v>
      </c>
      <c r="D230" t="s">
        <v>54</v>
      </c>
      <c r="E230" s="202">
        <v>1672.98</v>
      </c>
      <c r="F230">
        <v>1672.98</v>
      </c>
      <c r="J230" s="209">
        <v>45684</v>
      </c>
      <c r="K230" s="209">
        <v>45684</v>
      </c>
      <c r="M230" t="s">
        <v>11</v>
      </c>
      <c r="N230">
        <v>330421647</v>
      </c>
      <c r="O230">
        <v>170288</v>
      </c>
      <c r="Q230" t="s">
        <v>314</v>
      </c>
      <c r="R230">
        <v>170288</v>
      </c>
    </row>
    <row r="231" spans="2:18">
      <c r="B231" t="s">
        <v>11</v>
      </c>
      <c r="C231">
        <v>330421648</v>
      </c>
      <c r="D231" t="s">
        <v>54</v>
      </c>
      <c r="E231" s="202">
        <v>1493.92</v>
      </c>
      <c r="F231">
        <v>1493.92</v>
      </c>
      <c r="J231" s="209">
        <v>45684</v>
      </c>
      <c r="K231" s="209">
        <v>45684</v>
      </c>
      <c r="M231" t="s">
        <v>11</v>
      </c>
      <c r="N231">
        <v>330421648</v>
      </c>
      <c r="O231">
        <v>170288</v>
      </c>
      <c r="Q231" t="s">
        <v>83</v>
      </c>
      <c r="R231">
        <v>170288</v>
      </c>
    </row>
    <row r="232" spans="2:18">
      <c r="B232" t="s">
        <v>11</v>
      </c>
      <c r="C232">
        <v>330421649</v>
      </c>
      <c r="D232" t="s">
        <v>54</v>
      </c>
      <c r="E232" s="202">
        <v>1350.82</v>
      </c>
      <c r="F232">
        <v>1350.82</v>
      </c>
      <c r="J232" s="209">
        <v>45684</v>
      </c>
      <c r="K232" s="209">
        <v>45684</v>
      </c>
      <c r="M232" t="s">
        <v>11</v>
      </c>
      <c r="N232">
        <v>330421649</v>
      </c>
      <c r="O232">
        <v>170288</v>
      </c>
      <c r="Q232" t="s">
        <v>653</v>
      </c>
      <c r="R232">
        <v>170288</v>
      </c>
    </row>
    <row r="233" spans="2:18">
      <c r="B233" t="s">
        <v>11</v>
      </c>
      <c r="C233">
        <v>330421650</v>
      </c>
      <c r="D233" t="s">
        <v>54</v>
      </c>
      <c r="E233" s="202">
        <v>1842.49</v>
      </c>
      <c r="F233">
        <v>1842.49</v>
      </c>
      <c r="J233" s="209">
        <v>45684</v>
      </c>
      <c r="K233" s="209">
        <v>45684</v>
      </c>
      <c r="M233" t="s">
        <v>11</v>
      </c>
      <c r="N233">
        <v>330421650</v>
      </c>
      <c r="O233">
        <v>170288</v>
      </c>
      <c r="Q233" t="s">
        <v>654</v>
      </c>
      <c r="R233">
        <v>170288</v>
      </c>
    </row>
    <row r="234" spans="2:18">
      <c r="B234" t="s">
        <v>11</v>
      </c>
      <c r="C234">
        <v>330421651</v>
      </c>
      <c r="D234" t="s">
        <v>54</v>
      </c>
      <c r="E234" s="202">
        <v>1672.98</v>
      </c>
      <c r="F234">
        <v>1672.98</v>
      </c>
      <c r="J234" s="209">
        <v>45684</v>
      </c>
      <c r="K234" s="209">
        <v>45684</v>
      </c>
      <c r="M234" t="s">
        <v>11</v>
      </c>
      <c r="N234">
        <v>330421651</v>
      </c>
      <c r="O234">
        <v>170288</v>
      </c>
      <c r="Q234" t="s">
        <v>655</v>
      </c>
      <c r="R234">
        <v>170288</v>
      </c>
    </row>
    <row r="235" spans="2:18">
      <c r="B235" t="s">
        <v>11</v>
      </c>
      <c r="C235">
        <v>330421652</v>
      </c>
      <c r="D235" t="s">
        <v>54</v>
      </c>
      <c r="E235" s="202">
        <v>1350.82</v>
      </c>
      <c r="F235">
        <v>1350.82</v>
      </c>
      <c r="J235" s="209">
        <v>45684</v>
      </c>
      <c r="K235" s="209">
        <v>45684</v>
      </c>
      <c r="M235" t="s">
        <v>11</v>
      </c>
      <c r="N235">
        <v>330421652</v>
      </c>
      <c r="O235">
        <v>170288</v>
      </c>
      <c r="Q235" t="s">
        <v>317</v>
      </c>
      <c r="R235">
        <v>170288</v>
      </c>
    </row>
    <row r="236" spans="2:18">
      <c r="B236" t="s">
        <v>11</v>
      </c>
      <c r="C236">
        <v>330421653</v>
      </c>
      <c r="D236" t="s">
        <v>54</v>
      </c>
      <c r="E236" s="202">
        <v>1064.6099999999999</v>
      </c>
      <c r="F236">
        <v>1064.6099999999999</v>
      </c>
      <c r="J236" s="209">
        <v>45684</v>
      </c>
      <c r="K236" s="209">
        <v>45684</v>
      </c>
      <c r="M236" t="s">
        <v>11</v>
      </c>
      <c r="N236">
        <v>330421653</v>
      </c>
      <c r="O236">
        <v>170288</v>
      </c>
      <c r="Q236" t="s">
        <v>656</v>
      </c>
      <c r="R236">
        <v>170288</v>
      </c>
    </row>
    <row r="237" spans="2:18">
      <c r="B237" t="s">
        <v>11</v>
      </c>
      <c r="C237">
        <v>330421654</v>
      </c>
      <c r="D237" t="s">
        <v>54</v>
      </c>
      <c r="E237" s="202">
        <v>1672.98</v>
      </c>
      <c r="F237">
        <v>1672.98</v>
      </c>
      <c r="J237" s="209">
        <v>45684</v>
      </c>
      <c r="K237" s="209">
        <v>45684</v>
      </c>
      <c r="M237" t="s">
        <v>11</v>
      </c>
      <c r="N237">
        <v>330421654</v>
      </c>
      <c r="O237">
        <v>170288</v>
      </c>
      <c r="Q237" t="s">
        <v>657</v>
      </c>
      <c r="R237">
        <v>170288</v>
      </c>
    </row>
    <row r="238" spans="2:18">
      <c r="B238" t="s">
        <v>11</v>
      </c>
      <c r="C238">
        <v>330421655</v>
      </c>
      <c r="D238" t="s">
        <v>54</v>
      </c>
      <c r="E238" s="202">
        <v>1064.6099999999999</v>
      </c>
      <c r="F238">
        <v>1064.6099999999999</v>
      </c>
      <c r="J238" s="209">
        <v>45684</v>
      </c>
      <c r="K238" s="209">
        <v>45684</v>
      </c>
      <c r="M238" t="s">
        <v>11</v>
      </c>
      <c r="N238">
        <v>330421655</v>
      </c>
      <c r="O238">
        <v>170288</v>
      </c>
      <c r="Q238" t="s">
        <v>658</v>
      </c>
      <c r="R238">
        <v>170288</v>
      </c>
    </row>
    <row r="239" spans="2:18">
      <c r="B239" t="s">
        <v>11</v>
      </c>
      <c r="C239">
        <v>330421656</v>
      </c>
      <c r="D239" t="s">
        <v>54</v>
      </c>
      <c r="E239" s="202">
        <v>1543.92</v>
      </c>
      <c r="F239">
        <v>1543.92</v>
      </c>
      <c r="J239" s="209">
        <v>45684</v>
      </c>
      <c r="K239" s="209">
        <v>45684</v>
      </c>
      <c r="M239" t="s">
        <v>11</v>
      </c>
      <c r="N239">
        <v>330421656</v>
      </c>
      <c r="O239">
        <v>170288</v>
      </c>
      <c r="Q239" t="s">
        <v>659</v>
      </c>
      <c r="R239">
        <v>170288</v>
      </c>
    </row>
    <row r="240" spans="2:18">
      <c r="B240" t="s">
        <v>11</v>
      </c>
      <c r="C240">
        <v>330421657</v>
      </c>
      <c r="D240" t="s">
        <v>54</v>
      </c>
      <c r="E240">
        <v>921.61</v>
      </c>
      <c r="F240">
        <v>921.61</v>
      </c>
      <c r="J240" s="209">
        <v>45684</v>
      </c>
      <c r="K240" s="209">
        <v>45684</v>
      </c>
      <c r="M240" t="s">
        <v>11</v>
      </c>
      <c r="N240">
        <v>330421657</v>
      </c>
      <c r="O240">
        <v>170288</v>
      </c>
      <c r="Q240" t="s">
        <v>319</v>
      </c>
      <c r="R240">
        <v>170288</v>
      </c>
    </row>
    <row r="241" spans="2:18">
      <c r="B241" t="s">
        <v>11</v>
      </c>
      <c r="C241">
        <v>330421658</v>
      </c>
      <c r="D241" t="s">
        <v>54</v>
      </c>
      <c r="E241" s="202">
        <v>1493.92</v>
      </c>
      <c r="F241">
        <v>1493.92</v>
      </c>
      <c r="J241" s="209">
        <v>45684</v>
      </c>
      <c r="K241" s="209">
        <v>45684</v>
      </c>
      <c r="M241" t="s">
        <v>11</v>
      </c>
      <c r="N241">
        <v>330421658</v>
      </c>
      <c r="O241">
        <v>170288</v>
      </c>
      <c r="Q241" t="s">
        <v>660</v>
      </c>
      <c r="R241">
        <v>170288</v>
      </c>
    </row>
    <row r="242" spans="2:18">
      <c r="B242" t="s">
        <v>11</v>
      </c>
      <c r="C242">
        <v>330421659</v>
      </c>
      <c r="D242" t="s">
        <v>54</v>
      </c>
      <c r="E242" s="202">
        <v>1189.96</v>
      </c>
      <c r="F242">
        <v>1189.96</v>
      </c>
      <c r="J242" s="209">
        <v>45684</v>
      </c>
      <c r="K242" s="209">
        <v>45684</v>
      </c>
      <c r="M242" t="s">
        <v>11</v>
      </c>
      <c r="N242">
        <v>330421659</v>
      </c>
      <c r="O242">
        <v>170288</v>
      </c>
      <c r="Q242" t="s">
        <v>661</v>
      </c>
      <c r="R242">
        <v>170288</v>
      </c>
    </row>
    <row r="243" spans="2:18">
      <c r="B243" t="s">
        <v>11</v>
      </c>
      <c r="C243">
        <v>330421660</v>
      </c>
      <c r="D243" t="s">
        <v>54</v>
      </c>
      <c r="E243" s="202">
        <v>1493.92</v>
      </c>
      <c r="F243">
        <v>1493.92</v>
      </c>
      <c r="J243" s="209">
        <v>45684</v>
      </c>
      <c r="K243" s="209">
        <v>45684</v>
      </c>
      <c r="M243" t="s">
        <v>11</v>
      </c>
      <c r="N243">
        <v>330421660</v>
      </c>
      <c r="O243">
        <v>170288</v>
      </c>
      <c r="Q243" t="s">
        <v>662</v>
      </c>
      <c r="R243">
        <v>170288</v>
      </c>
    </row>
    <row r="244" spans="2:18">
      <c r="B244" t="s">
        <v>11</v>
      </c>
      <c r="C244">
        <v>330421661</v>
      </c>
      <c r="D244" t="s">
        <v>54</v>
      </c>
      <c r="E244" s="202">
        <v>1255.42</v>
      </c>
      <c r="F244">
        <v>1255.42</v>
      </c>
      <c r="J244" s="209">
        <v>45684</v>
      </c>
      <c r="K244" s="209">
        <v>45684</v>
      </c>
      <c r="M244" t="s">
        <v>11</v>
      </c>
      <c r="N244">
        <v>330421661</v>
      </c>
      <c r="O244">
        <v>170288</v>
      </c>
      <c r="Q244" t="s">
        <v>436</v>
      </c>
      <c r="R244">
        <v>170288</v>
      </c>
    </row>
    <row r="245" spans="2:18">
      <c r="B245" t="s">
        <v>11</v>
      </c>
      <c r="C245">
        <v>330421662</v>
      </c>
      <c r="D245" t="s">
        <v>54</v>
      </c>
      <c r="E245">
        <v>460.76</v>
      </c>
      <c r="F245">
        <v>460.76</v>
      </c>
      <c r="J245" s="209">
        <v>45684</v>
      </c>
      <c r="K245" s="209">
        <v>45684</v>
      </c>
      <c r="M245" t="s">
        <v>11</v>
      </c>
      <c r="N245">
        <v>330421662</v>
      </c>
      <c r="O245">
        <v>170288</v>
      </c>
      <c r="Q245" t="s">
        <v>663</v>
      </c>
      <c r="R245">
        <v>170288</v>
      </c>
    </row>
    <row r="246" spans="2:18">
      <c r="B246" t="s">
        <v>11</v>
      </c>
      <c r="C246">
        <v>330421663</v>
      </c>
      <c r="D246" t="s">
        <v>54</v>
      </c>
      <c r="E246">
        <v>826.11</v>
      </c>
      <c r="F246">
        <v>826.11</v>
      </c>
      <c r="J246" s="209">
        <v>45684</v>
      </c>
      <c r="K246" s="209">
        <v>45684</v>
      </c>
      <c r="M246" t="s">
        <v>11</v>
      </c>
      <c r="N246">
        <v>330421663</v>
      </c>
      <c r="O246">
        <v>170288</v>
      </c>
      <c r="Q246" t="s">
        <v>664</v>
      </c>
      <c r="R246">
        <v>170288</v>
      </c>
    </row>
    <row r="247" spans="2:18">
      <c r="B247" t="s">
        <v>11</v>
      </c>
      <c r="C247">
        <v>330421664</v>
      </c>
      <c r="D247" t="s">
        <v>54</v>
      </c>
      <c r="E247" s="202">
        <v>1511.97</v>
      </c>
      <c r="F247">
        <v>1511.97</v>
      </c>
      <c r="J247" s="209">
        <v>45684</v>
      </c>
      <c r="K247" s="209">
        <v>45684</v>
      </c>
      <c r="M247" t="s">
        <v>11</v>
      </c>
      <c r="N247">
        <v>330421664</v>
      </c>
      <c r="O247">
        <v>170288</v>
      </c>
      <c r="Q247" t="s">
        <v>665</v>
      </c>
      <c r="R247">
        <v>170288</v>
      </c>
    </row>
    <row r="248" spans="2:18">
      <c r="B248" t="s">
        <v>11</v>
      </c>
      <c r="C248">
        <v>330421665</v>
      </c>
      <c r="D248" t="s">
        <v>54</v>
      </c>
      <c r="E248" s="202">
        <v>1493.92</v>
      </c>
      <c r="F248">
        <v>1493.92</v>
      </c>
      <c r="J248" s="209">
        <v>45684</v>
      </c>
      <c r="K248" s="209">
        <v>45684</v>
      </c>
      <c r="M248" t="s">
        <v>11</v>
      </c>
      <c r="N248">
        <v>330421665</v>
      </c>
      <c r="O248">
        <v>170288</v>
      </c>
      <c r="Q248" t="s">
        <v>322</v>
      </c>
      <c r="R248">
        <v>170288</v>
      </c>
    </row>
    <row r="249" spans="2:18">
      <c r="B249" t="s">
        <v>11</v>
      </c>
      <c r="C249">
        <v>330421666</v>
      </c>
      <c r="D249" t="s">
        <v>54</v>
      </c>
      <c r="E249" s="202">
        <v>1672.98</v>
      </c>
      <c r="F249">
        <v>1672.98</v>
      </c>
      <c r="J249" s="209">
        <v>45684</v>
      </c>
      <c r="K249" s="209">
        <v>45684</v>
      </c>
      <c r="M249" t="s">
        <v>11</v>
      </c>
      <c r="N249">
        <v>330421666</v>
      </c>
      <c r="O249">
        <v>170288</v>
      </c>
      <c r="Q249" t="s">
        <v>666</v>
      </c>
      <c r="R249">
        <v>170288</v>
      </c>
    </row>
    <row r="250" spans="2:18">
      <c r="B250" t="s">
        <v>11</v>
      </c>
      <c r="C250">
        <v>330421667</v>
      </c>
      <c r="D250" t="s">
        <v>54</v>
      </c>
      <c r="E250" s="202">
        <v>1493.92</v>
      </c>
      <c r="F250">
        <v>1493.92</v>
      </c>
      <c r="J250" s="209">
        <v>45684</v>
      </c>
      <c r="K250" s="209">
        <v>45684</v>
      </c>
      <c r="M250" t="s">
        <v>11</v>
      </c>
      <c r="N250">
        <v>330421667</v>
      </c>
      <c r="O250">
        <v>170288</v>
      </c>
      <c r="Q250" t="s">
        <v>667</v>
      </c>
      <c r="R250">
        <v>170288</v>
      </c>
    </row>
    <row r="251" spans="2:18">
      <c r="B251" t="s">
        <v>11</v>
      </c>
      <c r="C251">
        <v>330421668</v>
      </c>
      <c r="D251" t="s">
        <v>54</v>
      </c>
      <c r="E251" s="202">
        <v>1565.64</v>
      </c>
      <c r="F251">
        <v>1565.64</v>
      </c>
      <c r="J251" s="209">
        <v>45684</v>
      </c>
      <c r="K251" s="209">
        <v>45684</v>
      </c>
      <c r="M251" t="s">
        <v>11</v>
      </c>
      <c r="N251">
        <v>330421668</v>
      </c>
      <c r="O251">
        <v>170288</v>
      </c>
      <c r="Q251" t="s">
        <v>668</v>
      </c>
      <c r="R251">
        <v>170288</v>
      </c>
    </row>
    <row r="252" spans="2:18">
      <c r="B252" t="s">
        <v>11</v>
      </c>
      <c r="C252">
        <v>330421669</v>
      </c>
      <c r="D252" t="s">
        <v>54</v>
      </c>
      <c r="E252">
        <v>729.15</v>
      </c>
      <c r="F252">
        <v>729.15</v>
      </c>
      <c r="J252" s="209">
        <v>45684</v>
      </c>
      <c r="K252" s="209">
        <v>45684</v>
      </c>
      <c r="M252" t="s">
        <v>11</v>
      </c>
      <c r="N252">
        <v>330421669</v>
      </c>
      <c r="O252">
        <v>170288</v>
      </c>
      <c r="Q252" t="s">
        <v>669</v>
      </c>
      <c r="R252">
        <v>170288</v>
      </c>
    </row>
    <row r="253" spans="2:18">
      <c r="B253" t="s">
        <v>11</v>
      </c>
      <c r="C253">
        <v>330421670</v>
      </c>
      <c r="D253" t="s">
        <v>54</v>
      </c>
      <c r="E253">
        <v>110.84</v>
      </c>
      <c r="F253">
        <v>110.84</v>
      </c>
      <c r="J253" s="209">
        <v>45684</v>
      </c>
      <c r="K253" s="209">
        <v>45684</v>
      </c>
      <c r="M253" t="s">
        <v>11</v>
      </c>
      <c r="N253">
        <v>330421670</v>
      </c>
      <c r="O253">
        <v>170288</v>
      </c>
      <c r="Q253" t="s">
        <v>670</v>
      </c>
      <c r="R253">
        <v>170288</v>
      </c>
    </row>
    <row r="254" spans="2:18">
      <c r="B254" t="s">
        <v>11</v>
      </c>
      <c r="C254">
        <v>330421671</v>
      </c>
      <c r="D254" t="s">
        <v>54</v>
      </c>
      <c r="E254" s="202">
        <v>1511.97</v>
      </c>
      <c r="F254">
        <v>1511.97</v>
      </c>
      <c r="J254" s="209">
        <v>45684</v>
      </c>
      <c r="K254" s="209">
        <v>45684</v>
      </c>
      <c r="M254" t="s">
        <v>11</v>
      </c>
      <c r="N254">
        <v>330421671</v>
      </c>
      <c r="O254">
        <v>170288</v>
      </c>
      <c r="Q254" t="s">
        <v>326</v>
      </c>
      <c r="R254">
        <v>170288</v>
      </c>
    </row>
    <row r="255" spans="2:18">
      <c r="B255" t="s">
        <v>11</v>
      </c>
      <c r="C255">
        <v>330421672</v>
      </c>
      <c r="D255" t="s">
        <v>54</v>
      </c>
      <c r="E255" s="202">
        <v>1350.96</v>
      </c>
      <c r="F255">
        <v>1350.96</v>
      </c>
      <c r="J255" s="209">
        <v>45684</v>
      </c>
      <c r="K255" s="209">
        <v>45684</v>
      </c>
      <c r="M255" t="s">
        <v>11</v>
      </c>
      <c r="N255">
        <v>330421672</v>
      </c>
      <c r="O255">
        <v>170288</v>
      </c>
      <c r="Q255" t="s">
        <v>84</v>
      </c>
      <c r="R255">
        <v>170288</v>
      </c>
    </row>
    <row r="256" spans="2:18">
      <c r="B256" t="s">
        <v>11</v>
      </c>
      <c r="C256">
        <v>330421673</v>
      </c>
      <c r="D256" t="s">
        <v>54</v>
      </c>
      <c r="E256" s="202">
        <v>1672.98</v>
      </c>
      <c r="F256">
        <v>1672.98</v>
      </c>
      <c r="J256" s="209">
        <v>45684</v>
      </c>
      <c r="K256" s="209">
        <v>45684</v>
      </c>
      <c r="M256" t="s">
        <v>11</v>
      </c>
      <c r="N256">
        <v>330421673</v>
      </c>
      <c r="O256">
        <v>170288</v>
      </c>
      <c r="Q256" t="s">
        <v>671</v>
      </c>
      <c r="R256">
        <v>170288</v>
      </c>
    </row>
    <row r="257" spans="2:18">
      <c r="B257" t="s">
        <v>11</v>
      </c>
      <c r="C257">
        <v>330421674</v>
      </c>
      <c r="D257" t="s">
        <v>54</v>
      </c>
      <c r="E257" s="202">
        <v>1672.98</v>
      </c>
      <c r="F257">
        <v>1672.98</v>
      </c>
      <c r="J257" s="209">
        <v>45684</v>
      </c>
      <c r="K257" s="209">
        <v>45684</v>
      </c>
      <c r="M257" t="s">
        <v>11</v>
      </c>
      <c r="N257">
        <v>330421674</v>
      </c>
      <c r="O257">
        <v>170288</v>
      </c>
      <c r="Q257" t="s">
        <v>672</v>
      </c>
      <c r="R257">
        <v>170288</v>
      </c>
    </row>
    <row r="258" spans="2:18">
      <c r="B258" t="s">
        <v>11</v>
      </c>
      <c r="C258">
        <v>330421675</v>
      </c>
      <c r="D258" t="s">
        <v>54</v>
      </c>
      <c r="E258" s="202">
        <v>1207.72</v>
      </c>
      <c r="F258">
        <v>1207.72</v>
      </c>
      <c r="J258" s="209">
        <v>45684</v>
      </c>
      <c r="K258" s="209">
        <v>45684</v>
      </c>
      <c r="M258" t="s">
        <v>11</v>
      </c>
      <c r="N258">
        <v>330421675</v>
      </c>
      <c r="O258">
        <v>170288</v>
      </c>
      <c r="Q258" t="s">
        <v>85</v>
      </c>
      <c r="R258">
        <v>170288</v>
      </c>
    </row>
    <row r="259" spans="2:18">
      <c r="B259" t="s">
        <v>11</v>
      </c>
      <c r="C259">
        <v>330421676</v>
      </c>
      <c r="D259" t="s">
        <v>54</v>
      </c>
      <c r="E259" s="202">
        <v>1493.92</v>
      </c>
      <c r="F259">
        <v>1493.92</v>
      </c>
      <c r="J259" s="209">
        <v>45684</v>
      </c>
      <c r="K259" s="209">
        <v>45684</v>
      </c>
      <c r="M259" t="s">
        <v>11</v>
      </c>
      <c r="N259">
        <v>330421676</v>
      </c>
      <c r="O259">
        <v>170288</v>
      </c>
      <c r="Q259" t="s">
        <v>673</v>
      </c>
      <c r="R259">
        <v>170288</v>
      </c>
    </row>
    <row r="260" spans="2:18">
      <c r="B260" t="s">
        <v>11</v>
      </c>
      <c r="C260">
        <v>330421677</v>
      </c>
      <c r="D260" t="s">
        <v>54</v>
      </c>
      <c r="E260" s="202">
        <v>1398.52</v>
      </c>
      <c r="F260">
        <v>1398.52</v>
      </c>
      <c r="J260" s="209">
        <v>45684</v>
      </c>
      <c r="K260" s="209">
        <v>45684</v>
      </c>
      <c r="M260" t="s">
        <v>11</v>
      </c>
      <c r="N260">
        <v>330421677</v>
      </c>
      <c r="O260">
        <v>170288</v>
      </c>
      <c r="Q260" t="s">
        <v>674</v>
      </c>
      <c r="R260">
        <v>170288</v>
      </c>
    </row>
    <row r="261" spans="2:18">
      <c r="B261" t="s">
        <v>11</v>
      </c>
      <c r="C261">
        <v>330421678</v>
      </c>
      <c r="D261" t="s">
        <v>54</v>
      </c>
      <c r="E261" s="202">
        <v>1493.92</v>
      </c>
      <c r="F261">
        <v>1493.92</v>
      </c>
      <c r="J261" s="209">
        <v>45684</v>
      </c>
      <c r="K261" s="209">
        <v>45684</v>
      </c>
      <c r="M261" t="s">
        <v>11</v>
      </c>
      <c r="N261">
        <v>330421678</v>
      </c>
      <c r="O261">
        <v>170288</v>
      </c>
      <c r="Q261" t="s">
        <v>86</v>
      </c>
      <c r="R261">
        <v>170288</v>
      </c>
    </row>
    <row r="262" spans="2:18">
      <c r="B262" t="s">
        <v>11</v>
      </c>
      <c r="C262">
        <v>330421679</v>
      </c>
      <c r="D262" t="s">
        <v>54</v>
      </c>
      <c r="E262" s="202">
        <v>1398.52</v>
      </c>
      <c r="F262">
        <v>1398.52</v>
      </c>
      <c r="J262" s="209">
        <v>45684</v>
      </c>
      <c r="K262" s="209">
        <v>45684</v>
      </c>
      <c r="M262" t="s">
        <v>11</v>
      </c>
      <c r="N262">
        <v>330421679</v>
      </c>
      <c r="O262">
        <v>170288</v>
      </c>
      <c r="Q262" t="s">
        <v>87</v>
      </c>
      <c r="R262">
        <v>170288</v>
      </c>
    </row>
    <row r="263" spans="2:18">
      <c r="B263" t="s">
        <v>11</v>
      </c>
      <c r="C263">
        <v>330421680</v>
      </c>
      <c r="D263" t="s">
        <v>54</v>
      </c>
      <c r="E263">
        <v>921.61</v>
      </c>
      <c r="F263">
        <v>921.61</v>
      </c>
      <c r="J263" s="209">
        <v>45684</v>
      </c>
      <c r="K263" s="209">
        <v>45684</v>
      </c>
      <c r="M263" t="s">
        <v>11</v>
      </c>
      <c r="N263">
        <v>330421680</v>
      </c>
      <c r="O263">
        <v>170288</v>
      </c>
      <c r="Q263" t="s">
        <v>675</v>
      </c>
      <c r="R263">
        <v>170288</v>
      </c>
    </row>
    <row r="264" spans="2:18">
      <c r="B264" t="s">
        <v>11</v>
      </c>
      <c r="C264">
        <v>330421681</v>
      </c>
      <c r="D264" t="s">
        <v>54</v>
      </c>
      <c r="E264" s="202">
        <v>1398.52</v>
      </c>
      <c r="F264">
        <v>1398.52</v>
      </c>
      <c r="J264" s="209">
        <v>45684</v>
      </c>
      <c r="K264" s="209">
        <v>45684</v>
      </c>
      <c r="M264" t="s">
        <v>11</v>
      </c>
      <c r="N264">
        <v>330421681</v>
      </c>
      <c r="O264">
        <v>170288</v>
      </c>
      <c r="Q264" t="s">
        <v>676</v>
      </c>
      <c r="R264">
        <v>170288</v>
      </c>
    </row>
    <row r="265" spans="2:18">
      <c r="B265" t="s">
        <v>11</v>
      </c>
      <c r="C265">
        <v>330421682</v>
      </c>
      <c r="D265" t="s">
        <v>54</v>
      </c>
      <c r="E265" s="202">
        <v>1398.52</v>
      </c>
      <c r="F265">
        <v>1398.52</v>
      </c>
      <c r="J265" s="209">
        <v>45684</v>
      </c>
      <c r="K265" s="209">
        <v>45684</v>
      </c>
      <c r="M265" t="s">
        <v>11</v>
      </c>
      <c r="N265">
        <v>330421682</v>
      </c>
      <c r="O265">
        <v>170288</v>
      </c>
      <c r="Q265" t="s">
        <v>507</v>
      </c>
      <c r="R265">
        <v>170288</v>
      </c>
    </row>
    <row r="266" spans="2:18">
      <c r="B266" t="s">
        <v>11</v>
      </c>
      <c r="C266">
        <v>330421683</v>
      </c>
      <c r="D266" t="s">
        <v>54</v>
      </c>
      <c r="E266" s="202">
        <v>1493.92</v>
      </c>
      <c r="F266">
        <v>1493.92</v>
      </c>
      <c r="J266" s="209">
        <v>45684</v>
      </c>
      <c r="K266" s="209">
        <v>45684</v>
      </c>
      <c r="M266" t="s">
        <v>11</v>
      </c>
      <c r="N266">
        <v>330421683</v>
      </c>
      <c r="O266">
        <v>170288</v>
      </c>
      <c r="Q266" t="s">
        <v>677</v>
      </c>
      <c r="R266">
        <v>170288</v>
      </c>
    </row>
    <row r="267" spans="2:18">
      <c r="B267" t="s">
        <v>11</v>
      </c>
      <c r="C267">
        <v>330421684</v>
      </c>
      <c r="D267" t="s">
        <v>54</v>
      </c>
      <c r="E267">
        <v>969.21</v>
      </c>
      <c r="F267">
        <v>969.21</v>
      </c>
      <c r="J267" s="209">
        <v>45684</v>
      </c>
      <c r="K267" s="209">
        <v>45684</v>
      </c>
      <c r="M267" t="s">
        <v>11</v>
      </c>
      <c r="N267">
        <v>330421684</v>
      </c>
      <c r="O267">
        <v>170288</v>
      </c>
      <c r="Q267" t="s">
        <v>678</v>
      </c>
      <c r="R267">
        <v>170288</v>
      </c>
    </row>
    <row r="268" spans="2:18">
      <c r="B268" t="s">
        <v>11</v>
      </c>
      <c r="C268">
        <v>330421685</v>
      </c>
      <c r="D268" t="s">
        <v>54</v>
      </c>
      <c r="E268">
        <v>190</v>
      </c>
      <c r="F268">
        <v>190</v>
      </c>
      <c r="J268" s="209">
        <v>45684</v>
      </c>
      <c r="K268" s="209">
        <v>45684</v>
      </c>
      <c r="M268" t="s">
        <v>11</v>
      </c>
      <c r="N268">
        <v>330421685</v>
      </c>
      <c r="O268">
        <v>170288</v>
      </c>
      <c r="Q268" t="s">
        <v>679</v>
      </c>
      <c r="R268">
        <v>170288</v>
      </c>
    </row>
    <row r="269" spans="2:18">
      <c r="B269" t="s">
        <v>11</v>
      </c>
      <c r="C269">
        <v>330421686</v>
      </c>
      <c r="D269" t="s">
        <v>54</v>
      </c>
      <c r="E269" s="202">
        <v>1350.82</v>
      </c>
      <c r="F269">
        <v>1350.82</v>
      </c>
      <c r="J269" s="209">
        <v>45684</v>
      </c>
      <c r="K269" s="209">
        <v>45684</v>
      </c>
      <c r="M269" t="s">
        <v>11</v>
      </c>
      <c r="N269">
        <v>330421686</v>
      </c>
      <c r="O269">
        <v>170288</v>
      </c>
      <c r="Q269" t="s">
        <v>680</v>
      </c>
      <c r="R269">
        <v>170288</v>
      </c>
    </row>
    <row r="270" spans="2:18">
      <c r="B270" t="s">
        <v>11</v>
      </c>
      <c r="C270">
        <v>330421687</v>
      </c>
      <c r="D270" t="s">
        <v>54</v>
      </c>
      <c r="E270">
        <v>514.47</v>
      </c>
      <c r="F270">
        <v>514.47</v>
      </c>
      <c r="J270" s="209">
        <v>45684</v>
      </c>
      <c r="K270" s="209">
        <v>45684</v>
      </c>
      <c r="M270" t="s">
        <v>11</v>
      </c>
      <c r="N270">
        <v>330421687</v>
      </c>
      <c r="O270">
        <v>170288</v>
      </c>
      <c r="Q270" t="s">
        <v>681</v>
      </c>
      <c r="R270">
        <v>170288</v>
      </c>
    </row>
    <row r="271" spans="2:18">
      <c r="B271" t="s">
        <v>11</v>
      </c>
      <c r="C271">
        <v>330421688</v>
      </c>
      <c r="D271" t="s">
        <v>54</v>
      </c>
      <c r="E271" s="202">
        <v>1672.98</v>
      </c>
      <c r="F271">
        <v>1672.98</v>
      </c>
      <c r="J271" s="209">
        <v>45684</v>
      </c>
      <c r="K271" s="209">
        <v>45684</v>
      </c>
      <c r="M271" t="s">
        <v>11</v>
      </c>
      <c r="N271">
        <v>330421688</v>
      </c>
      <c r="O271">
        <v>170288</v>
      </c>
      <c r="Q271" t="s">
        <v>682</v>
      </c>
      <c r="R271">
        <v>170288</v>
      </c>
    </row>
    <row r="272" spans="2:18">
      <c r="B272" t="s">
        <v>11</v>
      </c>
      <c r="C272">
        <v>330421689</v>
      </c>
      <c r="D272" t="s">
        <v>54</v>
      </c>
      <c r="E272" s="202">
        <v>1565.64</v>
      </c>
      <c r="F272">
        <v>1565.64</v>
      </c>
      <c r="J272" s="209">
        <v>45684</v>
      </c>
      <c r="K272" s="209">
        <v>45684</v>
      </c>
      <c r="M272" t="s">
        <v>11</v>
      </c>
      <c r="N272">
        <v>330421689</v>
      </c>
      <c r="O272">
        <v>170288</v>
      </c>
      <c r="Q272" t="s">
        <v>683</v>
      </c>
      <c r="R272">
        <v>170288</v>
      </c>
    </row>
    <row r="273" spans="2:18">
      <c r="B273" t="s">
        <v>11</v>
      </c>
      <c r="C273">
        <v>330421690</v>
      </c>
      <c r="D273" t="s">
        <v>54</v>
      </c>
      <c r="E273" s="202">
        <v>1672.98</v>
      </c>
      <c r="F273">
        <v>1672.98</v>
      </c>
      <c r="J273" s="209">
        <v>45684</v>
      </c>
      <c r="K273" s="209">
        <v>45684</v>
      </c>
      <c r="M273" t="s">
        <v>11</v>
      </c>
      <c r="N273">
        <v>330421690</v>
      </c>
      <c r="O273">
        <v>170288</v>
      </c>
      <c r="Q273" t="s">
        <v>88</v>
      </c>
      <c r="R273">
        <v>170288</v>
      </c>
    </row>
    <row r="274" spans="2:18">
      <c r="B274" t="s">
        <v>11</v>
      </c>
      <c r="C274">
        <v>330421691</v>
      </c>
      <c r="D274" t="s">
        <v>54</v>
      </c>
      <c r="E274">
        <v>82.24</v>
      </c>
      <c r="F274">
        <v>82.24</v>
      </c>
      <c r="J274" s="209">
        <v>45684</v>
      </c>
      <c r="K274" s="209">
        <v>45684</v>
      </c>
      <c r="M274" t="s">
        <v>11</v>
      </c>
      <c r="N274">
        <v>330421691</v>
      </c>
      <c r="O274">
        <v>170288</v>
      </c>
      <c r="Q274" t="s">
        <v>684</v>
      </c>
      <c r="R274">
        <v>170288</v>
      </c>
    </row>
    <row r="275" spans="2:18">
      <c r="B275" t="s">
        <v>11</v>
      </c>
      <c r="C275">
        <v>330421692</v>
      </c>
      <c r="D275" t="s">
        <v>54</v>
      </c>
      <c r="E275" s="202">
        <v>1398.52</v>
      </c>
      <c r="F275">
        <v>1398.52</v>
      </c>
      <c r="J275" s="209">
        <v>45684</v>
      </c>
      <c r="K275" s="209">
        <v>45684</v>
      </c>
      <c r="M275" t="s">
        <v>11</v>
      </c>
      <c r="N275">
        <v>330421692</v>
      </c>
      <c r="O275">
        <v>170288</v>
      </c>
      <c r="Q275" t="s">
        <v>89</v>
      </c>
      <c r="R275">
        <v>170288</v>
      </c>
    </row>
    <row r="276" spans="2:18">
      <c r="B276" t="s">
        <v>11</v>
      </c>
      <c r="C276">
        <v>330421693</v>
      </c>
      <c r="D276" t="s">
        <v>54</v>
      </c>
      <c r="E276" s="202">
        <v>1511.97</v>
      </c>
      <c r="F276">
        <v>1511.97</v>
      </c>
      <c r="J276" s="209">
        <v>45684</v>
      </c>
      <c r="K276" s="209">
        <v>45684</v>
      </c>
      <c r="M276" t="s">
        <v>11</v>
      </c>
      <c r="N276">
        <v>330421693</v>
      </c>
      <c r="O276">
        <v>170288</v>
      </c>
      <c r="Q276" t="s">
        <v>330</v>
      </c>
      <c r="R276">
        <v>170288</v>
      </c>
    </row>
    <row r="277" spans="2:18">
      <c r="B277" t="s">
        <v>11</v>
      </c>
      <c r="C277">
        <v>330421694</v>
      </c>
      <c r="D277" t="s">
        <v>54</v>
      </c>
      <c r="E277" s="202">
        <v>1404.63</v>
      </c>
      <c r="F277">
        <v>1404.63</v>
      </c>
      <c r="J277" s="209">
        <v>45684</v>
      </c>
      <c r="K277" s="209">
        <v>45684</v>
      </c>
      <c r="M277" t="s">
        <v>11</v>
      </c>
      <c r="N277">
        <v>330421694</v>
      </c>
      <c r="O277">
        <v>170288</v>
      </c>
      <c r="Q277" t="s">
        <v>685</v>
      </c>
      <c r="R277">
        <v>170288</v>
      </c>
    </row>
    <row r="278" spans="2:18">
      <c r="B278" t="s">
        <v>11</v>
      </c>
      <c r="C278">
        <v>330421695</v>
      </c>
      <c r="D278" t="s">
        <v>54</v>
      </c>
      <c r="E278" s="202">
        <v>1493.92</v>
      </c>
      <c r="F278">
        <v>1493.92</v>
      </c>
      <c r="J278" s="209">
        <v>45684</v>
      </c>
      <c r="K278" s="209">
        <v>45684</v>
      </c>
      <c r="M278" t="s">
        <v>11</v>
      </c>
      <c r="N278">
        <v>330421695</v>
      </c>
      <c r="O278">
        <v>170288</v>
      </c>
      <c r="Q278" t="s">
        <v>686</v>
      </c>
      <c r="R278">
        <v>170288</v>
      </c>
    </row>
    <row r="279" spans="2:18">
      <c r="B279" t="s">
        <v>11</v>
      </c>
      <c r="C279">
        <v>330421696</v>
      </c>
      <c r="D279" t="s">
        <v>54</v>
      </c>
      <c r="E279" s="202">
        <v>1064.6099999999999</v>
      </c>
      <c r="F279">
        <v>1064.6099999999999</v>
      </c>
      <c r="J279" s="209">
        <v>45684</v>
      </c>
      <c r="K279" s="209">
        <v>45684</v>
      </c>
      <c r="M279" t="s">
        <v>11</v>
      </c>
      <c r="N279">
        <v>330421696</v>
      </c>
      <c r="O279">
        <v>170288</v>
      </c>
      <c r="Q279" t="s">
        <v>687</v>
      </c>
      <c r="R279">
        <v>170288</v>
      </c>
    </row>
    <row r="280" spans="2:18">
      <c r="B280" t="s">
        <v>11</v>
      </c>
      <c r="C280">
        <v>330421697</v>
      </c>
      <c r="D280" t="s">
        <v>54</v>
      </c>
      <c r="E280" s="202">
        <v>1207.72</v>
      </c>
      <c r="F280">
        <v>1207.72</v>
      </c>
      <c r="J280" s="209">
        <v>45684</v>
      </c>
      <c r="K280" s="209">
        <v>45684</v>
      </c>
      <c r="M280" t="s">
        <v>11</v>
      </c>
      <c r="N280">
        <v>330421697</v>
      </c>
      <c r="O280">
        <v>170288</v>
      </c>
      <c r="Q280" t="s">
        <v>688</v>
      </c>
      <c r="R280">
        <v>170288</v>
      </c>
    </row>
    <row r="281" spans="2:18">
      <c r="B281" t="s">
        <v>11</v>
      </c>
      <c r="C281">
        <v>330421698</v>
      </c>
      <c r="D281" t="s">
        <v>54</v>
      </c>
      <c r="E281" s="202">
        <v>1398.52</v>
      </c>
      <c r="F281">
        <v>1398.52</v>
      </c>
      <c r="J281" s="209">
        <v>45684</v>
      </c>
      <c r="K281" s="209">
        <v>45684</v>
      </c>
      <c r="M281" t="s">
        <v>11</v>
      </c>
      <c r="N281">
        <v>330421698</v>
      </c>
      <c r="O281">
        <v>170288</v>
      </c>
      <c r="Q281" t="s">
        <v>689</v>
      </c>
      <c r="R281">
        <v>170288</v>
      </c>
    </row>
    <row r="282" spans="2:18">
      <c r="B282" t="s">
        <v>11</v>
      </c>
      <c r="C282">
        <v>330421699</v>
      </c>
      <c r="D282" t="s">
        <v>54</v>
      </c>
      <c r="E282" s="202">
        <v>1112.31</v>
      </c>
      <c r="F282">
        <v>1112.31</v>
      </c>
      <c r="J282" s="209">
        <v>45684</v>
      </c>
      <c r="K282" s="209">
        <v>45684</v>
      </c>
      <c r="M282" t="s">
        <v>11</v>
      </c>
      <c r="N282">
        <v>330421699</v>
      </c>
      <c r="O282">
        <v>170288</v>
      </c>
      <c r="Q282" t="s">
        <v>331</v>
      </c>
      <c r="R282">
        <v>170288</v>
      </c>
    </row>
    <row r="283" spans="2:18">
      <c r="B283" t="s">
        <v>11</v>
      </c>
      <c r="C283">
        <v>330421700</v>
      </c>
      <c r="D283" t="s">
        <v>54</v>
      </c>
      <c r="E283" s="202">
        <v>1565.64</v>
      </c>
      <c r="F283">
        <v>1565.64</v>
      </c>
      <c r="J283" s="209">
        <v>45684</v>
      </c>
      <c r="K283" s="209">
        <v>45684</v>
      </c>
      <c r="M283" t="s">
        <v>11</v>
      </c>
      <c r="N283">
        <v>330421700</v>
      </c>
      <c r="O283">
        <v>170288</v>
      </c>
      <c r="Q283" t="s">
        <v>690</v>
      </c>
      <c r="R283">
        <v>170288</v>
      </c>
    </row>
    <row r="284" spans="2:18">
      <c r="B284" t="s">
        <v>11</v>
      </c>
      <c r="C284">
        <v>330421701</v>
      </c>
      <c r="D284" t="s">
        <v>54</v>
      </c>
      <c r="E284">
        <v>729.15</v>
      </c>
      <c r="F284">
        <v>729.15</v>
      </c>
      <c r="J284" s="209">
        <v>45684</v>
      </c>
      <c r="K284" s="209">
        <v>45684</v>
      </c>
      <c r="M284" t="s">
        <v>11</v>
      </c>
      <c r="N284">
        <v>330421701</v>
      </c>
      <c r="O284">
        <v>170288</v>
      </c>
      <c r="Q284" t="s">
        <v>691</v>
      </c>
      <c r="R284">
        <v>170288</v>
      </c>
    </row>
    <row r="285" spans="2:18">
      <c r="B285" t="s">
        <v>11</v>
      </c>
      <c r="C285">
        <v>330421702</v>
      </c>
      <c r="D285" t="s">
        <v>54</v>
      </c>
      <c r="E285">
        <v>651.55999999999995</v>
      </c>
      <c r="F285">
        <v>651.55999999999995</v>
      </c>
      <c r="J285" s="209">
        <v>45684</v>
      </c>
      <c r="K285" s="209">
        <v>45684</v>
      </c>
      <c r="M285" t="s">
        <v>11</v>
      </c>
      <c r="N285">
        <v>330421702</v>
      </c>
      <c r="O285">
        <v>170288</v>
      </c>
      <c r="Q285" t="s">
        <v>90</v>
      </c>
      <c r="R285">
        <v>170288</v>
      </c>
    </row>
    <row r="286" spans="2:18">
      <c r="B286" t="s">
        <v>11</v>
      </c>
      <c r="C286">
        <v>330421703</v>
      </c>
      <c r="D286" t="s">
        <v>54</v>
      </c>
      <c r="E286">
        <v>108.1</v>
      </c>
      <c r="F286">
        <v>108.1</v>
      </c>
      <c r="J286" s="209">
        <v>45684</v>
      </c>
      <c r="K286" s="209">
        <v>45684</v>
      </c>
      <c r="M286" t="s">
        <v>11</v>
      </c>
      <c r="N286">
        <v>330421703</v>
      </c>
      <c r="O286">
        <v>170288</v>
      </c>
      <c r="Q286" t="s">
        <v>692</v>
      </c>
      <c r="R286">
        <v>170288</v>
      </c>
    </row>
    <row r="287" spans="2:18">
      <c r="B287" t="s">
        <v>11</v>
      </c>
      <c r="C287">
        <v>330421704</v>
      </c>
      <c r="D287" t="s">
        <v>54</v>
      </c>
      <c r="E287">
        <v>49</v>
      </c>
      <c r="F287">
        <v>49</v>
      </c>
      <c r="J287" s="209">
        <v>45684</v>
      </c>
      <c r="K287" s="209">
        <v>45684</v>
      </c>
      <c r="M287" t="s">
        <v>11</v>
      </c>
      <c r="N287">
        <v>330421704</v>
      </c>
      <c r="O287">
        <v>170288</v>
      </c>
      <c r="Q287" t="s">
        <v>334</v>
      </c>
      <c r="R287">
        <v>170288</v>
      </c>
    </row>
    <row r="288" spans="2:18">
      <c r="B288" t="s">
        <v>11</v>
      </c>
      <c r="C288">
        <v>330421705</v>
      </c>
      <c r="D288" t="s">
        <v>54</v>
      </c>
      <c r="E288" s="202">
        <v>1493.92</v>
      </c>
      <c r="F288">
        <v>1493.92</v>
      </c>
      <c r="J288" s="209">
        <v>45684</v>
      </c>
      <c r="K288" s="209">
        <v>45684</v>
      </c>
      <c r="M288" t="s">
        <v>11</v>
      </c>
      <c r="N288">
        <v>330421705</v>
      </c>
      <c r="O288">
        <v>170288</v>
      </c>
      <c r="Q288" t="s">
        <v>693</v>
      </c>
      <c r="R288">
        <v>170288</v>
      </c>
    </row>
    <row r="289" spans="2:18">
      <c r="B289" t="s">
        <v>11</v>
      </c>
      <c r="C289">
        <v>330421706</v>
      </c>
      <c r="D289" t="s">
        <v>54</v>
      </c>
      <c r="E289" s="202">
        <v>1511.97</v>
      </c>
      <c r="F289">
        <v>1511.97</v>
      </c>
      <c r="J289" s="209">
        <v>45684</v>
      </c>
      <c r="K289" s="209">
        <v>45684</v>
      </c>
      <c r="M289" t="s">
        <v>11</v>
      </c>
      <c r="N289">
        <v>330421706</v>
      </c>
      <c r="O289">
        <v>170288</v>
      </c>
      <c r="Q289" t="s">
        <v>335</v>
      </c>
      <c r="R289">
        <v>170288</v>
      </c>
    </row>
    <row r="290" spans="2:18">
      <c r="B290" t="s">
        <v>11</v>
      </c>
      <c r="C290">
        <v>330421707</v>
      </c>
      <c r="D290" t="s">
        <v>54</v>
      </c>
      <c r="E290" s="202">
        <v>1493.92</v>
      </c>
      <c r="F290">
        <v>1493.92</v>
      </c>
      <c r="J290" s="209">
        <v>45684</v>
      </c>
      <c r="K290" s="209">
        <v>45684</v>
      </c>
      <c r="M290" t="s">
        <v>11</v>
      </c>
      <c r="N290">
        <v>330421707</v>
      </c>
      <c r="O290">
        <v>170288</v>
      </c>
      <c r="Q290" t="s">
        <v>694</v>
      </c>
      <c r="R290">
        <v>170288</v>
      </c>
    </row>
    <row r="291" spans="2:18">
      <c r="B291" t="s">
        <v>11</v>
      </c>
      <c r="C291">
        <v>330421708</v>
      </c>
      <c r="D291" t="s">
        <v>54</v>
      </c>
      <c r="E291">
        <v>621.80999999999995</v>
      </c>
      <c r="F291">
        <v>621.80999999999995</v>
      </c>
      <c r="J291" s="209">
        <v>45684</v>
      </c>
      <c r="K291" s="209">
        <v>45684</v>
      </c>
      <c r="M291" t="s">
        <v>11</v>
      </c>
      <c r="N291">
        <v>330421708</v>
      </c>
      <c r="O291">
        <v>170288</v>
      </c>
      <c r="Q291" t="s">
        <v>695</v>
      </c>
      <c r="R291">
        <v>170288</v>
      </c>
    </row>
    <row r="292" spans="2:18">
      <c r="B292" t="s">
        <v>11</v>
      </c>
      <c r="C292">
        <v>330421709</v>
      </c>
      <c r="D292" t="s">
        <v>54</v>
      </c>
      <c r="E292">
        <v>281.99</v>
      </c>
      <c r="F292">
        <v>281.99</v>
      </c>
      <c r="J292" s="209">
        <v>45684</v>
      </c>
      <c r="K292" s="209">
        <v>45684</v>
      </c>
      <c r="M292" t="s">
        <v>11</v>
      </c>
      <c r="N292">
        <v>330421709</v>
      </c>
      <c r="O292">
        <v>170288</v>
      </c>
      <c r="Q292" t="s">
        <v>696</v>
      </c>
      <c r="R292">
        <v>170288</v>
      </c>
    </row>
    <row r="293" spans="2:18">
      <c r="B293" t="s">
        <v>11</v>
      </c>
      <c r="C293">
        <v>330421710</v>
      </c>
      <c r="D293" t="s">
        <v>54</v>
      </c>
      <c r="E293" s="202">
        <v>1398.52</v>
      </c>
      <c r="F293">
        <v>1398.52</v>
      </c>
      <c r="J293" s="209">
        <v>45684</v>
      </c>
      <c r="K293" s="209">
        <v>45684</v>
      </c>
      <c r="M293" t="s">
        <v>11</v>
      </c>
      <c r="N293">
        <v>330421710</v>
      </c>
      <c r="O293">
        <v>170288</v>
      </c>
      <c r="Q293" t="s">
        <v>91</v>
      </c>
      <c r="R293">
        <v>170288</v>
      </c>
    </row>
    <row r="294" spans="2:18">
      <c r="B294" t="s">
        <v>11</v>
      </c>
      <c r="C294">
        <v>330421711</v>
      </c>
      <c r="D294" t="s">
        <v>54</v>
      </c>
      <c r="E294" s="202">
        <v>1672.98</v>
      </c>
      <c r="F294">
        <v>1672.98</v>
      </c>
      <c r="J294" s="209">
        <v>45684</v>
      </c>
      <c r="K294" s="209">
        <v>45684</v>
      </c>
      <c r="M294" t="s">
        <v>11</v>
      </c>
      <c r="N294">
        <v>330421711</v>
      </c>
      <c r="O294">
        <v>170288</v>
      </c>
      <c r="Q294" t="s">
        <v>697</v>
      </c>
      <c r="R294">
        <v>170288</v>
      </c>
    </row>
    <row r="295" spans="2:18">
      <c r="B295" t="s">
        <v>11</v>
      </c>
      <c r="C295">
        <v>330421712</v>
      </c>
      <c r="D295" t="s">
        <v>54</v>
      </c>
      <c r="E295" s="202">
        <v>1398.52</v>
      </c>
      <c r="F295">
        <v>1398.52</v>
      </c>
      <c r="J295" s="209">
        <v>45684</v>
      </c>
      <c r="K295" s="209">
        <v>45684</v>
      </c>
      <c r="M295" t="s">
        <v>11</v>
      </c>
      <c r="N295">
        <v>330421712</v>
      </c>
      <c r="O295">
        <v>170288</v>
      </c>
      <c r="Q295" t="s">
        <v>698</v>
      </c>
      <c r="R295">
        <v>170288</v>
      </c>
    </row>
    <row r="296" spans="2:18">
      <c r="B296" t="s">
        <v>11</v>
      </c>
      <c r="C296">
        <v>330421713</v>
      </c>
      <c r="D296" t="s">
        <v>54</v>
      </c>
      <c r="E296">
        <v>98</v>
      </c>
      <c r="F296">
        <v>98</v>
      </c>
      <c r="J296" s="209">
        <v>45684</v>
      </c>
      <c r="K296" s="209">
        <v>45684</v>
      </c>
      <c r="M296" t="s">
        <v>11</v>
      </c>
      <c r="N296">
        <v>330421713</v>
      </c>
      <c r="O296">
        <v>170288</v>
      </c>
      <c r="Q296" t="s">
        <v>699</v>
      </c>
      <c r="R296">
        <v>170288</v>
      </c>
    </row>
    <row r="297" spans="2:18">
      <c r="B297" t="s">
        <v>11</v>
      </c>
      <c r="C297">
        <v>330421714</v>
      </c>
      <c r="D297" t="s">
        <v>54</v>
      </c>
      <c r="E297" s="202">
        <v>1672.98</v>
      </c>
      <c r="F297">
        <v>1672.98</v>
      </c>
      <c r="J297" s="209">
        <v>45684</v>
      </c>
      <c r="K297" s="209">
        <v>45684</v>
      </c>
      <c r="M297" t="s">
        <v>11</v>
      </c>
      <c r="N297">
        <v>330421714</v>
      </c>
      <c r="O297">
        <v>170288</v>
      </c>
      <c r="Q297" t="s">
        <v>700</v>
      </c>
      <c r="R297">
        <v>170288</v>
      </c>
    </row>
    <row r="298" spans="2:18">
      <c r="B298" t="s">
        <v>11</v>
      </c>
      <c r="C298">
        <v>330421715</v>
      </c>
      <c r="D298" t="s">
        <v>54</v>
      </c>
      <c r="E298" s="202">
        <v>1493.92</v>
      </c>
      <c r="F298">
        <v>1493.92</v>
      </c>
      <c r="J298" s="209">
        <v>45684</v>
      </c>
      <c r="K298" s="209">
        <v>45684</v>
      </c>
      <c r="M298" t="s">
        <v>11</v>
      </c>
      <c r="N298">
        <v>330421715</v>
      </c>
      <c r="O298">
        <v>170288</v>
      </c>
      <c r="Q298" t="s">
        <v>701</v>
      </c>
      <c r="R298">
        <v>170288</v>
      </c>
    </row>
    <row r="299" spans="2:18">
      <c r="B299" t="s">
        <v>11</v>
      </c>
      <c r="C299">
        <v>330421716</v>
      </c>
      <c r="D299" t="s">
        <v>54</v>
      </c>
      <c r="E299" s="202">
        <v>1493.92</v>
      </c>
      <c r="F299">
        <v>1493.92</v>
      </c>
      <c r="J299" s="209">
        <v>45684</v>
      </c>
      <c r="K299" s="209">
        <v>45684</v>
      </c>
      <c r="M299" t="s">
        <v>11</v>
      </c>
      <c r="N299">
        <v>330421716</v>
      </c>
      <c r="O299">
        <v>170288</v>
      </c>
      <c r="Q299" t="s">
        <v>509</v>
      </c>
      <c r="R299">
        <v>170288</v>
      </c>
    </row>
    <row r="300" spans="2:18">
      <c r="B300" t="s">
        <v>11</v>
      </c>
      <c r="C300">
        <v>330421717</v>
      </c>
      <c r="D300" t="s">
        <v>54</v>
      </c>
      <c r="E300" s="202">
        <v>1207.72</v>
      </c>
      <c r="F300">
        <v>1207.72</v>
      </c>
      <c r="J300" s="209">
        <v>45684</v>
      </c>
      <c r="K300" s="209">
        <v>45684</v>
      </c>
      <c r="M300" t="s">
        <v>11</v>
      </c>
      <c r="N300">
        <v>330421717</v>
      </c>
      <c r="O300">
        <v>170288</v>
      </c>
      <c r="Q300" t="s">
        <v>702</v>
      </c>
      <c r="R300">
        <v>170288</v>
      </c>
    </row>
    <row r="301" spans="2:18">
      <c r="B301" t="s">
        <v>11</v>
      </c>
      <c r="C301">
        <v>330421718</v>
      </c>
      <c r="D301" t="s">
        <v>54</v>
      </c>
      <c r="E301" s="202">
        <v>1350.96</v>
      </c>
      <c r="F301">
        <v>1350.96</v>
      </c>
      <c r="J301" s="209">
        <v>45684</v>
      </c>
      <c r="K301" s="209">
        <v>45684</v>
      </c>
      <c r="M301" t="s">
        <v>11</v>
      </c>
      <c r="N301">
        <v>330421718</v>
      </c>
      <c r="O301">
        <v>170288</v>
      </c>
      <c r="Q301" t="s">
        <v>703</v>
      </c>
      <c r="R301">
        <v>170288</v>
      </c>
    </row>
    <row r="302" spans="2:18">
      <c r="B302" t="s">
        <v>11</v>
      </c>
      <c r="C302">
        <v>330421719</v>
      </c>
      <c r="D302" t="s">
        <v>54</v>
      </c>
      <c r="E302">
        <v>307.8</v>
      </c>
      <c r="F302">
        <v>307.8</v>
      </c>
      <c r="J302" s="209">
        <v>45684</v>
      </c>
      <c r="K302" s="209">
        <v>45684</v>
      </c>
      <c r="M302" t="s">
        <v>11</v>
      </c>
      <c r="N302">
        <v>330421719</v>
      </c>
      <c r="O302">
        <v>170288</v>
      </c>
      <c r="Q302" t="s">
        <v>92</v>
      </c>
      <c r="R302">
        <v>170288</v>
      </c>
    </row>
    <row r="303" spans="2:18">
      <c r="B303" t="s">
        <v>11</v>
      </c>
      <c r="C303">
        <v>330421720</v>
      </c>
      <c r="D303" t="s">
        <v>54</v>
      </c>
      <c r="E303" s="202">
        <v>1082.6199999999999</v>
      </c>
      <c r="F303">
        <v>1082.6199999999999</v>
      </c>
      <c r="J303" s="209">
        <v>45684</v>
      </c>
      <c r="K303" s="209">
        <v>45684</v>
      </c>
      <c r="M303" t="s">
        <v>11</v>
      </c>
      <c r="N303">
        <v>330421720</v>
      </c>
      <c r="O303">
        <v>170288</v>
      </c>
      <c r="Q303" t="s">
        <v>704</v>
      </c>
      <c r="R303">
        <v>170288</v>
      </c>
    </row>
    <row r="304" spans="2:18">
      <c r="B304" t="s">
        <v>11</v>
      </c>
      <c r="C304">
        <v>330421721</v>
      </c>
      <c r="D304" t="s">
        <v>54</v>
      </c>
      <c r="E304">
        <v>317.64999999999998</v>
      </c>
      <c r="F304">
        <v>317.64999999999998</v>
      </c>
      <c r="J304" s="209">
        <v>45684</v>
      </c>
      <c r="K304" s="209">
        <v>45684</v>
      </c>
      <c r="M304" t="s">
        <v>11</v>
      </c>
      <c r="N304">
        <v>330421721</v>
      </c>
      <c r="O304">
        <v>170288</v>
      </c>
      <c r="Q304" t="s">
        <v>705</v>
      </c>
      <c r="R304">
        <v>170288</v>
      </c>
    </row>
    <row r="305" spans="2:18">
      <c r="B305" t="s">
        <v>11</v>
      </c>
      <c r="C305">
        <v>330421722</v>
      </c>
      <c r="D305" t="s">
        <v>54</v>
      </c>
      <c r="E305" s="202">
        <v>1672.98</v>
      </c>
      <c r="F305">
        <v>1672.98</v>
      </c>
      <c r="J305" s="209">
        <v>45684</v>
      </c>
      <c r="K305" s="209">
        <v>45684</v>
      </c>
      <c r="M305" t="s">
        <v>11</v>
      </c>
      <c r="N305">
        <v>330421722</v>
      </c>
      <c r="O305">
        <v>170288</v>
      </c>
      <c r="Q305" t="s">
        <v>93</v>
      </c>
      <c r="R305">
        <v>170288</v>
      </c>
    </row>
    <row r="306" spans="2:18">
      <c r="B306" t="s">
        <v>11</v>
      </c>
      <c r="C306">
        <v>330421723</v>
      </c>
      <c r="D306" t="s">
        <v>54</v>
      </c>
      <c r="E306" s="202">
        <v>1672.98</v>
      </c>
      <c r="F306">
        <v>1672.98</v>
      </c>
      <c r="J306" s="209">
        <v>45684</v>
      </c>
      <c r="K306" s="209">
        <v>45684</v>
      </c>
      <c r="M306" t="s">
        <v>11</v>
      </c>
      <c r="N306">
        <v>330421723</v>
      </c>
      <c r="O306">
        <v>170288</v>
      </c>
      <c r="Q306" t="s">
        <v>510</v>
      </c>
      <c r="R306">
        <v>170288</v>
      </c>
    </row>
    <row r="307" spans="2:18">
      <c r="B307" t="s">
        <v>11</v>
      </c>
      <c r="C307">
        <v>330421724</v>
      </c>
      <c r="D307" t="s">
        <v>54</v>
      </c>
      <c r="E307" s="202">
        <v>1404.63</v>
      </c>
      <c r="F307">
        <v>1404.63</v>
      </c>
      <c r="J307" s="209">
        <v>45684</v>
      </c>
      <c r="K307" s="209">
        <v>45684</v>
      </c>
      <c r="M307" t="s">
        <v>11</v>
      </c>
      <c r="N307">
        <v>330421724</v>
      </c>
      <c r="O307">
        <v>170288</v>
      </c>
      <c r="Q307" t="s">
        <v>706</v>
      </c>
      <c r="R307">
        <v>170288</v>
      </c>
    </row>
    <row r="308" spans="2:18">
      <c r="B308" t="s">
        <v>11</v>
      </c>
      <c r="C308">
        <v>330421725</v>
      </c>
      <c r="D308" t="s">
        <v>54</v>
      </c>
      <c r="E308" s="202">
        <v>1672.98</v>
      </c>
      <c r="F308">
        <v>1672.98</v>
      </c>
      <c r="J308" s="209">
        <v>45684</v>
      </c>
      <c r="K308" s="209">
        <v>45684</v>
      </c>
      <c r="M308" t="s">
        <v>11</v>
      </c>
      <c r="N308">
        <v>330421725</v>
      </c>
      <c r="O308">
        <v>170288</v>
      </c>
      <c r="Q308" t="s">
        <v>707</v>
      </c>
      <c r="R308">
        <v>170288</v>
      </c>
    </row>
    <row r="309" spans="2:18">
      <c r="B309" t="s">
        <v>11</v>
      </c>
      <c r="C309">
        <v>330421726</v>
      </c>
      <c r="D309" t="s">
        <v>54</v>
      </c>
      <c r="E309" s="202">
        <v>1398.52</v>
      </c>
      <c r="F309">
        <v>1398.52</v>
      </c>
      <c r="J309" s="209">
        <v>45684</v>
      </c>
      <c r="K309" s="209">
        <v>45684</v>
      </c>
      <c r="M309" t="s">
        <v>11</v>
      </c>
      <c r="N309">
        <v>330421726</v>
      </c>
      <c r="O309">
        <v>170288</v>
      </c>
      <c r="Q309" t="s">
        <v>708</v>
      </c>
      <c r="R309">
        <v>170288</v>
      </c>
    </row>
    <row r="310" spans="2:18">
      <c r="B310" t="s">
        <v>11</v>
      </c>
      <c r="C310">
        <v>330421727</v>
      </c>
      <c r="D310" t="s">
        <v>54</v>
      </c>
      <c r="E310" s="202">
        <v>1255.42</v>
      </c>
      <c r="F310">
        <v>1255.42</v>
      </c>
      <c r="J310" s="209">
        <v>45684</v>
      </c>
      <c r="K310" s="209">
        <v>45684</v>
      </c>
      <c r="M310" t="s">
        <v>11</v>
      </c>
      <c r="N310">
        <v>330421727</v>
      </c>
      <c r="O310">
        <v>170288</v>
      </c>
      <c r="Q310" t="s">
        <v>709</v>
      </c>
      <c r="R310">
        <v>170288</v>
      </c>
    </row>
    <row r="311" spans="2:18">
      <c r="B311" t="s">
        <v>11</v>
      </c>
      <c r="C311">
        <v>330421728</v>
      </c>
      <c r="D311" t="s">
        <v>54</v>
      </c>
      <c r="E311">
        <v>132.49</v>
      </c>
      <c r="F311">
        <v>132.49</v>
      </c>
      <c r="J311" s="209">
        <v>45684</v>
      </c>
      <c r="K311" s="209">
        <v>45684</v>
      </c>
      <c r="M311" t="s">
        <v>11</v>
      </c>
      <c r="N311">
        <v>330421728</v>
      </c>
      <c r="O311">
        <v>170288</v>
      </c>
      <c r="Q311" t="s">
        <v>710</v>
      </c>
      <c r="R311">
        <v>170288</v>
      </c>
    </row>
    <row r="312" spans="2:18">
      <c r="B312" t="s">
        <v>11</v>
      </c>
      <c r="C312">
        <v>330421729</v>
      </c>
      <c r="D312" t="s">
        <v>54</v>
      </c>
      <c r="E312" s="202">
        <v>1493.92</v>
      </c>
      <c r="F312">
        <v>1493.92</v>
      </c>
      <c r="J312" s="209">
        <v>45684</v>
      </c>
      <c r="K312" s="209">
        <v>45684</v>
      </c>
      <c r="M312" t="s">
        <v>11</v>
      </c>
      <c r="N312">
        <v>330421729</v>
      </c>
      <c r="O312">
        <v>170288</v>
      </c>
      <c r="Q312" t="s">
        <v>711</v>
      </c>
      <c r="R312">
        <v>170288</v>
      </c>
    </row>
    <row r="313" spans="2:18">
      <c r="B313" t="s">
        <v>11</v>
      </c>
      <c r="C313">
        <v>330421730</v>
      </c>
      <c r="D313" t="s">
        <v>54</v>
      </c>
      <c r="E313">
        <v>460.76</v>
      </c>
      <c r="F313">
        <v>460.76</v>
      </c>
      <c r="J313" s="209">
        <v>45684</v>
      </c>
      <c r="K313" s="209">
        <v>45684</v>
      </c>
      <c r="M313" t="s">
        <v>11</v>
      </c>
      <c r="N313">
        <v>330421730</v>
      </c>
      <c r="O313">
        <v>170288</v>
      </c>
      <c r="Q313" t="s">
        <v>712</v>
      </c>
      <c r="R313">
        <v>170288</v>
      </c>
    </row>
    <row r="314" spans="2:18">
      <c r="B314" t="s">
        <v>11</v>
      </c>
      <c r="C314">
        <v>330421731</v>
      </c>
      <c r="D314" t="s">
        <v>54</v>
      </c>
      <c r="E314" s="202">
        <v>1404.63</v>
      </c>
      <c r="F314">
        <v>1404.63</v>
      </c>
      <c r="J314" s="209">
        <v>45684</v>
      </c>
      <c r="K314" s="209">
        <v>45684</v>
      </c>
      <c r="M314" t="s">
        <v>11</v>
      </c>
      <c r="N314">
        <v>330421731</v>
      </c>
      <c r="O314">
        <v>170288</v>
      </c>
      <c r="Q314" t="s">
        <v>713</v>
      </c>
      <c r="R314">
        <v>170288</v>
      </c>
    </row>
    <row r="315" spans="2:18">
      <c r="B315" t="s">
        <v>11</v>
      </c>
      <c r="C315">
        <v>330421732</v>
      </c>
      <c r="D315" t="s">
        <v>54</v>
      </c>
      <c r="E315">
        <v>782.82</v>
      </c>
      <c r="F315">
        <v>782.82</v>
      </c>
      <c r="J315" s="209">
        <v>45684</v>
      </c>
      <c r="K315" s="209">
        <v>45684</v>
      </c>
      <c r="M315" t="s">
        <v>11</v>
      </c>
      <c r="N315">
        <v>330421732</v>
      </c>
      <c r="O315">
        <v>170288</v>
      </c>
      <c r="Q315" t="s">
        <v>94</v>
      </c>
      <c r="R315">
        <v>170288</v>
      </c>
    </row>
    <row r="316" spans="2:18">
      <c r="B316" t="s">
        <v>11</v>
      </c>
      <c r="C316">
        <v>330421733</v>
      </c>
      <c r="D316" t="s">
        <v>54</v>
      </c>
      <c r="E316" s="202">
        <v>1398.52</v>
      </c>
      <c r="F316">
        <v>1398.52</v>
      </c>
      <c r="J316" s="209">
        <v>45684</v>
      </c>
      <c r="K316" s="209">
        <v>45684</v>
      </c>
      <c r="M316" t="s">
        <v>11</v>
      </c>
      <c r="N316">
        <v>330421733</v>
      </c>
      <c r="O316">
        <v>170288</v>
      </c>
      <c r="Q316" t="s">
        <v>714</v>
      </c>
      <c r="R316">
        <v>170288</v>
      </c>
    </row>
    <row r="317" spans="2:18">
      <c r="B317" t="s">
        <v>11</v>
      </c>
      <c r="C317">
        <v>330421734</v>
      </c>
      <c r="D317" t="s">
        <v>54</v>
      </c>
      <c r="E317">
        <v>101.45</v>
      </c>
      <c r="F317">
        <v>101.45</v>
      </c>
      <c r="J317" s="209">
        <v>45684</v>
      </c>
      <c r="K317" s="209">
        <v>45684</v>
      </c>
      <c r="M317" t="s">
        <v>11</v>
      </c>
      <c r="N317">
        <v>330421734</v>
      </c>
      <c r="O317">
        <v>170288</v>
      </c>
      <c r="Q317" t="s">
        <v>715</v>
      </c>
      <c r="R317">
        <v>170288</v>
      </c>
    </row>
    <row r="318" spans="2:18">
      <c r="B318" t="s">
        <v>11</v>
      </c>
      <c r="C318">
        <v>330421735</v>
      </c>
      <c r="D318" t="s">
        <v>54</v>
      </c>
      <c r="E318" s="202">
        <v>1511.97</v>
      </c>
      <c r="F318">
        <v>1511.97</v>
      </c>
      <c r="J318" s="209">
        <v>45684</v>
      </c>
      <c r="K318" s="209">
        <v>45684</v>
      </c>
      <c r="M318" t="s">
        <v>11</v>
      </c>
      <c r="N318">
        <v>330421735</v>
      </c>
      <c r="O318">
        <v>170288</v>
      </c>
      <c r="Q318" t="s">
        <v>716</v>
      </c>
      <c r="R318">
        <v>170288</v>
      </c>
    </row>
    <row r="319" spans="2:18">
      <c r="B319" t="s">
        <v>11</v>
      </c>
      <c r="C319">
        <v>330421736</v>
      </c>
      <c r="D319" t="s">
        <v>54</v>
      </c>
      <c r="E319" s="202">
        <v>1493.92</v>
      </c>
      <c r="F319">
        <v>1493.92</v>
      </c>
      <c r="J319" s="209">
        <v>45684</v>
      </c>
      <c r="K319" s="209">
        <v>45684</v>
      </c>
      <c r="M319" t="s">
        <v>11</v>
      </c>
      <c r="N319">
        <v>330421736</v>
      </c>
      <c r="O319">
        <v>170288</v>
      </c>
      <c r="Q319" t="s">
        <v>717</v>
      </c>
      <c r="R319">
        <v>170288</v>
      </c>
    </row>
    <row r="320" spans="2:18">
      <c r="B320" t="s">
        <v>11</v>
      </c>
      <c r="C320">
        <v>330421737</v>
      </c>
      <c r="D320" t="s">
        <v>54</v>
      </c>
      <c r="E320">
        <v>12</v>
      </c>
      <c r="F320">
        <v>12</v>
      </c>
      <c r="J320" s="209">
        <v>45684</v>
      </c>
      <c r="K320" s="209">
        <v>45684</v>
      </c>
      <c r="M320" t="s">
        <v>11</v>
      </c>
      <c r="N320">
        <v>330421737</v>
      </c>
      <c r="O320">
        <v>170288</v>
      </c>
      <c r="Q320" t="s">
        <v>417</v>
      </c>
      <c r="R320">
        <v>170288</v>
      </c>
    </row>
    <row r="321" spans="2:18">
      <c r="B321" t="s">
        <v>11</v>
      </c>
      <c r="C321">
        <v>330421738</v>
      </c>
      <c r="D321" t="s">
        <v>54</v>
      </c>
      <c r="E321">
        <v>130.01</v>
      </c>
      <c r="F321">
        <v>130.01</v>
      </c>
      <c r="J321" s="209">
        <v>45684</v>
      </c>
      <c r="K321" s="209">
        <v>45684</v>
      </c>
      <c r="M321" t="s">
        <v>11</v>
      </c>
      <c r="N321">
        <v>330421738</v>
      </c>
      <c r="O321">
        <v>170288</v>
      </c>
      <c r="Q321" t="s">
        <v>718</v>
      </c>
      <c r="R321">
        <v>170288</v>
      </c>
    </row>
    <row r="322" spans="2:18">
      <c r="B322" t="s">
        <v>11</v>
      </c>
      <c r="C322">
        <v>330421739</v>
      </c>
      <c r="D322" t="s">
        <v>54</v>
      </c>
      <c r="E322" s="202">
        <v>1350.82</v>
      </c>
      <c r="F322">
        <v>1350.82</v>
      </c>
      <c r="J322" s="209">
        <v>45684</v>
      </c>
      <c r="K322" s="209">
        <v>45684</v>
      </c>
      <c r="M322" t="s">
        <v>11</v>
      </c>
      <c r="N322">
        <v>330421739</v>
      </c>
      <c r="O322">
        <v>170288</v>
      </c>
      <c r="Q322" t="s">
        <v>95</v>
      </c>
      <c r="R322">
        <v>170288</v>
      </c>
    </row>
    <row r="323" spans="2:18">
      <c r="B323" t="s">
        <v>11</v>
      </c>
      <c r="C323">
        <v>330421740</v>
      </c>
      <c r="D323" t="s">
        <v>54</v>
      </c>
      <c r="E323" s="202">
        <v>1082.6199999999999</v>
      </c>
      <c r="F323">
        <v>1082.6199999999999</v>
      </c>
      <c r="J323" s="209">
        <v>45684</v>
      </c>
      <c r="K323" s="209">
        <v>45684</v>
      </c>
      <c r="M323" t="s">
        <v>11</v>
      </c>
      <c r="N323">
        <v>330421740</v>
      </c>
      <c r="O323">
        <v>170288</v>
      </c>
      <c r="Q323" t="s">
        <v>719</v>
      </c>
      <c r="R323">
        <v>170288</v>
      </c>
    </row>
    <row r="324" spans="2:18">
      <c r="B324" t="s">
        <v>11</v>
      </c>
      <c r="C324">
        <v>330421741</v>
      </c>
      <c r="D324" t="s">
        <v>54</v>
      </c>
      <c r="E324" s="202">
        <v>1672.98</v>
      </c>
      <c r="F324">
        <v>1672.98</v>
      </c>
      <c r="J324" s="209">
        <v>45684</v>
      </c>
      <c r="K324" s="209">
        <v>45684</v>
      </c>
      <c r="M324" t="s">
        <v>11</v>
      </c>
      <c r="N324">
        <v>330421741</v>
      </c>
      <c r="O324">
        <v>170288</v>
      </c>
      <c r="Q324" t="s">
        <v>512</v>
      </c>
      <c r="R324">
        <v>170288</v>
      </c>
    </row>
    <row r="325" spans="2:18">
      <c r="B325" t="s">
        <v>11</v>
      </c>
      <c r="C325">
        <v>330421742</v>
      </c>
      <c r="D325" t="s">
        <v>54</v>
      </c>
      <c r="E325" s="202">
        <v>1402.32</v>
      </c>
      <c r="F325">
        <v>1402.32</v>
      </c>
      <c r="J325" s="209">
        <v>45684</v>
      </c>
      <c r="K325" s="209">
        <v>45684</v>
      </c>
      <c r="M325" t="s">
        <v>11</v>
      </c>
      <c r="N325">
        <v>330421742</v>
      </c>
      <c r="O325">
        <v>170288</v>
      </c>
      <c r="Q325" t="s">
        <v>720</v>
      </c>
      <c r="R325">
        <v>170288</v>
      </c>
    </row>
    <row r="326" spans="2:18">
      <c r="B326" t="s">
        <v>11</v>
      </c>
      <c r="C326">
        <v>330421743</v>
      </c>
      <c r="D326" t="s">
        <v>54</v>
      </c>
      <c r="E326">
        <v>299.8</v>
      </c>
      <c r="F326">
        <v>299.8</v>
      </c>
      <c r="J326" s="209">
        <v>45684</v>
      </c>
      <c r="K326" s="209">
        <v>45684</v>
      </c>
      <c r="M326" t="s">
        <v>11</v>
      </c>
      <c r="N326">
        <v>330421743</v>
      </c>
      <c r="O326">
        <v>170288</v>
      </c>
      <c r="Q326" t="s">
        <v>721</v>
      </c>
      <c r="R326">
        <v>170288</v>
      </c>
    </row>
    <row r="327" spans="2:18">
      <c r="B327" t="s">
        <v>11</v>
      </c>
      <c r="C327">
        <v>330421744</v>
      </c>
      <c r="D327" t="s">
        <v>54</v>
      </c>
      <c r="E327" s="202">
        <v>1511.97</v>
      </c>
      <c r="F327">
        <v>1511.97</v>
      </c>
      <c r="J327" s="209">
        <v>45684</v>
      </c>
      <c r="K327" s="209">
        <v>45684</v>
      </c>
      <c r="M327" t="s">
        <v>11</v>
      </c>
      <c r="N327">
        <v>330421744</v>
      </c>
      <c r="O327">
        <v>170288</v>
      </c>
      <c r="Q327" t="s">
        <v>97</v>
      </c>
      <c r="R327">
        <v>170288</v>
      </c>
    </row>
    <row r="328" spans="2:18">
      <c r="B328" t="s">
        <v>11</v>
      </c>
      <c r="C328">
        <v>330421745</v>
      </c>
      <c r="D328" t="s">
        <v>54</v>
      </c>
      <c r="E328">
        <v>699.26</v>
      </c>
      <c r="F328">
        <v>699.26</v>
      </c>
      <c r="J328" s="209">
        <v>45684</v>
      </c>
      <c r="K328" s="209">
        <v>45684</v>
      </c>
      <c r="M328" t="s">
        <v>11</v>
      </c>
      <c r="N328">
        <v>330421745</v>
      </c>
      <c r="O328">
        <v>170288</v>
      </c>
      <c r="Q328" t="s">
        <v>98</v>
      </c>
      <c r="R328">
        <v>170288</v>
      </c>
    </row>
    <row r="329" spans="2:18">
      <c r="B329" t="s">
        <v>11</v>
      </c>
      <c r="C329">
        <v>330421746</v>
      </c>
      <c r="D329" t="s">
        <v>54</v>
      </c>
      <c r="E329">
        <v>299.8</v>
      </c>
      <c r="F329">
        <v>299.8</v>
      </c>
      <c r="J329" s="209">
        <v>45684</v>
      </c>
      <c r="K329" s="209">
        <v>45684</v>
      </c>
      <c r="M329" t="s">
        <v>11</v>
      </c>
      <c r="N329">
        <v>330421746</v>
      </c>
      <c r="O329">
        <v>170288</v>
      </c>
      <c r="Q329" t="s">
        <v>722</v>
      </c>
      <c r="R329">
        <v>170288</v>
      </c>
    </row>
    <row r="330" spans="2:18">
      <c r="B330" t="s">
        <v>11</v>
      </c>
      <c r="C330">
        <v>330421747</v>
      </c>
      <c r="D330" t="s">
        <v>54</v>
      </c>
      <c r="E330" s="202">
        <v>1255.42</v>
      </c>
      <c r="F330">
        <v>1255.42</v>
      </c>
      <c r="J330" s="209">
        <v>45684</v>
      </c>
      <c r="K330" s="209">
        <v>45684</v>
      </c>
      <c r="M330" t="s">
        <v>11</v>
      </c>
      <c r="N330">
        <v>330421747</v>
      </c>
      <c r="O330">
        <v>170288</v>
      </c>
      <c r="Q330" t="s">
        <v>723</v>
      </c>
      <c r="R330">
        <v>170288</v>
      </c>
    </row>
    <row r="331" spans="2:18">
      <c r="B331" t="s">
        <v>11</v>
      </c>
      <c r="C331">
        <v>330421748</v>
      </c>
      <c r="D331" t="s">
        <v>54</v>
      </c>
      <c r="E331" s="202">
        <v>1350.82</v>
      </c>
      <c r="F331">
        <v>1350.82</v>
      </c>
      <c r="J331" s="209">
        <v>45684</v>
      </c>
      <c r="K331" s="209">
        <v>45684</v>
      </c>
      <c r="M331" t="s">
        <v>11</v>
      </c>
      <c r="N331">
        <v>330421748</v>
      </c>
      <c r="O331">
        <v>170288</v>
      </c>
      <c r="Q331" t="s">
        <v>99</v>
      </c>
      <c r="R331">
        <v>170288</v>
      </c>
    </row>
    <row r="332" spans="2:18">
      <c r="B332" t="s">
        <v>11</v>
      </c>
      <c r="C332">
        <v>330421749</v>
      </c>
      <c r="D332" t="s">
        <v>54</v>
      </c>
      <c r="E332">
        <v>782.82</v>
      </c>
      <c r="F332">
        <v>782.82</v>
      </c>
      <c r="J332" s="209">
        <v>45684</v>
      </c>
      <c r="K332" s="209">
        <v>45684</v>
      </c>
      <c r="M332" t="s">
        <v>11</v>
      </c>
      <c r="N332">
        <v>330421749</v>
      </c>
      <c r="O332">
        <v>170288</v>
      </c>
      <c r="Q332" t="s">
        <v>724</v>
      </c>
      <c r="R332">
        <v>170288</v>
      </c>
    </row>
    <row r="333" spans="2:18">
      <c r="B333" t="s">
        <v>11</v>
      </c>
      <c r="C333">
        <v>330421750</v>
      </c>
      <c r="D333" t="s">
        <v>54</v>
      </c>
      <c r="E333">
        <v>195.39</v>
      </c>
      <c r="F333">
        <v>195.39</v>
      </c>
      <c r="J333" s="209">
        <v>45684</v>
      </c>
      <c r="K333" s="209">
        <v>45684</v>
      </c>
      <c r="M333" t="s">
        <v>11</v>
      </c>
      <c r="N333">
        <v>330421750</v>
      </c>
      <c r="O333">
        <v>170288</v>
      </c>
      <c r="Q333" t="s">
        <v>101</v>
      </c>
      <c r="R333">
        <v>170288</v>
      </c>
    </row>
    <row r="334" spans="2:18">
      <c r="B334" t="s">
        <v>11</v>
      </c>
      <c r="C334">
        <v>330421751</v>
      </c>
      <c r="D334" t="s">
        <v>54</v>
      </c>
      <c r="E334" s="202">
        <v>1493.92</v>
      </c>
      <c r="F334">
        <v>1493.92</v>
      </c>
      <c r="J334" s="209">
        <v>45684</v>
      </c>
      <c r="K334" s="209">
        <v>45684</v>
      </c>
      <c r="M334" t="s">
        <v>11</v>
      </c>
      <c r="N334">
        <v>330421751</v>
      </c>
      <c r="O334">
        <v>170288</v>
      </c>
      <c r="Q334" t="s">
        <v>102</v>
      </c>
      <c r="R334">
        <v>170288</v>
      </c>
    </row>
    <row r="335" spans="2:18">
      <c r="B335" t="s">
        <v>11</v>
      </c>
      <c r="C335">
        <v>330421752</v>
      </c>
      <c r="D335" t="s">
        <v>54</v>
      </c>
      <c r="E335" s="202">
        <v>1398.52</v>
      </c>
      <c r="F335">
        <v>1398.52</v>
      </c>
      <c r="J335" s="209">
        <v>45684</v>
      </c>
      <c r="K335" s="209">
        <v>45684</v>
      </c>
      <c r="M335" t="s">
        <v>11</v>
      </c>
      <c r="N335">
        <v>330421752</v>
      </c>
      <c r="O335">
        <v>170288</v>
      </c>
      <c r="Q335" t="s">
        <v>346</v>
      </c>
      <c r="R335">
        <v>170288</v>
      </c>
    </row>
    <row r="336" spans="2:18">
      <c r="B336" t="s">
        <v>11</v>
      </c>
      <c r="C336">
        <v>330421753</v>
      </c>
      <c r="D336" t="s">
        <v>54</v>
      </c>
      <c r="E336">
        <v>621.80999999999995</v>
      </c>
      <c r="F336">
        <v>621.80999999999995</v>
      </c>
      <c r="J336" s="209">
        <v>45684</v>
      </c>
      <c r="K336" s="209">
        <v>45684</v>
      </c>
      <c r="M336" t="s">
        <v>11</v>
      </c>
      <c r="N336">
        <v>330421753</v>
      </c>
      <c r="O336">
        <v>170288</v>
      </c>
      <c r="Q336" t="s">
        <v>104</v>
      </c>
      <c r="R336">
        <v>170288</v>
      </c>
    </row>
    <row r="337" spans="2:18">
      <c r="B337" t="s">
        <v>11</v>
      </c>
      <c r="C337">
        <v>330421754</v>
      </c>
      <c r="D337" t="s">
        <v>54</v>
      </c>
      <c r="E337">
        <v>413.06</v>
      </c>
      <c r="F337">
        <v>413.06</v>
      </c>
      <c r="J337" s="209">
        <v>45684</v>
      </c>
      <c r="K337" s="209">
        <v>45684</v>
      </c>
      <c r="M337" t="s">
        <v>11</v>
      </c>
      <c r="N337">
        <v>330421754</v>
      </c>
      <c r="O337">
        <v>170288</v>
      </c>
      <c r="Q337" t="s">
        <v>725</v>
      </c>
      <c r="R337">
        <v>170288</v>
      </c>
    </row>
    <row r="338" spans="2:18">
      <c r="B338" t="s">
        <v>11</v>
      </c>
      <c r="C338">
        <v>330421755</v>
      </c>
      <c r="D338" t="s">
        <v>54</v>
      </c>
      <c r="E338" s="202">
        <v>1672.98</v>
      </c>
      <c r="F338">
        <v>1672.98</v>
      </c>
      <c r="J338" s="209">
        <v>45684</v>
      </c>
      <c r="K338" s="209">
        <v>45684</v>
      </c>
      <c r="M338" t="s">
        <v>11</v>
      </c>
      <c r="N338">
        <v>330421755</v>
      </c>
      <c r="O338">
        <v>170288</v>
      </c>
      <c r="Q338" t="s">
        <v>726</v>
      </c>
      <c r="R338">
        <v>170288</v>
      </c>
    </row>
    <row r="339" spans="2:18">
      <c r="B339" t="s">
        <v>11</v>
      </c>
      <c r="C339">
        <v>330421756</v>
      </c>
      <c r="D339" t="s">
        <v>54</v>
      </c>
      <c r="E339" s="202">
        <v>1064.6099999999999</v>
      </c>
      <c r="F339">
        <v>1064.6099999999999</v>
      </c>
      <c r="J339" s="209">
        <v>45684</v>
      </c>
      <c r="K339" s="209">
        <v>45684</v>
      </c>
      <c r="M339" t="s">
        <v>11</v>
      </c>
      <c r="N339">
        <v>330421756</v>
      </c>
      <c r="O339">
        <v>170288</v>
      </c>
      <c r="Q339" t="s">
        <v>727</v>
      </c>
      <c r="R339">
        <v>170288</v>
      </c>
    </row>
    <row r="340" spans="2:18">
      <c r="B340" t="s">
        <v>11</v>
      </c>
      <c r="C340">
        <v>330421757</v>
      </c>
      <c r="D340" t="s">
        <v>54</v>
      </c>
      <c r="E340" s="202">
        <v>1404.63</v>
      </c>
      <c r="F340">
        <v>1404.63</v>
      </c>
      <c r="J340" s="209">
        <v>45684</v>
      </c>
      <c r="K340" s="209">
        <v>45684</v>
      </c>
      <c r="M340" t="s">
        <v>11</v>
      </c>
      <c r="N340">
        <v>330421757</v>
      </c>
      <c r="O340">
        <v>170288</v>
      </c>
      <c r="Q340" t="s">
        <v>728</v>
      </c>
      <c r="R340">
        <v>170288</v>
      </c>
    </row>
    <row r="341" spans="2:18">
      <c r="B341" t="s">
        <v>11</v>
      </c>
      <c r="C341">
        <v>330421758</v>
      </c>
      <c r="D341" t="s">
        <v>54</v>
      </c>
      <c r="E341" s="202">
        <v>1565.64</v>
      </c>
      <c r="F341">
        <v>1565.64</v>
      </c>
      <c r="J341" s="209">
        <v>45684</v>
      </c>
      <c r="K341" s="209">
        <v>45684</v>
      </c>
      <c r="M341" t="s">
        <v>11</v>
      </c>
      <c r="N341">
        <v>330421758</v>
      </c>
      <c r="O341">
        <v>170288</v>
      </c>
      <c r="Q341" t="s">
        <v>729</v>
      </c>
      <c r="R341">
        <v>170288</v>
      </c>
    </row>
    <row r="342" spans="2:18">
      <c r="B342" t="s">
        <v>11</v>
      </c>
      <c r="C342">
        <v>330421759</v>
      </c>
      <c r="D342" t="s">
        <v>54</v>
      </c>
      <c r="E342" s="202">
        <v>1511.97</v>
      </c>
      <c r="F342">
        <v>1511.97</v>
      </c>
      <c r="J342" s="209">
        <v>45684</v>
      </c>
      <c r="K342" s="209">
        <v>45684</v>
      </c>
      <c r="M342" t="s">
        <v>11</v>
      </c>
      <c r="N342">
        <v>330421759</v>
      </c>
      <c r="O342">
        <v>170288</v>
      </c>
      <c r="Q342" t="s">
        <v>347</v>
      </c>
      <c r="R342">
        <v>170288</v>
      </c>
    </row>
    <row r="343" spans="2:18">
      <c r="B343" t="s">
        <v>11</v>
      </c>
      <c r="C343">
        <v>330421760</v>
      </c>
      <c r="D343" t="s">
        <v>54</v>
      </c>
      <c r="E343" s="202">
        <v>2375.7800000000002</v>
      </c>
      <c r="F343">
        <v>2375.7800000000002</v>
      </c>
      <c r="J343" s="209">
        <v>45684</v>
      </c>
      <c r="K343" s="209">
        <v>45684</v>
      </c>
      <c r="M343" t="s">
        <v>11</v>
      </c>
      <c r="N343">
        <v>330421760</v>
      </c>
      <c r="O343">
        <v>170288</v>
      </c>
      <c r="Q343" t="s">
        <v>730</v>
      </c>
      <c r="R343">
        <v>170288</v>
      </c>
    </row>
    <row r="344" spans="2:18">
      <c r="B344" t="s">
        <v>11</v>
      </c>
      <c r="C344">
        <v>330421761</v>
      </c>
      <c r="D344" t="s">
        <v>54</v>
      </c>
      <c r="E344">
        <v>524.52</v>
      </c>
      <c r="F344">
        <v>524.52</v>
      </c>
      <c r="J344" s="209">
        <v>45684</v>
      </c>
      <c r="K344" s="209">
        <v>45684</v>
      </c>
      <c r="M344" t="s">
        <v>11</v>
      </c>
      <c r="N344">
        <v>330421761</v>
      </c>
      <c r="O344">
        <v>170288</v>
      </c>
      <c r="Q344" t="s">
        <v>349</v>
      </c>
      <c r="R344">
        <v>170288</v>
      </c>
    </row>
    <row r="345" spans="2:18">
      <c r="B345" t="s">
        <v>11</v>
      </c>
      <c r="C345">
        <v>330421762</v>
      </c>
      <c r="D345" t="s">
        <v>54</v>
      </c>
      <c r="E345" s="202">
        <v>1672.98</v>
      </c>
      <c r="F345">
        <v>1672.98</v>
      </c>
      <c r="J345" s="209">
        <v>45684</v>
      </c>
      <c r="K345" s="209">
        <v>45684</v>
      </c>
      <c r="M345" t="s">
        <v>11</v>
      </c>
      <c r="N345">
        <v>330421762</v>
      </c>
      <c r="O345">
        <v>170288</v>
      </c>
      <c r="Q345" t="s">
        <v>731</v>
      </c>
      <c r="R345">
        <v>170288</v>
      </c>
    </row>
    <row r="346" spans="2:18">
      <c r="B346" t="s">
        <v>11</v>
      </c>
      <c r="C346">
        <v>330421763</v>
      </c>
      <c r="D346" t="s">
        <v>54</v>
      </c>
      <c r="E346">
        <v>460.76</v>
      </c>
      <c r="F346">
        <v>460.76</v>
      </c>
      <c r="J346" s="209">
        <v>45684</v>
      </c>
      <c r="K346" s="209">
        <v>45684</v>
      </c>
      <c r="M346" t="s">
        <v>11</v>
      </c>
      <c r="N346">
        <v>330421763</v>
      </c>
      <c r="O346">
        <v>170288</v>
      </c>
      <c r="Q346" t="s">
        <v>732</v>
      </c>
      <c r="R346">
        <v>170288</v>
      </c>
    </row>
    <row r="347" spans="2:18">
      <c r="B347" t="s">
        <v>11</v>
      </c>
      <c r="C347">
        <v>330421764</v>
      </c>
      <c r="D347" t="s">
        <v>54</v>
      </c>
      <c r="E347" s="202">
        <v>1493.92</v>
      </c>
      <c r="F347">
        <v>1493.92</v>
      </c>
      <c r="J347" s="209">
        <v>45684</v>
      </c>
      <c r="K347" s="209">
        <v>45684</v>
      </c>
      <c r="M347" t="s">
        <v>11</v>
      </c>
      <c r="N347">
        <v>330421764</v>
      </c>
      <c r="O347">
        <v>170288</v>
      </c>
      <c r="Q347" t="s">
        <v>733</v>
      </c>
      <c r="R347">
        <v>170288</v>
      </c>
    </row>
    <row r="348" spans="2:18">
      <c r="B348" t="s">
        <v>11</v>
      </c>
      <c r="C348">
        <v>330421765</v>
      </c>
      <c r="D348" t="s">
        <v>54</v>
      </c>
      <c r="E348">
        <v>699.26</v>
      </c>
      <c r="F348">
        <v>699.26</v>
      </c>
      <c r="J348" s="209">
        <v>45684</v>
      </c>
      <c r="K348" s="209">
        <v>45684</v>
      </c>
      <c r="M348" t="s">
        <v>11</v>
      </c>
      <c r="N348">
        <v>330421765</v>
      </c>
      <c r="O348">
        <v>170288</v>
      </c>
      <c r="Q348" t="s">
        <v>106</v>
      </c>
      <c r="R348">
        <v>170288</v>
      </c>
    </row>
    <row r="349" spans="2:18">
      <c r="B349" t="s">
        <v>11</v>
      </c>
      <c r="C349">
        <v>330421766</v>
      </c>
      <c r="D349" t="s">
        <v>54</v>
      </c>
      <c r="E349" s="202">
        <v>1672.98</v>
      </c>
      <c r="F349">
        <v>1672.98</v>
      </c>
      <c r="J349" s="209">
        <v>45684</v>
      </c>
      <c r="K349" s="209">
        <v>45684</v>
      </c>
      <c r="M349" t="s">
        <v>11</v>
      </c>
      <c r="N349">
        <v>330421766</v>
      </c>
      <c r="O349">
        <v>170288</v>
      </c>
      <c r="Q349" t="s">
        <v>350</v>
      </c>
      <c r="R349">
        <v>170288</v>
      </c>
    </row>
    <row r="350" spans="2:18">
      <c r="B350" t="s">
        <v>11</v>
      </c>
      <c r="C350">
        <v>330421767</v>
      </c>
      <c r="D350" t="s">
        <v>54</v>
      </c>
      <c r="E350" s="202">
        <v>3859.1</v>
      </c>
      <c r="F350">
        <v>3859.1</v>
      </c>
      <c r="J350" s="209">
        <v>45684</v>
      </c>
      <c r="K350" s="209">
        <v>45684</v>
      </c>
      <c r="M350" t="s">
        <v>11</v>
      </c>
      <c r="N350">
        <v>330421767</v>
      </c>
      <c r="O350">
        <v>170288</v>
      </c>
      <c r="Q350" t="s">
        <v>734</v>
      </c>
      <c r="R350">
        <v>170288</v>
      </c>
    </row>
    <row r="351" spans="2:18">
      <c r="B351" t="s">
        <v>11</v>
      </c>
      <c r="C351">
        <v>330421768</v>
      </c>
      <c r="D351" t="s">
        <v>54</v>
      </c>
      <c r="E351" s="202">
        <v>1511.97</v>
      </c>
      <c r="F351">
        <v>1511.97</v>
      </c>
      <c r="J351" s="209">
        <v>45684</v>
      </c>
      <c r="K351" s="209">
        <v>45684</v>
      </c>
      <c r="M351" t="s">
        <v>11</v>
      </c>
      <c r="N351">
        <v>330421768</v>
      </c>
      <c r="O351">
        <v>170288</v>
      </c>
      <c r="Q351" t="s">
        <v>735</v>
      </c>
      <c r="R351">
        <v>170288</v>
      </c>
    </row>
    <row r="352" spans="2:18">
      <c r="B352" t="s">
        <v>11</v>
      </c>
      <c r="C352">
        <v>330421769</v>
      </c>
      <c r="D352" t="s">
        <v>54</v>
      </c>
      <c r="E352" s="202">
        <v>1398.52</v>
      </c>
      <c r="F352">
        <v>1398.52</v>
      </c>
      <c r="J352" s="209">
        <v>45684</v>
      </c>
      <c r="K352" s="209">
        <v>45684</v>
      </c>
      <c r="M352" t="s">
        <v>11</v>
      </c>
      <c r="N352">
        <v>330421769</v>
      </c>
      <c r="O352">
        <v>170288</v>
      </c>
      <c r="Q352" t="s">
        <v>736</v>
      </c>
      <c r="R352">
        <v>170288</v>
      </c>
    </row>
    <row r="353" spans="2:18">
      <c r="B353" t="s">
        <v>11</v>
      </c>
      <c r="C353">
        <v>330421770</v>
      </c>
      <c r="D353" t="s">
        <v>54</v>
      </c>
      <c r="E353" s="202">
        <v>1398.52</v>
      </c>
      <c r="F353">
        <v>1398.52</v>
      </c>
      <c r="J353" s="209">
        <v>45684</v>
      </c>
      <c r="K353" s="209">
        <v>45684</v>
      </c>
      <c r="M353" t="s">
        <v>11</v>
      </c>
      <c r="N353">
        <v>330421770</v>
      </c>
      <c r="O353">
        <v>170288</v>
      </c>
      <c r="Q353" t="s">
        <v>737</v>
      </c>
      <c r="R353">
        <v>170288</v>
      </c>
    </row>
    <row r="354" spans="2:18">
      <c r="B354" t="s">
        <v>11</v>
      </c>
      <c r="C354">
        <v>330421771</v>
      </c>
      <c r="D354" t="s">
        <v>54</v>
      </c>
      <c r="E354" s="202">
        <v>1255.42</v>
      </c>
      <c r="F354">
        <v>1255.42</v>
      </c>
      <c r="J354" s="209">
        <v>45684</v>
      </c>
      <c r="K354" s="209">
        <v>45684</v>
      </c>
      <c r="M354" t="s">
        <v>11</v>
      </c>
      <c r="N354">
        <v>330421771</v>
      </c>
      <c r="O354">
        <v>170288</v>
      </c>
      <c r="Q354" t="s">
        <v>738</v>
      </c>
      <c r="R354">
        <v>170288</v>
      </c>
    </row>
    <row r="355" spans="2:18">
      <c r="B355" t="s">
        <v>11</v>
      </c>
      <c r="C355">
        <v>330421772</v>
      </c>
      <c r="D355" t="s">
        <v>54</v>
      </c>
      <c r="E355" s="202">
        <v>1350.82</v>
      </c>
      <c r="F355">
        <v>1350.82</v>
      </c>
      <c r="J355" s="209">
        <v>45684</v>
      </c>
      <c r="K355" s="209">
        <v>45684</v>
      </c>
      <c r="M355" t="s">
        <v>11</v>
      </c>
      <c r="N355">
        <v>330421772</v>
      </c>
      <c r="O355">
        <v>170288</v>
      </c>
      <c r="Q355" t="s">
        <v>439</v>
      </c>
      <c r="R355">
        <v>170288</v>
      </c>
    </row>
    <row r="356" spans="2:18">
      <c r="B356" t="s">
        <v>11</v>
      </c>
      <c r="C356">
        <v>330421773</v>
      </c>
      <c r="D356" t="s">
        <v>54</v>
      </c>
      <c r="E356" s="202">
        <v>3402.02</v>
      </c>
      <c r="F356">
        <v>3402.02</v>
      </c>
      <c r="J356" s="209">
        <v>45684</v>
      </c>
      <c r="K356" s="209">
        <v>45684</v>
      </c>
      <c r="M356" t="s">
        <v>11</v>
      </c>
      <c r="N356">
        <v>330421773</v>
      </c>
      <c r="O356">
        <v>170288</v>
      </c>
      <c r="Q356" t="s">
        <v>739</v>
      </c>
      <c r="R356">
        <v>170288</v>
      </c>
    </row>
    <row r="357" spans="2:18">
      <c r="B357" t="s">
        <v>11</v>
      </c>
      <c r="C357">
        <v>330421774</v>
      </c>
      <c r="D357" t="s">
        <v>54</v>
      </c>
      <c r="E357">
        <v>556.16</v>
      </c>
      <c r="F357">
        <v>556.16</v>
      </c>
      <c r="J357" s="209">
        <v>45684</v>
      </c>
      <c r="K357" s="209">
        <v>45684</v>
      </c>
      <c r="M357" t="s">
        <v>11</v>
      </c>
      <c r="N357">
        <v>330421774</v>
      </c>
      <c r="O357">
        <v>170288</v>
      </c>
      <c r="Q357" t="s">
        <v>353</v>
      </c>
      <c r="R357">
        <v>170288</v>
      </c>
    </row>
    <row r="358" spans="2:18">
      <c r="B358" t="s">
        <v>11</v>
      </c>
      <c r="C358">
        <v>330421775</v>
      </c>
      <c r="D358" t="s">
        <v>54</v>
      </c>
      <c r="E358" s="202">
        <v>1493.92</v>
      </c>
      <c r="F358">
        <v>1493.92</v>
      </c>
      <c r="J358" s="209">
        <v>45684</v>
      </c>
      <c r="K358" s="209">
        <v>45684</v>
      </c>
      <c r="M358" t="s">
        <v>11</v>
      </c>
      <c r="N358">
        <v>330421775</v>
      </c>
      <c r="O358">
        <v>170288</v>
      </c>
      <c r="Q358" t="s">
        <v>107</v>
      </c>
      <c r="R358">
        <v>170288</v>
      </c>
    </row>
    <row r="359" spans="2:18">
      <c r="B359" t="s">
        <v>11</v>
      </c>
      <c r="C359">
        <v>330421776</v>
      </c>
      <c r="D359" t="s">
        <v>54</v>
      </c>
      <c r="E359" s="202">
        <v>1672.98</v>
      </c>
      <c r="F359">
        <v>1672.98</v>
      </c>
      <c r="J359" s="209">
        <v>45684</v>
      </c>
      <c r="K359" s="209">
        <v>45684</v>
      </c>
      <c r="M359" t="s">
        <v>11</v>
      </c>
      <c r="N359">
        <v>330421776</v>
      </c>
      <c r="O359">
        <v>170288</v>
      </c>
      <c r="Q359" t="s">
        <v>740</v>
      </c>
      <c r="R359">
        <v>170288</v>
      </c>
    </row>
    <row r="360" spans="2:18">
      <c r="B360" t="s">
        <v>11</v>
      </c>
      <c r="C360">
        <v>330421777</v>
      </c>
      <c r="D360" t="s">
        <v>54</v>
      </c>
      <c r="E360">
        <v>651.55999999999995</v>
      </c>
      <c r="F360">
        <v>651.55999999999995</v>
      </c>
      <c r="J360" s="209">
        <v>45684</v>
      </c>
      <c r="K360" s="209">
        <v>45684</v>
      </c>
      <c r="M360" t="s">
        <v>11</v>
      </c>
      <c r="N360">
        <v>330421777</v>
      </c>
      <c r="O360">
        <v>170288</v>
      </c>
      <c r="Q360" t="s">
        <v>741</v>
      </c>
      <c r="R360">
        <v>170288</v>
      </c>
    </row>
    <row r="361" spans="2:18">
      <c r="B361" t="s">
        <v>11</v>
      </c>
      <c r="C361">
        <v>330421778</v>
      </c>
      <c r="D361" t="s">
        <v>54</v>
      </c>
      <c r="E361" s="202">
        <v>1493.92</v>
      </c>
      <c r="F361">
        <v>1493.92</v>
      </c>
      <c r="J361" s="209">
        <v>45684</v>
      </c>
      <c r="K361" s="209">
        <v>45684</v>
      </c>
      <c r="M361" t="s">
        <v>11</v>
      </c>
      <c r="N361">
        <v>330421778</v>
      </c>
      <c r="O361">
        <v>170288</v>
      </c>
      <c r="Q361" t="s">
        <v>518</v>
      </c>
      <c r="R361">
        <v>170288</v>
      </c>
    </row>
    <row r="362" spans="2:18">
      <c r="B362" t="s">
        <v>11</v>
      </c>
      <c r="C362">
        <v>330421779</v>
      </c>
      <c r="D362" t="s">
        <v>54</v>
      </c>
      <c r="E362" s="202">
        <v>1672.98</v>
      </c>
      <c r="F362">
        <v>1672.98</v>
      </c>
      <c r="J362" s="209">
        <v>45684</v>
      </c>
      <c r="K362" s="209">
        <v>45684</v>
      </c>
      <c r="M362" t="s">
        <v>11</v>
      </c>
      <c r="N362">
        <v>330421779</v>
      </c>
      <c r="O362">
        <v>170288</v>
      </c>
      <c r="Q362" t="s">
        <v>110</v>
      </c>
      <c r="R362">
        <v>170288</v>
      </c>
    </row>
    <row r="363" spans="2:18">
      <c r="B363" t="s">
        <v>11</v>
      </c>
      <c r="C363">
        <v>330421780</v>
      </c>
      <c r="D363" t="s">
        <v>54</v>
      </c>
      <c r="E363">
        <v>550</v>
      </c>
      <c r="F363">
        <v>550</v>
      </c>
      <c r="J363" s="209">
        <v>45684</v>
      </c>
      <c r="K363" s="209">
        <v>45684</v>
      </c>
      <c r="M363" t="s">
        <v>11</v>
      </c>
      <c r="N363">
        <v>330421780</v>
      </c>
      <c r="O363">
        <v>170288</v>
      </c>
      <c r="Q363" t="s">
        <v>742</v>
      </c>
      <c r="R363">
        <v>170288</v>
      </c>
    </row>
    <row r="364" spans="2:18">
      <c r="B364" t="s">
        <v>11</v>
      </c>
      <c r="C364">
        <v>330421781</v>
      </c>
      <c r="D364" t="s">
        <v>54</v>
      </c>
      <c r="E364" s="202">
        <v>1672.98</v>
      </c>
      <c r="F364">
        <v>1672.98</v>
      </c>
      <c r="J364" s="209">
        <v>45684</v>
      </c>
      <c r="K364" s="209">
        <v>45684</v>
      </c>
      <c r="M364" t="s">
        <v>11</v>
      </c>
      <c r="N364">
        <v>330421781</v>
      </c>
      <c r="O364">
        <v>170288</v>
      </c>
      <c r="Q364" t="s">
        <v>519</v>
      </c>
      <c r="R364">
        <v>170288</v>
      </c>
    </row>
    <row r="365" spans="2:18">
      <c r="B365" t="s">
        <v>11</v>
      </c>
      <c r="C365">
        <v>330421782</v>
      </c>
      <c r="D365" t="s">
        <v>54</v>
      </c>
      <c r="E365" s="202">
        <v>1207.72</v>
      </c>
      <c r="F365">
        <v>1207.72</v>
      </c>
      <c r="J365" s="209">
        <v>45684</v>
      </c>
      <c r="K365" s="209">
        <v>45684</v>
      </c>
      <c r="M365" t="s">
        <v>11</v>
      </c>
      <c r="N365">
        <v>330421782</v>
      </c>
      <c r="O365">
        <v>170288</v>
      </c>
      <c r="Q365" t="s">
        <v>743</v>
      </c>
      <c r="R365">
        <v>170288</v>
      </c>
    </row>
    <row r="366" spans="2:18">
      <c r="B366" t="s">
        <v>11</v>
      </c>
      <c r="C366">
        <v>330421783</v>
      </c>
      <c r="D366" t="s">
        <v>54</v>
      </c>
      <c r="E366" s="202">
        <v>1350.82</v>
      </c>
      <c r="F366">
        <v>1350.82</v>
      </c>
      <c r="J366" s="209">
        <v>45684</v>
      </c>
      <c r="K366" s="209">
        <v>45684</v>
      </c>
      <c r="M366" t="s">
        <v>11</v>
      </c>
      <c r="N366">
        <v>330421783</v>
      </c>
      <c r="O366">
        <v>170288</v>
      </c>
      <c r="Q366" t="s">
        <v>744</v>
      </c>
      <c r="R366">
        <v>170288</v>
      </c>
    </row>
    <row r="367" spans="2:18">
      <c r="B367" t="s">
        <v>11</v>
      </c>
      <c r="C367">
        <v>330421784</v>
      </c>
      <c r="D367" t="s">
        <v>54</v>
      </c>
      <c r="E367" s="202">
        <v>1493.92</v>
      </c>
      <c r="F367">
        <v>1493.92</v>
      </c>
      <c r="J367" s="209">
        <v>45684</v>
      </c>
      <c r="K367" s="209">
        <v>45684</v>
      </c>
      <c r="M367" t="s">
        <v>11</v>
      </c>
      <c r="N367">
        <v>330421784</v>
      </c>
      <c r="O367">
        <v>170288</v>
      </c>
      <c r="Q367" t="s">
        <v>745</v>
      </c>
      <c r="R367">
        <v>170288</v>
      </c>
    </row>
    <row r="368" spans="2:18">
      <c r="B368" t="s">
        <v>11</v>
      </c>
      <c r="C368">
        <v>330421785</v>
      </c>
      <c r="D368" t="s">
        <v>54</v>
      </c>
      <c r="E368">
        <v>621.80999999999995</v>
      </c>
      <c r="F368">
        <v>621.80999999999995</v>
      </c>
      <c r="J368" s="209">
        <v>45684</v>
      </c>
      <c r="K368" s="209">
        <v>45684</v>
      </c>
      <c r="M368" t="s">
        <v>11</v>
      </c>
      <c r="N368">
        <v>330421785</v>
      </c>
      <c r="O368">
        <v>170288</v>
      </c>
      <c r="Q368" t="s">
        <v>111</v>
      </c>
      <c r="R368">
        <v>170288</v>
      </c>
    </row>
    <row r="369" spans="2:18">
      <c r="B369" t="s">
        <v>11</v>
      </c>
      <c r="C369">
        <v>330421786</v>
      </c>
      <c r="D369" t="s">
        <v>54</v>
      </c>
      <c r="E369" s="202">
        <v>1493.92</v>
      </c>
      <c r="F369">
        <v>1493.92</v>
      </c>
      <c r="J369" s="209">
        <v>45684</v>
      </c>
      <c r="K369" s="209">
        <v>45684</v>
      </c>
      <c r="M369" t="s">
        <v>11</v>
      </c>
      <c r="N369">
        <v>330421786</v>
      </c>
      <c r="O369">
        <v>170288</v>
      </c>
      <c r="Q369" t="s">
        <v>746</v>
      </c>
      <c r="R369">
        <v>170288</v>
      </c>
    </row>
    <row r="370" spans="2:18">
      <c r="B370" t="s">
        <v>11</v>
      </c>
      <c r="C370">
        <v>330421787</v>
      </c>
      <c r="D370" t="s">
        <v>54</v>
      </c>
      <c r="E370">
        <v>111.48</v>
      </c>
      <c r="F370">
        <v>111.48</v>
      </c>
      <c r="J370" s="209">
        <v>45684</v>
      </c>
      <c r="K370" s="209">
        <v>45684</v>
      </c>
      <c r="M370" t="s">
        <v>11</v>
      </c>
      <c r="N370">
        <v>330421787</v>
      </c>
      <c r="O370">
        <v>170288</v>
      </c>
      <c r="Q370" t="s">
        <v>747</v>
      </c>
      <c r="R370">
        <v>170288</v>
      </c>
    </row>
    <row r="371" spans="2:18">
      <c r="B371" t="s">
        <v>11</v>
      </c>
      <c r="C371">
        <v>330421788</v>
      </c>
      <c r="D371" t="s">
        <v>54</v>
      </c>
      <c r="E371" s="202">
        <v>1207.72</v>
      </c>
      <c r="F371">
        <v>1207.72</v>
      </c>
      <c r="J371" s="209">
        <v>45684</v>
      </c>
      <c r="K371" s="209">
        <v>45684</v>
      </c>
      <c r="M371" t="s">
        <v>11</v>
      </c>
      <c r="N371">
        <v>330421788</v>
      </c>
      <c r="O371">
        <v>170288</v>
      </c>
      <c r="Q371" t="s">
        <v>112</v>
      </c>
      <c r="R371">
        <v>170288</v>
      </c>
    </row>
    <row r="372" spans="2:18">
      <c r="B372" t="s">
        <v>11</v>
      </c>
      <c r="C372">
        <v>330421789</v>
      </c>
      <c r="D372" t="s">
        <v>54</v>
      </c>
      <c r="E372">
        <v>455.24</v>
      </c>
      <c r="F372">
        <v>455.24</v>
      </c>
      <c r="J372" s="209">
        <v>45684</v>
      </c>
      <c r="K372" s="209">
        <v>45684</v>
      </c>
      <c r="M372" t="s">
        <v>11</v>
      </c>
      <c r="N372">
        <v>330421789</v>
      </c>
      <c r="O372">
        <v>170288</v>
      </c>
      <c r="Q372" t="s">
        <v>521</v>
      </c>
      <c r="R372">
        <v>170288</v>
      </c>
    </row>
    <row r="373" spans="2:18">
      <c r="B373" t="s">
        <v>11</v>
      </c>
      <c r="C373">
        <v>330421790</v>
      </c>
      <c r="D373" t="s">
        <v>54</v>
      </c>
      <c r="E373" s="202">
        <v>2021.9</v>
      </c>
      <c r="F373">
        <v>2021.9</v>
      </c>
      <c r="J373" s="209">
        <v>45684</v>
      </c>
      <c r="K373" s="209">
        <v>45684</v>
      </c>
      <c r="M373" t="s">
        <v>11</v>
      </c>
      <c r="N373">
        <v>330421790</v>
      </c>
      <c r="O373">
        <v>170288</v>
      </c>
      <c r="Q373" t="s">
        <v>748</v>
      </c>
      <c r="R373">
        <v>170288</v>
      </c>
    </row>
    <row r="374" spans="2:18">
      <c r="B374" t="s">
        <v>11</v>
      </c>
      <c r="C374">
        <v>330421791</v>
      </c>
      <c r="D374" t="s">
        <v>54</v>
      </c>
      <c r="E374" s="202">
        <v>1255.42</v>
      </c>
      <c r="F374">
        <v>1255.42</v>
      </c>
      <c r="J374" s="209">
        <v>45684</v>
      </c>
      <c r="K374" s="209">
        <v>45684</v>
      </c>
      <c r="M374" t="s">
        <v>11</v>
      </c>
      <c r="N374">
        <v>330421791</v>
      </c>
      <c r="O374">
        <v>170288</v>
      </c>
      <c r="Q374" t="s">
        <v>113</v>
      </c>
      <c r="R374">
        <v>170288</v>
      </c>
    </row>
    <row r="375" spans="2:18">
      <c r="B375" t="s">
        <v>11</v>
      </c>
      <c r="C375">
        <v>330421792</v>
      </c>
      <c r="D375" t="s">
        <v>54</v>
      </c>
      <c r="E375" s="202">
        <v>1493.92</v>
      </c>
      <c r="F375">
        <v>1493.92</v>
      </c>
      <c r="J375" s="209">
        <v>45684</v>
      </c>
      <c r="K375" s="209">
        <v>45684</v>
      </c>
      <c r="M375" t="s">
        <v>11</v>
      </c>
      <c r="N375">
        <v>330421792</v>
      </c>
      <c r="O375">
        <v>170288</v>
      </c>
      <c r="Q375" t="s">
        <v>749</v>
      </c>
      <c r="R375">
        <v>170288</v>
      </c>
    </row>
    <row r="376" spans="2:18">
      <c r="B376" t="s">
        <v>11</v>
      </c>
      <c r="C376">
        <v>330421793</v>
      </c>
      <c r="D376" t="s">
        <v>54</v>
      </c>
      <c r="E376" s="202">
        <v>1493.92</v>
      </c>
      <c r="F376">
        <v>1493.92</v>
      </c>
      <c r="J376" s="209">
        <v>45684</v>
      </c>
      <c r="K376" s="209">
        <v>45684</v>
      </c>
      <c r="M376" t="s">
        <v>11</v>
      </c>
      <c r="N376">
        <v>330421793</v>
      </c>
      <c r="O376">
        <v>170288</v>
      </c>
      <c r="Q376" t="s">
        <v>361</v>
      </c>
      <c r="R376">
        <v>170288</v>
      </c>
    </row>
    <row r="377" spans="2:18">
      <c r="B377" t="s">
        <v>11</v>
      </c>
      <c r="C377">
        <v>330421794</v>
      </c>
      <c r="D377" t="s">
        <v>54</v>
      </c>
      <c r="E377" s="202">
        <v>1493.92</v>
      </c>
      <c r="F377">
        <v>1493.92</v>
      </c>
      <c r="J377" s="209">
        <v>45684</v>
      </c>
      <c r="K377" s="209">
        <v>45684</v>
      </c>
      <c r="M377" t="s">
        <v>11</v>
      </c>
      <c r="N377">
        <v>330421794</v>
      </c>
      <c r="O377">
        <v>170288</v>
      </c>
      <c r="Q377" t="s">
        <v>750</v>
      </c>
      <c r="R377">
        <v>170288</v>
      </c>
    </row>
    <row r="378" spans="2:18">
      <c r="B378" t="s">
        <v>11</v>
      </c>
      <c r="C378">
        <v>330421795</v>
      </c>
      <c r="D378" t="s">
        <v>54</v>
      </c>
      <c r="E378" s="202">
        <v>1350.82</v>
      </c>
      <c r="F378">
        <v>1350.82</v>
      </c>
      <c r="J378" s="209">
        <v>45684</v>
      </c>
      <c r="K378" s="209">
        <v>45684</v>
      </c>
      <c r="M378" t="s">
        <v>11</v>
      </c>
      <c r="N378">
        <v>330421795</v>
      </c>
      <c r="O378">
        <v>170288</v>
      </c>
      <c r="Q378" t="s">
        <v>751</v>
      </c>
      <c r="R378">
        <v>170288</v>
      </c>
    </row>
    <row r="379" spans="2:18">
      <c r="B379" t="s">
        <v>11</v>
      </c>
      <c r="C379">
        <v>330421796</v>
      </c>
      <c r="D379" t="s">
        <v>54</v>
      </c>
      <c r="E379" s="202">
        <v>1255.42</v>
      </c>
      <c r="F379">
        <v>1255.42</v>
      </c>
      <c r="J379" s="209">
        <v>45684</v>
      </c>
      <c r="K379" s="209">
        <v>45684</v>
      </c>
      <c r="M379" t="s">
        <v>11</v>
      </c>
      <c r="N379">
        <v>330421796</v>
      </c>
      <c r="O379">
        <v>170288</v>
      </c>
      <c r="Q379" t="s">
        <v>752</v>
      </c>
      <c r="R379">
        <v>170288</v>
      </c>
    </row>
    <row r="380" spans="2:18">
      <c r="B380" t="s">
        <v>11</v>
      </c>
      <c r="C380">
        <v>330421797</v>
      </c>
      <c r="D380" t="s">
        <v>54</v>
      </c>
      <c r="E380">
        <v>270</v>
      </c>
      <c r="F380">
        <v>270</v>
      </c>
      <c r="J380" s="209">
        <v>45684</v>
      </c>
      <c r="K380" s="209">
        <v>45684</v>
      </c>
      <c r="M380" t="s">
        <v>11</v>
      </c>
      <c r="N380">
        <v>330421797</v>
      </c>
      <c r="O380">
        <v>170288</v>
      </c>
      <c r="Q380" t="s">
        <v>753</v>
      </c>
      <c r="R380">
        <v>170288</v>
      </c>
    </row>
    <row r="381" spans="2:18">
      <c r="B381" t="s">
        <v>11</v>
      </c>
      <c r="C381">
        <v>330421798</v>
      </c>
      <c r="D381" t="s">
        <v>54</v>
      </c>
      <c r="E381" s="202">
        <v>1672.98</v>
      </c>
      <c r="F381">
        <v>1672.98</v>
      </c>
      <c r="J381" s="209">
        <v>45684</v>
      </c>
      <c r="K381" s="209">
        <v>45684</v>
      </c>
      <c r="M381" t="s">
        <v>11</v>
      </c>
      <c r="N381">
        <v>330421798</v>
      </c>
      <c r="O381">
        <v>170288</v>
      </c>
      <c r="Q381" t="s">
        <v>362</v>
      </c>
      <c r="R381">
        <v>170288</v>
      </c>
    </row>
    <row r="382" spans="2:18">
      <c r="B382" t="s">
        <v>11</v>
      </c>
      <c r="C382">
        <v>330421799</v>
      </c>
      <c r="D382" t="s">
        <v>54</v>
      </c>
      <c r="E382" s="202">
        <v>1398.52</v>
      </c>
      <c r="F382">
        <v>1398.52</v>
      </c>
      <c r="J382" s="209">
        <v>45684</v>
      </c>
      <c r="K382" s="209">
        <v>45684</v>
      </c>
      <c r="M382" t="s">
        <v>11</v>
      </c>
      <c r="N382">
        <v>330421799</v>
      </c>
      <c r="O382">
        <v>170288</v>
      </c>
      <c r="Q382" t="s">
        <v>754</v>
      </c>
      <c r="R382">
        <v>170288</v>
      </c>
    </row>
    <row r="383" spans="2:18">
      <c r="B383" t="s">
        <v>11</v>
      </c>
      <c r="C383">
        <v>330421800</v>
      </c>
      <c r="D383" t="s">
        <v>54</v>
      </c>
      <c r="E383">
        <v>621.80999999999995</v>
      </c>
      <c r="F383">
        <v>621.80999999999995</v>
      </c>
      <c r="J383" s="209">
        <v>45684</v>
      </c>
      <c r="K383" s="209">
        <v>45684</v>
      </c>
      <c r="M383" t="s">
        <v>11</v>
      </c>
      <c r="N383">
        <v>330421800</v>
      </c>
      <c r="O383">
        <v>170288</v>
      </c>
      <c r="Q383" t="s">
        <v>755</v>
      </c>
      <c r="R383">
        <v>170288</v>
      </c>
    </row>
    <row r="384" spans="2:18">
      <c r="B384" t="s">
        <v>11</v>
      </c>
      <c r="C384">
        <v>330421801</v>
      </c>
      <c r="D384" t="s">
        <v>54</v>
      </c>
      <c r="E384" s="202">
        <v>1511.97</v>
      </c>
      <c r="F384">
        <v>1511.97</v>
      </c>
      <c r="J384" s="209">
        <v>45684</v>
      </c>
      <c r="K384" s="209">
        <v>45684</v>
      </c>
      <c r="M384" t="s">
        <v>11</v>
      </c>
      <c r="N384">
        <v>330421801</v>
      </c>
      <c r="O384">
        <v>170288</v>
      </c>
      <c r="Q384" t="s">
        <v>756</v>
      </c>
      <c r="R384">
        <v>170288</v>
      </c>
    </row>
    <row r="385" spans="2:18">
      <c r="B385" t="s">
        <v>11</v>
      </c>
      <c r="C385">
        <v>330421802</v>
      </c>
      <c r="D385" t="s">
        <v>54</v>
      </c>
      <c r="E385" s="202">
        <v>1243.6300000000001</v>
      </c>
      <c r="F385">
        <v>1243.6300000000001</v>
      </c>
      <c r="J385" s="209">
        <v>45684</v>
      </c>
      <c r="K385" s="209">
        <v>45684</v>
      </c>
      <c r="M385" t="s">
        <v>11</v>
      </c>
      <c r="N385">
        <v>330421802</v>
      </c>
      <c r="O385">
        <v>170288</v>
      </c>
      <c r="Q385" t="s">
        <v>757</v>
      </c>
      <c r="R385">
        <v>170288</v>
      </c>
    </row>
    <row r="386" spans="2:18">
      <c r="B386" t="s">
        <v>11</v>
      </c>
      <c r="C386">
        <v>330421803</v>
      </c>
      <c r="D386" t="s">
        <v>54</v>
      </c>
      <c r="E386" s="202">
        <v>1672.98</v>
      </c>
      <c r="F386">
        <v>1672.98</v>
      </c>
      <c r="J386" s="209">
        <v>45684</v>
      </c>
      <c r="K386" s="209">
        <v>45684</v>
      </c>
      <c r="M386" t="s">
        <v>11</v>
      </c>
      <c r="N386">
        <v>330421803</v>
      </c>
      <c r="O386">
        <v>170288</v>
      </c>
      <c r="Q386" t="s">
        <v>117</v>
      </c>
      <c r="R386">
        <v>170288</v>
      </c>
    </row>
    <row r="387" spans="2:18">
      <c r="B387" t="s">
        <v>11</v>
      </c>
      <c r="C387">
        <v>330421804</v>
      </c>
      <c r="D387" t="s">
        <v>54</v>
      </c>
      <c r="E387" s="202">
        <v>1398.52</v>
      </c>
      <c r="F387">
        <v>1398.52</v>
      </c>
      <c r="J387" s="209">
        <v>45684</v>
      </c>
      <c r="K387" s="209">
        <v>45684</v>
      </c>
      <c r="M387" t="s">
        <v>11</v>
      </c>
      <c r="N387">
        <v>330421804</v>
      </c>
      <c r="O387">
        <v>170288</v>
      </c>
      <c r="Q387" t="s">
        <v>758</v>
      </c>
      <c r="R387">
        <v>170288</v>
      </c>
    </row>
    <row r="388" spans="2:18">
      <c r="B388" t="s">
        <v>11</v>
      </c>
      <c r="C388">
        <v>330421805</v>
      </c>
      <c r="D388" t="s">
        <v>54</v>
      </c>
      <c r="E388" s="202">
        <v>1255.42</v>
      </c>
      <c r="F388">
        <v>1255.42</v>
      </c>
      <c r="J388" s="209">
        <v>45684</v>
      </c>
      <c r="K388" s="209">
        <v>45684</v>
      </c>
      <c r="M388" t="s">
        <v>11</v>
      </c>
      <c r="N388">
        <v>330421805</v>
      </c>
      <c r="O388">
        <v>170288</v>
      </c>
      <c r="Q388" t="s">
        <v>759</v>
      </c>
      <c r="R388">
        <v>170288</v>
      </c>
    </row>
    <row r="389" spans="2:18">
      <c r="B389" t="s">
        <v>11</v>
      </c>
      <c r="C389">
        <v>330421806</v>
      </c>
      <c r="D389" t="s">
        <v>54</v>
      </c>
      <c r="E389">
        <v>84.89</v>
      </c>
      <c r="F389">
        <v>84.89</v>
      </c>
      <c r="J389" s="209">
        <v>45684</v>
      </c>
      <c r="K389" s="209">
        <v>45684</v>
      </c>
      <c r="M389" t="s">
        <v>11</v>
      </c>
      <c r="N389">
        <v>330421806</v>
      </c>
      <c r="O389">
        <v>170288</v>
      </c>
      <c r="Q389" t="s">
        <v>118</v>
      </c>
      <c r="R389">
        <v>170288</v>
      </c>
    </row>
    <row r="390" spans="2:18">
      <c r="B390" t="s">
        <v>11</v>
      </c>
      <c r="C390">
        <v>330421807</v>
      </c>
      <c r="D390" t="s">
        <v>54</v>
      </c>
      <c r="E390">
        <v>460.76</v>
      </c>
      <c r="F390">
        <v>460.76</v>
      </c>
      <c r="J390" s="209">
        <v>45684</v>
      </c>
      <c r="K390" s="209">
        <v>45684</v>
      </c>
      <c r="M390" t="s">
        <v>11</v>
      </c>
      <c r="N390">
        <v>330421807</v>
      </c>
      <c r="O390">
        <v>170288</v>
      </c>
      <c r="Q390" t="s">
        <v>760</v>
      </c>
      <c r="R390">
        <v>170288</v>
      </c>
    </row>
    <row r="391" spans="2:18">
      <c r="B391" t="s">
        <v>11</v>
      </c>
      <c r="C391">
        <v>330421808</v>
      </c>
      <c r="D391" t="s">
        <v>54</v>
      </c>
      <c r="E391" s="202">
        <v>1548.37</v>
      </c>
      <c r="F391">
        <v>1548.37</v>
      </c>
      <c r="J391" s="209">
        <v>45684</v>
      </c>
      <c r="K391" s="209">
        <v>45684</v>
      </c>
      <c r="M391" t="s">
        <v>11</v>
      </c>
      <c r="N391">
        <v>330421808</v>
      </c>
      <c r="O391">
        <v>170288</v>
      </c>
      <c r="Q391" t="s">
        <v>761</v>
      </c>
      <c r="R391">
        <v>170288</v>
      </c>
    </row>
    <row r="392" spans="2:18">
      <c r="B392" t="s">
        <v>11</v>
      </c>
      <c r="C392">
        <v>330421809</v>
      </c>
      <c r="D392" t="s">
        <v>54</v>
      </c>
      <c r="E392">
        <v>621.80999999999995</v>
      </c>
      <c r="F392">
        <v>621.80999999999995</v>
      </c>
      <c r="J392" s="209">
        <v>45684</v>
      </c>
      <c r="K392" s="209">
        <v>45684</v>
      </c>
      <c r="M392" t="s">
        <v>11</v>
      </c>
      <c r="N392">
        <v>330421809</v>
      </c>
      <c r="O392">
        <v>170288</v>
      </c>
      <c r="Q392" t="s">
        <v>762</v>
      </c>
      <c r="R392">
        <v>170288</v>
      </c>
    </row>
    <row r="393" spans="2:18">
      <c r="B393" t="s">
        <v>11</v>
      </c>
      <c r="C393">
        <v>330421810</v>
      </c>
      <c r="D393" t="s">
        <v>54</v>
      </c>
      <c r="E393">
        <v>826.11</v>
      </c>
      <c r="F393">
        <v>826.11</v>
      </c>
      <c r="J393" s="209">
        <v>45684</v>
      </c>
      <c r="K393" s="209">
        <v>45684</v>
      </c>
      <c r="M393" t="s">
        <v>11</v>
      </c>
      <c r="N393">
        <v>330421810</v>
      </c>
      <c r="O393">
        <v>170288</v>
      </c>
      <c r="Q393" t="s">
        <v>119</v>
      </c>
      <c r="R393">
        <v>170288</v>
      </c>
    </row>
    <row r="394" spans="2:18">
      <c r="B394" t="s">
        <v>11</v>
      </c>
      <c r="C394">
        <v>330421811</v>
      </c>
      <c r="D394" t="s">
        <v>54</v>
      </c>
      <c r="E394" s="202">
        <v>1255.42</v>
      </c>
      <c r="F394">
        <v>1255.42</v>
      </c>
      <c r="J394" s="209">
        <v>45684</v>
      </c>
      <c r="K394" s="209">
        <v>45684</v>
      </c>
      <c r="M394" t="s">
        <v>11</v>
      </c>
      <c r="N394">
        <v>330421811</v>
      </c>
      <c r="O394">
        <v>170288</v>
      </c>
      <c r="Q394" t="s">
        <v>763</v>
      </c>
      <c r="R394">
        <v>170288</v>
      </c>
    </row>
    <row r="395" spans="2:18">
      <c r="B395" t="s">
        <v>11</v>
      </c>
      <c r="C395">
        <v>330421812</v>
      </c>
      <c r="D395" t="s">
        <v>54</v>
      </c>
      <c r="E395">
        <v>660.46</v>
      </c>
      <c r="F395">
        <v>660.46</v>
      </c>
      <c r="J395" s="209">
        <v>45684</v>
      </c>
      <c r="K395" s="209">
        <v>45684</v>
      </c>
      <c r="M395" t="s">
        <v>11</v>
      </c>
      <c r="N395">
        <v>330421812</v>
      </c>
      <c r="O395">
        <v>170288</v>
      </c>
      <c r="Q395" t="s">
        <v>764</v>
      </c>
      <c r="R395">
        <v>170288</v>
      </c>
    </row>
    <row r="396" spans="2:18">
      <c r="B396" t="s">
        <v>11</v>
      </c>
      <c r="C396">
        <v>330421813</v>
      </c>
      <c r="D396" t="s">
        <v>54</v>
      </c>
      <c r="E396" s="202">
        <v>1255.42</v>
      </c>
      <c r="F396">
        <v>1255.42</v>
      </c>
      <c r="J396" s="209">
        <v>45684</v>
      </c>
      <c r="K396" s="209">
        <v>45684</v>
      </c>
      <c r="M396" t="s">
        <v>11</v>
      </c>
      <c r="N396">
        <v>330421813</v>
      </c>
      <c r="O396">
        <v>170288</v>
      </c>
      <c r="Q396" t="s">
        <v>765</v>
      </c>
      <c r="R396">
        <v>170288</v>
      </c>
    </row>
    <row r="397" spans="2:18">
      <c r="B397" t="s">
        <v>11</v>
      </c>
      <c r="C397">
        <v>330421814</v>
      </c>
      <c r="D397" t="s">
        <v>54</v>
      </c>
      <c r="E397" s="202">
        <v>1518</v>
      </c>
      <c r="F397">
        <v>1518</v>
      </c>
      <c r="J397" s="209">
        <v>45684</v>
      </c>
      <c r="K397" s="209">
        <v>45684</v>
      </c>
      <c r="M397" t="s">
        <v>11</v>
      </c>
      <c r="N397">
        <v>330421814</v>
      </c>
      <c r="O397">
        <v>170288</v>
      </c>
      <c r="Q397" t="s">
        <v>766</v>
      </c>
      <c r="R397">
        <v>170288</v>
      </c>
    </row>
    <row r="398" spans="2:18">
      <c r="B398" t="s">
        <v>11</v>
      </c>
      <c r="C398">
        <v>330421815</v>
      </c>
      <c r="D398" t="s">
        <v>54</v>
      </c>
      <c r="E398" s="202">
        <v>1398.52</v>
      </c>
      <c r="F398">
        <v>1398.52</v>
      </c>
      <c r="J398" s="209">
        <v>45684</v>
      </c>
      <c r="K398" s="209">
        <v>45684</v>
      </c>
      <c r="M398" t="s">
        <v>11</v>
      </c>
      <c r="N398">
        <v>330421815</v>
      </c>
      <c r="O398">
        <v>170288</v>
      </c>
      <c r="Q398" t="s">
        <v>767</v>
      </c>
      <c r="R398">
        <v>170288</v>
      </c>
    </row>
    <row r="399" spans="2:18">
      <c r="B399" t="s">
        <v>11</v>
      </c>
      <c r="C399">
        <v>330421816</v>
      </c>
      <c r="D399" t="s">
        <v>54</v>
      </c>
      <c r="E399" s="202">
        <v>3854.26</v>
      </c>
      <c r="F399">
        <v>3854.26</v>
      </c>
      <c r="J399" s="209">
        <v>45684</v>
      </c>
      <c r="K399" s="209">
        <v>45684</v>
      </c>
      <c r="M399" t="s">
        <v>11</v>
      </c>
      <c r="N399">
        <v>330421816</v>
      </c>
      <c r="O399">
        <v>170288</v>
      </c>
      <c r="Q399" t="s">
        <v>768</v>
      </c>
      <c r="R399">
        <v>170288</v>
      </c>
    </row>
    <row r="400" spans="2:18">
      <c r="B400" t="s">
        <v>11</v>
      </c>
      <c r="C400">
        <v>330421818</v>
      </c>
      <c r="D400" t="s">
        <v>54</v>
      </c>
      <c r="E400" s="202">
        <v>1404.63</v>
      </c>
      <c r="F400">
        <v>1404.63</v>
      </c>
      <c r="J400" s="209">
        <v>45684</v>
      </c>
      <c r="K400" s="209">
        <v>45684</v>
      </c>
      <c r="M400" t="s">
        <v>11</v>
      </c>
      <c r="N400">
        <v>330421818</v>
      </c>
      <c r="O400">
        <v>170288</v>
      </c>
      <c r="Q400" t="s">
        <v>769</v>
      </c>
      <c r="R400">
        <v>170288</v>
      </c>
    </row>
    <row r="401" spans="2:18">
      <c r="B401" t="s">
        <v>11</v>
      </c>
      <c r="C401">
        <v>330421819</v>
      </c>
      <c r="D401" t="s">
        <v>54</v>
      </c>
      <c r="E401">
        <v>621.80999999999995</v>
      </c>
      <c r="F401">
        <v>621.80999999999995</v>
      </c>
      <c r="J401" s="209">
        <v>45684</v>
      </c>
      <c r="K401" s="209">
        <v>45684</v>
      </c>
      <c r="M401" t="s">
        <v>11</v>
      </c>
      <c r="N401">
        <v>330421819</v>
      </c>
      <c r="O401">
        <v>170288</v>
      </c>
      <c r="Q401" t="s">
        <v>770</v>
      </c>
      <c r="R401">
        <v>170288</v>
      </c>
    </row>
    <row r="402" spans="2:18">
      <c r="B402" t="s">
        <v>11</v>
      </c>
      <c r="C402">
        <v>330421820</v>
      </c>
      <c r="D402" t="s">
        <v>54</v>
      </c>
      <c r="E402" s="202">
        <v>1112.31</v>
      </c>
      <c r="F402">
        <v>1112.31</v>
      </c>
      <c r="J402" s="209">
        <v>45684</v>
      </c>
      <c r="K402" s="209">
        <v>45684</v>
      </c>
      <c r="M402" t="s">
        <v>11</v>
      </c>
      <c r="N402">
        <v>330421820</v>
      </c>
      <c r="O402">
        <v>170288</v>
      </c>
      <c r="Q402" t="s">
        <v>771</v>
      </c>
      <c r="R402">
        <v>170288</v>
      </c>
    </row>
    <row r="403" spans="2:18">
      <c r="B403" t="s">
        <v>11</v>
      </c>
      <c r="C403">
        <v>330421821</v>
      </c>
      <c r="D403" t="s">
        <v>54</v>
      </c>
      <c r="E403" s="202">
        <v>1672.98</v>
      </c>
      <c r="F403">
        <v>1672.98</v>
      </c>
      <c r="J403" s="209">
        <v>45684</v>
      </c>
      <c r="K403" s="209">
        <v>45684</v>
      </c>
      <c r="M403" t="s">
        <v>11</v>
      </c>
      <c r="N403">
        <v>330421821</v>
      </c>
      <c r="O403">
        <v>170288</v>
      </c>
      <c r="Q403" t="s">
        <v>772</v>
      </c>
      <c r="R403">
        <v>170288</v>
      </c>
    </row>
    <row r="404" spans="2:18">
      <c r="B404" t="s">
        <v>11</v>
      </c>
      <c r="C404">
        <v>330421822</v>
      </c>
      <c r="D404" t="s">
        <v>54</v>
      </c>
      <c r="E404">
        <v>873.81</v>
      </c>
      <c r="F404">
        <v>873.81</v>
      </c>
      <c r="J404" s="209">
        <v>45684</v>
      </c>
      <c r="K404" s="209">
        <v>45684</v>
      </c>
      <c r="M404" t="s">
        <v>11</v>
      </c>
      <c r="N404">
        <v>330421822</v>
      </c>
      <c r="O404">
        <v>170288</v>
      </c>
      <c r="Q404" t="s">
        <v>773</v>
      </c>
      <c r="R404">
        <v>170288</v>
      </c>
    </row>
    <row r="405" spans="2:18">
      <c r="B405" t="s">
        <v>11</v>
      </c>
      <c r="C405">
        <v>330421823</v>
      </c>
      <c r="D405" t="s">
        <v>54</v>
      </c>
      <c r="E405">
        <v>74.16</v>
      </c>
      <c r="F405">
        <v>74.16</v>
      </c>
      <c r="J405" s="209">
        <v>45684</v>
      </c>
      <c r="K405" s="209">
        <v>45684</v>
      </c>
      <c r="M405" t="s">
        <v>11</v>
      </c>
      <c r="N405">
        <v>330421823</v>
      </c>
      <c r="O405">
        <v>170288</v>
      </c>
      <c r="Q405" t="s">
        <v>774</v>
      </c>
      <c r="R405">
        <v>170288</v>
      </c>
    </row>
    <row r="406" spans="2:18">
      <c r="B406" t="s">
        <v>11</v>
      </c>
      <c r="C406">
        <v>330421824</v>
      </c>
      <c r="D406" t="s">
        <v>54</v>
      </c>
      <c r="E406" s="202">
        <v>1493.92</v>
      </c>
      <c r="F406">
        <v>1493.92</v>
      </c>
      <c r="J406" s="209">
        <v>45684</v>
      </c>
      <c r="K406" s="209">
        <v>45684</v>
      </c>
      <c r="M406" t="s">
        <v>11</v>
      </c>
      <c r="N406">
        <v>330421824</v>
      </c>
      <c r="O406">
        <v>170288</v>
      </c>
      <c r="Q406" t="s">
        <v>121</v>
      </c>
      <c r="R406">
        <v>170288</v>
      </c>
    </row>
    <row r="407" spans="2:18">
      <c r="B407" t="s">
        <v>11</v>
      </c>
      <c r="C407">
        <v>330421825</v>
      </c>
      <c r="D407" t="s">
        <v>54</v>
      </c>
      <c r="E407">
        <v>36.69</v>
      </c>
      <c r="F407">
        <v>36.69</v>
      </c>
      <c r="J407" s="209">
        <v>45684</v>
      </c>
      <c r="K407" s="209">
        <v>45684</v>
      </c>
      <c r="M407" t="s">
        <v>11</v>
      </c>
      <c r="N407">
        <v>330421825</v>
      </c>
      <c r="O407">
        <v>170288</v>
      </c>
      <c r="Q407" t="s">
        <v>366</v>
      </c>
      <c r="R407">
        <v>170288</v>
      </c>
    </row>
    <row r="408" spans="2:18">
      <c r="B408" t="s">
        <v>11</v>
      </c>
      <c r="C408">
        <v>330421826</v>
      </c>
      <c r="D408" t="s">
        <v>54</v>
      </c>
      <c r="E408" s="202">
        <v>1511.97</v>
      </c>
      <c r="F408">
        <v>1511.97</v>
      </c>
      <c r="J408" s="209">
        <v>45684</v>
      </c>
      <c r="K408" s="209">
        <v>45684</v>
      </c>
      <c r="M408" t="s">
        <v>11</v>
      </c>
      <c r="N408">
        <v>330421826</v>
      </c>
      <c r="O408">
        <v>170288</v>
      </c>
      <c r="Q408" t="s">
        <v>775</v>
      </c>
      <c r="R408">
        <v>170288</v>
      </c>
    </row>
    <row r="409" spans="2:18">
      <c r="B409" t="s">
        <v>11</v>
      </c>
      <c r="C409">
        <v>330421827</v>
      </c>
      <c r="D409" t="s">
        <v>54</v>
      </c>
      <c r="E409" s="202">
        <v>3157.17</v>
      </c>
      <c r="F409">
        <v>3157.17</v>
      </c>
      <c r="J409" s="209">
        <v>45684</v>
      </c>
      <c r="K409" s="209">
        <v>45684</v>
      </c>
      <c r="M409" t="s">
        <v>11</v>
      </c>
      <c r="N409">
        <v>330421827</v>
      </c>
      <c r="O409">
        <v>170288</v>
      </c>
      <c r="Q409" t="s">
        <v>776</v>
      </c>
      <c r="R409">
        <v>170288</v>
      </c>
    </row>
    <row r="410" spans="2:18">
      <c r="B410" t="s">
        <v>11</v>
      </c>
      <c r="C410">
        <v>330421828</v>
      </c>
      <c r="D410" t="s">
        <v>54</v>
      </c>
      <c r="E410" s="202">
        <v>1812.22</v>
      </c>
      <c r="F410">
        <v>1812.22</v>
      </c>
      <c r="J410" s="209">
        <v>45684</v>
      </c>
      <c r="K410" s="209">
        <v>45684</v>
      </c>
      <c r="M410" t="s">
        <v>11</v>
      </c>
      <c r="N410">
        <v>330421828</v>
      </c>
      <c r="O410">
        <v>170288</v>
      </c>
      <c r="Q410" t="s">
        <v>122</v>
      </c>
      <c r="R410">
        <v>170288</v>
      </c>
    </row>
    <row r="411" spans="2:18">
      <c r="B411" t="s">
        <v>11</v>
      </c>
      <c r="C411">
        <v>330421829</v>
      </c>
      <c r="D411" t="s">
        <v>54</v>
      </c>
      <c r="E411" s="202">
        <v>1243.6300000000001</v>
      </c>
      <c r="F411">
        <v>1243.6300000000001</v>
      </c>
      <c r="J411" s="209">
        <v>45684</v>
      </c>
      <c r="K411" s="209">
        <v>45684</v>
      </c>
      <c r="M411" t="s">
        <v>11</v>
      </c>
      <c r="N411">
        <v>330421829</v>
      </c>
      <c r="O411">
        <v>170288</v>
      </c>
      <c r="Q411" t="s">
        <v>123</v>
      </c>
      <c r="R411">
        <v>170288</v>
      </c>
    </row>
    <row r="412" spans="2:18">
      <c r="B412" t="s">
        <v>11</v>
      </c>
      <c r="C412">
        <v>330421830</v>
      </c>
      <c r="D412" t="s">
        <v>54</v>
      </c>
      <c r="E412" s="202">
        <v>1672.98</v>
      </c>
      <c r="F412">
        <v>1672.98</v>
      </c>
      <c r="J412" s="209">
        <v>45684</v>
      </c>
      <c r="K412" s="209">
        <v>45684</v>
      </c>
      <c r="M412" t="s">
        <v>11</v>
      </c>
      <c r="N412">
        <v>330421830</v>
      </c>
      <c r="O412">
        <v>170288</v>
      </c>
      <c r="Q412" t="s">
        <v>777</v>
      </c>
      <c r="R412">
        <v>170288</v>
      </c>
    </row>
    <row r="413" spans="2:18">
      <c r="B413" t="s">
        <v>11</v>
      </c>
      <c r="C413">
        <v>330421831</v>
      </c>
      <c r="D413" t="s">
        <v>54</v>
      </c>
      <c r="E413">
        <v>556.16</v>
      </c>
      <c r="F413">
        <v>556.16</v>
      </c>
      <c r="J413" s="209">
        <v>45684</v>
      </c>
      <c r="K413" s="209">
        <v>45684</v>
      </c>
      <c r="M413" t="s">
        <v>11</v>
      </c>
      <c r="N413">
        <v>330421831</v>
      </c>
      <c r="O413">
        <v>170288</v>
      </c>
      <c r="Q413" t="s">
        <v>778</v>
      </c>
      <c r="R413">
        <v>170288</v>
      </c>
    </row>
    <row r="414" spans="2:18">
      <c r="B414" t="s">
        <v>11</v>
      </c>
      <c r="C414">
        <v>330421832</v>
      </c>
      <c r="D414" t="s">
        <v>54</v>
      </c>
      <c r="E414">
        <v>144.46</v>
      </c>
      <c r="F414">
        <v>144.46</v>
      </c>
      <c r="J414" s="209">
        <v>45684</v>
      </c>
      <c r="K414" s="209">
        <v>45684</v>
      </c>
      <c r="M414" t="s">
        <v>11</v>
      </c>
      <c r="N414">
        <v>330421832</v>
      </c>
      <c r="O414">
        <v>170288</v>
      </c>
      <c r="Q414" t="s">
        <v>529</v>
      </c>
      <c r="R414">
        <v>170288</v>
      </c>
    </row>
    <row r="415" spans="2:18">
      <c r="B415" t="s">
        <v>11</v>
      </c>
      <c r="C415">
        <v>330421833</v>
      </c>
      <c r="D415" t="s">
        <v>54</v>
      </c>
      <c r="E415" s="202">
        <v>1493.92</v>
      </c>
      <c r="F415">
        <v>1493.92</v>
      </c>
      <c r="J415" s="209">
        <v>45684</v>
      </c>
      <c r="K415" s="209">
        <v>45684</v>
      </c>
      <c r="M415" t="s">
        <v>11</v>
      </c>
      <c r="N415">
        <v>330421833</v>
      </c>
      <c r="O415">
        <v>170288</v>
      </c>
      <c r="Q415" t="s">
        <v>124</v>
      </c>
      <c r="R415">
        <v>170288</v>
      </c>
    </row>
    <row r="416" spans="2:18">
      <c r="B416" t="s">
        <v>11</v>
      </c>
      <c r="C416">
        <v>330421834</v>
      </c>
      <c r="D416" t="s">
        <v>54</v>
      </c>
      <c r="E416">
        <v>729.15</v>
      </c>
      <c r="F416">
        <v>729.15</v>
      </c>
      <c r="J416" s="209">
        <v>45684</v>
      </c>
      <c r="K416" s="209">
        <v>45684</v>
      </c>
      <c r="M416" t="s">
        <v>11</v>
      </c>
      <c r="N416">
        <v>330421834</v>
      </c>
      <c r="O416">
        <v>170288</v>
      </c>
      <c r="Q416" t="s">
        <v>779</v>
      </c>
      <c r="R416">
        <v>170288</v>
      </c>
    </row>
    <row r="417" spans="2:18">
      <c r="B417" t="s">
        <v>11</v>
      </c>
      <c r="C417">
        <v>330421835</v>
      </c>
      <c r="D417" t="s">
        <v>54</v>
      </c>
      <c r="E417" s="202">
        <v>1672.98</v>
      </c>
      <c r="F417">
        <v>1672.98</v>
      </c>
      <c r="J417" s="209">
        <v>45684</v>
      </c>
      <c r="K417" s="209">
        <v>45684</v>
      </c>
      <c r="M417" t="s">
        <v>11</v>
      </c>
      <c r="N417">
        <v>330421835</v>
      </c>
      <c r="O417">
        <v>170288</v>
      </c>
      <c r="Q417" t="s">
        <v>780</v>
      </c>
      <c r="R417">
        <v>170288</v>
      </c>
    </row>
    <row r="418" spans="2:18">
      <c r="B418" t="s">
        <v>11</v>
      </c>
      <c r="C418">
        <v>330421836</v>
      </c>
      <c r="D418" t="s">
        <v>54</v>
      </c>
      <c r="E418">
        <v>48.75</v>
      </c>
      <c r="F418">
        <v>48.75</v>
      </c>
      <c r="J418" s="209">
        <v>45684</v>
      </c>
      <c r="K418" s="209">
        <v>45684</v>
      </c>
      <c r="M418" t="s">
        <v>11</v>
      </c>
      <c r="N418">
        <v>330421836</v>
      </c>
      <c r="O418">
        <v>170288</v>
      </c>
      <c r="Q418" t="s">
        <v>781</v>
      </c>
      <c r="R418">
        <v>170288</v>
      </c>
    </row>
    <row r="419" spans="2:18">
      <c r="B419" t="s">
        <v>11</v>
      </c>
      <c r="C419">
        <v>330421837</v>
      </c>
      <c r="D419" t="s">
        <v>54</v>
      </c>
      <c r="E419" s="202">
        <v>1672.98</v>
      </c>
      <c r="F419">
        <v>1672.98</v>
      </c>
      <c r="J419" s="209">
        <v>45684</v>
      </c>
      <c r="K419" s="209">
        <v>45684</v>
      </c>
      <c r="M419" t="s">
        <v>11</v>
      </c>
      <c r="N419">
        <v>330421837</v>
      </c>
      <c r="O419">
        <v>170288</v>
      </c>
      <c r="Q419" t="s">
        <v>125</v>
      </c>
      <c r="R419">
        <v>170288</v>
      </c>
    </row>
    <row r="420" spans="2:18">
      <c r="B420" t="s">
        <v>11</v>
      </c>
      <c r="C420">
        <v>330421838</v>
      </c>
      <c r="D420" t="s">
        <v>54</v>
      </c>
      <c r="E420" s="202">
        <v>1672.98</v>
      </c>
      <c r="F420">
        <v>1672.98</v>
      </c>
      <c r="J420" s="209">
        <v>45684</v>
      </c>
      <c r="K420" s="209">
        <v>45684</v>
      </c>
      <c r="M420" t="s">
        <v>11</v>
      </c>
      <c r="N420">
        <v>330421838</v>
      </c>
      <c r="O420">
        <v>170288</v>
      </c>
      <c r="Q420" t="s">
        <v>782</v>
      </c>
      <c r="R420">
        <v>170288</v>
      </c>
    </row>
    <row r="421" spans="2:18">
      <c r="B421" t="s">
        <v>11</v>
      </c>
      <c r="C421">
        <v>330421839</v>
      </c>
      <c r="D421" t="s">
        <v>54</v>
      </c>
      <c r="E421">
        <v>455.24</v>
      </c>
      <c r="F421">
        <v>455.24</v>
      </c>
      <c r="J421" s="209">
        <v>45684</v>
      </c>
      <c r="K421" s="209">
        <v>45684</v>
      </c>
      <c r="M421" t="s">
        <v>11</v>
      </c>
      <c r="N421">
        <v>330421839</v>
      </c>
      <c r="O421">
        <v>170288</v>
      </c>
      <c r="Q421" t="s">
        <v>783</v>
      </c>
      <c r="R421">
        <v>170288</v>
      </c>
    </row>
    <row r="422" spans="2:18">
      <c r="B422" t="s">
        <v>11</v>
      </c>
      <c r="C422">
        <v>330421840</v>
      </c>
      <c r="D422" t="s">
        <v>54</v>
      </c>
      <c r="E422" s="202">
        <v>1398.52</v>
      </c>
      <c r="F422">
        <v>1398.52</v>
      </c>
      <c r="J422" s="209">
        <v>45684</v>
      </c>
      <c r="K422" s="209">
        <v>45684</v>
      </c>
      <c r="M422" t="s">
        <v>11</v>
      </c>
      <c r="N422">
        <v>330421840</v>
      </c>
      <c r="O422">
        <v>170288</v>
      </c>
      <c r="Q422" t="s">
        <v>784</v>
      </c>
      <c r="R422">
        <v>170288</v>
      </c>
    </row>
    <row r="423" spans="2:18">
      <c r="B423" t="s">
        <v>11</v>
      </c>
      <c r="C423">
        <v>330421841</v>
      </c>
      <c r="D423" t="s">
        <v>54</v>
      </c>
      <c r="E423" s="202">
        <v>1672.98</v>
      </c>
      <c r="F423">
        <v>1672.98</v>
      </c>
      <c r="J423" s="209">
        <v>45684</v>
      </c>
      <c r="K423" s="209">
        <v>45684</v>
      </c>
      <c r="M423" t="s">
        <v>11</v>
      </c>
      <c r="N423">
        <v>330421841</v>
      </c>
      <c r="O423">
        <v>170288</v>
      </c>
      <c r="Q423" t="s">
        <v>785</v>
      </c>
      <c r="R423">
        <v>170288</v>
      </c>
    </row>
    <row r="424" spans="2:18">
      <c r="B424" t="s">
        <v>11</v>
      </c>
      <c r="C424">
        <v>330421842</v>
      </c>
      <c r="D424" t="s">
        <v>54</v>
      </c>
      <c r="E424" s="202">
        <v>1398.52</v>
      </c>
      <c r="F424">
        <v>1398.52</v>
      </c>
      <c r="J424" s="209">
        <v>45684</v>
      </c>
      <c r="K424" s="209">
        <v>45684</v>
      </c>
      <c r="M424" t="s">
        <v>11</v>
      </c>
      <c r="N424">
        <v>330421842</v>
      </c>
      <c r="O424">
        <v>170288</v>
      </c>
      <c r="Q424" t="s">
        <v>786</v>
      </c>
      <c r="R424">
        <v>170288</v>
      </c>
    </row>
    <row r="425" spans="2:18">
      <c r="B425" t="s">
        <v>11</v>
      </c>
      <c r="C425">
        <v>330421843</v>
      </c>
      <c r="D425" t="s">
        <v>54</v>
      </c>
      <c r="E425" s="202">
        <v>1350.82</v>
      </c>
      <c r="F425">
        <v>1350.82</v>
      </c>
      <c r="J425" s="209">
        <v>45684</v>
      </c>
      <c r="K425" s="209">
        <v>45684</v>
      </c>
      <c r="M425" t="s">
        <v>11</v>
      </c>
      <c r="N425">
        <v>330421843</v>
      </c>
      <c r="O425">
        <v>170288</v>
      </c>
      <c r="Q425" t="s">
        <v>127</v>
      </c>
      <c r="R425">
        <v>170288</v>
      </c>
    </row>
    <row r="426" spans="2:18">
      <c r="B426" t="s">
        <v>11</v>
      </c>
      <c r="C426">
        <v>330421844</v>
      </c>
      <c r="D426" t="s">
        <v>54</v>
      </c>
      <c r="E426" s="202">
        <v>1112.31</v>
      </c>
      <c r="F426">
        <v>1112.31</v>
      </c>
      <c r="J426" s="209">
        <v>45684</v>
      </c>
      <c r="K426" s="209">
        <v>45684</v>
      </c>
      <c r="M426" t="s">
        <v>11</v>
      </c>
      <c r="N426">
        <v>330421844</v>
      </c>
      <c r="O426">
        <v>170288</v>
      </c>
      <c r="Q426" t="s">
        <v>787</v>
      </c>
      <c r="R426">
        <v>170288</v>
      </c>
    </row>
    <row r="427" spans="2:18">
      <c r="B427" t="s">
        <v>11</v>
      </c>
      <c r="C427">
        <v>330421845</v>
      </c>
      <c r="D427" t="s">
        <v>54</v>
      </c>
      <c r="E427" s="202">
        <v>1493.92</v>
      </c>
      <c r="F427">
        <v>1493.92</v>
      </c>
      <c r="J427" s="209">
        <v>45684</v>
      </c>
      <c r="K427" s="209">
        <v>45684</v>
      </c>
      <c r="M427" t="s">
        <v>11</v>
      </c>
      <c r="N427">
        <v>330421845</v>
      </c>
      <c r="O427">
        <v>170288</v>
      </c>
      <c r="Q427" t="s">
        <v>788</v>
      </c>
      <c r="R427">
        <v>170288</v>
      </c>
    </row>
    <row r="428" spans="2:18">
      <c r="B428" t="s">
        <v>11</v>
      </c>
      <c r="C428">
        <v>330421846</v>
      </c>
      <c r="D428" t="s">
        <v>54</v>
      </c>
      <c r="E428" s="202">
        <v>1565.64</v>
      </c>
      <c r="F428">
        <v>1565.64</v>
      </c>
      <c r="J428" s="209">
        <v>45684</v>
      </c>
      <c r="K428" s="209">
        <v>45684</v>
      </c>
      <c r="M428" t="s">
        <v>11</v>
      </c>
      <c r="N428">
        <v>330421846</v>
      </c>
      <c r="O428">
        <v>170288</v>
      </c>
      <c r="Q428" t="s">
        <v>789</v>
      </c>
      <c r="R428">
        <v>170288</v>
      </c>
    </row>
    <row r="429" spans="2:18">
      <c r="B429" t="s">
        <v>11</v>
      </c>
      <c r="C429">
        <v>330421847</v>
      </c>
      <c r="D429" t="s">
        <v>54</v>
      </c>
      <c r="E429" s="202">
        <v>1350.82</v>
      </c>
      <c r="F429">
        <v>1350.82</v>
      </c>
      <c r="J429" s="209">
        <v>45684</v>
      </c>
      <c r="K429" s="209">
        <v>45684</v>
      </c>
      <c r="M429" t="s">
        <v>11</v>
      </c>
      <c r="N429">
        <v>330421847</v>
      </c>
      <c r="O429">
        <v>170288</v>
      </c>
      <c r="Q429" t="s">
        <v>790</v>
      </c>
      <c r="R429">
        <v>170288</v>
      </c>
    </row>
    <row r="430" spans="2:18">
      <c r="B430" t="s">
        <v>11</v>
      </c>
      <c r="C430">
        <v>330421848</v>
      </c>
      <c r="D430" t="s">
        <v>54</v>
      </c>
      <c r="E430" s="202">
        <v>1410.82</v>
      </c>
      <c r="F430">
        <v>1410.82</v>
      </c>
      <c r="J430" s="209">
        <v>45684</v>
      </c>
      <c r="K430" s="209">
        <v>45684</v>
      </c>
      <c r="M430" t="s">
        <v>11</v>
      </c>
      <c r="N430">
        <v>330421848</v>
      </c>
      <c r="O430">
        <v>170288</v>
      </c>
      <c r="Q430" t="s">
        <v>128</v>
      </c>
      <c r="R430">
        <v>170288</v>
      </c>
    </row>
    <row r="431" spans="2:18">
      <c r="B431" t="s">
        <v>11</v>
      </c>
      <c r="C431">
        <v>330421849</v>
      </c>
      <c r="D431" t="s">
        <v>54</v>
      </c>
      <c r="E431" s="202">
        <v>1672.98</v>
      </c>
      <c r="F431">
        <v>1672.98</v>
      </c>
      <c r="J431" s="209">
        <v>45684</v>
      </c>
      <c r="K431" s="209">
        <v>45684</v>
      </c>
      <c r="M431" t="s">
        <v>11</v>
      </c>
      <c r="N431">
        <v>330421849</v>
      </c>
      <c r="O431">
        <v>170288</v>
      </c>
      <c r="Q431" t="s">
        <v>372</v>
      </c>
      <c r="R431">
        <v>170288</v>
      </c>
    </row>
    <row r="432" spans="2:18">
      <c r="B432" t="s">
        <v>11</v>
      </c>
      <c r="C432">
        <v>330421850</v>
      </c>
      <c r="D432" t="s">
        <v>54</v>
      </c>
      <c r="E432" s="202">
        <v>1672.98</v>
      </c>
      <c r="F432">
        <v>1672.98</v>
      </c>
      <c r="J432" s="209">
        <v>45684</v>
      </c>
      <c r="K432" s="209">
        <v>45684</v>
      </c>
      <c r="M432" t="s">
        <v>11</v>
      </c>
      <c r="N432">
        <v>330421850</v>
      </c>
      <c r="O432">
        <v>170288</v>
      </c>
      <c r="Q432" t="s">
        <v>791</v>
      </c>
      <c r="R432">
        <v>170288</v>
      </c>
    </row>
    <row r="433" spans="2:18">
      <c r="B433" t="s">
        <v>11</v>
      </c>
      <c r="C433">
        <v>330421851</v>
      </c>
      <c r="D433" t="s">
        <v>54</v>
      </c>
      <c r="E433" s="202">
        <v>1255.42</v>
      </c>
      <c r="F433">
        <v>1255.42</v>
      </c>
      <c r="J433" s="209">
        <v>45684</v>
      </c>
      <c r="K433" s="209">
        <v>45684</v>
      </c>
      <c r="M433" t="s">
        <v>11</v>
      </c>
      <c r="N433">
        <v>330421851</v>
      </c>
      <c r="O433">
        <v>170288</v>
      </c>
      <c r="Q433" t="s">
        <v>792</v>
      </c>
      <c r="R433">
        <v>170288</v>
      </c>
    </row>
    <row r="434" spans="2:18">
      <c r="B434" t="s">
        <v>11</v>
      </c>
      <c r="C434">
        <v>330421852</v>
      </c>
      <c r="D434" t="s">
        <v>54</v>
      </c>
      <c r="E434" s="202">
        <v>1565.64</v>
      </c>
      <c r="F434">
        <v>1565.64</v>
      </c>
      <c r="J434" s="209">
        <v>45684</v>
      </c>
      <c r="K434" s="209">
        <v>45684</v>
      </c>
      <c r="M434" t="s">
        <v>11</v>
      </c>
      <c r="N434">
        <v>330421852</v>
      </c>
      <c r="O434">
        <v>170288</v>
      </c>
      <c r="Q434" t="s">
        <v>129</v>
      </c>
      <c r="R434">
        <v>170288</v>
      </c>
    </row>
    <row r="435" spans="2:18">
      <c r="B435" t="s">
        <v>11</v>
      </c>
      <c r="C435">
        <v>330421853</v>
      </c>
      <c r="D435" t="s">
        <v>54</v>
      </c>
      <c r="E435" s="202">
        <v>2475.31</v>
      </c>
      <c r="F435">
        <v>2475.31</v>
      </c>
      <c r="J435" s="209">
        <v>45684</v>
      </c>
      <c r="K435" s="209">
        <v>45684</v>
      </c>
      <c r="M435" t="s">
        <v>11</v>
      </c>
      <c r="N435">
        <v>330421853</v>
      </c>
      <c r="O435">
        <v>170288</v>
      </c>
      <c r="Q435" t="s">
        <v>793</v>
      </c>
      <c r="R435">
        <v>170288</v>
      </c>
    </row>
    <row r="436" spans="2:18">
      <c r="B436" t="s">
        <v>11</v>
      </c>
      <c r="C436">
        <v>330421854</v>
      </c>
      <c r="D436" t="s">
        <v>54</v>
      </c>
      <c r="E436">
        <v>25.99</v>
      </c>
      <c r="F436">
        <v>25.99</v>
      </c>
      <c r="J436" s="209">
        <v>45684</v>
      </c>
      <c r="K436" s="209">
        <v>45684</v>
      </c>
      <c r="M436" t="s">
        <v>11</v>
      </c>
      <c r="N436">
        <v>330421854</v>
      </c>
      <c r="O436">
        <v>170288</v>
      </c>
      <c r="Q436" t="s">
        <v>794</v>
      </c>
      <c r="R436">
        <v>170288</v>
      </c>
    </row>
    <row r="437" spans="2:18">
      <c r="B437" t="s">
        <v>11</v>
      </c>
      <c r="C437">
        <v>330421855</v>
      </c>
      <c r="D437" t="s">
        <v>54</v>
      </c>
      <c r="E437" s="202">
        <v>1672.98</v>
      </c>
      <c r="F437">
        <v>1672.98</v>
      </c>
      <c r="J437" s="209">
        <v>45684</v>
      </c>
      <c r="K437" s="209">
        <v>45684</v>
      </c>
      <c r="M437" t="s">
        <v>11</v>
      </c>
      <c r="N437">
        <v>330421855</v>
      </c>
      <c r="O437">
        <v>170288</v>
      </c>
      <c r="Q437" t="s">
        <v>795</v>
      </c>
      <c r="R437">
        <v>170288</v>
      </c>
    </row>
    <row r="438" spans="2:18">
      <c r="B438" t="s">
        <v>11</v>
      </c>
      <c r="C438">
        <v>330421856</v>
      </c>
      <c r="D438" t="s">
        <v>54</v>
      </c>
      <c r="E438" s="202">
        <v>1112.31</v>
      </c>
      <c r="F438">
        <v>1112.31</v>
      </c>
      <c r="J438" s="209">
        <v>45684</v>
      </c>
      <c r="K438" s="209">
        <v>45684</v>
      </c>
      <c r="M438" t="s">
        <v>11</v>
      </c>
      <c r="N438">
        <v>330421856</v>
      </c>
      <c r="O438">
        <v>170288</v>
      </c>
      <c r="Q438" t="s">
        <v>796</v>
      </c>
      <c r="R438">
        <v>170288</v>
      </c>
    </row>
    <row r="439" spans="2:18">
      <c r="B439" t="s">
        <v>11</v>
      </c>
      <c r="C439">
        <v>330421857</v>
      </c>
      <c r="D439" t="s">
        <v>54</v>
      </c>
      <c r="E439" s="202">
        <v>1493.92</v>
      </c>
      <c r="F439">
        <v>1493.92</v>
      </c>
      <c r="J439" s="209">
        <v>45684</v>
      </c>
      <c r="K439" s="209">
        <v>45684</v>
      </c>
      <c r="M439" t="s">
        <v>11</v>
      </c>
      <c r="N439">
        <v>330421857</v>
      </c>
      <c r="O439">
        <v>170288</v>
      </c>
      <c r="Q439" t="s">
        <v>533</v>
      </c>
      <c r="R439">
        <v>170288</v>
      </c>
    </row>
    <row r="440" spans="2:18">
      <c r="B440" t="s">
        <v>11</v>
      </c>
      <c r="C440">
        <v>330421858</v>
      </c>
      <c r="D440" t="s">
        <v>54</v>
      </c>
      <c r="E440" s="202">
        <v>1064.6099999999999</v>
      </c>
      <c r="F440">
        <v>1064.6099999999999</v>
      </c>
      <c r="J440" s="209">
        <v>45684</v>
      </c>
      <c r="K440" s="209">
        <v>45684</v>
      </c>
      <c r="M440" t="s">
        <v>11</v>
      </c>
      <c r="N440">
        <v>330421858</v>
      </c>
      <c r="O440">
        <v>170288</v>
      </c>
      <c r="Q440" t="s">
        <v>374</v>
      </c>
      <c r="R440">
        <v>170288</v>
      </c>
    </row>
    <row r="441" spans="2:18">
      <c r="B441" t="s">
        <v>11</v>
      </c>
      <c r="C441">
        <v>330421859</v>
      </c>
      <c r="D441" t="s">
        <v>54</v>
      </c>
      <c r="E441" s="202">
        <v>1672.98</v>
      </c>
      <c r="F441">
        <v>1672.98</v>
      </c>
      <c r="J441" s="209">
        <v>45684</v>
      </c>
      <c r="K441" s="209">
        <v>45684</v>
      </c>
      <c r="M441" t="s">
        <v>11</v>
      </c>
      <c r="N441">
        <v>330421859</v>
      </c>
      <c r="O441">
        <v>170288</v>
      </c>
      <c r="Q441" t="s">
        <v>797</v>
      </c>
      <c r="R441">
        <v>170288</v>
      </c>
    </row>
    <row r="442" spans="2:18">
      <c r="B442" t="s">
        <v>11</v>
      </c>
      <c r="C442">
        <v>330421860</v>
      </c>
      <c r="D442" t="s">
        <v>54</v>
      </c>
      <c r="E442" s="202">
        <v>1493.92</v>
      </c>
      <c r="F442">
        <v>1493.92</v>
      </c>
      <c r="J442" s="209">
        <v>45684</v>
      </c>
      <c r="K442" s="209">
        <v>45684</v>
      </c>
      <c r="M442" t="s">
        <v>11</v>
      </c>
      <c r="N442">
        <v>330421860</v>
      </c>
      <c r="O442">
        <v>170288</v>
      </c>
      <c r="Q442" t="s">
        <v>798</v>
      </c>
      <c r="R442">
        <v>170288</v>
      </c>
    </row>
    <row r="443" spans="2:18">
      <c r="B443" t="s">
        <v>11</v>
      </c>
      <c r="C443">
        <v>330421861</v>
      </c>
      <c r="D443" t="s">
        <v>54</v>
      </c>
      <c r="E443" s="202">
        <v>1255.42</v>
      </c>
      <c r="F443">
        <v>1255.42</v>
      </c>
      <c r="J443" s="209">
        <v>45684</v>
      </c>
      <c r="K443" s="209">
        <v>45684</v>
      </c>
      <c r="M443" t="s">
        <v>11</v>
      </c>
      <c r="N443">
        <v>330421861</v>
      </c>
      <c r="O443">
        <v>170288</v>
      </c>
      <c r="Q443" t="s">
        <v>799</v>
      </c>
      <c r="R443">
        <v>170288</v>
      </c>
    </row>
    <row r="444" spans="2:18">
      <c r="B444" t="s">
        <v>11</v>
      </c>
      <c r="C444">
        <v>330421862</v>
      </c>
      <c r="D444" t="s">
        <v>54</v>
      </c>
      <c r="E444">
        <v>173.15</v>
      </c>
      <c r="F444">
        <v>173.15</v>
      </c>
      <c r="J444" s="209">
        <v>45684</v>
      </c>
      <c r="K444" s="209">
        <v>45684</v>
      </c>
      <c r="M444" t="s">
        <v>11</v>
      </c>
      <c r="N444">
        <v>330421862</v>
      </c>
      <c r="O444">
        <v>170288</v>
      </c>
      <c r="Q444" t="s">
        <v>800</v>
      </c>
      <c r="R444">
        <v>170288</v>
      </c>
    </row>
    <row r="445" spans="2:18">
      <c r="B445" t="s">
        <v>11</v>
      </c>
      <c r="C445">
        <v>330421863</v>
      </c>
      <c r="D445" t="s">
        <v>54</v>
      </c>
      <c r="E445">
        <v>935</v>
      </c>
      <c r="F445">
        <v>935</v>
      </c>
      <c r="J445" s="209">
        <v>45684</v>
      </c>
      <c r="K445" s="209">
        <v>45684</v>
      </c>
      <c r="M445" t="s">
        <v>11</v>
      </c>
      <c r="N445">
        <v>330421863</v>
      </c>
      <c r="O445">
        <v>170288</v>
      </c>
      <c r="Q445" t="s">
        <v>801</v>
      </c>
      <c r="R445">
        <v>170288</v>
      </c>
    </row>
    <row r="446" spans="2:18">
      <c r="B446" t="s">
        <v>11</v>
      </c>
      <c r="C446">
        <v>330421864</v>
      </c>
      <c r="D446" t="s">
        <v>54</v>
      </c>
      <c r="E446" s="202">
        <v>1511.97</v>
      </c>
      <c r="F446">
        <v>1511.97</v>
      </c>
      <c r="J446" s="209">
        <v>45684</v>
      </c>
      <c r="K446" s="209">
        <v>45684</v>
      </c>
      <c r="M446" t="s">
        <v>11</v>
      </c>
      <c r="N446">
        <v>330421864</v>
      </c>
      <c r="O446">
        <v>170288</v>
      </c>
      <c r="Q446" t="s">
        <v>802</v>
      </c>
      <c r="R446">
        <v>170288</v>
      </c>
    </row>
    <row r="447" spans="2:18">
      <c r="B447" t="s">
        <v>11</v>
      </c>
      <c r="C447">
        <v>330421865</v>
      </c>
      <c r="D447" t="s">
        <v>54</v>
      </c>
      <c r="E447">
        <v>86.66</v>
      </c>
      <c r="F447">
        <v>86.66</v>
      </c>
      <c r="J447" s="209">
        <v>45684</v>
      </c>
      <c r="K447" s="209">
        <v>45684</v>
      </c>
      <c r="M447" t="s">
        <v>11</v>
      </c>
      <c r="N447">
        <v>330421865</v>
      </c>
      <c r="O447">
        <v>170288</v>
      </c>
      <c r="Q447" t="s">
        <v>131</v>
      </c>
      <c r="R447">
        <v>170288</v>
      </c>
    </row>
    <row r="448" spans="2:18">
      <c r="B448" t="s">
        <v>11</v>
      </c>
      <c r="C448">
        <v>330421866</v>
      </c>
      <c r="D448" t="s">
        <v>54</v>
      </c>
      <c r="E448">
        <v>300</v>
      </c>
      <c r="F448">
        <v>300</v>
      </c>
      <c r="J448" s="209">
        <v>45684</v>
      </c>
      <c r="K448" s="209">
        <v>45684</v>
      </c>
      <c r="M448" t="s">
        <v>11</v>
      </c>
      <c r="N448">
        <v>330421866</v>
      </c>
      <c r="O448">
        <v>170288</v>
      </c>
      <c r="Q448" t="s">
        <v>803</v>
      </c>
      <c r="R448">
        <v>170288</v>
      </c>
    </row>
    <row r="449" spans="2:18">
      <c r="B449" t="s">
        <v>11</v>
      </c>
      <c r="C449">
        <v>330421867</v>
      </c>
      <c r="D449" t="s">
        <v>54</v>
      </c>
      <c r="E449" s="202">
        <v>1189.96</v>
      </c>
      <c r="F449">
        <v>1189.96</v>
      </c>
      <c r="J449" s="209">
        <v>45684</v>
      </c>
      <c r="K449" s="209">
        <v>45684</v>
      </c>
      <c r="M449" t="s">
        <v>11</v>
      </c>
      <c r="N449">
        <v>330421867</v>
      </c>
      <c r="O449">
        <v>170288</v>
      </c>
      <c r="Q449" t="s">
        <v>378</v>
      </c>
      <c r="R449">
        <v>170288</v>
      </c>
    </row>
    <row r="450" spans="2:18">
      <c r="B450" t="s">
        <v>11</v>
      </c>
      <c r="C450">
        <v>330421868</v>
      </c>
      <c r="D450" t="s">
        <v>54</v>
      </c>
      <c r="E450">
        <v>66.89</v>
      </c>
      <c r="F450">
        <v>66.89</v>
      </c>
      <c r="J450" s="209">
        <v>45684</v>
      </c>
      <c r="K450" s="209">
        <v>45684</v>
      </c>
      <c r="M450" t="s">
        <v>11</v>
      </c>
      <c r="N450">
        <v>330421868</v>
      </c>
      <c r="O450">
        <v>170288</v>
      </c>
      <c r="Q450" t="s">
        <v>804</v>
      </c>
      <c r="R450">
        <v>170288</v>
      </c>
    </row>
    <row r="451" spans="2:18">
      <c r="B451" t="s">
        <v>11</v>
      </c>
      <c r="C451">
        <v>330421869</v>
      </c>
      <c r="D451" t="s">
        <v>54</v>
      </c>
      <c r="E451">
        <v>84.37</v>
      </c>
      <c r="F451">
        <v>84.37</v>
      </c>
      <c r="J451" s="209">
        <v>45684</v>
      </c>
      <c r="K451" s="209">
        <v>45684</v>
      </c>
      <c r="M451" t="s">
        <v>11</v>
      </c>
      <c r="N451">
        <v>330421869</v>
      </c>
      <c r="O451">
        <v>170288</v>
      </c>
      <c r="Q451" t="s">
        <v>379</v>
      </c>
      <c r="R451">
        <v>170288</v>
      </c>
    </row>
    <row r="452" spans="2:18">
      <c r="B452" t="s">
        <v>11</v>
      </c>
      <c r="C452">
        <v>330421870</v>
      </c>
      <c r="D452" t="s">
        <v>54</v>
      </c>
      <c r="E452" s="202">
        <v>1398.52</v>
      </c>
      <c r="F452">
        <v>1398.52</v>
      </c>
      <c r="J452" s="209">
        <v>45684</v>
      </c>
      <c r="K452" s="209">
        <v>45684</v>
      </c>
      <c r="M452" t="s">
        <v>11</v>
      </c>
      <c r="N452">
        <v>330421870</v>
      </c>
      <c r="O452">
        <v>170288</v>
      </c>
      <c r="Q452" t="s">
        <v>805</v>
      </c>
      <c r="R452">
        <v>170288</v>
      </c>
    </row>
    <row r="453" spans="2:18">
      <c r="B453" t="s">
        <v>11</v>
      </c>
      <c r="C453">
        <v>330421871</v>
      </c>
      <c r="D453" t="s">
        <v>54</v>
      </c>
      <c r="E453" s="202">
        <v>1493.92</v>
      </c>
      <c r="F453">
        <v>1493.92</v>
      </c>
      <c r="J453" s="209">
        <v>45684</v>
      </c>
      <c r="K453" s="209">
        <v>45684</v>
      </c>
      <c r="M453" t="s">
        <v>11</v>
      </c>
      <c r="N453">
        <v>330421871</v>
      </c>
      <c r="O453">
        <v>170288</v>
      </c>
      <c r="Q453" t="s">
        <v>806</v>
      </c>
      <c r="R453">
        <v>170288</v>
      </c>
    </row>
    <row r="454" spans="2:18">
      <c r="B454" t="s">
        <v>11</v>
      </c>
      <c r="C454">
        <v>330421872</v>
      </c>
      <c r="D454" t="s">
        <v>54</v>
      </c>
      <c r="E454" s="202">
        <v>1493.92</v>
      </c>
      <c r="F454">
        <v>1493.92</v>
      </c>
      <c r="J454" s="209">
        <v>45684</v>
      </c>
      <c r="K454" s="209">
        <v>45684</v>
      </c>
      <c r="M454" t="s">
        <v>11</v>
      </c>
      <c r="N454">
        <v>330421872</v>
      </c>
      <c r="O454">
        <v>170288</v>
      </c>
      <c r="Q454" t="s">
        <v>807</v>
      </c>
      <c r="R454">
        <v>170288</v>
      </c>
    </row>
    <row r="455" spans="2:18">
      <c r="B455" t="s">
        <v>11</v>
      </c>
      <c r="C455">
        <v>330421873</v>
      </c>
      <c r="D455" t="s">
        <v>54</v>
      </c>
      <c r="E455" s="202">
        <v>1672.98</v>
      </c>
      <c r="F455">
        <v>1672.98</v>
      </c>
      <c r="J455" s="209">
        <v>45684</v>
      </c>
      <c r="K455" s="209">
        <v>45684</v>
      </c>
      <c r="M455" t="s">
        <v>11</v>
      </c>
      <c r="N455">
        <v>330421873</v>
      </c>
      <c r="O455">
        <v>170288</v>
      </c>
      <c r="Q455" t="s">
        <v>808</v>
      </c>
      <c r="R455">
        <v>170288</v>
      </c>
    </row>
    <row r="456" spans="2:18">
      <c r="B456" t="s">
        <v>11</v>
      </c>
      <c r="C456">
        <v>330421874</v>
      </c>
      <c r="D456" t="s">
        <v>54</v>
      </c>
      <c r="E456">
        <v>460.8</v>
      </c>
      <c r="F456">
        <v>460.8</v>
      </c>
      <c r="J456" s="209">
        <v>45684</v>
      </c>
      <c r="K456" s="209">
        <v>45684</v>
      </c>
      <c r="M456" t="s">
        <v>11</v>
      </c>
      <c r="N456">
        <v>330421874</v>
      </c>
      <c r="O456">
        <v>170288</v>
      </c>
      <c r="Q456" t="s">
        <v>809</v>
      </c>
      <c r="R456">
        <v>170288</v>
      </c>
    </row>
    <row r="457" spans="2:18">
      <c r="B457" t="s">
        <v>11</v>
      </c>
      <c r="C457">
        <v>330421875</v>
      </c>
      <c r="D457" t="s">
        <v>54</v>
      </c>
      <c r="E457">
        <v>728.47</v>
      </c>
      <c r="F457">
        <v>728.47</v>
      </c>
      <c r="J457" s="209">
        <v>45684</v>
      </c>
      <c r="K457" s="209">
        <v>45684</v>
      </c>
      <c r="M457" t="s">
        <v>11</v>
      </c>
      <c r="N457">
        <v>330421875</v>
      </c>
      <c r="O457">
        <v>170288</v>
      </c>
      <c r="Q457" t="s">
        <v>810</v>
      </c>
      <c r="R457">
        <v>170288</v>
      </c>
    </row>
    <row r="458" spans="2:18">
      <c r="B458" t="s">
        <v>11</v>
      </c>
      <c r="C458">
        <v>330421876</v>
      </c>
      <c r="D458" t="s">
        <v>54</v>
      </c>
      <c r="E458">
        <v>30</v>
      </c>
      <c r="F458">
        <v>30</v>
      </c>
      <c r="J458" s="209">
        <v>45684</v>
      </c>
      <c r="K458" s="209">
        <v>45684</v>
      </c>
      <c r="M458" t="s">
        <v>11</v>
      </c>
      <c r="N458">
        <v>330421876</v>
      </c>
      <c r="O458">
        <v>170288</v>
      </c>
      <c r="Q458" t="s">
        <v>811</v>
      </c>
      <c r="R458">
        <v>170288</v>
      </c>
    </row>
    <row r="459" spans="2:18">
      <c r="B459" t="s">
        <v>11</v>
      </c>
      <c r="C459">
        <v>330421877</v>
      </c>
      <c r="D459" t="s">
        <v>54</v>
      </c>
      <c r="E459">
        <v>320.33999999999997</v>
      </c>
      <c r="F459">
        <v>320.33999999999997</v>
      </c>
      <c r="J459" s="209">
        <v>45684</v>
      </c>
      <c r="K459" s="209">
        <v>45684</v>
      </c>
      <c r="M459" t="s">
        <v>11</v>
      </c>
      <c r="N459">
        <v>330421877</v>
      </c>
      <c r="O459">
        <v>170288</v>
      </c>
      <c r="Q459" t="s">
        <v>812</v>
      </c>
      <c r="R459">
        <v>170288</v>
      </c>
    </row>
    <row r="460" spans="2:18">
      <c r="B460" t="s">
        <v>11</v>
      </c>
      <c r="C460">
        <v>330421878</v>
      </c>
      <c r="D460" t="s">
        <v>54</v>
      </c>
      <c r="E460">
        <v>708.56</v>
      </c>
      <c r="F460">
        <v>708.56</v>
      </c>
      <c r="J460" s="209">
        <v>45684</v>
      </c>
      <c r="K460" s="209">
        <v>45684</v>
      </c>
      <c r="M460" t="s">
        <v>11</v>
      </c>
      <c r="N460">
        <v>330421878</v>
      </c>
      <c r="O460">
        <v>170288</v>
      </c>
      <c r="Q460" t="s">
        <v>813</v>
      </c>
      <c r="R460">
        <v>170288</v>
      </c>
    </row>
    <row r="461" spans="2:18">
      <c r="B461" t="s">
        <v>11</v>
      </c>
      <c r="C461">
        <v>330421879</v>
      </c>
      <c r="D461" t="s">
        <v>54</v>
      </c>
      <c r="E461" s="202">
        <v>3263.36</v>
      </c>
      <c r="F461">
        <v>3263.36</v>
      </c>
      <c r="J461" s="209">
        <v>45684</v>
      </c>
      <c r="K461" s="209">
        <v>45684</v>
      </c>
      <c r="M461" t="s">
        <v>11</v>
      </c>
      <c r="N461">
        <v>330421879</v>
      </c>
      <c r="O461">
        <v>170288</v>
      </c>
      <c r="Q461" t="s">
        <v>814</v>
      </c>
      <c r="R461">
        <v>170288</v>
      </c>
    </row>
    <row r="462" spans="2:18">
      <c r="B462" t="s">
        <v>11</v>
      </c>
      <c r="C462">
        <v>330421880</v>
      </c>
      <c r="D462" t="s">
        <v>54</v>
      </c>
      <c r="E462">
        <v>729.15</v>
      </c>
      <c r="F462">
        <v>729.15</v>
      </c>
      <c r="J462" s="209">
        <v>45684</v>
      </c>
      <c r="K462" s="209">
        <v>45684</v>
      </c>
      <c r="M462" t="s">
        <v>11</v>
      </c>
      <c r="N462">
        <v>330421880</v>
      </c>
      <c r="O462">
        <v>170288</v>
      </c>
      <c r="Q462" t="s">
        <v>815</v>
      </c>
      <c r="R462">
        <v>170288</v>
      </c>
    </row>
    <row r="463" spans="2:18">
      <c r="B463" t="s">
        <v>11</v>
      </c>
      <c r="C463">
        <v>330421881</v>
      </c>
      <c r="D463" t="s">
        <v>54</v>
      </c>
      <c r="E463" s="202">
        <v>1565.64</v>
      </c>
      <c r="F463">
        <v>1565.64</v>
      </c>
      <c r="J463" s="209">
        <v>45684</v>
      </c>
      <c r="K463" s="209">
        <v>45684</v>
      </c>
      <c r="M463" t="s">
        <v>11</v>
      </c>
      <c r="N463">
        <v>330421881</v>
      </c>
      <c r="O463">
        <v>170288</v>
      </c>
      <c r="Q463" t="s">
        <v>536</v>
      </c>
      <c r="R463">
        <v>170288</v>
      </c>
    </row>
    <row r="464" spans="2:18">
      <c r="B464" t="s">
        <v>11</v>
      </c>
      <c r="C464">
        <v>330421882</v>
      </c>
      <c r="D464" t="s">
        <v>54</v>
      </c>
      <c r="E464" s="202">
        <v>1565.64</v>
      </c>
      <c r="F464">
        <v>1565.64</v>
      </c>
      <c r="J464" s="209">
        <v>45684</v>
      </c>
      <c r="K464" s="209">
        <v>45684</v>
      </c>
      <c r="M464" t="s">
        <v>11</v>
      </c>
      <c r="N464">
        <v>330421882</v>
      </c>
      <c r="O464">
        <v>170288</v>
      </c>
      <c r="Q464" t="s">
        <v>537</v>
      </c>
      <c r="R464">
        <v>170288</v>
      </c>
    </row>
    <row r="465" spans="2:18">
      <c r="B465" t="s">
        <v>11</v>
      </c>
      <c r="C465">
        <v>330421883</v>
      </c>
      <c r="D465" t="s">
        <v>54</v>
      </c>
      <c r="E465" s="202">
        <v>1511.97</v>
      </c>
      <c r="F465">
        <v>1511.97</v>
      </c>
      <c r="J465" s="209">
        <v>45684</v>
      </c>
      <c r="K465" s="209">
        <v>45684</v>
      </c>
      <c r="M465" t="s">
        <v>11</v>
      </c>
      <c r="N465">
        <v>330421883</v>
      </c>
      <c r="O465">
        <v>170288</v>
      </c>
      <c r="Q465" t="s">
        <v>816</v>
      </c>
      <c r="R465">
        <v>170288</v>
      </c>
    </row>
    <row r="466" spans="2:18">
      <c r="B466" t="s">
        <v>11</v>
      </c>
      <c r="C466">
        <v>330421884</v>
      </c>
      <c r="D466" t="s">
        <v>54</v>
      </c>
      <c r="E466" s="202">
        <v>1398.52</v>
      </c>
      <c r="F466">
        <v>1398.52</v>
      </c>
      <c r="J466" s="209">
        <v>45684</v>
      </c>
      <c r="K466" s="209">
        <v>45684</v>
      </c>
      <c r="M466" t="s">
        <v>11</v>
      </c>
      <c r="N466">
        <v>330421884</v>
      </c>
      <c r="O466">
        <v>170288</v>
      </c>
      <c r="Q466" t="s">
        <v>817</v>
      </c>
      <c r="R466">
        <v>170288</v>
      </c>
    </row>
    <row r="467" spans="2:18">
      <c r="B467" t="s">
        <v>11</v>
      </c>
      <c r="C467">
        <v>330421885</v>
      </c>
      <c r="D467" t="s">
        <v>54</v>
      </c>
      <c r="E467" s="202">
        <v>1255.42</v>
      </c>
      <c r="F467">
        <v>1255.42</v>
      </c>
      <c r="J467" s="209">
        <v>45684</v>
      </c>
      <c r="K467" s="209">
        <v>45684</v>
      </c>
      <c r="M467" t="s">
        <v>11</v>
      </c>
      <c r="N467">
        <v>330421885</v>
      </c>
      <c r="O467">
        <v>170288</v>
      </c>
      <c r="Q467" t="s">
        <v>818</v>
      </c>
      <c r="R467">
        <v>170288</v>
      </c>
    </row>
    <row r="468" spans="2:18">
      <c r="B468" t="s">
        <v>11</v>
      </c>
      <c r="C468">
        <v>330421886</v>
      </c>
      <c r="D468" t="s">
        <v>54</v>
      </c>
      <c r="E468" s="202">
        <v>1207.72</v>
      </c>
      <c r="F468">
        <v>1207.72</v>
      </c>
      <c r="J468" s="209">
        <v>45684</v>
      </c>
      <c r="K468" s="209">
        <v>45684</v>
      </c>
      <c r="M468" t="s">
        <v>11</v>
      </c>
      <c r="N468">
        <v>330421886</v>
      </c>
      <c r="O468">
        <v>170288</v>
      </c>
      <c r="Q468" t="s">
        <v>539</v>
      </c>
      <c r="R468">
        <v>170288</v>
      </c>
    </row>
    <row r="469" spans="2:18">
      <c r="B469" t="s">
        <v>11</v>
      </c>
      <c r="C469">
        <v>330421887</v>
      </c>
      <c r="D469" t="s">
        <v>54</v>
      </c>
      <c r="E469" s="202">
        <v>1672.98</v>
      </c>
      <c r="F469">
        <v>1672.98</v>
      </c>
      <c r="J469" s="209">
        <v>45684</v>
      </c>
      <c r="K469" s="209">
        <v>45684</v>
      </c>
      <c r="M469" t="s">
        <v>11</v>
      </c>
      <c r="N469">
        <v>330421887</v>
      </c>
      <c r="O469">
        <v>170288</v>
      </c>
      <c r="Q469" t="s">
        <v>819</v>
      </c>
      <c r="R469">
        <v>170288</v>
      </c>
    </row>
    <row r="470" spans="2:18">
      <c r="B470" t="s">
        <v>11</v>
      </c>
      <c r="C470">
        <v>330421888</v>
      </c>
      <c r="D470" t="s">
        <v>54</v>
      </c>
      <c r="E470" s="202">
        <v>1398.52</v>
      </c>
      <c r="F470">
        <v>1398.52</v>
      </c>
      <c r="J470" s="209">
        <v>45684</v>
      </c>
      <c r="K470" s="209">
        <v>45684</v>
      </c>
      <c r="M470" t="s">
        <v>11</v>
      </c>
      <c r="N470">
        <v>330421888</v>
      </c>
      <c r="O470">
        <v>170288</v>
      </c>
      <c r="Q470" t="s">
        <v>820</v>
      </c>
      <c r="R470">
        <v>170288</v>
      </c>
    </row>
    <row r="471" spans="2:18">
      <c r="B471" t="s">
        <v>11</v>
      </c>
      <c r="C471">
        <v>330421889</v>
      </c>
      <c r="D471" t="s">
        <v>54</v>
      </c>
      <c r="E471" s="202">
        <v>1350.82</v>
      </c>
      <c r="F471">
        <v>1350.82</v>
      </c>
      <c r="J471" s="209">
        <v>45684</v>
      </c>
      <c r="K471" s="209">
        <v>45684</v>
      </c>
      <c r="M471" t="s">
        <v>11</v>
      </c>
      <c r="N471">
        <v>330421889</v>
      </c>
      <c r="O471">
        <v>170288</v>
      </c>
      <c r="Q471" t="s">
        <v>821</v>
      </c>
      <c r="R471">
        <v>170288</v>
      </c>
    </row>
    <row r="472" spans="2:18">
      <c r="B472" t="s">
        <v>11</v>
      </c>
      <c r="C472">
        <v>330421890</v>
      </c>
      <c r="D472" t="s">
        <v>54</v>
      </c>
      <c r="E472" s="202">
        <v>1565.64</v>
      </c>
      <c r="F472">
        <v>1565.64</v>
      </c>
      <c r="J472" s="209">
        <v>45684</v>
      </c>
      <c r="K472" s="209">
        <v>45684</v>
      </c>
      <c r="M472" t="s">
        <v>11</v>
      </c>
      <c r="N472">
        <v>330421890</v>
      </c>
      <c r="O472">
        <v>170288</v>
      </c>
      <c r="Q472" t="s">
        <v>541</v>
      </c>
      <c r="R472">
        <v>170288</v>
      </c>
    </row>
    <row r="473" spans="2:18">
      <c r="B473" t="s">
        <v>11</v>
      </c>
      <c r="C473">
        <v>330421891</v>
      </c>
      <c r="D473" t="s">
        <v>54</v>
      </c>
      <c r="E473" s="202">
        <v>1350.82</v>
      </c>
      <c r="F473">
        <v>1350.82</v>
      </c>
      <c r="J473" s="209">
        <v>45684</v>
      </c>
      <c r="K473" s="209">
        <v>45684</v>
      </c>
      <c r="M473" t="s">
        <v>11</v>
      </c>
      <c r="N473">
        <v>330421891</v>
      </c>
      <c r="O473">
        <v>170288</v>
      </c>
      <c r="Q473" t="s">
        <v>822</v>
      </c>
      <c r="R473">
        <v>170288</v>
      </c>
    </row>
    <row r="474" spans="2:18">
      <c r="B474" t="s">
        <v>11</v>
      </c>
      <c r="C474">
        <v>330421892</v>
      </c>
      <c r="D474" t="s">
        <v>54</v>
      </c>
      <c r="E474">
        <v>873.81</v>
      </c>
      <c r="F474">
        <v>873.81</v>
      </c>
      <c r="J474" s="209">
        <v>45684</v>
      </c>
      <c r="K474" s="209">
        <v>45684</v>
      </c>
      <c r="M474" t="s">
        <v>11</v>
      </c>
      <c r="N474">
        <v>330421892</v>
      </c>
      <c r="O474">
        <v>170288</v>
      </c>
      <c r="Q474" t="s">
        <v>823</v>
      </c>
      <c r="R474">
        <v>170288</v>
      </c>
    </row>
    <row r="475" spans="2:18">
      <c r="B475" t="s">
        <v>11</v>
      </c>
      <c r="C475">
        <v>330421893</v>
      </c>
      <c r="D475" t="s">
        <v>54</v>
      </c>
      <c r="E475">
        <v>873.81</v>
      </c>
      <c r="F475">
        <v>873.81</v>
      </c>
      <c r="J475" s="209">
        <v>45684</v>
      </c>
      <c r="K475" s="209">
        <v>45684</v>
      </c>
      <c r="M475" t="s">
        <v>11</v>
      </c>
      <c r="N475">
        <v>330421893</v>
      </c>
      <c r="O475">
        <v>170288</v>
      </c>
      <c r="Q475" t="s">
        <v>824</v>
      </c>
      <c r="R475">
        <v>170288</v>
      </c>
    </row>
    <row r="476" spans="2:18">
      <c r="B476" t="s">
        <v>11</v>
      </c>
      <c r="C476">
        <v>330421894</v>
      </c>
      <c r="D476" t="s">
        <v>54</v>
      </c>
      <c r="E476">
        <v>651.55999999999995</v>
      </c>
      <c r="F476">
        <v>651.55999999999995</v>
      </c>
      <c r="J476" s="209">
        <v>45684</v>
      </c>
      <c r="K476" s="209">
        <v>45684</v>
      </c>
      <c r="M476" t="s">
        <v>11</v>
      </c>
      <c r="N476">
        <v>330421894</v>
      </c>
      <c r="O476">
        <v>170288</v>
      </c>
      <c r="Q476" t="s">
        <v>825</v>
      </c>
      <c r="R476">
        <v>170288</v>
      </c>
    </row>
    <row r="477" spans="2:18">
      <c r="B477" t="s">
        <v>11</v>
      </c>
      <c r="C477">
        <v>330421895</v>
      </c>
      <c r="D477" t="s">
        <v>54</v>
      </c>
      <c r="E477" s="202">
        <v>1404.63</v>
      </c>
      <c r="F477">
        <v>1404.63</v>
      </c>
      <c r="J477" s="209">
        <v>45684</v>
      </c>
      <c r="K477" s="209">
        <v>45684</v>
      </c>
      <c r="M477" t="s">
        <v>11</v>
      </c>
      <c r="N477">
        <v>330421895</v>
      </c>
      <c r="O477">
        <v>170288</v>
      </c>
      <c r="Q477" t="s">
        <v>826</v>
      </c>
      <c r="R477">
        <v>170288</v>
      </c>
    </row>
    <row r="478" spans="2:18">
      <c r="B478" t="s">
        <v>11</v>
      </c>
      <c r="C478">
        <v>330421896</v>
      </c>
      <c r="D478" t="s">
        <v>54</v>
      </c>
      <c r="E478" s="202">
        <v>1493.92</v>
      </c>
      <c r="F478">
        <v>1493.92</v>
      </c>
      <c r="J478" s="209">
        <v>45684</v>
      </c>
      <c r="K478" s="209">
        <v>45684</v>
      </c>
      <c r="M478" t="s">
        <v>11</v>
      </c>
      <c r="N478">
        <v>330421896</v>
      </c>
      <c r="O478">
        <v>170288</v>
      </c>
      <c r="Q478" t="s">
        <v>827</v>
      </c>
      <c r="R478">
        <v>170288</v>
      </c>
    </row>
    <row r="479" spans="2:18">
      <c r="B479" t="s">
        <v>11</v>
      </c>
      <c r="C479">
        <v>330421897</v>
      </c>
      <c r="D479" t="s">
        <v>54</v>
      </c>
      <c r="E479" s="202">
        <v>1255.42</v>
      </c>
      <c r="F479">
        <v>1255.42</v>
      </c>
      <c r="J479" s="209">
        <v>45684</v>
      </c>
      <c r="K479" s="209">
        <v>45684</v>
      </c>
      <c r="M479" t="s">
        <v>11</v>
      </c>
      <c r="N479">
        <v>330421897</v>
      </c>
      <c r="O479">
        <v>170288</v>
      </c>
      <c r="Q479" t="s">
        <v>828</v>
      </c>
      <c r="R479">
        <v>170288</v>
      </c>
    </row>
    <row r="480" spans="2:18">
      <c r="B480" t="s">
        <v>11</v>
      </c>
      <c r="C480">
        <v>330421898</v>
      </c>
      <c r="D480" t="s">
        <v>54</v>
      </c>
      <c r="E480">
        <v>365.4</v>
      </c>
      <c r="F480">
        <v>365.4</v>
      </c>
      <c r="J480" s="209">
        <v>45684</v>
      </c>
      <c r="K480" s="209">
        <v>45684</v>
      </c>
      <c r="M480" t="s">
        <v>11</v>
      </c>
      <c r="N480">
        <v>330421898</v>
      </c>
      <c r="O480">
        <v>170288</v>
      </c>
      <c r="Q480" t="s">
        <v>383</v>
      </c>
      <c r="R480">
        <v>170288</v>
      </c>
    </row>
    <row r="481" spans="2:18">
      <c r="B481" t="s">
        <v>11</v>
      </c>
      <c r="C481">
        <v>330421899</v>
      </c>
      <c r="D481" t="s">
        <v>54</v>
      </c>
      <c r="E481" s="202">
        <v>1511.97</v>
      </c>
      <c r="F481">
        <v>1511.97</v>
      </c>
      <c r="J481" s="209">
        <v>45684</v>
      </c>
      <c r="K481" s="209">
        <v>45684</v>
      </c>
      <c r="M481" t="s">
        <v>11</v>
      </c>
      <c r="N481">
        <v>330421899</v>
      </c>
      <c r="O481">
        <v>170288</v>
      </c>
      <c r="Q481" t="s">
        <v>829</v>
      </c>
      <c r="R481">
        <v>170288</v>
      </c>
    </row>
    <row r="482" spans="2:18">
      <c r="B482" t="s">
        <v>11</v>
      </c>
      <c r="C482">
        <v>330421900</v>
      </c>
      <c r="D482" t="s">
        <v>54</v>
      </c>
      <c r="E482" s="202">
        <v>1350.82</v>
      </c>
      <c r="F482">
        <v>1350.82</v>
      </c>
      <c r="J482" s="209">
        <v>45684</v>
      </c>
      <c r="K482" s="209">
        <v>45684</v>
      </c>
      <c r="M482" t="s">
        <v>11</v>
      </c>
      <c r="N482">
        <v>330421900</v>
      </c>
      <c r="O482">
        <v>170288</v>
      </c>
      <c r="Q482" t="s">
        <v>830</v>
      </c>
      <c r="R482">
        <v>170288</v>
      </c>
    </row>
    <row r="483" spans="2:18">
      <c r="B483" t="s">
        <v>11</v>
      </c>
      <c r="C483">
        <v>330421901</v>
      </c>
      <c r="D483" t="s">
        <v>54</v>
      </c>
      <c r="E483" s="202">
        <v>1112.31</v>
      </c>
      <c r="F483">
        <v>1112.31</v>
      </c>
      <c r="J483" s="209">
        <v>45684</v>
      </c>
      <c r="K483" s="209">
        <v>45684</v>
      </c>
      <c r="M483" t="s">
        <v>11</v>
      </c>
      <c r="N483">
        <v>330421901</v>
      </c>
      <c r="O483">
        <v>170288</v>
      </c>
      <c r="Q483" t="s">
        <v>831</v>
      </c>
      <c r="R483">
        <v>170288</v>
      </c>
    </row>
    <row r="484" spans="2:18">
      <c r="B484" t="s">
        <v>11</v>
      </c>
      <c r="C484">
        <v>330421902</v>
      </c>
      <c r="D484" t="s">
        <v>54</v>
      </c>
      <c r="E484" s="202">
        <v>2537.5</v>
      </c>
      <c r="F484">
        <v>2537.5</v>
      </c>
      <c r="J484" s="209">
        <v>45684</v>
      </c>
      <c r="K484" s="209">
        <v>45684</v>
      </c>
      <c r="M484" t="s">
        <v>11</v>
      </c>
      <c r="N484">
        <v>330421902</v>
      </c>
      <c r="O484">
        <v>170288</v>
      </c>
      <c r="Q484" t="s">
        <v>832</v>
      </c>
      <c r="R484">
        <v>170288</v>
      </c>
    </row>
    <row r="485" spans="2:18">
      <c r="B485" t="s">
        <v>11</v>
      </c>
      <c r="C485">
        <v>330421903</v>
      </c>
      <c r="D485" t="s">
        <v>54</v>
      </c>
      <c r="E485" s="202">
        <v>1350.82</v>
      </c>
      <c r="F485">
        <v>1350.82</v>
      </c>
      <c r="J485" s="209">
        <v>45684</v>
      </c>
      <c r="K485" s="209">
        <v>45684</v>
      </c>
      <c r="M485" t="s">
        <v>11</v>
      </c>
      <c r="N485">
        <v>330421903</v>
      </c>
      <c r="O485">
        <v>170288</v>
      </c>
      <c r="Q485" t="s">
        <v>384</v>
      </c>
      <c r="R485">
        <v>170288</v>
      </c>
    </row>
    <row r="486" spans="2:18">
      <c r="B486" t="s">
        <v>11</v>
      </c>
      <c r="C486">
        <v>330421904</v>
      </c>
      <c r="D486" t="s">
        <v>54</v>
      </c>
      <c r="E486" s="202">
        <v>1404.63</v>
      </c>
      <c r="F486">
        <v>1404.63</v>
      </c>
      <c r="J486" s="209">
        <v>45684</v>
      </c>
      <c r="K486" s="209">
        <v>45684</v>
      </c>
      <c r="M486" t="s">
        <v>11</v>
      </c>
      <c r="N486">
        <v>330421904</v>
      </c>
      <c r="O486">
        <v>170288</v>
      </c>
      <c r="Q486" t="s">
        <v>833</v>
      </c>
      <c r="R486">
        <v>170288</v>
      </c>
    </row>
    <row r="487" spans="2:18">
      <c r="B487" t="s">
        <v>11</v>
      </c>
      <c r="C487">
        <v>330421905</v>
      </c>
      <c r="D487" t="s">
        <v>54</v>
      </c>
      <c r="E487">
        <v>607</v>
      </c>
      <c r="F487">
        <v>607</v>
      </c>
      <c r="J487" s="209">
        <v>45684</v>
      </c>
      <c r="K487" s="209">
        <v>45684</v>
      </c>
      <c r="M487" t="s">
        <v>11</v>
      </c>
      <c r="N487">
        <v>330421905</v>
      </c>
      <c r="O487">
        <v>170288</v>
      </c>
      <c r="Q487" t="s">
        <v>834</v>
      </c>
      <c r="R487">
        <v>170288</v>
      </c>
    </row>
    <row r="488" spans="2:18">
      <c r="B488" t="s">
        <v>11</v>
      </c>
      <c r="C488">
        <v>330421906</v>
      </c>
      <c r="D488" t="s">
        <v>54</v>
      </c>
      <c r="E488" s="202">
        <v>1511.97</v>
      </c>
      <c r="F488">
        <v>1511.97</v>
      </c>
      <c r="J488" s="209">
        <v>45684</v>
      </c>
      <c r="K488" s="209">
        <v>45684</v>
      </c>
      <c r="M488" t="s">
        <v>11</v>
      </c>
      <c r="N488">
        <v>330421906</v>
      </c>
      <c r="O488">
        <v>170288</v>
      </c>
      <c r="Q488" t="s">
        <v>135</v>
      </c>
      <c r="R488">
        <v>170288</v>
      </c>
    </row>
    <row r="489" spans="2:18">
      <c r="B489" t="s">
        <v>11</v>
      </c>
      <c r="C489">
        <v>330421907</v>
      </c>
      <c r="D489" t="s">
        <v>54</v>
      </c>
      <c r="E489" s="202">
        <v>1398.52</v>
      </c>
      <c r="F489">
        <v>1398.52</v>
      </c>
      <c r="J489" s="209">
        <v>45684</v>
      </c>
      <c r="K489" s="209">
        <v>45684</v>
      </c>
      <c r="M489" t="s">
        <v>11</v>
      </c>
      <c r="N489">
        <v>330421907</v>
      </c>
      <c r="O489">
        <v>170288</v>
      </c>
      <c r="Q489" t="s">
        <v>835</v>
      </c>
      <c r="R489">
        <v>170288</v>
      </c>
    </row>
    <row r="490" spans="2:18">
      <c r="B490" t="s">
        <v>11</v>
      </c>
      <c r="C490">
        <v>330421908</v>
      </c>
      <c r="D490" t="s">
        <v>54</v>
      </c>
      <c r="E490" s="202">
        <v>1255.42</v>
      </c>
      <c r="F490">
        <v>1255.42</v>
      </c>
      <c r="J490" s="209">
        <v>45684</v>
      </c>
      <c r="K490" s="209">
        <v>45684</v>
      </c>
      <c r="M490" t="s">
        <v>11</v>
      </c>
      <c r="N490">
        <v>330421908</v>
      </c>
      <c r="O490">
        <v>170288</v>
      </c>
      <c r="Q490" t="s">
        <v>836</v>
      </c>
      <c r="R490">
        <v>170288</v>
      </c>
    </row>
    <row r="491" spans="2:18">
      <c r="B491" t="s">
        <v>11</v>
      </c>
      <c r="C491">
        <v>330421909</v>
      </c>
      <c r="D491" t="s">
        <v>54</v>
      </c>
      <c r="E491" s="202">
        <v>1493.92</v>
      </c>
      <c r="F491">
        <v>1493.92</v>
      </c>
      <c r="J491" s="209">
        <v>45684</v>
      </c>
      <c r="K491" s="209">
        <v>45684</v>
      </c>
      <c r="M491" t="s">
        <v>11</v>
      </c>
      <c r="N491">
        <v>330421909</v>
      </c>
      <c r="O491">
        <v>170288</v>
      </c>
      <c r="Q491" t="s">
        <v>386</v>
      </c>
      <c r="R491">
        <v>170288</v>
      </c>
    </row>
    <row r="492" spans="2:18">
      <c r="B492" t="s">
        <v>11</v>
      </c>
      <c r="C492">
        <v>330421911</v>
      </c>
      <c r="D492" t="s">
        <v>54</v>
      </c>
      <c r="E492">
        <v>460.76</v>
      </c>
      <c r="F492">
        <v>460.76</v>
      </c>
      <c r="J492" s="209">
        <v>45684</v>
      </c>
      <c r="K492" s="209">
        <v>45684</v>
      </c>
      <c r="M492" t="s">
        <v>11</v>
      </c>
      <c r="N492">
        <v>330421911</v>
      </c>
      <c r="O492">
        <v>170288</v>
      </c>
      <c r="Q492" t="s">
        <v>837</v>
      </c>
      <c r="R492">
        <v>170288</v>
      </c>
    </row>
    <row r="493" spans="2:18">
      <c r="B493" t="s">
        <v>11</v>
      </c>
      <c r="C493">
        <v>330421912</v>
      </c>
      <c r="D493" t="s">
        <v>54</v>
      </c>
      <c r="E493" s="202">
        <v>1565.64</v>
      </c>
      <c r="F493">
        <v>1565.64</v>
      </c>
      <c r="J493" s="209">
        <v>45684</v>
      </c>
      <c r="K493" s="209">
        <v>45684</v>
      </c>
      <c r="M493" t="s">
        <v>11</v>
      </c>
      <c r="N493">
        <v>330421912</v>
      </c>
      <c r="O493">
        <v>170288</v>
      </c>
      <c r="Q493" t="s">
        <v>136</v>
      </c>
      <c r="R493">
        <v>170288</v>
      </c>
    </row>
    <row r="494" spans="2:18">
      <c r="B494" t="s">
        <v>11</v>
      </c>
      <c r="C494">
        <v>330421913</v>
      </c>
      <c r="D494" t="s">
        <v>54</v>
      </c>
      <c r="E494">
        <v>143.19999999999999</v>
      </c>
      <c r="F494">
        <v>143.19999999999999</v>
      </c>
      <c r="J494" s="209">
        <v>45684</v>
      </c>
      <c r="K494" s="209">
        <v>45684</v>
      </c>
      <c r="M494" t="s">
        <v>11</v>
      </c>
      <c r="N494">
        <v>330421913</v>
      </c>
      <c r="O494">
        <v>170288</v>
      </c>
      <c r="Q494" t="s">
        <v>838</v>
      </c>
      <c r="R494">
        <v>170288</v>
      </c>
    </row>
    <row r="495" spans="2:18">
      <c r="B495" t="s">
        <v>11</v>
      </c>
      <c r="C495">
        <v>330421914</v>
      </c>
      <c r="D495" t="s">
        <v>54</v>
      </c>
      <c r="E495" s="202">
        <v>1398.52</v>
      </c>
      <c r="F495">
        <v>1398.52</v>
      </c>
      <c r="J495" s="209">
        <v>45684</v>
      </c>
      <c r="K495" s="209">
        <v>45684</v>
      </c>
      <c r="M495" t="s">
        <v>11</v>
      </c>
      <c r="N495">
        <v>330421914</v>
      </c>
      <c r="O495">
        <v>170288</v>
      </c>
      <c r="Q495" t="s">
        <v>388</v>
      </c>
      <c r="R495">
        <v>170288</v>
      </c>
    </row>
    <row r="496" spans="2:18">
      <c r="B496" t="s">
        <v>11</v>
      </c>
      <c r="C496">
        <v>330421915</v>
      </c>
      <c r="D496" t="s">
        <v>54</v>
      </c>
      <c r="E496" s="202">
        <v>1493.92</v>
      </c>
      <c r="F496">
        <v>1493.92</v>
      </c>
      <c r="J496" s="209">
        <v>45684</v>
      </c>
      <c r="K496" s="209">
        <v>45684</v>
      </c>
      <c r="M496" t="s">
        <v>11</v>
      </c>
      <c r="N496">
        <v>330421915</v>
      </c>
      <c r="O496">
        <v>170288</v>
      </c>
      <c r="Q496" t="s">
        <v>839</v>
      </c>
      <c r="R496">
        <v>170288</v>
      </c>
    </row>
    <row r="497" spans="2:18">
      <c r="B497" t="s">
        <v>11</v>
      </c>
      <c r="C497">
        <v>330421916</v>
      </c>
      <c r="D497" t="s">
        <v>54</v>
      </c>
      <c r="E497" s="202">
        <v>1398.52</v>
      </c>
      <c r="F497">
        <v>1398.52</v>
      </c>
      <c r="J497" s="209">
        <v>45684</v>
      </c>
      <c r="K497" s="209">
        <v>45684</v>
      </c>
      <c r="M497" t="s">
        <v>11</v>
      </c>
      <c r="N497">
        <v>330421916</v>
      </c>
      <c r="O497">
        <v>170288</v>
      </c>
      <c r="Q497" t="s">
        <v>840</v>
      </c>
      <c r="R497">
        <v>170288</v>
      </c>
    </row>
    <row r="498" spans="2:18">
      <c r="B498" t="s">
        <v>11</v>
      </c>
      <c r="C498">
        <v>330421917</v>
      </c>
      <c r="D498" t="s">
        <v>54</v>
      </c>
      <c r="E498" s="202">
        <v>1530.34</v>
      </c>
      <c r="F498">
        <v>1530.34</v>
      </c>
      <c r="J498" s="209">
        <v>45684</v>
      </c>
      <c r="K498" s="209">
        <v>45684</v>
      </c>
      <c r="M498" t="s">
        <v>11</v>
      </c>
      <c r="N498">
        <v>330421917</v>
      </c>
      <c r="O498">
        <v>170288</v>
      </c>
      <c r="Q498" t="s">
        <v>841</v>
      </c>
      <c r="R498">
        <v>170288</v>
      </c>
    </row>
    <row r="499" spans="2:18">
      <c r="B499" t="s">
        <v>11</v>
      </c>
      <c r="C499">
        <v>330421918</v>
      </c>
      <c r="D499" t="s">
        <v>54</v>
      </c>
      <c r="E499" s="202">
        <v>1493.92</v>
      </c>
      <c r="F499">
        <v>1493.92</v>
      </c>
      <c r="J499" s="209">
        <v>45684</v>
      </c>
      <c r="K499" s="209">
        <v>45684</v>
      </c>
      <c r="M499" t="s">
        <v>11</v>
      </c>
      <c r="N499">
        <v>330421918</v>
      </c>
      <c r="O499">
        <v>170288</v>
      </c>
      <c r="Q499" t="s">
        <v>842</v>
      </c>
      <c r="R499">
        <v>170288</v>
      </c>
    </row>
    <row r="500" spans="2:18">
      <c r="B500" t="s">
        <v>11</v>
      </c>
      <c r="C500">
        <v>330421919</v>
      </c>
      <c r="D500" t="s">
        <v>54</v>
      </c>
      <c r="E500" s="202">
        <v>1493.92</v>
      </c>
      <c r="F500">
        <v>1493.92</v>
      </c>
      <c r="J500" s="209">
        <v>45684</v>
      </c>
      <c r="K500" s="209">
        <v>45684</v>
      </c>
      <c r="M500" t="s">
        <v>11</v>
      </c>
      <c r="N500">
        <v>330421919</v>
      </c>
      <c r="O500">
        <v>170288</v>
      </c>
      <c r="Q500" t="s">
        <v>139</v>
      </c>
      <c r="R500">
        <v>170288</v>
      </c>
    </row>
    <row r="501" spans="2:18">
      <c r="B501" t="s">
        <v>11</v>
      </c>
      <c r="C501">
        <v>330421920</v>
      </c>
      <c r="D501" t="s">
        <v>54</v>
      </c>
      <c r="E501" s="202">
        <v>1207.72</v>
      </c>
      <c r="F501">
        <v>1207.72</v>
      </c>
      <c r="J501" s="209">
        <v>45684</v>
      </c>
      <c r="K501" s="209">
        <v>45684</v>
      </c>
      <c r="M501" t="s">
        <v>11</v>
      </c>
      <c r="N501">
        <v>330421920</v>
      </c>
      <c r="O501">
        <v>170288</v>
      </c>
      <c r="Q501" t="s">
        <v>843</v>
      </c>
      <c r="R501">
        <v>170288</v>
      </c>
    </row>
    <row r="502" spans="2:18">
      <c r="B502" t="s">
        <v>11</v>
      </c>
      <c r="C502">
        <v>330421921</v>
      </c>
      <c r="D502" t="s">
        <v>54</v>
      </c>
      <c r="E502">
        <v>873.81</v>
      </c>
      <c r="F502">
        <v>873.81</v>
      </c>
      <c r="J502" s="209">
        <v>45684</v>
      </c>
      <c r="K502" s="209">
        <v>45684</v>
      </c>
      <c r="M502" t="s">
        <v>11</v>
      </c>
      <c r="N502">
        <v>330421921</v>
      </c>
      <c r="O502">
        <v>170288</v>
      </c>
      <c r="Q502" t="s">
        <v>844</v>
      </c>
      <c r="R502">
        <v>170288</v>
      </c>
    </row>
    <row r="503" spans="2:18">
      <c r="B503" t="s">
        <v>11</v>
      </c>
      <c r="C503">
        <v>330421922</v>
      </c>
      <c r="D503" t="s">
        <v>54</v>
      </c>
      <c r="E503" s="202">
        <v>2138.12</v>
      </c>
      <c r="F503">
        <v>2138.12</v>
      </c>
      <c r="J503" s="209">
        <v>45684</v>
      </c>
      <c r="K503" s="209">
        <v>45684</v>
      </c>
      <c r="M503" t="s">
        <v>11</v>
      </c>
      <c r="N503">
        <v>330421922</v>
      </c>
      <c r="O503">
        <v>170288</v>
      </c>
      <c r="Q503" t="s">
        <v>845</v>
      </c>
      <c r="R503">
        <v>170288</v>
      </c>
    </row>
    <row r="504" spans="2:18">
      <c r="B504" t="s">
        <v>11</v>
      </c>
      <c r="C504">
        <v>330421923</v>
      </c>
      <c r="D504" t="s">
        <v>54</v>
      </c>
      <c r="E504">
        <v>873.81</v>
      </c>
      <c r="F504">
        <v>873.81</v>
      </c>
      <c r="J504" s="209">
        <v>45684</v>
      </c>
      <c r="K504" s="209">
        <v>45684</v>
      </c>
      <c r="M504" t="s">
        <v>11</v>
      </c>
      <c r="N504">
        <v>330421923</v>
      </c>
      <c r="O504">
        <v>170288</v>
      </c>
      <c r="Q504" t="s">
        <v>846</v>
      </c>
      <c r="R504">
        <v>170288</v>
      </c>
    </row>
    <row r="505" spans="2:18">
      <c r="B505" t="s">
        <v>11</v>
      </c>
      <c r="C505">
        <v>330421924</v>
      </c>
      <c r="D505" t="s">
        <v>54</v>
      </c>
      <c r="E505" s="202">
        <v>1493.92</v>
      </c>
      <c r="F505">
        <v>1493.92</v>
      </c>
      <c r="J505" s="209">
        <v>45684</v>
      </c>
      <c r="K505" s="209">
        <v>45684</v>
      </c>
      <c r="M505" t="s">
        <v>11</v>
      </c>
      <c r="N505">
        <v>330421924</v>
      </c>
      <c r="O505">
        <v>170288</v>
      </c>
      <c r="Q505" t="s">
        <v>448</v>
      </c>
      <c r="R505">
        <v>170288</v>
      </c>
    </row>
    <row r="506" spans="2:18">
      <c r="B506" t="s">
        <v>11</v>
      </c>
      <c r="C506">
        <v>330421925</v>
      </c>
      <c r="D506" t="s">
        <v>54</v>
      </c>
      <c r="E506" s="202">
        <v>1398.52</v>
      </c>
      <c r="F506">
        <v>1398.52</v>
      </c>
      <c r="J506" s="209">
        <v>45684</v>
      </c>
      <c r="K506" s="209">
        <v>45684</v>
      </c>
      <c r="M506" t="s">
        <v>11</v>
      </c>
      <c r="N506">
        <v>330421925</v>
      </c>
      <c r="O506">
        <v>170288</v>
      </c>
      <c r="Q506" t="s">
        <v>140</v>
      </c>
      <c r="R506">
        <v>170288</v>
      </c>
    </row>
    <row r="507" spans="2:18">
      <c r="B507" t="s">
        <v>11</v>
      </c>
      <c r="C507">
        <v>330421926</v>
      </c>
      <c r="D507" t="s">
        <v>54</v>
      </c>
      <c r="E507">
        <v>34.950000000000003</v>
      </c>
      <c r="F507">
        <v>34.950000000000003</v>
      </c>
      <c r="J507" s="209">
        <v>45684</v>
      </c>
      <c r="K507" s="209">
        <v>45684</v>
      </c>
      <c r="M507" t="s">
        <v>11</v>
      </c>
      <c r="N507">
        <v>330421926</v>
      </c>
      <c r="O507">
        <v>170288</v>
      </c>
      <c r="Q507" t="s">
        <v>847</v>
      </c>
      <c r="R507">
        <v>170288</v>
      </c>
    </row>
    <row r="508" spans="2:18">
      <c r="B508" t="s">
        <v>11</v>
      </c>
      <c r="C508">
        <v>330421927</v>
      </c>
      <c r="D508" t="s">
        <v>54</v>
      </c>
      <c r="E508" s="202">
        <v>1493.92</v>
      </c>
      <c r="F508">
        <v>1493.92</v>
      </c>
      <c r="J508" s="209">
        <v>45684</v>
      </c>
      <c r="K508" s="209">
        <v>45684</v>
      </c>
      <c r="M508" t="s">
        <v>11</v>
      </c>
      <c r="N508">
        <v>330421927</v>
      </c>
      <c r="O508">
        <v>170288</v>
      </c>
      <c r="Q508" t="s">
        <v>848</v>
      </c>
      <c r="R508">
        <v>170288</v>
      </c>
    </row>
    <row r="509" spans="2:18">
      <c r="B509" t="s">
        <v>11</v>
      </c>
      <c r="C509">
        <v>330421928</v>
      </c>
      <c r="D509" t="s">
        <v>54</v>
      </c>
      <c r="E509" s="202">
        <v>4719.4399999999996</v>
      </c>
      <c r="F509">
        <v>4719.4399999999996</v>
      </c>
      <c r="J509" s="209">
        <v>45684</v>
      </c>
      <c r="K509" s="209">
        <v>45684</v>
      </c>
      <c r="M509" t="s">
        <v>11</v>
      </c>
      <c r="N509">
        <v>330421928</v>
      </c>
      <c r="O509">
        <v>170288</v>
      </c>
      <c r="Q509" t="s">
        <v>849</v>
      </c>
      <c r="R509">
        <v>170288</v>
      </c>
    </row>
    <row r="510" spans="2:18">
      <c r="B510" t="s">
        <v>11</v>
      </c>
      <c r="C510">
        <v>330421929</v>
      </c>
      <c r="D510" t="s">
        <v>54</v>
      </c>
      <c r="E510">
        <v>650.85</v>
      </c>
      <c r="F510">
        <v>650.85</v>
      </c>
      <c r="J510" s="209">
        <v>45684</v>
      </c>
      <c r="K510" s="209">
        <v>45684</v>
      </c>
      <c r="M510" t="s">
        <v>11</v>
      </c>
      <c r="N510">
        <v>330421929</v>
      </c>
      <c r="O510">
        <v>170288</v>
      </c>
      <c r="Q510" t="s">
        <v>850</v>
      </c>
      <c r="R510">
        <v>170288</v>
      </c>
    </row>
    <row r="511" spans="2:18">
      <c r="B511" t="s">
        <v>11</v>
      </c>
      <c r="C511">
        <v>330421930</v>
      </c>
      <c r="D511" t="s">
        <v>54</v>
      </c>
      <c r="E511">
        <v>455.24</v>
      </c>
      <c r="F511">
        <v>455.24</v>
      </c>
      <c r="J511" s="209">
        <v>45684</v>
      </c>
      <c r="K511" s="209">
        <v>45684</v>
      </c>
      <c r="M511" t="s">
        <v>11</v>
      </c>
      <c r="N511">
        <v>330421930</v>
      </c>
      <c r="O511">
        <v>170288</v>
      </c>
      <c r="Q511" t="s">
        <v>396</v>
      </c>
      <c r="R511">
        <v>170288</v>
      </c>
    </row>
    <row r="512" spans="2:18">
      <c r="B512" t="s">
        <v>11</v>
      </c>
      <c r="C512">
        <v>330421931</v>
      </c>
      <c r="D512" t="s">
        <v>54</v>
      </c>
      <c r="E512" s="202">
        <v>1398.52</v>
      </c>
      <c r="F512">
        <v>1398.52</v>
      </c>
      <c r="J512" s="209">
        <v>45684</v>
      </c>
      <c r="K512" s="209">
        <v>45684</v>
      </c>
      <c r="M512" t="s">
        <v>11</v>
      </c>
      <c r="N512">
        <v>330421931</v>
      </c>
      <c r="O512">
        <v>170288</v>
      </c>
      <c r="Q512" t="s">
        <v>141</v>
      </c>
      <c r="R512">
        <v>170288</v>
      </c>
    </row>
    <row r="513" spans="2:18">
      <c r="B513" t="s">
        <v>11</v>
      </c>
      <c r="C513">
        <v>330421932</v>
      </c>
      <c r="D513" t="s">
        <v>54</v>
      </c>
      <c r="E513" s="202">
        <v>1350.82</v>
      </c>
      <c r="F513">
        <v>1350.82</v>
      </c>
      <c r="J513" s="209">
        <v>45684</v>
      </c>
      <c r="K513" s="209">
        <v>45684</v>
      </c>
      <c r="M513" t="s">
        <v>11</v>
      </c>
      <c r="N513">
        <v>330421932</v>
      </c>
      <c r="O513">
        <v>170288</v>
      </c>
      <c r="Q513" t="s">
        <v>851</v>
      </c>
      <c r="R513">
        <v>170288</v>
      </c>
    </row>
    <row r="514" spans="2:18">
      <c r="B514" t="s">
        <v>11</v>
      </c>
      <c r="C514">
        <v>330421933</v>
      </c>
      <c r="D514" t="s">
        <v>54</v>
      </c>
      <c r="E514">
        <v>651.55999999999995</v>
      </c>
      <c r="F514">
        <v>651.55999999999995</v>
      </c>
      <c r="J514" s="209">
        <v>45684</v>
      </c>
      <c r="K514" s="209">
        <v>45684</v>
      </c>
      <c r="M514" t="s">
        <v>11</v>
      </c>
      <c r="N514">
        <v>330421933</v>
      </c>
      <c r="O514">
        <v>170288</v>
      </c>
      <c r="Q514" t="s">
        <v>852</v>
      </c>
      <c r="R514">
        <v>170288</v>
      </c>
    </row>
    <row r="515" spans="2:18">
      <c r="B515" t="s">
        <v>11</v>
      </c>
      <c r="C515">
        <v>330421934</v>
      </c>
      <c r="D515" t="s">
        <v>54</v>
      </c>
      <c r="E515" s="202">
        <v>1493.92</v>
      </c>
      <c r="F515">
        <v>1493.92</v>
      </c>
      <c r="J515" s="209">
        <v>45684</v>
      </c>
      <c r="K515" s="209">
        <v>45684</v>
      </c>
      <c r="M515" t="s">
        <v>11</v>
      </c>
      <c r="N515">
        <v>330421934</v>
      </c>
      <c r="O515">
        <v>170288</v>
      </c>
      <c r="Q515" t="s">
        <v>853</v>
      </c>
      <c r="R515">
        <v>170288</v>
      </c>
    </row>
    <row r="516" spans="2:18">
      <c r="B516" t="s">
        <v>11</v>
      </c>
      <c r="C516">
        <v>330421935</v>
      </c>
      <c r="D516" t="s">
        <v>54</v>
      </c>
      <c r="E516">
        <v>201.3</v>
      </c>
      <c r="F516">
        <v>201.3</v>
      </c>
      <c r="J516" s="209">
        <v>45684</v>
      </c>
      <c r="K516" s="209">
        <v>45684</v>
      </c>
      <c r="M516" t="s">
        <v>11</v>
      </c>
      <c r="N516">
        <v>330421935</v>
      </c>
      <c r="O516">
        <v>170288</v>
      </c>
      <c r="Q516" t="s">
        <v>854</v>
      </c>
      <c r="R516">
        <v>170288</v>
      </c>
    </row>
    <row r="517" spans="2:18">
      <c r="B517" t="s">
        <v>11</v>
      </c>
      <c r="C517">
        <v>330421936</v>
      </c>
      <c r="D517" t="s">
        <v>54</v>
      </c>
      <c r="E517">
        <v>138.79</v>
      </c>
      <c r="F517">
        <v>138.79</v>
      </c>
      <c r="J517" s="209">
        <v>45684</v>
      </c>
      <c r="K517" s="209">
        <v>45684</v>
      </c>
      <c r="M517" t="s">
        <v>11</v>
      </c>
      <c r="N517">
        <v>330421936</v>
      </c>
      <c r="O517">
        <v>170288</v>
      </c>
      <c r="Q517" t="s">
        <v>855</v>
      </c>
      <c r="R517">
        <v>170288</v>
      </c>
    </row>
    <row r="518" spans="2:18">
      <c r="B518" t="s">
        <v>11</v>
      </c>
      <c r="C518">
        <v>330421937</v>
      </c>
      <c r="D518" t="s">
        <v>54</v>
      </c>
      <c r="E518">
        <v>122.2</v>
      </c>
      <c r="F518">
        <v>122.2</v>
      </c>
      <c r="J518" s="209">
        <v>45684</v>
      </c>
      <c r="K518" s="209">
        <v>45684</v>
      </c>
      <c r="M518" t="s">
        <v>11</v>
      </c>
      <c r="N518">
        <v>330421937</v>
      </c>
      <c r="O518">
        <v>170288</v>
      </c>
      <c r="Q518" t="s">
        <v>856</v>
      </c>
      <c r="R518">
        <v>170288</v>
      </c>
    </row>
    <row r="519" spans="2:18">
      <c r="B519" t="s">
        <v>11</v>
      </c>
      <c r="C519">
        <v>330421938</v>
      </c>
      <c r="D519" t="s">
        <v>54</v>
      </c>
      <c r="E519" s="202">
        <v>1350.82</v>
      </c>
      <c r="F519">
        <v>1350.82</v>
      </c>
      <c r="J519" s="209">
        <v>45684</v>
      </c>
      <c r="K519" s="209">
        <v>45684</v>
      </c>
      <c r="M519" t="s">
        <v>11</v>
      </c>
      <c r="N519">
        <v>330421938</v>
      </c>
      <c r="O519">
        <v>170288</v>
      </c>
      <c r="Q519" t="s">
        <v>549</v>
      </c>
      <c r="R519">
        <v>170288</v>
      </c>
    </row>
    <row r="520" spans="2:18">
      <c r="B520" t="s">
        <v>11</v>
      </c>
      <c r="C520">
        <v>330421939</v>
      </c>
      <c r="D520" t="s">
        <v>54</v>
      </c>
      <c r="E520" s="202">
        <v>1398.52</v>
      </c>
      <c r="F520">
        <v>1398.52</v>
      </c>
      <c r="J520" s="209">
        <v>45684</v>
      </c>
      <c r="K520" s="209">
        <v>45684</v>
      </c>
      <c r="M520" t="s">
        <v>11</v>
      </c>
      <c r="N520">
        <v>330421939</v>
      </c>
      <c r="O520">
        <v>170288</v>
      </c>
      <c r="Q520" t="s">
        <v>402</v>
      </c>
      <c r="R520">
        <v>170288</v>
      </c>
    </row>
    <row r="521" spans="2:18">
      <c r="B521" t="s">
        <v>11</v>
      </c>
      <c r="C521">
        <v>330421940</v>
      </c>
      <c r="D521" t="s">
        <v>54</v>
      </c>
      <c r="E521" s="202">
        <v>1493.92</v>
      </c>
      <c r="F521">
        <v>1493.92</v>
      </c>
      <c r="J521" s="209">
        <v>45684</v>
      </c>
      <c r="K521" s="209">
        <v>45684</v>
      </c>
      <c r="M521" t="s">
        <v>11</v>
      </c>
      <c r="N521">
        <v>330421940</v>
      </c>
      <c r="O521">
        <v>170288</v>
      </c>
      <c r="Q521" t="s">
        <v>857</v>
      </c>
      <c r="R521">
        <v>170288</v>
      </c>
    </row>
    <row r="522" spans="2:18">
      <c r="B522" t="s">
        <v>11</v>
      </c>
      <c r="C522">
        <v>330421941</v>
      </c>
      <c r="D522" t="s">
        <v>54</v>
      </c>
      <c r="E522" s="202">
        <v>1064.6099999999999</v>
      </c>
      <c r="F522">
        <v>1064.6099999999999</v>
      </c>
      <c r="J522" s="209">
        <v>45684</v>
      </c>
      <c r="K522" s="209">
        <v>45684</v>
      </c>
      <c r="M522" t="s">
        <v>11</v>
      </c>
      <c r="N522">
        <v>330421941</v>
      </c>
      <c r="O522">
        <v>170288</v>
      </c>
      <c r="Q522" t="s">
        <v>858</v>
      </c>
      <c r="R522">
        <v>170288</v>
      </c>
    </row>
    <row r="523" spans="2:18">
      <c r="B523" t="s">
        <v>11</v>
      </c>
      <c r="C523">
        <v>330421942</v>
      </c>
      <c r="D523" t="s">
        <v>54</v>
      </c>
      <c r="E523">
        <v>174.95</v>
      </c>
      <c r="F523">
        <v>174.95</v>
      </c>
      <c r="J523" s="209">
        <v>45684</v>
      </c>
      <c r="K523" s="209">
        <v>45684</v>
      </c>
      <c r="M523" t="s">
        <v>11</v>
      </c>
      <c r="N523">
        <v>330421942</v>
      </c>
      <c r="O523">
        <v>170288</v>
      </c>
      <c r="Q523" t="s">
        <v>859</v>
      </c>
      <c r="R523">
        <v>170288</v>
      </c>
    </row>
    <row r="524" spans="2:18">
      <c r="B524" t="s">
        <v>11</v>
      </c>
      <c r="C524">
        <v>330421943</v>
      </c>
      <c r="D524" t="s">
        <v>54</v>
      </c>
      <c r="E524" s="202">
        <v>1493.92</v>
      </c>
      <c r="F524">
        <v>1493.92</v>
      </c>
      <c r="J524" s="209">
        <v>45684</v>
      </c>
      <c r="K524" s="209">
        <v>45684</v>
      </c>
      <c r="M524" t="s">
        <v>11</v>
      </c>
      <c r="N524">
        <v>330421943</v>
      </c>
      <c r="O524">
        <v>170288</v>
      </c>
      <c r="Q524" t="s">
        <v>860</v>
      </c>
      <c r="R524">
        <v>170288</v>
      </c>
    </row>
    <row r="525" spans="2:18">
      <c r="B525" t="s">
        <v>11</v>
      </c>
      <c r="C525">
        <v>330421944</v>
      </c>
      <c r="D525" t="s">
        <v>54</v>
      </c>
      <c r="E525" s="202">
        <v>1493.92</v>
      </c>
      <c r="F525">
        <v>1493.92</v>
      </c>
      <c r="J525" s="209">
        <v>45684</v>
      </c>
      <c r="K525" s="209">
        <v>45684</v>
      </c>
      <c r="M525" t="s">
        <v>11</v>
      </c>
      <c r="N525">
        <v>330421944</v>
      </c>
      <c r="O525">
        <v>170288</v>
      </c>
      <c r="Q525" t="s">
        <v>861</v>
      </c>
      <c r="R525">
        <v>170288</v>
      </c>
    </row>
    <row r="526" spans="2:18">
      <c r="B526" t="s">
        <v>11</v>
      </c>
      <c r="C526">
        <v>330421945</v>
      </c>
      <c r="D526" t="s">
        <v>54</v>
      </c>
      <c r="E526">
        <v>299.8</v>
      </c>
      <c r="F526">
        <v>299.8</v>
      </c>
      <c r="J526" s="209">
        <v>45684</v>
      </c>
      <c r="K526" s="209">
        <v>45684</v>
      </c>
      <c r="M526" t="s">
        <v>11</v>
      </c>
      <c r="N526">
        <v>330421945</v>
      </c>
      <c r="O526">
        <v>170288</v>
      </c>
      <c r="Q526" t="s">
        <v>862</v>
      </c>
      <c r="R526">
        <v>170288</v>
      </c>
    </row>
    <row r="527" spans="2:18">
      <c r="B527" t="s">
        <v>11</v>
      </c>
      <c r="C527">
        <v>330421946</v>
      </c>
      <c r="D527" t="s">
        <v>54</v>
      </c>
      <c r="E527" s="202">
        <v>2153.9499999999998</v>
      </c>
      <c r="F527">
        <v>2153.9499999999998</v>
      </c>
      <c r="J527" s="209">
        <v>45684</v>
      </c>
      <c r="K527" s="209">
        <v>45684</v>
      </c>
      <c r="M527" t="s">
        <v>11</v>
      </c>
      <c r="N527">
        <v>330421946</v>
      </c>
      <c r="O527">
        <v>170288</v>
      </c>
      <c r="Q527" t="s">
        <v>863</v>
      </c>
      <c r="R527">
        <v>170288</v>
      </c>
    </row>
    <row r="528" spans="2:18">
      <c r="B528" t="s">
        <v>11</v>
      </c>
      <c r="C528">
        <v>330421947</v>
      </c>
      <c r="D528" t="s">
        <v>54</v>
      </c>
      <c r="E528" s="202">
        <v>1398.52</v>
      </c>
      <c r="F528">
        <v>1398.52</v>
      </c>
      <c r="J528" s="209">
        <v>45684</v>
      </c>
      <c r="K528" s="209">
        <v>45684</v>
      </c>
      <c r="M528" t="s">
        <v>11</v>
      </c>
      <c r="N528">
        <v>330421947</v>
      </c>
      <c r="O528">
        <v>170288</v>
      </c>
      <c r="Q528" t="s">
        <v>864</v>
      </c>
      <c r="R528">
        <v>170288</v>
      </c>
    </row>
    <row r="529" spans="2:18">
      <c r="B529" t="s">
        <v>11</v>
      </c>
      <c r="C529">
        <v>330421948</v>
      </c>
      <c r="D529" t="s">
        <v>54</v>
      </c>
      <c r="E529" s="202">
        <v>1398.52</v>
      </c>
      <c r="F529">
        <v>1398.52</v>
      </c>
      <c r="J529" s="209">
        <v>45684</v>
      </c>
      <c r="K529" s="209">
        <v>45684</v>
      </c>
      <c r="M529" t="s">
        <v>11</v>
      </c>
      <c r="N529">
        <v>330421948</v>
      </c>
      <c r="O529">
        <v>170288</v>
      </c>
      <c r="Q529" t="s">
        <v>865</v>
      </c>
      <c r="R529">
        <v>170288</v>
      </c>
    </row>
    <row r="530" spans="2:18">
      <c r="B530" t="s">
        <v>11</v>
      </c>
      <c r="C530">
        <v>330421949</v>
      </c>
      <c r="D530" t="s">
        <v>54</v>
      </c>
      <c r="E530" s="202">
        <v>1672.98</v>
      </c>
      <c r="F530">
        <v>1672.98</v>
      </c>
      <c r="J530" s="209">
        <v>45684</v>
      </c>
      <c r="K530" s="209">
        <v>45684</v>
      </c>
      <c r="M530" t="s">
        <v>11</v>
      </c>
      <c r="N530">
        <v>330421949</v>
      </c>
      <c r="O530">
        <v>170288</v>
      </c>
      <c r="Q530" t="s">
        <v>407</v>
      </c>
      <c r="R530">
        <v>170288</v>
      </c>
    </row>
    <row r="531" spans="2:18">
      <c r="B531" t="s">
        <v>11</v>
      </c>
      <c r="C531">
        <v>330421950</v>
      </c>
      <c r="D531" t="s">
        <v>54</v>
      </c>
      <c r="E531" s="202">
        <v>1511.97</v>
      </c>
      <c r="F531">
        <v>1511.97</v>
      </c>
      <c r="J531" s="209">
        <v>45684</v>
      </c>
      <c r="K531" s="209">
        <v>45684</v>
      </c>
      <c r="M531" t="s">
        <v>11</v>
      </c>
      <c r="N531">
        <v>330421950</v>
      </c>
      <c r="O531">
        <v>170288</v>
      </c>
      <c r="Q531" t="s">
        <v>410</v>
      </c>
      <c r="R531">
        <v>170288</v>
      </c>
    </row>
    <row r="532" spans="2:18">
      <c r="B532" t="s">
        <v>11</v>
      </c>
      <c r="C532">
        <v>330421951</v>
      </c>
      <c r="D532" t="s">
        <v>54</v>
      </c>
      <c r="E532">
        <v>651.55999999999995</v>
      </c>
      <c r="F532">
        <v>651.55999999999995</v>
      </c>
      <c r="J532" s="209">
        <v>45684</v>
      </c>
      <c r="K532" s="209">
        <v>45684</v>
      </c>
      <c r="M532" t="s">
        <v>11</v>
      </c>
      <c r="N532">
        <v>330421951</v>
      </c>
      <c r="O532">
        <v>170288</v>
      </c>
      <c r="Q532" t="s">
        <v>451</v>
      </c>
      <c r="R532">
        <v>170288</v>
      </c>
    </row>
    <row r="533" spans="2:18">
      <c r="B533" t="s">
        <v>11</v>
      </c>
      <c r="C533">
        <v>330421952</v>
      </c>
      <c r="D533" t="s">
        <v>54</v>
      </c>
      <c r="E533" s="202">
        <v>1672.98</v>
      </c>
      <c r="F533">
        <v>1672.98</v>
      </c>
      <c r="J533" s="209">
        <v>45684</v>
      </c>
      <c r="K533" s="209">
        <v>45684</v>
      </c>
      <c r="M533" t="s">
        <v>11</v>
      </c>
      <c r="N533">
        <v>330421952</v>
      </c>
      <c r="O533">
        <v>170288</v>
      </c>
      <c r="Q533" t="s">
        <v>411</v>
      </c>
      <c r="R533">
        <v>170288</v>
      </c>
    </row>
    <row r="534" spans="2:18">
      <c r="B534" t="s">
        <v>11</v>
      </c>
      <c r="C534">
        <v>330421953</v>
      </c>
      <c r="D534" t="s">
        <v>54</v>
      </c>
      <c r="E534">
        <v>805.2</v>
      </c>
      <c r="F534">
        <v>805.2</v>
      </c>
      <c r="J534" s="209">
        <v>45684</v>
      </c>
      <c r="K534" s="209">
        <v>45684</v>
      </c>
      <c r="M534" t="s">
        <v>11</v>
      </c>
      <c r="N534">
        <v>330421953</v>
      </c>
      <c r="O534">
        <v>170288</v>
      </c>
      <c r="Q534" t="s">
        <v>866</v>
      </c>
      <c r="R534">
        <v>170288</v>
      </c>
    </row>
    <row r="535" spans="2:18">
      <c r="B535" t="s">
        <v>11</v>
      </c>
      <c r="C535">
        <v>330421954</v>
      </c>
      <c r="D535" t="s">
        <v>54</v>
      </c>
      <c r="E535" s="202">
        <v>1672.98</v>
      </c>
      <c r="F535">
        <v>1672.98</v>
      </c>
      <c r="J535" s="209">
        <v>45684</v>
      </c>
      <c r="K535" s="209">
        <v>45684</v>
      </c>
      <c r="M535" t="s">
        <v>11</v>
      </c>
      <c r="N535">
        <v>330421954</v>
      </c>
      <c r="O535">
        <v>170288</v>
      </c>
      <c r="Q535" t="s">
        <v>867</v>
      </c>
      <c r="R535">
        <v>170288</v>
      </c>
    </row>
    <row r="536" spans="2:18">
      <c r="B536" t="s">
        <v>11</v>
      </c>
      <c r="C536">
        <v>330421955</v>
      </c>
      <c r="D536" t="s">
        <v>54</v>
      </c>
      <c r="E536" s="202">
        <v>1493.92</v>
      </c>
      <c r="F536">
        <v>1493.92</v>
      </c>
      <c r="J536" s="209">
        <v>45684</v>
      </c>
      <c r="K536" s="209">
        <v>45684</v>
      </c>
      <c r="M536" t="s">
        <v>11</v>
      </c>
      <c r="N536">
        <v>330421955</v>
      </c>
      <c r="O536">
        <v>170288</v>
      </c>
      <c r="Q536" t="s">
        <v>868</v>
      </c>
      <c r="R536">
        <v>170288</v>
      </c>
    </row>
    <row r="537" spans="2:18">
      <c r="B537" t="s">
        <v>11</v>
      </c>
      <c r="C537">
        <v>330421956</v>
      </c>
      <c r="D537" t="s">
        <v>54</v>
      </c>
      <c r="E537">
        <v>826.11</v>
      </c>
      <c r="F537">
        <v>826.11</v>
      </c>
      <c r="J537" s="209">
        <v>45684</v>
      </c>
      <c r="K537" s="209">
        <v>45684</v>
      </c>
      <c r="M537" t="s">
        <v>11</v>
      </c>
      <c r="N537">
        <v>330421956</v>
      </c>
      <c r="O537">
        <v>170288</v>
      </c>
      <c r="Q537" t="s">
        <v>143</v>
      </c>
      <c r="R537">
        <v>170288</v>
      </c>
    </row>
    <row r="538" spans="2:18">
      <c r="B538" t="s">
        <v>11</v>
      </c>
      <c r="C538">
        <v>330421957</v>
      </c>
      <c r="D538" t="s">
        <v>54</v>
      </c>
      <c r="E538">
        <v>621.80999999999995</v>
      </c>
      <c r="F538">
        <v>621.80999999999995</v>
      </c>
      <c r="J538" s="209">
        <v>45684</v>
      </c>
      <c r="K538" s="209">
        <v>45684</v>
      </c>
      <c r="M538" t="s">
        <v>11</v>
      </c>
      <c r="N538">
        <v>330421957</v>
      </c>
      <c r="O538">
        <v>170288</v>
      </c>
      <c r="Q538" t="s">
        <v>869</v>
      </c>
      <c r="R538">
        <v>170288</v>
      </c>
    </row>
    <row r="539" spans="2:18">
      <c r="B539" t="s">
        <v>11</v>
      </c>
      <c r="C539">
        <v>330421958</v>
      </c>
      <c r="D539" t="s">
        <v>54</v>
      </c>
      <c r="E539" s="202">
        <v>1672.98</v>
      </c>
      <c r="F539">
        <v>1672.98</v>
      </c>
      <c r="J539" s="209">
        <v>45684</v>
      </c>
      <c r="K539" s="209">
        <v>45684</v>
      </c>
      <c r="M539" t="s">
        <v>11</v>
      </c>
      <c r="N539">
        <v>330421958</v>
      </c>
      <c r="O539">
        <v>170288</v>
      </c>
      <c r="Q539" t="s">
        <v>144</v>
      </c>
      <c r="R539">
        <v>170288</v>
      </c>
    </row>
    <row r="540" spans="2:18">
      <c r="B540" t="s">
        <v>11</v>
      </c>
      <c r="C540">
        <v>330421959</v>
      </c>
      <c r="D540" t="s">
        <v>54</v>
      </c>
      <c r="E540" s="202">
        <v>1350.82</v>
      </c>
      <c r="F540">
        <v>1350.82</v>
      </c>
      <c r="J540" s="209">
        <v>45684</v>
      </c>
      <c r="K540" s="209">
        <v>45684</v>
      </c>
      <c r="M540" t="s">
        <v>11</v>
      </c>
      <c r="N540">
        <v>330421959</v>
      </c>
      <c r="O540">
        <v>170288</v>
      </c>
      <c r="Q540" t="s">
        <v>870</v>
      </c>
      <c r="R540">
        <v>170288</v>
      </c>
    </row>
    <row r="541" spans="2:18">
      <c r="B541" t="s">
        <v>11</v>
      </c>
      <c r="C541">
        <v>330421960</v>
      </c>
      <c r="D541" t="s">
        <v>54</v>
      </c>
      <c r="E541" s="202">
        <v>1243.6300000000001</v>
      </c>
      <c r="F541">
        <v>1243.6300000000001</v>
      </c>
      <c r="J541" s="209">
        <v>45684</v>
      </c>
      <c r="K541" s="209">
        <v>45684</v>
      </c>
      <c r="M541" t="s">
        <v>11</v>
      </c>
      <c r="N541">
        <v>330421960</v>
      </c>
      <c r="O541">
        <v>170288</v>
      </c>
      <c r="Q541" t="s">
        <v>145</v>
      </c>
      <c r="R541">
        <v>170288</v>
      </c>
    </row>
    <row r="542" spans="2:18">
      <c r="B542" t="s">
        <v>11</v>
      </c>
      <c r="C542">
        <v>330421961</v>
      </c>
      <c r="D542" t="s">
        <v>54</v>
      </c>
      <c r="E542" s="202">
        <v>1255.42</v>
      </c>
      <c r="F542">
        <v>1255.42</v>
      </c>
      <c r="J542" s="209">
        <v>45684</v>
      </c>
      <c r="K542" s="209">
        <v>45684</v>
      </c>
      <c r="M542" t="s">
        <v>11</v>
      </c>
      <c r="N542">
        <v>330421961</v>
      </c>
      <c r="O542">
        <v>170288</v>
      </c>
      <c r="Q542" t="s">
        <v>871</v>
      </c>
      <c r="R542">
        <v>170288</v>
      </c>
    </row>
    <row r="543" spans="2:18">
      <c r="B543" t="s">
        <v>11</v>
      </c>
      <c r="C543">
        <v>330421962</v>
      </c>
      <c r="D543" t="s">
        <v>54</v>
      </c>
      <c r="E543" s="202">
        <v>1255.42</v>
      </c>
      <c r="F543">
        <v>1255.42</v>
      </c>
      <c r="J543" s="209">
        <v>45684</v>
      </c>
      <c r="K543" s="209">
        <v>45684</v>
      </c>
      <c r="M543" t="s">
        <v>11</v>
      </c>
      <c r="N543">
        <v>330421962</v>
      </c>
      <c r="O543">
        <v>170288</v>
      </c>
      <c r="Q543" t="s">
        <v>553</v>
      </c>
      <c r="R543">
        <v>170288</v>
      </c>
    </row>
    <row r="544" spans="2:18">
      <c r="B544" t="s">
        <v>11</v>
      </c>
      <c r="C544">
        <v>330421963</v>
      </c>
      <c r="D544" t="s">
        <v>54</v>
      </c>
      <c r="E544" s="202">
        <v>1398.52</v>
      </c>
      <c r="F544">
        <v>1398.52</v>
      </c>
      <c r="J544" s="209">
        <v>45684</v>
      </c>
      <c r="K544" s="209">
        <v>45684</v>
      </c>
      <c r="M544" t="s">
        <v>11</v>
      </c>
      <c r="N544">
        <v>330421963</v>
      </c>
      <c r="O544">
        <v>170288</v>
      </c>
      <c r="Q544" t="s">
        <v>146</v>
      </c>
      <c r="R544">
        <v>170288</v>
      </c>
    </row>
    <row r="545" spans="2:18">
      <c r="B545" t="s">
        <v>11</v>
      </c>
      <c r="C545">
        <v>330421964</v>
      </c>
      <c r="D545" t="s">
        <v>54</v>
      </c>
      <c r="E545">
        <v>53.67</v>
      </c>
      <c r="F545">
        <v>53.67</v>
      </c>
      <c r="J545" s="209">
        <v>45684</v>
      </c>
      <c r="K545" s="209">
        <v>45684</v>
      </c>
      <c r="M545" t="s">
        <v>11</v>
      </c>
      <c r="N545">
        <v>330421964</v>
      </c>
      <c r="O545">
        <v>170288</v>
      </c>
      <c r="Q545" t="s">
        <v>872</v>
      </c>
      <c r="R545">
        <v>170288</v>
      </c>
    </row>
    <row r="546" spans="2:18">
      <c r="B546" t="s">
        <v>11</v>
      </c>
      <c r="C546">
        <v>330421965</v>
      </c>
      <c r="D546" t="s">
        <v>54</v>
      </c>
      <c r="E546" s="202">
        <v>1493.92</v>
      </c>
      <c r="F546">
        <v>1493.92</v>
      </c>
      <c r="J546" s="209">
        <v>45684</v>
      </c>
      <c r="K546" s="209">
        <v>45684</v>
      </c>
      <c r="M546" t="s">
        <v>11</v>
      </c>
      <c r="N546">
        <v>330421965</v>
      </c>
      <c r="O546">
        <v>170288</v>
      </c>
      <c r="Q546" t="s">
        <v>873</v>
      </c>
      <c r="R546">
        <v>170288</v>
      </c>
    </row>
    <row r="547" spans="2:18">
      <c r="B547" t="s">
        <v>11</v>
      </c>
      <c r="C547">
        <v>330421966</v>
      </c>
      <c r="D547" t="s">
        <v>54</v>
      </c>
      <c r="E547">
        <v>975.28</v>
      </c>
      <c r="F547">
        <v>975.28</v>
      </c>
      <c r="J547" s="209">
        <v>45684</v>
      </c>
      <c r="K547" s="209">
        <v>45684</v>
      </c>
      <c r="M547" t="s">
        <v>11</v>
      </c>
      <c r="N547">
        <v>330421966</v>
      </c>
      <c r="O547">
        <v>170288</v>
      </c>
      <c r="Q547" t="s">
        <v>874</v>
      </c>
      <c r="R547">
        <v>170288</v>
      </c>
    </row>
    <row r="548" spans="2:18">
      <c r="B548" t="s">
        <v>11</v>
      </c>
      <c r="C548">
        <v>330421967</v>
      </c>
      <c r="D548" t="s">
        <v>54</v>
      </c>
      <c r="E548" s="202">
        <v>1493.92</v>
      </c>
      <c r="F548">
        <v>1493.92</v>
      </c>
      <c r="J548" s="209">
        <v>45684</v>
      </c>
      <c r="K548" s="209">
        <v>45684</v>
      </c>
      <c r="M548" t="s">
        <v>11</v>
      </c>
      <c r="N548">
        <v>330421967</v>
      </c>
      <c r="O548">
        <v>170288</v>
      </c>
      <c r="Q548" t="s">
        <v>147</v>
      </c>
      <c r="R548">
        <v>170288</v>
      </c>
    </row>
    <row r="549" spans="2:18">
      <c r="B549" t="s">
        <v>11</v>
      </c>
      <c r="C549">
        <v>330421968</v>
      </c>
      <c r="D549" t="s">
        <v>54</v>
      </c>
      <c r="E549" s="202">
        <v>1350.82</v>
      </c>
      <c r="F549">
        <v>1350.82</v>
      </c>
      <c r="J549" s="209">
        <v>45684</v>
      </c>
      <c r="K549" s="209">
        <v>45684</v>
      </c>
      <c r="M549" t="s">
        <v>11</v>
      </c>
      <c r="N549">
        <v>330421968</v>
      </c>
      <c r="O549">
        <v>170288</v>
      </c>
      <c r="Q549" t="s">
        <v>875</v>
      </c>
      <c r="R549">
        <v>170288</v>
      </c>
    </row>
    <row r="550" spans="2:18">
      <c r="B550" t="s">
        <v>11</v>
      </c>
      <c r="C550">
        <v>330421969</v>
      </c>
      <c r="D550" t="s">
        <v>54</v>
      </c>
      <c r="E550" s="202">
        <v>1112.31</v>
      </c>
      <c r="F550">
        <v>1112.31</v>
      </c>
      <c r="J550" s="209">
        <v>45684</v>
      </c>
      <c r="K550" s="209">
        <v>45684</v>
      </c>
      <c r="M550" t="s">
        <v>11</v>
      </c>
      <c r="N550">
        <v>330421969</v>
      </c>
      <c r="O550">
        <v>170288</v>
      </c>
      <c r="Q550" t="s">
        <v>876</v>
      </c>
      <c r="R550">
        <v>170288</v>
      </c>
    </row>
    <row r="551" spans="2:18">
      <c r="B551" t="s">
        <v>11</v>
      </c>
      <c r="C551">
        <v>330421970</v>
      </c>
      <c r="D551" t="s">
        <v>54</v>
      </c>
      <c r="E551" s="202">
        <v>9150</v>
      </c>
      <c r="F551">
        <v>9150</v>
      </c>
      <c r="J551" s="209">
        <v>45684</v>
      </c>
      <c r="K551" s="209">
        <v>45684</v>
      </c>
      <c r="M551" t="s">
        <v>11</v>
      </c>
      <c r="N551">
        <v>330421970</v>
      </c>
      <c r="O551">
        <v>170311</v>
      </c>
      <c r="Q551" t="s">
        <v>877</v>
      </c>
      <c r="R551">
        <v>170311</v>
      </c>
    </row>
    <row r="552" spans="2:18">
      <c r="B552" t="s">
        <v>11</v>
      </c>
      <c r="C552">
        <v>330421971</v>
      </c>
      <c r="D552" t="s">
        <v>54</v>
      </c>
      <c r="E552" s="202">
        <v>695551.99</v>
      </c>
      <c r="F552">
        <v>695551.99</v>
      </c>
      <c r="J552" s="209">
        <v>45684</v>
      </c>
      <c r="K552" s="209">
        <v>45684</v>
      </c>
      <c r="M552" t="s">
        <v>11</v>
      </c>
      <c r="N552">
        <v>330421971</v>
      </c>
      <c r="O552">
        <v>170311</v>
      </c>
      <c r="Q552" t="s">
        <v>878</v>
      </c>
      <c r="R552">
        <v>170311</v>
      </c>
    </row>
    <row r="553" spans="2:18">
      <c r="B553" t="s">
        <v>11</v>
      </c>
      <c r="C553">
        <v>330421972</v>
      </c>
      <c r="D553" t="s">
        <v>54</v>
      </c>
      <c r="E553" s="202">
        <v>6931.41</v>
      </c>
      <c r="F553">
        <v>6931.41</v>
      </c>
      <c r="J553" s="209">
        <v>45684</v>
      </c>
      <c r="K553" s="209">
        <v>45684</v>
      </c>
      <c r="M553" t="s">
        <v>11</v>
      </c>
      <c r="N553">
        <v>330421972</v>
      </c>
      <c r="O553">
        <v>170311</v>
      </c>
      <c r="Q553" t="s">
        <v>185</v>
      </c>
      <c r="R553">
        <v>170311</v>
      </c>
    </row>
    <row r="554" spans="2:18">
      <c r="B554" t="s">
        <v>11</v>
      </c>
      <c r="C554">
        <v>330421973</v>
      </c>
      <c r="D554" t="s">
        <v>54</v>
      </c>
      <c r="E554" s="202">
        <v>15900</v>
      </c>
      <c r="F554">
        <v>15900</v>
      </c>
      <c r="J554" s="209">
        <v>45684</v>
      </c>
      <c r="K554" s="209">
        <v>45684</v>
      </c>
      <c r="M554" t="s">
        <v>11</v>
      </c>
      <c r="N554">
        <v>330421973</v>
      </c>
      <c r="O554">
        <v>170311</v>
      </c>
      <c r="Q554" t="s">
        <v>879</v>
      </c>
      <c r="R554">
        <v>170311</v>
      </c>
    </row>
    <row r="555" spans="2:18">
      <c r="B555" t="s">
        <v>11</v>
      </c>
      <c r="C555">
        <v>330421974</v>
      </c>
      <c r="D555" t="s">
        <v>54</v>
      </c>
      <c r="E555" s="202">
        <v>6829.56</v>
      </c>
      <c r="F555">
        <v>6829.56</v>
      </c>
      <c r="J555" s="209">
        <v>45684</v>
      </c>
      <c r="K555" s="209">
        <v>45684</v>
      </c>
      <c r="M555" t="s">
        <v>11</v>
      </c>
      <c r="N555">
        <v>330421974</v>
      </c>
      <c r="O555">
        <v>170311</v>
      </c>
      <c r="Q555" t="s">
        <v>190</v>
      </c>
      <c r="R555">
        <v>170311</v>
      </c>
    </row>
    <row r="556" spans="2:18">
      <c r="B556" t="s">
        <v>11</v>
      </c>
      <c r="C556">
        <v>330421975</v>
      </c>
      <c r="D556" t="s">
        <v>54</v>
      </c>
      <c r="E556" s="202">
        <v>1202191.44</v>
      </c>
      <c r="F556">
        <v>1202191.44</v>
      </c>
      <c r="J556" s="209">
        <v>45684</v>
      </c>
      <c r="K556" s="209">
        <v>45684</v>
      </c>
      <c r="M556" t="s">
        <v>11</v>
      </c>
      <c r="N556">
        <v>330421975</v>
      </c>
      <c r="O556">
        <v>170311</v>
      </c>
      <c r="Q556" t="s">
        <v>880</v>
      </c>
      <c r="R556">
        <v>170311</v>
      </c>
    </row>
    <row r="557" spans="2:18">
      <c r="B557" t="s">
        <v>11</v>
      </c>
      <c r="C557">
        <v>330421976</v>
      </c>
      <c r="D557" t="s">
        <v>54</v>
      </c>
      <c r="E557" s="202">
        <v>6648.17</v>
      </c>
      <c r="F557">
        <v>6648.17</v>
      </c>
      <c r="J557" s="209">
        <v>45684</v>
      </c>
      <c r="K557" s="209">
        <v>45684</v>
      </c>
      <c r="M557" t="s">
        <v>11</v>
      </c>
      <c r="N557">
        <v>330421976</v>
      </c>
      <c r="O557">
        <v>170311</v>
      </c>
      <c r="Q557" t="s">
        <v>203</v>
      </c>
      <c r="R557">
        <v>170311</v>
      </c>
    </row>
    <row r="558" spans="2:18">
      <c r="B558" t="s">
        <v>11</v>
      </c>
      <c r="C558">
        <v>330421977</v>
      </c>
      <c r="D558" t="s">
        <v>54</v>
      </c>
      <c r="E558" s="202">
        <v>3371.46</v>
      </c>
      <c r="F558">
        <v>3371.46</v>
      </c>
      <c r="J558" s="209">
        <v>45684</v>
      </c>
      <c r="K558" s="209">
        <v>45684</v>
      </c>
      <c r="M558" t="s">
        <v>11</v>
      </c>
      <c r="N558">
        <v>330421977</v>
      </c>
      <c r="O558">
        <v>170311</v>
      </c>
      <c r="Q558" t="s">
        <v>881</v>
      </c>
      <c r="R558">
        <v>170311</v>
      </c>
    </row>
    <row r="559" spans="2:18">
      <c r="B559" t="s">
        <v>11</v>
      </c>
      <c r="C559">
        <v>330421978</v>
      </c>
      <c r="D559" t="s">
        <v>54</v>
      </c>
      <c r="E559" s="202">
        <v>70557.39</v>
      </c>
      <c r="F559">
        <v>70557.39</v>
      </c>
      <c r="J559" s="209">
        <v>45684</v>
      </c>
      <c r="K559" s="209">
        <v>45684</v>
      </c>
      <c r="M559" t="s">
        <v>11</v>
      </c>
      <c r="N559">
        <v>330421978</v>
      </c>
      <c r="O559">
        <v>170311</v>
      </c>
      <c r="Q559" t="s">
        <v>882</v>
      </c>
      <c r="R559">
        <v>170311</v>
      </c>
    </row>
    <row r="560" spans="2:18">
      <c r="B560" t="s">
        <v>11</v>
      </c>
      <c r="C560">
        <v>330421979</v>
      </c>
      <c r="D560" t="s">
        <v>54</v>
      </c>
      <c r="E560" s="202">
        <v>2295</v>
      </c>
      <c r="F560">
        <v>2295</v>
      </c>
      <c r="J560" s="209">
        <v>45684</v>
      </c>
      <c r="K560" s="209">
        <v>45684</v>
      </c>
      <c r="M560" t="s">
        <v>11</v>
      </c>
      <c r="N560">
        <v>330421979</v>
      </c>
      <c r="O560">
        <v>170311</v>
      </c>
      <c r="Q560" t="s">
        <v>883</v>
      </c>
      <c r="R560">
        <v>170311</v>
      </c>
    </row>
    <row r="561" spans="2:18">
      <c r="B561" t="s">
        <v>11</v>
      </c>
      <c r="C561">
        <v>330421980</v>
      </c>
      <c r="D561" t="s">
        <v>54</v>
      </c>
      <c r="E561" s="202">
        <v>8795.3799999999992</v>
      </c>
      <c r="F561">
        <v>8795.3799999999992</v>
      </c>
      <c r="J561" s="209">
        <v>45684</v>
      </c>
      <c r="K561" s="209">
        <v>45684</v>
      </c>
      <c r="M561" t="s">
        <v>11</v>
      </c>
      <c r="N561">
        <v>330421980</v>
      </c>
      <c r="O561">
        <v>170311</v>
      </c>
      <c r="Q561" t="s">
        <v>884</v>
      </c>
      <c r="R561">
        <v>170311</v>
      </c>
    </row>
    <row r="562" spans="2:18">
      <c r="B562" t="s">
        <v>11</v>
      </c>
      <c r="C562">
        <v>330421981</v>
      </c>
      <c r="D562" t="s">
        <v>54</v>
      </c>
      <c r="E562">
        <v>542.1</v>
      </c>
      <c r="F562">
        <v>542.1</v>
      </c>
      <c r="J562" s="209">
        <v>45684</v>
      </c>
      <c r="K562" s="209">
        <v>45684</v>
      </c>
      <c r="M562" t="s">
        <v>11</v>
      </c>
      <c r="N562">
        <v>330421981</v>
      </c>
      <c r="O562">
        <v>170311</v>
      </c>
      <c r="Q562" t="s">
        <v>885</v>
      </c>
      <c r="R562">
        <v>170311</v>
      </c>
    </row>
    <row r="563" spans="2:18">
      <c r="B563" t="s">
        <v>11</v>
      </c>
      <c r="C563">
        <v>330421982</v>
      </c>
      <c r="D563" t="s">
        <v>54</v>
      </c>
      <c r="E563" s="202">
        <v>1163.8499999999999</v>
      </c>
      <c r="F563">
        <v>1163.8499999999999</v>
      </c>
      <c r="J563" s="209">
        <v>45684</v>
      </c>
      <c r="K563" s="209">
        <v>45684</v>
      </c>
      <c r="M563" t="s">
        <v>11</v>
      </c>
      <c r="N563">
        <v>330421982</v>
      </c>
      <c r="O563">
        <v>170311</v>
      </c>
      <c r="Q563" t="s">
        <v>886</v>
      </c>
      <c r="R563">
        <v>170311</v>
      </c>
    </row>
    <row r="564" spans="2:18">
      <c r="B564" t="s">
        <v>11</v>
      </c>
      <c r="C564">
        <v>330421983</v>
      </c>
      <c r="D564" t="s">
        <v>54</v>
      </c>
      <c r="E564" s="202">
        <v>11850</v>
      </c>
      <c r="F564">
        <v>11850</v>
      </c>
      <c r="J564" s="209">
        <v>45684</v>
      </c>
      <c r="K564" s="209">
        <v>45684</v>
      </c>
      <c r="M564" t="s">
        <v>11</v>
      </c>
      <c r="N564">
        <v>330421983</v>
      </c>
      <c r="O564">
        <v>170311</v>
      </c>
      <c r="Q564" t="s">
        <v>887</v>
      </c>
      <c r="R564">
        <v>170311</v>
      </c>
    </row>
    <row r="565" spans="2:18">
      <c r="B565" t="s">
        <v>11</v>
      </c>
      <c r="C565">
        <v>330421984</v>
      </c>
      <c r="D565" t="s">
        <v>54</v>
      </c>
      <c r="E565" s="202">
        <v>9738.7099999999991</v>
      </c>
      <c r="F565">
        <v>9738.7099999999991</v>
      </c>
      <c r="J565" s="209">
        <v>45684</v>
      </c>
      <c r="K565" s="209">
        <v>45684</v>
      </c>
      <c r="M565" t="s">
        <v>11</v>
      </c>
      <c r="N565">
        <v>330421984</v>
      </c>
      <c r="O565">
        <v>170311</v>
      </c>
      <c r="Q565" t="s">
        <v>888</v>
      </c>
      <c r="R565">
        <v>170311</v>
      </c>
    </row>
    <row r="566" spans="2:18">
      <c r="B566" t="s">
        <v>11</v>
      </c>
      <c r="C566">
        <v>330421985</v>
      </c>
      <c r="D566" t="s">
        <v>54</v>
      </c>
      <c r="E566">
        <v>295.73</v>
      </c>
      <c r="F566">
        <v>295.73</v>
      </c>
      <c r="J566" s="209">
        <v>45684</v>
      </c>
      <c r="K566" s="209">
        <v>45684</v>
      </c>
      <c r="M566" t="s">
        <v>11</v>
      </c>
      <c r="N566">
        <v>330421985</v>
      </c>
      <c r="O566">
        <v>170311</v>
      </c>
      <c r="Q566" t="s">
        <v>889</v>
      </c>
      <c r="R566">
        <v>170311</v>
      </c>
    </row>
    <row r="567" spans="2:18">
      <c r="B567" t="s">
        <v>11</v>
      </c>
      <c r="C567">
        <v>330421986</v>
      </c>
      <c r="D567" t="s">
        <v>54</v>
      </c>
      <c r="E567" s="202">
        <v>14908.42</v>
      </c>
      <c r="F567">
        <v>14908.42</v>
      </c>
      <c r="J567" s="209">
        <v>45684</v>
      </c>
      <c r="K567" s="209">
        <v>45684</v>
      </c>
      <c r="M567" t="s">
        <v>11</v>
      </c>
      <c r="N567">
        <v>330421986</v>
      </c>
      <c r="O567">
        <v>170311</v>
      </c>
      <c r="Q567" t="s">
        <v>890</v>
      </c>
      <c r="R567">
        <v>170311</v>
      </c>
    </row>
    <row r="568" spans="2:18">
      <c r="B568" t="s">
        <v>11</v>
      </c>
      <c r="C568">
        <v>330421987</v>
      </c>
      <c r="D568" t="s">
        <v>54</v>
      </c>
      <c r="E568" s="202">
        <v>85406.54</v>
      </c>
      <c r="F568">
        <v>85406.54</v>
      </c>
      <c r="J568" s="209">
        <v>45684</v>
      </c>
      <c r="K568" s="209">
        <v>45684</v>
      </c>
      <c r="M568" t="s">
        <v>11</v>
      </c>
      <c r="N568">
        <v>330421987</v>
      </c>
      <c r="O568">
        <v>170311</v>
      </c>
      <c r="Q568" t="s">
        <v>891</v>
      </c>
      <c r="R568">
        <v>170311</v>
      </c>
    </row>
    <row r="569" spans="2:18">
      <c r="B569" t="s">
        <v>11</v>
      </c>
      <c r="C569">
        <v>330421988</v>
      </c>
      <c r="D569" t="s">
        <v>54</v>
      </c>
      <c r="E569" s="202">
        <v>32513.200000000001</v>
      </c>
      <c r="F569">
        <v>32513.200000000001</v>
      </c>
      <c r="J569" s="209">
        <v>45684</v>
      </c>
      <c r="K569" s="209">
        <v>45684</v>
      </c>
      <c r="M569" t="s">
        <v>11</v>
      </c>
      <c r="N569">
        <v>330421988</v>
      </c>
      <c r="O569">
        <v>170311</v>
      </c>
      <c r="Q569" t="s">
        <v>892</v>
      </c>
      <c r="R569">
        <v>170311</v>
      </c>
    </row>
    <row r="570" spans="2:18">
      <c r="B570" t="s">
        <v>11</v>
      </c>
      <c r="C570">
        <v>330421989</v>
      </c>
      <c r="D570" t="s">
        <v>54</v>
      </c>
      <c r="E570" s="202">
        <v>176333.18</v>
      </c>
      <c r="F570">
        <v>176333.18</v>
      </c>
      <c r="J570" s="209">
        <v>45684</v>
      </c>
      <c r="K570" s="209">
        <v>45684</v>
      </c>
      <c r="M570" t="s">
        <v>11</v>
      </c>
      <c r="N570">
        <v>330421989</v>
      </c>
      <c r="O570">
        <v>170311</v>
      </c>
      <c r="Q570" t="s">
        <v>893</v>
      </c>
      <c r="R570">
        <v>170311</v>
      </c>
    </row>
    <row r="571" spans="2:18">
      <c r="B571" t="s">
        <v>11</v>
      </c>
      <c r="C571">
        <v>910037152</v>
      </c>
      <c r="D571" t="s">
        <v>54</v>
      </c>
      <c r="E571" s="202">
        <v>2676.93</v>
      </c>
      <c r="F571">
        <v>2676.93</v>
      </c>
      <c r="J571" s="209">
        <v>45684</v>
      </c>
      <c r="K571" s="209">
        <v>45684</v>
      </c>
      <c r="M571" t="s">
        <v>11</v>
      </c>
      <c r="N571">
        <v>910037152</v>
      </c>
      <c r="O571">
        <v>170283</v>
      </c>
      <c r="Q571" t="s">
        <v>894</v>
      </c>
      <c r="R571">
        <v>170283</v>
      </c>
    </row>
    <row r="572" spans="2:18">
      <c r="B572" t="s">
        <v>11</v>
      </c>
      <c r="C572">
        <v>910037156</v>
      </c>
      <c r="D572" t="s">
        <v>54</v>
      </c>
      <c r="E572">
        <v>892.31</v>
      </c>
      <c r="F572">
        <v>892.31</v>
      </c>
      <c r="J572" s="209">
        <v>45684</v>
      </c>
      <c r="K572" s="209">
        <v>45684</v>
      </c>
      <c r="M572" t="s">
        <v>11</v>
      </c>
      <c r="N572">
        <v>910037156</v>
      </c>
      <c r="O572">
        <v>170283</v>
      </c>
      <c r="Q572" t="s">
        <v>895</v>
      </c>
      <c r="R572">
        <v>170283</v>
      </c>
    </row>
    <row r="573" spans="2:18">
      <c r="B573" t="s">
        <v>11</v>
      </c>
      <c r="C573">
        <v>910037157</v>
      </c>
      <c r="D573" t="s">
        <v>54</v>
      </c>
      <c r="E573">
        <v>594.87</v>
      </c>
      <c r="F573">
        <v>594.87</v>
      </c>
      <c r="J573" s="209">
        <v>45684</v>
      </c>
      <c r="K573" s="209">
        <v>45684</v>
      </c>
      <c r="M573" t="s">
        <v>11</v>
      </c>
      <c r="N573">
        <v>910037157</v>
      </c>
      <c r="O573">
        <v>170283</v>
      </c>
      <c r="Q573" t="s">
        <v>896</v>
      </c>
      <c r="R573">
        <v>170283</v>
      </c>
    </row>
    <row r="574" spans="2:18">
      <c r="B574" t="s">
        <v>11</v>
      </c>
      <c r="C574">
        <v>910037159</v>
      </c>
      <c r="D574" t="s">
        <v>54</v>
      </c>
      <c r="E574" s="202">
        <v>1189.76</v>
      </c>
      <c r="F574">
        <v>1189.76</v>
      </c>
      <c r="J574" s="209">
        <v>45684</v>
      </c>
      <c r="K574" s="209">
        <v>45684</v>
      </c>
      <c r="M574" t="s">
        <v>11</v>
      </c>
      <c r="N574">
        <v>910037159</v>
      </c>
      <c r="O574">
        <v>170285</v>
      </c>
      <c r="Q574" t="s">
        <v>896</v>
      </c>
      <c r="R574">
        <v>170285</v>
      </c>
    </row>
    <row r="575" spans="2:18">
      <c r="B575" t="s">
        <v>11</v>
      </c>
      <c r="C575">
        <v>910037160</v>
      </c>
      <c r="D575" t="s">
        <v>54</v>
      </c>
      <c r="E575">
        <v>444.4</v>
      </c>
      <c r="F575">
        <v>444.4</v>
      </c>
      <c r="J575" s="209">
        <v>45684</v>
      </c>
      <c r="K575" s="209">
        <v>45684</v>
      </c>
      <c r="M575" t="s">
        <v>11</v>
      </c>
      <c r="N575">
        <v>910037160</v>
      </c>
      <c r="O575" t="s">
        <v>486</v>
      </c>
      <c r="Q575" t="s">
        <v>152</v>
      </c>
    </row>
    <row r="576" spans="2:18">
      <c r="B576" t="s">
        <v>11</v>
      </c>
      <c r="C576">
        <v>910037176</v>
      </c>
      <c r="D576" t="s">
        <v>54</v>
      </c>
      <c r="E576">
        <v>594.88</v>
      </c>
      <c r="F576">
        <v>594.88</v>
      </c>
      <c r="J576" s="209">
        <v>45684</v>
      </c>
      <c r="K576" s="209">
        <v>45684</v>
      </c>
      <c r="M576" t="s">
        <v>11</v>
      </c>
      <c r="N576">
        <v>910037176</v>
      </c>
      <c r="O576">
        <v>170319</v>
      </c>
      <c r="Q576" t="s">
        <v>894</v>
      </c>
      <c r="R576">
        <v>170319</v>
      </c>
    </row>
    <row r="577" spans="2:18">
      <c r="B577" t="s">
        <v>11</v>
      </c>
      <c r="C577">
        <v>910037179</v>
      </c>
      <c r="D577" t="s">
        <v>54</v>
      </c>
      <c r="E577">
        <v>594.88</v>
      </c>
      <c r="F577">
        <v>594.88</v>
      </c>
      <c r="J577" s="209">
        <v>45684</v>
      </c>
      <c r="K577" s="209">
        <v>45684</v>
      </c>
      <c r="M577" t="s">
        <v>11</v>
      </c>
      <c r="N577">
        <v>910037179</v>
      </c>
      <c r="O577">
        <v>170319</v>
      </c>
      <c r="Q577" t="s">
        <v>897</v>
      </c>
      <c r="R577">
        <v>170319</v>
      </c>
    </row>
    <row r="578" spans="2:18">
      <c r="B578" t="s">
        <v>11</v>
      </c>
      <c r="C578">
        <v>910037181</v>
      </c>
      <c r="D578" t="s">
        <v>54</v>
      </c>
      <c r="E578">
        <v>892.31</v>
      </c>
      <c r="F578">
        <v>892.31</v>
      </c>
      <c r="J578" s="209">
        <v>45684</v>
      </c>
      <c r="K578" s="209">
        <v>45684</v>
      </c>
      <c r="M578" t="s">
        <v>11</v>
      </c>
      <c r="N578">
        <v>910037181</v>
      </c>
      <c r="O578">
        <v>170319</v>
      </c>
      <c r="Q578" t="s">
        <v>895</v>
      </c>
      <c r="R578">
        <v>170319</v>
      </c>
    </row>
    <row r="579" spans="2:18">
      <c r="B579" t="s">
        <v>11</v>
      </c>
      <c r="C579">
        <v>910037183</v>
      </c>
      <c r="D579" t="s">
        <v>54</v>
      </c>
      <c r="E579">
        <v>521.66</v>
      </c>
      <c r="F579">
        <v>521.66</v>
      </c>
      <c r="J579" s="209">
        <v>45684</v>
      </c>
      <c r="K579" s="209">
        <v>45684</v>
      </c>
      <c r="M579" t="s">
        <v>11</v>
      </c>
      <c r="N579">
        <v>910037183</v>
      </c>
      <c r="O579">
        <v>170319</v>
      </c>
      <c r="Q579" t="s">
        <v>150</v>
      </c>
      <c r="R579">
        <v>170319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4C0E9-3A2F-49FA-B322-012A9E33BDA0}">
  <sheetPr>
    <tabColor rgb="FF00B050"/>
  </sheetPr>
  <dimension ref="A1:L11"/>
  <sheetViews>
    <sheetView workbookViewId="0">
      <selection activeCell="H5" sqref="H5:H8"/>
    </sheetView>
  </sheetViews>
  <sheetFormatPr defaultRowHeight="13.8"/>
  <cols>
    <col min="7" max="7" width="8" bestFit="1" customWidth="1"/>
    <col min="8" max="8" width="18.296875" bestFit="1" customWidth="1"/>
    <col min="9" max="9" width="18.296875" customWidth="1"/>
  </cols>
  <sheetData>
    <row r="1" spans="1:12">
      <c r="A1" t="s">
        <v>0</v>
      </c>
      <c r="B1" t="s">
        <v>1</v>
      </c>
      <c r="C1" t="s">
        <v>2</v>
      </c>
      <c r="D1" t="s">
        <v>39</v>
      </c>
      <c r="E1" t="s">
        <v>455</v>
      </c>
      <c r="F1" t="s">
        <v>35</v>
      </c>
      <c r="G1" t="s">
        <v>36</v>
      </c>
      <c r="H1" t="s">
        <v>898</v>
      </c>
      <c r="J1" t="s">
        <v>37</v>
      </c>
      <c r="K1" t="s">
        <v>3</v>
      </c>
      <c r="L1" t="s">
        <v>899</v>
      </c>
    </row>
    <row r="2" spans="1:12">
      <c r="A2">
        <v>44</v>
      </c>
      <c r="B2" t="s">
        <v>11</v>
      </c>
      <c r="C2">
        <v>1040109</v>
      </c>
      <c r="D2">
        <v>910036840</v>
      </c>
      <c r="E2" s="209">
        <v>45672</v>
      </c>
      <c r="F2" s="209">
        <v>45672</v>
      </c>
      <c r="G2">
        <v>297.44</v>
      </c>
      <c r="H2" s="211">
        <v>297.44</v>
      </c>
      <c r="K2" t="s">
        <v>900</v>
      </c>
      <c r="L2" t="s">
        <v>34</v>
      </c>
    </row>
    <row r="3" spans="1:12">
      <c r="A3">
        <v>45</v>
      </c>
      <c r="B3" t="s">
        <v>11</v>
      </c>
      <c r="C3">
        <v>1040109</v>
      </c>
      <c r="D3">
        <v>910036841</v>
      </c>
      <c r="E3" s="209">
        <v>45672</v>
      </c>
      <c r="F3" s="209">
        <v>45672</v>
      </c>
      <c r="G3">
        <v>297.44</v>
      </c>
      <c r="H3" s="211">
        <v>297.44</v>
      </c>
      <c r="K3" t="s">
        <v>900</v>
      </c>
      <c r="L3" t="s">
        <v>34</v>
      </c>
    </row>
    <row r="4" spans="1:12">
      <c r="A4">
        <v>48</v>
      </c>
      <c r="B4" t="s">
        <v>11</v>
      </c>
      <c r="C4">
        <v>1040109</v>
      </c>
      <c r="D4">
        <v>910036817</v>
      </c>
      <c r="E4" s="209">
        <v>45672</v>
      </c>
      <c r="F4" s="209">
        <v>45672</v>
      </c>
      <c r="G4">
        <v>297.44</v>
      </c>
      <c r="H4" s="211">
        <v>297.44</v>
      </c>
      <c r="K4" t="s">
        <v>900</v>
      </c>
      <c r="L4" t="s">
        <v>34</v>
      </c>
    </row>
    <row r="5" spans="1:12">
      <c r="A5">
        <v>49</v>
      </c>
      <c r="B5" t="s">
        <v>11</v>
      </c>
      <c r="C5">
        <v>1040109</v>
      </c>
      <c r="D5">
        <v>910036816</v>
      </c>
      <c r="E5" s="209">
        <v>45672</v>
      </c>
      <c r="F5" s="209">
        <v>45672</v>
      </c>
      <c r="G5">
        <v>297.44</v>
      </c>
      <c r="H5">
        <v>297.44</v>
      </c>
      <c r="K5" t="s">
        <v>900</v>
      </c>
      <c r="L5" t="s">
        <v>34</v>
      </c>
    </row>
    <row r="6" spans="1:12">
      <c r="A6">
        <v>50</v>
      </c>
      <c r="B6" t="s">
        <v>11</v>
      </c>
      <c r="C6">
        <v>1040109</v>
      </c>
      <c r="D6">
        <v>910036818</v>
      </c>
      <c r="E6" s="209">
        <v>45672</v>
      </c>
      <c r="F6" s="209">
        <v>45672</v>
      </c>
      <c r="G6">
        <v>297.44</v>
      </c>
      <c r="H6">
        <v>297.44</v>
      </c>
      <c r="K6" t="s">
        <v>900</v>
      </c>
      <c r="L6" t="s">
        <v>34</v>
      </c>
    </row>
    <row r="7" spans="1:12">
      <c r="A7">
        <v>52</v>
      </c>
      <c r="B7" t="s">
        <v>11</v>
      </c>
      <c r="C7">
        <v>1040109</v>
      </c>
      <c r="D7">
        <v>330418801</v>
      </c>
      <c r="E7" s="209">
        <v>45672</v>
      </c>
      <c r="F7" s="209">
        <v>45672</v>
      </c>
      <c r="G7">
        <v>297.44</v>
      </c>
      <c r="H7">
        <v>1189.75</v>
      </c>
      <c r="K7" t="s">
        <v>900</v>
      </c>
      <c r="L7" t="s">
        <v>34</v>
      </c>
    </row>
    <row r="8" spans="1:12">
      <c r="A8">
        <v>89</v>
      </c>
      <c r="B8" t="s">
        <v>11</v>
      </c>
      <c r="C8">
        <v>1040109</v>
      </c>
      <c r="D8">
        <v>1210000017</v>
      </c>
      <c r="E8" s="209">
        <v>45672</v>
      </c>
      <c r="F8" s="209">
        <v>45672</v>
      </c>
      <c r="G8">
        <v>297.44</v>
      </c>
      <c r="H8">
        <v>297.44</v>
      </c>
      <c r="K8" t="s">
        <v>900</v>
      </c>
      <c r="L8" t="s">
        <v>34</v>
      </c>
    </row>
    <row r="9" spans="1:12">
      <c r="A9">
        <v>90</v>
      </c>
      <c r="B9" t="s">
        <v>11</v>
      </c>
      <c r="C9">
        <v>1040109</v>
      </c>
      <c r="D9">
        <v>910036790</v>
      </c>
      <c r="E9" s="209">
        <v>45672</v>
      </c>
      <c r="F9" s="209">
        <v>45672</v>
      </c>
      <c r="G9">
        <v>297.44</v>
      </c>
      <c r="K9" t="s">
        <v>901</v>
      </c>
      <c r="L9" t="s">
        <v>34</v>
      </c>
    </row>
    <row r="10" spans="1:12">
      <c r="A10">
        <v>47</v>
      </c>
      <c r="B10" t="s">
        <v>11</v>
      </c>
      <c r="C10">
        <v>1040109</v>
      </c>
      <c r="D10">
        <v>910036839</v>
      </c>
      <c r="E10" s="209">
        <v>45672</v>
      </c>
      <c r="F10" s="209">
        <v>45672</v>
      </c>
      <c r="G10">
        <v>297.43</v>
      </c>
      <c r="H10" s="211">
        <v>297.43</v>
      </c>
      <c r="K10" t="s">
        <v>900</v>
      </c>
    </row>
    <row r="11" spans="1:12">
      <c r="G11">
        <f>SUM(G2:G10)</f>
        <v>2676.95</v>
      </c>
      <c r="H11">
        <f>SUM(H2:H10)</f>
        <v>3271.8199999999997</v>
      </c>
      <c r="I11">
        <f>H11-G11</f>
        <v>594.86999999999989</v>
      </c>
      <c r="L11" t="s">
        <v>34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AE6FB-7EAB-45A2-B3AA-C24C7E1F5552}">
  <dimension ref="A1:M12"/>
  <sheetViews>
    <sheetView showGridLines="0" workbookViewId="0">
      <selection activeCell="F12" sqref="F12:H12"/>
    </sheetView>
  </sheetViews>
  <sheetFormatPr defaultRowHeight="13.8"/>
  <cols>
    <col min="1" max="1" width="5.69921875" bestFit="1" customWidth="1"/>
    <col min="2" max="2" width="15.8984375" bestFit="1" customWidth="1"/>
    <col min="3" max="3" width="8" bestFit="1" customWidth="1"/>
    <col min="4" max="4" width="17.296875" bestFit="1" customWidth="1"/>
    <col min="5" max="5" width="16.59765625" style="8" bestFit="1" customWidth="1"/>
    <col min="6" max="6" width="26.69921875" style="11" bestFit="1" customWidth="1"/>
    <col min="7" max="7" width="22.69921875" style="11" customWidth="1"/>
    <col min="8" max="8" width="30.09765625" style="11" bestFit="1" customWidth="1"/>
    <col min="9" max="9" width="28.296875" style="6" bestFit="1" customWidth="1"/>
    <col min="10" max="10" width="16.59765625" style="8" customWidth="1"/>
    <col min="11" max="11" width="12.8984375" bestFit="1" customWidth="1"/>
  </cols>
  <sheetData>
    <row r="1" spans="1:13" s="10" customFormat="1" ht="25.2" customHeight="1">
      <c r="A1" s="2" t="s">
        <v>0</v>
      </c>
      <c r="B1" s="3" t="s">
        <v>1</v>
      </c>
      <c r="C1" s="3" t="s">
        <v>2</v>
      </c>
      <c r="D1" s="3" t="s">
        <v>455</v>
      </c>
      <c r="E1" s="9" t="s">
        <v>36</v>
      </c>
      <c r="F1" s="3" t="s">
        <v>456</v>
      </c>
      <c r="G1" s="3" t="s">
        <v>3</v>
      </c>
      <c r="H1" s="4" t="s">
        <v>4</v>
      </c>
      <c r="I1" s="5" t="s">
        <v>5</v>
      </c>
      <c r="J1" s="7" t="s">
        <v>6</v>
      </c>
      <c r="K1" s="56"/>
      <c r="L1" s="56"/>
      <c r="M1" s="56"/>
    </row>
    <row r="2" spans="1:13">
      <c r="A2" s="12">
        <v>1</v>
      </c>
      <c r="B2" t="s">
        <v>7</v>
      </c>
      <c r="C2">
        <v>2130870</v>
      </c>
      <c r="D2" s="1">
        <v>45523</v>
      </c>
      <c r="E2" s="13">
        <v>12932.32</v>
      </c>
      <c r="F2" s="11" t="s">
        <v>902</v>
      </c>
      <c r="G2" s="11" t="s">
        <v>10</v>
      </c>
      <c r="H2" s="75"/>
      <c r="I2" s="70">
        <v>163702</v>
      </c>
      <c r="J2" s="30">
        <v>26497.649999999998</v>
      </c>
    </row>
    <row r="3" spans="1:13" ht="14.4" customHeight="1" thickBot="1">
      <c r="A3" s="14">
        <v>4</v>
      </c>
      <c r="B3" s="15" t="s">
        <v>7</v>
      </c>
      <c r="C3" s="15">
        <v>2130870</v>
      </c>
      <c r="D3" s="46">
        <v>45523</v>
      </c>
      <c r="E3" s="16">
        <v>8465728.7699999996</v>
      </c>
      <c r="F3" s="55" t="s">
        <v>903</v>
      </c>
      <c r="G3" s="55" t="s">
        <v>10</v>
      </c>
      <c r="H3" s="72"/>
      <c r="I3" s="94">
        <v>163703</v>
      </c>
      <c r="J3" s="60">
        <v>866514.27</v>
      </c>
      <c r="K3" s="108" t="e">
        <f>J3+#REF!-E8-E9</f>
        <v>#REF!</v>
      </c>
    </row>
    <row r="4" spans="1:13">
      <c r="A4" s="43">
        <v>12</v>
      </c>
      <c r="B4" s="43" t="s">
        <v>11</v>
      </c>
      <c r="C4" s="43">
        <v>1170470</v>
      </c>
      <c r="D4" s="44">
        <v>45523</v>
      </c>
      <c r="E4" s="45">
        <v>104</v>
      </c>
      <c r="F4" s="105" t="s">
        <v>33</v>
      </c>
      <c r="G4" s="105" t="s">
        <v>10</v>
      </c>
      <c r="I4" s="69">
        <v>163704</v>
      </c>
      <c r="J4" s="67">
        <v>1342.44</v>
      </c>
    </row>
    <row r="5" spans="1:13">
      <c r="A5" s="51">
        <v>16</v>
      </c>
      <c r="B5" s="51" t="s">
        <v>11</v>
      </c>
      <c r="C5" s="51">
        <v>1200393</v>
      </c>
      <c r="D5" s="52">
        <v>45523</v>
      </c>
      <c r="E5" s="53">
        <v>1151.52</v>
      </c>
      <c r="F5" s="54"/>
      <c r="G5" s="54" t="s">
        <v>10</v>
      </c>
      <c r="I5" s="95">
        <v>163706</v>
      </c>
      <c r="J5" s="53">
        <v>33260.880000000005</v>
      </c>
    </row>
    <row r="6" spans="1:13">
      <c r="A6" s="28">
        <v>18</v>
      </c>
      <c r="B6" s="28" t="s">
        <v>11</v>
      </c>
      <c r="C6" s="28">
        <v>1200393</v>
      </c>
      <c r="D6" s="29">
        <v>45523</v>
      </c>
      <c r="E6" s="30">
        <v>1888.83</v>
      </c>
      <c r="F6" s="31"/>
      <c r="G6" s="31" t="s">
        <v>10</v>
      </c>
      <c r="I6" s="49">
        <v>163724</v>
      </c>
      <c r="J6" s="25">
        <v>1177.5</v>
      </c>
    </row>
    <row r="7" spans="1:13">
      <c r="A7" s="28">
        <v>20</v>
      </c>
      <c r="B7" s="28" t="s">
        <v>11</v>
      </c>
      <c r="C7" s="28">
        <v>1040211</v>
      </c>
      <c r="D7" s="29">
        <v>45523</v>
      </c>
      <c r="E7" s="30">
        <v>24608.82</v>
      </c>
      <c r="F7" s="31"/>
      <c r="G7" s="31" t="s">
        <v>10</v>
      </c>
      <c r="I7" s="74">
        <v>163725</v>
      </c>
      <c r="J7" s="73">
        <v>95316.83</v>
      </c>
      <c r="K7" s="64"/>
    </row>
    <row r="8" spans="1:13">
      <c r="A8" s="58">
        <v>21</v>
      </c>
      <c r="B8" s="58" t="s">
        <v>11</v>
      </c>
      <c r="C8" s="58">
        <v>1200393</v>
      </c>
      <c r="D8" s="59">
        <v>45523</v>
      </c>
      <c r="E8" s="60">
        <v>3598.34</v>
      </c>
      <c r="F8" s="61" t="s">
        <v>33</v>
      </c>
      <c r="G8" s="61" t="s">
        <v>10</v>
      </c>
      <c r="I8" s="80">
        <v>163742</v>
      </c>
      <c r="J8" s="79">
        <v>23356.07</v>
      </c>
    </row>
    <row r="9" spans="1:13" ht="41.4">
      <c r="A9" s="58">
        <v>22</v>
      </c>
      <c r="B9" s="58" t="s">
        <v>11</v>
      </c>
      <c r="C9" s="58">
        <v>1040211</v>
      </c>
      <c r="D9" s="59">
        <v>45523</v>
      </c>
      <c r="E9" s="60">
        <v>939579.43</v>
      </c>
      <c r="F9" s="61" t="s">
        <v>33</v>
      </c>
      <c r="G9" s="61" t="s">
        <v>10</v>
      </c>
      <c r="H9" s="109" t="s">
        <v>904</v>
      </c>
      <c r="I9" s="47">
        <v>163803</v>
      </c>
      <c r="J9" s="18">
        <v>135.12</v>
      </c>
    </row>
    <row r="10" spans="1:13">
      <c r="A10" s="65">
        <v>23</v>
      </c>
      <c r="B10" s="65" t="s">
        <v>11</v>
      </c>
      <c r="C10" s="65">
        <v>1040211</v>
      </c>
      <c r="D10" s="66">
        <v>45523</v>
      </c>
      <c r="E10" s="67">
        <v>1342.44</v>
      </c>
      <c r="F10" s="68"/>
      <c r="G10" s="68" t="s">
        <v>10</v>
      </c>
      <c r="I10" s="50">
        <v>163808</v>
      </c>
      <c r="J10" s="36">
        <v>178.41</v>
      </c>
    </row>
    <row r="11" spans="1:13">
      <c r="A11" s="21">
        <v>64</v>
      </c>
      <c r="B11" s="21" t="s">
        <v>11</v>
      </c>
      <c r="C11" s="21">
        <v>1040375</v>
      </c>
      <c r="D11" s="34">
        <v>45523</v>
      </c>
      <c r="E11" s="22">
        <v>45.83</v>
      </c>
      <c r="F11" s="23"/>
      <c r="G11" s="23" t="s">
        <v>10</v>
      </c>
    </row>
    <row r="12" spans="1:13">
      <c r="A12">
        <v>66</v>
      </c>
      <c r="B12" t="s">
        <v>12</v>
      </c>
      <c r="C12">
        <v>1040500</v>
      </c>
      <c r="D12" s="1">
        <v>45523</v>
      </c>
      <c r="E12" s="8">
        <v>1042788.14</v>
      </c>
      <c r="F12" s="104" t="s">
        <v>905</v>
      </c>
      <c r="G12" s="104" t="s">
        <v>10</v>
      </c>
      <c r="H12" s="56" t="s">
        <v>906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41289-0849-45C4-955A-9F0A281BADA8}">
  <dimension ref="A1:M20"/>
  <sheetViews>
    <sheetView showGridLines="0" topLeftCell="A3" workbookViewId="0">
      <selection activeCell="J17" sqref="J17"/>
    </sheetView>
  </sheetViews>
  <sheetFormatPr defaultRowHeight="13.8"/>
  <cols>
    <col min="1" max="1" width="4.8984375" bestFit="1" customWidth="1"/>
    <col min="2" max="2" width="15.09765625" bestFit="1" customWidth="1"/>
    <col min="3" max="3" width="7.8984375" bestFit="1" customWidth="1"/>
    <col min="4" max="4" width="14.8984375" bestFit="1" customWidth="1"/>
    <col min="5" max="5" width="15.3984375" style="8" bestFit="1" customWidth="1"/>
    <col min="6" max="6" width="20.8984375" style="57" bestFit="1" customWidth="1"/>
    <col min="7" max="7" width="15" style="57" customWidth="1"/>
    <col min="8" max="8" width="25.8984375" style="57" bestFit="1" customWidth="1"/>
    <col min="9" max="9" width="27.8984375" style="6" customWidth="1"/>
    <col min="10" max="10" width="15.69921875" style="8" customWidth="1"/>
    <col min="11" max="11" width="19.8984375" bestFit="1" customWidth="1"/>
  </cols>
  <sheetData>
    <row r="1" spans="1:13" s="10" customFormat="1" ht="25.2" customHeight="1">
      <c r="A1" s="2" t="s">
        <v>0</v>
      </c>
      <c r="B1" s="3" t="s">
        <v>1</v>
      </c>
      <c r="C1" s="3" t="s">
        <v>2</v>
      </c>
      <c r="D1" s="3" t="s">
        <v>455</v>
      </c>
      <c r="E1" s="9" t="s">
        <v>36</v>
      </c>
      <c r="F1" s="3" t="s">
        <v>456</v>
      </c>
      <c r="G1" s="3" t="s">
        <v>3</v>
      </c>
      <c r="H1" s="4" t="s">
        <v>4</v>
      </c>
      <c r="I1" s="5" t="s">
        <v>5</v>
      </c>
      <c r="J1" s="7" t="s">
        <v>6</v>
      </c>
      <c r="K1" s="56"/>
      <c r="L1" s="56"/>
      <c r="M1" s="56"/>
    </row>
    <row r="2" spans="1:13">
      <c r="A2" s="12">
        <v>1</v>
      </c>
      <c r="B2" t="s">
        <v>7</v>
      </c>
      <c r="C2">
        <v>2130870</v>
      </c>
      <c r="D2" s="1">
        <v>45530</v>
      </c>
      <c r="E2" s="13">
        <v>1452538.9</v>
      </c>
      <c r="F2" s="57" t="s">
        <v>903</v>
      </c>
      <c r="G2" s="57" t="s">
        <v>10</v>
      </c>
      <c r="H2" s="82"/>
      <c r="I2" s="80">
        <v>164423</v>
      </c>
      <c r="J2" s="79">
        <v>39876.029999999984</v>
      </c>
    </row>
    <row r="3" spans="1:13">
      <c r="A3" s="12">
        <v>2</v>
      </c>
      <c r="B3" t="s">
        <v>7</v>
      </c>
      <c r="C3">
        <v>2130870</v>
      </c>
      <c r="D3" s="1">
        <v>45530</v>
      </c>
      <c r="E3" s="13">
        <v>9216.93</v>
      </c>
      <c r="F3" s="57" t="s">
        <v>902</v>
      </c>
      <c r="G3" s="57" t="s">
        <v>10</v>
      </c>
      <c r="H3" s="82"/>
      <c r="I3" s="48">
        <v>164424</v>
      </c>
      <c r="J3" s="20">
        <v>853303.9600000002</v>
      </c>
    </row>
    <row r="4" spans="1:13">
      <c r="A4" s="12">
        <v>3</v>
      </c>
      <c r="B4" t="s">
        <v>7</v>
      </c>
      <c r="C4">
        <v>2050808</v>
      </c>
      <c r="D4" s="1">
        <v>45530</v>
      </c>
      <c r="E4" s="13">
        <v>448014.06</v>
      </c>
      <c r="G4" s="57" t="s">
        <v>10</v>
      </c>
      <c r="H4" s="82"/>
      <c r="I4" s="99">
        <v>164426</v>
      </c>
      <c r="J4" s="98">
        <v>1354.18</v>
      </c>
    </row>
    <row r="5" spans="1:13">
      <c r="A5" s="12">
        <v>4</v>
      </c>
      <c r="B5" t="s">
        <v>7</v>
      </c>
      <c r="C5">
        <v>2050808</v>
      </c>
      <c r="D5" s="1">
        <v>45530</v>
      </c>
      <c r="E5" s="13">
        <v>9217.5300000000007</v>
      </c>
      <c r="G5" s="57" t="s">
        <v>10</v>
      </c>
      <c r="H5" s="82"/>
      <c r="I5" s="47">
        <v>164427</v>
      </c>
      <c r="J5" s="18">
        <v>34927.51</v>
      </c>
    </row>
    <row r="6" spans="1:13">
      <c r="A6" s="12">
        <v>5</v>
      </c>
      <c r="B6" t="s">
        <v>13</v>
      </c>
      <c r="C6">
        <v>2050752</v>
      </c>
      <c r="D6" s="1">
        <v>45530</v>
      </c>
      <c r="E6" s="13">
        <v>155537.1</v>
      </c>
      <c r="G6" s="57" t="s">
        <v>10</v>
      </c>
      <c r="H6" s="82"/>
      <c r="I6" s="94">
        <v>164442</v>
      </c>
      <c r="J6" s="60">
        <v>25200</v>
      </c>
    </row>
    <row r="7" spans="1:13" ht="14.4" thickBot="1">
      <c r="A7" s="14">
        <v>6</v>
      </c>
      <c r="B7" s="15" t="s">
        <v>13</v>
      </c>
      <c r="C7" s="15">
        <v>2090821</v>
      </c>
      <c r="D7" s="46">
        <v>45530</v>
      </c>
      <c r="E7" s="16">
        <v>5.48</v>
      </c>
      <c r="F7" s="86"/>
      <c r="G7" s="86" t="s">
        <v>10</v>
      </c>
      <c r="H7" s="81"/>
      <c r="I7" s="63">
        <v>164482</v>
      </c>
      <c r="J7" s="33">
        <v>851968.62000000023</v>
      </c>
    </row>
    <row r="8" spans="1:13">
      <c r="A8" s="19">
        <v>20</v>
      </c>
      <c r="B8" s="19" t="s">
        <v>11</v>
      </c>
      <c r="C8" s="19">
        <v>1040211</v>
      </c>
      <c r="D8" s="26">
        <v>45530</v>
      </c>
      <c r="E8" s="20">
        <v>853303.96</v>
      </c>
      <c r="F8" s="92"/>
      <c r="G8" s="92" t="s">
        <v>10</v>
      </c>
      <c r="I8" s="49">
        <v>164522</v>
      </c>
      <c r="J8" s="25">
        <v>1811.6</v>
      </c>
    </row>
    <row r="9" spans="1:13">
      <c r="A9" s="17">
        <v>23</v>
      </c>
      <c r="B9" s="17" t="s">
        <v>11</v>
      </c>
      <c r="C9" s="17">
        <v>1200393</v>
      </c>
      <c r="D9" s="27">
        <v>45530</v>
      </c>
      <c r="E9" s="18">
        <v>5984.74</v>
      </c>
      <c r="F9" s="87"/>
      <c r="G9" s="87" t="s">
        <v>10</v>
      </c>
      <c r="I9" s="69">
        <v>164543</v>
      </c>
      <c r="J9" s="67">
        <v>2562.16</v>
      </c>
    </row>
    <row r="10" spans="1:13" ht="14.4">
      <c r="A10" s="17">
        <v>24</v>
      </c>
      <c r="B10" s="17" t="s">
        <v>11</v>
      </c>
      <c r="C10" s="17">
        <v>1040211</v>
      </c>
      <c r="D10" s="27">
        <v>45530</v>
      </c>
      <c r="E10" s="18">
        <v>28942.77</v>
      </c>
      <c r="F10" s="87"/>
      <c r="G10" s="87" t="s">
        <v>10</v>
      </c>
      <c r="I10" s="100" t="s">
        <v>907</v>
      </c>
      <c r="J10" s="103">
        <v>260</v>
      </c>
      <c r="K10" s="106" t="s">
        <v>908</v>
      </c>
    </row>
    <row r="11" spans="1:13" ht="14.4">
      <c r="A11" s="32">
        <v>25</v>
      </c>
      <c r="B11" s="32" t="s">
        <v>11</v>
      </c>
      <c r="C11" s="32">
        <v>1200393</v>
      </c>
      <c r="D11" s="62">
        <v>45530</v>
      </c>
      <c r="E11" s="33">
        <v>94607.13</v>
      </c>
      <c r="F11" s="91"/>
      <c r="G11" s="91" t="s">
        <v>10</v>
      </c>
      <c r="I11" s="100" t="s">
        <v>909</v>
      </c>
      <c r="J11" s="103">
        <v>2288.8000000000002</v>
      </c>
      <c r="K11" s="106" t="s">
        <v>908</v>
      </c>
    </row>
    <row r="12" spans="1:13">
      <c r="A12" s="32">
        <v>26</v>
      </c>
      <c r="B12" s="32" t="s">
        <v>11</v>
      </c>
      <c r="C12" s="32">
        <v>1040211</v>
      </c>
      <c r="D12" s="62">
        <v>45530</v>
      </c>
      <c r="E12" s="33">
        <v>757361.49</v>
      </c>
      <c r="F12" s="91"/>
      <c r="G12" s="91" t="s">
        <v>10</v>
      </c>
      <c r="I12" s="70" t="s">
        <v>910</v>
      </c>
      <c r="J12" s="30">
        <v>151.46</v>
      </c>
    </row>
    <row r="13" spans="1:13">
      <c r="A13" s="77">
        <v>30</v>
      </c>
      <c r="B13" s="77" t="s">
        <v>11</v>
      </c>
      <c r="C13" s="77">
        <v>1040211</v>
      </c>
      <c r="D13" s="78">
        <v>45530</v>
      </c>
      <c r="E13" s="79">
        <v>34003.339999999997</v>
      </c>
      <c r="F13" s="89"/>
      <c r="G13" s="89" t="s">
        <v>10</v>
      </c>
      <c r="I13" s="107" t="s">
        <v>911</v>
      </c>
      <c r="J13" s="45">
        <v>5851.31</v>
      </c>
    </row>
    <row r="14" spans="1:13">
      <c r="A14" s="77">
        <v>31</v>
      </c>
      <c r="B14" s="77" t="s">
        <v>11</v>
      </c>
      <c r="C14" s="77">
        <v>1200393</v>
      </c>
      <c r="D14" s="78">
        <v>45530</v>
      </c>
      <c r="E14" s="79">
        <v>5872.69</v>
      </c>
      <c r="F14" s="89"/>
      <c r="G14" s="89" t="s">
        <v>10</v>
      </c>
    </row>
    <row r="15" spans="1:13">
      <c r="A15" s="43">
        <v>32</v>
      </c>
      <c r="B15" s="43" t="s">
        <v>12</v>
      </c>
      <c r="C15" s="43">
        <v>1100118</v>
      </c>
      <c r="D15" s="44">
        <v>45530</v>
      </c>
      <c r="E15" s="45">
        <v>18.809999999999999</v>
      </c>
      <c r="F15" s="90" t="s">
        <v>33</v>
      </c>
      <c r="G15" s="90" t="s">
        <v>10</v>
      </c>
    </row>
    <row r="16" spans="1:13">
      <c r="A16" s="43">
        <v>33</v>
      </c>
      <c r="B16" s="43" t="s">
        <v>12</v>
      </c>
      <c r="C16" s="43">
        <v>1080156</v>
      </c>
      <c r="D16" s="44">
        <v>45530</v>
      </c>
      <c r="E16" s="45">
        <v>4950.2299999999996</v>
      </c>
      <c r="F16" s="90" t="s">
        <v>33</v>
      </c>
      <c r="G16" s="90" t="s">
        <v>10</v>
      </c>
    </row>
    <row r="17" spans="1:8">
      <c r="A17" s="43">
        <v>34</v>
      </c>
      <c r="B17" s="43" t="s">
        <v>12</v>
      </c>
      <c r="C17" s="43">
        <v>1040500</v>
      </c>
      <c r="D17" s="44">
        <v>45530</v>
      </c>
      <c r="E17" s="45">
        <v>882.27</v>
      </c>
      <c r="F17" s="90" t="s">
        <v>33</v>
      </c>
      <c r="G17" s="90" t="s">
        <v>10</v>
      </c>
    </row>
    <row r="18" spans="1:8">
      <c r="A18">
        <v>35</v>
      </c>
      <c r="B18" t="s">
        <v>12</v>
      </c>
      <c r="C18">
        <v>1100118</v>
      </c>
      <c r="D18" s="1">
        <v>45530</v>
      </c>
      <c r="E18" s="101">
        <v>35.03</v>
      </c>
      <c r="F18" s="57" t="s">
        <v>912</v>
      </c>
      <c r="G18" s="57" t="s">
        <v>10</v>
      </c>
      <c r="H18" s="104" t="s">
        <v>913</v>
      </c>
    </row>
    <row r="19" spans="1:8">
      <c r="A19" s="58">
        <v>38</v>
      </c>
      <c r="B19" s="58" t="s">
        <v>12</v>
      </c>
      <c r="C19" s="58">
        <v>1170144</v>
      </c>
      <c r="D19" s="59">
        <v>45530</v>
      </c>
      <c r="E19" s="60">
        <v>25200</v>
      </c>
      <c r="F19" s="88"/>
      <c r="G19" s="88" t="s">
        <v>10</v>
      </c>
    </row>
    <row r="20" spans="1:8">
      <c r="A20" s="96">
        <v>40</v>
      </c>
      <c r="B20" s="96" t="s">
        <v>11</v>
      </c>
      <c r="C20" s="96">
        <v>1040362</v>
      </c>
      <c r="D20" s="97">
        <v>45530</v>
      </c>
      <c r="E20" s="98">
        <v>142.12</v>
      </c>
      <c r="F20" s="102"/>
      <c r="G20" s="102" t="s">
        <v>10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40555-32D5-41D0-9C4B-12CB7D4ED61A}">
  <dimension ref="A1:V354"/>
  <sheetViews>
    <sheetView topLeftCell="A342" workbookViewId="0">
      <selection activeCell="J17" sqref="J17"/>
    </sheetView>
  </sheetViews>
  <sheetFormatPr defaultRowHeight="13.8"/>
  <cols>
    <col min="1" max="1" width="16.296875" customWidth="1"/>
    <col min="2" max="2" width="10.09765625" customWidth="1"/>
    <col min="3" max="3" width="28.59765625" customWidth="1"/>
    <col min="4" max="4" width="7.8984375" bestFit="1" customWidth="1"/>
    <col min="5" max="5" width="18.3984375" bestFit="1" customWidth="1"/>
    <col min="6" max="6" width="6.3984375" bestFit="1" customWidth="1"/>
    <col min="7" max="7" width="20.8984375" bestFit="1" customWidth="1"/>
    <col min="8" max="8" width="9.8984375" bestFit="1" customWidth="1"/>
    <col min="9" max="9" width="16.3984375" bestFit="1" customWidth="1"/>
    <col min="10" max="10" width="18.8984375" bestFit="1" customWidth="1"/>
    <col min="11" max="11" width="14.296875" bestFit="1" customWidth="1"/>
    <col min="12" max="12" width="19.3984375" bestFit="1" customWidth="1"/>
    <col min="13" max="13" width="13.296875" bestFit="1" customWidth="1"/>
    <col min="14" max="14" width="9.8984375" bestFit="1" customWidth="1"/>
    <col min="15" max="15" width="18.3984375" bestFit="1" customWidth="1"/>
    <col min="16" max="16" width="22.8984375" bestFit="1" customWidth="1"/>
    <col min="17" max="17" width="8.3984375" bestFit="1" customWidth="1"/>
    <col min="18" max="18" width="15.296875" bestFit="1" customWidth="1"/>
    <col min="19" max="19" width="19.3984375" bestFit="1" customWidth="1"/>
    <col min="20" max="20" width="15.3984375" bestFit="1" customWidth="1"/>
    <col min="21" max="21" width="2.3984375" bestFit="1" customWidth="1"/>
    <col min="22" max="22" width="2.59765625" bestFit="1" customWidth="1"/>
  </cols>
  <sheetData>
    <row r="1" spans="1:22">
      <c r="A1" t="s">
        <v>914</v>
      </c>
      <c r="B1" t="s">
        <v>915</v>
      </c>
      <c r="C1" t="s">
        <v>916</v>
      </c>
      <c r="D1" t="s">
        <v>1</v>
      </c>
      <c r="E1" t="s">
        <v>917</v>
      </c>
      <c r="F1" t="s">
        <v>918</v>
      </c>
      <c r="G1" t="s">
        <v>919</v>
      </c>
      <c r="H1" t="s">
        <v>920</v>
      </c>
      <c r="I1" t="s">
        <v>921</v>
      </c>
      <c r="J1" t="s">
        <v>922</v>
      </c>
      <c r="K1" t="s">
        <v>923</v>
      </c>
      <c r="L1" t="s">
        <v>924</v>
      </c>
      <c r="M1" t="s">
        <v>925</v>
      </c>
      <c r="N1" t="s">
        <v>46</v>
      </c>
      <c r="O1" t="s">
        <v>926</v>
      </c>
      <c r="P1" t="s">
        <v>927</v>
      </c>
      <c r="Q1" t="s">
        <v>3</v>
      </c>
      <c r="R1" t="s">
        <v>928</v>
      </c>
      <c r="S1" t="s">
        <v>929</v>
      </c>
      <c r="T1" t="s">
        <v>930</v>
      </c>
      <c r="U1" t="s">
        <v>931</v>
      </c>
      <c r="V1" t="s">
        <v>932</v>
      </c>
    </row>
    <row r="2" spans="1:22" s="32" customFormat="1">
      <c r="A2" s="32" t="s">
        <v>933</v>
      </c>
      <c r="B2" s="32" t="s">
        <v>934</v>
      </c>
      <c r="C2" s="32" t="s">
        <v>935</v>
      </c>
      <c r="D2" s="32" t="s">
        <v>936</v>
      </c>
      <c r="E2" s="62">
        <v>45545</v>
      </c>
      <c r="F2" s="32" t="s">
        <v>54</v>
      </c>
      <c r="G2" s="32">
        <v>-1.65</v>
      </c>
      <c r="H2" s="32">
        <v>-1.65</v>
      </c>
      <c r="J2" s="32" t="s">
        <v>937</v>
      </c>
      <c r="M2" s="62">
        <v>45545</v>
      </c>
      <c r="N2" s="62">
        <v>45546</v>
      </c>
      <c r="O2" s="32" t="s">
        <v>938</v>
      </c>
      <c r="P2" s="32">
        <v>205826</v>
      </c>
      <c r="Q2" s="32" t="s">
        <v>939</v>
      </c>
      <c r="V2" s="32" t="s">
        <v>34</v>
      </c>
    </row>
    <row r="3" spans="1:22" s="32" customFormat="1">
      <c r="A3" s="32" t="s">
        <v>933</v>
      </c>
      <c r="B3" s="32" t="s">
        <v>934</v>
      </c>
      <c r="C3" s="32" t="s">
        <v>940</v>
      </c>
      <c r="D3" s="32" t="s">
        <v>936</v>
      </c>
      <c r="E3" s="62">
        <v>45545</v>
      </c>
      <c r="F3" s="32" t="s">
        <v>54</v>
      </c>
      <c r="G3" s="32">
        <v>-26.4</v>
      </c>
      <c r="H3" s="32">
        <v>-26.4</v>
      </c>
      <c r="J3" s="32" t="s">
        <v>937</v>
      </c>
      <c r="M3" s="62">
        <v>45545</v>
      </c>
      <c r="N3" s="62">
        <v>45546</v>
      </c>
      <c r="O3" s="32" t="s">
        <v>938</v>
      </c>
      <c r="P3" s="32">
        <v>205826</v>
      </c>
      <c r="Q3" s="32" t="s">
        <v>939</v>
      </c>
      <c r="V3" s="32" t="s">
        <v>34</v>
      </c>
    </row>
    <row r="4" spans="1:22" s="32" customFormat="1">
      <c r="A4" s="32" t="s">
        <v>933</v>
      </c>
      <c r="B4" s="32" t="s">
        <v>934</v>
      </c>
      <c r="C4" s="32" t="s">
        <v>941</v>
      </c>
      <c r="D4" s="32" t="s">
        <v>936</v>
      </c>
      <c r="E4" s="62">
        <v>45545</v>
      </c>
      <c r="F4" s="32" t="s">
        <v>54</v>
      </c>
      <c r="G4" s="32">
        <v>-132.6</v>
      </c>
      <c r="H4" s="32">
        <v>-132.6</v>
      </c>
      <c r="J4" s="32" t="s">
        <v>937</v>
      </c>
      <c r="M4" s="62">
        <v>45545</v>
      </c>
      <c r="N4" s="62">
        <v>45546</v>
      </c>
      <c r="O4" s="32" t="s">
        <v>938</v>
      </c>
      <c r="P4" s="32">
        <v>205826</v>
      </c>
      <c r="Q4" s="32" t="s">
        <v>939</v>
      </c>
      <c r="V4" s="32" t="s">
        <v>34</v>
      </c>
    </row>
    <row r="5" spans="1:22" s="32" customFormat="1">
      <c r="A5" s="32" t="s">
        <v>933</v>
      </c>
      <c r="B5" s="32" t="s">
        <v>934</v>
      </c>
      <c r="C5" s="32" t="s">
        <v>942</v>
      </c>
      <c r="D5" s="32" t="s">
        <v>936</v>
      </c>
      <c r="E5" s="62">
        <v>45545</v>
      </c>
      <c r="F5" s="32" t="s">
        <v>54</v>
      </c>
      <c r="G5" s="32">
        <v>-493</v>
      </c>
      <c r="H5" s="32">
        <v>-493</v>
      </c>
      <c r="J5" s="32" t="s">
        <v>937</v>
      </c>
      <c r="M5" s="62">
        <v>45545</v>
      </c>
      <c r="N5" s="62">
        <v>45546</v>
      </c>
      <c r="O5" s="32" t="s">
        <v>938</v>
      </c>
      <c r="P5" s="32">
        <v>205826</v>
      </c>
      <c r="Q5" s="32" t="s">
        <v>939</v>
      </c>
      <c r="V5" s="32" t="s">
        <v>34</v>
      </c>
    </row>
    <row r="6" spans="1:22" s="32" customFormat="1">
      <c r="A6" s="32" t="s">
        <v>933</v>
      </c>
      <c r="B6" s="32" t="s">
        <v>934</v>
      </c>
      <c r="C6" s="32" t="s">
        <v>943</v>
      </c>
      <c r="D6" s="32" t="s">
        <v>936</v>
      </c>
      <c r="E6" s="62">
        <v>45545</v>
      </c>
      <c r="F6" s="32" t="s">
        <v>54</v>
      </c>
      <c r="G6" s="32">
        <v>-170</v>
      </c>
      <c r="H6" s="32">
        <v>-170</v>
      </c>
      <c r="J6" s="32" t="s">
        <v>937</v>
      </c>
      <c r="M6" s="62">
        <v>45545</v>
      </c>
      <c r="N6" s="62">
        <v>45546</v>
      </c>
      <c r="O6" s="32" t="s">
        <v>938</v>
      </c>
      <c r="P6" s="32">
        <v>205826</v>
      </c>
      <c r="Q6" s="32" t="s">
        <v>939</v>
      </c>
      <c r="V6" s="32" t="s">
        <v>34</v>
      </c>
    </row>
    <row r="7" spans="1:22" s="32" customFormat="1">
      <c r="A7" s="32" t="s">
        <v>933</v>
      </c>
      <c r="B7" s="32" t="s">
        <v>934</v>
      </c>
      <c r="C7" s="32" t="s">
        <v>944</v>
      </c>
      <c r="D7" s="32" t="s">
        <v>936</v>
      </c>
      <c r="E7" s="62">
        <v>45545</v>
      </c>
      <c r="F7" s="32" t="s">
        <v>54</v>
      </c>
      <c r="G7" s="32">
        <v>-3.4</v>
      </c>
      <c r="H7" s="32">
        <v>-3.4</v>
      </c>
      <c r="J7" s="32" t="s">
        <v>937</v>
      </c>
      <c r="M7" s="62">
        <v>45545</v>
      </c>
      <c r="N7" s="62">
        <v>45546</v>
      </c>
      <c r="O7" s="32" t="s">
        <v>938</v>
      </c>
      <c r="P7" s="32">
        <v>205826</v>
      </c>
      <c r="Q7" s="32" t="s">
        <v>939</v>
      </c>
      <c r="V7" s="32" t="s">
        <v>34</v>
      </c>
    </row>
    <row r="8" spans="1:22" s="32" customFormat="1">
      <c r="A8" s="32" t="s">
        <v>933</v>
      </c>
      <c r="B8" s="32" t="s">
        <v>934</v>
      </c>
      <c r="C8" s="32" t="s">
        <v>945</v>
      </c>
      <c r="D8" s="32" t="s">
        <v>936</v>
      </c>
      <c r="E8" s="62">
        <v>45545</v>
      </c>
      <c r="F8" s="32" t="s">
        <v>54</v>
      </c>
      <c r="G8" s="32">
        <v>-3.4</v>
      </c>
      <c r="H8" s="32">
        <v>-3.4</v>
      </c>
      <c r="J8" s="32" t="s">
        <v>937</v>
      </c>
      <c r="M8" s="62">
        <v>45545</v>
      </c>
      <c r="N8" s="62">
        <v>45546</v>
      </c>
      <c r="O8" s="32" t="s">
        <v>938</v>
      </c>
      <c r="P8" s="32">
        <v>205826</v>
      </c>
      <c r="Q8" s="32" t="s">
        <v>939</v>
      </c>
      <c r="V8" s="32" t="s">
        <v>34</v>
      </c>
    </row>
    <row r="9" spans="1:22" s="32" customFormat="1">
      <c r="A9" s="32" t="s">
        <v>933</v>
      </c>
      <c r="B9" s="32" t="s">
        <v>934</v>
      </c>
      <c r="C9" s="32" t="s">
        <v>946</v>
      </c>
      <c r="D9" s="32" t="s">
        <v>936</v>
      </c>
      <c r="E9" s="62">
        <v>45545</v>
      </c>
      <c r="F9" s="32" t="s">
        <v>54</v>
      </c>
      <c r="G9" s="32">
        <v>-3.4</v>
      </c>
      <c r="H9" s="32">
        <v>-3.4</v>
      </c>
      <c r="J9" s="32" t="s">
        <v>937</v>
      </c>
      <c r="M9" s="62">
        <v>45545</v>
      </c>
      <c r="N9" s="62">
        <v>45546</v>
      </c>
      <c r="O9" s="32" t="s">
        <v>938</v>
      </c>
      <c r="P9" s="32">
        <v>205826</v>
      </c>
      <c r="Q9" s="32" t="s">
        <v>939</v>
      </c>
      <c r="V9" s="32" t="s">
        <v>34</v>
      </c>
    </row>
    <row r="10" spans="1:22" s="32" customFormat="1">
      <c r="A10" s="32" t="s">
        <v>933</v>
      </c>
      <c r="B10" s="32" t="s">
        <v>934</v>
      </c>
      <c r="C10" s="32" t="s">
        <v>947</v>
      </c>
      <c r="D10" s="32" t="s">
        <v>936</v>
      </c>
      <c r="E10" s="62">
        <v>45545</v>
      </c>
      <c r="F10" s="32" t="s">
        <v>54</v>
      </c>
      <c r="G10" s="32">
        <v>-3.4</v>
      </c>
      <c r="H10" s="32">
        <v>-3.4</v>
      </c>
      <c r="J10" s="32" t="s">
        <v>937</v>
      </c>
      <c r="M10" s="62">
        <v>45545</v>
      </c>
      <c r="N10" s="62">
        <v>45546</v>
      </c>
      <c r="O10" s="32" t="s">
        <v>938</v>
      </c>
      <c r="P10" s="32">
        <v>205826</v>
      </c>
      <c r="Q10" s="32" t="s">
        <v>939</v>
      </c>
      <c r="V10" s="32" t="s">
        <v>34</v>
      </c>
    </row>
    <row r="11" spans="1:22" s="32" customFormat="1">
      <c r="A11" s="32" t="s">
        <v>933</v>
      </c>
      <c r="B11" s="32" t="s">
        <v>934</v>
      </c>
      <c r="C11" s="32" t="s">
        <v>948</v>
      </c>
      <c r="D11" s="32" t="s">
        <v>936</v>
      </c>
      <c r="E11" s="62">
        <v>45545</v>
      </c>
      <c r="F11" s="32" t="s">
        <v>54</v>
      </c>
      <c r="G11" s="32">
        <v>-3.4</v>
      </c>
      <c r="H11" s="32">
        <v>-3.4</v>
      </c>
      <c r="J11" s="32" t="s">
        <v>937</v>
      </c>
      <c r="M11" s="62">
        <v>45545</v>
      </c>
      <c r="N11" s="62">
        <v>45546</v>
      </c>
      <c r="O11" s="32" t="s">
        <v>938</v>
      </c>
      <c r="P11" s="32">
        <v>205826</v>
      </c>
      <c r="Q11" s="32" t="s">
        <v>939</v>
      </c>
      <c r="V11" s="32" t="s">
        <v>34</v>
      </c>
    </row>
    <row r="12" spans="1:22" s="32" customFormat="1">
      <c r="A12" s="32" t="s">
        <v>933</v>
      </c>
      <c r="B12" s="32" t="s">
        <v>934</v>
      </c>
      <c r="C12" s="32" t="s">
        <v>949</v>
      </c>
      <c r="D12" s="32" t="s">
        <v>936</v>
      </c>
      <c r="E12" s="62">
        <v>45545</v>
      </c>
      <c r="F12" s="32" t="s">
        <v>54</v>
      </c>
      <c r="G12" s="32">
        <v>-3.4</v>
      </c>
      <c r="H12" s="32">
        <v>-3.4</v>
      </c>
      <c r="J12" s="32" t="s">
        <v>937</v>
      </c>
      <c r="M12" s="62">
        <v>45545</v>
      </c>
      <c r="N12" s="62">
        <v>45546</v>
      </c>
      <c r="O12" s="32" t="s">
        <v>938</v>
      </c>
      <c r="P12" s="32">
        <v>205826</v>
      </c>
      <c r="Q12" s="32" t="s">
        <v>939</v>
      </c>
      <c r="V12" s="32" t="s">
        <v>34</v>
      </c>
    </row>
    <row r="13" spans="1:22" s="32" customFormat="1">
      <c r="A13" s="32" t="s">
        <v>933</v>
      </c>
      <c r="B13" s="32" t="s">
        <v>934</v>
      </c>
      <c r="C13" s="32" t="s">
        <v>950</v>
      </c>
      <c r="D13" s="32" t="s">
        <v>936</v>
      </c>
      <c r="E13" s="62">
        <v>45545</v>
      </c>
      <c r="F13" s="32" t="s">
        <v>54</v>
      </c>
      <c r="G13" s="32">
        <v>-3.4</v>
      </c>
      <c r="H13" s="32">
        <v>-3.4</v>
      </c>
      <c r="J13" s="32" t="s">
        <v>937</v>
      </c>
      <c r="M13" s="62">
        <v>45545</v>
      </c>
      <c r="N13" s="62">
        <v>45546</v>
      </c>
      <c r="O13" s="32" t="s">
        <v>938</v>
      </c>
      <c r="P13" s="32">
        <v>205826</v>
      </c>
      <c r="Q13" s="32" t="s">
        <v>939</v>
      </c>
      <c r="V13" s="32" t="s">
        <v>34</v>
      </c>
    </row>
    <row r="14" spans="1:22" s="32" customFormat="1">
      <c r="A14" s="32" t="s">
        <v>933</v>
      </c>
      <c r="B14" s="32" t="s">
        <v>934</v>
      </c>
      <c r="C14" s="32" t="s">
        <v>951</v>
      </c>
      <c r="D14" s="32" t="s">
        <v>936</v>
      </c>
      <c r="E14" s="62">
        <v>45545</v>
      </c>
      <c r="F14" s="32" t="s">
        <v>54</v>
      </c>
      <c r="G14" s="32">
        <v>-3.4</v>
      </c>
      <c r="H14" s="32">
        <v>-3.4</v>
      </c>
      <c r="J14" s="32" t="s">
        <v>937</v>
      </c>
      <c r="M14" s="62">
        <v>45545</v>
      </c>
      <c r="N14" s="62">
        <v>45546</v>
      </c>
      <c r="O14" s="32" t="s">
        <v>938</v>
      </c>
      <c r="P14" s="32">
        <v>205826</v>
      </c>
      <c r="Q14" s="32" t="s">
        <v>939</v>
      </c>
      <c r="V14" s="32" t="s">
        <v>34</v>
      </c>
    </row>
    <row r="15" spans="1:22" s="32" customFormat="1">
      <c r="A15" s="32" t="s">
        <v>933</v>
      </c>
      <c r="B15" s="32" t="s">
        <v>934</v>
      </c>
      <c r="C15" s="32" t="s">
        <v>952</v>
      </c>
      <c r="D15" s="32" t="s">
        <v>936</v>
      </c>
      <c r="E15" s="62">
        <v>45545</v>
      </c>
      <c r="F15" s="32" t="s">
        <v>54</v>
      </c>
      <c r="G15" s="32">
        <v>-190.4</v>
      </c>
      <c r="H15" s="32">
        <v>-190.4</v>
      </c>
      <c r="J15" s="32" t="s">
        <v>937</v>
      </c>
      <c r="M15" s="62">
        <v>45545</v>
      </c>
      <c r="N15" s="62">
        <v>45546</v>
      </c>
      <c r="O15" s="32" t="s">
        <v>938</v>
      </c>
      <c r="P15" s="32">
        <v>205826</v>
      </c>
      <c r="Q15" s="32" t="s">
        <v>939</v>
      </c>
      <c r="V15" s="32" t="s">
        <v>34</v>
      </c>
    </row>
    <row r="16" spans="1:22" s="32" customFormat="1">
      <c r="A16" s="32" t="s">
        <v>933</v>
      </c>
      <c r="B16" s="32" t="s">
        <v>934</v>
      </c>
      <c r="C16" s="32" t="s">
        <v>953</v>
      </c>
      <c r="D16" s="32" t="s">
        <v>936</v>
      </c>
      <c r="E16" s="62">
        <v>45545</v>
      </c>
      <c r="F16" s="32" t="s">
        <v>54</v>
      </c>
      <c r="G16" s="32">
        <v>-6.8</v>
      </c>
      <c r="H16" s="32">
        <v>-6.8</v>
      </c>
      <c r="J16" s="32" t="s">
        <v>937</v>
      </c>
      <c r="M16" s="62">
        <v>45545</v>
      </c>
      <c r="N16" s="62">
        <v>45546</v>
      </c>
      <c r="O16" s="32" t="s">
        <v>938</v>
      </c>
      <c r="P16" s="32">
        <v>205826</v>
      </c>
      <c r="Q16" s="32" t="s">
        <v>939</v>
      </c>
      <c r="V16" s="32" t="s">
        <v>34</v>
      </c>
    </row>
    <row r="17" spans="1:22" s="32" customFormat="1">
      <c r="A17" s="32" t="s">
        <v>933</v>
      </c>
      <c r="B17" s="32" t="s">
        <v>934</v>
      </c>
      <c r="C17" s="32" t="s">
        <v>954</v>
      </c>
      <c r="D17" s="32" t="s">
        <v>936</v>
      </c>
      <c r="E17" s="62">
        <v>45545</v>
      </c>
      <c r="F17" s="32" t="s">
        <v>54</v>
      </c>
      <c r="G17" s="32">
        <v>-3.4</v>
      </c>
      <c r="H17" s="32">
        <v>-3.4</v>
      </c>
      <c r="J17" s="32" t="s">
        <v>937</v>
      </c>
      <c r="M17" s="62">
        <v>45545</v>
      </c>
      <c r="N17" s="62">
        <v>45546</v>
      </c>
      <c r="O17" s="32" t="s">
        <v>938</v>
      </c>
      <c r="P17" s="32">
        <v>205826</v>
      </c>
      <c r="Q17" s="32" t="s">
        <v>939</v>
      </c>
      <c r="V17" s="32" t="s">
        <v>34</v>
      </c>
    </row>
    <row r="18" spans="1:22" s="32" customFormat="1">
      <c r="A18" s="32" t="s">
        <v>933</v>
      </c>
      <c r="B18" s="32" t="s">
        <v>934</v>
      </c>
      <c r="C18" s="32" t="s">
        <v>955</v>
      </c>
      <c r="D18" s="32" t="s">
        <v>936</v>
      </c>
      <c r="E18" s="62">
        <v>45545</v>
      </c>
      <c r="F18" s="32" t="s">
        <v>54</v>
      </c>
      <c r="G18" s="32">
        <v>-3.4</v>
      </c>
      <c r="H18" s="32">
        <v>-3.4</v>
      </c>
      <c r="J18" s="32" t="s">
        <v>937</v>
      </c>
      <c r="M18" s="62">
        <v>45545</v>
      </c>
      <c r="N18" s="62">
        <v>45546</v>
      </c>
      <c r="O18" s="32" t="s">
        <v>938</v>
      </c>
      <c r="P18" s="32">
        <v>205826</v>
      </c>
      <c r="Q18" s="32" t="s">
        <v>939</v>
      </c>
      <c r="V18" s="32" t="s">
        <v>34</v>
      </c>
    </row>
    <row r="19" spans="1:22" s="32" customFormat="1">
      <c r="A19" s="32" t="s">
        <v>933</v>
      </c>
      <c r="B19" s="32" t="s">
        <v>934</v>
      </c>
      <c r="C19" s="32" t="s">
        <v>956</v>
      </c>
      <c r="D19" s="32" t="s">
        <v>936</v>
      </c>
      <c r="E19" s="62">
        <v>45545</v>
      </c>
      <c r="F19" s="32" t="s">
        <v>54</v>
      </c>
      <c r="G19" s="32">
        <v>-8.1999999999999993</v>
      </c>
      <c r="H19" s="32">
        <v>-8.1999999999999993</v>
      </c>
      <c r="J19" s="32" t="s">
        <v>937</v>
      </c>
      <c r="M19" s="62">
        <v>45545</v>
      </c>
      <c r="N19" s="62">
        <v>45546</v>
      </c>
      <c r="O19" s="32" t="s">
        <v>938</v>
      </c>
      <c r="P19" s="32">
        <v>205826</v>
      </c>
      <c r="Q19" s="32" t="s">
        <v>939</v>
      </c>
      <c r="V19" s="32" t="s">
        <v>34</v>
      </c>
    </row>
    <row r="20" spans="1:22" s="32" customFormat="1">
      <c r="A20" s="32" t="s">
        <v>933</v>
      </c>
      <c r="B20" s="32" t="s">
        <v>934</v>
      </c>
      <c r="C20" s="32" t="s">
        <v>957</v>
      </c>
      <c r="D20" s="32" t="s">
        <v>936</v>
      </c>
      <c r="E20" s="62">
        <v>45545</v>
      </c>
      <c r="F20" s="32" t="s">
        <v>54</v>
      </c>
      <c r="G20" s="32">
        <v>-24.6</v>
      </c>
      <c r="H20" s="32">
        <v>-24.6</v>
      </c>
      <c r="J20" s="32" t="s">
        <v>937</v>
      </c>
      <c r="M20" s="62">
        <v>45545</v>
      </c>
      <c r="N20" s="62">
        <v>45546</v>
      </c>
      <c r="O20" s="32" t="s">
        <v>938</v>
      </c>
      <c r="P20" s="32">
        <v>205826</v>
      </c>
      <c r="Q20" s="32" t="s">
        <v>939</v>
      </c>
      <c r="V20" s="32" t="s">
        <v>34</v>
      </c>
    </row>
    <row r="21" spans="1:22" s="32" customFormat="1">
      <c r="A21" s="32" t="s">
        <v>933</v>
      </c>
      <c r="B21" s="32" t="s">
        <v>934</v>
      </c>
      <c r="C21" s="32" t="s">
        <v>958</v>
      </c>
      <c r="D21" s="32" t="s">
        <v>936</v>
      </c>
      <c r="E21" s="62">
        <v>45545</v>
      </c>
      <c r="F21" s="32" t="s">
        <v>54</v>
      </c>
      <c r="G21" s="32">
        <v>-32.799999999999997</v>
      </c>
      <c r="H21" s="32">
        <v>-32.799999999999997</v>
      </c>
      <c r="J21" s="32" t="s">
        <v>937</v>
      </c>
      <c r="M21" s="62">
        <v>45545</v>
      </c>
      <c r="N21" s="62">
        <v>45546</v>
      </c>
      <c r="O21" s="32" t="s">
        <v>938</v>
      </c>
      <c r="P21" s="32">
        <v>205826</v>
      </c>
      <c r="Q21" s="32" t="s">
        <v>939</v>
      </c>
      <c r="V21" s="32" t="s">
        <v>34</v>
      </c>
    </row>
    <row r="22" spans="1:22" s="32" customFormat="1">
      <c r="A22" s="32" t="s">
        <v>933</v>
      </c>
      <c r="B22" s="32" t="s">
        <v>934</v>
      </c>
      <c r="C22" s="32" t="s">
        <v>959</v>
      </c>
      <c r="D22" s="32" t="s">
        <v>936</v>
      </c>
      <c r="E22" s="62">
        <v>45545</v>
      </c>
      <c r="F22" s="32" t="s">
        <v>54</v>
      </c>
      <c r="G22" s="32">
        <v>-8.1999999999999993</v>
      </c>
      <c r="H22" s="32">
        <v>-8.1999999999999993</v>
      </c>
      <c r="J22" s="32" t="s">
        <v>937</v>
      </c>
      <c r="M22" s="62">
        <v>45545</v>
      </c>
      <c r="N22" s="62">
        <v>45546</v>
      </c>
      <c r="O22" s="32" t="s">
        <v>938</v>
      </c>
      <c r="P22" s="32">
        <v>205826</v>
      </c>
      <c r="Q22" s="32" t="s">
        <v>939</v>
      </c>
      <c r="V22" s="32" t="s">
        <v>34</v>
      </c>
    </row>
    <row r="23" spans="1:22" s="32" customFormat="1">
      <c r="A23" s="32" t="s">
        <v>933</v>
      </c>
      <c r="B23" s="32" t="s">
        <v>934</v>
      </c>
      <c r="C23" s="32" t="s">
        <v>960</v>
      </c>
      <c r="D23" s="32" t="s">
        <v>936</v>
      </c>
      <c r="E23" s="62">
        <v>45545</v>
      </c>
      <c r="F23" s="32" t="s">
        <v>54</v>
      </c>
      <c r="G23" s="32">
        <v>-8.1999999999999993</v>
      </c>
      <c r="H23" s="32">
        <v>-8.1999999999999993</v>
      </c>
      <c r="J23" s="32" t="s">
        <v>937</v>
      </c>
      <c r="M23" s="62">
        <v>45545</v>
      </c>
      <c r="N23" s="62">
        <v>45546</v>
      </c>
      <c r="O23" s="32" t="s">
        <v>938</v>
      </c>
      <c r="P23" s="32">
        <v>205826</v>
      </c>
      <c r="Q23" s="32" t="s">
        <v>939</v>
      </c>
      <c r="V23" s="32" t="s">
        <v>34</v>
      </c>
    </row>
    <row r="24" spans="1:22" s="32" customFormat="1">
      <c r="A24" s="32" t="s">
        <v>933</v>
      </c>
      <c r="B24" s="32" t="s">
        <v>934</v>
      </c>
      <c r="C24" s="32" t="s">
        <v>961</v>
      </c>
      <c r="D24" s="32" t="s">
        <v>936</v>
      </c>
      <c r="E24" s="62">
        <v>45545</v>
      </c>
      <c r="F24" s="32" t="s">
        <v>54</v>
      </c>
      <c r="G24" s="32">
        <v>-8.1999999999999993</v>
      </c>
      <c r="H24" s="32">
        <v>-8.1999999999999993</v>
      </c>
      <c r="J24" s="32" t="s">
        <v>937</v>
      </c>
      <c r="M24" s="62">
        <v>45545</v>
      </c>
      <c r="N24" s="62">
        <v>45546</v>
      </c>
      <c r="O24" s="32" t="s">
        <v>938</v>
      </c>
      <c r="P24" s="32">
        <v>205826</v>
      </c>
      <c r="Q24" s="32" t="s">
        <v>939</v>
      </c>
      <c r="V24" s="32" t="s">
        <v>34</v>
      </c>
    </row>
    <row r="25" spans="1:22" s="32" customFormat="1">
      <c r="A25" s="32" t="s">
        <v>933</v>
      </c>
      <c r="B25" s="32" t="s">
        <v>934</v>
      </c>
      <c r="C25" s="32" t="s">
        <v>962</v>
      </c>
      <c r="D25" s="32" t="s">
        <v>936</v>
      </c>
      <c r="E25" s="62">
        <v>45545</v>
      </c>
      <c r="F25" s="32" t="s">
        <v>54</v>
      </c>
      <c r="G25" s="32">
        <v>-8.1999999999999993</v>
      </c>
      <c r="H25" s="32">
        <v>-8.1999999999999993</v>
      </c>
      <c r="J25" s="32" t="s">
        <v>937</v>
      </c>
      <c r="M25" s="62">
        <v>45545</v>
      </c>
      <c r="N25" s="62">
        <v>45546</v>
      </c>
      <c r="O25" s="32" t="s">
        <v>938</v>
      </c>
      <c r="P25" s="32">
        <v>205826</v>
      </c>
      <c r="Q25" s="32" t="s">
        <v>939</v>
      </c>
      <c r="V25" s="32" t="s">
        <v>34</v>
      </c>
    </row>
    <row r="26" spans="1:22" s="32" customFormat="1">
      <c r="A26" s="32" t="s">
        <v>933</v>
      </c>
      <c r="B26" s="32" t="s">
        <v>934</v>
      </c>
      <c r="C26" s="32" t="s">
        <v>963</v>
      </c>
      <c r="D26" s="32" t="s">
        <v>936</v>
      </c>
      <c r="E26" s="62">
        <v>45545</v>
      </c>
      <c r="F26" s="32" t="s">
        <v>54</v>
      </c>
      <c r="G26" s="32">
        <v>-8.1999999999999993</v>
      </c>
      <c r="H26" s="32">
        <v>-8.1999999999999993</v>
      </c>
      <c r="J26" s="32" t="s">
        <v>937</v>
      </c>
      <c r="M26" s="62">
        <v>45545</v>
      </c>
      <c r="N26" s="62">
        <v>45546</v>
      </c>
      <c r="O26" s="32" t="s">
        <v>938</v>
      </c>
      <c r="P26" s="32">
        <v>205826</v>
      </c>
      <c r="Q26" s="32" t="s">
        <v>939</v>
      </c>
      <c r="V26" s="32" t="s">
        <v>34</v>
      </c>
    </row>
    <row r="27" spans="1:22" s="32" customFormat="1">
      <c r="A27" s="32" t="s">
        <v>933</v>
      </c>
      <c r="B27" s="32" t="s">
        <v>934</v>
      </c>
      <c r="C27" s="32" t="s">
        <v>964</v>
      </c>
      <c r="D27" s="32" t="s">
        <v>936</v>
      </c>
      <c r="E27" s="62">
        <v>45545</v>
      </c>
      <c r="F27" s="32" t="s">
        <v>54</v>
      </c>
      <c r="G27" s="32">
        <v>-8.1999999999999993</v>
      </c>
      <c r="H27" s="32">
        <v>-8.1999999999999993</v>
      </c>
      <c r="J27" s="32" t="s">
        <v>937</v>
      </c>
      <c r="M27" s="62">
        <v>45545</v>
      </c>
      <c r="N27" s="62">
        <v>45546</v>
      </c>
      <c r="O27" s="32" t="s">
        <v>938</v>
      </c>
      <c r="P27" s="32">
        <v>205826</v>
      </c>
      <c r="Q27" s="32" t="s">
        <v>939</v>
      </c>
      <c r="V27" s="32" t="s">
        <v>34</v>
      </c>
    </row>
    <row r="28" spans="1:22" s="32" customFormat="1">
      <c r="A28" s="32" t="s">
        <v>933</v>
      </c>
      <c r="B28" s="32" t="s">
        <v>934</v>
      </c>
      <c r="C28" s="32" t="s">
        <v>965</v>
      </c>
      <c r="D28" s="32" t="s">
        <v>936</v>
      </c>
      <c r="E28" s="62">
        <v>45545</v>
      </c>
      <c r="F28" s="32" t="s">
        <v>54</v>
      </c>
      <c r="G28" s="32">
        <v>-8.1999999999999993</v>
      </c>
      <c r="H28" s="32">
        <v>-8.1999999999999993</v>
      </c>
      <c r="J28" s="32" t="s">
        <v>937</v>
      </c>
      <c r="M28" s="62">
        <v>45545</v>
      </c>
      <c r="N28" s="62">
        <v>45546</v>
      </c>
      <c r="O28" s="32" t="s">
        <v>938</v>
      </c>
      <c r="P28" s="32">
        <v>205826</v>
      </c>
      <c r="Q28" s="32" t="s">
        <v>939</v>
      </c>
      <c r="V28" s="32" t="s">
        <v>34</v>
      </c>
    </row>
    <row r="29" spans="1:22" s="32" customFormat="1">
      <c r="A29" s="32" t="s">
        <v>933</v>
      </c>
      <c r="B29" s="32" t="s">
        <v>934</v>
      </c>
      <c r="C29" s="32" t="s">
        <v>966</v>
      </c>
      <c r="D29" s="32" t="s">
        <v>936</v>
      </c>
      <c r="E29" s="62">
        <v>45545</v>
      </c>
      <c r="F29" s="32" t="s">
        <v>54</v>
      </c>
      <c r="G29" s="32">
        <v>-57.4</v>
      </c>
      <c r="H29" s="32">
        <v>-57.4</v>
      </c>
      <c r="J29" s="32" t="s">
        <v>937</v>
      </c>
      <c r="M29" s="62">
        <v>45545</v>
      </c>
      <c r="N29" s="62">
        <v>45546</v>
      </c>
      <c r="O29" s="32" t="s">
        <v>938</v>
      </c>
      <c r="P29" s="32">
        <v>205826</v>
      </c>
      <c r="Q29" s="32" t="s">
        <v>939</v>
      </c>
      <c r="V29" s="32" t="s">
        <v>34</v>
      </c>
    </row>
    <row r="30" spans="1:22" s="32" customFormat="1">
      <c r="A30" s="32" t="s">
        <v>933</v>
      </c>
      <c r="B30" s="32" t="s">
        <v>934</v>
      </c>
      <c r="C30" s="32" t="s">
        <v>967</v>
      </c>
      <c r="D30" s="32" t="s">
        <v>936</v>
      </c>
      <c r="E30" s="62">
        <v>45545</v>
      </c>
      <c r="F30" s="32" t="s">
        <v>54</v>
      </c>
      <c r="G30" s="32">
        <v>-8.1999999999999993</v>
      </c>
      <c r="H30" s="32">
        <v>-8.1999999999999993</v>
      </c>
      <c r="J30" s="32" t="s">
        <v>937</v>
      </c>
      <c r="M30" s="62">
        <v>45545</v>
      </c>
      <c r="N30" s="62">
        <v>45546</v>
      </c>
      <c r="O30" s="32" t="s">
        <v>938</v>
      </c>
      <c r="P30" s="32">
        <v>205826</v>
      </c>
      <c r="Q30" s="32" t="s">
        <v>939</v>
      </c>
      <c r="V30" s="32" t="s">
        <v>34</v>
      </c>
    </row>
    <row r="31" spans="1:22" s="32" customFormat="1">
      <c r="A31" s="32" t="s">
        <v>933</v>
      </c>
      <c r="B31" s="32" t="s">
        <v>934</v>
      </c>
      <c r="C31" s="32" t="s">
        <v>968</v>
      </c>
      <c r="D31" s="32" t="s">
        <v>936</v>
      </c>
      <c r="E31" s="62">
        <v>45545</v>
      </c>
      <c r="F31" s="32" t="s">
        <v>54</v>
      </c>
      <c r="G31" s="32">
        <v>-205</v>
      </c>
      <c r="H31" s="32">
        <v>-205</v>
      </c>
      <c r="J31" s="32" t="s">
        <v>937</v>
      </c>
      <c r="M31" s="62">
        <v>45545</v>
      </c>
      <c r="N31" s="62">
        <v>45546</v>
      </c>
      <c r="O31" s="32" t="s">
        <v>938</v>
      </c>
      <c r="P31" s="32">
        <v>205826</v>
      </c>
      <c r="Q31" s="32" t="s">
        <v>939</v>
      </c>
      <c r="V31" s="32" t="s">
        <v>34</v>
      </c>
    </row>
    <row r="32" spans="1:22" s="32" customFormat="1">
      <c r="A32" s="32" t="s">
        <v>933</v>
      </c>
      <c r="B32" s="32" t="s">
        <v>934</v>
      </c>
      <c r="C32" s="32" t="s">
        <v>969</v>
      </c>
      <c r="D32" s="32" t="s">
        <v>936</v>
      </c>
      <c r="E32" s="62">
        <v>45545</v>
      </c>
      <c r="F32" s="32" t="s">
        <v>54</v>
      </c>
      <c r="G32" s="32">
        <v>-65.599999999999994</v>
      </c>
      <c r="H32" s="32">
        <v>-65.599999999999994</v>
      </c>
      <c r="J32" s="32" t="s">
        <v>937</v>
      </c>
      <c r="M32" s="62">
        <v>45545</v>
      </c>
      <c r="N32" s="62">
        <v>45546</v>
      </c>
      <c r="O32" s="32" t="s">
        <v>938</v>
      </c>
      <c r="P32" s="32">
        <v>205826</v>
      </c>
      <c r="Q32" s="32" t="s">
        <v>939</v>
      </c>
      <c r="V32" s="32" t="s">
        <v>34</v>
      </c>
    </row>
    <row r="33" spans="1:22" s="32" customFormat="1">
      <c r="A33" s="32" t="s">
        <v>933</v>
      </c>
      <c r="B33" s="32" t="s">
        <v>934</v>
      </c>
      <c r="C33" s="32" t="s">
        <v>970</v>
      </c>
      <c r="D33" s="32" t="s">
        <v>936</v>
      </c>
      <c r="E33" s="62">
        <v>45545</v>
      </c>
      <c r="F33" s="32" t="s">
        <v>54</v>
      </c>
      <c r="G33" s="32">
        <v>-24.6</v>
      </c>
      <c r="H33" s="32">
        <v>-24.6</v>
      </c>
      <c r="J33" s="32" t="s">
        <v>937</v>
      </c>
      <c r="M33" s="62">
        <v>45545</v>
      </c>
      <c r="N33" s="62">
        <v>45546</v>
      </c>
      <c r="O33" s="32" t="s">
        <v>938</v>
      </c>
      <c r="P33" s="32">
        <v>205826</v>
      </c>
      <c r="Q33" s="32" t="s">
        <v>939</v>
      </c>
      <c r="V33" s="32" t="s">
        <v>34</v>
      </c>
    </row>
    <row r="34" spans="1:22" s="32" customFormat="1">
      <c r="A34" s="32" t="s">
        <v>933</v>
      </c>
      <c r="B34" s="32" t="s">
        <v>934</v>
      </c>
      <c r="C34" s="32" t="s">
        <v>971</v>
      </c>
      <c r="D34" s="32" t="s">
        <v>936</v>
      </c>
      <c r="E34" s="62">
        <v>45545</v>
      </c>
      <c r="F34" s="32" t="s">
        <v>54</v>
      </c>
      <c r="G34" s="32">
        <v>-600</v>
      </c>
      <c r="H34" s="32">
        <v>-600</v>
      </c>
      <c r="J34" s="32" t="s">
        <v>937</v>
      </c>
      <c r="M34" s="62">
        <v>45545</v>
      </c>
      <c r="N34" s="62">
        <v>45546</v>
      </c>
      <c r="O34" s="32" t="s">
        <v>938</v>
      </c>
      <c r="P34" s="32">
        <v>205826</v>
      </c>
      <c r="Q34" s="32" t="s">
        <v>939</v>
      </c>
      <c r="V34" s="32" t="s">
        <v>34</v>
      </c>
    </row>
    <row r="35" spans="1:22" s="32" customFormat="1">
      <c r="A35" s="32" t="s">
        <v>933</v>
      </c>
      <c r="B35" s="32" t="s">
        <v>934</v>
      </c>
      <c r="C35" s="32" t="s">
        <v>972</v>
      </c>
      <c r="D35" s="32" t="s">
        <v>936</v>
      </c>
      <c r="E35" s="62">
        <v>45545</v>
      </c>
      <c r="F35" s="32" t="s">
        <v>54</v>
      </c>
      <c r="G35" s="204">
        <v>-1000</v>
      </c>
      <c r="H35" s="204">
        <v>-1000</v>
      </c>
      <c r="J35" s="32" t="s">
        <v>937</v>
      </c>
      <c r="M35" s="62">
        <v>45545</v>
      </c>
      <c r="N35" s="62">
        <v>45546</v>
      </c>
      <c r="O35" s="32" t="s">
        <v>938</v>
      </c>
      <c r="P35" s="32">
        <v>205826</v>
      </c>
      <c r="Q35" s="32" t="s">
        <v>939</v>
      </c>
      <c r="V35" s="32" t="s">
        <v>34</v>
      </c>
    </row>
    <row r="36" spans="1:22" s="32" customFormat="1">
      <c r="A36" s="32" t="s">
        <v>933</v>
      </c>
      <c r="B36" s="32" t="s">
        <v>934</v>
      </c>
      <c r="C36" s="32" t="s">
        <v>973</v>
      </c>
      <c r="D36" s="32" t="s">
        <v>936</v>
      </c>
      <c r="E36" s="62">
        <v>45545</v>
      </c>
      <c r="F36" s="32" t="s">
        <v>54</v>
      </c>
      <c r="G36" s="204">
        <v>-1000</v>
      </c>
      <c r="H36" s="204">
        <v>-1000</v>
      </c>
      <c r="J36" s="32" t="s">
        <v>937</v>
      </c>
      <c r="M36" s="62">
        <v>45545</v>
      </c>
      <c r="N36" s="62">
        <v>45546</v>
      </c>
      <c r="O36" s="32" t="s">
        <v>938</v>
      </c>
      <c r="P36" s="32">
        <v>205826</v>
      </c>
      <c r="Q36" s="32" t="s">
        <v>939</v>
      </c>
      <c r="V36" s="32" t="s">
        <v>34</v>
      </c>
    </row>
    <row r="37" spans="1:22" s="32" customFormat="1">
      <c r="A37" s="32" t="s">
        <v>933</v>
      </c>
      <c r="B37" s="32" t="s">
        <v>934</v>
      </c>
      <c r="C37" s="32" t="s">
        <v>974</v>
      </c>
      <c r="D37" s="32" t="s">
        <v>936</v>
      </c>
      <c r="E37" s="62">
        <v>45545</v>
      </c>
      <c r="F37" s="32" t="s">
        <v>54</v>
      </c>
      <c r="G37" s="204">
        <v>-1000</v>
      </c>
      <c r="H37" s="204">
        <v>-1000</v>
      </c>
      <c r="J37" s="32" t="s">
        <v>937</v>
      </c>
      <c r="M37" s="62">
        <v>45545</v>
      </c>
      <c r="N37" s="62">
        <v>45546</v>
      </c>
      <c r="O37" s="32" t="s">
        <v>938</v>
      </c>
      <c r="P37" s="32">
        <v>205826</v>
      </c>
      <c r="Q37" s="32" t="s">
        <v>939</v>
      </c>
      <c r="V37" s="32" t="s">
        <v>34</v>
      </c>
    </row>
    <row r="38" spans="1:22" s="32" customFormat="1">
      <c r="A38" s="32" t="s">
        <v>933</v>
      </c>
      <c r="B38" s="32" t="s">
        <v>934</v>
      </c>
      <c r="C38" s="32" t="s">
        <v>975</v>
      </c>
      <c r="D38" s="32" t="s">
        <v>936</v>
      </c>
      <c r="E38" s="62">
        <v>45545</v>
      </c>
      <c r="F38" s="32" t="s">
        <v>54</v>
      </c>
      <c r="G38" s="204">
        <v>-1000</v>
      </c>
      <c r="H38" s="204">
        <v>-1000</v>
      </c>
      <c r="J38" s="32" t="s">
        <v>937</v>
      </c>
      <c r="M38" s="62">
        <v>45545</v>
      </c>
      <c r="N38" s="62">
        <v>45546</v>
      </c>
      <c r="O38" s="32" t="s">
        <v>938</v>
      </c>
      <c r="P38" s="32">
        <v>205826</v>
      </c>
      <c r="Q38" s="32" t="s">
        <v>939</v>
      </c>
      <c r="V38" s="32" t="s">
        <v>34</v>
      </c>
    </row>
    <row r="39" spans="1:22" s="32" customFormat="1">
      <c r="A39" s="32" t="s">
        <v>933</v>
      </c>
      <c r="B39" s="32" t="s">
        <v>934</v>
      </c>
      <c r="C39" s="32" t="s">
        <v>976</v>
      </c>
      <c r="D39" s="32" t="s">
        <v>936</v>
      </c>
      <c r="E39" s="62">
        <v>45545</v>
      </c>
      <c r="F39" s="32" t="s">
        <v>54</v>
      </c>
      <c r="G39" s="204">
        <v>-1000</v>
      </c>
      <c r="H39" s="204">
        <v>-1000</v>
      </c>
      <c r="J39" s="32" t="s">
        <v>937</v>
      </c>
      <c r="M39" s="62">
        <v>45545</v>
      </c>
      <c r="N39" s="62">
        <v>45546</v>
      </c>
      <c r="O39" s="32" t="s">
        <v>938</v>
      </c>
      <c r="P39" s="32">
        <v>205826</v>
      </c>
      <c r="Q39" s="32" t="s">
        <v>939</v>
      </c>
      <c r="V39" s="32" t="s">
        <v>34</v>
      </c>
    </row>
    <row r="40" spans="1:22" s="32" customFormat="1">
      <c r="A40" s="32" t="s">
        <v>933</v>
      </c>
      <c r="B40" s="32" t="s">
        <v>934</v>
      </c>
      <c r="C40" s="32" t="s">
        <v>977</v>
      </c>
      <c r="D40" s="32" t="s">
        <v>936</v>
      </c>
      <c r="E40" s="62">
        <v>45545</v>
      </c>
      <c r="F40" s="32" t="s">
        <v>54</v>
      </c>
      <c r="G40" s="204">
        <v>-1000</v>
      </c>
      <c r="H40" s="204">
        <v>-1000</v>
      </c>
      <c r="J40" s="32" t="s">
        <v>937</v>
      </c>
      <c r="M40" s="62">
        <v>45545</v>
      </c>
      <c r="N40" s="62">
        <v>45546</v>
      </c>
      <c r="O40" s="32" t="s">
        <v>938</v>
      </c>
      <c r="P40" s="32">
        <v>205826</v>
      </c>
      <c r="Q40" s="32" t="s">
        <v>939</v>
      </c>
      <c r="V40" s="32" t="s">
        <v>34</v>
      </c>
    </row>
    <row r="41" spans="1:22" s="32" customFormat="1">
      <c r="A41" s="32" t="s">
        <v>933</v>
      </c>
      <c r="B41" s="32" t="s">
        <v>934</v>
      </c>
      <c r="C41" s="32" t="s">
        <v>978</v>
      </c>
      <c r="D41" s="32" t="s">
        <v>936</v>
      </c>
      <c r="E41" s="62">
        <v>45545</v>
      </c>
      <c r="F41" s="32" t="s">
        <v>54</v>
      </c>
      <c r="G41" s="204">
        <v>-1000</v>
      </c>
      <c r="H41" s="204">
        <v>-1000</v>
      </c>
      <c r="J41" s="32" t="s">
        <v>937</v>
      </c>
      <c r="M41" s="62">
        <v>45545</v>
      </c>
      <c r="N41" s="62">
        <v>45546</v>
      </c>
      <c r="O41" s="32" t="s">
        <v>938</v>
      </c>
      <c r="P41" s="32">
        <v>205826</v>
      </c>
      <c r="Q41" s="32" t="s">
        <v>939</v>
      </c>
      <c r="V41" s="32" t="s">
        <v>34</v>
      </c>
    </row>
    <row r="42" spans="1:22" s="32" customFormat="1">
      <c r="A42" s="32" t="s">
        <v>933</v>
      </c>
      <c r="B42" s="32" t="s">
        <v>934</v>
      </c>
      <c r="C42" s="32" t="s">
        <v>979</v>
      </c>
      <c r="D42" s="32" t="s">
        <v>936</v>
      </c>
      <c r="E42" s="62">
        <v>45545</v>
      </c>
      <c r="F42" s="32" t="s">
        <v>54</v>
      </c>
      <c r="G42" s="204">
        <v>-1000</v>
      </c>
      <c r="H42" s="204">
        <v>-1000</v>
      </c>
      <c r="J42" s="32" t="s">
        <v>937</v>
      </c>
      <c r="M42" s="62">
        <v>45545</v>
      </c>
      <c r="N42" s="62">
        <v>45546</v>
      </c>
      <c r="O42" s="32" t="s">
        <v>938</v>
      </c>
      <c r="P42" s="32">
        <v>205826</v>
      </c>
      <c r="Q42" s="32" t="s">
        <v>939</v>
      </c>
      <c r="V42" s="32" t="s">
        <v>34</v>
      </c>
    </row>
    <row r="43" spans="1:22" s="32" customFormat="1">
      <c r="A43" s="32" t="s">
        <v>933</v>
      </c>
      <c r="B43" s="32" t="s">
        <v>934</v>
      </c>
      <c r="C43" s="32" t="s">
        <v>980</v>
      </c>
      <c r="D43" s="32" t="s">
        <v>936</v>
      </c>
      <c r="E43" s="62">
        <v>45545</v>
      </c>
      <c r="F43" s="32" t="s">
        <v>54</v>
      </c>
      <c r="G43" s="204">
        <v>-1000</v>
      </c>
      <c r="H43" s="204">
        <v>-1000</v>
      </c>
      <c r="J43" s="32" t="s">
        <v>937</v>
      </c>
      <c r="M43" s="62">
        <v>45545</v>
      </c>
      <c r="N43" s="62">
        <v>45546</v>
      </c>
      <c r="O43" s="32" t="s">
        <v>938</v>
      </c>
      <c r="P43" s="32">
        <v>205826</v>
      </c>
      <c r="Q43" s="32" t="s">
        <v>939</v>
      </c>
      <c r="V43" s="32" t="s">
        <v>34</v>
      </c>
    </row>
    <row r="44" spans="1:22" s="32" customFormat="1">
      <c r="A44" s="32" t="s">
        <v>933</v>
      </c>
      <c r="B44" s="32" t="s">
        <v>934</v>
      </c>
      <c r="C44" s="32" t="s">
        <v>981</v>
      </c>
      <c r="D44" s="32" t="s">
        <v>936</v>
      </c>
      <c r="E44" s="62">
        <v>45545</v>
      </c>
      <c r="F44" s="32" t="s">
        <v>54</v>
      </c>
      <c r="G44" s="204">
        <v>-1000</v>
      </c>
      <c r="H44" s="204">
        <v>-1000</v>
      </c>
      <c r="J44" s="32" t="s">
        <v>937</v>
      </c>
      <c r="M44" s="62">
        <v>45545</v>
      </c>
      <c r="N44" s="62">
        <v>45546</v>
      </c>
      <c r="O44" s="32" t="s">
        <v>938</v>
      </c>
      <c r="P44" s="32">
        <v>205826</v>
      </c>
      <c r="Q44" s="32" t="s">
        <v>939</v>
      </c>
      <c r="V44" s="32" t="s">
        <v>34</v>
      </c>
    </row>
    <row r="45" spans="1:22" s="32" customFormat="1">
      <c r="A45" s="32" t="s">
        <v>933</v>
      </c>
      <c r="B45" s="32" t="s">
        <v>934</v>
      </c>
      <c r="C45" s="32" t="s">
        <v>982</v>
      </c>
      <c r="D45" s="32" t="s">
        <v>936</v>
      </c>
      <c r="E45" s="62">
        <v>45545</v>
      </c>
      <c r="F45" s="32" t="s">
        <v>54</v>
      </c>
      <c r="G45" s="204">
        <v>-1000</v>
      </c>
      <c r="H45" s="204">
        <v>-1000</v>
      </c>
      <c r="J45" s="32" t="s">
        <v>937</v>
      </c>
      <c r="M45" s="62">
        <v>45545</v>
      </c>
      <c r="N45" s="62">
        <v>45546</v>
      </c>
      <c r="O45" s="32" t="s">
        <v>938</v>
      </c>
      <c r="P45" s="32">
        <v>205826</v>
      </c>
      <c r="Q45" s="32" t="s">
        <v>939</v>
      </c>
      <c r="V45" s="32" t="s">
        <v>34</v>
      </c>
    </row>
    <row r="46" spans="1:22" s="32" customFormat="1">
      <c r="A46" s="32" t="s">
        <v>933</v>
      </c>
      <c r="B46" s="32" t="s">
        <v>934</v>
      </c>
      <c r="C46" s="32" t="s">
        <v>983</v>
      </c>
      <c r="D46" s="32" t="s">
        <v>936</v>
      </c>
      <c r="E46" s="62">
        <v>45545</v>
      </c>
      <c r="F46" s="32" t="s">
        <v>54</v>
      </c>
      <c r="G46" s="32">
        <v>-700</v>
      </c>
      <c r="H46" s="32">
        <v>-700</v>
      </c>
      <c r="J46" s="32" t="s">
        <v>937</v>
      </c>
      <c r="M46" s="62">
        <v>45545</v>
      </c>
      <c r="N46" s="62">
        <v>45546</v>
      </c>
      <c r="O46" s="32" t="s">
        <v>938</v>
      </c>
      <c r="P46" s="32">
        <v>205826</v>
      </c>
      <c r="Q46" s="32" t="s">
        <v>939</v>
      </c>
      <c r="V46" s="32" t="s">
        <v>34</v>
      </c>
    </row>
    <row r="47" spans="1:22" s="32" customFormat="1">
      <c r="A47" s="32" t="s">
        <v>933</v>
      </c>
      <c r="B47" s="32" t="s">
        <v>934</v>
      </c>
      <c r="C47" s="32" t="s">
        <v>984</v>
      </c>
      <c r="D47" s="32" t="s">
        <v>936</v>
      </c>
      <c r="E47" s="62">
        <v>45545</v>
      </c>
      <c r="F47" s="32" t="s">
        <v>54</v>
      </c>
      <c r="G47" s="204">
        <v>-1000</v>
      </c>
      <c r="H47" s="204">
        <v>-1000</v>
      </c>
      <c r="J47" s="32" t="s">
        <v>937</v>
      </c>
      <c r="M47" s="62">
        <v>45545</v>
      </c>
      <c r="N47" s="62">
        <v>45546</v>
      </c>
      <c r="O47" s="32" t="s">
        <v>938</v>
      </c>
      <c r="P47" s="32">
        <v>205826</v>
      </c>
      <c r="Q47" s="32" t="s">
        <v>939</v>
      </c>
      <c r="V47" s="32" t="s">
        <v>34</v>
      </c>
    </row>
    <row r="48" spans="1:22" s="32" customFormat="1">
      <c r="A48" s="32" t="s">
        <v>933</v>
      </c>
      <c r="B48" s="32" t="s">
        <v>934</v>
      </c>
      <c r="C48" s="32" t="s">
        <v>985</v>
      </c>
      <c r="D48" s="32" t="s">
        <v>936</v>
      </c>
      <c r="E48" s="62">
        <v>45545</v>
      </c>
      <c r="F48" s="32" t="s">
        <v>54</v>
      </c>
      <c r="G48" s="204">
        <v>-1000</v>
      </c>
      <c r="H48" s="204">
        <v>-1000</v>
      </c>
      <c r="J48" s="32" t="s">
        <v>937</v>
      </c>
      <c r="M48" s="62">
        <v>45545</v>
      </c>
      <c r="N48" s="62">
        <v>45546</v>
      </c>
      <c r="O48" s="32" t="s">
        <v>938</v>
      </c>
      <c r="P48" s="32">
        <v>205826</v>
      </c>
      <c r="Q48" s="32" t="s">
        <v>939</v>
      </c>
      <c r="V48" s="32" t="s">
        <v>34</v>
      </c>
    </row>
    <row r="49" spans="1:22" s="32" customFormat="1">
      <c r="A49" s="32" t="s">
        <v>933</v>
      </c>
      <c r="B49" s="32" t="s">
        <v>934</v>
      </c>
      <c r="C49" s="32" t="s">
        <v>986</v>
      </c>
      <c r="D49" s="32" t="s">
        <v>936</v>
      </c>
      <c r="E49" s="62">
        <v>45545</v>
      </c>
      <c r="F49" s="32" t="s">
        <v>54</v>
      </c>
      <c r="G49" s="204">
        <v>-1000</v>
      </c>
      <c r="H49" s="204">
        <v>-1000</v>
      </c>
      <c r="J49" s="32" t="s">
        <v>937</v>
      </c>
      <c r="M49" s="62">
        <v>45545</v>
      </c>
      <c r="N49" s="62">
        <v>45546</v>
      </c>
      <c r="O49" s="32" t="s">
        <v>938</v>
      </c>
      <c r="P49" s="32">
        <v>205826</v>
      </c>
      <c r="Q49" s="32" t="s">
        <v>939</v>
      </c>
      <c r="V49" s="32" t="s">
        <v>34</v>
      </c>
    </row>
    <row r="50" spans="1:22" s="32" customFormat="1">
      <c r="A50" s="32" t="s">
        <v>933</v>
      </c>
      <c r="B50" s="32" t="s">
        <v>934</v>
      </c>
      <c r="C50" s="32" t="s">
        <v>987</v>
      </c>
      <c r="D50" s="32" t="s">
        <v>936</v>
      </c>
      <c r="E50" s="62">
        <v>45545</v>
      </c>
      <c r="F50" s="32" t="s">
        <v>54</v>
      </c>
      <c r="G50" s="204">
        <v>-1000</v>
      </c>
      <c r="H50" s="204">
        <v>-1000</v>
      </c>
      <c r="J50" s="32" t="s">
        <v>937</v>
      </c>
      <c r="M50" s="62">
        <v>45545</v>
      </c>
      <c r="N50" s="62">
        <v>45546</v>
      </c>
      <c r="O50" s="32" t="s">
        <v>938</v>
      </c>
      <c r="P50" s="32">
        <v>205826</v>
      </c>
      <c r="Q50" s="32" t="s">
        <v>939</v>
      </c>
      <c r="V50" s="32" t="s">
        <v>34</v>
      </c>
    </row>
    <row r="51" spans="1:22" s="32" customFormat="1">
      <c r="A51" s="32" t="s">
        <v>933</v>
      </c>
      <c r="B51" s="32" t="s">
        <v>934</v>
      </c>
      <c r="C51" s="32" t="s">
        <v>988</v>
      </c>
      <c r="D51" s="32" t="s">
        <v>936</v>
      </c>
      <c r="E51" s="62">
        <v>45545</v>
      </c>
      <c r="F51" s="32" t="s">
        <v>54</v>
      </c>
      <c r="G51" s="204">
        <v>-1000</v>
      </c>
      <c r="H51" s="204">
        <v>-1000</v>
      </c>
      <c r="J51" s="32" t="s">
        <v>937</v>
      </c>
      <c r="M51" s="62">
        <v>45545</v>
      </c>
      <c r="N51" s="62">
        <v>45546</v>
      </c>
      <c r="O51" s="32" t="s">
        <v>938</v>
      </c>
      <c r="P51" s="32">
        <v>205826</v>
      </c>
      <c r="Q51" s="32" t="s">
        <v>939</v>
      </c>
      <c r="V51" s="32" t="s">
        <v>34</v>
      </c>
    </row>
    <row r="52" spans="1:22" s="32" customFormat="1">
      <c r="A52" s="32" t="s">
        <v>933</v>
      </c>
      <c r="B52" s="32" t="s">
        <v>934</v>
      </c>
      <c r="C52" s="32" t="s">
        <v>989</v>
      </c>
      <c r="D52" s="32" t="s">
        <v>936</v>
      </c>
      <c r="E52" s="62">
        <v>45545</v>
      </c>
      <c r="F52" s="32" t="s">
        <v>54</v>
      </c>
      <c r="G52" s="204">
        <v>-1147.3499999999999</v>
      </c>
      <c r="H52" s="204">
        <v>-1147.3499999999999</v>
      </c>
      <c r="J52" s="32" t="s">
        <v>937</v>
      </c>
      <c r="M52" s="62">
        <v>45545</v>
      </c>
      <c r="N52" s="62">
        <v>45546</v>
      </c>
      <c r="O52" s="32" t="s">
        <v>938</v>
      </c>
      <c r="P52" s="32">
        <v>205826</v>
      </c>
      <c r="Q52" s="32" t="s">
        <v>939</v>
      </c>
      <c r="V52" s="32" t="s">
        <v>34</v>
      </c>
    </row>
    <row r="53" spans="1:22" s="32" customFormat="1">
      <c r="A53" s="32" t="s">
        <v>933</v>
      </c>
      <c r="B53" s="32" t="s">
        <v>934</v>
      </c>
      <c r="C53" s="32" t="s">
        <v>990</v>
      </c>
      <c r="D53" s="32" t="s">
        <v>936</v>
      </c>
      <c r="E53" s="62">
        <v>45545</v>
      </c>
      <c r="F53" s="32" t="s">
        <v>54</v>
      </c>
      <c r="G53" s="204">
        <v>-1147.3499999999999</v>
      </c>
      <c r="H53" s="204">
        <v>-1147.3499999999999</v>
      </c>
      <c r="J53" s="32" t="s">
        <v>937</v>
      </c>
      <c r="M53" s="62">
        <v>45545</v>
      </c>
      <c r="N53" s="62">
        <v>45546</v>
      </c>
      <c r="O53" s="32" t="s">
        <v>938</v>
      </c>
      <c r="P53" s="32">
        <v>205826</v>
      </c>
      <c r="Q53" s="32" t="s">
        <v>939</v>
      </c>
      <c r="V53" s="32" t="s">
        <v>34</v>
      </c>
    </row>
    <row r="54" spans="1:22" s="32" customFormat="1">
      <c r="A54" s="32" t="s">
        <v>933</v>
      </c>
      <c r="B54" s="32" t="s">
        <v>934</v>
      </c>
      <c r="C54" s="32" t="s">
        <v>991</v>
      </c>
      <c r="D54" s="32" t="s">
        <v>936</v>
      </c>
      <c r="E54" s="62">
        <v>45545</v>
      </c>
      <c r="F54" s="32" t="s">
        <v>54</v>
      </c>
      <c r="G54" s="32">
        <v>-916.74</v>
      </c>
      <c r="H54" s="32">
        <v>-916.74</v>
      </c>
      <c r="J54" s="32" t="s">
        <v>937</v>
      </c>
      <c r="M54" s="62">
        <v>45545</v>
      </c>
      <c r="N54" s="62">
        <v>45546</v>
      </c>
      <c r="O54" s="32" t="s">
        <v>938</v>
      </c>
      <c r="P54" s="32">
        <v>205826</v>
      </c>
      <c r="Q54" s="32" t="s">
        <v>939</v>
      </c>
      <c r="V54" s="32" t="s">
        <v>34</v>
      </c>
    </row>
    <row r="55" spans="1:22" s="32" customFormat="1">
      <c r="A55" s="32" t="s">
        <v>933</v>
      </c>
      <c r="B55" s="32" t="s">
        <v>934</v>
      </c>
      <c r="C55" s="32" t="s">
        <v>992</v>
      </c>
      <c r="D55" s="32" t="s">
        <v>936</v>
      </c>
      <c r="E55" s="62">
        <v>45545</v>
      </c>
      <c r="F55" s="32" t="s">
        <v>54</v>
      </c>
      <c r="G55" s="32">
        <v>-916.74</v>
      </c>
      <c r="H55" s="32">
        <v>-916.74</v>
      </c>
      <c r="J55" s="32" t="s">
        <v>937</v>
      </c>
      <c r="M55" s="62">
        <v>45545</v>
      </c>
      <c r="N55" s="62">
        <v>45546</v>
      </c>
      <c r="O55" s="32" t="s">
        <v>938</v>
      </c>
      <c r="P55" s="32">
        <v>205826</v>
      </c>
      <c r="Q55" s="32" t="s">
        <v>939</v>
      </c>
      <c r="V55" s="32" t="s">
        <v>34</v>
      </c>
    </row>
    <row r="56" spans="1:22" s="32" customFormat="1">
      <c r="A56" s="32" t="s">
        <v>933</v>
      </c>
      <c r="B56" s="32" t="s">
        <v>934</v>
      </c>
      <c r="C56" s="32" t="s">
        <v>993</v>
      </c>
      <c r="D56" s="32" t="s">
        <v>936</v>
      </c>
      <c r="E56" s="62">
        <v>45545</v>
      </c>
      <c r="F56" s="32" t="s">
        <v>54</v>
      </c>
      <c r="G56" s="32">
        <v>-916.74</v>
      </c>
      <c r="H56" s="32">
        <v>-916.74</v>
      </c>
      <c r="J56" s="32" t="s">
        <v>937</v>
      </c>
      <c r="M56" s="62">
        <v>45545</v>
      </c>
      <c r="N56" s="62">
        <v>45546</v>
      </c>
      <c r="O56" s="32" t="s">
        <v>938</v>
      </c>
      <c r="P56" s="32">
        <v>205826</v>
      </c>
      <c r="Q56" s="32" t="s">
        <v>939</v>
      </c>
      <c r="V56" s="32" t="s">
        <v>34</v>
      </c>
    </row>
    <row r="57" spans="1:22" s="32" customFormat="1">
      <c r="A57" s="32" t="s">
        <v>933</v>
      </c>
      <c r="B57" s="32" t="s">
        <v>934</v>
      </c>
      <c r="C57" s="32" t="s">
        <v>994</v>
      </c>
      <c r="D57" s="32" t="s">
        <v>936</v>
      </c>
      <c r="E57" s="62">
        <v>45545</v>
      </c>
      <c r="F57" s="32" t="s">
        <v>54</v>
      </c>
      <c r="G57" s="32">
        <v>-916.74</v>
      </c>
      <c r="H57" s="32">
        <v>-916.74</v>
      </c>
      <c r="J57" s="32" t="s">
        <v>937</v>
      </c>
      <c r="M57" s="62">
        <v>45545</v>
      </c>
      <c r="N57" s="62">
        <v>45546</v>
      </c>
      <c r="O57" s="32" t="s">
        <v>938</v>
      </c>
      <c r="P57" s="32">
        <v>205826</v>
      </c>
      <c r="Q57" s="32" t="s">
        <v>939</v>
      </c>
      <c r="V57" s="32" t="s">
        <v>34</v>
      </c>
    </row>
    <row r="58" spans="1:22" s="32" customFormat="1">
      <c r="A58" s="32" t="s">
        <v>933</v>
      </c>
      <c r="B58" s="32" t="s">
        <v>934</v>
      </c>
      <c r="C58" s="32" t="s">
        <v>995</v>
      </c>
      <c r="D58" s="32" t="s">
        <v>936</v>
      </c>
      <c r="E58" s="62">
        <v>45545</v>
      </c>
      <c r="F58" s="32" t="s">
        <v>54</v>
      </c>
      <c r="G58" s="32">
        <v>-916.74</v>
      </c>
      <c r="H58" s="32">
        <v>-916.74</v>
      </c>
      <c r="J58" s="32" t="s">
        <v>937</v>
      </c>
      <c r="M58" s="62">
        <v>45545</v>
      </c>
      <c r="N58" s="62">
        <v>45546</v>
      </c>
      <c r="O58" s="32" t="s">
        <v>938</v>
      </c>
      <c r="P58" s="32">
        <v>205826</v>
      </c>
      <c r="Q58" s="32" t="s">
        <v>939</v>
      </c>
      <c r="V58" s="32" t="s">
        <v>34</v>
      </c>
    </row>
    <row r="59" spans="1:22" s="32" customFormat="1">
      <c r="A59" s="32" t="s">
        <v>933</v>
      </c>
      <c r="B59" s="32" t="s">
        <v>934</v>
      </c>
      <c r="C59" s="32" t="s">
        <v>996</v>
      </c>
      <c r="D59" s="32" t="s">
        <v>936</v>
      </c>
      <c r="E59" s="62">
        <v>45545</v>
      </c>
      <c r="F59" s="32" t="s">
        <v>54</v>
      </c>
      <c r="G59" s="32">
        <v>-916.74</v>
      </c>
      <c r="H59" s="32">
        <v>-916.74</v>
      </c>
      <c r="J59" s="32" t="s">
        <v>937</v>
      </c>
      <c r="M59" s="62">
        <v>45545</v>
      </c>
      <c r="N59" s="62">
        <v>45546</v>
      </c>
      <c r="O59" s="32" t="s">
        <v>938</v>
      </c>
      <c r="P59" s="32">
        <v>205826</v>
      </c>
      <c r="Q59" s="32" t="s">
        <v>939</v>
      </c>
      <c r="V59" s="32" t="s">
        <v>34</v>
      </c>
    </row>
    <row r="60" spans="1:22" s="32" customFormat="1">
      <c r="A60" s="32" t="s">
        <v>933</v>
      </c>
      <c r="B60" s="32" t="s">
        <v>934</v>
      </c>
      <c r="C60" s="32" t="s">
        <v>997</v>
      </c>
      <c r="D60" s="32" t="s">
        <v>936</v>
      </c>
      <c r="E60" s="62">
        <v>45545</v>
      </c>
      <c r="F60" s="32" t="s">
        <v>54</v>
      </c>
      <c r="G60" s="32">
        <v>-916.74</v>
      </c>
      <c r="H60" s="32">
        <v>-916.74</v>
      </c>
      <c r="J60" s="32" t="s">
        <v>937</v>
      </c>
      <c r="M60" s="62">
        <v>45545</v>
      </c>
      <c r="N60" s="62">
        <v>45546</v>
      </c>
      <c r="O60" s="32" t="s">
        <v>938</v>
      </c>
      <c r="P60" s="32">
        <v>205826</v>
      </c>
      <c r="Q60" s="32" t="s">
        <v>939</v>
      </c>
      <c r="V60" s="32" t="s">
        <v>34</v>
      </c>
    </row>
    <row r="61" spans="1:22" s="32" customFormat="1">
      <c r="A61" s="32" t="s">
        <v>933</v>
      </c>
      <c r="B61" s="32" t="s">
        <v>934</v>
      </c>
      <c r="C61" s="32" t="s">
        <v>998</v>
      </c>
      <c r="D61" s="32" t="s">
        <v>936</v>
      </c>
      <c r="E61" s="62">
        <v>45545</v>
      </c>
      <c r="F61" s="32" t="s">
        <v>54</v>
      </c>
      <c r="G61" s="32">
        <v>-916.74</v>
      </c>
      <c r="H61" s="32">
        <v>-916.74</v>
      </c>
      <c r="J61" s="32" t="s">
        <v>937</v>
      </c>
      <c r="M61" s="62">
        <v>45545</v>
      </c>
      <c r="N61" s="62">
        <v>45546</v>
      </c>
      <c r="O61" s="32" t="s">
        <v>938</v>
      </c>
      <c r="P61" s="32">
        <v>205826</v>
      </c>
      <c r="Q61" s="32" t="s">
        <v>939</v>
      </c>
      <c r="V61" s="32" t="s">
        <v>34</v>
      </c>
    </row>
    <row r="62" spans="1:22" s="32" customFormat="1">
      <c r="A62" s="32" t="s">
        <v>933</v>
      </c>
      <c r="B62" s="32" t="s">
        <v>934</v>
      </c>
      <c r="C62" s="32" t="s">
        <v>999</v>
      </c>
      <c r="D62" s="32" t="s">
        <v>936</v>
      </c>
      <c r="E62" s="62">
        <v>45545</v>
      </c>
      <c r="F62" s="32" t="s">
        <v>54</v>
      </c>
      <c r="G62" s="32">
        <v>-916.74</v>
      </c>
      <c r="H62" s="32">
        <v>-916.74</v>
      </c>
      <c r="J62" s="32" t="s">
        <v>937</v>
      </c>
      <c r="M62" s="62">
        <v>45545</v>
      </c>
      <c r="N62" s="62">
        <v>45546</v>
      </c>
      <c r="O62" s="32" t="s">
        <v>938</v>
      </c>
      <c r="P62" s="32">
        <v>205826</v>
      </c>
      <c r="Q62" s="32" t="s">
        <v>939</v>
      </c>
      <c r="V62" s="32" t="s">
        <v>34</v>
      </c>
    </row>
    <row r="63" spans="1:22" s="32" customFormat="1">
      <c r="A63" s="32" t="s">
        <v>933</v>
      </c>
      <c r="B63" s="32" t="s">
        <v>934</v>
      </c>
      <c r="C63" s="32" t="s">
        <v>1000</v>
      </c>
      <c r="D63" s="32" t="s">
        <v>936</v>
      </c>
      <c r="E63" s="62">
        <v>45545</v>
      </c>
      <c r="F63" s="32" t="s">
        <v>54</v>
      </c>
      <c r="G63" s="32">
        <v>-916.74</v>
      </c>
      <c r="H63" s="32">
        <v>-916.74</v>
      </c>
      <c r="J63" s="32" t="s">
        <v>937</v>
      </c>
      <c r="M63" s="62">
        <v>45545</v>
      </c>
      <c r="N63" s="62">
        <v>45546</v>
      </c>
      <c r="O63" s="32" t="s">
        <v>938</v>
      </c>
      <c r="P63" s="32">
        <v>205826</v>
      </c>
      <c r="Q63" s="32" t="s">
        <v>939</v>
      </c>
      <c r="V63" s="32" t="s">
        <v>34</v>
      </c>
    </row>
    <row r="64" spans="1:22" s="32" customFormat="1">
      <c r="A64" s="32" t="s">
        <v>933</v>
      </c>
      <c r="B64" s="32" t="s">
        <v>934</v>
      </c>
      <c r="C64" s="32" t="s">
        <v>1001</v>
      </c>
      <c r="D64" s="32" t="s">
        <v>936</v>
      </c>
      <c r="E64" s="62">
        <v>45545</v>
      </c>
      <c r="F64" s="32" t="s">
        <v>54</v>
      </c>
      <c r="G64" s="32">
        <v>-916.74</v>
      </c>
      <c r="H64" s="32">
        <v>-916.74</v>
      </c>
      <c r="J64" s="32" t="s">
        <v>937</v>
      </c>
      <c r="M64" s="62">
        <v>45545</v>
      </c>
      <c r="N64" s="62">
        <v>45546</v>
      </c>
      <c r="O64" s="32" t="s">
        <v>938</v>
      </c>
      <c r="P64" s="32">
        <v>205826</v>
      </c>
      <c r="Q64" s="32" t="s">
        <v>939</v>
      </c>
      <c r="V64" s="32" t="s">
        <v>34</v>
      </c>
    </row>
    <row r="65" spans="1:22" s="32" customFormat="1">
      <c r="A65" s="32" t="s">
        <v>933</v>
      </c>
      <c r="B65" s="32" t="s">
        <v>934</v>
      </c>
      <c r="C65" s="32" t="s">
        <v>1002</v>
      </c>
      <c r="D65" s="32" t="s">
        <v>936</v>
      </c>
      <c r="E65" s="62">
        <v>45545</v>
      </c>
      <c r="F65" s="32" t="s">
        <v>54</v>
      </c>
      <c r="G65" s="32">
        <v>-916.74</v>
      </c>
      <c r="H65" s="32">
        <v>-916.74</v>
      </c>
      <c r="J65" s="32" t="s">
        <v>937</v>
      </c>
      <c r="M65" s="62">
        <v>45545</v>
      </c>
      <c r="N65" s="62">
        <v>45546</v>
      </c>
      <c r="O65" s="32" t="s">
        <v>938</v>
      </c>
      <c r="P65" s="32">
        <v>205826</v>
      </c>
      <c r="Q65" s="32" t="s">
        <v>939</v>
      </c>
      <c r="V65" s="32" t="s">
        <v>34</v>
      </c>
    </row>
    <row r="66" spans="1:22" s="32" customFormat="1">
      <c r="A66" s="32" t="s">
        <v>933</v>
      </c>
      <c r="B66" s="32" t="s">
        <v>934</v>
      </c>
      <c r="C66" s="32" t="s">
        <v>1003</v>
      </c>
      <c r="D66" s="32" t="s">
        <v>936</v>
      </c>
      <c r="E66" s="62">
        <v>45545</v>
      </c>
      <c r="F66" s="32" t="s">
        <v>54</v>
      </c>
      <c r="G66" s="32">
        <v>-916.74</v>
      </c>
      <c r="H66" s="32">
        <v>-916.74</v>
      </c>
      <c r="J66" s="32" t="s">
        <v>937</v>
      </c>
      <c r="M66" s="62">
        <v>45545</v>
      </c>
      <c r="N66" s="62">
        <v>45546</v>
      </c>
      <c r="O66" s="32" t="s">
        <v>938</v>
      </c>
      <c r="P66" s="32">
        <v>205826</v>
      </c>
      <c r="Q66" s="32" t="s">
        <v>939</v>
      </c>
      <c r="V66" s="32" t="s">
        <v>34</v>
      </c>
    </row>
    <row r="67" spans="1:22" s="32" customFormat="1">
      <c r="A67" s="32" t="s">
        <v>933</v>
      </c>
      <c r="B67" s="32" t="s">
        <v>934</v>
      </c>
      <c r="C67" s="32" t="s">
        <v>1004</v>
      </c>
      <c r="D67" s="32" t="s">
        <v>936</v>
      </c>
      <c r="E67" s="62">
        <v>45545</v>
      </c>
      <c r="F67" s="32" t="s">
        <v>54</v>
      </c>
      <c r="G67" s="32">
        <v>-916.74</v>
      </c>
      <c r="H67" s="32">
        <v>-916.74</v>
      </c>
      <c r="J67" s="32" t="s">
        <v>937</v>
      </c>
      <c r="M67" s="62">
        <v>45545</v>
      </c>
      <c r="N67" s="62">
        <v>45546</v>
      </c>
      <c r="O67" s="32" t="s">
        <v>938</v>
      </c>
      <c r="P67" s="32">
        <v>205826</v>
      </c>
      <c r="Q67" s="32" t="s">
        <v>939</v>
      </c>
      <c r="V67" s="32" t="s">
        <v>34</v>
      </c>
    </row>
    <row r="68" spans="1:22" s="32" customFormat="1">
      <c r="A68" s="32" t="s">
        <v>933</v>
      </c>
      <c r="B68" s="32" t="s">
        <v>934</v>
      </c>
      <c r="C68" s="32" t="s">
        <v>1005</v>
      </c>
      <c r="D68" s="32" t="s">
        <v>936</v>
      </c>
      <c r="E68" s="62">
        <v>45545</v>
      </c>
      <c r="F68" s="32" t="s">
        <v>54</v>
      </c>
      <c r="G68" s="32">
        <v>-916.74</v>
      </c>
      <c r="H68" s="32">
        <v>-916.74</v>
      </c>
      <c r="J68" s="32" t="s">
        <v>937</v>
      </c>
      <c r="M68" s="62">
        <v>45545</v>
      </c>
      <c r="N68" s="62">
        <v>45546</v>
      </c>
      <c r="O68" s="32" t="s">
        <v>938</v>
      </c>
      <c r="P68" s="32">
        <v>205826</v>
      </c>
      <c r="Q68" s="32" t="s">
        <v>939</v>
      </c>
      <c r="V68" s="32" t="s">
        <v>34</v>
      </c>
    </row>
    <row r="69" spans="1:22" s="32" customFormat="1">
      <c r="A69" s="32" t="s">
        <v>933</v>
      </c>
      <c r="B69" s="32" t="s">
        <v>934</v>
      </c>
      <c r="C69" s="32" t="s">
        <v>1006</v>
      </c>
      <c r="D69" s="32" t="s">
        <v>936</v>
      </c>
      <c r="E69" s="62">
        <v>45545</v>
      </c>
      <c r="F69" s="32" t="s">
        <v>54</v>
      </c>
      <c r="G69" s="32">
        <v>-916.74</v>
      </c>
      <c r="H69" s="32">
        <v>-916.74</v>
      </c>
      <c r="J69" s="32" t="s">
        <v>937</v>
      </c>
      <c r="M69" s="62">
        <v>45545</v>
      </c>
      <c r="N69" s="62">
        <v>45546</v>
      </c>
      <c r="O69" s="32" t="s">
        <v>938</v>
      </c>
      <c r="P69" s="32">
        <v>205826</v>
      </c>
      <c r="Q69" s="32" t="s">
        <v>939</v>
      </c>
      <c r="V69" s="32" t="s">
        <v>34</v>
      </c>
    </row>
    <row r="70" spans="1:22" s="32" customFormat="1">
      <c r="A70" s="32" t="s">
        <v>933</v>
      </c>
      <c r="B70" s="32" t="s">
        <v>934</v>
      </c>
      <c r="C70" s="32" t="s">
        <v>1007</v>
      </c>
      <c r="D70" s="32" t="s">
        <v>936</v>
      </c>
      <c r="E70" s="62">
        <v>45545</v>
      </c>
      <c r="F70" s="32" t="s">
        <v>54</v>
      </c>
      <c r="G70" s="204">
        <v>-1063.51</v>
      </c>
      <c r="H70" s="204">
        <v>-1063.51</v>
      </c>
      <c r="J70" s="32" t="s">
        <v>937</v>
      </c>
      <c r="M70" s="62">
        <v>45545</v>
      </c>
      <c r="N70" s="62">
        <v>45546</v>
      </c>
      <c r="O70" s="32" t="s">
        <v>938</v>
      </c>
      <c r="P70" s="32">
        <v>205826</v>
      </c>
      <c r="Q70" s="32" t="s">
        <v>939</v>
      </c>
      <c r="V70" s="32" t="s">
        <v>34</v>
      </c>
    </row>
    <row r="71" spans="1:22" s="32" customFormat="1">
      <c r="A71" s="32" t="s">
        <v>933</v>
      </c>
      <c r="B71" s="32" t="s">
        <v>934</v>
      </c>
      <c r="C71" s="32" t="s">
        <v>1008</v>
      </c>
      <c r="D71" s="32" t="s">
        <v>936</v>
      </c>
      <c r="E71" s="62">
        <v>45545</v>
      </c>
      <c r="F71" s="32" t="s">
        <v>54</v>
      </c>
      <c r="G71" s="204">
        <v>-1063.51</v>
      </c>
      <c r="H71" s="204">
        <v>-1063.51</v>
      </c>
      <c r="J71" s="32" t="s">
        <v>937</v>
      </c>
      <c r="M71" s="62">
        <v>45545</v>
      </c>
      <c r="N71" s="62">
        <v>45546</v>
      </c>
      <c r="O71" s="32" t="s">
        <v>938</v>
      </c>
      <c r="P71" s="32">
        <v>205826</v>
      </c>
      <c r="Q71" s="32" t="s">
        <v>939</v>
      </c>
      <c r="V71" s="32" t="s">
        <v>34</v>
      </c>
    </row>
    <row r="72" spans="1:22" s="32" customFormat="1">
      <c r="A72" s="32" t="s">
        <v>933</v>
      </c>
      <c r="B72" s="32" t="s">
        <v>934</v>
      </c>
      <c r="C72" s="32" t="s">
        <v>1009</v>
      </c>
      <c r="D72" s="32" t="s">
        <v>936</v>
      </c>
      <c r="E72" s="62">
        <v>45545</v>
      </c>
      <c r="F72" s="32" t="s">
        <v>54</v>
      </c>
      <c r="G72" s="204">
        <v>-1063.51</v>
      </c>
      <c r="H72" s="204">
        <v>-1063.51</v>
      </c>
      <c r="J72" s="32" t="s">
        <v>937</v>
      </c>
      <c r="M72" s="62">
        <v>45545</v>
      </c>
      <c r="N72" s="62">
        <v>45546</v>
      </c>
      <c r="O72" s="32" t="s">
        <v>938</v>
      </c>
      <c r="P72" s="32">
        <v>205826</v>
      </c>
      <c r="Q72" s="32" t="s">
        <v>939</v>
      </c>
      <c r="V72" s="32" t="s">
        <v>34</v>
      </c>
    </row>
    <row r="73" spans="1:22" s="32" customFormat="1">
      <c r="A73" s="32" t="s">
        <v>933</v>
      </c>
      <c r="B73" s="32" t="s">
        <v>934</v>
      </c>
      <c r="C73" s="32" t="s">
        <v>1010</v>
      </c>
      <c r="D73" s="32" t="s">
        <v>936</v>
      </c>
      <c r="E73" s="62">
        <v>45545</v>
      </c>
      <c r="F73" s="32" t="s">
        <v>54</v>
      </c>
      <c r="G73" s="32">
        <v>-916.74</v>
      </c>
      <c r="H73" s="32">
        <v>-916.74</v>
      </c>
      <c r="J73" s="32" t="s">
        <v>937</v>
      </c>
      <c r="M73" s="62">
        <v>45545</v>
      </c>
      <c r="N73" s="62">
        <v>45546</v>
      </c>
      <c r="O73" s="32" t="s">
        <v>938</v>
      </c>
      <c r="P73" s="32">
        <v>205826</v>
      </c>
      <c r="Q73" s="32" t="s">
        <v>939</v>
      </c>
      <c r="V73" s="32" t="s">
        <v>34</v>
      </c>
    </row>
    <row r="74" spans="1:22" s="32" customFormat="1">
      <c r="A74" s="32" t="s">
        <v>933</v>
      </c>
      <c r="B74" s="32" t="s">
        <v>934</v>
      </c>
      <c r="C74" s="32" t="s">
        <v>1011</v>
      </c>
      <c r="D74" s="32" t="s">
        <v>936</v>
      </c>
      <c r="E74" s="62">
        <v>45545</v>
      </c>
      <c r="F74" s="32" t="s">
        <v>54</v>
      </c>
      <c r="G74" s="32">
        <v>-916.74</v>
      </c>
      <c r="H74" s="32">
        <v>-916.74</v>
      </c>
      <c r="J74" s="32" t="s">
        <v>937</v>
      </c>
      <c r="M74" s="62">
        <v>45545</v>
      </c>
      <c r="N74" s="62">
        <v>45546</v>
      </c>
      <c r="O74" s="32" t="s">
        <v>938</v>
      </c>
      <c r="P74" s="32">
        <v>205826</v>
      </c>
      <c r="Q74" s="32" t="s">
        <v>939</v>
      </c>
      <c r="V74" s="32" t="s">
        <v>34</v>
      </c>
    </row>
    <row r="75" spans="1:22" s="32" customFormat="1">
      <c r="A75" s="32" t="s">
        <v>933</v>
      </c>
      <c r="B75" s="32" t="s">
        <v>934</v>
      </c>
      <c r="C75" s="32" t="s">
        <v>1012</v>
      </c>
      <c r="D75" s="32" t="s">
        <v>936</v>
      </c>
      <c r="E75" s="62">
        <v>45545</v>
      </c>
      <c r="F75" s="32" t="s">
        <v>54</v>
      </c>
      <c r="G75" s="32">
        <v>-916.74</v>
      </c>
      <c r="H75" s="32">
        <v>-916.74</v>
      </c>
      <c r="J75" s="32" t="s">
        <v>937</v>
      </c>
      <c r="M75" s="62">
        <v>45545</v>
      </c>
      <c r="N75" s="62">
        <v>45546</v>
      </c>
      <c r="O75" s="32" t="s">
        <v>938</v>
      </c>
      <c r="P75" s="32">
        <v>205826</v>
      </c>
      <c r="Q75" s="32" t="s">
        <v>939</v>
      </c>
      <c r="V75" s="32" t="s">
        <v>34</v>
      </c>
    </row>
    <row r="76" spans="1:22" s="32" customFormat="1">
      <c r="A76" s="32" t="s">
        <v>933</v>
      </c>
      <c r="B76" s="32" t="s">
        <v>934</v>
      </c>
      <c r="C76" s="32" t="s">
        <v>1013</v>
      </c>
      <c r="D76" s="32" t="s">
        <v>936</v>
      </c>
      <c r="E76" s="62">
        <v>45545</v>
      </c>
      <c r="F76" s="32" t="s">
        <v>54</v>
      </c>
      <c r="G76" s="32">
        <v>-916.74</v>
      </c>
      <c r="H76" s="32">
        <v>-916.74</v>
      </c>
      <c r="J76" s="32" t="s">
        <v>937</v>
      </c>
      <c r="M76" s="62">
        <v>45545</v>
      </c>
      <c r="N76" s="62">
        <v>45546</v>
      </c>
      <c r="O76" s="32" t="s">
        <v>938</v>
      </c>
      <c r="P76" s="32">
        <v>205826</v>
      </c>
      <c r="Q76" s="32" t="s">
        <v>939</v>
      </c>
      <c r="V76" s="32" t="s">
        <v>34</v>
      </c>
    </row>
    <row r="77" spans="1:22" s="32" customFormat="1">
      <c r="A77" s="32" t="s">
        <v>933</v>
      </c>
      <c r="B77" s="32" t="s">
        <v>934</v>
      </c>
      <c r="C77" s="32" t="s">
        <v>1014</v>
      </c>
      <c r="D77" s="32" t="s">
        <v>936</v>
      </c>
      <c r="E77" s="62">
        <v>45545</v>
      </c>
      <c r="F77" s="32" t="s">
        <v>54</v>
      </c>
      <c r="G77" s="32">
        <v>-916.74</v>
      </c>
      <c r="H77" s="32">
        <v>-916.74</v>
      </c>
      <c r="J77" s="32" t="s">
        <v>937</v>
      </c>
      <c r="M77" s="62">
        <v>45545</v>
      </c>
      <c r="N77" s="62">
        <v>45546</v>
      </c>
      <c r="O77" s="32" t="s">
        <v>938</v>
      </c>
      <c r="P77" s="32">
        <v>205826</v>
      </c>
      <c r="Q77" s="32" t="s">
        <v>939</v>
      </c>
      <c r="V77" s="32" t="s">
        <v>34</v>
      </c>
    </row>
    <row r="78" spans="1:22" s="32" customFormat="1">
      <c r="A78" s="32" t="s">
        <v>933</v>
      </c>
      <c r="B78" s="32" t="s">
        <v>934</v>
      </c>
      <c r="C78" s="32" t="s">
        <v>1015</v>
      </c>
      <c r="D78" s="32" t="s">
        <v>936</v>
      </c>
      <c r="E78" s="62">
        <v>45545</v>
      </c>
      <c r="F78" s="32" t="s">
        <v>54</v>
      </c>
      <c r="G78" s="32">
        <v>-916.74</v>
      </c>
      <c r="H78" s="32">
        <v>-916.74</v>
      </c>
      <c r="J78" s="32" t="s">
        <v>937</v>
      </c>
      <c r="M78" s="62">
        <v>45545</v>
      </c>
      <c r="N78" s="62">
        <v>45546</v>
      </c>
      <c r="O78" s="32" t="s">
        <v>938</v>
      </c>
      <c r="P78" s="32">
        <v>205826</v>
      </c>
      <c r="Q78" s="32" t="s">
        <v>939</v>
      </c>
      <c r="V78" s="32" t="s">
        <v>34</v>
      </c>
    </row>
    <row r="79" spans="1:22" s="32" customFormat="1">
      <c r="A79" s="32" t="s">
        <v>933</v>
      </c>
      <c r="B79" s="32" t="s">
        <v>934</v>
      </c>
      <c r="C79" s="32" t="s">
        <v>1016</v>
      </c>
      <c r="D79" s="32" t="s">
        <v>936</v>
      </c>
      <c r="E79" s="62">
        <v>45545</v>
      </c>
      <c r="F79" s="32" t="s">
        <v>54</v>
      </c>
      <c r="G79" s="32">
        <v>-916.74</v>
      </c>
      <c r="H79" s="32">
        <v>-916.74</v>
      </c>
      <c r="J79" s="32" t="s">
        <v>937</v>
      </c>
      <c r="M79" s="62">
        <v>45545</v>
      </c>
      <c r="N79" s="62">
        <v>45546</v>
      </c>
      <c r="O79" s="32" t="s">
        <v>938</v>
      </c>
      <c r="P79" s="32">
        <v>205826</v>
      </c>
      <c r="Q79" s="32" t="s">
        <v>939</v>
      </c>
      <c r="V79" s="32" t="s">
        <v>34</v>
      </c>
    </row>
    <row r="80" spans="1:22" s="32" customFormat="1">
      <c r="A80" s="32" t="s">
        <v>933</v>
      </c>
      <c r="B80" s="32" t="s">
        <v>934</v>
      </c>
      <c r="C80" s="32" t="s">
        <v>1017</v>
      </c>
      <c r="D80" s="32" t="s">
        <v>936</v>
      </c>
      <c r="E80" s="62">
        <v>45545</v>
      </c>
      <c r="F80" s="32" t="s">
        <v>54</v>
      </c>
      <c r="G80" s="32">
        <v>-916.74</v>
      </c>
      <c r="H80" s="32">
        <v>-916.74</v>
      </c>
      <c r="J80" s="32" t="s">
        <v>937</v>
      </c>
      <c r="M80" s="62">
        <v>45545</v>
      </c>
      <c r="N80" s="62">
        <v>45546</v>
      </c>
      <c r="O80" s="32" t="s">
        <v>938</v>
      </c>
      <c r="P80" s="32">
        <v>205826</v>
      </c>
      <c r="Q80" s="32" t="s">
        <v>939</v>
      </c>
      <c r="V80" s="32" t="s">
        <v>34</v>
      </c>
    </row>
    <row r="81" spans="1:22" s="32" customFormat="1">
      <c r="A81" s="32" t="s">
        <v>933</v>
      </c>
      <c r="B81" s="32" t="s">
        <v>934</v>
      </c>
      <c r="C81" s="32" t="s">
        <v>1018</v>
      </c>
      <c r="D81" s="32" t="s">
        <v>936</v>
      </c>
      <c r="E81" s="62">
        <v>45545</v>
      </c>
      <c r="F81" s="32" t="s">
        <v>54</v>
      </c>
      <c r="G81" s="32">
        <v>-916.74</v>
      </c>
      <c r="H81" s="32">
        <v>-916.74</v>
      </c>
      <c r="J81" s="32" t="s">
        <v>937</v>
      </c>
      <c r="M81" s="62">
        <v>45545</v>
      </c>
      <c r="N81" s="62">
        <v>45546</v>
      </c>
      <c r="O81" s="32" t="s">
        <v>938</v>
      </c>
      <c r="P81" s="32">
        <v>205826</v>
      </c>
      <c r="Q81" s="32" t="s">
        <v>939</v>
      </c>
      <c r="V81" s="32" t="s">
        <v>34</v>
      </c>
    </row>
    <row r="82" spans="1:22" s="32" customFormat="1">
      <c r="A82" s="32" t="s">
        <v>933</v>
      </c>
      <c r="B82" s="32" t="s">
        <v>934</v>
      </c>
      <c r="C82" s="32" t="s">
        <v>1019</v>
      </c>
      <c r="D82" s="32" t="s">
        <v>936</v>
      </c>
      <c r="E82" s="62">
        <v>45545</v>
      </c>
      <c r="F82" s="32" t="s">
        <v>54</v>
      </c>
      <c r="G82" s="32">
        <v>-916.74</v>
      </c>
      <c r="H82" s="32">
        <v>-916.74</v>
      </c>
      <c r="J82" s="32" t="s">
        <v>937</v>
      </c>
      <c r="M82" s="62">
        <v>45545</v>
      </c>
      <c r="N82" s="62">
        <v>45546</v>
      </c>
      <c r="O82" s="32" t="s">
        <v>938</v>
      </c>
      <c r="P82" s="32">
        <v>205826</v>
      </c>
      <c r="Q82" s="32" t="s">
        <v>939</v>
      </c>
      <c r="V82" s="32" t="s">
        <v>34</v>
      </c>
    </row>
    <row r="83" spans="1:22" s="32" customFormat="1">
      <c r="A83" s="32" t="s">
        <v>933</v>
      </c>
      <c r="B83" s="32" t="s">
        <v>934</v>
      </c>
      <c r="C83" s="32" t="s">
        <v>1020</v>
      </c>
      <c r="D83" s="32" t="s">
        <v>936</v>
      </c>
      <c r="E83" s="62">
        <v>45545</v>
      </c>
      <c r="F83" s="32" t="s">
        <v>54</v>
      </c>
      <c r="G83" s="32">
        <v>-916.74</v>
      </c>
      <c r="H83" s="32">
        <v>-916.74</v>
      </c>
      <c r="J83" s="32" t="s">
        <v>937</v>
      </c>
      <c r="M83" s="62">
        <v>45545</v>
      </c>
      <c r="N83" s="62">
        <v>45546</v>
      </c>
      <c r="O83" s="32" t="s">
        <v>938</v>
      </c>
      <c r="P83" s="32">
        <v>205826</v>
      </c>
      <c r="Q83" s="32" t="s">
        <v>939</v>
      </c>
      <c r="V83" s="32" t="s">
        <v>34</v>
      </c>
    </row>
    <row r="84" spans="1:22" s="32" customFormat="1">
      <c r="A84" s="32" t="s">
        <v>933</v>
      </c>
      <c r="B84" s="32" t="s">
        <v>934</v>
      </c>
      <c r="C84" s="32" t="s">
        <v>1021</v>
      </c>
      <c r="D84" s="32" t="s">
        <v>936</v>
      </c>
      <c r="E84" s="62">
        <v>45545</v>
      </c>
      <c r="F84" s="32" t="s">
        <v>54</v>
      </c>
      <c r="G84" s="32">
        <v>-916.74</v>
      </c>
      <c r="H84" s="32">
        <v>-916.74</v>
      </c>
      <c r="J84" s="32" t="s">
        <v>937</v>
      </c>
      <c r="M84" s="62">
        <v>45545</v>
      </c>
      <c r="N84" s="62">
        <v>45546</v>
      </c>
      <c r="O84" s="32" t="s">
        <v>938</v>
      </c>
      <c r="P84" s="32">
        <v>205826</v>
      </c>
      <c r="Q84" s="32" t="s">
        <v>939</v>
      </c>
      <c r="V84" s="32" t="s">
        <v>34</v>
      </c>
    </row>
    <row r="85" spans="1:22" s="32" customFormat="1">
      <c r="A85" s="32" t="s">
        <v>933</v>
      </c>
      <c r="B85" s="32" t="s">
        <v>934</v>
      </c>
      <c r="C85" s="32" t="s">
        <v>1022</v>
      </c>
      <c r="D85" s="32" t="s">
        <v>936</v>
      </c>
      <c r="E85" s="62">
        <v>45545</v>
      </c>
      <c r="F85" s="32" t="s">
        <v>54</v>
      </c>
      <c r="G85" s="32">
        <v>-916.74</v>
      </c>
      <c r="H85" s="32">
        <v>-916.74</v>
      </c>
      <c r="J85" s="32" t="s">
        <v>937</v>
      </c>
      <c r="M85" s="62">
        <v>45545</v>
      </c>
      <c r="N85" s="62">
        <v>45546</v>
      </c>
      <c r="O85" s="32" t="s">
        <v>938</v>
      </c>
      <c r="P85" s="32">
        <v>205826</v>
      </c>
      <c r="Q85" s="32" t="s">
        <v>939</v>
      </c>
      <c r="V85" s="32" t="s">
        <v>34</v>
      </c>
    </row>
    <row r="86" spans="1:22" s="32" customFormat="1">
      <c r="A86" s="32" t="s">
        <v>933</v>
      </c>
      <c r="B86" s="32" t="s">
        <v>934</v>
      </c>
      <c r="C86" s="32" t="s">
        <v>1023</v>
      </c>
      <c r="D86" s="32" t="s">
        <v>936</v>
      </c>
      <c r="E86" s="62">
        <v>45545</v>
      </c>
      <c r="F86" s="32" t="s">
        <v>54</v>
      </c>
      <c r="G86" s="32">
        <v>-916.74</v>
      </c>
      <c r="H86" s="32">
        <v>-916.74</v>
      </c>
      <c r="J86" s="32" t="s">
        <v>937</v>
      </c>
      <c r="M86" s="62">
        <v>45545</v>
      </c>
      <c r="N86" s="62">
        <v>45546</v>
      </c>
      <c r="O86" s="32" t="s">
        <v>938</v>
      </c>
      <c r="P86" s="32">
        <v>205826</v>
      </c>
      <c r="Q86" s="32" t="s">
        <v>939</v>
      </c>
      <c r="V86" s="32" t="s">
        <v>34</v>
      </c>
    </row>
    <row r="87" spans="1:22" s="32" customFormat="1">
      <c r="A87" s="32" t="s">
        <v>933</v>
      </c>
      <c r="B87" s="32" t="s">
        <v>934</v>
      </c>
      <c r="C87" s="32" t="s">
        <v>1024</v>
      </c>
      <c r="D87" s="32" t="s">
        <v>936</v>
      </c>
      <c r="E87" s="62">
        <v>45545</v>
      </c>
      <c r="F87" s="32" t="s">
        <v>54</v>
      </c>
      <c r="G87" s="32">
        <v>-916.74</v>
      </c>
      <c r="H87" s="32">
        <v>-916.74</v>
      </c>
      <c r="J87" s="32" t="s">
        <v>937</v>
      </c>
      <c r="M87" s="62">
        <v>45545</v>
      </c>
      <c r="N87" s="62">
        <v>45546</v>
      </c>
      <c r="O87" s="32" t="s">
        <v>938</v>
      </c>
      <c r="P87" s="32">
        <v>205826</v>
      </c>
      <c r="Q87" s="32" t="s">
        <v>939</v>
      </c>
      <c r="V87" s="32" t="s">
        <v>34</v>
      </c>
    </row>
    <row r="88" spans="1:22" s="32" customFormat="1">
      <c r="A88" s="32" t="s">
        <v>933</v>
      </c>
      <c r="B88" s="32" t="s">
        <v>934</v>
      </c>
      <c r="C88" s="32" t="s">
        <v>1025</v>
      </c>
      <c r="D88" s="32" t="s">
        <v>936</v>
      </c>
      <c r="E88" s="62">
        <v>45545</v>
      </c>
      <c r="F88" s="32" t="s">
        <v>54</v>
      </c>
      <c r="G88" s="32">
        <v>-916.74</v>
      </c>
      <c r="H88" s="32">
        <v>-916.74</v>
      </c>
      <c r="J88" s="32" t="s">
        <v>937</v>
      </c>
      <c r="M88" s="62">
        <v>45545</v>
      </c>
      <c r="N88" s="62">
        <v>45546</v>
      </c>
      <c r="O88" s="32" t="s">
        <v>938</v>
      </c>
      <c r="P88" s="32">
        <v>205826</v>
      </c>
      <c r="Q88" s="32" t="s">
        <v>939</v>
      </c>
      <c r="V88" s="32" t="s">
        <v>34</v>
      </c>
    </row>
    <row r="89" spans="1:22" s="32" customFormat="1">
      <c r="A89" s="32" t="s">
        <v>933</v>
      </c>
      <c r="B89" s="32" t="s">
        <v>934</v>
      </c>
      <c r="C89" s="32" t="s">
        <v>1026</v>
      </c>
      <c r="D89" s="32" t="s">
        <v>936</v>
      </c>
      <c r="E89" s="62">
        <v>45545</v>
      </c>
      <c r="F89" s="32" t="s">
        <v>54</v>
      </c>
      <c r="G89" s="32">
        <v>-916.74</v>
      </c>
      <c r="H89" s="32">
        <v>-916.74</v>
      </c>
      <c r="J89" s="32" t="s">
        <v>937</v>
      </c>
      <c r="M89" s="62">
        <v>45545</v>
      </c>
      <c r="N89" s="62">
        <v>45546</v>
      </c>
      <c r="O89" s="32" t="s">
        <v>938</v>
      </c>
      <c r="P89" s="32">
        <v>205826</v>
      </c>
      <c r="Q89" s="32" t="s">
        <v>939</v>
      </c>
      <c r="V89" s="32" t="s">
        <v>34</v>
      </c>
    </row>
    <row r="90" spans="1:22" s="32" customFormat="1">
      <c r="A90" s="32" t="s">
        <v>933</v>
      </c>
      <c r="B90" s="32" t="s">
        <v>934</v>
      </c>
      <c r="C90" s="32" t="s">
        <v>1027</v>
      </c>
      <c r="D90" s="32" t="s">
        <v>936</v>
      </c>
      <c r="E90" s="62">
        <v>45545</v>
      </c>
      <c r="F90" s="32" t="s">
        <v>54</v>
      </c>
      <c r="G90" s="32">
        <v>-916.74</v>
      </c>
      <c r="H90" s="32">
        <v>-916.74</v>
      </c>
      <c r="J90" s="32" t="s">
        <v>937</v>
      </c>
      <c r="M90" s="62">
        <v>45545</v>
      </c>
      <c r="N90" s="62">
        <v>45546</v>
      </c>
      <c r="O90" s="32" t="s">
        <v>938</v>
      </c>
      <c r="P90" s="32">
        <v>205826</v>
      </c>
      <c r="Q90" s="32" t="s">
        <v>939</v>
      </c>
      <c r="V90" s="32" t="s">
        <v>34</v>
      </c>
    </row>
    <row r="91" spans="1:22" s="32" customFormat="1">
      <c r="A91" s="32" t="s">
        <v>933</v>
      </c>
      <c r="B91" s="32" t="s">
        <v>934</v>
      </c>
      <c r="C91" s="32" t="s">
        <v>1028</v>
      </c>
      <c r="D91" s="32" t="s">
        <v>936</v>
      </c>
      <c r="E91" s="62">
        <v>45545</v>
      </c>
      <c r="F91" s="32" t="s">
        <v>54</v>
      </c>
      <c r="G91" s="32">
        <v>-916.74</v>
      </c>
      <c r="H91" s="32">
        <v>-916.74</v>
      </c>
      <c r="J91" s="32" t="s">
        <v>937</v>
      </c>
      <c r="M91" s="62">
        <v>45545</v>
      </c>
      <c r="N91" s="62">
        <v>45546</v>
      </c>
      <c r="O91" s="32" t="s">
        <v>938</v>
      </c>
      <c r="P91" s="32">
        <v>205826</v>
      </c>
      <c r="Q91" s="32" t="s">
        <v>939</v>
      </c>
      <c r="V91" s="32" t="s">
        <v>34</v>
      </c>
    </row>
    <row r="92" spans="1:22" s="32" customFormat="1">
      <c r="A92" s="32" t="s">
        <v>933</v>
      </c>
      <c r="B92" s="32" t="s">
        <v>934</v>
      </c>
      <c r="C92" s="32" t="s">
        <v>1029</v>
      </c>
      <c r="D92" s="32" t="s">
        <v>936</v>
      </c>
      <c r="E92" s="62">
        <v>45545</v>
      </c>
      <c r="F92" s="32" t="s">
        <v>54</v>
      </c>
      <c r="G92" s="32">
        <v>-916.74</v>
      </c>
      <c r="H92" s="32">
        <v>-916.74</v>
      </c>
      <c r="J92" s="32" t="s">
        <v>937</v>
      </c>
      <c r="M92" s="62">
        <v>45545</v>
      </c>
      <c r="N92" s="62">
        <v>45546</v>
      </c>
      <c r="O92" s="32" t="s">
        <v>938</v>
      </c>
      <c r="P92" s="32">
        <v>205826</v>
      </c>
      <c r="Q92" s="32" t="s">
        <v>939</v>
      </c>
      <c r="V92" s="32" t="s">
        <v>34</v>
      </c>
    </row>
    <row r="93" spans="1:22" s="32" customFormat="1">
      <c r="A93" s="32" t="s">
        <v>933</v>
      </c>
      <c r="B93" s="32" t="s">
        <v>934</v>
      </c>
      <c r="C93" s="32" t="s">
        <v>1030</v>
      </c>
      <c r="D93" s="32" t="s">
        <v>936</v>
      </c>
      <c r="E93" s="62">
        <v>45545</v>
      </c>
      <c r="F93" s="32" t="s">
        <v>54</v>
      </c>
      <c r="G93" s="32">
        <v>-916.74</v>
      </c>
      <c r="H93" s="32">
        <v>-916.74</v>
      </c>
      <c r="J93" s="32" t="s">
        <v>937</v>
      </c>
      <c r="M93" s="62">
        <v>45545</v>
      </c>
      <c r="N93" s="62">
        <v>45546</v>
      </c>
      <c r="O93" s="32" t="s">
        <v>938</v>
      </c>
      <c r="P93" s="32">
        <v>205826</v>
      </c>
      <c r="Q93" s="32" t="s">
        <v>939</v>
      </c>
      <c r="V93" s="32" t="s">
        <v>34</v>
      </c>
    </row>
    <row r="94" spans="1:22" s="32" customFormat="1">
      <c r="A94" s="32" t="s">
        <v>933</v>
      </c>
      <c r="B94" s="32" t="s">
        <v>934</v>
      </c>
      <c r="C94" s="32" t="s">
        <v>1031</v>
      </c>
      <c r="D94" s="32" t="s">
        <v>936</v>
      </c>
      <c r="E94" s="62">
        <v>45545</v>
      </c>
      <c r="F94" s="32" t="s">
        <v>54</v>
      </c>
      <c r="G94" s="32">
        <v>-996.06</v>
      </c>
      <c r="H94" s="32">
        <v>-996.06</v>
      </c>
      <c r="J94" s="32" t="s">
        <v>937</v>
      </c>
      <c r="M94" s="62">
        <v>45545</v>
      </c>
      <c r="N94" s="62">
        <v>45546</v>
      </c>
      <c r="O94" s="32" t="s">
        <v>938</v>
      </c>
      <c r="P94" s="32">
        <v>205826</v>
      </c>
      <c r="Q94" s="32" t="s">
        <v>939</v>
      </c>
      <c r="V94" s="32" t="s">
        <v>34</v>
      </c>
    </row>
    <row r="95" spans="1:22" s="32" customFormat="1">
      <c r="A95" s="32" t="s">
        <v>933</v>
      </c>
      <c r="B95" s="32" t="s">
        <v>934</v>
      </c>
      <c r="C95" s="32" t="s">
        <v>1032</v>
      </c>
      <c r="D95" s="32" t="s">
        <v>936</v>
      </c>
      <c r="E95" s="62">
        <v>45545</v>
      </c>
      <c r="F95" s="32" t="s">
        <v>54</v>
      </c>
      <c r="G95" s="32">
        <v>-996.06</v>
      </c>
      <c r="H95" s="32">
        <v>-996.06</v>
      </c>
      <c r="J95" s="32" t="s">
        <v>937</v>
      </c>
      <c r="M95" s="62">
        <v>45545</v>
      </c>
      <c r="N95" s="62">
        <v>45546</v>
      </c>
      <c r="O95" s="32" t="s">
        <v>938</v>
      </c>
      <c r="P95" s="32">
        <v>205826</v>
      </c>
      <c r="Q95" s="32" t="s">
        <v>939</v>
      </c>
      <c r="V95" s="32" t="s">
        <v>34</v>
      </c>
    </row>
    <row r="96" spans="1:22" s="32" customFormat="1">
      <c r="A96" s="32" t="s">
        <v>933</v>
      </c>
      <c r="B96" s="32" t="s">
        <v>934</v>
      </c>
      <c r="C96" s="32" t="s">
        <v>1033</v>
      </c>
      <c r="D96" s="32" t="s">
        <v>936</v>
      </c>
      <c r="E96" s="62">
        <v>45545</v>
      </c>
      <c r="F96" s="32" t="s">
        <v>54</v>
      </c>
      <c r="G96" s="32">
        <v>-996.06</v>
      </c>
      <c r="H96" s="32">
        <v>-996.06</v>
      </c>
      <c r="J96" s="32" t="s">
        <v>937</v>
      </c>
      <c r="M96" s="62">
        <v>45545</v>
      </c>
      <c r="N96" s="62">
        <v>45546</v>
      </c>
      <c r="O96" s="32" t="s">
        <v>938</v>
      </c>
      <c r="P96" s="32">
        <v>205826</v>
      </c>
      <c r="Q96" s="32" t="s">
        <v>939</v>
      </c>
      <c r="V96" s="32" t="s">
        <v>34</v>
      </c>
    </row>
    <row r="97" spans="1:22" s="32" customFormat="1">
      <c r="A97" s="32" t="s">
        <v>933</v>
      </c>
      <c r="B97" s="32" t="s">
        <v>934</v>
      </c>
      <c r="C97" s="32" t="s">
        <v>1034</v>
      </c>
      <c r="D97" s="32" t="s">
        <v>936</v>
      </c>
      <c r="E97" s="62">
        <v>45545</v>
      </c>
      <c r="F97" s="32" t="s">
        <v>54</v>
      </c>
      <c r="G97" s="32">
        <v>-996.06</v>
      </c>
      <c r="H97" s="32">
        <v>-996.06</v>
      </c>
      <c r="J97" s="32" t="s">
        <v>937</v>
      </c>
      <c r="M97" s="62">
        <v>45545</v>
      </c>
      <c r="N97" s="62">
        <v>45546</v>
      </c>
      <c r="O97" s="32" t="s">
        <v>938</v>
      </c>
      <c r="P97" s="32">
        <v>205826</v>
      </c>
      <c r="Q97" s="32" t="s">
        <v>939</v>
      </c>
      <c r="V97" s="32" t="s">
        <v>34</v>
      </c>
    </row>
    <row r="98" spans="1:22" s="32" customFormat="1">
      <c r="A98" s="32" t="s">
        <v>933</v>
      </c>
      <c r="B98" s="32" t="s">
        <v>934</v>
      </c>
      <c r="C98" s="32" t="s">
        <v>1035</v>
      </c>
      <c r="D98" s="32" t="s">
        <v>936</v>
      </c>
      <c r="E98" s="62">
        <v>45545</v>
      </c>
      <c r="F98" s="32" t="s">
        <v>54</v>
      </c>
      <c r="G98" s="32">
        <v>-996.06</v>
      </c>
      <c r="H98" s="32">
        <v>-996.06</v>
      </c>
      <c r="J98" s="32" t="s">
        <v>937</v>
      </c>
      <c r="M98" s="62">
        <v>45545</v>
      </c>
      <c r="N98" s="62">
        <v>45546</v>
      </c>
      <c r="O98" s="32" t="s">
        <v>938</v>
      </c>
      <c r="P98" s="32">
        <v>205826</v>
      </c>
      <c r="Q98" s="32" t="s">
        <v>939</v>
      </c>
      <c r="V98" s="32" t="s">
        <v>34</v>
      </c>
    </row>
    <row r="99" spans="1:22" s="32" customFormat="1">
      <c r="A99" s="32" t="s">
        <v>933</v>
      </c>
      <c r="B99" s="32" t="s">
        <v>934</v>
      </c>
      <c r="C99" s="32" t="s">
        <v>1036</v>
      </c>
      <c r="D99" s="32" t="s">
        <v>936</v>
      </c>
      <c r="E99" s="62">
        <v>45545</v>
      </c>
      <c r="F99" s="32" t="s">
        <v>54</v>
      </c>
      <c r="G99" s="32">
        <v>-996.06</v>
      </c>
      <c r="H99" s="32">
        <v>-996.06</v>
      </c>
      <c r="J99" s="32" t="s">
        <v>937</v>
      </c>
      <c r="M99" s="62">
        <v>45545</v>
      </c>
      <c r="N99" s="62">
        <v>45546</v>
      </c>
      <c r="O99" s="32" t="s">
        <v>938</v>
      </c>
      <c r="P99" s="32">
        <v>205826</v>
      </c>
      <c r="Q99" s="32" t="s">
        <v>939</v>
      </c>
      <c r="V99" s="32" t="s">
        <v>34</v>
      </c>
    </row>
    <row r="100" spans="1:22" s="32" customFormat="1">
      <c r="A100" s="32" t="s">
        <v>933</v>
      </c>
      <c r="B100" s="32" t="s">
        <v>934</v>
      </c>
      <c r="C100" s="32" t="s">
        <v>1037</v>
      </c>
      <c r="D100" s="32" t="s">
        <v>936</v>
      </c>
      <c r="E100" s="62">
        <v>45545</v>
      </c>
      <c r="F100" s="32" t="s">
        <v>54</v>
      </c>
      <c r="G100" s="32">
        <v>-996.06</v>
      </c>
      <c r="H100" s="32">
        <v>-996.06</v>
      </c>
      <c r="J100" s="32" t="s">
        <v>937</v>
      </c>
      <c r="M100" s="62">
        <v>45545</v>
      </c>
      <c r="N100" s="62">
        <v>45546</v>
      </c>
      <c r="O100" s="32" t="s">
        <v>938</v>
      </c>
      <c r="P100" s="32">
        <v>205826</v>
      </c>
      <c r="Q100" s="32" t="s">
        <v>939</v>
      </c>
      <c r="V100" s="32" t="s">
        <v>34</v>
      </c>
    </row>
    <row r="101" spans="1:22" s="32" customFormat="1">
      <c r="A101" s="32" t="s">
        <v>933</v>
      </c>
      <c r="B101" s="32" t="s">
        <v>934</v>
      </c>
      <c r="C101" s="32" t="s">
        <v>1038</v>
      </c>
      <c r="D101" s="32" t="s">
        <v>936</v>
      </c>
      <c r="E101" s="62">
        <v>45545</v>
      </c>
      <c r="F101" s="32" t="s">
        <v>54</v>
      </c>
      <c r="G101" s="32">
        <v>-996.06</v>
      </c>
      <c r="H101" s="32">
        <v>-996.06</v>
      </c>
      <c r="J101" s="32" t="s">
        <v>937</v>
      </c>
      <c r="M101" s="62">
        <v>45545</v>
      </c>
      <c r="N101" s="62">
        <v>45546</v>
      </c>
      <c r="O101" s="32" t="s">
        <v>938</v>
      </c>
      <c r="P101" s="32">
        <v>205826</v>
      </c>
      <c r="Q101" s="32" t="s">
        <v>939</v>
      </c>
      <c r="V101" s="32" t="s">
        <v>34</v>
      </c>
    </row>
    <row r="102" spans="1:22" s="32" customFormat="1">
      <c r="A102" s="32" t="s">
        <v>933</v>
      </c>
      <c r="B102" s="32" t="s">
        <v>934</v>
      </c>
      <c r="C102" s="32" t="s">
        <v>1039</v>
      </c>
      <c r="D102" s="32" t="s">
        <v>936</v>
      </c>
      <c r="E102" s="62">
        <v>45545</v>
      </c>
      <c r="F102" s="32" t="s">
        <v>54</v>
      </c>
      <c r="G102" s="32">
        <v>-996.06</v>
      </c>
      <c r="H102" s="32">
        <v>-996.06</v>
      </c>
      <c r="J102" s="32" t="s">
        <v>937</v>
      </c>
      <c r="M102" s="62">
        <v>45545</v>
      </c>
      <c r="N102" s="62">
        <v>45546</v>
      </c>
      <c r="O102" s="32" t="s">
        <v>938</v>
      </c>
      <c r="P102" s="32">
        <v>205826</v>
      </c>
      <c r="Q102" s="32" t="s">
        <v>939</v>
      </c>
      <c r="V102" s="32" t="s">
        <v>34</v>
      </c>
    </row>
    <row r="103" spans="1:22" s="32" customFormat="1">
      <c r="A103" s="32" t="s">
        <v>933</v>
      </c>
      <c r="B103" s="32" t="s">
        <v>934</v>
      </c>
      <c r="C103" s="32" t="s">
        <v>1040</v>
      </c>
      <c r="D103" s="32" t="s">
        <v>936</v>
      </c>
      <c r="E103" s="62">
        <v>45545</v>
      </c>
      <c r="F103" s="32" t="s">
        <v>54</v>
      </c>
      <c r="G103" s="32">
        <v>-996.06</v>
      </c>
      <c r="H103" s="32">
        <v>-996.06</v>
      </c>
      <c r="J103" s="32" t="s">
        <v>937</v>
      </c>
      <c r="M103" s="62">
        <v>45545</v>
      </c>
      <c r="N103" s="62">
        <v>45546</v>
      </c>
      <c r="O103" s="32" t="s">
        <v>938</v>
      </c>
      <c r="P103" s="32">
        <v>205826</v>
      </c>
      <c r="Q103" s="32" t="s">
        <v>939</v>
      </c>
      <c r="V103" s="32" t="s">
        <v>34</v>
      </c>
    </row>
    <row r="104" spans="1:22" s="32" customFormat="1">
      <c r="A104" s="32" t="s">
        <v>933</v>
      </c>
      <c r="B104" s="32" t="s">
        <v>934</v>
      </c>
      <c r="C104" s="32" t="s">
        <v>1041</v>
      </c>
      <c r="D104" s="32" t="s">
        <v>936</v>
      </c>
      <c r="E104" s="62">
        <v>45545</v>
      </c>
      <c r="F104" s="32" t="s">
        <v>54</v>
      </c>
      <c r="G104" s="32">
        <v>-996.06</v>
      </c>
      <c r="H104" s="32">
        <v>-996.06</v>
      </c>
      <c r="J104" s="32" t="s">
        <v>937</v>
      </c>
      <c r="M104" s="62">
        <v>45545</v>
      </c>
      <c r="N104" s="62">
        <v>45546</v>
      </c>
      <c r="O104" s="32" t="s">
        <v>938</v>
      </c>
      <c r="P104" s="32">
        <v>205826</v>
      </c>
      <c r="Q104" s="32" t="s">
        <v>939</v>
      </c>
      <c r="V104" s="32" t="s">
        <v>34</v>
      </c>
    </row>
    <row r="105" spans="1:22" s="32" customFormat="1">
      <c r="A105" s="32" t="s">
        <v>933</v>
      </c>
      <c r="B105" s="32" t="s">
        <v>934</v>
      </c>
      <c r="C105" s="32" t="s">
        <v>1042</v>
      </c>
      <c r="D105" s="32" t="s">
        <v>936</v>
      </c>
      <c r="E105" s="62">
        <v>45545</v>
      </c>
      <c r="F105" s="32" t="s">
        <v>54</v>
      </c>
      <c r="G105" s="32">
        <v>-996.06</v>
      </c>
      <c r="H105" s="32">
        <v>-996.06</v>
      </c>
      <c r="J105" s="32" t="s">
        <v>937</v>
      </c>
      <c r="M105" s="62">
        <v>45545</v>
      </c>
      <c r="N105" s="62">
        <v>45546</v>
      </c>
      <c r="O105" s="32" t="s">
        <v>938</v>
      </c>
      <c r="P105" s="32">
        <v>205826</v>
      </c>
      <c r="Q105" s="32" t="s">
        <v>939</v>
      </c>
      <c r="V105" s="32" t="s">
        <v>34</v>
      </c>
    </row>
    <row r="106" spans="1:22" s="32" customFormat="1">
      <c r="A106" s="32" t="s">
        <v>933</v>
      </c>
      <c r="B106" s="32" t="s">
        <v>934</v>
      </c>
      <c r="C106" s="32" t="s">
        <v>1043</v>
      </c>
      <c r="D106" s="32" t="s">
        <v>936</v>
      </c>
      <c r="E106" s="62">
        <v>45545</v>
      </c>
      <c r="F106" s="32" t="s">
        <v>54</v>
      </c>
      <c r="G106" s="32">
        <v>-996.06</v>
      </c>
      <c r="H106" s="32">
        <v>-996.06</v>
      </c>
      <c r="J106" s="32" t="s">
        <v>937</v>
      </c>
      <c r="M106" s="62">
        <v>45545</v>
      </c>
      <c r="N106" s="62">
        <v>45546</v>
      </c>
      <c r="O106" s="32" t="s">
        <v>938</v>
      </c>
      <c r="P106" s="32">
        <v>205826</v>
      </c>
      <c r="Q106" s="32" t="s">
        <v>939</v>
      </c>
      <c r="V106" s="32" t="s">
        <v>34</v>
      </c>
    </row>
    <row r="107" spans="1:22" s="32" customFormat="1">
      <c r="A107" s="32" t="s">
        <v>933</v>
      </c>
      <c r="B107" s="32" t="s">
        <v>934</v>
      </c>
      <c r="C107" s="32" t="s">
        <v>1044</v>
      </c>
      <c r="D107" s="32" t="s">
        <v>936</v>
      </c>
      <c r="E107" s="62">
        <v>45545</v>
      </c>
      <c r="F107" s="32" t="s">
        <v>54</v>
      </c>
      <c r="G107" s="32">
        <v>-996.06</v>
      </c>
      <c r="H107" s="32">
        <v>-996.06</v>
      </c>
      <c r="J107" s="32" t="s">
        <v>937</v>
      </c>
      <c r="M107" s="62">
        <v>45545</v>
      </c>
      <c r="N107" s="62">
        <v>45546</v>
      </c>
      <c r="O107" s="32" t="s">
        <v>938</v>
      </c>
      <c r="P107" s="32">
        <v>205826</v>
      </c>
      <c r="Q107" s="32" t="s">
        <v>939</v>
      </c>
      <c r="V107" s="32" t="s">
        <v>34</v>
      </c>
    </row>
    <row r="108" spans="1:22" s="32" customFormat="1">
      <c r="A108" s="32" t="s">
        <v>933</v>
      </c>
      <c r="B108" s="32" t="s">
        <v>934</v>
      </c>
      <c r="C108" s="32" t="s">
        <v>1045</v>
      </c>
      <c r="D108" s="32" t="s">
        <v>936</v>
      </c>
      <c r="E108" s="62">
        <v>45545</v>
      </c>
      <c r="F108" s="32" t="s">
        <v>54</v>
      </c>
      <c r="G108" s="32">
        <v>-996.06</v>
      </c>
      <c r="H108" s="32">
        <v>-996.06</v>
      </c>
      <c r="J108" s="32" t="s">
        <v>937</v>
      </c>
      <c r="M108" s="62">
        <v>45545</v>
      </c>
      <c r="N108" s="62">
        <v>45546</v>
      </c>
      <c r="O108" s="32" t="s">
        <v>938</v>
      </c>
      <c r="P108" s="32">
        <v>205826</v>
      </c>
      <c r="Q108" s="32" t="s">
        <v>939</v>
      </c>
      <c r="V108" s="32" t="s">
        <v>34</v>
      </c>
    </row>
    <row r="109" spans="1:22" s="32" customFormat="1">
      <c r="A109" s="32" t="s">
        <v>933</v>
      </c>
      <c r="B109" s="32" t="s">
        <v>934</v>
      </c>
      <c r="C109" s="32" t="s">
        <v>1046</v>
      </c>
      <c r="D109" s="32" t="s">
        <v>936</v>
      </c>
      <c r="E109" s="62">
        <v>45545</v>
      </c>
      <c r="F109" s="32" t="s">
        <v>54</v>
      </c>
      <c r="G109" s="32">
        <v>-996.06</v>
      </c>
      <c r="H109" s="32">
        <v>-996.06</v>
      </c>
      <c r="J109" s="32" t="s">
        <v>937</v>
      </c>
      <c r="M109" s="62">
        <v>45545</v>
      </c>
      <c r="N109" s="62">
        <v>45546</v>
      </c>
      <c r="O109" s="32" t="s">
        <v>938</v>
      </c>
      <c r="P109" s="32">
        <v>205826</v>
      </c>
      <c r="Q109" s="32" t="s">
        <v>939</v>
      </c>
      <c r="V109" s="32" t="s">
        <v>34</v>
      </c>
    </row>
    <row r="110" spans="1:22" s="32" customFormat="1">
      <c r="A110" s="32" t="s">
        <v>933</v>
      </c>
      <c r="B110" s="32" t="s">
        <v>934</v>
      </c>
      <c r="C110" s="32" t="s">
        <v>1047</v>
      </c>
      <c r="D110" s="32" t="s">
        <v>936</v>
      </c>
      <c r="E110" s="62">
        <v>45545</v>
      </c>
      <c r="F110" s="32" t="s">
        <v>54</v>
      </c>
      <c r="G110" s="32">
        <v>-996.06</v>
      </c>
      <c r="H110" s="32">
        <v>-996.06</v>
      </c>
      <c r="J110" s="32" t="s">
        <v>937</v>
      </c>
      <c r="M110" s="62">
        <v>45545</v>
      </c>
      <c r="N110" s="62">
        <v>45546</v>
      </c>
      <c r="O110" s="32" t="s">
        <v>938</v>
      </c>
      <c r="P110" s="32">
        <v>205826</v>
      </c>
      <c r="Q110" s="32" t="s">
        <v>939</v>
      </c>
      <c r="V110" s="32" t="s">
        <v>34</v>
      </c>
    </row>
    <row r="111" spans="1:22" s="32" customFormat="1">
      <c r="A111" s="32" t="s">
        <v>933</v>
      </c>
      <c r="B111" s="32" t="s">
        <v>934</v>
      </c>
      <c r="C111" s="32" t="s">
        <v>1048</v>
      </c>
      <c r="D111" s="32" t="s">
        <v>936</v>
      </c>
      <c r="E111" s="62">
        <v>45545</v>
      </c>
      <c r="F111" s="32" t="s">
        <v>54</v>
      </c>
      <c r="G111" s="204">
        <v>-1063.51</v>
      </c>
      <c r="H111" s="204">
        <v>-1063.51</v>
      </c>
      <c r="J111" s="32" t="s">
        <v>937</v>
      </c>
      <c r="M111" s="62">
        <v>45545</v>
      </c>
      <c r="N111" s="62">
        <v>45546</v>
      </c>
      <c r="O111" s="32" t="s">
        <v>938</v>
      </c>
      <c r="P111" s="32">
        <v>205826</v>
      </c>
      <c r="Q111" s="32" t="s">
        <v>939</v>
      </c>
      <c r="V111" s="32" t="s">
        <v>34</v>
      </c>
    </row>
    <row r="112" spans="1:22" s="32" customFormat="1">
      <c r="A112" s="32" t="s">
        <v>933</v>
      </c>
      <c r="B112" s="32" t="s">
        <v>934</v>
      </c>
      <c r="C112" s="32" t="s">
        <v>1049</v>
      </c>
      <c r="D112" s="32" t="s">
        <v>936</v>
      </c>
      <c r="E112" s="62">
        <v>45545</v>
      </c>
      <c r="F112" s="32" t="s">
        <v>54</v>
      </c>
      <c r="G112" s="204">
        <v>-1063.51</v>
      </c>
      <c r="H112" s="204">
        <v>-1063.51</v>
      </c>
      <c r="J112" s="32" t="s">
        <v>937</v>
      </c>
      <c r="M112" s="62">
        <v>45545</v>
      </c>
      <c r="N112" s="62">
        <v>45546</v>
      </c>
      <c r="O112" s="32" t="s">
        <v>938</v>
      </c>
      <c r="P112" s="32">
        <v>205826</v>
      </c>
      <c r="Q112" s="32" t="s">
        <v>939</v>
      </c>
      <c r="V112" s="32" t="s">
        <v>34</v>
      </c>
    </row>
    <row r="113" spans="1:22" s="32" customFormat="1">
      <c r="A113" s="32" t="s">
        <v>933</v>
      </c>
      <c r="B113" s="32" t="s">
        <v>934</v>
      </c>
      <c r="C113" s="32" t="s">
        <v>1050</v>
      </c>
      <c r="D113" s="32" t="s">
        <v>936</v>
      </c>
      <c r="E113" s="62">
        <v>45545</v>
      </c>
      <c r="F113" s="32" t="s">
        <v>54</v>
      </c>
      <c r="G113" s="204">
        <v>-1063.51</v>
      </c>
      <c r="H113" s="204">
        <v>-1063.51</v>
      </c>
      <c r="J113" s="32" t="s">
        <v>937</v>
      </c>
      <c r="M113" s="62">
        <v>45545</v>
      </c>
      <c r="N113" s="62">
        <v>45546</v>
      </c>
      <c r="O113" s="32" t="s">
        <v>938</v>
      </c>
      <c r="P113" s="32">
        <v>205826</v>
      </c>
      <c r="Q113" s="32" t="s">
        <v>939</v>
      </c>
      <c r="V113" s="32" t="s">
        <v>34</v>
      </c>
    </row>
    <row r="114" spans="1:22" s="32" customFormat="1">
      <c r="A114" s="32" t="s">
        <v>933</v>
      </c>
      <c r="B114" s="32" t="s">
        <v>934</v>
      </c>
      <c r="C114" s="32" t="s">
        <v>1051</v>
      </c>
      <c r="D114" s="32" t="s">
        <v>936</v>
      </c>
      <c r="E114" s="62">
        <v>45545</v>
      </c>
      <c r="F114" s="32" t="s">
        <v>54</v>
      </c>
      <c r="G114" s="204">
        <v>-1063.51</v>
      </c>
      <c r="H114" s="204">
        <v>-1063.51</v>
      </c>
      <c r="J114" s="32" t="s">
        <v>937</v>
      </c>
      <c r="M114" s="62">
        <v>45545</v>
      </c>
      <c r="N114" s="62">
        <v>45546</v>
      </c>
      <c r="O114" s="32" t="s">
        <v>938</v>
      </c>
      <c r="P114" s="32">
        <v>205826</v>
      </c>
      <c r="Q114" s="32" t="s">
        <v>939</v>
      </c>
      <c r="V114" s="32" t="s">
        <v>34</v>
      </c>
    </row>
    <row r="115" spans="1:22" s="32" customFormat="1">
      <c r="A115" s="32" t="s">
        <v>933</v>
      </c>
      <c r="B115" s="32" t="s">
        <v>934</v>
      </c>
      <c r="C115" s="32" t="s">
        <v>1052</v>
      </c>
      <c r="D115" s="32" t="s">
        <v>936</v>
      </c>
      <c r="E115" s="62">
        <v>45545</v>
      </c>
      <c r="F115" s="32" t="s">
        <v>54</v>
      </c>
      <c r="G115" s="204">
        <v>-1063.51</v>
      </c>
      <c r="H115" s="204">
        <v>-1063.51</v>
      </c>
      <c r="J115" s="32" t="s">
        <v>937</v>
      </c>
      <c r="M115" s="62">
        <v>45545</v>
      </c>
      <c r="N115" s="62">
        <v>45546</v>
      </c>
      <c r="O115" s="32" t="s">
        <v>938</v>
      </c>
      <c r="P115" s="32">
        <v>205826</v>
      </c>
      <c r="Q115" s="32" t="s">
        <v>939</v>
      </c>
      <c r="V115" s="32" t="s">
        <v>34</v>
      </c>
    </row>
    <row r="116" spans="1:22" s="32" customFormat="1">
      <c r="A116" s="32" t="s">
        <v>933</v>
      </c>
      <c r="B116" s="32" t="s">
        <v>934</v>
      </c>
      <c r="C116" s="32" t="s">
        <v>1053</v>
      </c>
      <c r="D116" s="32" t="s">
        <v>936</v>
      </c>
      <c r="E116" s="62">
        <v>45545</v>
      </c>
      <c r="F116" s="32" t="s">
        <v>54</v>
      </c>
      <c r="G116" s="204">
        <v>-1063.51</v>
      </c>
      <c r="H116" s="204">
        <v>-1063.51</v>
      </c>
      <c r="J116" s="32" t="s">
        <v>937</v>
      </c>
      <c r="M116" s="62">
        <v>45545</v>
      </c>
      <c r="N116" s="62">
        <v>45546</v>
      </c>
      <c r="O116" s="32" t="s">
        <v>938</v>
      </c>
      <c r="P116" s="32">
        <v>205826</v>
      </c>
      <c r="Q116" s="32" t="s">
        <v>939</v>
      </c>
      <c r="V116" s="32" t="s">
        <v>34</v>
      </c>
    </row>
    <row r="117" spans="1:22" s="32" customFormat="1">
      <c r="A117" s="32" t="s">
        <v>933</v>
      </c>
      <c r="B117" s="32" t="s">
        <v>934</v>
      </c>
      <c r="C117" s="32" t="s">
        <v>1054</v>
      </c>
      <c r="D117" s="32" t="s">
        <v>936</v>
      </c>
      <c r="E117" s="62">
        <v>45545</v>
      </c>
      <c r="F117" s="32" t="s">
        <v>54</v>
      </c>
      <c r="G117" s="204">
        <v>-1063.51</v>
      </c>
      <c r="H117" s="204">
        <v>-1063.51</v>
      </c>
      <c r="J117" s="32" t="s">
        <v>937</v>
      </c>
      <c r="M117" s="62">
        <v>45545</v>
      </c>
      <c r="N117" s="62">
        <v>45546</v>
      </c>
      <c r="O117" s="32" t="s">
        <v>938</v>
      </c>
      <c r="P117" s="32">
        <v>205826</v>
      </c>
      <c r="Q117" s="32" t="s">
        <v>939</v>
      </c>
      <c r="V117" s="32" t="s">
        <v>34</v>
      </c>
    </row>
    <row r="118" spans="1:22" s="32" customFormat="1">
      <c r="A118" s="32" t="s">
        <v>933</v>
      </c>
      <c r="B118" s="32" t="s">
        <v>934</v>
      </c>
      <c r="C118" s="32" t="s">
        <v>1055</v>
      </c>
      <c r="D118" s="32" t="s">
        <v>936</v>
      </c>
      <c r="E118" s="62">
        <v>45545</v>
      </c>
      <c r="F118" s="32" t="s">
        <v>54</v>
      </c>
      <c r="G118" s="204">
        <v>-1063.51</v>
      </c>
      <c r="H118" s="204">
        <v>-1063.51</v>
      </c>
      <c r="J118" s="32" t="s">
        <v>937</v>
      </c>
      <c r="M118" s="62">
        <v>45545</v>
      </c>
      <c r="N118" s="62">
        <v>45546</v>
      </c>
      <c r="O118" s="32" t="s">
        <v>938</v>
      </c>
      <c r="P118" s="32">
        <v>205826</v>
      </c>
      <c r="Q118" s="32" t="s">
        <v>939</v>
      </c>
      <c r="V118" s="32" t="s">
        <v>34</v>
      </c>
    </row>
    <row r="119" spans="1:22" s="32" customFormat="1">
      <c r="A119" s="32" t="s">
        <v>933</v>
      </c>
      <c r="B119" s="32" t="s">
        <v>934</v>
      </c>
      <c r="C119" s="32" t="s">
        <v>1056</v>
      </c>
      <c r="D119" s="32" t="s">
        <v>936</v>
      </c>
      <c r="E119" s="62">
        <v>45545</v>
      </c>
      <c r="F119" s="32" t="s">
        <v>54</v>
      </c>
      <c r="G119" s="204">
        <v>-1063.51</v>
      </c>
      <c r="H119" s="204">
        <v>-1063.51</v>
      </c>
      <c r="J119" s="32" t="s">
        <v>937</v>
      </c>
      <c r="M119" s="62">
        <v>45545</v>
      </c>
      <c r="N119" s="62">
        <v>45546</v>
      </c>
      <c r="O119" s="32" t="s">
        <v>938</v>
      </c>
      <c r="P119" s="32">
        <v>205826</v>
      </c>
      <c r="Q119" s="32" t="s">
        <v>939</v>
      </c>
      <c r="V119" s="32" t="s">
        <v>34</v>
      </c>
    </row>
    <row r="120" spans="1:22" s="32" customFormat="1">
      <c r="A120" s="32" t="s">
        <v>933</v>
      </c>
      <c r="B120" s="32" t="s">
        <v>934</v>
      </c>
      <c r="C120" s="32" t="s">
        <v>1057</v>
      </c>
      <c r="D120" s="32" t="s">
        <v>936</v>
      </c>
      <c r="E120" s="62">
        <v>45545</v>
      </c>
      <c r="F120" s="32" t="s">
        <v>54</v>
      </c>
      <c r="G120" s="204">
        <v>-1063.51</v>
      </c>
      <c r="H120" s="204">
        <v>-1063.51</v>
      </c>
      <c r="J120" s="32" t="s">
        <v>937</v>
      </c>
      <c r="M120" s="62">
        <v>45545</v>
      </c>
      <c r="N120" s="62">
        <v>45546</v>
      </c>
      <c r="O120" s="32" t="s">
        <v>938</v>
      </c>
      <c r="P120" s="32">
        <v>205826</v>
      </c>
      <c r="Q120" s="32" t="s">
        <v>939</v>
      </c>
      <c r="V120" s="32" t="s">
        <v>34</v>
      </c>
    </row>
    <row r="121" spans="1:22" s="32" customFormat="1">
      <c r="A121" s="32" t="s">
        <v>933</v>
      </c>
      <c r="B121" s="32" t="s">
        <v>934</v>
      </c>
      <c r="C121" s="32" t="s">
        <v>1058</v>
      </c>
      <c r="D121" s="32" t="s">
        <v>936</v>
      </c>
      <c r="E121" s="62">
        <v>45545</v>
      </c>
      <c r="F121" s="32" t="s">
        <v>54</v>
      </c>
      <c r="G121" s="204">
        <v>-1063.51</v>
      </c>
      <c r="H121" s="204">
        <v>-1063.51</v>
      </c>
      <c r="J121" s="32" t="s">
        <v>937</v>
      </c>
      <c r="M121" s="62">
        <v>45545</v>
      </c>
      <c r="N121" s="62">
        <v>45546</v>
      </c>
      <c r="O121" s="32" t="s">
        <v>938</v>
      </c>
      <c r="P121" s="32">
        <v>205826</v>
      </c>
      <c r="Q121" s="32" t="s">
        <v>939</v>
      </c>
      <c r="V121" s="32" t="s">
        <v>34</v>
      </c>
    </row>
    <row r="122" spans="1:22" s="32" customFormat="1">
      <c r="A122" s="32" t="s">
        <v>933</v>
      </c>
      <c r="B122" s="32" t="s">
        <v>934</v>
      </c>
      <c r="C122" s="32" t="s">
        <v>1059</v>
      </c>
      <c r="D122" s="32" t="s">
        <v>936</v>
      </c>
      <c r="E122" s="62">
        <v>45545</v>
      </c>
      <c r="F122" s="32" t="s">
        <v>54</v>
      </c>
      <c r="G122" s="204">
        <v>-1063.51</v>
      </c>
      <c r="H122" s="204">
        <v>-1063.51</v>
      </c>
      <c r="J122" s="32" t="s">
        <v>937</v>
      </c>
      <c r="M122" s="62">
        <v>45545</v>
      </c>
      <c r="N122" s="62">
        <v>45546</v>
      </c>
      <c r="O122" s="32" t="s">
        <v>938</v>
      </c>
      <c r="P122" s="32">
        <v>205826</v>
      </c>
      <c r="Q122" s="32" t="s">
        <v>939</v>
      </c>
      <c r="V122" s="32" t="s">
        <v>34</v>
      </c>
    </row>
    <row r="123" spans="1:22" s="32" customFormat="1">
      <c r="A123" s="32" t="s">
        <v>933</v>
      </c>
      <c r="B123" s="32" t="s">
        <v>934</v>
      </c>
      <c r="C123" s="32" t="s">
        <v>1060</v>
      </c>
      <c r="D123" s="32" t="s">
        <v>936</v>
      </c>
      <c r="E123" s="62">
        <v>45545</v>
      </c>
      <c r="F123" s="32" t="s">
        <v>54</v>
      </c>
      <c r="G123" s="204">
        <v>-1063.51</v>
      </c>
      <c r="H123" s="204">
        <v>-1063.51</v>
      </c>
      <c r="J123" s="32" t="s">
        <v>937</v>
      </c>
      <c r="M123" s="62">
        <v>45545</v>
      </c>
      <c r="N123" s="62">
        <v>45546</v>
      </c>
      <c r="O123" s="32" t="s">
        <v>938</v>
      </c>
      <c r="P123" s="32">
        <v>205826</v>
      </c>
      <c r="Q123" s="32" t="s">
        <v>939</v>
      </c>
      <c r="V123" s="32" t="s">
        <v>34</v>
      </c>
    </row>
    <row r="124" spans="1:22" s="32" customFormat="1">
      <c r="A124" s="32" t="s">
        <v>933</v>
      </c>
      <c r="B124" s="32" t="s">
        <v>934</v>
      </c>
      <c r="C124" s="32" t="s">
        <v>1061</v>
      </c>
      <c r="D124" s="32" t="s">
        <v>936</v>
      </c>
      <c r="E124" s="62">
        <v>45545</v>
      </c>
      <c r="F124" s="32" t="s">
        <v>54</v>
      </c>
      <c r="G124" s="204">
        <v>-1063.51</v>
      </c>
      <c r="H124" s="204">
        <v>-1063.51</v>
      </c>
      <c r="J124" s="32" t="s">
        <v>937</v>
      </c>
      <c r="M124" s="62">
        <v>45545</v>
      </c>
      <c r="N124" s="62">
        <v>45546</v>
      </c>
      <c r="O124" s="32" t="s">
        <v>938</v>
      </c>
      <c r="P124" s="32">
        <v>205826</v>
      </c>
      <c r="Q124" s="32" t="s">
        <v>939</v>
      </c>
      <c r="V124" s="32" t="s">
        <v>34</v>
      </c>
    </row>
    <row r="125" spans="1:22" s="32" customFormat="1">
      <c r="A125" s="32" t="s">
        <v>933</v>
      </c>
      <c r="B125" s="32" t="s">
        <v>934</v>
      </c>
      <c r="C125" s="32" t="s">
        <v>1062</v>
      </c>
      <c r="D125" s="32" t="s">
        <v>936</v>
      </c>
      <c r="E125" s="62">
        <v>45545</v>
      </c>
      <c r="F125" s="32" t="s">
        <v>54</v>
      </c>
      <c r="G125" s="204">
        <v>-1063.51</v>
      </c>
      <c r="H125" s="204">
        <v>-1063.51</v>
      </c>
      <c r="J125" s="32" t="s">
        <v>937</v>
      </c>
      <c r="M125" s="62">
        <v>45545</v>
      </c>
      <c r="N125" s="62">
        <v>45546</v>
      </c>
      <c r="O125" s="32" t="s">
        <v>938</v>
      </c>
      <c r="P125" s="32">
        <v>205826</v>
      </c>
      <c r="Q125" s="32" t="s">
        <v>939</v>
      </c>
      <c r="V125" s="32" t="s">
        <v>34</v>
      </c>
    </row>
    <row r="126" spans="1:22" s="32" customFormat="1">
      <c r="A126" s="32" t="s">
        <v>933</v>
      </c>
      <c r="B126" s="32" t="s">
        <v>934</v>
      </c>
      <c r="C126" s="32" t="s">
        <v>1063</v>
      </c>
      <c r="D126" s="32" t="s">
        <v>936</v>
      </c>
      <c r="E126" s="62">
        <v>45545</v>
      </c>
      <c r="F126" s="32" t="s">
        <v>54</v>
      </c>
      <c r="G126" s="204">
        <v>-1491.3</v>
      </c>
      <c r="H126" s="204">
        <v>-1491.3</v>
      </c>
      <c r="J126" s="32" t="s">
        <v>937</v>
      </c>
      <c r="M126" s="62">
        <v>45545</v>
      </c>
      <c r="N126" s="62">
        <v>45546</v>
      </c>
      <c r="O126" s="32" t="s">
        <v>938</v>
      </c>
      <c r="P126" s="32">
        <v>205826</v>
      </c>
      <c r="Q126" s="32" t="s">
        <v>939</v>
      </c>
      <c r="V126" s="32" t="s">
        <v>34</v>
      </c>
    </row>
    <row r="127" spans="1:22" s="32" customFormat="1">
      <c r="A127" s="32" t="s">
        <v>933</v>
      </c>
      <c r="B127" s="32" t="s">
        <v>934</v>
      </c>
      <c r="C127" s="32" t="s">
        <v>1064</v>
      </c>
      <c r="D127" s="32" t="s">
        <v>936</v>
      </c>
      <c r="E127" s="62">
        <v>45545</v>
      </c>
      <c r="F127" s="32" t="s">
        <v>54</v>
      </c>
      <c r="G127" s="204">
        <v>-1063.51</v>
      </c>
      <c r="H127" s="204">
        <v>-1063.51</v>
      </c>
      <c r="J127" s="32" t="s">
        <v>937</v>
      </c>
      <c r="M127" s="62">
        <v>45545</v>
      </c>
      <c r="N127" s="62">
        <v>45546</v>
      </c>
      <c r="O127" s="32" t="s">
        <v>938</v>
      </c>
      <c r="P127" s="32">
        <v>205826</v>
      </c>
      <c r="Q127" s="32" t="s">
        <v>939</v>
      </c>
      <c r="V127" s="32" t="s">
        <v>34</v>
      </c>
    </row>
    <row r="128" spans="1:22" s="32" customFormat="1">
      <c r="A128" s="32" t="s">
        <v>933</v>
      </c>
      <c r="B128" s="32" t="s">
        <v>934</v>
      </c>
      <c r="C128" s="32" t="s">
        <v>1065</v>
      </c>
      <c r="D128" s="32" t="s">
        <v>936</v>
      </c>
      <c r="E128" s="62">
        <v>45545</v>
      </c>
      <c r="F128" s="32" t="s">
        <v>54</v>
      </c>
      <c r="G128" s="204">
        <v>-1063.51</v>
      </c>
      <c r="H128" s="204">
        <v>-1063.51</v>
      </c>
      <c r="J128" s="32" t="s">
        <v>937</v>
      </c>
      <c r="M128" s="62">
        <v>45545</v>
      </c>
      <c r="N128" s="62">
        <v>45546</v>
      </c>
      <c r="O128" s="32" t="s">
        <v>938</v>
      </c>
      <c r="P128" s="32">
        <v>205826</v>
      </c>
      <c r="Q128" s="32" t="s">
        <v>939</v>
      </c>
      <c r="V128" s="32" t="s">
        <v>34</v>
      </c>
    </row>
    <row r="129" spans="1:22" s="32" customFormat="1">
      <c r="A129" s="32" t="s">
        <v>933</v>
      </c>
      <c r="B129" s="32" t="s">
        <v>934</v>
      </c>
      <c r="C129" s="32" t="s">
        <v>1066</v>
      </c>
      <c r="D129" s="32" t="s">
        <v>936</v>
      </c>
      <c r="E129" s="62">
        <v>45545</v>
      </c>
      <c r="F129" s="32" t="s">
        <v>54</v>
      </c>
      <c r="G129" s="204">
        <v>-1063.51</v>
      </c>
      <c r="H129" s="204">
        <v>-1063.51</v>
      </c>
      <c r="J129" s="32" t="s">
        <v>937</v>
      </c>
      <c r="M129" s="62">
        <v>45545</v>
      </c>
      <c r="N129" s="62">
        <v>45546</v>
      </c>
      <c r="O129" s="32" t="s">
        <v>938</v>
      </c>
      <c r="P129" s="32">
        <v>205826</v>
      </c>
      <c r="Q129" s="32" t="s">
        <v>939</v>
      </c>
      <c r="V129" s="32" t="s">
        <v>34</v>
      </c>
    </row>
    <row r="130" spans="1:22" s="32" customFormat="1">
      <c r="A130" s="32" t="s">
        <v>933</v>
      </c>
      <c r="B130" s="32" t="s">
        <v>934</v>
      </c>
      <c r="C130" s="32" t="s">
        <v>1067</v>
      </c>
      <c r="D130" s="32" t="s">
        <v>936</v>
      </c>
      <c r="E130" s="62">
        <v>45545</v>
      </c>
      <c r="F130" s="32" t="s">
        <v>54</v>
      </c>
      <c r="G130" s="204">
        <v>-1063.51</v>
      </c>
      <c r="H130" s="204">
        <v>-1063.51</v>
      </c>
      <c r="J130" s="32" t="s">
        <v>937</v>
      </c>
      <c r="M130" s="62">
        <v>45545</v>
      </c>
      <c r="N130" s="62">
        <v>45546</v>
      </c>
      <c r="O130" s="32" t="s">
        <v>938</v>
      </c>
      <c r="P130" s="32">
        <v>205826</v>
      </c>
      <c r="Q130" s="32" t="s">
        <v>939</v>
      </c>
      <c r="V130" s="32" t="s">
        <v>34</v>
      </c>
    </row>
    <row r="131" spans="1:22" s="32" customFormat="1">
      <c r="A131" s="32" t="s">
        <v>933</v>
      </c>
      <c r="B131" s="32" t="s">
        <v>934</v>
      </c>
      <c r="C131" s="32" t="s">
        <v>1068</v>
      </c>
      <c r="D131" s="32" t="s">
        <v>936</v>
      </c>
      <c r="E131" s="62">
        <v>45545</v>
      </c>
      <c r="F131" s="32" t="s">
        <v>54</v>
      </c>
      <c r="G131" s="204">
        <v>-1063.51</v>
      </c>
      <c r="H131" s="204">
        <v>-1063.51</v>
      </c>
      <c r="J131" s="32" t="s">
        <v>937</v>
      </c>
      <c r="M131" s="62">
        <v>45545</v>
      </c>
      <c r="N131" s="62">
        <v>45546</v>
      </c>
      <c r="O131" s="32" t="s">
        <v>938</v>
      </c>
      <c r="P131" s="32">
        <v>205826</v>
      </c>
      <c r="Q131" s="32" t="s">
        <v>939</v>
      </c>
      <c r="V131" s="32" t="s">
        <v>34</v>
      </c>
    </row>
    <row r="132" spans="1:22" s="32" customFormat="1">
      <c r="A132" s="32" t="s">
        <v>933</v>
      </c>
      <c r="B132" s="32" t="s">
        <v>934</v>
      </c>
      <c r="C132" s="32" t="s">
        <v>1069</v>
      </c>
      <c r="D132" s="32" t="s">
        <v>936</v>
      </c>
      <c r="E132" s="62">
        <v>45545</v>
      </c>
      <c r="F132" s="32" t="s">
        <v>54</v>
      </c>
      <c r="G132" s="204">
        <v>-1063.51</v>
      </c>
      <c r="H132" s="204">
        <v>-1063.51</v>
      </c>
      <c r="J132" s="32" t="s">
        <v>937</v>
      </c>
      <c r="M132" s="62">
        <v>45545</v>
      </c>
      <c r="N132" s="62">
        <v>45546</v>
      </c>
      <c r="O132" s="32" t="s">
        <v>938</v>
      </c>
      <c r="P132" s="32">
        <v>205826</v>
      </c>
      <c r="Q132" s="32" t="s">
        <v>939</v>
      </c>
      <c r="V132" s="32" t="s">
        <v>34</v>
      </c>
    </row>
    <row r="133" spans="1:22" s="32" customFormat="1">
      <c r="A133" s="32" t="s">
        <v>933</v>
      </c>
      <c r="B133" s="32" t="s">
        <v>934</v>
      </c>
      <c r="C133" s="32" t="s">
        <v>1070</v>
      </c>
      <c r="D133" s="32" t="s">
        <v>936</v>
      </c>
      <c r="E133" s="62">
        <v>45545</v>
      </c>
      <c r="F133" s="32" t="s">
        <v>54</v>
      </c>
      <c r="G133" s="204">
        <v>-1047.8900000000001</v>
      </c>
      <c r="H133" s="204">
        <v>-1047.8900000000001</v>
      </c>
      <c r="J133" s="32" t="s">
        <v>937</v>
      </c>
      <c r="M133" s="62">
        <v>45545</v>
      </c>
      <c r="N133" s="62">
        <v>45546</v>
      </c>
      <c r="O133" s="32" t="s">
        <v>938</v>
      </c>
      <c r="P133" s="32">
        <v>205826</v>
      </c>
      <c r="Q133" s="32" t="s">
        <v>939</v>
      </c>
      <c r="V133" s="32" t="s">
        <v>34</v>
      </c>
    </row>
    <row r="134" spans="1:22" s="32" customFormat="1">
      <c r="A134" s="32" t="s">
        <v>933</v>
      </c>
      <c r="B134" s="32" t="s">
        <v>934</v>
      </c>
      <c r="C134" s="32" t="s">
        <v>1071</v>
      </c>
      <c r="D134" s="32" t="s">
        <v>936</v>
      </c>
      <c r="E134" s="62">
        <v>45545</v>
      </c>
      <c r="F134" s="32" t="s">
        <v>54</v>
      </c>
      <c r="G134" s="204">
        <v>-1063.51</v>
      </c>
      <c r="H134" s="204">
        <v>-1063.51</v>
      </c>
      <c r="J134" s="32" t="s">
        <v>937</v>
      </c>
      <c r="M134" s="62">
        <v>45545</v>
      </c>
      <c r="N134" s="62">
        <v>45546</v>
      </c>
      <c r="O134" s="32" t="s">
        <v>938</v>
      </c>
      <c r="P134" s="32">
        <v>205826</v>
      </c>
      <c r="Q134" s="32" t="s">
        <v>939</v>
      </c>
      <c r="V134" s="32" t="s">
        <v>34</v>
      </c>
    </row>
    <row r="135" spans="1:22" s="32" customFormat="1">
      <c r="A135" s="32" t="s">
        <v>933</v>
      </c>
      <c r="B135" s="32" t="s">
        <v>934</v>
      </c>
      <c r="C135" s="32" t="s">
        <v>1072</v>
      </c>
      <c r="D135" s="32" t="s">
        <v>936</v>
      </c>
      <c r="E135" s="62">
        <v>45545</v>
      </c>
      <c r="F135" s="32" t="s">
        <v>54</v>
      </c>
      <c r="G135" s="204">
        <v>-1063.51</v>
      </c>
      <c r="H135" s="204">
        <v>-1063.51</v>
      </c>
      <c r="J135" s="32" t="s">
        <v>937</v>
      </c>
      <c r="M135" s="62">
        <v>45545</v>
      </c>
      <c r="N135" s="62">
        <v>45546</v>
      </c>
      <c r="O135" s="32" t="s">
        <v>938</v>
      </c>
      <c r="P135" s="32">
        <v>205826</v>
      </c>
      <c r="Q135" s="32" t="s">
        <v>939</v>
      </c>
      <c r="V135" s="32" t="s">
        <v>34</v>
      </c>
    </row>
    <row r="136" spans="1:22" s="32" customFormat="1">
      <c r="A136" s="32" t="s">
        <v>933</v>
      </c>
      <c r="B136" s="32" t="s">
        <v>934</v>
      </c>
      <c r="C136" s="32" t="s">
        <v>1073</v>
      </c>
      <c r="D136" s="32" t="s">
        <v>936</v>
      </c>
      <c r="E136" s="62">
        <v>45545</v>
      </c>
      <c r="F136" s="32" t="s">
        <v>54</v>
      </c>
      <c r="G136" s="204">
        <v>-1063.51</v>
      </c>
      <c r="H136" s="204">
        <v>-1063.51</v>
      </c>
      <c r="J136" s="32" t="s">
        <v>937</v>
      </c>
      <c r="M136" s="62">
        <v>45545</v>
      </c>
      <c r="N136" s="62">
        <v>45546</v>
      </c>
      <c r="O136" s="32" t="s">
        <v>938</v>
      </c>
      <c r="P136" s="32">
        <v>205826</v>
      </c>
      <c r="Q136" s="32" t="s">
        <v>939</v>
      </c>
      <c r="V136" s="32" t="s">
        <v>34</v>
      </c>
    </row>
    <row r="137" spans="1:22" s="32" customFormat="1">
      <c r="A137" s="32" t="s">
        <v>933</v>
      </c>
      <c r="B137" s="32" t="s">
        <v>934</v>
      </c>
      <c r="C137" s="32" t="s">
        <v>1074</v>
      </c>
      <c r="D137" s="32" t="s">
        <v>936</v>
      </c>
      <c r="E137" s="62">
        <v>45545</v>
      </c>
      <c r="F137" s="32" t="s">
        <v>54</v>
      </c>
      <c r="G137" s="204">
        <v>-1063.51</v>
      </c>
      <c r="H137" s="204">
        <v>-1063.51</v>
      </c>
      <c r="J137" s="32" t="s">
        <v>937</v>
      </c>
      <c r="M137" s="62">
        <v>45545</v>
      </c>
      <c r="N137" s="62">
        <v>45546</v>
      </c>
      <c r="O137" s="32" t="s">
        <v>938</v>
      </c>
      <c r="P137" s="32">
        <v>205826</v>
      </c>
      <c r="Q137" s="32" t="s">
        <v>939</v>
      </c>
      <c r="V137" s="32" t="s">
        <v>34</v>
      </c>
    </row>
    <row r="138" spans="1:22" s="32" customFormat="1">
      <c r="A138" s="32" t="s">
        <v>933</v>
      </c>
      <c r="B138" s="32" t="s">
        <v>934</v>
      </c>
      <c r="C138" s="32" t="s">
        <v>1075</v>
      </c>
      <c r="D138" s="32" t="s">
        <v>936</v>
      </c>
      <c r="E138" s="62">
        <v>45545</v>
      </c>
      <c r="F138" s="32" t="s">
        <v>54</v>
      </c>
      <c r="G138" s="204">
        <v>-1063.51</v>
      </c>
      <c r="H138" s="204">
        <v>-1063.51</v>
      </c>
      <c r="J138" s="32" t="s">
        <v>937</v>
      </c>
      <c r="M138" s="62">
        <v>45545</v>
      </c>
      <c r="N138" s="62">
        <v>45546</v>
      </c>
      <c r="O138" s="32" t="s">
        <v>938</v>
      </c>
      <c r="P138" s="32">
        <v>205826</v>
      </c>
      <c r="Q138" s="32" t="s">
        <v>939</v>
      </c>
      <c r="V138" s="32" t="s">
        <v>34</v>
      </c>
    </row>
    <row r="139" spans="1:22" s="32" customFormat="1">
      <c r="A139" s="32" t="s">
        <v>933</v>
      </c>
      <c r="B139" s="32" t="s">
        <v>934</v>
      </c>
      <c r="C139" s="32" t="s">
        <v>1076</v>
      </c>
      <c r="D139" s="32" t="s">
        <v>936</v>
      </c>
      <c r="E139" s="62">
        <v>45545</v>
      </c>
      <c r="F139" s="32" t="s">
        <v>54</v>
      </c>
      <c r="G139" s="204">
        <v>-1063.51</v>
      </c>
      <c r="H139" s="204">
        <v>-1063.51</v>
      </c>
      <c r="J139" s="32" t="s">
        <v>937</v>
      </c>
      <c r="M139" s="62">
        <v>45545</v>
      </c>
      <c r="N139" s="62">
        <v>45546</v>
      </c>
      <c r="O139" s="32" t="s">
        <v>938</v>
      </c>
      <c r="P139" s="32">
        <v>205826</v>
      </c>
      <c r="Q139" s="32" t="s">
        <v>939</v>
      </c>
      <c r="V139" s="32" t="s">
        <v>34</v>
      </c>
    </row>
    <row r="140" spans="1:22" s="32" customFormat="1">
      <c r="A140" s="32" t="s">
        <v>933</v>
      </c>
      <c r="B140" s="32" t="s">
        <v>934</v>
      </c>
      <c r="C140" s="32" t="s">
        <v>1077</v>
      </c>
      <c r="D140" s="32" t="s">
        <v>936</v>
      </c>
      <c r="E140" s="62">
        <v>45545</v>
      </c>
      <c r="F140" s="32" t="s">
        <v>54</v>
      </c>
      <c r="G140" s="204">
        <v>-1063.51</v>
      </c>
      <c r="H140" s="204">
        <v>-1063.51</v>
      </c>
      <c r="J140" s="32" t="s">
        <v>937</v>
      </c>
      <c r="M140" s="62">
        <v>45545</v>
      </c>
      <c r="N140" s="62">
        <v>45546</v>
      </c>
      <c r="O140" s="32" t="s">
        <v>938</v>
      </c>
      <c r="P140" s="32">
        <v>205826</v>
      </c>
      <c r="Q140" s="32" t="s">
        <v>939</v>
      </c>
      <c r="V140" s="32" t="s">
        <v>34</v>
      </c>
    </row>
    <row r="141" spans="1:22" s="32" customFormat="1">
      <c r="A141" s="32" t="s">
        <v>933</v>
      </c>
      <c r="B141" s="32" t="s">
        <v>934</v>
      </c>
      <c r="C141" s="32" t="s">
        <v>1078</v>
      </c>
      <c r="D141" s="32" t="s">
        <v>936</v>
      </c>
      <c r="E141" s="62">
        <v>45545</v>
      </c>
      <c r="F141" s="32" t="s">
        <v>54</v>
      </c>
      <c r="G141" s="204">
        <v>-1063.51</v>
      </c>
      <c r="H141" s="204">
        <v>-1063.51</v>
      </c>
      <c r="J141" s="32" t="s">
        <v>937</v>
      </c>
      <c r="M141" s="62">
        <v>45545</v>
      </c>
      <c r="N141" s="62">
        <v>45546</v>
      </c>
      <c r="O141" s="32" t="s">
        <v>938</v>
      </c>
      <c r="P141" s="32">
        <v>205826</v>
      </c>
      <c r="Q141" s="32" t="s">
        <v>939</v>
      </c>
      <c r="V141" s="32" t="s">
        <v>34</v>
      </c>
    </row>
    <row r="142" spans="1:22" s="32" customFormat="1">
      <c r="A142" s="32" t="s">
        <v>933</v>
      </c>
      <c r="B142" s="32" t="s">
        <v>934</v>
      </c>
      <c r="C142" s="32" t="s">
        <v>1079</v>
      </c>
      <c r="D142" s="32" t="s">
        <v>936</v>
      </c>
      <c r="E142" s="62">
        <v>45545</v>
      </c>
      <c r="F142" s="32" t="s">
        <v>54</v>
      </c>
      <c r="G142" s="204">
        <v>-1063.51</v>
      </c>
      <c r="H142" s="204">
        <v>-1063.51</v>
      </c>
      <c r="J142" s="32" t="s">
        <v>937</v>
      </c>
      <c r="M142" s="62">
        <v>45545</v>
      </c>
      <c r="N142" s="62">
        <v>45546</v>
      </c>
      <c r="O142" s="32" t="s">
        <v>938</v>
      </c>
      <c r="P142" s="32">
        <v>205826</v>
      </c>
      <c r="Q142" s="32" t="s">
        <v>939</v>
      </c>
      <c r="V142" s="32" t="s">
        <v>34</v>
      </c>
    </row>
    <row r="143" spans="1:22" s="32" customFormat="1">
      <c r="A143" s="32" t="s">
        <v>933</v>
      </c>
      <c r="B143" s="32" t="s">
        <v>934</v>
      </c>
      <c r="C143" s="32" t="s">
        <v>1080</v>
      </c>
      <c r="D143" s="32" t="s">
        <v>936</v>
      </c>
      <c r="E143" s="62">
        <v>45545</v>
      </c>
      <c r="F143" s="32" t="s">
        <v>54</v>
      </c>
      <c r="G143" s="204">
        <v>-1063.51</v>
      </c>
      <c r="H143" s="204">
        <v>-1063.51</v>
      </c>
      <c r="J143" s="32" t="s">
        <v>937</v>
      </c>
      <c r="M143" s="62">
        <v>45545</v>
      </c>
      <c r="N143" s="62">
        <v>45546</v>
      </c>
      <c r="O143" s="32" t="s">
        <v>938</v>
      </c>
      <c r="P143" s="32">
        <v>205826</v>
      </c>
      <c r="Q143" s="32" t="s">
        <v>939</v>
      </c>
      <c r="V143" s="32" t="s">
        <v>34</v>
      </c>
    </row>
    <row r="144" spans="1:22" s="32" customFormat="1">
      <c r="A144" s="32" t="s">
        <v>933</v>
      </c>
      <c r="B144" s="32" t="s">
        <v>934</v>
      </c>
      <c r="C144" s="32" t="s">
        <v>1081</v>
      </c>
      <c r="D144" s="32" t="s">
        <v>936</v>
      </c>
      <c r="E144" s="62">
        <v>45545</v>
      </c>
      <c r="F144" s="32" t="s">
        <v>54</v>
      </c>
      <c r="G144" s="204">
        <v>-1063.51</v>
      </c>
      <c r="H144" s="204">
        <v>-1063.51</v>
      </c>
      <c r="J144" s="32" t="s">
        <v>937</v>
      </c>
      <c r="M144" s="62">
        <v>45545</v>
      </c>
      <c r="N144" s="62">
        <v>45546</v>
      </c>
      <c r="O144" s="32" t="s">
        <v>938</v>
      </c>
      <c r="P144" s="32">
        <v>205826</v>
      </c>
      <c r="Q144" s="32" t="s">
        <v>939</v>
      </c>
      <c r="V144" s="32" t="s">
        <v>34</v>
      </c>
    </row>
    <row r="145" spans="1:22" s="32" customFormat="1" ht="15" customHeight="1">
      <c r="A145" s="32" t="s">
        <v>933</v>
      </c>
      <c r="B145" s="32" t="s">
        <v>934</v>
      </c>
      <c r="C145" s="32" t="s">
        <v>1082</v>
      </c>
      <c r="D145" s="32" t="s">
        <v>936</v>
      </c>
      <c r="E145" s="62">
        <v>45545</v>
      </c>
      <c r="F145" s="32" t="s">
        <v>54</v>
      </c>
      <c r="G145" s="204">
        <v>-1063.51</v>
      </c>
      <c r="H145" s="204">
        <v>-1063.51</v>
      </c>
      <c r="J145" s="32" t="s">
        <v>937</v>
      </c>
      <c r="M145" s="62">
        <v>45545</v>
      </c>
      <c r="N145" s="62">
        <v>45546</v>
      </c>
      <c r="O145" s="32" t="s">
        <v>938</v>
      </c>
      <c r="P145" s="32">
        <v>205826</v>
      </c>
      <c r="Q145" s="32" t="s">
        <v>939</v>
      </c>
      <c r="V145" s="32" t="s">
        <v>34</v>
      </c>
    </row>
    <row r="146" spans="1:22" s="32" customFormat="1">
      <c r="A146" s="32" t="s">
        <v>933</v>
      </c>
      <c r="B146" s="32" t="s">
        <v>934</v>
      </c>
      <c r="C146" s="32" t="s">
        <v>1083</v>
      </c>
      <c r="D146" s="32" t="s">
        <v>936</v>
      </c>
      <c r="E146" s="62">
        <v>45545</v>
      </c>
      <c r="F146" s="32" t="s">
        <v>54</v>
      </c>
      <c r="G146" s="204">
        <v>-1147.3499999999999</v>
      </c>
      <c r="H146" s="204">
        <v>-1147.3499999999999</v>
      </c>
      <c r="J146" s="32" t="s">
        <v>937</v>
      </c>
      <c r="M146" s="62">
        <v>45545</v>
      </c>
      <c r="N146" s="62">
        <v>45546</v>
      </c>
      <c r="O146" s="32" t="s">
        <v>938</v>
      </c>
      <c r="P146" s="32">
        <v>205826</v>
      </c>
      <c r="Q146" s="32" t="s">
        <v>939</v>
      </c>
      <c r="V146" s="32" t="s">
        <v>34</v>
      </c>
    </row>
    <row r="147" spans="1:22" s="32" customFormat="1">
      <c r="A147" s="32" t="s">
        <v>933</v>
      </c>
      <c r="B147" s="32" t="s">
        <v>934</v>
      </c>
      <c r="C147" s="32" t="s">
        <v>1084</v>
      </c>
      <c r="D147" s="32" t="s">
        <v>936</v>
      </c>
      <c r="E147" s="62">
        <v>45545</v>
      </c>
      <c r="F147" s="32" t="s">
        <v>54</v>
      </c>
      <c r="G147" s="204">
        <v>-1147.3499999999999</v>
      </c>
      <c r="H147" s="204">
        <v>-1147.3499999999999</v>
      </c>
      <c r="J147" s="32" t="s">
        <v>937</v>
      </c>
      <c r="M147" s="62">
        <v>45545</v>
      </c>
      <c r="N147" s="62">
        <v>45546</v>
      </c>
      <c r="O147" s="32" t="s">
        <v>938</v>
      </c>
      <c r="P147" s="32">
        <v>205826</v>
      </c>
      <c r="Q147" s="32" t="s">
        <v>939</v>
      </c>
      <c r="V147" s="32" t="s">
        <v>34</v>
      </c>
    </row>
    <row r="148" spans="1:22" s="32" customFormat="1">
      <c r="A148" s="32" t="s">
        <v>933</v>
      </c>
      <c r="B148" s="32" t="s">
        <v>934</v>
      </c>
      <c r="C148" s="32" t="s">
        <v>1085</v>
      </c>
      <c r="D148" s="32" t="s">
        <v>936</v>
      </c>
      <c r="E148" s="62">
        <v>45545</v>
      </c>
      <c r="F148" s="32" t="s">
        <v>54</v>
      </c>
      <c r="G148" s="204">
        <v>-1147.3499999999999</v>
      </c>
      <c r="H148" s="204">
        <v>-1147.3499999999999</v>
      </c>
      <c r="J148" s="32" t="s">
        <v>937</v>
      </c>
      <c r="M148" s="62">
        <v>45545</v>
      </c>
      <c r="N148" s="62">
        <v>45546</v>
      </c>
      <c r="O148" s="32" t="s">
        <v>938</v>
      </c>
      <c r="P148" s="32">
        <v>205826</v>
      </c>
      <c r="Q148" s="32" t="s">
        <v>939</v>
      </c>
      <c r="V148" s="32" t="s">
        <v>34</v>
      </c>
    </row>
    <row r="149" spans="1:22" s="32" customFormat="1">
      <c r="A149" s="32" t="s">
        <v>933</v>
      </c>
      <c r="B149" s="32" t="s">
        <v>934</v>
      </c>
      <c r="C149" s="32" t="s">
        <v>1086</v>
      </c>
      <c r="D149" s="32" t="s">
        <v>936</v>
      </c>
      <c r="E149" s="62">
        <v>45545</v>
      </c>
      <c r="F149" s="32" t="s">
        <v>54</v>
      </c>
      <c r="G149" s="204">
        <v>-1147.3499999999999</v>
      </c>
      <c r="H149" s="204">
        <v>-1147.3499999999999</v>
      </c>
      <c r="J149" s="32" t="s">
        <v>937</v>
      </c>
      <c r="M149" s="62">
        <v>45545</v>
      </c>
      <c r="N149" s="62">
        <v>45546</v>
      </c>
      <c r="O149" s="32" t="s">
        <v>938</v>
      </c>
      <c r="P149" s="32">
        <v>205826</v>
      </c>
      <c r="Q149" s="32" t="s">
        <v>939</v>
      </c>
      <c r="V149" s="32" t="s">
        <v>34</v>
      </c>
    </row>
    <row r="150" spans="1:22" s="32" customFormat="1">
      <c r="A150" s="32" t="s">
        <v>933</v>
      </c>
      <c r="B150" s="32" t="s">
        <v>934</v>
      </c>
      <c r="C150" s="32" t="s">
        <v>1087</v>
      </c>
      <c r="D150" s="32" t="s">
        <v>936</v>
      </c>
      <c r="E150" s="62">
        <v>45545</v>
      </c>
      <c r="F150" s="32" t="s">
        <v>54</v>
      </c>
      <c r="G150" s="204">
        <v>-1147.3499999999999</v>
      </c>
      <c r="H150" s="204">
        <v>-1147.3499999999999</v>
      </c>
      <c r="J150" s="32" t="s">
        <v>937</v>
      </c>
      <c r="M150" s="62">
        <v>45545</v>
      </c>
      <c r="N150" s="62">
        <v>45546</v>
      </c>
      <c r="O150" s="32" t="s">
        <v>938</v>
      </c>
      <c r="P150" s="32">
        <v>205826</v>
      </c>
      <c r="Q150" s="32" t="s">
        <v>939</v>
      </c>
      <c r="V150" s="32" t="s">
        <v>34</v>
      </c>
    </row>
    <row r="151" spans="1:22" s="32" customFormat="1">
      <c r="A151" s="32" t="s">
        <v>933</v>
      </c>
      <c r="B151" s="32" t="s">
        <v>934</v>
      </c>
      <c r="C151" s="32" t="s">
        <v>1088</v>
      </c>
      <c r="D151" s="32" t="s">
        <v>936</v>
      </c>
      <c r="E151" s="62">
        <v>45545</v>
      </c>
      <c r="F151" s="32" t="s">
        <v>54</v>
      </c>
      <c r="G151" s="204">
        <v>-1147.3499999999999</v>
      </c>
      <c r="H151" s="204">
        <v>-1147.3499999999999</v>
      </c>
      <c r="J151" s="32" t="s">
        <v>937</v>
      </c>
      <c r="M151" s="62">
        <v>45545</v>
      </c>
      <c r="N151" s="62">
        <v>45546</v>
      </c>
      <c r="O151" s="32" t="s">
        <v>938</v>
      </c>
      <c r="P151" s="32">
        <v>205826</v>
      </c>
      <c r="Q151" s="32" t="s">
        <v>939</v>
      </c>
      <c r="V151" s="32" t="s">
        <v>34</v>
      </c>
    </row>
    <row r="152" spans="1:22" s="32" customFormat="1">
      <c r="A152" s="32" t="s">
        <v>933</v>
      </c>
      <c r="B152" s="32" t="s">
        <v>934</v>
      </c>
      <c r="C152" s="32" t="s">
        <v>1089</v>
      </c>
      <c r="D152" s="32" t="s">
        <v>936</v>
      </c>
      <c r="E152" s="62">
        <v>45545</v>
      </c>
      <c r="F152" s="32" t="s">
        <v>54</v>
      </c>
      <c r="G152" s="204">
        <v>-1147.3499999999999</v>
      </c>
      <c r="H152" s="204">
        <v>-1147.3499999999999</v>
      </c>
      <c r="J152" s="32" t="s">
        <v>937</v>
      </c>
      <c r="M152" s="62">
        <v>45545</v>
      </c>
      <c r="N152" s="62">
        <v>45546</v>
      </c>
      <c r="O152" s="32" t="s">
        <v>938</v>
      </c>
      <c r="P152" s="32">
        <v>205826</v>
      </c>
      <c r="Q152" s="32" t="s">
        <v>939</v>
      </c>
      <c r="V152" s="32" t="s">
        <v>34</v>
      </c>
    </row>
    <row r="153" spans="1:22" s="32" customFormat="1">
      <c r="A153" s="32" t="s">
        <v>933</v>
      </c>
      <c r="B153" s="32" t="s">
        <v>934</v>
      </c>
      <c r="C153" s="32" t="s">
        <v>1090</v>
      </c>
      <c r="D153" s="32" t="s">
        <v>936</v>
      </c>
      <c r="E153" s="62">
        <v>45545</v>
      </c>
      <c r="F153" s="32" t="s">
        <v>54</v>
      </c>
      <c r="G153" s="204">
        <v>-1147.3499999999999</v>
      </c>
      <c r="H153" s="204">
        <v>-1147.3499999999999</v>
      </c>
      <c r="J153" s="32" t="s">
        <v>937</v>
      </c>
      <c r="M153" s="62">
        <v>45545</v>
      </c>
      <c r="N153" s="62">
        <v>45546</v>
      </c>
      <c r="O153" s="32" t="s">
        <v>938</v>
      </c>
      <c r="P153" s="32">
        <v>205826</v>
      </c>
      <c r="Q153" s="32" t="s">
        <v>939</v>
      </c>
      <c r="V153" s="32" t="s">
        <v>34</v>
      </c>
    </row>
    <row r="154" spans="1:22" s="32" customFormat="1">
      <c r="A154" s="32" t="s">
        <v>933</v>
      </c>
      <c r="B154" s="32" t="s">
        <v>934</v>
      </c>
      <c r="C154" s="32" t="s">
        <v>1091</v>
      </c>
      <c r="D154" s="32" t="s">
        <v>936</v>
      </c>
      <c r="E154" s="62">
        <v>45545</v>
      </c>
      <c r="F154" s="32" t="s">
        <v>54</v>
      </c>
      <c r="G154" s="204">
        <v>-1147.3499999999999</v>
      </c>
      <c r="H154" s="204">
        <v>-1147.3499999999999</v>
      </c>
      <c r="J154" s="32" t="s">
        <v>937</v>
      </c>
      <c r="M154" s="62">
        <v>45545</v>
      </c>
      <c r="N154" s="62">
        <v>45546</v>
      </c>
      <c r="O154" s="32" t="s">
        <v>938</v>
      </c>
      <c r="P154" s="32">
        <v>205826</v>
      </c>
      <c r="Q154" s="32" t="s">
        <v>939</v>
      </c>
      <c r="V154" s="32" t="s">
        <v>34</v>
      </c>
    </row>
    <row r="155" spans="1:22" s="32" customFormat="1">
      <c r="A155" s="32" t="s">
        <v>933</v>
      </c>
      <c r="B155" s="32" t="s">
        <v>934</v>
      </c>
      <c r="C155" s="32" t="s">
        <v>1092</v>
      </c>
      <c r="D155" s="32" t="s">
        <v>936</v>
      </c>
      <c r="E155" s="62">
        <v>45545</v>
      </c>
      <c r="F155" s="32" t="s">
        <v>54</v>
      </c>
      <c r="G155" s="204">
        <v>-1147.3499999999999</v>
      </c>
      <c r="H155" s="204">
        <v>-1147.3499999999999</v>
      </c>
      <c r="J155" s="32" t="s">
        <v>937</v>
      </c>
      <c r="M155" s="62">
        <v>45545</v>
      </c>
      <c r="N155" s="62">
        <v>45546</v>
      </c>
      <c r="O155" s="32" t="s">
        <v>938</v>
      </c>
      <c r="P155" s="32">
        <v>205826</v>
      </c>
      <c r="Q155" s="32" t="s">
        <v>939</v>
      </c>
      <c r="V155" s="32" t="s">
        <v>34</v>
      </c>
    </row>
    <row r="156" spans="1:22" s="32" customFormat="1">
      <c r="A156" s="32" t="s">
        <v>933</v>
      </c>
      <c r="B156" s="32" t="s">
        <v>934</v>
      </c>
      <c r="C156" s="32" t="s">
        <v>1093</v>
      </c>
      <c r="D156" s="32" t="s">
        <v>936</v>
      </c>
      <c r="E156" s="62">
        <v>45545</v>
      </c>
      <c r="F156" s="32" t="s">
        <v>54</v>
      </c>
      <c r="G156" s="204">
        <v>-1147.3499999999999</v>
      </c>
      <c r="H156" s="204">
        <v>-1147.3499999999999</v>
      </c>
      <c r="J156" s="32" t="s">
        <v>937</v>
      </c>
      <c r="M156" s="62">
        <v>45545</v>
      </c>
      <c r="N156" s="62">
        <v>45546</v>
      </c>
      <c r="O156" s="32" t="s">
        <v>938</v>
      </c>
      <c r="P156" s="32">
        <v>205826</v>
      </c>
      <c r="Q156" s="32" t="s">
        <v>939</v>
      </c>
      <c r="V156" s="32" t="s">
        <v>34</v>
      </c>
    </row>
    <row r="157" spans="1:22" s="32" customFormat="1">
      <c r="A157" s="32" t="s">
        <v>933</v>
      </c>
      <c r="B157" s="32" t="s">
        <v>934</v>
      </c>
      <c r="C157" s="32" t="s">
        <v>1094</v>
      </c>
      <c r="D157" s="32" t="s">
        <v>936</v>
      </c>
      <c r="E157" s="62">
        <v>45545</v>
      </c>
      <c r="F157" s="32" t="s">
        <v>54</v>
      </c>
      <c r="G157" s="204">
        <v>-1147.3499999999999</v>
      </c>
      <c r="H157" s="204">
        <v>-1147.3499999999999</v>
      </c>
      <c r="J157" s="32" t="s">
        <v>937</v>
      </c>
      <c r="M157" s="62">
        <v>45545</v>
      </c>
      <c r="N157" s="62">
        <v>45546</v>
      </c>
      <c r="O157" s="32" t="s">
        <v>938</v>
      </c>
      <c r="P157" s="32">
        <v>205826</v>
      </c>
      <c r="Q157" s="32" t="s">
        <v>939</v>
      </c>
      <c r="V157" s="32" t="s">
        <v>34</v>
      </c>
    </row>
    <row r="158" spans="1:22" s="32" customFormat="1">
      <c r="A158" s="32" t="s">
        <v>933</v>
      </c>
      <c r="B158" s="32" t="s">
        <v>934</v>
      </c>
      <c r="C158" s="32" t="s">
        <v>1095</v>
      </c>
      <c r="D158" s="32" t="s">
        <v>936</v>
      </c>
      <c r="E158" s="62">
        <v>45545</v>
      </c>
      <c r="F158" s="32" t="s">
        <v>54</v>
      </c>
      <c r="G158" s="204">
        <v>-1147.3499999999999</v>
      </c>
      <c r="H158" s="204">
        <v>-1147.3499999999999</v>
      </c>
      <c r="J158" s="32" t="s">
        <v>937</v>
      </c>
      <c r="M158" s="62">
        <v>45545</v>
      </c>
      <c r="N158" s="62">
        <v>45546</v>
      </c>
      <c r="O158" s="32" t="s">
        <v>938</v>
      </c>
      <c r="P158" s="32">
        <v>205826</v>
      </c>
      <c r="Q158" s="32" t="s">
        <v>939</v>
      </c>
      <c r="V158" s="32" t="s">
        <v>34</v>
      </c>
    </row>
    <row r="159" spans="1:22" s="32" customFormat="1">
      <c r="A159" s="32" t="s">
        <v>933</v>
      </c>
      <c r="B159" s="32" t="s">
        <v>934</v>
      </c>
      <c r="C159" s="32" t="s">
        <v>1096</v>
      </c>
      <c r="D159" s="32" t="s">
        <v>936</v>
      </c>
      <c r="E159" s="62">
        <v>45545</v>
      </c>
      <c r="F159" s="32" t="s">
        <v>54</v>
      </c>
      <c r="G159" s="204">
        <v>-1147.3499999999999</v>
      </c>
      <c r="H159" s="204">
        <v>-1147.3499999999999</v>
      </c>
      <c r="J159" s="32" t="s">
        <v>937</v>
      </c>
      <c r="M159" s="62">
        <v>45545</v>
      </c>
      <c r="N159" s="62">
        <v>45546</v>
      </c>
      <c r="O159" s="32" t="s">
        <v>938</v>
      </c>
      <c r="P159" s="32">
        <v>205826</v>
      </c>
      <c r="Q159" s="32" t="s">
        <v>939</v>
      </c>
      <c r="V159" s="32" t="s">
        <v>34</v>
      </c>
    </row>
    <row r="160" spans="1:22" s="32" customFormat="1">
      <c r="A160" s="32" t="s">
        <v>933</v>
      </c>
      <c r="B160" s="32" t="s">
        <v>934</v>
      </c>
      <c r="C160" s="32" t="s">
        <v>1097</v>
      </c>
      <c r="D160" s="32" t="s">
        <v>936</v>
      </c>
      <c r="E160" s="62">
        <v>45545</v>
      </c>
      <c r="F160" s="32" t="s">
        <v>54</v>
      </c>
      <c r="G160" s="204">
        <v>-1147.3499999999999</v>
      </c>
      <c r="H160" s="204">
        <v>-1147.3499999999999</v>
      </c>
      <c r="J160" s="32" t="s">
        <v>937</v>
      </c>
      <c r="M160" s="62">
        <v>45545</v>
      </c>
      <c r="N160" s="62">
        <v>45546</v>
      </c>
      <c r="O160" s="32" t="s">
        <v>938</v>
      </c>
      <c r="P160" s="32">
        <v>205826</v>
      </c>
      <c r="Q160" s="32" t="s">
        <v>939</v>
      </c>
      <c r="V160" s="32" t="s">
        <v>34</v>
      </c>
    </row>
    <row r="161" spans="1:22" s="32" customFormat="1">
      <c r="A161" s="32" t="s">
        <v>933</v>
      </c>
      <c r="B161" s="32" t="s">
        <v>934</v>
      </c>
      <c r="C161" s="32" t="s">
        <v>1098</v>
      </c>
      <c r="D161" s="32" t="s">
        <v>936</v>
      </c>
      <c r="E161" s="62">
        <v>45545</v>
      </c>
      <c r="F161" s="32" t="s">
        <v>54</v>
      </c>
      <c r="G161" s="204">
        <v>-1147.3499999999999</v>
      </c>
      <c r="H161" s="204">
        <v>-1147.3499999999999</v>
      </c>
      <c r="J161" s="32" t="s">
        <v>937</v>
      </c>
      <c r="M161" s="62">
        <v>45545</v>
      </c>
      <c r="N161" s="62">
        <v>45546</v>
      </c>
      <c r="O161" s="32" t="s">
        <v>938</v>
      </c>
      <c r="P161" s="32">
        <v>205826</v>
      </c>
      <c r="Q161" s="32" t="s">
        <v>939</v>
      </c>
      <c r="V161" s="32" t="s">
        <v>34</v>
      </c>
    </row>
    <row r="162" spans="1:22" s="32" customFormat="1">
      <c r="A162" s="32" t="s">
        <v>933</v>
      </c>
      <c r="B162" s="32" t="s">
        <v>934</v>
      </c>
      <c r="C162" s="32" t="s">
        <v>1099</v>
      </c>
      <c r="D162" s="32" t="s">
        <v>936</v>
      </c>
      <c r="E162" s="62">
        <v>45545</v>
      </c>
      <c r="F162" s="32" t="s">
        <v>54</v>
      </c>
      <c r="G162" s="204">
        <v>-1147.3499999999999</v>
      </c>
      <c r="H162" s="204">
        <v>-1147.3499999999999</v>
      </c>
      <c r="J162" s="32" t="s">
        <v>937</v>
      </c>
      <c r="M162" s="62">
        <v>45545</v>
      </c>
      <c r="N162" s="62">
        <v>45546</v>
      </c>
      <c r="O162" s="32" t="s">
        <v>938</v>
      </c>
      <c r="P162" s="32">
        <v>205826</v>
      </c>
      <c r="Q162" s="32" t="s">
        <v>939</v>
      </c>
      <c r="V162" s="32" t="s">
        <v>34</v>
      </c>
    </row>
    <row r="163" spans="1:22" s="32" customFormat="1">
      <c r="A163" s="32" t="s">
        <v>933</v>
      </c>
      <c r="B163" s="32" t="s">
        <v>934</v>
      </c>
      <c r="C163" s="32" t="s">
        <v>1100</v>
      </c>
      <c r="D163" s="32" t="s">
        <v>936</v>
      </c>
      <c r="E163" s="62">
        <v>45545</v>
      </c>
      <c r="F163" s="32" t="s">
        <v>54</v>
      </c>
      <c r="G163" s="204">
        <v>-1147.3499999999999</v>
      </c>
      <c r="H163" s="204">
        <v>-1147.3499999999999</v>
      </c>
      <c r="J163" s="32" t="s">
        <v>937</v>
      </c>
      <c r="M163" s="62">
        <v>45545</v>
      </c>
      <c r="N163" s="62">
        <v>45546</v>
      </c>
      <c r="O163" s="32" t="s">
        <v>938</v>
      </c>
      <c r="P163" s="32">
        <v>205826</v>
      </c>
      <c r="Q163" s="32" t="s">
        <v>939</v>
      </c>
      <c r="V163" s="32" t="s">
        <v>34</v>
      </c>
    </row>
    <row r="164" spans="1:22" s="32" customFormat="1">
      <c r="A164" s="32" t="s">
        <v>933</v>
      </c>
      <c r="B164" s="32" t="s">
        <v>934</v>
      </c>
      <c r="C164" s="32" t="s">
        <v>1101</v>
      </c>
      <c r="D164" s="32" t="s">
        <v>936</v>
      </c>
      <c r="E164" s="62">
        <v>45545</v>
      </c>
      <c r="F164" s="32" t="s">
        <v>54</v>
      </c>
      <c r="G164" s="204">
        <v>-1147.3499999999999</v>
      </c>
      <c r="H164" s="204">
        <v>-1147.3499999999999</v>
      </c>
      <c r="J164" s="32" t="s">
        <v>937</v>
      </c>
      <c r="M164" s="62">
        <v>45545</v>
      </c>
      <c r="N164" s="62">
        <v>45546</v>
      </c>
      <c r="O164" s="32" t="s">
        <v>938</v>
      </c>
      <c r="P164" s="32">
        <v>205826</v>
      </c>
      <c r="Q164" s="32" t="s">
        <v>939</v>
      </c>
      <c r="V164" s="32" t="s">
        <v>34</v>
      </c>
    </row>
    <row r="165" spans="1:22" s="32" customFormat="1">
      <c r="A165" s="32" t="s">
        <v>933</v>
      </c>
      <c r="B165" s="32" t="s">
        <v>934</v>
      </c>
      <c r="C165" s="32" t="s">
        <v>1102</v>
      </c>
      <c r="D165" s="32" t="s">
        <v>936</v>
      </c>
      <c r="E165" s="62">
        <v>45545</v>
      </c>
      <c r="F165" s="32" t="s">
        <v>54</v>
      </c>
      <c r="G165" s="204">
        <v>-1147.3499999999999</v>
      </c>
      <c r="H165" s="204">
        <v>-1147.3499999999999</v>
      </c>
      <c r="J165" s="32" t="s">
        <v>937</v>
      </c>
      <c r="M165" s="62">
        <v>45545</v>
      </c>
      <c r="N165" s="62">
        <v>45546</v>
      </c>
      <c r="O165" s="32" t="s">
        <v>938</v>
      </c>
      <c r="P165" s="32">
        <v>205826</v>
      </c>
      <c r="Q165" s="32" t="s">
        <v>939</v>
      </c>
      <c r="V165" s="32" t="s">
        <v>34</v>
      </c>
    </row>
    <row r="166" spans="1:22" s="32" customFormat="1">
      <c r="A166" s="32" t="s">
        <v>933</v>
      </c>
      <c r="B166" s="32" t="s">
        <v>934</v>
      </c>
      <c r="C166" s="32" t="s">
        <v>1103</v>
      </c>
      <c r="D166" s="32" t="s">
        <v>936</v>
      </c>
      <c r="E166" s="62">
        <v>45545</v>
      </c>
      <c r="F166" s="32" t="s">
        <v>54</v>
      </c>
      <c r="G166" s="204">
        <v>-1147.3499999999999</v>
      </c>
      <c r="H166" s="204">
        <v>-1147.3499999999999</v>
      </c>
      <c r="J166" s="32" t="s">
        <v>937</v>
      </c>
      <c r="M166" s="62">
        <v>45545</v>
      </c>
      <c r="N166" s="62">
        <v>45546</v>
      </c>
      <c r="O166" s="32" t="s">
        <v>938</v>
      </c>
      <c r="P166" s="32">
        <v>205826</v>
      </c>
      <c r="Q166" s="32" t="s">
        <v>939</v>
      </c>
      <c r="V166" s="32" t="s">
        <v>34</v>
      </c>
    </row>
    <row r="167" spans="1:22" s="32" customFormat="1">
      <c r="A167" s="32" t="s">
        <v>933</v>
      </c>
      <c r="B167" s="32" t="s">
        <v>934</v>
      </c>
      <c r="C167" s="32" t="s">
        <v>1104</v>
      </c>
      <c r="D167" s="32" t="s">
        <v>936</v>
      </c>
      <c r="E167" s="62">
        <v>45545</v>
      </c>
      <c r="F167" s="32" t="s">
        <v>54</v>
      </c>
      <c r="G167" s="204">
        <v>-1147.3499999999999</v>
      </c>
      <c r="H167" s="204">
        <v>-1147.3499999999999</v>
      </c>
      <c r="J167" s="32" t="s">
        <v>937</v>
      </c>
      <c r="M167" s="62">
        <v>45545</v>
      </c>
      <c r="N167" s="62">
        <v>45546</v>
      </c>
      <c r="O167" s="32" t="s">
        <v>938</v>
      </c>
      <c r="P167" s="32">
        <v>205826</v>
      </c>
      <c r="Q167" s="32" t="s">
        <v>939</v>
      </c>
      <c r="V167" s="32" t="s">
        <v>34</v>
      </c>
    </row>
    <row r="168" spans="1:22" s="32" customFormat="1">
      <c r="A168" s="32" t="s">
        <v>933</v>
      </c>
      <c r="B168" s="32" t="s">
        <v>934</v>
      </c>
      <c r="C168" s="32" t="s">
        <v>1105</v>
      </c>
      <c r="D168" s="32" t="s">
        <v>936</v>
      </c>
      <c r="E168" s="62">
        <v>45545</v>
      </c>
      <c r="F168" s="32" t="s">
        <v>54</v>
      </c>
      <c r="G168" s="204">
        <v>-1147.3499999999999</v>
      </c>
      <c r="H168" s="204">
        <v>-1147.3499999999999</v>
      </c>
      <c r="J168" s="32" t="s">
        <v>937</v>
      </c>
      <c r="M168" s="62">
        <v>45545</v>
      </c>
      <c r="N168" s="62">
        <v>45546</v>
      </c>
      <c r="O168" s="32" t="s">
        <v>938</v>
      </c>
      <c r="P168" s="32">
        <v>205826</v>
      </c>
      <c r="Q168" s="32" t="s">
        <v>939</v>
      </c>
      <c r="V168" s="32" t="s">
        <v>34</v>
      </c>
    </row>
    <row r="169" spans="1:22" s="32" customFormat="1">
      <c r="A169" s="32" t="s">
        <v>933</v>
      </c>
      <c r="B169" s="32" t="s">
        <v>934</v>
      </c>
      <c r="C169" s="32" t="s">
        <v>1106</v>
      </c>
      <c r="D169" s="32" t="s">
        <v>936</v>
      </c>
      <c r="E169" s="62">
        <v>45545</v>
      </c>
      <c r="F169" s="32" t="s">
        <v>54</v>
      </c>
      <c r="G169" s="204">
        <v>-1147.3499999999999</v>
      </c>
      <c r="H169" s="204">
        <v>-1147.3499999999999</v>
      </c>
      <c r="J169" s="32" t="s">
        <v>937</v>
      </c>
      <c r="M169" s="62">
        <v>45545</v>
      </c>
      <c r="N169" s="62">
        <v>45546</v>
      </c>
      <c r="O169" s="32" t="s">
        <v>938</v>
      </c>
      <c r="P169" s="32">
        <v>205826</v>
      </c>
      <c r="Q169" s="32" t="s">
        <v>939</v>
      </c>
      <c r="V169" s="32" t="s">
        <v>34</v>
      </c>
    </row>
    <row r="170" spans="1:22" s="32" customFormat="1">
      <c r="A170" s="32" t="s">
        <v>933</v>
      </c>
      <c r="B170" s="32" t="s">
        <v>934</v>
      </c>
      <c r="C170" s="32" t="s">
        <v>1107</v>
      </c>
      <c r="D170" s="32" t="s">
        <v>936</v>
      </c>
      <c r="E170" s="62">
        <v>45545</v>
      </c>
      <c r="F170" s="32" t="s">
        <v>54</v>
      </c>
      <c r="G170" s="204">
        <v>-1147.3499999999999</v>
      </c>
      <c r="H170" s="204">
        <v>-1147.3499999999999</v>
      </c>
      <c r="J170" s="32" t="s">
        <v>937</v>
      </c>
      <c r="M170" s="62">
        <v>45545</v>
      </c>
      <c r="N170" s="62">
        <v>45546</v>
      </c>
      <c r="O170" s="32" t="s">
        <v>938</v>
      </c>
      <c r="P170" s="32">
        <v>205826</v>
      </c>
      <c r="Q170" s="32" t="s">
        <v>939</v>
      </c>
      <c r="V170" s="32" t="s">
        <v>34</v>
      </c>
    </row>
    <row r="171" spans="1:22" s="32" customFormat="1">
      <c r="A171" s="32" t="s">
        <v>933</v>
      </c>
      <c r="B171" s="32" t="s">
        <v>934</v>
      </c>
      <c r="C171" s="32" t="s">
        <v>1108</v>
      </c>
      <c r="D171" s="32" t="s">
        <v>936</v>
      </c>
      <c r="E171" s="62">
        <v>45545</v>
      </c>
      <c r="F171" s="32" t="s">
        <v>54</v>
      </c>
      <c r="G171" s="204">
        <v>-1147.3499999999999</v>
      </c>
      <c r="H171" s="204">
        <v>-1147.3499999999999</v>
      </c>
      <c r="J171" s="32" t="s">
        <v>937</v>
      </c>
      <c r="M171" s="62">
        <v>45545</v>
      </c>
      <c r="N171" s="62">
        <v>45546</v>
      </c>
      <c r="O171" s="32" t="s">
        <v>938</v>
      </c>
      <c r="P171" s="32">
        <v>205826</v>
      </c>
      <c r="Q171" s="32" t="s">
        <v>939</v>
      </c>
      <c r="V171" s="32" t="s">
        <v>34</v>
      </c>
    </row>
    <row r="172" spans="1:22" s="32" customFormat="1">
      <c r="A172" s="32" t="s">
        <v>933</v>
      </c>
      <c r="B172" s="32" t="s">
        <v>934</v>
      </c>
      <c r="C172" s="32" t="s">
        <v>1109</v>
      </c>
      <c r="D172" s="32" t="s">
        <v>936</v>
      </c>
      <c r="E172" s="62">
        <v>45545</v>
      </c>
      <c r="F172" s="32" t="s">
        <v>54</v>
      </c>
      <c r="G172" s="204">
        <v>-1155.33</v>
      </c>
      <c r="H172" s="204">
        <v>-1155.33</v>
      </c>
      <c r="J172" s="32" t="s">
        <v>937</v>
      </c>
      <c r="M172" s="62">
        <v>45545</v>
      </c>
      <c r="N172" s="62">
        <v>45546</v>
      </c>
      <c r="O172" s="32" t="s">
        <v>938</v>
      </c>
      <c r="P172" s="32">
        <v>205826</v>
      </c>
      <c r="Q172" s="32" t="s">
        <v>939</v>
      </c>
      <c r="V172" s="32" t="s">
        <v>34</v>
      </c>
    </row>
    <row r="173" spans="1:22" s="32" customFormat="1">
      <c r="A173" s="32" t="s">
        <v>933</v>
      </c>
      <c r="B173" s="32" t="s">
        <v>934</v>
      </c>
      <c r="C173" s="32" t="s">
        <v>1110</v>
      </c>
      <c r="D173" s="32" t="s">
        <v>936</v>
      </c>
      <c r="E173" s="62">
        <v>45545</v>
      </c>
      <c r="F173" s="32" t="s">
        <v>54</v>
      </c>
      <c r="G173" s="204">
        <v>-1155.33</v>
      </c>
      <c r="H173" s="204">
        <v>-1155.33</v>
      </c>
      <c r="J173" s="32" t="s">
        <v>937</v>
      </c>
      <c r="M173" s="62">
        <v>45545</v>
      </c>
      <c r="N173" s="62">
        <v>45546</v>
      </c>
      <c r="O173" s="32" t="s">
        <v>938</v>
      </c>
      <c r="P173" s="32">
        <v>205826</v>
      </c>
      <c r="Q173" s="32" t="s">
        <v>939</v>
      </c>
      <c r="V173" s="32" t="s">
        <v>34</v>
      </c>
    </row>
    <row r="174" spans="1:22" s="32" customFormat="1">
      <c r="A174" s="32" t="s">
        <v>933</v>
      </c>
      <c r="B174" s="32" t="s">
        <v>934</v>
      </c>
      <c r="C174" s="32" t="s">
        <v>1111</v>
      </c>
      <c r="D174" s="32" t="s">
        <v>936</v>
      </c>
      <c r="E174" s="62">
        <v>45545</v>
      </c>
      <c r="F174" s="32" t="s">
        <v>54</v>
      </c>
      <c r="G174" s="204">
        <v>-1155.33</v>
      </c>
      <c r="H174" s="204">
        <v>-1155.33</v>
      </c>
      <c r="J174" s="32" t="s">
        <v>937</v>
      </c>
      <c r="M174" s="62">
        <v>45545</v>
      </c>
      <c r="N174" s="62">
        <v>45546</v>
      </c>
      <c r="O174" s="32" t="s">
        <v>938</v>
      </c>
      <c r="P174" s="32">
        <v>205826</v>
      </c>
      <c r="Q174" s="32" t="s">
        <v>939</v>
      </c>
      <c r="V174" s="32" t="s">
        <v>34</v>
      </c>
    </row>
    <row r="175" spans="1:22" s="32" customFormat="1">
      <c r="A175" s="32" t="s">
        <v>933</v>
      </c>
      <c r="B175" s="32" t="s">
        <v>934</v>
      </c>
      <c r="C175" s="32" t="s">
        <v>1112</v>
      </c>
      <c r="D175" s="32" t="s">
        <v>936</v>
      </c>
      <c r="E175" s="62">
        <v>45545</v>
      </c>
      <c r="F175" s="32" t="s">
        <v>54</v>
      </c>
      <c r="G175" s="204">
        <v>-1155.33</v>
      </c>
      <c r="H175" s="204">
        <v>-1155.33</v>
      </c>
      <c r="J175" s="32" t="s">
        <v>937</v>
      </c>
      <c r="M175" s="62">
        <v>45545</v>
      </c>
      <c r="N175" s="62">
        <v>45546</v>
      </c>
      <c r="O175" s="32" t="s">
        <v>938</v>
      </c>
      <c r="P175" s="32">
        <v>205826</v>
      </c>
      <c r="Q175" s="32" t="s">
        <v>939</v>
      </c>
      <c r="V175" s="32" t="s">
        <v>34</v>
      </c>
    </row>
    <row r="176" spans="1:22" s="32" customFormat="1">
      <c r="A176" s="32" t="s">
        <v>933</v>
      </c>
      <c r="B176" s="32" t="s">
        <v>934</v>
      </c>
      <c r="C176" s="32" t="s">
        <v>1113</v>
      </c>
      <c r="D176" s="32" t="s">
        <v>936</v>
      </c>
      <c r="E176" s="62">
        <v>45545</v>
      </c>
      <c r="F176" s="32" t="s">
        <v>54</v>
      </c>
      <c r="G176" s="204">
        <v>-1155.33</v>
      </c>
      <c r="H176" s="204">
        <v>-1155.33</v>
      </c>
      <c r="J176" s="32" t="s">
        <v>937</v>
      </c>
      <c r="M176" s="62">
        <v>45545</v>
      </c>
      <c r="N176" s="62">
        <v>45546</v>
      </c>
      <c r="O176" s="32" t="s">
        <v>938</v>
      </c>
      <c r="P176" s="32">
        <v>205826</v>
      </c>
      <c r="Q176" s="32" t="s">
        <v>939</v>
      </c>
      <c r="V176" s="32" t="s">
        <v>34</v>
      </c>
    </row>
    <row r="177" spans="1:22" s="32" customFormat="1">
      <c r="A177" s="32" t="s">
        <v>933</v>
      </c>
      <c r="B177" s="32" t="s">
        <v>934</v>
      </c>
      <c r="C177" s="32" t="s">
        <v>1114</v>
      </c>
      <c r="D177" s="32" t="s">
        <v>936</v>
      </c>
      <c r="E177" s="62">
        <v>45545</v>
      </c>
      <c r="F177" s="32" t="s">
        <v>54</v>
      </c>
      <c r="G177" s="204">
        <v>-1155.33</v>
      </c>
      <c r="H177" s="204">
        <v>-1155.33</v>
      </c>
      <c r="J177" s="32" t="s">
        <v>937</v>
      </c>
      <c r="M177" s="62">
        <v>45545</v>
      </c>
      <c r="N177" s="62">
        <v>45546</v>
      </c>
      <c r="O177" s="32" t="s">
        <v>938</v>
      </c>
      <c r="P177" s="32">
        <v>205826</v>
      </c>
      <c r="Q177" s="32" t="s">
        <v>939</v>
      </c>
      <c r="V177" s="32" t="s">
        <v>34</v>
      </c>
    </row>
    <row r="178" spans="1:22" s="32" customFormat="1">
      <c r="A178" s="32" t="s">
        <v>933</v>
      </c>
      <c r="B178" s="32" t="s">
        <v>934</v>
      </c>
      <c r="C178" s="32" t="s">
        <v>1115</v>
      </c>
      <c r="D178" s="32" t="s">
        <v>936</v>
      </c>
      <c r="E178" s="62">
        <v>45545</v>
      </c>
      <c r="F178" s="32" t="s">
        <v>54</v>
      </c>
      <c r="G178" s="204">
        <v>-1155.33</v>
      </c>
      <c r="H178" s="204">
        <v>-1155.33</v>
      </c>
      <c r="J178" s="32" t="s">
        <v>937</v>
      </c>
      <c r="M178" s="62">
        <v>45545</v>
      </c>
      <c r="N178" s="62">
        <v>45546</v>
      </c>
      <c r="O178" s="32" t="s">
        <v>938</v>
      </c>
      <c r="P178" s="32">
        <v>205826</v>
      </c>
      <c r="Q178" s="32" t="s">
        <v>939</v>
      </c>
      <c r="V178" s="32" t="s">
        <v>34</v>
      </c>
    </row>
    <row r="179" spans="1:22" s="32" customFormat="1">
      <c r="A179" s="32" t="s">
        <v>933</v>
      </c>
      <c r="B179" s="32" t="s">
        <v>934</v>
      </c>
      <c r="C179" s="32" t="s">
        <v>1116</v>
      </c>
      <c r="D179" s="32" t="s">
        <v>936</v>
      </c>
      <c r="E179" s="62">
        <v>45545</v>
      </c>
      <c r="F179" s="32" t="s">
        <v>54</v>
      </c>
      <c r="G179" s="204">
        <v>-1155.33</v>
      </c>
      <c r="H179" s="204">
        <v>-1155.33</v>
      </c>
      <c r="J179" s="32" t="s">
        <v>937</v>
      </c>
      <c r="M179" s="62">
        <v>45545</v>
      </c>
      <c r="N179" s="62">
        <v>45546</v>
      </c>
      <c r="O179" s="32" t="s">
        <v>938</v>
      </c>
      <c r="P179" s="32">
        <v>205826</v>
      </c>
      <c r="Q179" s="32" t="s">
        <v>939</v>
      </c>
      <c r="V179" s="32" t="s">
        <v>34</v>
      </c>
    </row>
    <row r="180" spans="1:22" s="32" customFormat="1">
      <c r="A180" s="32" t="s">
        <v>933</v>
      </c>
      <c r="B180" s="32" t="s">
        <v>934</v>
      </c>
      <c r="C180" s="32" t="s">
        <v>1117</v>
      </c>
      <c r="D180" s="32" t="s">
        <v>936</v>
      </c>
      <c r="E180" s="62">
        <v>45545</v>
      </c>
      <c r="F180" s="32" t="s">
        <v>54</v>
      </c>
      <c r="G180" s="204">
        <v>-1155.33</v>
      </c>
      <c r="H180" s="204">
        <v>-1155.33</v>
      </c>
      <c r="J180" s="32" t="s">
        <v>937</v>
      </c>
      <c r="M180" s="62">
        <v>45545</v>
      </c>
      <c r="N180" s="62">
        <v>45546</v>
      </c>
      <c r="O180" s="32" t="s">
        <v>938</v>
      </c>
      <c r="P180" s="32">
        <v>205826</v>
      </c>
      <c r="Q180" s="32" t="s">
        <v>939</v>
      </c>
      <c r="V180" s="32" t="s">
        <v>34</v>
      </c>
    </row>
    <row r="181" spans="1:22" s="32" customFormat="1">
      <c r="A181" s="32" t="s">
        <v>933</v>
      </c>
      <c r="B181" s="32" t="s">
        <v>934</v>
      </c>
      <c r="C181" s="32" t="s">
        <v>1118</v>
      </c>
      <c r="D181" s="32" t="s">
        <v>936</v>
      </c>
      <c r="E181" s="62">
        <v>45545</v>
      </c>
      <c r="F181" s="32" t="s">
        <v>54</v>
      </c>
      <c r="G181" s="204">
        <v>-1155.33</v>
      </c>
      <c r="H181" s="204">
        <v>-1155.33</v>
      </c>
      <c r="J181" s="32" t="s">
        <v>937</v>
      </c>
      <c r="M181" s="62">
        <v>45545</v>
      </c>
      <c r="N181" s="62">
        <v>45546</v>
      </c>
      <c r="O181" s="32" t="s">
        <v>938</v>
      </c>
      <c r="P181" s="32">
        <v>205826</v>
      </c>
      <c r="Q181" s="32" t="s">
        <v>939</v>
      </c>
      <c r="V181" s="32" t="s">
        <v>34</v>
      </c>
    </row>
    <row r="182" spans="1:22" s="32" customFormat="1">
      <c r="A182" s="32" t="s">
        <v>933</v>
      </c>
      <c r="B182" s="32" t="s">
        <v>934</v>
      </c>
      <c r="C182" s="32" t="s">
        <v>1119</v>
      </c>
      <c r="D182" s="32" t="s">
        <v>936</v>
      </c>
      <c r="E182" s="62">
        <v>45545</v>
      </c>
      <c r="F182" s="32" t="s">
        <v>54</v>
      </c>
      <c r="G182" s="204">
        <v>-1155.33</v>
      </c>
      <c r="H182" s="204">
        <v>-1155.33</v>
      </c>
      <c r="J182" s="32" t="s">
        <v>937</v>
      </c>
      <c r="M182" s="62">
        <v>45545</v>
      </c>
      <c r="N182" s="62">
        <v>45546</v>
      </c>
      <c r="O182" s="32" t="s">
        <v>938</v>
      </c>
      <c r="P182" s="32">
        <v>205826</v>
      </c>
      <c r="Q182" s="32" t="s">
        <v>939</v>
      </c>
      <c r="V182" s="32" t="s">
        <v>34</v>
      </c>
    </row>
    <row r="183" spans="1:22" s="32" customFormat="1">
      <c r="A183" s="32" t="s">
        <v>933</v>
      </c>
      <c r="B183" s="32" t="s">
        <v>934</v>
      </c>
      <c r="C183" s="32" t="s">
        <v>1120</v>
      </c>
      <c r="D183" s="32" t="s">
        <v>936</v>
      </c>
      <c r="E183" s="62">
        <v>45545</v>
      </c>
      <c r="F183" s="32" t="s">
        <v>54</v>
      </c>
      <c r="G183" s="204">
        <v>-1155.33</v>
      </c>
      <c r="H183" s="204">
        <v>-1155.33</v>
      </c>
      <c r="J183" s="32" t="s">
        <v>937</v>
      </c>
      <c r="M183" s="62">
        <v>45545</v>
      </c>
      <c r="N183" s="62">
        <v>45546</v>
      </c>
      <c r="O183" s="32" t="s">
        <v>938</v>
      </c>
      <c r="P183" s="32">
        <v>205826</v>
      </c>
      <c r="Q183" s="32" t="s">
        <v>939</v>
      </c>
      <c r="V183" s="32" t="s">
        <v>34</v>
      </c>
    </row>
    <row r="184" spans="1:22" s="32" customFormat="1">
      <c r="A184" s="32" t="s">
        <v>933</v>
      </c>
      <c r="B184" s="32" t="s">
        <v>934</v>
      </c>
      <c r="C184" s="32" t="s">
        <v>1121</v>
      </c>
      <c r="D184" s="32" t="s">
        <v>936</v>
      </c>
      <c r="E184" s="62">
        <v>45545</v>
      </c>
      <c r="F184" s="32" t="s">
        <v>54</v>
      </c>
      <c r="G184" s="204">
        <v>-1155.33</v>
      </c>
      <c r="H184" s="204">
        <v>-1155.33</v>
      </c>
      <c r="J184" s="32" t="s">
        <v>937</v>
      </c>
      <c r="M184" s="62">
        <v>45545</v>
      </c>
      <c r="N184" s="62">
        <v>45546</v>
      </c>
      <c r="O184" s="32" t="s">
        <v>938</v>
      </c>
      <c r="P184" s="32">
        <v>205826</v>
      </c>
      <c r="Q184" s="32" t="s">
        <v>939</v>
      </c>
      <c r="V184" s="32" t="s">
        <v>34</v>
      </c>
    </row>
    <row r="185" spans="1:22" s="32" customFormat="1">
      <c r="A185" s="32" t="s">
        <v>933</v>
      </c>
      <c r="B185" s="32" t="s">
        <v>934</v>
      </c>
      <c r="C185" s="32" t="s">
        <v>1122</v>
      </c>
      <c r="D185" s="32" t="s">
        <v>936</v>
      </c>
      <c r="E185" s="62">
        <v>45545</v>
      </c>
      <c r="F185" s="32" t="s">
        <v>54</v>
      </c>
      <c r="G185" s="204">
        <v>-1155.33</v>
      </c>
      <c r="H185" s="204">
        <v>-1155.33</v>
      </c>
      <c r="J185" s="32" t="s">
        <v>937</v>
      </c>
      <c r="M185" s="62">
        <v>45545</v>
      </c>
      <c r="N185" s="62">
        <v>45546</v>
      </c>
      <c r="O185" s="32" t="s">
        <v>938</v>
      </c>
      <c r="P185" s="32">
        <v>205826</v>
      </c>
      <c r="Q185" s="32" t="s">
        <v>939</v>
      </c>
      <c r="V185" s="32" t="s">
        <v>34</v>
      </c>
    </row>
    <row r="186" spans="1:22" s="32" customFormat="1">
      <c r="A186" s="32" t="s">
        <v>933</v>
      </c>
      <c r="B186" s="32" t="s">
        <v>934</v>
      </c>
      <c r="C186" s="32" t="s">
        <v>1123</v>
      </c>
      <c r="D186" s="32" t="s">
        <v>936</v>
      </c>
      <c r="E186" s="62">
        <v>45545</v>
      </c>
      <c r="F186" s="32" t="s">
        <v>54</v>
      </c>
      <c r="G186" s="204">
        <v>-1155.33</v>
      </c>
      <c r="H186" s="204">
        <v>-1155.33</v>
      </c>
      <c r="J186" s="32" t="s">
        <v>937</v>
      </c>
      <c r="M186" s="62">
        <v>45545</v>
      </c>
      <c r="N186" s="62">
        <v>45546</v>
      </c>
      <c r="O186" s="32" t="s">
        <v>938</v>
      </c>
      <c r="P186" s="32">
        <v>205826</v>
      </c>
      <c r="Q186" s="32" t="s">
        <v>939</v>
      </c>
      <c r="V186" s="32" t="s">
        <v>34</v>
      </c>
    </row>
    <row r="187" spans="1:22" s="32" customFormat="1">
      <c r="A187" s="32" t="s">
        <v>933</v>
      </c>
      <c r="B187" s="32" t="s">
        <v>934</v>
      </c>
      <c r="C187" s="32" t="s">
        <v>1124</v>
      </c>
      <c r="D187" s="32" t="s">
        <v>936</v>
      </c>
      <c r="E187" s="62">
        <v>45545</v>
      </c>
      <c r="F187" s="32" t="s">
        <v>54</v>
      </c>
      <c r="G187" s="204">
        <v>-1155.33</v>
      </c>
      <c r="H187" s="204">
        <v>-1155.33</v>
      </c>
      <c r="J187" s="32" t="s">
        <v>937</v>
      </c>
      <c r="M187" s="62">
        <v>45545</v>
      </c>
      <c r="N187" s="62">
        <v>45546</v>
      </c>
      <c r="O187" s="32" t="s">
        <v>938</v>
      </c>
      <c r="P187" s="32">
        <v>205826</v>
      </c>
      <c r="Q187" s="32" t="s">
        <v>939</v>
      </c>
      <c r="V187" s="32" t="s">
        <v>34</v>
      </c>
    </row>
    <row r="188" spans="1:22" s="32" customFormat="1">
      <c r="A188" s="32" t="s">
        <v>933</v>
      </c>
      <c r="B188" s="32" t="s">
        <v>934</v>
      </c>
      <c r="C188" s="32" t="s">
        <v>1125</v>
      </c>
      <c r="D188" s="32" t="s">
        <v>936</v>
      </c>
      <c r="E188" s="62">
        <v>45545</v>
      </c>
      <c r="F188" s="32" t="s">
        <v>54</v>
      </c>
      <c r="G188" s="204">
        <v>-1155.33</v>
      </c>
      <c r="H188" s="204">
        <v>-1155.33</v>
      </c>
      <c r="J188" s="32" t="s">
        <v>937</v>
      </c>
      <c r="M188" s="62">
        <v>45545</v>
      </c>
      <c r="N188" s="62">
        <v>45546</v>
      </c>
      <c r="O188" s="32" t="s">
        <v>938</v>
      </c>
      <c r="P188" s="32">
        <v>205826</v>
      </c>
      <c r="Q188" s="32" t="s">
        <v>939</v>
      </c>
      <c r="V188" s="32" t="s">
        <v>34</v>
      </c>
    </row>
    <row r="189" spans="1:22" s="32" customFormat="1">
      <c r="A189" s="32" t="s">
        <v>933</v>
      </c>
      <c r="B189" s="32" t="s">
        <v>934</v>
      </c>
      <c r="C189" s="32" t="s">
        <v>1126</v>
      </c>
      <c r="D189" s="32" t="s">
        <v>936</v>
      </c>
      <c r="E189" s="62">
        <v>45545</v>
      </c>
      <c r="F189" s="32" t="s">
        <v>54</v>
      </c>
      <c r="G189" s="204">
        <v>-1155.33</v>
      </c>
      <c r="H189" s="204">
        <v>-1155.33</v>
      </c>
      <c r="J189" s="32" t="s">
        <v>937</v>
      </c>
      <c r="M189" s="62">
        <v>45545</v>
      </c>
      <c r="N189" s="62">
        <v>45546</v>
      </c>
      <c r="O189" s="32" t="s">
        <v>938</v>
      </c>
      <c r="P189" s="32">
        <v>205826</v>
      </c>
      <c r="Q189" s="32" t="s">
        <v>939</v>
      </c>
      <c r="V189" s="32" t="s">
        <v>34</v>
      </c>
    </row>
    <row r="190" spans="1:22" s="32" customFormat="1">
      <c r="A190" s="32" t="s">
        <v>933</v>
      </c>
      <c r="B190" s="32" t="s">
        <v>934</v>
      </c>
      <c r="C190" s="32" t="s">
        <v>1127</v>
      </c>
      <c r="D190" s="32" t="s">
        <v>936</v>
      </c>
      <c r="E190" s="62">
        <v>45545</v>
      </c>
      <c r="F190" s="32" t="s">
        <v>54</v>
      </c>
      <c r="G190" s="204">
        <v>-1155.33</v>
      </c>
      <c r="H190" s="204">
        <v>-1155.33</v>
      </c>
      <c r="J190" s="32" t="s">
        <v>937</v>
      </c>
      <c r="M190" s="62">
        <v>45545</v>
      </c>
      <c r="N190" s="62">
        <v>45546</v>
      </c>
      <c r="O190" s="32" t="s">
        <v>938</v>
      </c>
      <c r="P190" s="32">
        <v>205826</v>
      </c>
      <c r="Q190" s="32" t="s">
        <v>939</v>
      </c>
      <c r="V190" s="32" t="s">
        <v>34</v>
      </c>
    </row>
    <row r="191" spans="1:22" s="32" customFormat="1">
      <c r="A191" s="32" t="s">
        <v>933</v>
      </c>
      <c r="B191" s="32" t="s">
        <v>934</v>
      </c>
      <c r="C191" s="32" t="s">
        <v>1128</v>
      </c>
      <c r="D191" s="32" t="s">
        <v>936</v>
      </c>
      <c r="E191" s="62">
        <v>45545</v>
      </c>
      <c r="F191" s="32" t="s">
        <v>54</v>
      </c>
      <c r="G191" s="204">
        <v>-1155.33</v>
      </c>
      <c r="H191" s="204">
        <v>-1155.33</v>
      </c>
      <c r="J191" s="32" t="s">
        <v>937</v>
      </c>
      <c r="M191" s="62">
        <v>45545</v>
      </c>
      <c r="N191" s="62">
        <v>45546</v>
      </c>
      <c r="O191" s="32" t="s">
        <v>938</v>
      </c>
      <c r="P191" s="32">
        <v>205826</v>
      </c>
      <c r="Q191" s="32" t="s">
        <v>939</v>
      </c>
      <c r="V191" s="32" t="s">
        <v>34</v>
      </c>
    </row>
    <row r="192" spans="1:22" s="32" customFormat="1">
      <c r="A192" s="32" t="s">
        <v>933</v>
      </c>
      <c r="B192" s="32" t="s">
        <v>934</v>
      </c>
      <c r="C192" s="32" t="s">
        <v>1129</v>
      </c>
      <c r="D192" s="32" t="s">
        <v>936</v>
      </c>
      <c r="E192" s="62">
        <v>45545</v>
      </c>
      <c r="F192" s="32" t="s">
        <v>54</v>
      </c>
      <c r="G192" s="204">
        <v>-1155.33</v>
      </c>
      <c r="H192" s="204">
        <v>-1155.33</v>
      </c>
      <c r="J192" s="32" t="s">
        <v>937</v>
      </c>
      <c r="M192" s="62">
        <v>45545</v>
      </c>
      <c r="N192" s="62">
        <v>45546</v>
      </c>
      <c r="O192" s="32" t="s">
        <v>938</v>
      </c>
      <c r="P192" s="32">
        <v>205826</v>
      </c>
      <c r="Q192" s="32" t="s">
        <v>939</v>
      </c>
      <c r="V192" s="32" t="s">
        <v>34</v>
      </c>
    </row>
    <row r="193" spans="1:22" s="32" customFormat="1">
      <c r="A193" s="32" t="s">
        <v>933</v>
      </c>
      <c r="B193" s="32" t="s">
        <v>934</v>
      </c>
      <c r="C193" s="32" t="s">
        <v>1130</v>
      </c>
      <c r="D193" s="32" t="s">
        <v>936</v>
      </c>
      <c r="E193" s="62">
        <v>45545</v>
      </c>
      <c r="F193" s="32" t="s">
        <v>54</v>
      </c>
      <c r="G193" s="204">
        <v>-1155.33</v>
      </c>
      <c r="H193" s="204">
        <v>-1155.33</v>
      </c>
      <c r="J193" s="32" t="s">
        <v>937</v>
      </c>
      <c r="M193" s="62">
        <v>45545</v>
      </c>
      <c r="N193" s="62">
        <v>45546</v>
      </c>
      <c r="O193" s="32" t="s">
        <v>938</v>
      </c>
      <c r="P193" s="32">
        <v>205826</v>
      </c>
      <c r="Q193" s="32" t="s">
        <v>939</v>
      </c>
      <c r="V193" s="32" t="s">
        <v>34</v>
      </c>
    </row>
    <row r="194" spans="1:22" s="32" customFormat="1">
      <c r="A194" s="32" t="s">
        <v>933</v>
      </c>
      <c r="B194" s="32" t="s">
        <v>934</v>
      </c>
      <c r="C194" s="32" t="s">
        <v>1131</v>
      </c>
      <c r="D194" s="32" t="s">
        <v>936</v>
      </c>
      <c r="E194" s="62">
        <v>45545</v>
      </c>
      <c r="F194" s="32" t="s">
        <v>54</v>
      </c>
      <c r="G194" s="204">
        <v>-1155.33</v>
      </c>
      <c r="H194" s="204">
        <v>-1155.33</v>
      </c>
      <c r="J194" s="32" t="s">
        <v>937</v>
      </c>
      <c r="M194" s="62">
        <v>45545</v>
      </c>
      <c r="N194" s="62">
        <v>45546</v>
      </c>
      <c r="O194" s="32" t="s">
        <v>938</v>
      </c>
      <c r="P194" s="32">
        <v>205826</v>
      </c>
      <c r="Q194" s="32" t="s">
        <v>939</v>
      </c>
      <c r="V194" s="32" t="s">
        <v>34</v>
      </c>
    </row>
    <row r="195" spans="1:22" s="32" customFormat="1">
      <c r="A195" s="32" t="s">
        <v>933</v>
      </c>
      <c r="B195" s="32" t="s">
        <v>934</v>
      </c>
      <c r="C195" s="32" t="s">
        <v>1132</v>
      </c>
      <c r="D195" s="32" t="s">
        <v>936</v>
      </c>
      <c r="E195" s="62">
        <v>45545</v>
      </c>
      <c r="F195" s="32" t="s">
        <v>54</v>
      </c>
      <c r="G195" s="204">
        <v>-1155.33</v>
      </c>
      <c r="H195" s="204">
        <v>-1155.33</v>
      </c>
      <c r="J195" s="32" t="s">
        <v>937</v>
      </c>
      <c r="M195" s="62">
        <v>45545</v>
      </c>
      <c r="N195" s="62">
        <v>45546</v>
      </c>
      <c r="O195" s="32" t="s">
        <v>938</v>
      </c>
      <c r="P195" s="32">
        <v>205826</v>
      </c>
      <c r="Q195" s="32" t="s">
        <v>939</v>
      </c>
      <c r="V195" s="32" t="s">
        <v>34</v>
      </c>
    </row>
    <row r="196" spans="1:22" s="32" customFormat="1">
      <c r="A196" s="32" t="s">
        <v>933</v>
      </c>
      <c r="B196" s="32" t="s">
        <v>934</v>
      </c>
      <c r="C196" s="32" t="s">
        <v>1133</v>
      </c>
      <c r="D196" s="32" t="s">
        <v>936</v>
      </c>
      <c r="E196" s="62">
        <v>45545</v>
      </c>
      <c r="F196" s="32" t="s">
        <v>54</v>
      </c>
      <c r="G196" s="204">
        <v>-1155.33</v>
      </c>
      <c r="H196" s="204">
        <v>-1155.33</v>
      </c>
      <c r="J196" s="32" t="s">
        <v>937</v>
      </c>
      <c r="M196" s="62">
        <v>45545</v>
      </c>
      <c r="N196" s="62">
        <v>45546</v>
      </c>
      <c r="O196" s="32" t="s">
        <v>938</v>
      </c>
      <c r="P196" s="32">
        <v>205826</v>
      </c>
      <c r="Q196" s="32" t="s">
        <v>939</v>
      </c>
      <c r="V196" s="32" t="s">
        <v>34</v>
      </c>
    </row>
    <row r="197" spans="1:22" s="32" customFormat="1">
      <c r="A197" s="32" t="s">
        <v>933</v>
      </c>
      <c r="B197" s="32" t="s">
        <v>934</v>
      </c>
      <c r="C197" s="32" t="s">
        <v>1134</v>
      </c>
      <c r="D197" s="32" t="s">
        <v>936</v>
      </c>
      <c r="E197" s="62">
        <v>45545</v>
      </c>
      <c r="F197" s="32" t="s">
        <v>54</v>
      </c>
      <c r="G197" s="204">
        <v>-1155.33</v>
      </c>
      <c r="H197" s="204">
        <v>-1155.33</v>
      </c>
      <c r="J197" s="32" t="s">
        <v>937</v>
      </c>
      <c r="M197" s="62">
        <v>45545</v>
      </c>
      <c r="N197" s="62">
        <v>45546</v>
      </c>
      <c r="O197" s="32" t="s">
        <v>938</v>
      </c>
      <c r="P197" s="32">
        <v>205826</v>
      </c>
      <c r="Q197" s="32" t="s">
        <v>939</v>
      </c>
      <c r="V197" s="32" t="s">
        <v>34</v>
      </c>
    </row>
    <row r="198" spans="1:22" s="32" customFormat="1">
      <c r="A198" s="32" t="s">
        <v>933</v>
      </c>
      <c r="B198" s="32" t="s">
        <v>934</v>
      </c>
      <c r="C198" s="32" t="s">
        <v>1135</v>
      </c>
      <c r="D198" s="32" t="s">
        <v>936</v>
      </c>
      <c r="E198" s="62">
        <v>45545</v>
      </c>
      <c r="F198" s="32" t="s">
        <v>54</v>
      </c>
      <c r="G198" s="204">
        <v>-1155.33</v>
      </c>
      <c r="H198" s="204">
        <v>-1155.33</v>
      </c>
      <c r="J198" s="32" t="s">
        <v>937</v>
      </c>
      <c r="M198" s="62">
        <v>45545</v>
      </c>
      <c r="N198" s="62">
        <v>45546</v>
      </c>
      <c r="O198" s="32" t="s">
        <v>938</v>
      </c>
      <c r="P198" s="32">
        <v>205826</v>
      </c>
      <c r="Q198" s="32" t="s">
        <v>939</v>
      </c>
      <c r="V198" s="32" t="s">
        <v>34</v>
      </c>
    </row>
    <row r="199" spans="1:22" s="32" customFormat="1">
      <c r="A199" s="32" t="s">
        <v>933</v>
      </c>
      <c r="B199" s="32" t="s">
        <v>934</v>
      </c>
      <c r="C199" s="32" t="s">
        <v>1136</v>
      </c>
      <c r="D199" s="32" t="s">
        <v>936</v>
      </c>
      <c r="E199" s="62">
        <v>45545</v>
      </c>
      <c r="F199" s="32" t="s">
        <v>54</v>
      </c>
      <c r="G199" s="204">
        <v>-1155.33</v>
      </c>
      <c r="H199" s="204">
        <v>-1155.33</v>
      </c>
      <c r="J199" s="32" t="s">
        <v>937</v>
      </c>
      <c r="M199" s="62">
        <v>45545</v>
      </c>
      <c r="N199" s="62">
        <v>45546</v>
      </c>
      <c r="O199" s="32" t="s">
        <v>938</v>
      </c>
      <c r="P199" s="32">
        <v>205826</v>
      </c>
      <c r="Q199" s="32" t="s">
        <v>939</v>
      </c>
      <c r="V199" s="32" t="s">
        <v>34</v>
      </c>
    </row>
    <row r="200" spans="1:22" s="32" customFormat="1">
      <c r="A200" s="32" t="s">
        <v>933</v>
      </c>
      <c r="B200" s="32" t="s">
        <v>934</v>
      </c>
      <c r="C200" s="32" t="s">
        <v>1137</v>
      </c>
      <c r="D200" s="32" t="s">
        <v>936</v>
      </c>
      <c r="E200" s="62">
        <v>45545</v>
      </c>
      <c r="F200" s="32" t="s">
        <v>54</v>
      </c>
      <c r="G200" s="204">
        <v>-1155.33</v>
      </c>
      <c r="H200" s="204">
        <v>-1155.33</v>
      </c>
      <c r="J200" s="32" t="s">
        <v>937</v>
      </c>
      <c r="M200" s="62">
        <v>45545</v>
      </c>
      <c r="N200" s="62">
        <v>45546</v>
      </c>
      <c r="O200" s="32" t="s">
        <v>938</v>
      </c>
      <c r="P200" s="32">
        <v>205826</v>
      </c>
      <c r="Q200" s="32" t="s">
        <v>939</v>
      </c>
      <c r="V200" s="32" t="s">
        <v>34</v>
      </c>
    </row>
    <row r="201" spans="1:22" s="32" customFormat="1">
      <c r="A201" s="32" t="s">
        <v>933</v>
      </c>
      <c r="B201" s="32" t="s">
        <v>934</v>
      </c>
      <c r="C201" s="32" t="s">
        <v>1138</v>
      </c>
      <c r="D201" s="32" t="s">
        <v>936</v>
      </c>
      <c r="E201" s="62">
        <v>45545</v>
      </c>
      <c r="F201" s="32" t="s">
        <v>54</v>
      </c>
      <c r="G201" s="204">
        <v>-1155.33</v>
      </c>
      <c r="H201" s="204">
        <v>-1155.33</v>
      </c>
      <c r="J201" s="32" t="s">
        <v>937</v>
      </c>
      <c r="M201" s="62">
        <v>45545</v>
      </c>
      <c r="N201" s="62">
        <v>45546</v>
      </c>
      <c r="O201" s="32" t="s">
        <v>938</v>
      </c>
      <c r="P201" s="32">
        <v>205826</v>
      </c>
      <c r="Q201" s="32" t="s">
        <v>939</v>
      </c>
      <c r="V201" s="32" t="s">
        <v>34</v>
      </c>
    </row>
    <row r="202" spans="1:22" s="32" customFormat="1">
      <c r="A202" s="32" t="s">
        <v>933</v>
      </c>
      <c r="B202" s="32" t="s">
        <v>934</v>
      </c>
      <c r="C202" s="32" t="s">
        <v>1139</v>
      </c>
      <c r="D202" s="32" t="s">
        <v>936</v>
      </c>
      <c r="E202" s="62">
        <v>45545</v>
      </c>
      <c r="F202" s="32" t="s">
        <v>54</v>
      </c>
      <c r="G202" s="204">
        <v>-1155.33</v>
      </c>
      <c r="H202" s="204">
        <v>-1155.33</v>
      </c>
      <c r="J202" s="32" t="s">
        <v>937</v>
      </c>
      <c r="M202" s="62">
        <v>45545</v>
      </c>
      <c r="N202" s="62">
        <v>45546</v>
      </c>
      <c r="O202" s="32" t="s">
        <v>938</v>
      </c>
      <c r="P202" s="32">
        <v>205826</v>
      </c>
      <c r="Q202" s="32" t="s">
        <v>939</v>
      </c>
      <c r="V202" s="32" t="s">
        <v>34</v>
      </c>
    </row>
    <row r="203" spans="1:22" s="32" customFormat="1">
      <c r="A203" s="32" t="s">
        <v>933</v>
      </c>
      <c r="B203" s="32" t="s">
        <v>934</v>
      </c>
      <c r="C203" s="32" t="s">
        <v>1140</v>
      </c>
      <c r="D203" s="32" t="s">
        <v>936</v>
      </c>
      <c r="E203" s="62">
        <v>45545</v>
      </c>
      <c r="F203" s="32" t="s">
        <v>54</v>
      </c>
      <c r="G203" s="204">
        <v>-1155.33</v>
      </c>
      <c r="H203" s="204">
        <v>-1155.33</v>
      </c>
      <c r="J203" s="32" t="s">
        <v>937</v>
      </c>
      <c r="M203" s="62">
        <v>45545</v>
      </c>
      <c r="N203" s="62">
        <v>45546</v>
      </c>
      <c r="O203" s="32" t="s">
        <v>938</v>
      </c>
      <c r="P203" s="32">
        <v>205826</v>
      </c>
      <c r="Q203" s="32" t="s">
        <v>939</v>
      </c>
      <c r="V203" s="32" t="s">
        <v>34</v>
      </c>
    </row>
    <row r="204" spans="1:22" s="32" customFormat="1">
      <c r="A204" s="32" t="s">
        <v>933</v>
      </c>
      <c r="B204" s="32" t="s">
        <v>934</v>
      </c>
      <c r="C204" s="32" t="s">
        <v>1141</v>
      </c>
      <c r="D204" s="32" t="s">
        <v>936</v>
      </c>
      <c r="E204" s="62">
        <v>45545</v>
      </c>
      <c r="F204" s="32" t="s">
        <v>54</v>
      </c>
      <c r="G204" s="204">
        <v>-1155.33</v>
      </c>
      <c r="H204" s="204">
        <v>-1155.33</v>
      </c>
      <c r="J204" s="32" t="s">
        <v>937</v>
      </c>
      <c r="M204" s="62">
        <v>45545</v>
      </c>
      <c r="N204" s="62">
        <v>45546</v>
      </c>
      <c r="O204" s="32" t="s">
        <v>938</v>
      </c>
      <c r="P204" s="32">
        <v>205826</v>
      </c>
      <c r="Q204" s="32" t="s">
        <v>939</v>
      </c>
      <c r="V204" s="32" t="s">
        <v>34</v>
      </c>
    </row>
    <row r="205" spans="1:22" s="32" customFormat="1">
      <c r="A205" s="32" t="s">
        <v>933</v>
      </c>
      <c r="B205" s="32" t="s">
        <v>934</v>
      </c>
      <c r="C205" s="32" t="s">
        <v>1142</v>
      </c>
      <c r="D205" s="32" t="s">
        <v>936</v>
      </c>
      <c r="E205" s="62">
        <v>45545</v>
      </c>
      <c r="F205" s="32" t="s">
        <v>54</v>
      </c>
      <c r="G205" s="204">
        <v>-1155.33</v>
      </c>
      <c r="H205" s="204">
        <v>-1155.33</v>
      </c>
      <c r="J205" s="32" t="s">
        <v>937</v>
      </c>
      <c r="M205" s="62">
        <v>45545</v>
      </c>
      <c r="N205" s="62">
        <v>45546</v>
      </c>
      <c r="O205" s="32" t="s">
        <v>938</v>
      </c>
      <c r="P205" s="32">
        <v>205826</v>
      </c>
      <c r="Q205" s="32" t="s">
        <v>939</v>
      </c>
      <c r="V205" s="32" t="s">
        <v>34</v>
      </c>
    </row>
    <row r="206" spans="1:22" s="32" customFormat="1">
      <c r="A206" s="32" t="s">
        <v>933</v>
      </c>
      <c r="B206" s="32" t="s">
        <v>934</v>
      </c>
      <c r="C206" s="32" t="s">
        <v>1143</v>
      </c>
      <c r="D206" s="32" t="s">
        <v>936</v>
      </c>
      <c r="E206" s="62">
        <v>45545</v>
      </c>
      <c r="F206" s="32" t="s">
        <v>54</v>
      </c>
      <c r="G206" s="204">
        <v>-1155.33</v>
      </c>
      <c r="H206" s="204">
        <v>-1155.33</v>
      </c>
      <c r="J206" s="32" t="s">
        <v>937</v>
      </c>
      <c r="M206" s="62">
        <v>45545</v>
      </c>
      <c r="N206" s="62">
        <v>45546</v>
      </c>
      <c r="O206" s="32" t="s">
        <v>938</v>
      </c>
      <c r="P206" s="32">
        <v>205826</v>
      </c>
      <c r="Q206" s="32" t="s">
        <v>939</v>
      </c>
      <c r="V206" s="32" t="s">
        <v>34</v>
      </c>
    </row>
    <row r="207" spans="1:22" s="32" customFormat="1">
      <c r="A207" s="32" t="s">
        <v>933</v>
      </c>
      <c r="B207" s="32" t="s">
        <v>934</v>
      </c>
      <c r="C207" s="32" t="s">
        <v>1144</v>
      </c>
      <c r="D207" s="32" t="s">
        <v>936</v>
      </c>
      <c r="E207" s="62">
        <v>45545</v>
      </c>
      <c r="F207" s="32" t="s">
        <v>54</v>
      </c>
      <c r="G207" s="204">
        <v>-1155.33</v>
      </c>
      <c r="H207" s="204">
        <v>-1155.33</v>
      </c>
      <c r="J207" s="32" t="s">
        <v>937</v>
      </c>
      <c r="M207" s="62">
        <v>45545</v>
      </c>
      <c r="N207" s="62">
        <v>45546</v>
      </c>
      <c r="O207" s="32" t="s">
        <v>938</v>
      </c>
      <c r="P207" s="32">
        <v>205826</v>
      </c>
      <c r="Q207" s="32" t="s">
        <v>939</v>
      </c>
      <c r="V207" s="32" t="s">
        <v>34</v>
      </c>
    </row>
    <row r="208" spans="1:22" s="32" customFormat="1">
      <c r="A208" s="32" t="s">
        <v>933</v>
      </c>
      <c r="B208" s="32" t="s">
        <v>934</v>
      </c>
      <c r="C208" s="32" t="s">
        <v>1145</v>
      </c>
      <c r="D208" s="32" t="s">
        <v>936</v>
      </c>
      <c r="E208" s="62">
        <v>45545</v>
      </c>
      <c r="F208" s="32" t="s">
        <v>54</v>
      </c>
      <c r="G208" s="204">
        <v>-1155.33</v>
      </c>
      <c r="H208" s="204">
        <v>-1155.33</v>
      </c>
      <c r="J208" s="32" t="s">
        <v>937</v>
      </c>
      <c r="M208" s="62">
        <v>45545</v>
      </c>
      <c r="N208" s="62">
        <v>45546</v>
      </c>
      <c r="O208" s="32" t="s">
        <v>938</v>
      </c>
      <c r="P208" s="32">
        <v>205826</v>
      </c>
      <c r="Q208" s="32" t="s">
        <v>939</v>
      </c>
      <c r="V208" s="32" t="s">
        <v>34</v>
      </c>
    </row>
    <row r="209" spans="1:22" s="32" customFormat="1">
      <c r="A209" s="32" t="s">
        <v>933</v>
      </c>
      <c r="B209" s="32" t="s">
        <v>934</v>
      </c>
      <c r="C209" s="32" t="s">
        <v>1146</v>
      </c>
      <c r="D209" s="32" t="s">
        <v>936</v>
      </c>
      <c r="E209" s="62">
        <v>45545</v>
      </c>
      <c r="F209" s="32" t="s">
        <v>54</v>
      </c>
      <c r="G209" s="204">
        <v>-1155.33</v>
      </c>
      <c r="H209" s="204">
        <v>-1155.33</v>
      </c>
      <c r="J209" s="32" t="s">
        <v>937</v>
      </c>
      <c r="M209" s="62">
        <v>45545</v>
      </c>
      <c r="N209" s="62">
        <v>45546</v>
      </c>
      <c r="O209" s="32" t="s">
        <v>938</v>
      </c>
      <c r="P209" s="32">
        <v>205826</v>
      </c>
      <c r="Q209" s="32" t="s">
        <v>939</v>
      </c>
      <c r="V209" s="32" t="s">
        <v>34</v>
      </c>
    </row>
    <row r="210" spans="1:22" s="32" customFormat="1">
      <c r="A210" s="32" t="s">
        <v>933</v>
      </c>
      <c r="B210" s="32" t="s">
        <v>934</v>
      </c>
      <c r="C210" s="32" t="s">
        <v>1147</v>
      </c>
      <c r="D210" s="32" t="s">
        <v>936</v>
      </c>
      <c r="E210" s="62">
        <v>45545</v>
      </c>
      <c r="F210" s="32" t="s">
        <v>54</v>
      </c>
      <c r="G210" s="204">
        <v>-1155.33</v>
      </c>
      <c r="H210" s="204">
        <v>-1155.33</v>
      </c>
      <c r="J210" s="32" t="s">
        <v>937</v>
      </c>
      <c r="M210" s="62">
        <v>45545</v>
      </c>
      <c r="N210" s="62">
        <v>45546</v>
      </c>
      <c r="O210" s="32" t="s">
        <v>938</v>
      </c>
      <c r="P210" s="32">
        <v>205826</v>
      </c>
      <c r="Q210" s="32" t="s">
        <v>939</v>
      </c>
      <c r="V210" s="32" t="s">
        <v>34</v>
      </c>
    </row>
    <row r="211" spans="1:22" s="32" customFormat="1">
      <c r="A211" s="32" t="s">
        <v>933</v>
      </c>
      <c r="B211" s="32" t="s">
        <v>934</v>
      </c>
      <c r="C211" s="32" t="s">
        <v>1148</v>
      </c>
      <c r="D211" s="32" t="s">
        <v>936</v>
      </c>
      <c r="E211" s="62">
        <v>45545</v>
      </c>
      <c r="F211" s="32" t="s">
        <v>54</v>
      </c>
      <c r="G211" s="204">
        <v>-1155.33</v>
      </c>
      <c r="H211" s="204">
        <v>-1155.33</v>
      </c>
      <c r="J211" s="32" t="s">
        <v>937</v>
      </c>
      <c r="M211" s="62">
        <v>45545</v>
      </c>
      <c r="N211" s="62">
        <v>45546</v>
      </c>
      <c r="O211" s="32" t="s">
        <v>938</v>
      </c>
      <c r="P211" s="32">
        <v>205826</v>
      </c>
      <c r="Q211" s="32" t="s">
        <v>939</v>
      </c>
      <c r="V211" s="32" t="s">
        <v>34</v>
      </c>
    </row>
    <row r="212" spans="1:22" s="32" customFormat="1">
      <c r="A212" s="32" t="s">
        <v>933</v>
      </c>
      <c r="B212" s="32" t="s">
        <v>934</v>
      </c>
      <c r="C212" s="32" t="s">
        <v>1149</v>
      </c>
      <c r="D212" s="32" t="s">
        <v>936</v>
      </c>
      <c r="E212" s="62">
        <v>45545</v>
      </c>
      <c r="F212" s="32" t="s">
        <v>54</v>
      </c>
      <c r="G212" s="204">
        <v>-1155.33</v>
      </c>
      <c r="H212" s="204">
        <v>-1155.33</v>
      </c>
      <c r="J212" s="32" t="s">
        <v>937</v>
      </c>
      <c r="M212" s="62">
        <v>45545</v>
      </c>
      <c r="N212" s="62">
        <v>45546</v>
      </c>
      <c r="O212" s="32" t="s">
        <v>938</v>
      </c>
      <c r="P212" s="32">
        <v>205826</v>
      </c>
      <c r="Q212" s="32" t="s">
        <v>939</v>
      </c>
      <c r="V212" s="32" t="s">
        <v>34</v>
      </c>
    </row>
    <row r="213" spans="1:22" s="32" customFormat="1">
      <c r="A213" s="32" t="s">
        <v>933</v>
      </c>
      <c r="B213" s="32" t="s">
        <v>934</v>
      </c>
      <c r="C213" s="32" t="s">
        <v>1150</v>
      </c>
      <c r="D213" s="32" t="s">
        <v>936</v>
      </c>
      <c r="E213" s="62">
        <v>45545</v>
      </c>
      <c r="F213" s="32" t="s">
        <v>54</v>
      </c>
      <c r="G213" s="204">
        <v>-1155.33</v>
      </c>
      <c r="H213" s="204">
        <v>-1155.33</v>
      </c>
      <c r="J213" s="32" t="s">
        <v>937</v>
      </c>
      <c r="M213" s="62">
        <v>45545</v>
      </c>
      <c r="N213" s="62">
        <v>45546</v>
      </c>
      <c r="O213" s="32" t="s">
        <v>938</v>
      </c>
      <c r="P213" s="32">
        <v>205826</v>
      </c>
      <c r="Q213" s="32" t="s">
        <v>939</v>
      </c>
      <c r="V213" s="32" t="s">
        <v>34</v>
      </c>
    </row>
    <row r="214" spans="1:22" s="32" customFormat="1">
      <c r="A214" s="32" t="s">
        <v>933</v>
      </c>
      <c r="B214" s="32" t="s">
        <v>934</v>
      </c>
      <c r="C214" s="32" t="s">
        <v>1151</v>
      </c>
      <c r="D214" s="32" t="s">
        <v>936</v>
      </c>
      <c r="E214" s="62">
        <v>45545</v>
      </c>
      <c r="F214" s="32" t="s">
        <v>54</v>
      </c>
      <c r="G214" s="204">
        <v>-1155.33</v>
      </c>
      <c r="H214" s="204">
        <v>-1155.33</v>
      </c>
      <c r="J214" s="32" t="s">
        <v>937</v>
      </c>
      <c r="M214" s="62">
        <v>45545</v>
      </c>
      <c r="N214" s="62">
        <v>45546</v>
      </c>
      <c r="O214" s="32" t="s">
        <v>938</v>
      </c>
      <c r="P214" s="32">
        <v>205826</v>
      </c>
      <c r="Q214" s="32" t="s">
        <v>939</v>
      </c>
      <c r="V214" s="32" t="s">
        <v>34</v>
      </c>
    </row>
    <row r="215" spans="1:22" s="32" customFormat="1">
      <c r="A215" s="32" t="s">
        <v>933</v>
      </c>
      <c r="B215" s="32" t="s">
        <v>934</v>
      </c>
      <c r="C215" s="32" t="s">
        <v>1152</v>
      </c>
      <c r="D215" s="32" t="s">
        <v>936</v>
      </c>
      <c r="E215" s="62">
        <v>45545</v>
      </c>
      <c r="F215" s="32" t="s">
        <v>54</v>
      </c>
      <c r="G215" s="204">
        <v>-1155.33</v>
      </c>
      <c r="H215" s="204">
        <v>-1155.33</v>
      </c>
      <c r="J215" s="32" t="s">
        <v>937</v>
      </c>
      <c r="M215" s="62">
        <v>45545</v>
      </c>
      <c r="N215" s="62">
        <v>45546</v>
      </c>
      <c r="O215" s="32" t="s">
        <v>938</v>
      </c>
      <c r="P215" s="32">
        <v>205826</v>
      </c>
      <c r="Q215" s="32" t="s">
        <v>939</v>
      </c>
      <c r="V215" s="32" t="s">
        <v>34</v>
      </c>
    </row>
    <row r="216" spans="1:22" s="32" customFormat="1">
      <c r="A216" s="32" t="s">
        <v>933</v>
      </c>
      <c r="B216" s="32" t="s">
        <v>934</v>
      </c>
      <c r="C216" s="32" t="s">
        <v>1153</v>
      </c>
      <c r="D216" s="32" t="s">
        <v>936</v>
      </c>
      <c r="E216" s="62">
        <v>45545</v>
      </c>
      <c r="F216" s="32" t="s">
        <v>54</v>
      </c>
      <c r="G216" s="204">
        <v>-1155.33</v>
      </c>
      <c r="H216" s="204">
        <v>-1155.33</v>
      </c>
      <c r="J216" s="32" t="s">
        <v>937</v>
      </c>
      <c r="M216" s="62">
        <v>45545</v>
      </c>
      <c r="N216" s="62">
        <v>45546</v>
      </c>
      <c r="O216" s="32" t="s">
        <v>938</v>
      </c>
      <c r="P216" s="32">
        <v>205826</v>
      </c>
      <c r="Q216" s="32" t="s">
        <v>939</v>
      </c>
      <c r="V216" s="32" t="s">
        <v>34</v>
      </c>
    </row>
    <row r="217" spans="1:22" s="32" customFormat="1">
      <c r="A217" s="32" t="s">
        <v>933</v>
      </c>
      <c r="B217" s="32" t="s">
        <v>934</v>
      </c>
      <c r="C217" s="32" t="s">
        <v>1154</v>
      </c>
      <c r="D217" s="32" t="s">
        <v>936</v>
      </c>
      <c r="E217" s="62">
        <v>45545</v>
      </c>
      <c r="F217" s="32" t="s">
        <v>54</v>
      </c>
      <c r="G217" s="32">
        <v>-996.06</v>
      </c>
      <c r="H217" s="32">
        <v>-996.06</v>
      </c>
      <c r="J217" s="32" t="s">
        <v>937</v>
      </c>
      <c r="M217" s="62">
        <v>45545</v>
      </c>
      <c r="N217" s="62">
        <v>45546</v>
      </c>
      <c r="O217" s="32" t="s">
        <v>938</v>
      </c>
      <c r="P217" s="32">
        <v>205826</v>
      </c>
      <c r="Q217" s="32" t="s">
        <v>939</v>
      </c>
      <c r="V217" s="32" t="s">
        <v>34</v>
      </c>
    </row>
    <row r="218" spans="1:22" s="32" customFormat="1">
      <c r="A218" s="32" t="s">
        <v>933</v>
      </c>
      <c r="B218" s="32" t="s">
        <v>934</v>
      </c>
      <c r="C218" s="32" t="s">
        <v>1155</v>
      </c>
      <c r="D218" s="32" t="s">
        <v>936</v>
      </c>
      <c r="E218" s="62">
        <v>45545</v>
      </c>
      <c r="F218" s="32" t="s">
        <v>54</v>
      </c>
      <c r="G218" s="32">
        <v>-996.06</v>
      </c>
      <c r="H218" s="32">
        <v>-996.06</v>
      </c>
      <c r="J218" s="32" t="s">
        <v>937</v>
      </c>
      <c r="M218" s="62">
        <v>45545</v>
      </c>
      <c r="N218" s="62">
        <v>45546</v>
      </c>
      <c r="O218" s="32" t="s">
        <v>938</v>
      </c>
      <c r="P218" s="32">
        <v>205826</v>
      </c>
      <c r="Q218" s="32" t="s">
        <v>939</v>
      </c>
      <c r="V218" s="32" t="s">
        <v>34</v>
      </c>
    </row>
    <row r="219" spans="1:22" s="32" customFormat="1">
      <c r="A219" s="32" t="s">
        <v>933</v>
      </c>
      <c r="B219" s="32" t="s">
        <v>934</v>
      </c>
      <c r="C219" s="32" t="s">
        <v>1156</v>
      </c>
      <c r="D219" s="32" t="s">
        <v>936</v>
      </c>
      <c r="E219" s="62">
        <v>45545</v>
      </c>
      <c r="F219" s="32" t="s">
        <v>54</v>
      </c>
      <c r="G219" s="32">
        <v>-996.06</v>
      </c>
      <c r="H219" s="32">
        <v>-996.06</v>
      </c>
      <c r="J219" s="32" t="s">
        <v>937</v>
      </c>
      <c r="M219" s="62">
        <v>45545</v>
      </c>
      <c r="N219" s="62">
        <v>45546</v>
      </c>
      <c r="O219" s="32" t="s">
        <v>938</v>
      </c>
      <c r="P219" s="32">
        <v>205826</v>
      </c>
      <c r="Q219" s="32" t="s">
        <v>939</v>
      </c>
      <c r="V219" s="32" t="s">
        <v>34</v>
      </c>
    </row>
    <row r="220" spans="1:22" s="32" customFormat="1">
      <c r="A220" s="32" t="s">
        <v>933</v>
      </c>
      <c r="B220" s="32" t="s">
        <v>934</v>
      </c>
      <c r="C220" s="32" t="s">
        <v>1157</v>
      </c>
      <c r="D220" s="32" t="s">
        <v>936</v>
      </c>
      <c r="E220" s="62">
        <v>45545</v>
      </c>
      <c r="F220" s="32" t="s">
        <v>54</v>
      </c>
      <c r="G220" s="32">
        <v>-996.06</v>
      </c>
      <c r="H220" s="32">
        <v>-996.06</v>
      </c>
      <c r="J220" s="32" t="s">
        <v>937</v>
      </c>
      <c r="M220" s="62">
        <v>45545</v>
      </c>
      <c r="N220" s="62">
        <v>45546</v>
      </c>
      <c r="O220" s="32" t="s">
        <v>938</v>
      </c>
      <c r="P220" s="32">
        <v>205826</v>
      </c>
      <c r="Q220" s="32" t="s">
        <v>939</v>
      </c>
      <c r="V220" s="32" t="s">
        <v>34</v>
      </c>
    </row>
    <row r="221" spans="1:22" s="32" customFormat="1">
      <c r="A221" s="32" t="s">
        <v>933</v>
      </c>
      <c r="B221" s="32" t="s">
        <v>934</v>
      </c>
      <c r="C221" s="32" t="s">
        <v>1158</v>
      </c>
      <c r="D221" s="32" t="s">
        <v>936</v>
      </c>
      <c r="E221" s="62">
        <v>45545</v>
      </c>
      <c r="F221" s="32" t="s">
        <v>54</v>
      </c>
      <c r="G221" s="32">
        <v>-996.06</v>
      </c>
      <c r="H221" s="32">
        <v>-996.06</v>
      </c>
      <c r="J221" s="32" t="s">
        <v>937</v>
      </c>
      <c r="M221" s="62">
        <v>45545</v>
      </c>
      <c r="N221" s="62">
        <v>45546</v>
      </c>
      <c r="O221" s="32" t="s">
        <v>938</v>
      </c>
      <c r="P221" s="32">
        <v>205826</v>
      </c>
      <c r="Q221" s="32" t="s">
        <v>939</v>
      </c>
      <c r="V221" s="32" t="s">
        <v>34</v>
      </c>
    </row>
    <row r="222" spans="1:22" s="32" customFormat="1">
      <c r="A222" s="32" t="s">
        <v>933</v>
      </c>
      <c r="B222" s="32" t="s">
        <v>934</v>
      </c>
      <c r="C222" s="32" t="s">
        <v>1159</v>
      </c>
      <c r="D222" s="32" t="s">
        <v>936</v>
      </c>
      <c r="E222" s="62">
        <v>45545</v>
      </c>
      <c r="F222" s="32" t="s">
        <v>54</v>
      </c>
      <c r="G222" s="32">
        <v>-996.06</v>
      </c>
      <c r="H222" s="32">
        <v>-996.06</v>
      </c>
      <c r="J222" s="32" t="s">
        <v>937</v>
      </c>
      <c r="M222" s="62">
        <v>45545</v>
      </c>
      <c r="N222" s="62">
        <v>45546</v>
      </c>
      <c r="O222" s="32" t="s">
        <v>938</v>
      </c>
      <c r="P222" s="32">
        <v>205826</v>
      </c>
      <c r="Q222" s="32" t="s">
        <v>939</v>
      </c>
      <c r="V222" s="32" t="s">
        <v>34</v>
      </c>
    </row>
    <row r="223" spans="1:22" s="32" customFormat="1">
      <c r="A223" s="32" t="s">
        <v>933</v>
      </c>
      <c r="B223" s="32" t="s">
        <v>934</v>
      </c>
      <c r="C223" s="32" t="s">
        <v>1160</v>
      </c>
      <c r="D223" s="32" t="s">
        <v>936</v>
      </c>
      <c r="E223" s="62">
        <v>45545</v>
      </c>
      <c r="F223" s="32" t="s">
        <v>54</v>
      </c>
      <c r="G223" s="32">
        <v>-996.06</v>
      </c>
      <c r="H223" s="32">
        <v>-996.06</v>
      </c>
      <c r="J223" s="32" t="s">
        <v>937</v>
      </c>
      <c r="M223" s="62">
        <v>45545</v>
      </c>
      <c r="N223" s="62">
        <v>45546</v>
      </c>
      <c r="O223" s="32" t="s">
        <v>938</v>
      </c>
      <c r="P223" s="32">
        <v>205826</v>
      </c>
      <c r="Q223" s="32" t="s">
        <v>939</v>
      </c>
      <c r="V223" s="32" t="s">
        <v>34</v>
      </c>
    </row>
    <row r="224" spans="1:22" s="32" customFormat="1">
      <c r="A224" s="32" t="s">
        <v>933</v>
      </c>
      <c r="B224" s="32" t="s">
        <v>934</v>
      </c>
      <c r="C224" s="32" t="s">
        <v>1161</v>
      </c>
      <c r="D224" s="32" t="s">
        <v>936</v>
      </c>
      <c r="E224" s="62">
        <v>45545</v>
      </c>
      <c r="F224" s="32" t="s">
        <v>54</v>
      </c>
      <c r="G224" s="32">
        <v>-996.06</v>
      </c>
      <c r="H224" s="32">
        <v>-996.06</v>
      </c>
      <c r="J224" s="32" t="s">
        <v>937</v>
      </c>
      <c r="M224" s="62">
        <v>45545</v>
      </c>
      <c r="N224" s="62">
        <v>45546</v>
      </c>
      <c r="O224" s="32" t="s">
        <v>938</v>
      </c>
      <c r="P224" s="32">
        <v>205826</v>
      </c>
      <c r="Q224" s="32" t="s">
        <v>939</v>
      </c>
      <c r="V224" s="32" t="s">
        <v>34</v>
      </c>
    </row>
    <row r="225" spans="1:22" s="32" customFormat="1">
      <c r="A225" s="32" t="s">
        <v>933</v>
      </c>
      <c r="B225" s="32" t="s">
        <v>934</v>
      </c>
      <c r="C225" s="32" t="s">
        <v>1162</v>
      </c>
      <c r="D225" s="32" t="s">
        <v>936</v>
      </c>
      <c r="E225" s="62">
        <v>45545</v>
      </c>
      <c r="F225" s="32" t="s">
        <v>54</v>
      </c>
      <c r="G225" s="32">
        <v>-996.06</v>
      </c>
      <c r="H225" s="32">
        <v>-996.06</v>
      </c>
      <c r="J225" s="32" t="s">
        <v>937</v>
      </c>
      <c r="M225" s="62">
        <v>45545</v>
      </c>
      <c r="N225" s="62">
        <v>45546</v>
      </c>
      <c r="O225" s="32" t="s">
        <v>938</v>
      </c>
      <c r="P225" s="32">
        <v>205826</v>
      </c>
      <c r="Q225" s="32" t="s">
        <v>939</v>
      </c>
      <c r="V225" s="32" t="s">
        <v>34</v>
      </c>
    </row>
    <row r="226" spans="1:22" s="32" customFormat="1">
      <c r="A226" s="32" t="s">
        <v>933</v>
      </c>
      <c r="B226" s="32" t="s">
        <v>934</v>
      </c>
      <c r="C226" s="32" t="s">
        <v>1163</v>
      </c>
      <c r="D226" s="32" t="s">
        <v>936</v>
      </c>
      <c r="E226" s="62">
        <v>45545</v>
      </c>
      <c r="F226" s="32" t="s">
        <v>54</v>
      </c>
      <c r="G226" s="32">
        <v>-996.06</v>
      </c>
      <c r="H226" s="32">
        <v>-996.06</v>
      </c>
      <c r="J226" s="32" t="s">
        <v>937</v>
      </c>
      <c r="M226" s="62">
        <v>45545</v>
      </c>
      <c r="N226" s="62">
        <v>45546</v>
      </c>
      <c r="O226" s="32" t="s">
        <v>938</v>
      </c>
      <c r="P226" s="32">
        <v>205826</v>
      </c>
      <c r="Q226" s="32" t="s">
        <v>939</v>
      </c>
      <c r="V226" s="32" t="s">
        <v>34</v>
      </c>
    </row>
    <row r="227" spans="1:22" s="32" customFormat="1">
      <c r="A227" s="32" t="s">
        <v>933</v>
      </c>
      <c r="B227" s="32" t="s">
        <v>934</v>
      </c>
      <c r="C227" s="32" t="s">
        <v>1164</v>
      </c>
      <c r="D227" s="32" t="s">
        <v>936</v>
      </c>
      <c r="E227" s="62">
        <v>45545</v>
      </c>
      <c r="F227" s="32" t="s">
        <v>54</v>
      </c>
      <c r="G227" s="32">
        <v>-996.06</v>
      </c>
      <c r="H227" s="32">
        <v>-996.06</v>
      </c>
      <c r="J227" s="32" t="s">
        <v>937</v>
      </c>
      <c r="M227" s="62">
        <v>45545</v>
      </c>
      <c r="N227" s="62">
        <v>45546</v>
      </c>
      <c r="O227" s="32" t="s">
        <v>938</v>
      </c>
      <c r="P227" s="32">
        <v>205826</v>
      </c>
      <c r="Q227" s="32" t="s">
        <v>939</v>
      </c>
      <c r="V227" s="32" t="s">
        <v>34</v>
      </c>
    </row>
    <row r="228" spans="1:22" s="32" customFormat="1">
      <c r="A228" s="32" t="s">
        <v>933</v>
      </c>
      <c r="B228" s="32" t="s">
        <v>934</v>
      </c>
      <c r="C228" s="32" t="s">
        <v>1165</v>
      </c>
      <c r="D228" s="32" t="s">
        <v>936</v>
      </c>
      <c r="E228" s="62">
        <v>45545</v>
      </c>
      <c r="F228" s="32" t="s">
        <v>54</v>
      </c>
      <c r="G228" s="32">
        <v>-996.06</v>
      </c>
      <c r="H228" s="32">
        <v>-996.06</v>
      </c>
      <c r="J228" s="32" t="s">
        <v>937</v>
      </c>
      <c r="M228" s="62">
        <v>45545</v>
      </c>
      <c r="N228" s="62">
        <v>45546</v>
      </c>
      <c r="O228" s="32" t="s">
        <v>938</v>
      </c>
      <c r="P228" s="32">
        <v>205826</v>
      </c>
      <c r="Q228" s="32" t="s">
        <v>939</v>
      </c>
      <c r="V228" s="32" t="s">
        <v>34</v>
      </c>
    </row>
    <row r="229" spans="1:22" s="32" customFormat="1">
      <c r="A229" s="32" t="s">
        <v>933</v>
      </c>
      <c r="B229" s="32" t="s">
        <v>934</v>
      </c>
      <c r="C229" s="32" t="s">
        <v>1166</v>
      </c>
      <c r="D229" s="32" t="s">
        <v>936</v>
      </c>
      <c r="E229" s="62">
        <v>45545</v>
      </c>
      <c r="F229" s="32" t="s">
        <v>54</v>
      </c>
      <c r="G229" s="32">
        <v>-996.06</v>
      </c>
      <c r="H229" s="32">
        <v>-996.06</v>
      </c>
      <c r="J229" s="32" t="s">
        <v>937</v>
      </c>
      <c r="M229" s="62">
        <v>45545</v>
      </c>
      <c r="N229" s="62">
        <v>45546</v>
      </c>
      <c r="O229" s="32" t="s">
        <v>938</v>
      </c>
      <c r="P229" s="32">
        <v>205826</v>
      </c>
      <c r="Q229" s="32" t="s">
        <v>939</v>
      </c>
      <c r="V229" s="32" t="s">
        <v>34</v>
      </c>
    </row>
    <row r="230" spans="1:22" s="32" customFormat="1">
      <c r="A230" s="32" t="s">
        <v>933</v>
      </c>
      <c r="B230" s="32" t="s">
        <v>934</v>
      </c>
      <c r="C230" s="32" t="s">
        <v>1167</v>
      </c>
      <c r="D230" s="32" t="s">
        <v>936</v>
      </c>
      <c r="E230" s="62">
        <v>45545</v>
      </c>
      <c r="F230" s="32" t="s">
        <v>54</v>
      </c>
      <c r="G230" s="32">
        <v>-996.06</v>
      </c>
      <c r="H230" s="32">
        <v>-996.06</v>
      </c>
      <c r="J230" s="32" t="s">
        <v>937</v>
      </c>
      <c r="M230" s="62">
        <v>45545</v>
      </c>
      <c r="N230" s="62">
        <v>45546</v>
      </c>
      <c r="O230" s="32" t="s">
        <v>938</v>
      </c>
      <c r="P230" s="32">
        <v>205826</v>
      </c>
      <c r="Q230" s="32" t="s">
        <v>939</v>
      </c>
      <c r="V230" s="32" t="s">
        <v>34</v>
      </c>
    </row>
    <row r="231" spans="1:22" s="32" customFormat="1">
      <c r="A231" s="32" t="s">
        <v>933</v>
      </c>
      <c r="B231" s="32" t="s">
        <v>934</v>
      </c>
      <c r="C231" s="32" t="s">
        <v>1168</v>
      </c>
      <c r="D231" s="32" t="s">
        <v>936</v>
      </c>
      <c r="E231" s="62">
        <v>45545</v>
      </c>
      <c r="F231" s="32" t="s">
        <v>54</v>
      </c>
      <c r="G231" s="32">
        <v>-996.06</v>
      </c>
      <c r="H231" s="32">
        <v>-996.06</v>
      </c>
      <c r="J231" s="32" t="s">
        <v>937</v>
      </c>
      <c r="M231" s="62">
        <v>45545</v>
      </c>
      <c r="N231" s="62">
        <v>45546</v>
      </c>
      <c r="O231" s="32" t="s">
        <v>938</v>
      </c>
      <c r="P231" s="32">
        <v>205826</v>
      </c>
      <c r="Q231" s="32" t="s">
        <v>939</v>
      </c>
      <c r="V231" s="32" t="s">
        <v>34</v>
      </c>
    </row>
    <row r="232" spans="1:22" s="32" customFormat="1">
      <c r="A232" s="32" t="s">
        <v>933</v>
      </c>
      <c r="B232" s="32" t="s">
        <v>934</v>
      </c>
      <c r="C232" s="32" t="s">
        <v>1169</v>
      </c>
      <c r="D232" s="32" t="s">
        <v>936</v>
      </c>
      <c r="E232" s="62">
        <v>45545</v>
      </c>
      <c r="F232" s="32" t="s">
        <v>54</v>
      </c>
      <c r="G232" s="32">
        <v>-996.06</v>
      </c>
      <c r="H232" s="32">
        <v>-996.06</v>
      </c>
      <c r="J232" s="32" t="s">
        <v>937</v>
      </c>
      <c r="M232" s="62">
        <v>45545</v>
      </c>
      <c r="N232" s="62">
        <v>45546</v>
      </c>
      <c r="O232" s="32" t="s">
        <v>938</v>
      </c>
      <c r="P232" s="32">
        <v>205826</v>
      </c>
      <c r="Q232" s="32" t="s">
        <v>939</v>
      </c>
      <c r="V232" s="32" t="s">
        <v>34</v>
      </c>
    </row>
    <row r="233" spans="1:22" s="32" customFormat="1">
      <c r="A233" s="32" t="s">
        <v>933</v>
      </c>
      <c r="B233" s="32" t="s">
        <v>934</v>
      </c>
      <c r="C233" s="32" t="s">
        <v>1170</v>
      </c>
      <c r="D233" s="32" t="s">
        <v>936</v>
      </c>
      <c r="E233" s="62">
        <v>45545</v>
      </c>
      <c r="F233" s="32" t="s">
        <v>54</v>
      </c>
      <c r="G233" s="32">
        <v>-996.06</v>
      </c>
      <c r="H233" s="32">
        <v>-996.06</v>
      </c>
      <c r="J233" s="32" t="s">
        <v>937</v>
      </c>
      <c r="M233" s="62">
        <v>45545</v>
      </c>
      <c r="N233" s="62">
        <v>45546</v>
      </c>
      <c r="O233" s="32" t="s">
        <v>938</v>
      </c>
      <c r="P233" s="32">
        <v>205826</v>
      </c>
      <c r="Q233" s="32" t="s">
        <v>939</v>
      </c>
      <c r="V233" s="32" t="s">
        <v>34</v>
      </c>
    </row>
    <row r="234" spans="1:22" s="32" customFormat="1">
      <c r="A234" s="32" t="s">
        <v>933</v>
      </c>
      <c r="B234" s="32" t="s">
        <v>934</v>
      </c>
      <c r="C234" s="32" t="s">
        <v>1171</v>
      </c>
      <c r="D234" s="32" t="s">
        <v>936</v>
      </c>
      <c r="E234" s="62">
        <v>45545</v>
      </c>
      <c r="F234" s="32" t="s">
        <v>54</v>
      </c>
      <c r="G234" s="32">
        <v>-996.06</v>
      </c>
      <c r="H234" s="32">
        <v>-996.06</v>
      </c>
      <c r="J234" s="32" t="s">
        <v>937</v>
      </c>
      <c r="M234" s="62">
        <v>45545</v>
      </c>
      <c r="N234" s="62">
        <v>45546</v>
      </c>
      <c r="O234" s="32" t="s">
        <v>938</v>
      </c>
      <c r="P234" s="32">
        <v>205826</v>
      </c>
      <c r="Q234" s="32" t="s">
        <v>939</v>
      </c>
      <c r="V234" s="32" t="s">
        <v>34</v>
      </c>
    </row>
    <row r="235" spans="1:22" s="32" customFormat="1">
      <c r="A235" s="32" t="s">
        <v>933</v>
      </c>
      <c r="B235" s="32" t="s">
        <v>934</v>
      </c>
      <c r="C235" s="32" t="s">
        <v>1172</v>
      </c>
      <c r="D235" s="32" t="s">
        <v>936</v>
      </c>
      <c r="E235" s="62">
        <v>45545</v>
      </c>
      <c r="F235" s="32" t="s">
        <v>54</v>
      </c>
      <c r="G235" s="32">
        <v>-996.06</v>
      </c>
      <c r="H235" s="32">
        <v>-996.06</v>
      </c>
      <c r="J235" s="32" t="s">
        <v>937</v>
      </c>
      <c r="M235" s="62">
        <v>45545</v>
      </c>
      <c r="N235" s="62">
        <v>45546</v>
      </c>
      <c r="O235" s="32" t="s">
        <v>938</v>
      </c>
      <c r="P235" s="32">
        <v>205826</v>
      </c>
      <c r="Q235" s="32" t="s">
        <v>939</v>
      </c>
      <c r="V235" s="32" t="s">
        <v>34</v>
      </c>
    </row>
    <row r="236" spans="1:22" s="32" customFormat="1">
      <c r="A236" s="32" t="s">
        <v>933</v>
      </c>
      <c r="B236" s="32" t="s">
        <v>934</v>
      </c>
      <c r="C236" s="32" t="s">
        <v>1173</v>
      </c>
      <c r="D236" s="32" t="s">
        <v>936</v>
      </c>
      <c r="E236" s="62">
        <v>45545</v>
      </c>
      <c r="F236" s="32" t="s">
        <v>54</v>
      </c>
      <c r="G236" s="32">
        <v>-996.06</v>
      </c>
      <c r="H236" s="32">
        <v>-996.06</v>
      </c>
      <c r="J236" s="32" t="s">
        <v>937</v>
      </c>
      <c r="M236" s="62">
        <v>45545</v>
      </c>
      <c r="N236" s="62">
        <v>45546</v>
      </c>
      <c r="O236" s="32" t="s">
        <v>938</v>
      </c>
      <c r="P236" s="32">
        <v>205826</v>
      </c>
      <c r="Q236" s="32" t="s">
        <v>939</v>
      </c>
      <c r="V236" s="32" t="s">
        <v>34</v>
      </c>
    </row>
    <row r="237" spans="1:22" s="32" customFormat="1">
      <c r="A237" s="32" t="s">
        <v>933</v>
      </c>
      <c r="B237" s="32" t="s">
        <v>934</v>
      </c>
      <c r="C237" s="32" t="s">
        <v>1174</v>
      </c>
      <c r="D237" s="32" t="s">
        <v>936</v>
      </c>
      <c r="E237" s="62">
        <v>45545</v>
      </c>
      <c r="F237" s="32" t="s">
        <v>54</v>
      </c>
      <c r="G237" s="32">
        <v>-996.06</v>
      </c>
      <c r="H237" s="32">
        <v>-996.06</v>
      </c>
      <c r="J237" s="32" t="s">
        <v>937</v>
      </c>
      <c r="M237" s="62">
        <v>45545</v>
      </c>
      <c r="N237" s="62">
        <v>45546</v>
      </c>
      <c r="O237" s="32" t="s">
        <v>938</v>
      </c>
      <c r="P237" s="32">
        <v>205826</v>
      </c>
      <c r="Q237" s="32" t="s">
        <v>939</v>
      </c>
      <c r="V237" s="32" t="s">
        <v>34</v>
      </c>
    </row>
    <row r="238" spans="1:22" s="32" customFormat="1">
      <c r="A238" s="32" t="s">
        <v>933</v>
      </c>
      <c r="B238" s="32" t="s">
        <v>934</v>
      </c>
      <c r="C238" s="32" t="s">
        <v>1175</v>
      </c>
      <c r="D238" s="32" t="s">
        <v>936</v>
      </c>
      <c r="E238" s="62">
        <v>45545</v>
      </c>
      <c r="F238" s="32" t="s">
        <v>54</v>
      </c>
      <c r="G238" s="32">
        <v>-996.06</v>
      </c>
      <c r="H238" s="32">
        <v>-996.06</v>
      </c>
      <c r="J238" s="32" t="s">
        <v>937</v>
      </c>
      <c r="M238" s="62">
        <v>45545</v>
      </c>
      <c r="N238" s="62">
        <v>45546</v>
      </c>
      <c r="O238" s="32" t="s">
        <v>938</v>
      </c>
      <c r="P238" s="32">
        <v>205826</v>
      </c>
      <c r="Q238" s="32" t="s">
        <v>939</v>
      </c>
      <c r="V238" s="32" t="s">
        <v>34</v>
      </c>
    </row>
    <row r="239" spans="1:22" s="32" customFormat="1">
      <c r="A239" s="32" t="s">
        <v>933</v>
      </c>
      <c r="B239" s="32" t="s">
        <v>934</v>
      </c>
      <c r="C239" s="32" t="s">
        <v>1176</v>
      </c>
      <c r="D239" s="32" t="s">
        <v>936</v>
      </c>
      <c r="E239" s="62">
        <v>45545</v>
      </c>
      <c r="F239" s="32" t="s">
        <v>54</v>
      </c>
      <c r="G239" s="32">
        <v>-996.06</v>
      </c>
      <c r="H239" s="32">
        <v>-996.06</v>
      </c>
      <c r="J239" s="32" t="s">
        <v>937</v>
      </c>
      <c r="M239" s="62">
        <v>45545</v>
      </c>
      <c r="N239" s="62">
        <v>45546</v>
      </c>
      <c r="O239" s="32" t="s">
        <v>938</v>
      </c>
      <c r="P239" s="32">
        <v>205826</v>
      </c>
      <c r="Q239" s="32" t="s">
        <v>939</v>
      </c>
      <c r="V239" s="32" t="s">
        <v>34</v>
      </c>
    </row>
    <row r="240" spans="1:22" s="32" customFormat="1">
      <c r="A240" s="32" t="s">
        <v>933</v>
      </c>
      <c r="B240" s="32" t="s">
        <v>934</v>
      </c>
      <c r="C240" s="32" t="s">
        <v>1177</v>
      </c>
      <c r="D240" s="32" t="s">
        <v>936</v>
      </c>
      <c r="E240" s="62">
        <v>45545</v>
      </c>
      <c r="F240" s="32" t="s">
        <v>54</v>
      </c>
      <c r="G240" s="32">
        <v>-996.06</v>
      </c>
      <c r="H240" s="32">
        <v>-996.06</v>
      </c>
      <c r="J240" s="32" t="s">
        <v>937</v>
      </c>
      <c r="M240" s="62">
        <v>45545</v>
      </c>
      <c r="N240" s="62">
        <v>45546</v>
      </c>
      <c r="O240" s="32" t="s">
        <v>938</v>
      </c>
      <c r="P240" s="32">
        <v>205826</v>
      </c>
      <c r="Q240" s="32" t="s">
        <v>939</v>
      </c>
      <c r="V240" s="32" t="s">
        <v>34</v>
      </c>
    </row>
    <row r="241" spans="1:22" s="32" customFormat="1">
      <c r="A241" s="32" t="s">
        <v>933</v>
      </c>
      <c r="B241" s="32" t="s">
        <v>934</v>
      </c>
      <c r="C241" s="32" t="s">
        <v>1178</v>
      </c>
      <c r="D241" s="32" t="s">
        <v>936</v>
      </c>
      <c r="E241" s="62">
        <v>45545</v>
      </c>
      <c r="F241" s="32" t="s">
        <v>54</v>
      </c>
      <c r="G241" s="32">
        <v>-996.06</v>
      </c>
      <c r="H241" s="32">
        <v>-996.06</v>
      </c>
      <c r="J241" s="32" t="s">
        <v>937</v>
      </c>
      <c r="M241" s="62">
        <v>45545</v>
      </c>
      <c r="N241" s="62">
        <v>45546</v>
      </c>
      <c r="O241" s="32" t="s">
        <v>938</v>
      </c>
      <c r="P241" s="32">
        <v>205826</v>
      </c>
      <c r="Q241" s="32" t="s">
        <v>939</v>
      </c>
      <c r="V241" s="32" t="s">
        <v>34</v>
      </c>
    </row>
    <row r="242" spans="1:22" s="32" customFormat="1">
      <c r="A242" s="32" t="s">
        <v>933</v>
      </c>
      <c r="B242" s="32" t="s">
        <v>934</v>
      </c>
      <c r="C242" s="32" t="s">
        <v>1179</v>
      </c>
      <c r="D242" s="32" t="s">
        <v>936</v>
      </c>
      <c r="E242" s="62">
        <v>45545</v>
      </c>
      <c r="F242" s="32" t="s">
        <v>54</v>
      </c>
      <c r="G242" s="32">
        <v>-996.06</v>
      </c>
      <c r="H242" s="32">
        <v>-996.06</v>
      </c>
      <c r="J242" s="32" t="s">
        <v>937</v>
      </c>
      <c r="M242" s="62">
        <v>45545</v>
      </c>
      <c r="N242" s="62">
        <v>45546</v>
      </c>
      <c r="O242" s="32" t="s">
        <v>938</v>
      </c>
      <c r="P242" s="32">
        <v>205826</v>
      </c>
      <c r="Q242" s="32" t="s">
        <v>939</v>
      </c>
      <c r="V242" s="32" t="s">
        <v>34</v>
      </c>
    </row>
    <row r="243" spans="1:22" s="32" customFormat="1">
      <c r="A243" s="32" t="s">
        <v>933</v>
      </c>
      <c r="B243" s="32" t="s">
        <v>934</v>
      </c>
      <c r="C243" s="32" t="s">
        <v>1180</v>
      </c>
      <c r="D243" s="32" t="s">
        <v>936</v>
      </c>
      <c r="E243" s="62">
        <v>45545</v>
      </c>
      <c r="F243" s="32" t="s">
        <v>54</v>
      </c>
      <c r="G243" s="32">
        <v>-996.06</v>
      </c>
      <c r="H243" s="32">
        <v>-996.06</v>
      </c>
      <c r="J243" s="32" t="s">
        <v>937</v>
      </c>
      <c r="M243" s="62">
        <v>45545</v>
      </c>
      <c r="N243" s="62">
        <v>45546</v>
      </c>
      <c r="O243" s="32" t="s">
        <v>938</v>
      </c>
      <c r="P243" s="32">
        <v>205826</v>
      </c>
      <c r="Q243" s="32" t="s">
        <v>939</v>
      </c>
      <c r="V243" s="32" t="s">
        <v>34</v>
      </c>
    </row>
    <row r="244" spans="1:22" s="32" customFormat="1">
      <c r="A244" s="32" t="s">
        <v>933</v>
      </c>
      <c r="B244" s="32" t="s">
        <v>934</v>
      </c>
      <c r="C244" s="32" t="s">
        <v>1181</v>
      </c>
      <c r="D244" s="32" t="s">
        <v>936</v>
      </c>
      <c r="E244" s="62">
        <v>45545</v>
      </c>
      <c r="F244" s="32" t="s">
        <v>54</v>
      </c>
      <c r="G244" s="32">
        <v>-996.06</v>
      </c>
      <c r="H244" s="32">
        <v>-996.06</v>
      </c>
      <c r="J244" s="32" t="s">
        <v>937</v>
      </c>
      <c r="M244" s="62">
        <v>45545</v>
      </c>
      <c r="N244" s="62">
        <v>45546</v>
      </c>
      <c r="O244" s="32" t="s">
        <v>938</v>
      </c>
      <c r="P244" s="32">
        <v>205826</v>
      </c>
      <c r="Q244" s="32" t="s">
        <v>939</v>
      </c>
      <c r="V244" s="32" t="s">
        <v>34</v>
      </c>
    </row>
    <row r="245" spans="1:22" s="32" customFormat="1">
      <c r="A245" s="32" t="s">
        <v>933</v>
      </c>
      <c r="B245" s="32" t="s">
        <v>934</v>
      </c>
      <c r="C245" s="32" t="s">
        <v>1182</v>
      </c>
      <c r="D245" s="32" t="s">
        <v>936</v>
      </c>
      <c r="E245" s="62">
        <v>45545</v>
      </c>
      <c r="F245" s="32" t="s">
        <v>54</v>
      </c>
      <c r="G245" s="32">
        <v>-996.06</v>
      </c>
      <c r="H245" s="32">
        <v>-996.06</v>
      </c>
      <c r="J245" s="32" t="s">
        <v>937</v>
      </c>
      <c r="M245" s="62">
        <v>45545</v>
      </c>
      <c r="N245" s="62">
        <v>45546</v>
      </c>
      <c r="O245" s="32" t="s">
        <v>938</v>
      </c>
      <c r="P245" s="32">
        <v>205826</v>
      </c>
      <c r="Q245" s="32" t="s">
        <v>939</v>
      </c>
      <c r="V245" s="32" t="s">
        <v>34</v>
      </c>
    </row>
    <row r="246" spans="1:22" s="32" customFormat="1">
      <c r="A246" s="32" t="s">
        <v>933</v>
      </c>
      <c r="B246" s="32" t="s">
        <v>934</v>
      </c>
      <c r="C246" s="32" t="s">
        <v>1183</v>
      </c>
      <c r="D246" s="32" t="s">
        <v>936</v>
      </c>
      <c r="E246" s="62">
        <v>45545</v>
      </c>
      <c r="F246" s="32" t="s">
        <v>54</v>
      </c>
      <c r="G246" s="32">
        <v>-996.06</v>
      </c>
      <c r="H246" s="32">
        <v>-996.06</v>
      </c>
      <c r="J246" s="32" t="s">
        <v>937</v>
      </c>
      <c r="M246" s="62">
        <v>45545</v>
      </c>
      <c r="N246" s="62">
        <v>45546</v>
      </c>
      <c r="O246" s="32" t="s">
        <v>938</v>
      </c>
      <c r="P246" s="32">
        <v>205826</v>
      </c>
      <c r="Q246" s="32" t="s">
        <v>939</v>
      </c>
      <c r="V246" s="32" t="s">
        <v>34</v>
      </c>
    </row>
    <row r="247" spans="1:22" s="32" customFormat="1">
      <c r="A247" s="32" t="s">
        <v>933</v>
      </c>
      <c r="B247" s="32" t="s">
        <v>934</v>
      </c>
      <c r="C247" s="32" t="s">
        <v>1184</v>
      </c>
      <c r="D247" s="32" t="s">
        <v>936</v>
      </c>
      <c r="E247" s="62">
        <v>45545</v>
      </c>
      <c r="F247" s="32" t="s">
        <v>54</v>
      </c>
      <c r="G247" s="32">
        <v>-996.06</v>
      </c>
      <c r="H247" s="32">
        <v>-996.06</v>
      </c>
      <c r="J247" s="32" t="s">
        <v>937</v>
      </c>
      <c r="M247" s="62">
        <v>45545</v>
      </c>
      <c r="N247" s="62">
        <v>45546</v>
      </c>
      <c r="O247" s="32" t="s">
        <v>938</v>
      </c>
      <c r="P247" s="32">
        <v>205826</v>
      </c>
      <c r="Q247" s="32" t="s">
        <v>939</v>
      </c>
      <c r="V247" s="32" t="s">
        <v>34</v>
      </c>
    </row>
    <row r="248" spans="1:22" s="32" customFormat="1">
      <c r="A248" s="32" t="s">
        <v>933</v>
      </c>
      <c r="B248" s="32" t="s">
        <v>934</v>
      </c>
      <c r="C248" s="32" t="s">
        <v>1185</v>
      </c>
      <c r="D248" s="32" t="s">
        <v>936</v>
      </c>
      <c r="E248" s="62">
        <v>45545</v>
      </c>
      <c r="F248" s="32" t="s">
        <v>54</v>
      </c>
      <c r="G248" s="32">
        <v>-996.06</v>
      </c>
      <c r="H248" s="32">
        <v>-996.06</v>
      </c>
      <c r="J248" s="32" t="s">
        <v>937</v>
      </c>
      <c r="M248" s="62">
        <v>45545</v>
      </c>
      <c r="N248" s="62">
        <v>45546</v>
      </c>
      <c r="O248" s="32" t="s">
        <v>938</v>
      </c>
      <c r="P248" s="32">
        <v>205826</v>
      </c>
      <c r="Q248" s="32" t="s">
        <v>939</v>
      </c>
      <c r="V248" s="32" t="s">
        <v>34</v>
      </c>
    </row>
    <row r="249" spans="1:22" s="32" customFormat="1">
      <c r="A249" s="32" t="s">
        <v>933</v>
      </c>
      <c r="B249" s="32" t="s">
        <v>934</v>
      </c>
      <c r="C249" s="32" t="s">
        <v>1186</v>
      </c>
      <c r="D249" s="32" t="s">
        <v>936</v>
      </c>
      <c r="E249" s="62">
        <v>45545</v>
      </c>
      <c r="F249" s="32" t="s">
        <v>54</v>
      </c>
      <c r="G249" s="32">
        <v>-996.06</v>
      </c>
      <c r="H249" s="32">
        <v>-996.06</v>
      </c>
      <c r="J249" s="32" t="s">
        <v>937</v>
      </c>
      <c r="M249" s="62">
        <v>45545</v>
      </c>
      <c r="N249" s="62">
        <v>45546</v>
      </c>
      <c r="O249" s="32" t="s">
        <v>938</v>
      </c>
      <c r="P249" s="32">
        <v>205826</v>
      </c>
      <c r="Q249" s="32" t="s">
        <v>939</v>
      </c>
      <c r="V249" s="32" t="s">
        <v>34</v>
      </c>
    </row>
    <row r="250" spans="1:22" s="32" customFormat="1">
      <c r="A250" s="32" t="s">
        <v>933</v>
      </c>
      <c r="B250" s="32" t="s">
        <v>934</v>
      </c>
      <c r="C250" s="32" t="s">
        <v>1187</v>
      </c>
      <c r="D250" s="32" t="s">
        <v>936</v>
      </c>
      <c r="E250" s="62">
        <v>45545</v>
      </c>
      <c r="F250" s="32" t="s">
        <v>54</v>
      </c>
      <c r="G250" s="32">
        <v>-996.06</v>
      </c>
      <c r="H250" s="32">
        <v>-996.06</v>
      </c>
      <c r="J250" s="32" t="s">
        <v>937</v>
      </c>
      <c r="M250" s="62">
        <v>45545</v>
      </c>
      <c r="N250" s="62">
        <v>45546</v>
      </c>
      <c r="O250" s="32" t="s">
        <v>938</v>
      </c>
      <c r="P250" s="32">
        <v>205826</v>
      </c>
      <c r="Q250" s="32" t="s">
        <v>939</v>
      </c>
      <c r="V250" s="32" t="s">
        <v>34</v>
      </c>
    </row>
    <row r="251" spans="1:22" s="32" customFormat="1">
      <c r="A251" s="32" t="s">
        <v>933</v>
      </c>
      <c r="B251" s="32" t="s">
        <v>934</v>
      </c>
      <c r="C251" s="32" t="s">
        <v>1188</v>
      </c>
      <c r="D251" s="32" t="s">
        <v>936</v>
      </c>
      <c r="E251" s="62">
        <v>45545</v>
      </c>
      <c r="F251" s="32" t="s">
        <v>54</v>
      </c>
      <c r="G251" s="32">
        <v>-996.06</v>
      </c>
      <c r="H251" s="32">
        <v>-996.06</v>
      </c>
      <c r="J251" s="32" t="s">
        <v>937</v>
      </c>
      <c r="M251" s="62">
        <v>45545</v>
      </c>
      <c r="N251" s="62">
        <v>45546</v>
      </c>
      <c r="O251" s="32" t="s">
        <v>938</v>
      </c>
      <c r="P251" s="32">
        <v>205826</v>
      </c>
      <c r="Q251" s="32" t="s">
        <v>939</v>
      </c>
      <c r="V251" s="32" t="s">
        <v>34</v>
      </c>
    </row>
    <row r="252" spans="1:22" s="32" customFormat="1">
      <c r="A252" s="32" t="s">
        <v>933</v>
      </c>
      <c r="B252" s="32" t="s">
        <v>934</v>
      </c>
      <c r="C252" s="32" t="s">
        <v>1189</v>
      </c>
      <c r="D252" s="32" t="s">
        <v>936</v>
      </c>
      <c r="E252" s="62">
        <v>45545</v>
      </c>
      <c r="F252" s="32" t="s">
        <v>54</v>
      </c>
      <c r="G252" s="32">
        <v>-996.06</v>
      </c>
      <c r="H252" s="32">
        <v>-996.06</v>
      </c>
      <c r="J252" s="32" t="s">
        <v>937</v>
      </c>
      <c r="M252" s="62">
        <v>45545</v>
      </c>
      <c r="N252" s="62">
        <v>45546</v>
      </c>
      <c r="O252" s="32" t="s">
        <v>938</v>
      </c>
      <c r="P252" s="32">
        <v>205826</v>
      </c>
      <c r="Q252" s="32" t="s">
        <v>939</v>
      </c>
      <c r="V252" s="32" t="s">
        <v>34</v>
      </c>
    </row>
    <row r="253" spans="1:22" s="32" customFormat="1">
      <c r="A253" s="32" t="s">
        <v>933</v>
      </c>
      <c r="B253" s="32" t="s">
        <v>934</v>
      </c>
      <c r="C253" s="32" t="s">
        <v>1190</v>
      </c>
      <c r="D253" s="32" t="s">
        <v>936</v>
      </c>
      <c r="E253" s="62">
        <v>45545</v>
      </c>
      <c r="F253" s="32" t="s">
        <v>54</v>
      </c>
      <c r="G253" s="32">
        <v>-996.06</v>
      </c>
      <c r="H253" s="32">
        <v>-996.06</v>
      </c>
      <c r="J253" s="32" t="s">
        <v>937</v>
      </c>
      <c r="M253" s="62">
        <v>45545</v>
      </c>
      <c r="N253" s="62">
        <v>45546</v>
      </c>
      <c r="O253" s="32" t="s">
        <v>938</v>
      </c>
      <c r="P253" s="32">
        <v>205826</v>
      </c>
      <c r="Q253" s="32" t="s">
        <v>939</v>
      </c>
      <c r="V253" s="32" t="s">
        <v>34</v>
      </c>
    </row>
    <row r="254" spans="1:22" s="32" customFormat="1">
      <c r="A254" s="32" t="s">
        <v>933</v>
      </c>
      <c r="B254" s="32" t="s">
        <v>934</v>
      </c>
      <c r="C254" s="32" t="s">
        <v>1191</v>
      </c>
      <c r="D254" s="32" t="s">
        <v>936</v>
      </c>
      <c r="E254" s="62">
        <v>45545</v>
      </c>
      <c r="F254" s="32" t="s">
        <v>54</v>
      </c>
      <c r="G254" s="32">
        <v>-996.06</v>
      </c>
      <c r="H254" s="32">
        <v>-996.06</v>
      </c>
      <c r="J254" s="32" t="s">
        <v>937</v>
      </c>
      <c r="M254" s="62">
        <v>45545</v>
      </c>
      <c r="N254" s="62">
        <v>45546</v>
      </c>
      <c r="O254" s="32" t="s">
        <v>938</v>
      </c>
      <c r="P254" s="32">
        <v>205826</v>
      </c>
      <c r="Q254" s="32" t="s">
        <v>939</v>
      </c>
      <c r="V254" s="32" t="s">
        <v>34</v>
      </c>
    </row>
    <row r="255" spans="1:22" s="32" customFormat="1">
      <c r="A255" s="32" t="s">
        <v>933</v>
      </c>
      <c r="B255" s="32" t="s">
        <v>934</v>
      </c>
      <c r="C255" s="32" t="s">
        <v>1192</v>
      </c>
      <c r="D255" s="32" t="s">
        <v>936</v>
      </c>
      <c r="E255" s="62">
        <v>45545</v>
      </c>
      <c r="F255" s="32" t="s">
        <v>54</v>
      </c>
      <c r="G255" s="32">
        <v>-996.06</v>
      </c>
      <c r="H255" s="32">
        <v>-996.06</v>
      </c>
      <c r="J255" s="32" t="s">
        <v>937</v>
      </c>
      <c r="M255" s="62">
        <v>45545</v>
      </c>
      <c r="N255" s="62">
        <v>45546</v>
      </c>
      <c r="O255" s="32" t="s">
        <v>938</v>
      </c>
      <c r="P255" s="32">
        <v>205826</v>
      </c>
      <c r="Q255" s="32" t="s">
        <v>939</v>
      </c>
      <c r="V255" s="32" t="s">
        <v>34</v>
      </c>
    </row>
    <row r="256" spans="1:22" s="32" customFormat="1">
      <c r="A256" s="32" t="s">
        <v>933</v>
      </c>
      <c r="B256" s="32" t="s">
        <v>934</v>
      </c>
      <c r="C256" s="32" t="s">
        <v>1193</v>
      </c>
      <c r="D256" s="32" t="s">
        <v>936</v>
      </c>
      <c r="E256" s="62">
        <v>45545</v>
      </c>
      <c r="F256" s="32" t="s">
        <v>54</v>
      </c>
      <c r="G256" s="32">
        <v>-996.06</v>
      </c>
      <c r="H256" s="32">
        <v>-996.06</v>
      </c>
      <c r="J256" s="32" t="s">
        <v>937</v>
      </c>
      <c r="M256" s="62">
        <v>45545</v>
      </c>
      <c r="N256" s="62">
        <v>45546</v>
      </c>
      <c r="O256" s="32" t="s">
        <v>938</v>
      </c>
      <c r="P256" s="32">
        <v>205826</v>
      </c>
      <c r="Q256" s="32" t="s">
        <v>939</v>
      </c>
      <c r="V256" s="32" t="s">
        <v>34</v>
      </c>
    </row>
    <row r="257" spans="1:22" s="32" customFormat="1">
      <c r="A257" s="32" t="s">
        <v>933</v>
      </c>
      <c r="B257" s="32" t="s">
        <v>934</v>
      </c>
      <c r="C257" s="32" t="s">
        <v>1194</v>
      </c>
      <c r="D257" s="32" t="s">
        <v>936</v>
      </c>
      <c r="E257" s="62">
        <v>45545</v>
      </c>
      <c r="F257" s="32" t="s">
        <v>54</v>
      </c>
      <c r="G257" s="204">
        <v>-1656.63</v>
      </c>
      <c r="H257" s="204">
        <v>-1656.63</v>
      </c>
      <c r="J257" s="32" t="s">
        <v>937</v>
      </c>
      <c r="M257" s="62">
        <v>45545</v>
      </c>
      <c r="N257" s="62">
        <v>45546</v>
      </c>
      <c r="O257" s="32" t="s">
        <v>938</v>
      </c>
      <c r="P257" s="32">
        <v>205826</v>
      </c>
      <c r="Q257" s="32" t="s">
        <v>939</v>
      </c>
      <c r="V257" s="32" t="s">
        <v>34</v>
      </c>
    </row>
    <row r="258" spans="1:22" s="32" customFormat="1">
      <c r="A258" s="32" t="s">
        <v>933</v>
      </c>
      <c r="B258" s="32" t="s">
        <v>934</v>
      </c>
      <c r="C258" s="32" t="s">
        <v>1195</v>
      </c>
      <c r="D258" s="32" t="s">
        <v>936</v>
      </c>
      <c r="E258" s="62">
        <v>45545</v>
      </c>
      <c r="F258" s="32" t="s">
        <v>54</v>
      </c>
      <c r="G258" s="204">
        <v>-1656.63</v>
      </c>
      <c r="H258" s="204">
        <v>-1656.63</v>
      </c>
      <c r="J258" s="32" t="s">
        <v>937</v>
      </c>
      <c r="M258" s="62">
        <v>45545</v>
      </c>
      <c r="N258" s="62">
        <v>45546</v>
      </c>
      <c r="O258" s="32" t="s">
        <v>938</v>
      </c>
      <c r="P258" s="32">
        <v>205826</v>
      </c>
      <c r="Q258" s="32" t="s">
        <v>939</v>
      </c>
      <c r="V258" s="32" t="s">
        <v>34</v>
      </c>
    </row>
    <row r="259" spans="1:22" s="32" customFormat="1">
      <c r="A259" s="32" t="s">
        <v>933</v>
      </c>
      <c r="B259" s="32" t="s">
        <v>934</v>
      </c>
      <c r="C259" s="32" t="s">
        <v>1196</v>
      </c>
      <c r="D259" s="32" t="s">
        <v>936</v>
      </c>
      <c r="E259" s="62">
        <v>45545</v>
      </c>
      <c r="F259" s="32" t="s">
        <v>54</v>
      </c>
      <c r="G259" s="204">
        <v>-1656.63</v>
      </c>
      <c r="H259" s="204">
        <v>-1656.63</v>
      </c>
      <c r="J259" s="32" t="s">
        <v>937</v>
      </c>
      <c r="M259" s="62">
        <v>45545</v>
      </c>
      <c r="N259" s="62">
        <v>45546</v>
      </c>
      <c r="O259" s="32" t="s">
        <v>938</v>
      </c>
      <c r="P259" s="32">
        <v>205826</v>
      </c>
      <c r="Q259" s="32" t="s">
        <v>939</v>
      </c>
      <c r="V259" s="32" t="s">
        <v>34</v>
      </c>
    </row>
    <row r="260" spans="1:22" s="32" customFormat="1">
      <c r="A260" s="32" t="s">
        <v>933</v>
      </c>
      <c r="B260" s="32" t="s">
        <v>934</v>
      </c>
      <c r="C260" s="32" t="s">
        <v>1197</v>
      </c>
      <c r="D260" s="32" t="s">
        <v>936</v>
      </c>
      <c r="E260" s="62">
        <v>45545</v>
      </c>
      <c r="F260" s="32" t="s">
        <v>54</v>
      </c>
      <c r="G260" s="204">
        <v>-1656.63</v>
      </c>
      <c r="H260" s="204">
        <v>-1656.63</v>
      </c>
      <c r="J260" s="32" t="s">
        <v>937</v>
      </c>
      <c r="M260" s="62">
        <v>45545</v>
      </c>
      <c r="N260" s="62">
        <v>45546</v>
      </c>
      <c r="O260" s="32" t="s">
        <v>938</v>
      </c>
      <c r="P260" s="32">
        <v>205826</v>
      </c>
      <c r="Q260" s="32" t="s">
        <v>939</v>
      </c>
      <c r="V260" s="32" t="s">
        <v>34</v>
      </c>
    </row>
    <row r="261" spans="1:22" s="32" customFormat="1">
      <c r="A261" s="32" t="s">
        <v>933</v>
      </c>
      <c r="B261" s="32" t="s">
        <v>934</v>
      </c>
      <c r="C261" s="32" t="s">
        <v>1198</v>
      </c>
      <c r="D261" s="32" t="s">
        <v>936</v>
      </c>
      <c r="E261" s="62">
        <v>45545</v>
      </c>
      <c r="F261" s="32" t="s">
        <v>54</v>
      </c>
      <c r="G261" s="204">
        <v>-1656.63</v>
      </c>
      <c r="H261" s="204">
        <v>-1656.63</v>
      </c>
      <c r="J261" s="32" t="s">
        <v>937</v>
      </c>
      <c r="M261" s="62">
        <v>45545</v>
      </c>
      <c r="N261" s="62">
        <v>45546</v>
      </c>
      <c r="O261" s="32" t="s">
        <v>938</v>
      </c>
      <c r="P261" s="32">
        <v>205826</v>
      </c>
      <c r="Q261" s="32" t="s">
        <v>939</v>
      </c>
      <c r="V261" s="32" t="s">
        <v>34</v>
      </c>
    </row>
    <row r="262" spans="1:22" s="32" customFormat="1">
      <c r="A262" s="32" t="s">
        <v>933</v>
      </c>
      <c r="B262" s="32" t="s">
        <v>934</v>
      </c>
      <c r="C262" s="32" t="s">
        <v>1199</v>
      </c>
      <c r="D262" s="32" t="s">
        <v>936</v>
      </c>
      <c r="E262" s="62">
        <v>45545</v>
      </c>
      <c r="F262" s="32" t="s">
        <v>54</v>
      </c>
      <c r="G262" s="204">
        <v>-1656.63</v>
      </c>
      <c r="H262" s="204">
        <v>-1656.63</v>
      </c>
      <c r="J262" s="32" t="s">
        <v>937</v>
      </c>
      <c r="M262" s="62">
        <v>45545</v>
      </c>
      <c r="N262" s="62">
        <v>45546</v>
      </c>
      <c r="O262" s="32" t="s">
        <v>938</v>
      </c>
      <c r="P262" s="32">
        <v>205826</v>
      </c>
      <c r="Q262" s="32" t="s">
        <v>939</v>
      </c>
      <c r="V262" s="32" t="s">
        <v>34</v>
      </c>
    </row>
    <row r="263" spans="1:22" s="32" customFormat="1">
      <c r="A263" s="32" t="s">
        <v>933</v>
      </c>
      <c r="B263" s="32" t="s">
        <v>934</v>
      </c>
      <c r="C263" s="32" t="s">
        <v>1200</v>
      </c>
      <c r="D263" s="32" t="s">
        <v>936</v>
      </c>
      <c r="E263" s="62">
        <v>45545</v>
      </c>
      <c r="F263" s="32" t="s">
        <v>54</v>
      </c>
      <c r="G263" s="204">
        <v>-1656.63</v>
      </c>
      <c r="H263" s="204">
        <v>-1656.63</v>
      </c>
      <c r="J263" s="32" t="s">
        <v>937</v>
      </c>
      <c r="M263" s="62">
        <v>45545</v>
      </c>
      <c r="N263" s="62">
        <v>45546</v>
      </c>
      <c r="O263" s="32" t="s">
        <v>938</v>
      </c>
      <c r="P263" s="32">
        <v>205826</v>
      </c>
      <c r="Q263" s="32" t="s">
        <v>939</v>
      </c>
      <c r="V263" s="32" t="s">
        <v>34</v>
      </c>
    </row>
    <row r="264" spans="1:22" s="32" customFormat="1">
      <c r="A264" s="32" t="s">
        <v>933</v>
      </c>
      <c r="B264" s="32" t="s">
        <v>934</v>
      </c>
      <c r="C264" s="32" t="s">
        <v>1201</v>
      </c>
      <c r="D264" s="32" t="s">
        <v>936</v>
      </c>
      <c r="E264" s="62">
        <v>45545</v>
      </c>
      <c r="F264" s="32" t="s">
        <v>54</v>
      </c>
      <c r="G264" s="204">
        <v>-1656.63</v>
      </c>
      <c r="H264" s="204">
        <v>-1656.63</v>
      </c>
      <c r="J264" s="32" t="s">
        <v>937</v>
      </c>
      <c r="M264" s="62">
        <v>45545</v>
      </c>
      <c r="N264" s="62">
        <v>45546</v>
      </c>
      <c r="O264" s="32" t="s">
        <v>938</v>
      </c>
      <c r="P264" s="32">
        <v>205826</v>
      </c>
      <c r="Q264" s="32" t="s">
        <v>939</v>
      </c>
      <c r="V264" s="32" t="s">
        <v>34</v>
      </c>
    </row>
    <row r="265" spans="1:22" s="32" customFormat="1">
      <c r="A265" s="32" t="s">
        <v>933</v>
      </c>
      <c r="B265" s="32" t="s">
        <v>934</v>
      </c>
      <c r="C265" s="32" t="s">
        <v>1202</v>
      </c>
      <c r="D265" s="32" t="s">
        <v>936</v>
      </c>
      <c r="E265" s="62">
        <v>45545</v>
      </c>
      <c r="F265" s="32" t="s">
        <v>54</v>
      </c>
      <c r="G265" s="204">
        <v>-1656.63</v>
      </c>
      <c r="H265" s="204">
        <v>-1656.63</v>
      </c>
      <c r="J265" s="32" t="s">
        <v>937</v>
      </c>
      <c r="M265" s="62">
        <v>45545</v>
      </c>
      <c r="N265" s="62">
        <v>45546</v>
      </c>
      <c r="O265" s="32" t="s">
        <v>938</v>
      </c>
      <c r="P265" s="32">
        <v>205826</v>
      </c>
      <c r="Q265" s="32" t="s">
        <v>939</v>
      </c>
      <c r="V265" s="32" t="s">
        <v>34</v>
      </c>
    </row>
    <row r="266" spans="1:22" s="32" customFormat="1">
      <c r="A266" s="32" t="s">
        <v>933</v>
      </c>
      <c r="B266" s="32" t="s">
        <v>934</v>
      </c>
      <c r="C266" s="32" t="s">
        <v>1203</v>
      </c>
      <c r="D266" s="32" t="s">
        <v>936</v>
      </c>
      <c r="E266" s="62">
        <v>45545</v>
      </c>
      <c r="F266" s="32" t="s">
        <v>54</v>
      </c>
      <c r="G266" s="204">
        <v>-1656.63</v>
      </c>
      <c r="H266" s="204">
        <v>-1656.63</v>
      </c>
      <c r="J266" s="32" t="s">
        <v>937</v>
      </c>
      <c r="M266" s="62">
        <v>45545</v>
      </c>
      <c r="N266" s="62">
        <v>45546</v>
      </c>
      <c r="O266" s="32" t="s">
        <v>938</v>
      </c>
      <c r="P266" s="32">
        <v>205826</v>
      </c>
      <c r="Q266" s="32" t="s">
        <v>939</v>
      </c>
      <c r="V266" s="32" t="s">
        <v>34</v>
      </c>
    </row>
    <row r="267" spans="1:22" s="32" customFormat="1">
      <c r="A267" s="32" t="s">
        <v>933</v>
      </c>
      <c r="B267" s="32" t="s">
        <v>934</v>
      </c>
      <c r="C267" s="32" t="s">
        <v>1204</v>
      </c>
      <c r="D267" s="32" t="s">
        <v>936</v>
      </c>
      <c r="E267" s="62">
        <v>45545</v>
      </c>
      <c r="F267" s="32" t="s">
        <v>54</v>
      </c>
      <c r="G267" s="204">
        <v>-1656.63</v>
      </c>
      <c r="H267" s="204">
        <v>-1656.63</v>
      </c>
      <c r="J267" s="32" t="s">
        <v>937</v>
      </c>
      <c r="M267" s="62">
        <v>45545</v>
      </c>
      <c r="N267" s="62">
        <v>45546</v>
      </c>
      <c r="O267" s="32" t="s">
        <v>938</v>
      </c>
      <c r="P267" s="32">
        <v>205826</v>
      </c>
      <c r="Q267" s="32" t="s">
        <v>939</v>
      </c>
      <c r="V267" s="32" t="s">
        <v>34</v>
      </c>
    </row>
    <row r="268" spans="1:22" s="32" customFormat="1">
      <c r="A268" s="32" t="s">
        <v>933</v>
      </c>
      <c r="B268" s="32" t="s">
        <v>934</v>
      </c>
      <c r="C268" s="32" t="s">
        <v>1205</v>
      </c>
      <c r="D268" s="32" t="s">
        <v>936</v>
      </c>
      <c r="E268" s="62">
        <v>45545</v>
      </c>
      <c r="F268" s="32" t="s">
        <v>54</v>
      </c>
      <c r="G268" s="204">
        <v>-1656.63</v>
      </c>
      <c r="H268" s="204">
        <v>-1656.63</v>
      </c>
      <c r="J268" s="32" t="s">
        <v>937</v>
      </c>
      <c r="M268" s="62">
        <v>45545</v>
      </c>
      <c r="N268" s="62">
        <v>45546</v>
      </c>
      <c r="O268" s="32" t="s">
        <v>938</v>
      </c>
      <c r="P268" s="32">
        <v>205826</v>
      </c>
      <c r="Q268" s="32" t="s">
        <v>939</v>
      </c>
      <c r="V268" s="32" t="s">
        <v>34</v>
      </c>
    </row>
    <row r="269" spans="1:22" s="32" customFormat="1">
      <c r="A269" s="32" t="s">
        <v>933</v>
      </c>
      <c r="B269" s="32" t="s">
        <v>934</v>
      </c>
      <c r="C269" s="32" t="s">
        <v>1206</v>
      </c>
      <c r="D269" s="32" t="s">
        <v>936</v>
      </c>
      <c r="E269" s="62">
        <v>45545</v>
      </c>
      <c r="F269" s="32" t="s">
        <v>54</v>
      </c>
      <c r="G269" s="204">
        <v>-1656.63</v>
      </c>
      <c r="H269" s="204">
        <v>-1656.63</v>
      </c>
      <c r="J269" s="32" t="s">
        <v>937</v>
      </c>
      <c r="M269" s="62">
        <v>45545</v>
      </c>
      <c r="N269" s="62">
        <v>45546</v>
      </c>
      <c r="O269" s="32" t="s">
        <v>938</v>
      </c>
      <c r="P269" s="32">
        <v>205826</v>
      </c>
      <c r="Q269" s="32" t="s">
        <v>939</v>
      </c>
      <c r="V269" s="32" t="s">
        <v>34</v>
      </c>
    </row>
    <row r="270" spans="1:22" s="32" customFormat="1">
      <c r="A270" s="32" t="s">
        <v>933</v>
      </c>
      <c r="B270" s="32" t="s">
        <v>934</v>
      </c>
      <c r="C270" s="32" t="s">
        <v>1207</v>
      </c>
      <c r="D270" s="32" t="s">
        <v>936</v>
      </c>
      <c r="E270" s="62">
        <v>45545</v>
      </c>
      <c r="F270" s="32" t="s">
        <v>54</v>
      </c>
      <c r="G270" s="204">
        <v>-1656.63</v>
      </c>
      <c r="H270" s="204">
        <v>-1656.63</v>
      </c>
      <c r="J270" s="32" t="s">
        <v>937</v>
      </c>
      <c r="M270" s="62">
        <v>45545</v>
      </c>
      <c r="N270" s="62">
        <v>45546</v>
      </c>
      <c r="O270" s="32" t="s">
        <v>938</v>
      </c>
      <c r="P270" s="32">
        <v>205826</v>
      </c>
      <c r="Q270" s="32" t="s">
        <v>939</v>
      </c>
      <c r="V270" s="32" t="s">
        <v>34</v>
      </c>
    </row>
    <row r="271" spans="1:22" s="32" customFormat="1">
      <c r="A271" s="32" t="s">
        <v>933</v>
      </c>
      <c r="B271" s="32" t="s">
        <v>934</v>
      </c>
      <c r="C271" s="32" t="s">
        <v>1208</v>
      </c>
      <c r="D271" s="32" t="s">
        <v>936</v>
      </c>
      <c r="E271" s="62">
        <v>45545</v>
      </c>
      <c r="F271" s="32" t="s">
        <v>54</v>
      </c>
      <c r="G271" s="204">
        <v>-1656.63</v>
      </c>
      <c r="H271" s="204">
        <v>-1656.63</v>
      </c>
      <c r="J271" s="32" t="s">
        <v>937</v>
      </c>
      <c r="M271" s="62">
        <v>45545</v>
      </c>
      <c r="N271" s="62">
        <v>45546</v>
      </c>
      <c r="O271" s="32" t="s">
        <v>938</v>
      </c>
      <c r="P271" s="32">
        <v>205826</v>
      </c>
      <c r="Q271" s="32" t="s">
        <v>939</v>
      </c>
      <c r="V271" s="32" t="s">
        <v>34</v>
      </c>
    </row>
    <row r="272" spans="1:22" s="32" customFormat="1">
      <c r="A272" s="32" t="s">
        <v>933</v>
      </c>
      <c r="B272" s="32" t="s">
        <v>934</v>
      </c>
      <c r="C272" s="32" t="s">
        <v>1209</v>
      </c>
      <c r="D272" s="32" t="s">
        <v>936</v>
      </c>
      <c r="E272" s="62">
        <v>45545</v>
      </c>
      <c r="F272" s="32" t="s">
        <v>54</v>
      </c>
      <c r="G272" s="204">
        <v>-1656.63</v>
      </c>
      <c r="H272" s="204">
        <v>-1656.63</v>
      </c>
      <c r="J272" s="32" t="s">
        <v>937</v>
      </c>
      <c r="M272" s="62">
        <v>45545</v>
      </c>
      <c r="N272" s="62">
        <v>45546</v>
      </c>
      <c r="O272" s="32" t="s">
        <v>938</v>
      </c>
      <c r="P272" s="32">
        <v>205826</v>
      </c>
      <c r="Q272" s="32" t="s">
        <v>939</v>
      </c>
      <c r="V272" s="32" t="s">
        <v>34</v>
      </c>
    </row>
    <row r="273" spans="1:22" s="32" customFormat="1">
      <c r="A273" s="32" t="s">
        <v>933</v>
      </c>
      <c r="B273" s="32" t="s">
        <v>934</v>
      </c>
      <c r="C273" s="32" t="s">
        <v>1210</v>
      </c>
      <c r="D273" s="32" t="s">
        <v>936</v>
      </c>
      <c r="E273" s="62">
        <v>45545</v>
      </c>
      <c r="F273" s="32" t="s">
        <v>54</v>
      </c>
      <c r="G273" s="204">
        <v>-1656.63</v>
      </c>
      <c r="H273" s="204">
        <v>-1656.63</v>
      </c>
      <c r="J273" s="32" t="s">
        <v>937</v>
      </c>
      <c r="M273" s="62">
        <v>45545</v>
      </c>
      <c r="N273" s="62">
        <v>45546</v>
      </c>
      <c r="O273" s="32" t="s">
        <v>938</v>
      </c>
      <c r="P273" s="32">
        <v>205826</v>
      </c>
      <c r="Q273" s="32" t="s">
        <v>939</v>
      </c>
      <c r="V273" s="32" t="s">
        <v>34</v>
      </c>
    </row>
    <row r="274" spans="1:22" s="32" customFormat="1">
      <c r="A274" s="32" t="s">
        <v>933</v>
      </c>
      <c r="B274" s="32" t="s">
        <v>934</v>
      </c>
      <c r="C274" s="32" t="s">
        <v>1211</v>
      </c>
      <c r="D274" s="32" t="s">
        <v>936</v>
      </c>
      <c r="E274" s="62">
        <v>45545</v>
      </c>
      <c r="F274" s="32" t="s">
        <v>54</v>
      </c>
      <c r="G274" s="204">
        <v>-1656.63</v>
      </c>
      <c r="H274" s="204">
        <v>-1656.63</v>
      </c>
      <c r="J274" s="32" t="s">
        <v>937</v>
      </c>
      <c r="M274" s="62">
        <v>45545</v>
      </c>
      <c r="N274" s="62">
        <v>45546</v>
      </c>
      <c r="O274" s="32" t="s">
        <v>938</v>
      </c>
      <c r="P274" s="32">
        <v>205826</v>
      </c>
      <c r="Q274" s="32" t="s">
        <v>939</v>
      </c>
      <c r="V274" s="32" t="s">
        <v>34</v>
      </c>
    </row>
    <row r="275" spans="1:22" s="32" customFormat="1">
      <c r="A275" s="32" t="s">
        <v>933</v>
      </c>
      <c r="B275" s="32" t="s">
        <v>934</v>
      </c>
      <c r="C275" s="32" t="s">
        <v>1212</v>
      </c>
      <c r="D275" s="32" t="s">
        <v>936</v>
      </c>
      <c r="E275" s="62">
        <v>45545</v>
      </c>
      <c r="F275" s="32" t="s">
        <v>54</v>
      </c>
      <c r="G275" s="204">
        <v>-1656.63</v>
      </c>
      <c r="H275" s="204">
        <v>-1656.63</v>
      </c>
      <c r="J275" s="32" t="s">
        <v>937</v>
      </c>
      <c r="M275" s="62">
        <v>45545</v>
      </c>
      <c r="N275" s="62">
        <v>45546</v>
      </c>
      <c r="O275" s="32" t="s">
        <v>938</v>
      </c>
      <c r="P275" s="32">
        <v>205826</v>
      </c>
      <c r="Q275" s="32" t="s">
        <v>939</v>
      </c>
      <c r="V275" s="32" t="s">
        <v>34</v>
      </c>
    </row>
    <row r="276" spans="1:22" s="32" customFormat="1">
      <c r="A276" s="32" t="s">
        <v>933</v>
      </c>
      <c r="B276" s="32" t="s">
        <v>934</v>
      </c>
      <c r="C276" s="32" t="s">
        <v>1213</v>
      </c>
      <c r="D276" s="32" t="s">
        <v>936</v>
      </c>
      <c r="E276" s="62">
        <v>45545</v>
      </c>
      <c r="F276" s="32" t="s">
        <v>54</v>
      </c>
      <c r="G276" s="204">
        <v>-1656.63</v>
      </c>
      <c r="H276" s="204">
        <v>-1656.63</v>
      </c>
      <c r="J276" s="32" t="s">
        <v>937</v>
      </c>
      <c r="M276" s="62">
        <v>45545</v>
      </c>
      <c r="N276" s="62">
        <v>45546</v>
      </c>
      <c r="O276" s="32" t="s">
        <v>938</v>
      </c>
      <c r="P276" s="32">
        <v>205826</v>
      </c>
      <c r="Q276" s="32" t="s">
        <v>939</v>
      </c>
      <c r="V276" s="32" t="s">
        <v>34</v>
      </c>
    </row>
    <row r="277" spans="1:22" s="32" customFormat="1">
      <c r="A277" s="32" t="s">
        <v>933</v>
      </c>
      <c r="B277" s="32" t="s">
        <v>934</v>
      </c>
      <c r="C277" s="32" t="s">
        <v>1214</v>
      </c>
      <c r="D277" s="32" t="s">
        <v>936</v>
      </c>
      <c r="E277" s="62">
        <v>45545</v>
      </c>
      <c r="F277" s="32" t="s">
        <v>54</v>
      </c>
      <c r="G277" s="204">
        <v>-1656.63</v>
      </c>
      <c r="H277" s="204">
        <v>-1656.63</v>
      </c>
      <c r="J277" s="32" t="s">
        <v>937</v>
      </c>
      <c r="M277" s="62">
        <v>45545</v>
      </c>
      <c r="N277" s="62">
        <v>45546</v>
      </c>
      <c r="O277" s="32" t="s">
        <v>938</v>
      </c>
      <c r="P277" s="32">
        <v>205826</v>
      </c>
      <c r="Q277" s="32" t="s">
        <v>939</v>
      </c>
      <c r="V277" s="32" t="s">
        <v>34</v>
      </c>
    </row>
    <row r="278" spans="1:22" s="32" customFormat="1">
      <c r="A278" s="32" t="s">
        <v>933</v>
      </c>
      <c r="B278" s="32" t="s">
        <v>934</v>
      </c>
      <c r="C278" s="32" t="s">
        <v>1215</v>
      </c>
      <c r="D278" s="32" t="s">
        <v>936</v>
      </c>
      <c r="E278" s="62">
        <v>45545</v>
      </c>
      <c r="F278" s="32" t="s">
        <v>54</v>
      </c>
      <c r="G278" s="204">
        <v>-1656.63</v>
      </c>
      <c r="H278" s="204">
        <v>-1656.63</v>
      </c>
      <c r="J278" s="32" t="s">
        <v>937</v>
      </c>
      <c r="M278" s="62">
        <v>45545</v>
      </c>
      <c r="N278" s="62">
        <v>45546</v>
      </c>
      <c r="O278" s="32" t="s">
        <v>938</v>
      </c>
      <c r="P278" s="32">
        <v>205826</v>
      </c>
      <c r="Q278" s="32" t="s">
        <v>939</v>
      </c>
      <c r="V278" s="32" t="s">
        <v>34</v>
      </c>
    </row>
    <row r="279" spans="1:22" s="32" customFormat="1">
      <c r="A279" s="32" t="s">
        <v>933</v>
      </c>
      <c r="B279" s="32" t="s">
        <v>934</v>
      </c>
      <c r="C279" s="32" t="s">
        <v>1216</v>
      </c>
      <c r="D279" s="32" t="s">
        <v>936</v>
      </c>
      <c r="E279" s="62">
        <v>45545</v>
      </c>
      <c r="F279" s="32" t="s">
        <v>54</v>
      </c>
      <c r="G279" s="204">
        <v>-1656.63</v>
      </c>
      <c r="H279" s="204">
        <v>-1656.63</v>
      </c>
      <c r="J279" s="32" t="s">
        <v>937</v>
      </c>
      <c r="M279" s="62">
        <v>45545</v>
      </c>
      <c r="N279" s="62">
        <v>45546</v>
      </c>
      <c r="O279" s="32" t="s">
        <v>938</v>
      </c>
      <c r="P279" s="32">
        <v>205826</v>
      </c>
      <c r="Q279" s="32" t="s">
        <v>939</v>
      </c>
      <c r="V279" s="32" t="s">
        <v>34</v>
      </c>
    </row>
    <row r="280" spans="1:22" s="32" customFormat="1">
      <c r="A280" s="32" t="s">
        <v>933</v>
      </c>
      <c r="B280" s="32" t="s">
        <v>934</v>
      </c>
      <c r="C280" s="32" t="s">
        <v>1217</v>
      </c>
      <c r="D280" s="32" t="s">
        <v>936</v>
      </c>
      <c r="E280" s="62">
        <v>45545</v>
      </c>
      <c r="F280" s="32" t="s">
        <v>54</v>
      </c>
      <c r="G280" s="204">
        <v>-1656.63</v>
      </c>
      <c r="H280" s="204">
        <v>-1656.63</v>
      </c>
      <c r="J280" s="32" t="s">
        <v>937</v>
      </c>
      <c r="M280" s="62">
        <v>45545</v>
      </c>
      <c r="N280" s="62">
        <v>45546</v>
      </c>
      <c r="O280" s="32" t="s">
        <v>938</v>
      </c>
      <c r="P280" s="32">
        <v>205826</v>
      </c>
      <c r="Q280" s="32" t="s">
        <v>939</v>
      </c>
      <c r="V280" s="32" t="s">
        <v>34</v>
      </c>
    </row>
    <row r="281" spans="1:22" s="32" customFormat="1">
      <c r="A281" s="32" t="s">
        <v>933</v>
      </c>
      <c r="B281" s="32" t="s">
        <v>934</v>
      </c>
      <c r="C281" s="32" t="s">
        <v>1218</v>
      </c>
      <c r="D281" s="32" t="s">
        <v>936</v>
      </c>
      <c r="E281" s="62">
        <v>45545</v>
      </c>
      <c r="F281" s="32" t="s">
        <v>54</v>
      </c>
      <c r="G281" s="204">
        <v>-1656.63</v>
      </c>
      <c r="H281" s="204">
        <v>-1656.63</v>
      </c>
      <c r="J281" s="32" t="s">
        <v>937</v>
      </c>
      <c r="M281" s="62">
        <v>45545</v>
      </c>
      <c r="N281" s="62">
        <v>45546</v>
      </c>
      <c r="O281" s="32" t="s">
        <v>938</v>
      </c>
      <c r="P281" s="32">
        <v>205826</v>
      </c>
      <c r="Q281" s="32" t="s">
        <v>939</v>
      </c>
      <c r="V281" s="32" t="s">
        <v>34</v>
      </c>
    </row>
    <row r="282" spans="1:22" s="32" customFormat="1">
      <c r="A282" s="32" t="s">
        <v>933</v>
      </c>
      <c r="B282" s="32" t="s">
        <v>934</v>
      </c>
      <c r="C282" s="32" t="s">
        <v>1219</v>
      </c>
      <c r="D282" s="32" t="s">
        <v>936</v>
      </c>
      <c r="E282" s="62">
        <v>45545</v>
      </c>
      <c r="F282" s="32" t="s">
        <v>54</v>
      </c>
      <c r="G282" s="204">
        <v>-1781.43</v>
      </c>
      <c r="H282" s="204">
        <v>-1781.43</v>
      </c>
      <c r="J282" s="32" t="s">
        <v>937</v>
      </c>
      <c r="M282" s="62">
        <v>45545</v>
      </c>
      <c r="N282" s="62">
        <v>45546</v>
      </c>
      <c r="O282" s="32" t="s">
        <v>938</v>
      </c>
      <c r="P282" s="32">
        <v>205826</v>
      </c>
      <c r="Q282" s="32" t="s">
        <v>939</v>
      </c>
      <c r="V282" s="32" t="s">
        <v>34</v>
      </c>
    </row>
    <row r="283" spans="1:22" s="32" customFormat="1">
      <c r="A283" s="32" t="s">
        <v>933</v>
      </c>
      <c r="B283" s="32" t="s">
        <v>934</v>
      </c>
      <c r="C283" s="32" t="s">
        <v>1220</v>
      </c>
      <c r="D283" s="32" t="s">
        <v>936</v>
      </c>
      <c r="E283" s="62">
        <v>45545</v>
      </c>
      <c r="F283" s="32" t="s">
        <v>54</v>
      </c>
      <c r="G283" s="204">
        <v>-1781.43</v>
      </c>
      <c r="H283" s="204">
        <v>-1781.43</v>
      </c>
      <c r="J283" s="32" t="s">
        <v>937</v>
      </c>
      <c r="M283" s="62">
        <v>45545</v>
      </c>
      <c r="N283" s="62">
        <v>45546</v>
      </c>
      <c r="O283" s="32" t="s">
        <v>938</v>
      </c>
      <c r="P283" s="32">
        <v>205826</v>
      </c>
      <c r="Q283" s="32" t="s">
        <v>939</v>
      </c>
      <c r="V283" s="32" t="s">
        <v>34</v>
      </c>
    </row>
    <row r="284" spans="1:22" s="32" customFormat="1">
      <c r="A284" s="32" t="s">
        <v>933</v>
      </c>
      <c r="B284" s="32" t="s">
        <v>934</v>
      </c>
      <c r="C284" s="32" t="s">
        <v>1221</v>
      </c>
      <c r="D284" s="32" t="s">
        <v>936</v>
      </c>
      <c r="E284" s="62">
        <v>45545</v>
      </c>
      <c r="F284" s="32" t="s">
        <v>54</v>
      </c>
      <c r="G284" s="204">
        <v>-1781.43</v>
      </c>
      <c r="H284" s="204">
        <v>-1781.43</v>
      </c>
      <c r="J284" s="32" t="s">
        <v>937</v>
      </c>
      <c r="M284" s="62">
        <v>45545</v>
      </c>
      <c r="N284" s="62">
        <v>45546</v>
      </c>
      <c r="O284" s="32" t="s">
        <v>938</v>
      </c>
      <c r="P284" s="32">
        <v>205826</v>
      </c>
      <c r="Q284" s="32" t="s">
        <v>939</v>
      </c>
      <c r="V284" s="32" t="s">
        <v>34</v>
      </c>
    </row>
    <row r="285" spans="1:22" s="32" customFormat="1">
      <c r="A285" s="32" t="s">
        <v>933</v>
      </c>
      <c r="B285" s="32" t="s">
        <v>934</v>
      </c>
      <c r="C285" s="32" t="s">
        <v>1222</v>
      </c>
      <c r="D285" s="32" t="s">
        <v>936</v>
      </c>
      <c r="E285" s="62">
        <v>45545</v>
      </c>
      <c r="F285" s="32" t="s">
        <v>54</v>
      </c>
      <c r="G285" s="204">
        <v>-1781.43</v>
      </c>
      <c r="H285" s="204">
        <v>-1781.43</v>
      </c>
      <c r="J285" s="32" t="s">
        <v>937</v>
      </c>
      <c r="M285" s="62">
        <v>45545</v>
      </c>
      <c r="N285" s="62">
        <v>45546</v>
      </c>
      <c r="O285" s="32" t="s">
        <v>938</v>
      </c>
      <c r="P285" s="32">
        <v>205826</v>
      </c>
      <c r="Q285" s="32" t="s">
        <v>939</v>
      </c>
      <c r="V285" s="32" t="s">
        <v>34</v>
      </c>
    </row>
    <row r="286" spans="1:22" s="32" customFormat="1">
      <c r="A286" s="32" t="s">
        <v>933</v>
      </c>
      <c r="B286" s="32" t="s">
        <v>934</v>
      </c>
      <c r="C286" s="32" t="s">
        <v>1223</v>
      </c>
      <c r="D286" s="32" t="s">
        <v>936</v>
      </c>
      <c r="E286" s="62">
        <v>45545</v>
      </c>
      <c r="F286" s="32" t="s">
        <v>54</v>
      </c>
      <c r="G286" s="204">
        <v>-1781.43</v>
      </c>
      <c r="H286" s="204">
        <v>-1781.43</v>
      </c>
      <c r="J286" s="32" t="s">
        <v>937</v>
      </c>
      <c r="M286" s="62">
        <v>45545</v>
      </c>
      <c r="N286" s="62">
        <v>45546</v>
      </c>
      <c r="O286" s="32" t="s">
        <v>938</v>
      </c>
      <c r="P286" s="32">
        <v>205826</v>
      </c>
      <c r="Q286" s="32" t="s">
        <v>939</v>
      </c>
      <c r="V286" s="32" t="s">
        <v>34</v>
      </c>
    </row>
    <row r="287" spans="1:22" s="32" customFormat="1">
      <c r="A287" s="32" t="s">
        <v>933</v>
      </c>
      <c r="B287" s="32" t="s">
        <v>934</v>
      </c>
      <c r="C287" s="32" t="s">
        <v>1224</v>
      </c>
      <c r="D287" s="32" t="s">
        <v>936</v>
      </c>
      <c r="E287" s="62">
        <v>45545</v>
      </c>
      <c r="F287" s="32" t="s">
        <v>54</v>
      </c>
      <c r="G287" s="204">
        <v>-1781.43</v>
      </c>
      <c r="H287" s="204">
        <v>-1781.43</v>
      </c>
      <c r="J287" s="32" t="s">
        <v>937</v>
      </c>
      <c r="M287" s="62">
        <v>45545</v>
      </c>
      <c r="N287" s="62">
        <v>45546</v>
      </c>
      <c r="O287" s="32" t="s">
        <v>938</v>
      </c>
      <c r="P287" s="32">
        <v>205826</v>
      </c>
      <c r="Q287" s="32" t="s">
        <v>939</v>
      </c>
      <c r="V287" s="32" t="s">
        <v>34</v>
      </c>
    </row>
    <row r="288" spans="1:22" s="32" customFormat="1">
      <c r="A288" s="32" t="s">
        <v>933</v>
      </c>
      <c r="B288" s="32" t="s">
        <v>934</v>
      </c>
      <c r="C288" s="32" t="s">
        <v>1225</v>
      </c>
      <c r="D288" s="32" t="s">
        <v>936</v>
      </c>
      <c r="E288" s="62">
        <v>45545</v>
      </c>
      <c r="F288" s="32" t="s">
        <v>54</v>
      </c>
      <c r="G288" s="204">
        <v>-1781.43</v>
      </c>
      <c r="H288" s="204">
        <v>-1781.43</v>
      </c>
      <c r="J288" s="32" t="s">
        <v>937</v>
      </c>
      <c r="M288" s="62">
        <v>45545</v>
      </c>
      <c r="N288" s="62">
        <v>45546</v>
      </c>
      <c r="O288" s="32" t="s">
        <v>938</v>
      </c>
      <c r="P288" s="32">
        <v>205826</v>
      </c>
      <c r="Q288" s="32" t="s">
        <v>939</v>
      </c>
      <c r="V288" s="32" t="s">
        <v>34</v>
      </c>
    </row>
    <row r="289" spans="1:22" s="32" customFormat="1">
      <c r="A289" s="32" t="s">
        <v>933</v>
      </c>
      <c r="B289" s="32" t="s">
        <v>934</v>
      </c>
      <c r="C289" s="32" t="s">
        <v>1226</v>
      </c>
      <c r="D289" s="32" t="s">
        <v>936</v>
      </c>
      <c r="E289" s="62">
        <v>45545</v>
      </c>
      <c r="F289" s="32" t="s">
        <v>54</v>
      </c>
      <c r="G289" s="204">
        <v>-1781.43</v>
      </c>
      <c r="H289" s="204">
        <v>-1781.43</v>
      </c>
      <c r="J289" s="32" t="s">
        <v>937</v>
      </c>
      <c r="M289" s="62">
        <v>45545</v>
      </c>
      <c r="N289" s="62">
        <v>45546</v>
      </c>
      <c r="O289" s="32" t="s">
        <v>938</v>
      </c>
      <c r="P289" s="32">
        <v>205826</v>
      </c>
      <c r="Q289" s="32" t="s">
        <v>939</v>
      </c>
      <c r="V289" s="32" t="s">
        <v>34</v>
      </c>
    </row>
    <row r="290" spans="1:22" s="32" customFormat="1">
      <c r="A290" s="32" t="s">
        <v>933</v>
      </c>
      <c r="B290" s="32" t="s">
        <v>934</v>
      </c>
      <c r="C290" s="32" t="s">
        <v>1227</v>
      </c>
      <c r="D290" s="32" t="s">
        <v>936</v>
      </c>
      <c r="E290" s="62">
        <v>45545</v>
      </c>
      <c r="F290" s="32" t="s">
        <v>54</v>
      </c>
      <c r="G290" s="204">
        <v>-1781.43</v>
      </c>
      <c r="H290" s="204">
        <v>-1781.43</v>
      </c>
      <c r="J290" s="32" t="s">
        <v>937</v>
      </c>
      <c r="M290" s="62">
        <v>45545</v>
      </c>
      <c r="N290" s="62">
        <v>45546</v>
      </c>
      <c r="O290" s="32" t="s">
        <v>938</v>
      </c>
      <c r="P290" s="32">
        <v>205826</v>
      </c>
      <c r="Q290" s="32" t="s">
        <v>939</v>
      </c>
      <c r="V290" s="32" t="s">
        <v>34</v>
      </c>
    </row>
    <row r="291" spans="1:22" s="32" customFormat="1">
      <c r="A291" s="32" t="s">
        <v>933</v>
      </c>
      <c r="B291" s="32" t="s">
        <v>934</v>
      </c>
      <c r="C291" s="32" t="s">
        <v>1228</v>
      </c>
      <c r="D291" s="32" t="s">
        <v>936</v>
      </c>
      <c r="E291" s="62">
        <v>45545</v>
      </c>
      <c r="F291" s="32" t="s">
        <v>54</v>
      </c>
      <c r="G291" s="204">
        <v>-1781.43</v>
      </c>
      <c r="H291" s="204">
        <v>-1781.43</v>
      </c>
      <c r="J291" s="32" t="s">
        <v>937</v>
      </c>
      <c r="M291" s="62">
        <v>45545</v>
      </c>
      <c r="N291" s="62">
        <v>45546</v>
      </c>
      <c r="O291" s="32" t="s">
        <v>938</v>
      </c>
      <c r="P291" s="32">
        <v>205826</v>
      </c>
      <c r="Q291" s="32" t="s">
        <v>939</v>
      </c>
      <c r="V291" s="32" t="s">
        <v>34</v>
      </c>
    </row>
    <row r="292" spans="1:22" s="32" customFormat="1">
      <c r="A292" s="32" t="s">
        <v>933</v>
      </c>
      <c r="B292" s="32" t="s">
        <v>934</v>
      </c>
      <c r="C292" s="32" t="s">
        <v>1229</v>
      </c>
      <c r="D292" s="32" t="s">
        <v>936</v>
      </c>
      <c r="E292" s="62">
        <v>45545</v>
      </c>
      <c r="F292" s="32" t="s">
        <v>54</v>
      </c>
      <c r="G292" s="204">
        <v>-1781.43</v>
      </c>
      <c r="H292" s="204">
        <v>-1781.43</v>
      </c>
      <c r="J292" s="32" t="s">
        <v>937</v>
      </c>
      <c r="M292" s="62">
        <v>45545</v>
      </c>
      <c r="N292" s="62">
        <v>45546</v>
      </c>
      <c r="O292" s="32" t="s">
        <v>938</v>
      </c>
      <c r="P292" s="32">
        <v>205826</v>
      </c>
      <c r="Q292" s="32" t="s">
        <v>939</v>
      </c>
      <c r="V292" s="32" t="s">
        <v>34</v>
      </c>
    </row>
    <row r="293" spans="1:22" s="32" customFormat="1">
      <c r="A293" s="32" t="s">
        <v>933</v>
      </c>
      <c r="B293" s="32" t="s">
        <v>934</v>
      </c>
      <c r="C293" s="32" t="s">
        <v>1230</v>
      </c>
      <c r="D293" s="32" t="s">
        <v>936</v>
      </c>
      <c r="E293" s="62">
        <v>45545</v>
      </c>
      <c r="F293" s="32" t="s">
        <v>54</v>
      </c>
      <c r="G293" s="204">
        <v>-1781.43</v>
      </c>
      <c r="H293" s="204">
        <v>-1781.43</v>
      </c>
      <c r="J293" s="32" t="s">
        <v>937</v>
      </c>
      <c r="M293" s="62">
        <v>45545</v>
      </c>
      <c r="N293" s="62">
        <v>45546</v>
      </c>
      <c r="O293" s="32" t="s">
        <v>938</v>
      </c>
      <c r="P293" s="32">
        <v>205826</v>
      </c>
      <c r="Q293" s="32" t="s">
        <v>939</v>
      </c>
      <c r="V293" s="32" t="s">
        <v>34</v>
      </c>
    </row>
    <row r="294" spans="1:22" s="32" customFormat="1">
      <c r="A294" s="32" t="s">
        <v>933</v>
      </c>
      <c r="B294" s="32" t="s">
        <v>934</v>
      </c>
      <c r="C294" s="32" t="s">
        <v>1231</v>
      </c>
      <c r="D294" s="32" t="s">
        <v>936</v>
      </c>
      <c r="E294" s="62">
        <v>45545</v>
      </c>
      <c r="F294" s="32" t="s">
        <v>54</v>
      </c>
      <c r="G294" s="204">
        <v>-1781.43</v>
      </c>
      <c r="H294" s="204">
        <v>-1781.43</v>
      </c>
      <c r="J294" s="32" t="s">
        <v>937</v>
      </c>
      <c r="M294" s="62">
        <v>45545</v>
      </c>
      <c r="N294" s="62">
        <v>45546</v>
      </c>
      <c r="O294" s="32" t="s">
        <v>938</v>
      </c>
      <c r="P294" s="32">
        <v>205826</v>
      </c>
      <c r="Q294" s="32" t="s">
        <v>939</v>
      </c>
      <c r="V294" s="32" t="s">
        <v>34</v>
      </c>
    </row>
    <row r="295" spans="1:22" s="32" customFormat="1">
      <c r="A295" s="32" t="s">
        <v>933</v>
      </c>
      <c r="B295" s="32" t="s">
        <v>934</v>
      </c>
      <c r="C295" s="32" t="s">
        <v>1232</v>
      </c>
      <c r="D295" s="32" t="s">
        <v>936</v>
      </c>
      <c r="E295" s="62">
        <v>45545</v>
      </c>
      <c r="F295" s="32" t="s">
        <v>54</v>
      </c>
      <c r="G295" s="204">
        <v>-1781.43</v>
      </c>
      <c r="H295" s="204">
        <v>-1781.43</v>
      </c>
      <c r="J295" s="32" t="s">
        <v>937</v>
      </c>
      <c r="M295" s="62">
        <v>45545</v>
      </c>
      <c r="N295" s="62">
        <v>45546</v>
      </c>
      <c r="O295" s="32" t="s">
        <v>938</v>
      </c>
      <c r="P295" s="32">
        <v>205826</v>
      </c>
      <c r="Q295" s="32" t="s">
        <v>939</v>
      </c>
      <c r="V295" s="32" t="s">
        <v>34</v>
      </c>
    </row>
    <row r="296" spans="1:22" s="32" customFormat="1">
      <c r="A296" s="32" t="s">
        <v>933</v>
      </c>
      <c r="B296" s="32" t="s">
        <v>934</v>
      </c>
      <c r="C296" s="32" t="s">
        <v>1233</v>
      </c>
      <c r="D296" s="32" t="s">
        <v>936</v>
      </c>
      <c r="E296" s="62">
        <v>45545</v>
      </c>
      <c r="F296" s="32" t="s">
        <v>54</v>
      </c>
      <c r="G296" s="204">
        <v>-1781.43</v>
      </c>
      <c r="H296" s="204">
        <v>-1781.43</v>
      </c>
      <c r="J296" s="32" t="s">
        <v>937</v>
      </c>
      <c r="M296" s="62">
        <v>45545</v>
      </c>
      <c r="N296" s="62">
        <v>45546</v>
      </c>
      <c r="O296" s="32" t="s">
        <v>938</v>
      </c>
      <c r="P296" s="32">
        <v>205826</v>
      </c>
      <c r="Q296" s="32" t="s">
        <v>939</v>
      </c>
      <c r="V296" s="32" t="s">
        <v>34</v>
      </c>
    </row>
    <row r="297" spans="1:22" s="32" customFormat="1">
      <c r="A297" s="32" t="s">
        <v>933</v>
      </c>
      <c r="B297" s="32" t="s">
        <v>934</v>
      </c>
      <c r="C297" s="32" t="s">
        <v>1234</v>
      </c>
      <c r="D297" s="32" t="s">
        <v>936</v>
      </c>
      <c r="E297" s="62">
        <v>45545</v>
      </c>
      <c r="F297" s="32" t="s">
        <v>54</v>
      </c>
      <c r="G297" s="204">
        <v>-1781.43</v>
      </c>
      <c r="H297" s="204">
        <v>-1781.43</v>
      </c>
      <c r="J297" s="32" t="s">
        <v>937</v>
      </c>
      <c r="M297" s="62">
        <v>45545</v>
      </c>
      <c r="N297" s="62">
        <v>45546</v>
      </c>
      <c r="O297" s="32" t="s">
        <v>938</v>
      </c>
      <c r="P297" s="32">
        <v>205826</v>
      </c>
      <c r="Q297" s="32" t="s">
        <v>939</v>
      </c>
      <c r="V297" s="32" t="s">
        <v>34</v>
      </c>
    </row>
    <row r="298" spans="1:22" s="32" customFormat="1">
      <c r="A298" s="32" t="s">
        <v>933</v>
      </c>
      <c r="B298" s="32" t="s">
        <v>934</v>
      </c>
      <c r="C298" s="32" t="s">
        <v>1235</v>
      </c>
      <c r="D298" s="32" t="s">
        <v>936</v>
      </c>
      <c r="E298" s="62">
        <v>45545</v>
      </c>
      <c r="F298" s="32" t="s">
        <v>54</v>
      </c>
      <c r="G298" s="204">
        <v>-1781.43</v>
      </c>
      <c r="H298" s="204">
        <v>-1781.43</v>
      </c>
      <c r="J298" s="32" t="s">
        <v>937</v>
      </c>
      <c r="M298" s="62">
        <v>45545</v>
      </c>
      <c r="N298" s="62">
        <v>45546</v>
      </c>
      <c r="O298" s="32" t="s">
        <v>938</v>
      </c>
      <c r="P298" s="32">
        <v>205826</v>
      </c>
      <c r="Q298" s="32" t="s">
        <v>939</v>
      </c>
      <c r="V298" s="32" t="s">
        <v>34</v>
      </c>
    </row>
    <row r="299" spans="1:22" s="32" customFormat="1">
      <c r="A299" s="32" t="s">
        <v>933</v>
      </c>
      <c r="B299" s="32" t="s">
        <v>934</v>
      </c>
      <c r="C299" s="32" t="s">
        <v>1236</v>
      </c>
      <c r="D299" s="32" t="s">
        <v>936</v>
      </c>
      <c r="E299" s="62">
        <v>45545</v>
      </c>
      <c r="F299" s="32" t="s">
        <v>54</v>
      </c>
      <c r="G299" s="204">
        <v>-1781.43</v>
      </c>
      <c r="H299" s="204">
        <v>-1781.43</v>
      </c>
      <c r="J299" s="32" t="s">
        <v>937</v>
      </c>
      <c r="M299" s="62">
        <v>45545</v>
      </c>
      <c r="N299" s="62">
        <v>45546</v>
      </c>
      <c r="O299" s="32" t="s">
        <v>938</v>
      </c>
      <c r="P299" s="32">
        <v>205826</v>
      </c>
      <c r="Q299" s="32" t="s">
        <v>939</v>
      </c>
      <c r="V299" s="32" t="s">
        <v>34</v>
      </c>
    </row>
    <row r="300" spans="1:22" s="32" customFormat="1">
      <c r="A300" s="32" t="s">
        <v>933</v>
      </c>
      <c r="B300" s="32" t="s">
        <v>934</v>
      </c>
      <c r="C300" s="32" t="s">
        <v>1237</v>
      </c>
      <c r="D300" s="32" t="s">
        <v>936</v>
      </c>
      <c r="E300" s="62">
        <v>45545</v>
      </c>
      <c r="F300" s="32" t="s">
        <v>54</v>
      </c>
      <c r="G300" s="204">
        <v>-1147.3499999999999</v>
      </c>
      <c r="H300" s="204">
        <v>-1147.3499999999999</v>
      </c>
      <c r="J300" s="32" t="s">
        <v>937</v>
      </c>
      <c r="M300" s="62">
        <v>45545</v>
      </c>
      <c r="N300" s="62">
        <v>45546</v>
      </c>
      <c r="O300" s="32" t="s">
        <v>938</v>
      </c>
      <c r="P300" s="32">
        <v>205826</v>
      </c>
      <c r="Q300" s="32" t="s">
        <v>939</v>
      </c>
      <c r="V300" s="32" t="s">
        <v>34</v>
      </c>
    </row>
    <row r="301" spans="1:22" s="32" customFormat="1">
      <c r="A301" s="32" t="s">
        <v>933</v>
      </c>
      <c r="B301" s="32" t="s">
        <v>934</v>
      </c>
      <c r="C301" s="32" t="s">
        <v>1238</v>
      </c>
      <c r="D301" s="32" t="s">
        <v>936</v>
      </c>
      <c r="E301" s="62">
        <v>45545</v>
      </c>
      <c r="F301" s="32" t="s">
        <v>54</v>
      </c>
      <c r="G301" s="204">
        <v>-1147.3499999999999</v>
      </c>
      <c r="H301" s="204">
        <v>-1147.3499999999999</v>
      </c>
      <c r="J301" s="32" t="s">
        <v>937</v>
      </c>
      <c r="M301" s="62">
        <v>45545</v>
      </c>
      <c r="N301" s="62">
        <v>45546</v>
      </c>
      <c r="O301" s="32" t="s">
        <v>938</v>
      </c>
      <c r="P301" s="32">
        <v>205826</v>
      </c>
      <c r="Q301" s="32" t="s">
        <v>939</v>
      </c>
      <c r="V301" s="32" t="s">
        <v>34</v>
      </c>
    </row>
    <row r="302" spans="1:22" s="32" customFormat="1">
      <c r="A302" s="32" t="s">
        <v>933</v>
      </c>
      <c r="B302" s="32" t="s">
        <v>934</v>
      </c>
      <c r="C302" s="32" t="s">
        <v>1239</v>
      </c>
      <c r="D302" s="32" t="s">
        <v>936</v>
      </c>
      <c r="E302" s="62">
        <v>45545</v>
      </c>
      <c r="F302" s="32" t="s">
        <v>54</v>
      </c>
      <c r="G302" s="204">
        <v>-1147.3499999999999</v>
      </c>
      <c r="H302" s="204">
        <v>-1147.3499999999999</v>
      </c>
      <c r="J302" s="32" t="s">
        <v>937</v>
      </c>
      <c r="M302" s="62">
        <v>45545</v>
      </c>
      <c r="N302" s="62">
        <v>45546</v>
      </c>
      <c r="O302" s="32" t="s">
        <v>938</v>
      </c>
      <c r="P302" s="32">
        <v>205826</v>
      </c>
      <c r="Q302" s="32" t="s">
        <v>939</v>
      </c>
      <c r="V302" s="32" t="s">
        <v>34</v>
      </c>
    </row>
    <row r="303" spans="1:22" s="32" customFormat="1">
      <c r="A303" s="32" t="s">
        <v>933</v>
      </c>
      <c r="B303" s="32" t="s">
        <v>934</v>
      </c>
      <c r="C303" s="32" t="s">
        <v>1240</v>
      </c>
      <c r="D303" s="32" t="s">
        <v>936</v>
      </c>
      <c r="E303" s="62">
        <v>45545</v>
      </c>
      <c r="F303" s="32" t="s">
        <v>54</v>
      </c>
      <c r="G303" s="204">
        <v>-1147.3499999999999</v>
      </c>
      <c r="H303" s="204">
        <v>-1147.3499999999999</v>
      </c>
      <c r="J303" s="32" t="s">
        <v>937</v>
      </c>
      <c r="M303" s="62">
        <v>45545</v>
      </c>
      <c r="N303" s="62">
        <v>45546</v>
      </c>
      <c r="O303" s="32" t="s">
        <v>938</v>
      </c>
      <c r="P303" s="32">
        <v>205826</v>
      </c>
      <c r="Q303" s="32" t="s">
        <v>939</v>
      </c>
      <c r="V303" s="32" t="s">
        <v>34</v>
      </c>
    </row>
    <row r="304" spans="1:22" s="32" customFormat="1">
      <c r="A304" s="32" t="s">
        <v>933</v>
      </c>
      <c r="B304" s="32" t="s">
        <v>934</v>
      </c>
      <c r="C304" s="32" t="s">
        <v>1241</v>
      </c>
      <c r="D304" s="32" t="s">
        <v>936</v>
      </c>
      <c r="E304" s="62">
        <v>45545</v>
      </c>
      <c r="F304" s="32" t="s">
        <v>54</v>
      </c>
      <c r="G304" s="204">
        <v>-1147.3499999999999</v>
      </c>
      <c r="H304" s="204">
        <v>-1147.3499999999999</v>
      </c>
      <c r="J304" s="32" t="s">
        <v>937</v>
      </c>
      <c r="M304" s="62">
        <v>45545</v>
      </c>
      <c r="N304" s="62">
        <v>45546</v>
      </c>
      <c r="O304" s="32" t="s">
        <v>938</v>
      </c>
      <c r="P304" s="32">
        <v>205826</v>
      </c>
      <c r="Q304" s="32" t="s">
        <v>939</v>
      </c>
      <c r="V304" s="32" t="s">
        <v>34</v>
      </c>
    </row>
    <row r="305" spans="1:22" s="32" customFormat="1">
      <c r="A305" s="32" t="s">
        <v>933</v>
      </c>
      <c r="B305" s="32" t="s">
        <v>934</v>
      </c>
      <c r="C305" s="32" t="s">
        <v>1242</v>
      </c>
      <c r="D305" s="32" t="s">
        <v>936</v>
      </c>
      <c r="E305" s="62">
        <v>45545</v>
      </c>
      <c r="F305" s="32" t="s">
        <v>54</v>
      </c>
      <c r="G305" s="204">
        <v>-1147.3499999999999</v>
      </c>
      <c r="H305" s="204">
        <v>-1147.3499999999999</v>
      </c>
      <c r="J305" s="32" t="s">
        <v>937</v>
      </c>
      <c r="M305" s="62">
        <v>45545</v>
      </c>
      <c r="N305" s="62">
        <v>45546</v>
      </c>
      <c r="O305" s="32" t="s">
        <v>938</v>
      </c>
      <c r="P305" s="32">
        <v>205826</v>
      </c>
      <c r="Q305" s="32" t="s">
        <v>939</v>
      </c>
      <c r="V305" s="32" t="s">
        <v>34</v>
      </c>
    </row>
    <row r="306" spans="1:22" s="32" customFormat="1">
      <c r="A306" s="32" t="s">
        <v>933</v>
      </c>
      <c r="B306" s="32" t="s">
        <v>934</v>
      </c>
      <c r="C306" s="32" t="s">
        <v>1243</v>
      </c>
      <c r="D306" s="32" t="s">
        <v>936</v>
      </c>
      <c r="E306" s="62">
        <v>45545</v>
      </c>
      <c r="F306" s="32" t="s">
        <v>54</v>
      </c>
      <c r="G306" s="204">
        <v>-1147.3499999999999</v>
      </c>
      <c r="H306" s="204">
        <v>-1147.3499999999999</v>
      </c>
      <c r="J306" s="32" t="s">
        <v>937</v>
      </c>
      <c r="M306" s="62">
        <v>45545</v>
      </c>
      <c r="N306" s="62">
        <v>45546</v>
      </c>
      <c r="O306" s="32" t="s">
        <v>938</v>
      </c>
      <c r="P306" s="32">
        <v>205826</v>
      </c>
      <c r="Q306" s="32" t="s">
        <v>939</v>
      </c>
      <c r="V306" s="32" t="s">
        <v>34</v>
      </c>
    </row>
    <row r="307" spans="1:22" s="32" customFormat="1">
      <c r="A307" s="32" t="s">
        <v>933</v>
      </c>
      <c r="B307" s="32" t="s">
        <v>934</v>
      </c>
      <c r="C307" s="32" t="s">
        <v>1244</v>
      </c>
      <c r="D307" s="32" t="s">
        <v>936</v>
      </c>
      <c r="E307" s="62">
        <v>45545</v>
      </c>
      <c r="F307" s="32" t="s">
        <v>54</v>
      </c>
      <c r="G307" s="204">
        <v>-1147.3499999999999</v>
      </c>
      <c r="H307" s="204">
        <v>-1147.3499999999999</v>
      </c>
      <c r="J307" s="32" t="s">
        <v>937</v>
      </c>
      <c r="M307" s="62">
        <v>45545</v>
      </c>
      <c r="N307" s="62">
        <v>45546</v>
      </c>
      <c r="O307" s="32" t="s">
        <v>938</v>
      </c>
      <c r="P307" s="32">
        <v>205826</v>
      </c>
      <c r="Q307" s="32" t="s">
        <v>939</v>
      </c>
      <c r="V307" s="32" t="s">
        <v>34</v>
      </c>
    </row>
    <row r="308" spans="1:22" s="32" customFormat="1">
      <c r="A308" s="32" t="s">
        <v>933</v>
      </c>
      <c r="B308" s="32" t="s">
        <v>934</v>
      </c>
      <c r="C308" s="32" t="s">
        <v>1245</v>
      </c>
      <c r="D308" s="32" t="s">
        <v>936</v>
      </c>
      <c r="E308" s="62">
        <v>45545</v>
      </c>
      <c r="F308" s="32" t="s">
        <v>54</v>
      </c>
      <c r="G308" s="204">
        <v>-1147.3499999999999</v>
      </c>
      <c r="H308" s="204">
        <v>-1147.3499999999999</v>
      </c>
      <c r="J308" s="32" t="s">
        <v>937</v>
      </c>
      <c r="M308" s="62">
        <v>45545</v>
      </c>
      <c r="N308" s="62">
        <v>45546</v>
      </c>
      <c r="O308" s="32" t="s">
        <v>938</v>
      </c>
      <c r="P308" s="32">
        <v>205826</v>
      </c>
      <c r="Q308" s="32" t="s">
        <v>939</v>
      </c>
      <c r="V308" s="32" t="s">
        <v>34</v>
      </c>
    </row>
    <row r="309" spans="1:22" s="32" customFormat="1">
      <c r="A309" s="32" t="s">
        <v>933</v>
      </c>
      <c r="B309" s="32" t="s">
        <v>934</v>
      </c>
      <c r="C309" s="32" t="s">
        <v>1246</v>
      </c>
      <c r="D309" s="32" t="s">
        <v>936</v>
      </c>
      <c r="E309" s="62">
        <v>45545</v>
      </c>
      <c r="F309" s="32" t="s">
        <v>54</v>
      </c>
      <c r="G309" s="204">
        <v>-1147.3499999999999</v>
      </c>
      <c r="H309" s="204">
        <v>-1147.3499999999999</v>
      </c>
      <c r="J309" s="32" t="s">
        <v>937</v>
      </c>
      <c r="M309" s="62">
        <v>45545</v>
      </c>
      <c r="N309" s="62">
        <v>45546</v>
      </c>
      <c r="O309" s="32" t="s">
        <v>938</v>
      </c>
      <c r="P309" s="32">
        <v>205826</v>
      </c>
      <c r="Q309" s="32" t="s">
        <v>939</v>
      </c>
      <c r="V309" s="32" t="s">
        <v>34</v>
      </c>
    </row>
    <row r="310" spans="1:22" s="32" customFormat="1">
      <c r="A310" s="32" t="s">
        <v>933</v>
      </c>
      <c r="B310" s="32" t="s">
        <v>934</v>
      </c>
      <c r="C310" s="32" t="s">
        <v>1247</v>
      </c>
      <c r="D310" s="32" t="s">
        <v>936</v>
      </c>
      <c r="E310" s="62">
        <v>45545</v>
      </c>
      <c r="F310" s="32" t="s">
        <v>54</v>
      </c>
      <c r="G310" s="204">
        <v>-1147.3499999999999</v>
      </c>
      <c r="H310" s="204">
        <v>-1147.3499999999999</v>
      </c>
      <c r="J310" s="32" t="s">
        <v>937</v>
      </c>
      <c r="M310" s="62">
        <v>45545</v>
      </c>
      <c r="N310" s="62">
        <v>45546</v>
      </c>
      <c r="O310" s="32" t="s">
        <v>938</v>
      </c>
      <c r="P310" s="32">
        <v>205826</v>
      </c>
      <c r="Q310" s="32" t="s">
        <v>939</v>
      </c>
      <c r="V310" s="32" t="s">
        <v>34</v>
      </c>
    </row>
    <row r="311" spans="1:22" s="32" customFormat="1">
      <c r="A311" s="32" t="s">
        <v>933</v>
      </c>
      <c r="B311" s="32" t="s">
        <v>934</v>
      </c>
      <c r="C311" s="32" t="s">
        <v>1248</v>
      </c>
      <c r="D311" s="32" t="s">
        <v>936</v>
      </c>
      <c r="E311" s="62">
        <v>45545</v>
      </c>
      <c r="F311" s="32" t="s">
        <v>54</v>
      </c>
      <c r="G311" s="204">
        <v>-1147.3499999999999</v>
      </c>
      <c r="H311" s="204">
        <v>-1147.3499999999999</v>
      </c>
      <c r="J311" s="32" t="s">
        <v>937</v>
      </c>
      <c r="M311" s="62">
        <v>45545</v>
      </c>
      <c r="N311" s="62">
        <v>45546</v>
      </c>
      <c r="O311" s="32" t="s">
        <v>938</v>
      </c>
      <c r="P311" s="32">
        <v>205826</v>
      </c>
      <c r="Q311" s="32" t="s">
        <v>939</v>
      </c>
      <c r="V311" s="32" t="s">
        <v>34</v>
      </c>
    </row>
    <row r="312" spans="1:22" s="32" customFormat="1">
      <c r="A312" s="32" t="s">
        <v>933</v>
      </c>
      <c r="B312" s="32" t="s">
        <v>934</v>
      </c>
      <c r="C312" s="32" t="s">
        <v>1249</v>
      </c>
      <c r="D312" s="32" t="s">
        <v>936</v>
      </c>
      <c r="E312" s="62">
        <v>45545</v>
      </c>
      <c r="F312" s="32" t="s">
        <v>54</v>
      </c>
      <c r="G312" s="204">
        <v>-1147.3499999999999</v>
      </c>
      <c r="H312" s="204">
        <v>-1147.3499999999999</v>
      </c>
      <c r="J312" s="32" t="s">
        <v>937</v>
      </c>
      <c r="M312" s="62">
        <v>45545</v>
      </c>
      <c r="N312" s="62">
        <v>45546</v>
      </c>
      <c r="O312" s="32" t="s">
        <v>938</v>
      </c>
      <c r="P312" s="32">
        <v>205826</v>
      </c>
      <c r="Q312" s="32" t="s">
        <v>939</v>
      </c>
      <c r="V312" s="32" t="s">
        <v>34</v>
      </c>
    </row>
    <row r="313" spans="1:22" s="32" customFormat="1">
      <c r="A313" s="32" t="s">
        <v>933</v>
      </c>
      <c r="B313" s="32" t="s">
        <v>934</v>
      </c>
      <c r="C313" s="32" t="s">
        <v>1250</v>
      </c>
      <c r="D313" s="32" t="s">
        <v>936</v>
      </c>
      <c r="E313" s="62">
        <v>45545</v>
      </c>
      <c r="F313" s="32" t="s">
        <v>54</v>
      </c>
      <c r="G313" s="204">
        <v>-1147.3499999999999</v>
      </c>
      <c r="H313" s="204">
        <v>-1147.3499999999999</v>
      </c>
      <c r="J313" s="32" t="s">
        <v>937</v>
      </c>
      <c r="M313" s="62">
        <v>45545</v>
      </c>
      <c r="N313" s="62">
        <v>45546</v>
      </c>
      <c r="O313" s="32" t="s">
        <v>938</v>
      </c>
      <c r="P313" s="32">
        <v>205826</v>
      </c>
      <c r="Q313" s="32" t="s">
        <v>939</v>
      </c>
      <c r="V313" s="32" t="s">
        <v>34</v>
      </c>
    </row>
    <row r="314" spans="1:22" s="32" customFormat="1">
      <c r="A314" s="32" t="s">
        <v>933</v>
      </c>
      <c r="B314" s="32" t="s">
        <v>934</v>
      </c>
      <c r="C314" s="32" t="s">
        <v>1251</v>
      </c>
      <c r="D314" s="32" t="s">
        <v>936</v>
      </c>
      <c r="E314" s="62">
        <v>45545</v>
      </c>
      <c r="F314" s="32" t="s">
        <v>54</v>
      </c>
      <c r="G314" s="204">
        <v>-1147.3499999999999</v>
      </c>
      <c r="H314" s="204">
        <v>-1147.3499999999999</v>
      </c>
      <c r="J314" s="32" t="s">
        <v>937</v>
      </c>
      <c r="M314" s="62">
        <v>45545</v>
      </c>
      <c r="N314" s="62">
        <v>45546</v>
      </c>
      <c r="O314" s="32" t="s">
        <v>938</v>
      </c>
      <c r="P314" s="32">
        <v>205826</v>
      </c>
      <c r="Q314" s="32" t="s">
        <v>939</v>
      </c>
      <c r="V314" s="32" t="s">
        <v>34</v>
      </c>
    </row>
    <row r="315" spans="1:22" s="32" customFormat="1">
      <c r="A315" s="32" t="s">
        <v>933</v>
      </c>
      <c r="B315" s="32" t="s">
        <v>934</v>
      </c>
      <c r="C315" s="32" t="s">
        <v>1252</v>
      </c>
      <c r="D315" s="32" t="s">
        <v>936</v>
      </c>
      <c r="E315" s="62">
        <v>45545</v>
      </c>
      <c r="F315" s="32" t="s">
        <v>54</v>
      </c>
      <c r="G315" s="204">
        <v>-1147.3499999999999</v>
      </c>
      <c r="H315" s="204">
        <v>-1147.3499999999999</v>
      </c>
      <c r="J315" s="32" t="s">
        <v>937</v>
      </c>
      <c r="M315" s="62">
        <v>45545</v>
      </c>
      <c r="N315" s="62">
        <v>45546</v>
      </c>
      <c r="O315" s="32" t="s">
        <v>938</v>
      </c>
      <c r="P315" s="32">
        <v>205826</v>
      </c>
      <c r="Q315" s="32" t="s">
        <v>939</v>
      </c>
      <c r="V315" s="32" t="s">
        <v>34</v>
      </c>
    </row>
    <row r="316" spans="1:22" s="32" customFormat="1">
      <c r="A316" s="32" t="s">
        <v>933</v>
      </c>
      <c r="B316" s="32" t="s">
        <v>934</v>
      </c>
      <c r="C316" s="32" t="s">
        <v>1253</v>
      </c>
      <c r="D316" s="32" t="s">
        <v>936</v>
      </c>
      <c r="E316" s="62">
        <v>45545</v>
      </c>
      <c r="F316" s="32" t="s">
        <v>54</v>
      </c>
      <c r="G316" s="204">
        <v>-1147.3499999999999</v>
      </c>
      <c r="H316" s="204">
        <v>-1147.3499999999999</v>
      </c>
      <c r="J316" s="32" t="s">
        <v>937</v>
      </c>
      <c r="M316" s="62">
        <v>45545</v>
      </c>
      <c r="N316" s="62">
        <v>45546</v>
      </c>
      <c r="O316" s="32" t="s">
        <v>938</v>
      </c>
      <c r="P316" s="32">
        <v>205826</v>
      </c>
      <c r="Q316" s="32" t="s">
        <v>939</v>
      </c>
      <c r="V316" s="32" t="s">
        <v>34</v>
      </c>
    </row>
    <row r="317" spans="1:22" s="32" customFormat="1">
      <c r="A317" s="32" t="s">
        <v>933</v>
      </c>
      <c r="B317" s="32" t="s">
        <v>934</v>
      </c>
      <c r="C317" s="32" t="s">
        <v>1254</v>
      </c>
      <c r="D317" s="32" t="s">
        <v>936</v>
      </c>
      <c r="E317" s="62">
        <v>45545</v>
      </c>
      <c r="F317" s="32" t="s">
        <v>54</v>
      </c>
      <c r="G317" s="204">
        <v>-1147.3499999999999</v>
      </c>
      <c r="H317" s="204">
        <v>-1147.3499999999999</v>
      </c>
      <c r="J317" s="32" t="s">
        <v>937</v>
      </c>
      <c r="M317" s="62">
        <v>45545</v>
      </c>
      <c r="N317" s="62">
        <v>45546</v>
      </c>
      <c r="O317" s="32" t="s">
        <v>938</v>
      </c>
      <c r="P317" s="32">
        <v>205826</v>
      </c>
      <c r="Q317" s="32" t="s">
        <v>939</v>
      </c>
      <c r="V317" s="32" t="s">
        <v>34</v>
      </c>
    </row>
    <row r="318" spans="1:22" s="32" customFormat="1">
      <c r="A318" s="32" t="s">
        <v>933</v>
      </c>
      <c r="B318" s="32" t="s">
        <v>934</v>
      </c>
      <c r="C318" s="32" t="s">
        <v>1255</v>
      </c>
      <c r="D318" s="32" t="s">
        <v>936</v>
      </c>
      <c r="E318" s="62">
        <v>45545</v>
      </c>
      <c r="F318" s="32" t="s">
        <v>54</v>
      </c>
      <c r="G318" s="204">
        <v>-1147.3499999999999</v>
      </c>
      <c r="H318" s="204">
        <v>-1147.3499999999999</v>
      </c>
      <c r="J318" s="32" t="s">
        <v>937</v>
      </c>
      <c r="M318" s="62">
        <v>45545</v>
      </c>
      <c r="N318" s="62">
        <v>45546</v>
      </c>
      <c r="O318" s="32" t="s">
        <v>938</v>
      </c>
      <c r="P318" s="32">
        <v>205826</v>
      </c>
      <c r="Q318" s="32" t="s">
        <v>939</v>
      </c>
      <c r="V318" s="32" t="s">
        <v>34</v>
      </c>
    </row>
    <row r="319" spans="1:22" s="32" customFormat="1">
      <c r="A319" s="32" t="s">
        <v>933</v>
      </c>
      <c r="B319" s="32" t="s">
        <v>934</v>
      </c>
      <c r="C319" s="32" t="s">
        <v>1256</v>
      </c>
      <c r="D319" s="32" t="s">
        <v>936</v>
      </c>
      <c r="E319" s="62">
        <v>45545</v>
      </c>
      <c r="F319" s="32" t="s">
        <v>54</v>
      </c>
      <c r="G319" s="204">
        <v>-1147.3499999999999</v>
      </c>
      <c r="H319" s="204">
        <v>-1147.3499999999999</v>
      </c>
      <c r="J319" s="32" t="s">
        <v>937</v>
      </c>
      <c r="M319" s="62">
        <v>45545</v>
      </c>
      <c r="N319" s="62">
        <v>45546</v>
      </c>
      <c r="O319" s="32" t="s">
        <v>938</v>
      </c>
      <c r="P319" s="32">
        <v>205826</v>
      </c>
      <c r="Q319" s="32" t="s">
        <v>939</v>
      </c>
      <c r="V319" s="32" t="s">
        <v>34</v>
      </c>
    </row>
    <row r="320" spans="1:22" s="32" customFormat="1">
      <c r="A320" s="32" t="s">
        <v>933</v>
      </c>
      <c r="B320" s="32" t="s">
        <v>934</v>
      </c>
      <c r="C320" s="32" t="s">
        <v>1257</v>
      </c>
      <c r="D320" s="32" t="s">
        <v>936</v>
      </c>
      <c r="E320" s="62">
        <v>45545</v>
      </c>
      <c r="F320" s="32" t="s">
        <v>54</v>
      </c>
      <c r="G320" s="204">
        <v>-1147.3499999999999</v>
      </c>
      <c r="H320" s="204">
        <v>-1147.3499999999999</v>
      </c>
      <c r="J320" s="32" t="s">
        <v>937</v>
      </c>
      <c r="M320" s="62">
        <v>45545</v>
      </c>
      <c r="N320" s="62">
        <v>45546</v>
      </c>
      <c r="O320" s="32" t="s">
        <v>938</v>
      </c>
      <c r="P320" s="32">
        <v>205826</v>
      </c>
      <c r="Q320" s="32" t="s">
        <v>939</v>
      </c>
      <c r="V320" s="32" t="s">
        <v>34</v>
      </c>
    </row>
    <row r="321" spans="1:22" s="32" customFormat="1">
      <c r="A321" s="32" t="s">
        <v>933</v>
      </c>
      <c r="B321" s="32" t="s">
        <v>934</v>
      </c>
      <c r="C321" s="32" t="s">
        <v>1258</v>
      </c>
      <c r="D321" s="32" t="s">
        <v>936</v>
      </c>
      <c r="E321" s="62">
        <v>45545</v>
      </c>
      <c r="F321" s="32" t="s">
        <v>54</v>
      </c>
      <c r="G321" s="204">
        <v>-1147.3499999999999</v>
      </c>
      <c r="H321" s="204">
        <v>-1147.3499999999999</v>
      </c>
      <c r="J321" s="32" t="s">
        <v>937</v>
      </c>
      <c r="M321" s="62">
        <v>45545</v>
      </c>
      <c r="N321" s="62">
        <v>45546</v>
      </c>
      <c r="O321" s="32" t="s">
        <v>938</v>
      </c>
      <c r="P321" s="32">
        <v>205826</v>
      </c>
      <c r="Q321" s="32" t="s">
        <v>939</v>
      </c>
      <c r="V321" s="32" t="s">
        <v>34</v>
      </c>
    </row>
    <row r="322" spans="1:22" s="32" customFormat="1">
      <c r="A322" s="32" t="s">
        <v>933</v>
      </c>
      <c r="B322" s="32" t="s">
        <v>934</v>
      </c>
      <c r="C322" s="32" t="s">
        <v>1259</v>
      </c>
      <c r="D322" s="32" t="s">
        <v>936</v>
      </c>
      <c r="E322" s="62">
        <v>45545</v>
      </c>
      <c r="F322" s="32" t="s">
        <v>54</v>
      </c>
      <c r="G322" s="204">
        <v>-1147.3499999999999</v>
      </c>
      <c r="H322" s="204">
        <v>-1147.3499999999999</v>
      </c>
      <c r="J322" s="32" t="s">
        <v>937</v>
      </c>
      <c r="M322" s="62">
        <v>45545</v>
      </c>
      <c r="N322" s="62">
        <v>45546</v>
      </c>
      <c r="O322" s="32" t="s">
        <v>938</v>
      </c>
      <c r="P322" s="32">
        <v>205826</v>
      </c>
      <c r="Q322" s="32" t="s">
        <v>939</v>
      </c>
      <c r="V322" s="32" t="s">
        <v>34</v>
      </c>
    </row>
    <row r="323" spans="1:22" s="32" customFormat="1">
      <c r="A323" s="32" t="s">
        <v>933</v>
      </c>
      <c r="B323" s="32" t="s">
        <v>934</v>
      </c>
      <c r="C323" s="32" t="s">
        <v>1260</v>
      </c>
      <c r="D323" s="32" t="s">
        <v>936</v>
      </c>
      <c r="E323" s="62">
        <v>45545</v>
      </c>
      <c r="F323" s="32" t="s">
        <v>54</v>
      </c>
      <c r="G323" s="204">
        <v>-1147.3499999999999</v>
      </c>
      <c r="H323" s="204">
        <v>-1147.3499999999999</v>
      </c>
      <c r="J323" s="32" t="s">
        <v>937</v>
      </c>
      <c r="M323" s="62">
        <v>45545</v>
      </c>
      <c r="N323" s="62">
        <v>45546</v>
      </c>
      <c r="O323" s="32" t="s">
        <v>938</v>
      </c>
      <c r="P323" s="32">
        <v>205826</v>
      </c>
      <c r="Q323" s="32" t="s">
        <v>939</v>
      </c>
      <c r="V323" s="32" t="s">
        <v>34</v>
      </c>
    </row>
    <row r="324" spans="1:22" s="32" customFormat="1">
      <c r="A324" s="32" t="s">
        <v>933</v>
      </c>
      <c r="B324" s="32" t="s">
        <v>934</v>
      </c>
      <c r="C324" s="32" t="s">
        <v>1261</v>
      </c>
      <c r="D324" s="32" t="s">
        <v>936</v>
      </c>
      <c r="E324" s="62">
        <v>45545</v>
      </c>
      <c r="F324" s="32" t="s">
        <v>54</v>
      </c>
      <c r="G324" s="204">
        <v>-1147.3499999999999</v>
      </c>
      <c r="H324" s="204">
        <v>-1147.3499999999999</v>
      </c>
      <c r="J324" s="32" t="s">
        <v>937</v>
      </c>
      <c r="M324" s="62">
        <v>45545</v>
      </c>
      <c r="N324" s="62">
        <v>45546</v>
      </c>
      <c r="O324" s="32" t="s">
        <v>938</v>
      </c>
      <c r="P324" s="32">
        <v>205826</v>
      </c>
      <c r="Q324" s="32" t="s">
        <v>939</v>
      </c>
      <c r="V324" s="32" t="s">
        <v>34</v>
      </c>
    </row>
    <row r="325" spans="1:22" s="32" customFormat="1">
      <c r="A325" s="32" t="s">
        <v>933</v>
      </c>
      <c r="B325" s="32" t="s">
        <v>934</v>
      </c>
      <c r="C325" s="32" t="s">
        <v>1262</v>
      </c>
      <c r="D325" s="32" t="s">
        <v>936</v>
      </c>
      <c r="E325" s="62">
        <v>45545</v>
      </c>
      <c r="F325" s="32" t="s">
        <v>54</v>
      </c>
      <c r="G325" s="204">
        <v>-1147.3499999999999</v>
      </c>
      <c r="H325" s="204">
        <v>-1147.3499999999999</v>
      </c>
      <c r="J325" s="32" t="s">
        <v>937</v>
      </c>
      <c r="M325" s="62">
        <v>45545</v>
      </c>
      <c r="N325" s="62">
        <v>45546</v>
      </c>
      <c r="O325" s="32" t="s">
        <v>938</v>
      </c>
      <c r="P325" s="32">
        <v>205826</v>
      </c>
      <c r="Q325" s="32" t="s">
        <v>939</v>
      </c>
      <c r="V325" s="32" t="s">
        <v>34</v>
      </c>
    </row>
    <row r="326" spans="1:22" s="32" customFormat="1">
      <c r="A326" s="32" t="s">
        <v>933</v>
      </c>
      <c r="B326" s="32" t="s">
        <v>934</v>
      </c>
      <c r="C326" s="32" t="s">
        <v>1263</v>
      </c>
      <c r="D326" s="32" t="s">
        <v>936</v>
      </c>
      <c r="E326" s="62">
        <v>45545</v>
      </c>
      <c r="F326" s="32" t="s">
        <v>54</v>
      </c>
      <c r="G326" s="204">
        <v>-1147.3499999999999</v>
      </c>
      <c r="H326" s="204">
        <v>-1147.3499999999999</v>
      </c>
      <c r="J326" s="32" t="s">
        <v>937</v>
      </c>
      <c r="M326" s="62">
        <v>45545</v>
      </c>
      <c r="N326" s="62">
        <v>45546</v>
      </c>
      <c r="O326" s="32" t="s">
        <v>938</v>
      </c>
      <c r="P326" s="32">
        <v>205826</v>
      </c>
      <c r="Q326" s="32" t="s">
        <v>939</v>
      </c>
      <c r="V326" s="32" t="s">
        <v>34</v>
      </c>
    </row>
    <row r="327" spans="1:22" s="32" customFormat="1">
      <c r="A327" s="32" t="s">
        <v>933</v>
      </c>
      <c r="B327" s="32" t="s">
        <v>934</v>
      </c>
      <c r="C327" s="32" t="s">
        <v>1264</v>
      </c>
      <c r="D327" s="32" t="s">
        <v>936</v>
      </c>
      <c r="E327" s="62">
        <v>45545</v>
      </c>
      <c r="F327" s="32" t="s">
        <v>54</v>
      </c>
      <c r="G327" s="204">
        <v>-1147.3499999999999</v>
      </c>
      <c r="H327" s="204">
        <v>-1147.3499999999999</v>
      </c>
      <c r="J327" s="32" t="s">
        <v>937</v>
      </c>
      <c r="M327" s="62">
        <v>45545</v>
      </c>
      <c r="N327" s="62">
        <v>45546</v>
      </c>
      <c r="O327" s="32" t="s">
        <v>938</v>
      </c>
      <c r="P327" s="32">
        <v>205826</v>
      </c>
      <c r="Q327" s="32" t="s">
        <v>939</v>
      </c>
      <c r="V327" s="32" t="s">
        <v>34</v>
      </c>
    </row>
    <row r="328" spans="1:22" s="32" customFormat="1">
      <c r="A328" s="32" t="s">
        <v>933</v>
      </c>
      <c r="B328" s="32" t="s">
        <v>934</v>
      </c>
      <c r="C328" s="32" t="s">
        <v>1265</v>
      </c>
      <c r="D328" s="32" t="s">
        <v>936</v>
      </c>
      <c r="E328" s="62">
        <v>45545</v>
      </c>
      <c r="F328" s="32" t="s">
        <v>54</v>
      </c>
      <c r="G328" s="204">
        <v>-1147.3499999999999</v>
      </c>
      <c r="H328" s="204">
        <v>-1147.3499999999999</v>
      </c>
      <c r="J328" s="32" t="s">
        <v>937</v>
      </c>
      <c r="M328" s="62">
        <v>45545</v>
      </c>
      <c r="N328" s="62">
        <v>45546</v>
      </c>
      <c r="O328" s="32" t="s">
        <v>938</v>
      </c>
      <c r="P328" s="32">
        <v>205826</v>
      </c>
      <c r="Q328" s="32" t="s">
        <v>939</v>
      </c>
      <c r="V328" s="32" t="s">
        <v>34</v>
      </c>
    </row>
    <row r="329" spans="1:22" s="32" customFormat="1">
      <c r="A329" s="32" t="s">
        <v>933</v>
      </c>
      <c r="B329" s="32" t="s">
        <v>934</v>
      </c>
      <c r="C329" s="32" t="s">
        <v>1266</v>
      </c>
      <c r="D329" s="32" t="s">
        <v>936</v>
      </c>
      <c r="E329" s="62">
        <v>45545</v>
      </c>
      <c r="F329" s="32" t="s">
        <v>54</v>
      </c>
      <c r="G329" s="204">
        <v>-1147.3499999999999</v>
      </c>
      <c r="H329" s="204">
        <v>-1147.3499999999999</v>
      </c>
      <c r="J329" s="32" t="s">
        <v>937</v>
      </c>
      <c r="M329" s="62">
        <v>45545</v>
      </c>
      <c r="N329" s="62">
        <v>45546</v>
      </c>
      <c r="O329" s="32" t="s">
        <v>938</v>
      </c>
      <c r="P329" s="32">
        <v>205826</v>
      </c>
      <c r="Q329" s="32" t="s">
        <v>939</v>
      </c>
      <c r="V329" s="32" t="s">
        <v>34</v>
      </c>
    </row>
    <row r="330" spans="1:22" s="32" customFormat="1">
      <c r="A330" s="32" t="s">
        <v>933</v>
      </c>
      <c r="B330" s="32" t="s">
        <v>934</v>
      </c>
      <c r="C330" s="32" t="s">
        <v>1267</v>
      </c>
      <c r="D330" s="32" t="s">
        <v>936</v>
      </c>
      <c r="E330" s="62">
        <v>45545</v>
      </c>
      <c r="F330" s="32" t="s">
        <v>54</v>
      </c>
      <c r="G330" s="204">
        <v>-1147.3499999999999</v>
      </c>
      <c r="H330" s="204">
        <v>-1147.3499999999999</v>
      </c>
      <c r="J330" s="32" t="s">
        <v>937</v>
      </c>
      <c r="M330" s="62">
        <v>45545</v>
      </c>
      <c r="N330" s="62">
        <v>45546</v>
      </c>
      <c r="O330" s="32" t="s">
        <v>938</v>
      </c>
      <c r="P330" s="32">
        <v>205826</v>
      </c>
      <c r="Q330" s="32" t="s">
        <v>939</v>
      </c>
      <c r="V330" s="32" t="s">
        <v>34</v>
      </c>
    </row>
    <row r="331" spans="1:22" s="32" customFormat="1">
      <c r="A331" s="32" t="s">
        <v>933</v>
      </c>
      <c r="B331" s="32" t="s">
        <v>934</v>
      </c>
      <c r="C331" s="32" t="s">
        <v>1268</v>
      </c>
      <c r="D331" s="32" t="s">
        <v>936</v>
      </c>
      <c r="E331" s="62">
        <v>45545</v>
      </c>
      <c r="F331" s="32" t="s">
        <v>54</v>
      </c>
      <c r="G331" s="204">
        <v>-1147.3499999999999</v>
      </c>
      <c r="H331" s="204">
        <v>-1147.3499999999999</v>
      </c>
      <c r="J331" s="32" t="s">
        <v>937</v>
      </c>
      <c r="M331" s="62">
        <v>45545</v>
      </c>
      <c r="N331" s="62">
        <v>45546</v>
      </c>
      <c r="O331" s="32" t="s">
        <v>938</v>
      </c>
      <c r="P331" s="32">
        <v>205826</v>
      </c>
      <c r="Q331" s="32" t="s">
        <v>939</v>
      </c>
      <c r="V331" s="32" t="s">
        <v>34</v>
      </c>
    </row>
    <row r="332" spans="1:22" s="32" customFormat="1">
      <c r="A332" s="32" t="s">
        <v>933</v>
      </c>
      <c r="B332" s="32" t="s">
        <v>934</v>
      </c>
      <c r="C332" s="32" t="s">
        <v>1269</v>
      </c>
      <c r="D332" s="32" t="s">
        <v>936</v>
      </c>
      <c r="E332" s="62">
        <v>45545</v>
      </c>
      <c r="F332" s="32" t="s">
        <v>54</v>
      </c>
      <c r="G332" s="204">
        <v>-1147.3499999999999</v>
      </c>
      <c r="H332" s="204">
        <v>-1147.3499999999999</v>
      </c>
      <c r="J332" s="32" t="s">
        <v>937</v>
      </c>
      <c r="M332" s="62">
        <v>45545</v>
      </c>
      <c r="N332" s="62">
        <v>45546</v>
      </c>
      <c r="O332" s="32" t="s">
        <v>938</v>
      </c>
      <c r="P332" s="32">
        <v>205826</v>
      </c>
      <c r="Q332" s="32" t="s">
        <v>939</v>
      </c>
      <c r="V332" s="32" t="s">
        <v>34</v>
      </c>
    </row>
    <row r="333" spans="1:22" s="32" customFormat="1">
      <c r="A333" s="32" t="s">
        <v>933</v>
      </c>
      <c r="B333" s="32" t="s">
        <v>934</v>
      </c>
      <c r="C333" s="32" t="s">
        <v>1270</v>
      </c>
      <c r="D333" s="32" t="s">
        <v>936</v>
      </c>
      <c r="E333" s="62">
        <v>45545</v>
      </c>
      <c r="F333" s="32" t="s">
        <v>54</v>
      </c>
      <c r="G333" s="204">
        <v>-1147.3499999999999</v>
      </c>
      <c r="H333" s="204">
        <v>-1147.3499999999999</v>
      </c>
      <c r="J333" s="32" t="s">
        <v>937</v>
      </c>
      <c r="M333" s="62">
        <v>45545</v>
      </c>
      <c r="N333" s="62">
        <v>45546</v>
      </c>
      <c r="O333" s="32" t="s">
        <v>938</v>
      </c>
      <c r="P333" s="32">
        <v>205826</v>
      </c>
      <c r="Q333" s="32" t="s">
        <v>939</v>
      </c>
      <c r="V333" s="32" t="s">
        <v>34</v>
      </c>
    </row>
    <row r="334" spans="1:22" s="32" customFormat="1">
      <c r="A334" s="32" t="s">
        <v>933</v>
      </c>
      <c r="B334" s="32" t="s">
        <v>934</v>
      </c>
      <c r="C334" s="32" t="s">
        <v>1271</v>
      </c>
      <c r="D334" s="32" t="s">
        <v>936</v>
      </c>
      <c r="E334" s="62">
        <v>45545</v>
      </c>
      <c r="F334" s="32" t="s">
        <v>54</v>
      </c>
      <c r="G334" s="204">
        <v>-1147.3499999999999</v>
      </c>
      <c r="H334" s="204">
        <v>-1147.3499999999999</v>
      </c>
      <c r="J334" s="32" t="s">
        <v>937</v>
      </c>
      <c r="M334" s="62">
        <v>45545</v>
      </c>
      <c r="N334" s="62">
        <v>45546</v>
      </c>
      <c r="O334" s="32" t="s">
        <v>938</v>
      </c>
      <c r="P334" s="32">
        <v>205826</v>
      </c>
      <c r="Q334" s="32" t="s">
        <v>939</v>
      </c>
      <c r="V334" s="32" t="s">
        <v>34</v>
      </c>
    </row>
    <row r="335" spans="1:22" s="32" customFormat="1">
      <c r="A335" s="32" t="s">
        <v>933</v>
      </c>
      <c r="B335" s="32" t="s">
        <v>934</v>
      </c>
      <c r="C335" s="32" t="s">
        <v>1272</v>
      </c>
      <c r="D335" s="32" t="s">
        <v>936</v>
      </c>
      <c r="E335" s="62">
        <v>45545</v>
      </c>
      <c r="F335" s="32" t="s">
        <v>54</v>
      </c>
      <c r="G335" s="204">
        <v>-1147.3499999999999</v>
      </c>
      <c r="H335" s="204">
        <v>-1147.3499999999999</v>
      </c>
      <c r="J335" s="32" t="s">
        <v>937</v>
      </c>
      <c r="M335" s="62">
        <v>45545</v>
      </c>
      <c r="N335" s="62">
        <v>45546</v>
      </c>
      <c r="O335" s="32" t="s">
        <v>938</v>
      </c>
      <c r="P335" s="32">
        <v>205826</v>
      </c>
      <c r="Q335" s="32" t="s">
        <v>939</v>
      </c>
      <c r="V335" s="32" t="s">
        <v>34</v>
      </c>
    </row>
    <row r="336" spans="1:22" s="32" customFormat="1">
      <c r="A336" s="32" t="s">
        <v>933</v>
      </c>
      <c r="B336" s="32" t="s">
        <v>934</v>
      </c>
      <c r="C336" s="32" t="s">
        <v>1273</v>
      </c>
      <c r="D336" s="32" t="s">
        <v>936</v>
      </c>
      <c r="E336" s="62">
        <v>45545</v>
      </c>
      <c r="F336" s="32" t="s">
        <v>54</v>
      </c>
      <c r="G336" s="204">
        <v>-1147.3499999999999</v>
      </c>
      <c r="H336" s="204">
        <v>-1147.3499999999999</v>
      </c>
      <c r="J336" s="32" t="s">
        <v>937</v>
      </c>
      <c r="M336" s="62">
        <v>45545</v>
      </c>
      <c r="N336" s="62">
        <v>45546</v>
      </c>
      <c r="O336" s="32" t="s">
        <v>938</v>
      </c>
      <c r="P336" s="32">
        <v>205826</v>
      </c>
      <c r="Q336" s="32" t="s">
        <v>939</v>
      </c>
      <c r="V336" s="32" t="s">
        <v>34</v>
      </c>
    </row>
    <row r="337" spans="1:22" s="32" customFormat="1">
      <c r="A337" s="32" t="s">
        <v>933</v>
      </c>
      <c r="B337" s="32" t="s">
        <v>934</v>
      </c>
      <c r="C337" s="32" t="s">
        <v>1274</v>
      </c>
      <c r="D337" s="32" t="s">
        <v>936</v>
      </c>
      <c r="E337" s="62">
        <v>45545</v>
      </c>
      <c r="F337" s="32" t="s">
        <v>54</v>
      </c>
      <c r="G337" s="204">
        <v>-1147.3499999999999</v>
      </c>
      <c r="H337" s="204">
        <v>-1147.3499999999999</v>
      </c>
      <c r="J337" s="32" t="s">
        <v>937</v>
      </c>
      <c r="M337" s="62">
        <v>45545</v>
      </c>
      <c r="N337" s="62">
        <v>45546</v>
      </c>
      <c r="O337" s="32" t="s">
        <v>938</v>
      </c>
      <c r="P337" s="32">
        <v>205826</v>
      </c>
      <c r="Q337" s="32" t="s">
        <v>939</v>
      </c>
      <c r="V337" s="32" t="s">
        <v>34</v>
      </c>
    </row>
    <row r="338" spans="1:22" s="32" customFormat="1">
      <c r="A338" s="32" t="s">
        <v>933</v>
      </c>
      <c r="B338" s="32" t="s">
        <v>934</v>
      </c>
      <c r="C338" s="32" t="s">
        <v>1275</v>
      </c>
      <c r="D338" s="32" t="s">
        <v>936</v>
      </c>
      <c r="E338" s="62">
        <v>45545</v>
      </c>
      <c r="F338" s="32" t="s">
        <v>54</v>
      </c>
      <c r="G338" s="204">
        <v>-1147.3499999999999</v>
      </c>
      <c r="H338" s="204">
        <v>-1147.3499999999999</v>
      </c>
      <c r="J338" s="32" t="s">
        <v>937</v>
      </c>
      <c r="M338" s="62">
        <v>45545</v>
      </c>
      <c r="N338" s="62">
        <v>45546</v>
      </c>
      <c r="O338" s="32" t="s">
        <v>938</v>
      </c>
      <c r="P338" s="32">
        <v>205826</v>
      </c>
      <c r="Q338" s="32" t="s">
        <v>939</v>
      </c>
      <c r="V338" s="32" t="s">
        <v>34</v>
      </c>
    </row>
    <row r="339" spans="1:22" s="32" customFormat="1">
      <c r="A339" s="32" t="s">
        <v>933</v>
      </c>
      <c r="B339" s="32" t="s">
        <v>934</v>
      </c>
      <c r="C339" s="32" t="s">
        <v>1276</v>
      </c>
      <c r="D339" s="32" t="s">
        <v>936</v>
      </c>
      <c r="E339" s="62">
        <v>45545</v>
      </c>
      <c r="F339" s="32" t="s">
        <v>54</v>
      </c>
      <c r="G339" s="204">
        <v>-1147.3499999999999</v>
      </c>
      <c r="H339" s="204">
        <v>-1147.3499999999999</v>
      </c>
      <c r="J339" s="32" t="s">
        <v>937</v>
      </c>
      <c r="M339" s="62">
        <v>45545</v>
      </c>
      <c r="N339" s="62">
        <v>45546</v>
      </c>
      <c r="O339" s="32" t="s">
        <v>938</v>
      </c>
      <c r="P339" s="32">
        <v>205826</v>
      </c>
      <c r="Q339" s="32" t="s">
        <v>939</v>
      </c>
      <c r="V339" s="32" t="s">
        <v>34</v>
      </c>
    </row>
    <row r="340" spans="1:22" s="32" customFormat="1">
      <c r="A340" s="32" t="s">
        <v>933</v>
      </c>
      <c r="B340" s="32" t="s">
        <v>934</v>
      </c>
      <c r="C340" s="32" t="s">
        <v>1277</v>
      </c>
      <c r="D340" s="32" t="s">
        <v>936</v>
      </c>
      <c r="E340" s="62">
        <v>45545</v>
      </c>
      <c r="F340" s="32" t="s">
        <v>54</v>
      </c>
      <c r="G340" s="204">
        <v>-1147.3499999999999</v>
      </c>
      <c r="H340" s="204">
        <v>-1147.3499999999999</v>
      </c>
      <c r="J340" s="32" t="s">
        <v>937</v>
      </c>
      <c r="M340" s="62">
        <v>45545</v>
      </c>
      <c r="N340" s="62">
        <v>45546</v>
      </c>
      <c r="O340" s="32" t="s">
        <v>938</v>
      </c>
      <c r="P340" s="32">
        <v>205826</v>
      </c>
      <c r="Q340" s="32" t="s">
        <v>939</v>
      </c>
      <c r="V340" s="32" t="s">
        <v>34</v>
      </c>
    </row>
    <row r="341" spans="1:22" s="32" customFormat="1">
      <c r="A341" s="32" t="s">
        <v>933</v>
      </c>
      <c r="B341" s="32" t="s">
        <v>934</v>
      </c>
      <c r="C341" s="32" t="s">
        <v>1278</v>
      </c>
      <c r="D341" s="32" t="s">
        <v>936</v>
      </c>
      <c r="E341" s="62">
        <v>45545</v>
      </c>
      <c r="F341" s="32" t="s">
        <v>54</v>
      </c>
      <c r="G341" s="204">
        <v>-1147.3499999999999</v>
      </c>
      <c r="H341" s="204">
        <v>-1147.3499999999999</v>
      </c>
      <c r="J341" s="32" t="s">
        <v>937</v>
      </c>
      <c r="M341" s="62">
        <v>45545</v>
      </c>
      <c r="N341" s="62">
        <v>45546</v>
      </c>
      <c r="O341" s="32" t="s">
        <v>938</v>
      </c>
      <c r="P341" s="32">
        <v>205826</v>
      </c>
      <c r="Q341" s="32" t="s">
        <v>939</v>
      </c>
      <c r="V341" s="32" t="s">
        <v>34</v>
      </c>
    </row>
    <row r="342" spans="1:22" s="32" customFormat="1">
      <c r="A342" s="32" t="s">
        <v>933</v>
      </c>
      <c r="B342" s="32" t="s">
        <v>934</v>
      </c>
      <c r="C342" s="32" t="s">
        <v>1279</v>
      </c>
      <c r="D342" s="32" t="s">
        <v>936</v>
      </c>
      <c r="E342" s="62">
        <v>45545</v>
      </c>
      <c r="F342" s="32" t="s">
        <v>54</v>
      </c>
      <c r="G342" s="204">
        <v>-1147.3499999999999</v>
      </c>
      <c r="H342" s="204">
        <v>-1147.3499999999999</v>
      </c>
      <c r="J342" s="32" t="s">
        <v>937</v>
      </c>
      <c r="M342" s="62">
        <v>45545</v>
      </c>
      <c r="N342" s="62">
        <v>45546</v>
      </c>
      <c r="O342" s="32" t="s">
        <v>938</v>
      </c>
      <c r="P342" s="32">
        <v>205826</v>
      </c>
      <c r="Q342" s="32" t="s">
        <v>939</v>
      </c>
      <c r="V342" s="32" t="s">
        <v>34</v>
      </c>
    </row>
    <row r="343" spans="1:22" s="32" customFormat="1">
      <c r="A343" s="32" t="s">
        <v>933</v>
      </c>
      <c r="B343" s="32" t="s">
        <v>934</v>
      </c>
      <c r="C343" s="32" t="s">
        <v>1280</v>
      </c>
      <c r="D343" s="32" t="s">
        <v>936</v>
      </c>
      <c r="E343" s="62">
        <v>45545</v>
      </c>
      <c r="F343" s="32" t="s">
        <v>54</v>
      </c>
      <c r="G343" s="204">
        <v>-1147.3499999999999</v>
      </c>
      <c r="H343" s="204">
        <v>-1147.3499999999999</v>
      </c>
      <c r="J343" s="32" t="s">
        <v>937</v>
      </c>
      <c r="M343" s="62">
        <v>45545</v>
      </c>
      <c r="N343" s="62">
        <v>45546</v>
      </c>
      <c r="O343" s="32" t="s">
        <v>938</v>
      </c>
      <c r="P343" s="32">
        <v>205826</v>
      </c>
      <c r="Q343" s="32" t="s">
        <v>939</v>
      </c>
      <c r="V343" s="32" t="s">
        <v>34</v>
      </c>
    </row>
    <row r="344" spans="1:22" s="32" customFormat="1">
      <c r="A344" s="32" t="s">
        <v>933</v>
      </c>
      <c r="B344" s="32" t="s">
        <v>934</v>
      </c>
      <c r="C344" s="32" t="s">
        <v>1281</v>
      </c>
      <c r="D344" s="32" t="s">
        <v>936</v>
      </c>
      <c r="E344" s="62">
        <v>45545</v>
      </c>
      <c r="F344" s="32" t="s">
        <v>54</v>
      </c>
      <c r="G344" s="204">
        <v>-1147.3499999999999</v>
      </c>
      <c r="H344" s="204">
        <v>-1147.3499999999999</v>
      </c>
      <c r="J344" s="32" t="s">
        <v>937</v>
      </c>
      <c r="M344" s="62">
        <v>45545</v>
      </c>
      <c r="N344" s="62">
        <v>45546</v>
      </c>
      <c r="O344" s="32" t="s">
        <v>938</v>
      </c>
      <c r="P344" s="32">
        <v>205826</v>
      </c>
      <c r="Q344" s="32" t="s">
        <v>939</v>
      </c>
      <c r="V344" s="32" t="s">
        <v>34</v>
      </c>
    </row>
    <row r="345" spans="1:22" s="32" customFormat="1">
      <c r="A345" s="32" t="s">
        <v>933</v>
      </c>
      <c r="B345" s="32" t="s">
        <v>934</v>
      </c>
      <c r="C345" s="32" t="s">
        <v>1282</v>
      </c>
      <c r="D345" s="32" t="s">
        <v>936</v>
      </c>
      <c r="E345" s="62">
        <v>45545</v>
      </c>
      <c r="F345" s="32" t="s">
        <v>54</v>
      </c>
      <c r="G345" s="204">
        <v>-1147.3499999999999</v>
      </c>
      <c r="H345" s="204">
        <v>-1147.3499999999999</v>
      </c>
      <c r="J345" s="32" t="s">
        <v>937</v>
      </c>
      <c r="M345" s="62">
        <v>45545</v>
      </c>
      <c r="N345" s="62">
        <v>45546</v>
      </c>
      <c r="O345" s="32" t="s">
        <v>938</v>
      </c>
      <c r="P345" s="32">
        <v>205826</v>
      </c>
      <c r="Q345" s="32" t="s">
        <v>939</v>
      </c>
      <c r="V345" s="32" t="s">
        <v>34</v>
      </c>
    </row>
    <row r="346" spans="1:22" s="32" customFormat="1">
      <c r="A346" s="32" t="s">
        <v>933</v>
      </c>
      <c r="B346" s="32" t="s">
        <v>934</v>
      </c>
      <c r="C346" s="32" t="s">
        <v>1283</v>
      </c>
      <c r="D346" s="32" t="s">
        <v>936</v>
      </c>
      <c r="E346" s="62">
        <v>45545</v>
      </c>
      <c r="F346" s="32" t="s">
        <v>54</v>
      </c>
      <c r="G346" s="204">
        <v>-1147.3499999999999</v>
      </c>
      <c r="H346" s="204">
        <v>-1147.3499999999999</v>
      </c>
      <c r="J346" s="32" t="s">
        <v>937</v>
      </c>
      <c r="M346" s="62">
        <v>45545</v>
      </c>
      <c r="N346" s="62">
        <v>45546</v>
      </c>
      <c r="O346" s="32" t="s">
        <v>938</v>
      </c>
      <c r="P346" s="32">
        <v>205826</v>
      </c>
      <c r="Q346" s="32" t="s">
        <v>939</v>
      </c>
      <c r="V346" s="32" t="s">
        <v>34</v>
      </c>
    </row>
    <row r="347" spans="1:22">
      <c r="G347" s="8">
        <f>SUM(G2:G346)</f>
        <v>-361881.5899999981</v>
      </c>
      <c r="H347" s="8">
        <f>SUM(H2:H346)</f>
        <v>-361881.5899999981</v>
      </c>
    </row>
    <row r="349" spans="1:22">
      <c r="H349" s="202"/>
    </row>
    <row r="351" spans="1:22">
      <c r="C351" t="s">
        <v>1083</v>
      </c>
      <c r="H351" s="202"/>
    </row>
    <row r="354" spans="3:3">
      <c r="C354" t="s">
        <v>1042</v>
      </c>
    </row>
  </sheetData>
  <autoFilter ref="A1:V347" xr:uid="{F9B40555-32D5-41D0-9C4B-12CB7D4ED61A}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77916-3F43-4E6C-B010-1E4C255392FA}">
  <dimension ref="A1:V40"/>
  <sheetViews>
    <sheetView workbookViewId="0">
      <selection activeCell="J17" sqref="J17"/>
    </sheetView>
  </sheetViews>
  <sheetFormatPr defaultRowHeight="13.8"/>
  <cols>
    <col min="3" max="3" width="25.59765625" bestFit="1" customWidth="1"/>
    <col min="5" max="5" width="18.3984375" bestFit="1" customWidth="1"/>
    <col min="10" max="10" width="28" bestFit="1" customWidth="1"/>
    <col min="13" max="13" width="14.296875" bestFit="1" customWidth="1"/>
    <col min="14" max="14" width="9.8984375" bestFit="1" customWidth="1"/>
    <col min="15" max="15" width="19.69921875" customWidth="1"/>
  </cols>
  <sheetData>
    <row r="1" spans="1:22">
      <c r="A1" t="s">
        <v>914</v>
      </c>
      <c r="B1" t="s">
        <v>915</v>
      </c>
      <c r="C1" t="s">
        <v>916</v>
      </c>
      <c r="D1" t="s">
        <v>1</v>
      </c>
      <c r="E1" t="s">
        <v>917</v>
      </c>
      <c r="F1" t="s">
        <v>918</v>
      </c>
      <c r="G1" t="s">
        <v>919</v>
      </c>
      <c r="H1" t="s">
        <v>920</v>
      </c>
      <c r="I1" t="s">
        <v>921</v>
      </c>
      <c r="J1" t="s">
        <v>922</v>
      </c>
      <c r="K1" t="s">
        <v>923</v>
      </c>
      <c r="L1" t="s">
        <v>924</v>
      </c>
      <c r="M1" t="s">
        <v>925</v>
      </c>
      <c r="N1" t="s">
        <v>46</v>
      </c>
      <c r="O1" t="s">
        <v>926</v>
      </c>
      <c r="P1" t="s">
        <v>927</v>
      </c>
      <c r="Q1" t="s">
        <v>3</v>
      </c>
      <c r="R1" t="s">
        <v>928</v>
      </c>
      <c r="S1" t="s">
        <v>929</v>
      </c>
      <c r="T1" t="s">
        <v>930</v>
      </c>
      <c r="U1" t="s">
        <v>931</v>
      </c>
      <c r="V1" t="s">
        <v>932</v>
      </c>
    </row>
    <row r="2" spans="1:22" s="111" customFormat="1">
      <c r="A2" s="111" t="s">
        <v>933</v>
      </c>
      <c r="B2" s="111" t="s">
        <v>934</v>
      </c>
      <c r="C2" s="111" t="s">
        <v>1284</v>
      </c>
      <c r="D2" s="111" t="s">
        <v>936</v>
      </c>
      <c r="E2" s="112">
        <v>45547</v>
      </c>
      <c r="F2" s="111" t="s">
        <v>54</v>
      </c>
      <c r="G2" s="206">
        <v>-1000</v>
      </c>
      <c r="H2" s="206">
        <v>-1000</v>
      </c>
      <c r="J2" s="111" t="s">
        <v>937</v>
      </c>
      <c r="M2" s="112">
        <v>45547</v>
      </c>
      <c r="N2" s="112">
        <v>45548</v>
      </c>
      <c r="O2" s="111" t="s">
        <v>938</v>
      </c>
      <c r="P2" s="111">
        <v>205826</v>
      </c>
      <c r="Q2" s="111" t="s">
        <v>1285</v>
      </c>
      <c r="S2" s="111">
        <v>0</v>
      </c>
      <c r="T2" s="111">
        <v>0</v>
      </c>
      <c r="V2" s="111" t="s">
        <v>34</v>
      </c>
    </row>
    <row r="3" spans="1:22" s="111" customFormat="1">
      <c r="A3" s="111" t="s">
        <v>933</v>
      </c>
      <c r="B3" s="111" t="s">
        <v>934</v>
      </c>
      <c r="C3" s="111" t="s">
        <v>1286</v>
      </c>
      <c r="D3" s="111" t="s">
        <v>936</v>
      </c>
      <c r="E3" s="112">
        <v>45547</v>
      </c>
      <c r="F3" s="111" t="s">
        <v>54</v>
      </c>
      <c r="G3" s="206">
        <v>-1000</v>
      </c>
      <c r="H3" s="206">
        <v>-1000</v>
      </c>
      <c r="J3" s="111" t="s">
        <v>937</v>
      </c>
      <c r="M3" s="112">
        <v>45547</v>
      </c>
      <c r="N3" s="112">
        <v>45548</v>
      </c>
      <c r="O3" s="111" t="s">
        <v>938</v>
      </c>
      <c r="P3" s="111">
        <v>205826</v>
      </c>
      <c r="Q3" s="111" t="s">
        <v>1285</v>
      </c>
      <c r="S3" s="111">
        <v>0</v>
      </c>
      <c r="T3" s="111">
        <v>0</v>
      </c>
      <c r="V3" s="111" t="s">
        <v>34</v>
      </c>
    </row>
    <row r="4" spans="1:22" s="111" customFormat="1">
      <c r="A4" s="111" t="s">
        <v>933</v>
      </c>
      <c r="B4" s="111" t="s">
        <v>934</v>
      </c>
      <c r="C4" s="111" t="s">
        <v>1287</v>
      </c>
      <c r="D4" s="111" t="s">
        <v>936</v>
      </c>
      <c r="E4" s="112">
        <v>45547</v>
      </c>
      <c r="F4" s="111" t="s">
        <v>54</v>
      </c>
      <c r="G4" s="206">
        <v>-1000</v>
      </c>
      <c r="H4" s="206">
        <v>-1000</v>
      </c>
      <c r="J4" s="111" t="s">
        <v>937</v>
      </c>
      <c r="M4" s="112">
        <v>45547</v>
      </c>
      <c r="N4" s="112">
        <v>45548</v>
      </c>
      <c r="O4" s="111" t="s">
        <v>938</v>
      </c>
      <c r="P4" s="111">
        <v>205826</v>
      </c>
      <c r="Q4" s="111" t="s">
        <v>1285</v>
      </c>
      <c r="S4" s="111">
        <v>0</v>
      </c>
      <c r="T4" s="111">
        <v>0</v>
      </c>
      <c r="V4" s="111" t="s">
        <v>34</v>
      </c>
    </row>
    <row r="5" spans="1:22" s="111" customFormat="1">
      <c r="A5" s="111" t="s">
        <v>933</v>
      </c>
      <c r="B5" s="111" t="s">
        <v>934</v>
      </c>
      <c r="C5" s="111" t="s">
        <v>1288</v>
      </c>
      <c r="D5" s="111" t="s">
        <v>936</v>
      </c>
      <c r="E5" s="112">
        <v>45547</v>
      </c>
      <c r="F5" s="111" t="s">
        <v>54</v>
      </c>
      <c r="G5" s="206">
        <v>-1000</v>
      </c>
      <c r="H5" s="206">
        <v>-1000</v>
      </c>
      <c r="J5" s="111" t="s">
        <v>937</v>
      </c>
      <c r="M5" s="112">
        <v>45547</v>
      </c>
      <c r="N5" s="112">
        <v>45548</v>
      </c>
      <c r="O5" s="111" t="s">
        <v>938</v>
      </c>
      <c r="P5" s="111">
        <v>205826</v>
      </c>
      <c r="Q5" s="111" t="s">
        <v>1285</v>
      </c>
      <c r="S5" s="111">
        <v>0</v>
      </c>
      <c r="T5" s="111">
        <v>0</v>
      </c>
      <c r="V5" s="111" t="s">
        <v>34</v>
      </c>
    </row>
    <row r="6" spans="1:22" s="111" customFormat="1">
      <c r="A6" s="111" t="s">
        <v>933</v>
      </c>
      <c r="B6" s="111" t="s">
        <v>934</v>
      </c>
      <c r="C6" s="111" t="s">
        <v>1289</v>
      </c>
      <c r="D6" s="111" t="s">
        <v>936</v>
      </c>
      <c r="E6" s="112">
        <v>45547</v>
      </c>
      <c r="F6" s="111" t="s">
        <v>54</v>
      </c>
      <c r="G6" s="206">
        <v>-1000</v>
      </c>
      <c r="H6" s="206">
        <v>-1000</v>
      </c>
      <c r="J6" s="111" t="s">
        <v>937</v>
      </c>
      <c r="M6" s="112">
        <v>45547</v>
      </c>
      <c r="N6" s="112">
        <v>45548</v>
      </c>
      <c r="O6" s="111" t="s">
        <v>938</v>
      </c>
      <c r="P6" s="111">
        <v>205826</v>
      </c>
      <c r="Q6" s="111" t="s">
        <v>1285</v>
      </c>
      <c r="S6" s="111">
        <v>0</v>
      </c>
      <c r="T6" s="111">
        <v>0</v>
      </c>
      <c r="V6" s="111" t="s">
        <v>34</v>
      </c>
    </row>
    <row r="7" spans="1:22" s="111" customFormat="1">
      <c r="A7" s="111" t="s">
        <v>933</v>
      </c>
      <c r="B7" s="111" t="s">
        <v>934</v>
      </c>
      <c r="C7" s="111" t="s">
        <v>1290</v>
      </c>
      <c r="D7" s="111" t="s">
        <v>936</v>
      </c>
      <c r="E7" s="112">
        <v>45547</v>
      </c>
      <c r="F7" s="111" t="s">
        <v>54</v>
      </c>
      <c r="G7" s="206">
        <v>-1000</v>
      </c>
      <c r="H7" s="206">
        <v>-1000</v>
      </c>
      <c r="J7" s="111" t="s">
        <v>937</v>
      </c>
      <c r="M7" s="112">
        <v>45547</v>
      </c>
      <c r="N7" s="112">
        <v>45548</v>
      </c>
      <c r="O7" s="111" t="s">
        <v>938</v>
      </c>
      <c r="P7" s="111">
        <v>205826</v>
      </c>
      <c r="Q7" s="111" t="s">
        <v>1285</v>
      </c>
      <c r="S7" s="111">
        <v>0</v>
      </c>
      <c r="T7" s="111">
        <v>0</v>
      </c>
      <c r="V7" s="111" t="s">
        <v>34</v>
      </c>
    </row>
    <row r="8" spans="1:22" s="111" customFormat="1">
      <c r="A8" s="111" t="s">
        <v>933</v>
      </c>
      <c r="B8" s="111" t="s">
        <v>934</v>
      </c>
      <c r="C8" s="111" t="s">
        <v>1291</v>
      </c>
      <c r="D8" s="111" t="s">
        <v>936</v>
      </c>
      <c r="E8" s="112">
        <v>45547</v>
      </c>
      <c r="F8" s="111" t="s">
        <v>54</v>
      </c>
      <c r="G8" s="206">
        <v>-1000</v>
      </c>
      <c r="H8" s="206">
        <v>-1000</v>
      </c>
      <c r="J8" s="111" t="s">
        <v>937</v>
      </c>
      <c r="M8" s="112">
        <v>45547</v>
      </c>
      <c r="N8" s="112">
        <v>45548</v>
      </c>
      <c r="O8" s="111" t="s">
        <v>938</v>
      </c>
      <c r="P8" s="111">
        <v>205826</v>
      </c>
      <c r="Q8" s="111" t="s">
        <v>1285</v>
      </c>
      <c r="S8" s="111">
        <v>0</v>
      </c>
      <c r="T8" s="111">
        <v>0</v>
      </c>
      <c r="V8" s="111" t="s">
        <v>34</v>
      </c>
    </row>
    <row r="9" spans="1:22" s="111" customFormat="1">
      <c r="A9" s="111" t="s">
        <v>933</v>
      </c>
      <c r="B9" s="111" t="s">
        <v>934</v>
      </c>
      <c r="C9" s="111" t="s">
        <v>1292</v>
      </c>
      <c r="D9" s="111" t="s">
        <v>936</v>
      </c>
      <c r="E9" s="112">
        <v>45547</v>
      </c>
      <c r="F9" s="111" t="s">
        <v>54</v>
      </c>
      <c r="G9" s="206">
        <v>-1000</v>
      </c>
      <c r="H9" s="206">
        <v>-1000</v>
      </c>
      <c r="J9" s="111" t="s">
        <v>937</v>
      </c>
      <c r="M9" s="112">
        <v>45547</v>
      </c>
      <c r="N9" s="112">
        <v>45548</v>
      </c>
      <c r="O9" s="111" t="s">
        <v>938</v>
      </c>
      <c r="P9" s="111">
        <v>205826</v>
      </c>
      <c r="Q9" s="111" t="s">
        <v>1285</v>
      </c>
      <c r="S9" s="111">
        <v>0</v>
      </c>
      <c r="T9" s="111">
        <v>0</v>
      </c>
      <c r="V9" s="111" t="s">
        <v>34</v>
      </c>
    </row>
    <row r="10" spans="1:22" s="111" customFormat="1">
      <c r="A10" s="111" t="s">
        <v>933</v>
      </c>
      <c r="B10" s="111" t="s">
        <v>934</v>
      </c>
      <c r="C10" s="111" t="s">
        <v>1293</v>
      </c>
      <c r="D10" s="111" t="s">
        <v>936</v>
      </c>
      <c r="E10" s="112">
        <v>45547</v>
      </c>
      <c r="F10" s="111" t="s">
        <v>54</v>
      </c>
      <c r="G10" s="206">
        <v>-1000</v>
      </c>
      <c r="H10" s="206">
        <v>-1000</v>
      </c>
      <c r="J10" s="111" t="s">
        <v>937</v>
      </c>
      <c r="M10" s="112">
        <v>45547</v>
      </c>
      <c r="N10" s="112">
        <v>45548</v>
      </c>
      <c r="O10" s="111" t="s">
        <v>938</v>
      </c>
      <c r="P10" s="111">
        <v>205826</v>
      </c>
      <c r="Q10" s="111" t="s">
        <v>1285</v>
      </c>
      <c r="S10" s="111">
        <v>0</v>
      </c>
      <c r="T10" s="111">
        <v>0</v>
      </c>
      <c r="V10" s="111" t="s">
        <v>34</v>
      </c>
    </row>
    <row r="11" spans="1:22" s="111" customFormat="1">
      <c r="A11" s="111" t="s">
        <v>933</v>
      </c>
      <c r="B11" s="111" t="s">
        <v>934</v>
      </c>
      <c r="C11" s="111" t="s">
        <v>1294</v>
      </c>
      <c r="D11" s="111" t="s">
        <v>936</v>
      </c>
      <c r="E11" s="112">
        <v>45547</v>
      </c>
      <c r="F11" s="111" t="s">
        <v>54</v>
      </c>
      <c r="G11" s="206">
        <v>-1000</v>
      </c>
      <c r="H11" s="206">
        <v>-1000</v>
      </c>
      <c r="J11" s="111" t="s">
        <v>937</v>
      </c>
      <c r="M11" s="112">
        <v>45547</v>
      </c>
      <c r="N11" s="112">
        <v>45548</v>
      </c>
      <c r="O11" s="111" t="s">
        <v>938</v>
      </c>
      <c r="P11" s="111">
        <v>205826</v>
      </c>
      <c r="Q11" s="111" t="s">
        <v>1285</v>
      </c>
      <c r="S11" s="111">
        <v>0</v>
      </c>
      <c r="T11" s="111">
        <v>0</v>
      </c>
      <c r="V11" s="111" t="s">
        <v>34</v>
      </c>
    </row>
    <row r="12" spans="1:22" s="111" customFormat="1">
      <c r="A12" s="111" t="s">
        <v>933</v>
      </c>
      <c r="B12" s="111" t="s">
        <v>934</v>
      </c>
      <c r="C12" s="111" t="s">
        <v>1295</v>
      </c>
      <c r="D12" s="111" t="s">
        <v>936</v>
      </c>
      <c r="E12" s="112">
        <v>45547</v>
      </c>
      <c r="F12" s="111" t="s">
        <v>54</v>
      </c>
      <c r="G12" s="111">
        <v>-885</v>
      </c>
      <c r="H12" s="111">
        <v>-885</v>
      </c>
      <c r="J12" s="111" t="s">
        <v>937</v>
      </c>
      <c r="M12" s="112">
        <v>45547</v>
      </c>
      <c r="N12" s="112">
        <v>45548</v>
      </c>
      <c r="O12" s="111" t="s">
        <v>938</v>
      </c>
      <c r="P12" s="111">
        <v>205826</v>
      </c>
      <c r="Q12" s="111" t="s">
        <v>1285</v>
      </c>
      <c r="S12" s="111">
        <v>0</v>
      </c>
      <c r="T12" s="111">
        <v>0</v>
      </c>
      <c r="V12" s="111" t="s">
        <v>34</v>
      </c>
    </row>
    <row r="13" spans="1:22" s="111" customFormat="1">
      <c r="A13" s="111" t="s">
        <v>933</v>
      </c>
      <c r="B13" s="111" t="s">
        <v>934</v>
      </c>
      <c r="C13" s="111" t="s">
        <v>1296</v>
      </c>
      <c r="D13" s="111" t="s">
        <v>936</v>
      </c>
      <c r="E13" s="112">
        <v>45547</v>
      </c>
      <c r="F13" s="111" t="s">
        <v>54</v>
      </c>
      <c r="G13" s="206">
        <v>-1000</v>
      </c>
      <c r="H13" s="206">
        <v>-1000</v>
      </c>
      <c r="J13" s="111" t="s">
        <v>937</v>
      </c>
      <c r="M13" s="112">
        <v>45547</v>
      </c>
      <c r="N13" s="112">
        <v>45548</v>
      </c>
      <c r="O13" s="111" t="s">
        <v>938</v>
      </c>
      <c r="P13" s="111">
        <v>205826</v>
      </c>
      <c r="Q13" s="111" t="s">
        <v>1285</v>
      </c>
      <c r="S13" s="111">
        <v>0</v>
      </c>
      <c r="T13" s="111">
        <v>0</v>
      </c>
      <c r="V13" s="111" t="s">
        <v>34</v>
      </c>
    </row>
    <row r="14" spans="1:22" s="111" customFormat="1">
      <c r="A14" s="111" t="s">
        <v>933</v>
      </c>
      <c r="B14" s="111" t="s">
        <v>934</v>
      </c>
      <c r="C14" s="111" t="s">
        <v>1297</v>
      </c>
      <c r="D14" s="111" t="s">
        <v>936</v>
      </c>
      <c r="E14" s="112">
        <v>45547</v>
      </c>
      <c r="F14" s="111" t="s">
        <v>54</v>
      </c>
      <c r="G14" s="206">
        <v>-1000</v>
      </c>
      <c r="H14" s="206">
        <v>-1000</v>
      </c>
      <c r="J14" s="111" t="s">
        <v>937</v>
      </c>
      <c r="M14" s="112">
        <v>45547</v>
      </c>
      <c r="N14" s="112">
        <v>45548</v>
      </c>
      <c r="O14" s="111" t="s">
        <v>938</v>
      </c>
      <c r="P14" s="111">
        <v>205826</v>
      </c>
      <c r="Q14" s="111" t="s">
        <v>1285</v>
      </c>
      <c r="S14" s="111">
        <v>0</v>
      </c>
      <c r="T14" s="111">
        <v>0</v>
      </c>
      <c r="V14" s="111" t="s">
        <v>34</v>
      </c>
    </row>
    <row r="15" spans="1:22" s="111" customFormat="1">
      <c r="A15" s="111" t="s">
        <v>933</v>
      </c>
      <c r="B15" s="111" t="s">
        <v>934</v>
      </c>
      <c r="C15" s="111" t="s">
        <v>1298</v>
      </c>
      <c r="D15" s="111" t="s">
        <v>936</v>
      </c>
      <c r="E15" s="112">
        <v>45547</v>
      </c>
      <c r="F15" s="111" t="s">
        <v>54</v>
      </c>
      <c r="G15" s="111">
        <v>-1.65</v>
      </c>
      <c r="H15" s="111">
        <v>-1.65</v>
      </c>
      <c r="J15" s="111" t="s">
        <v>937</v>
      </c>
      <c r="M15" s="112">
        <v>45547</v>
      </c>
      <c r="N15" s="112">
        <v>45548</v>
      </c>
      <c r="O15" s="111" t="s">
        <v>938</v>
      </c>
      <c r="P15" s="111">
        <v>205826</v>
      </c>
      <c r="Q15" s="111" t="s">
        <v>1285</v>
      </c>
      <c r="S15" s="111">
        <v>0</v>
      </c>
      <c r="T15" s="111">
        <v>0</v>
      </c>
      <c r="V15" s="111" t="s">
        <v>34</v>
      </c>
    </row>
    <row r="16" spans="1:22" s="111" customFormat="1">
      <c r="A16" s="111" t="s">
        <v>933</v>
      </c>
      <c r="B16" s="111" t="s">
        <v>934</v>
      </c>
      <c r="C16" s="111" t="s">
        <v>1299</v>
      </c>
      <c r="D16" s="111" t="s">
        <v>936</v>
      </c>
      <c r="E16" s="112">
        <v>45547</v>
      </c>
      <c r="F16" s="111" t="s">
        <v>54</v>
      </c>
      <c r="G16" s="111">
        <v>-130.35</v>
      </c>
      <c r="H16" s="111">
        <v>-130.35</v>
      </c>
      <c r="J16" s="111" t="s">
        <v>937</v>
      </c>
      <c r="M16" s="112">
        <v>45547</v>
      </c>
      <c r="N16" s="112">
        <v>45548</v>
      </c>
      <c r="O16" s="111" t="s">
        <v>938</v>
      </c>
      <c r="P16" s="111">
        <v>205826</v>
      </c>
      <c r="Q16" s="111" t="s">
        <v>1285</v>
      </c>
      <c r="S16" s="111">
        <v>0</v>
      </c>
      <c r="T16" s="111">
        <v>0</v>
      </c>
      <c r="V16" s="111" t="s">
        <v>34</v>
      </c>
    </row>
    <row r="17" spans="1:22" s="111" customFormat="1">
      <c r="A17" s="111" t="s">
        <v>933</v>
      </c>
      <c r="B17" s="111" t="s">
        <v>934</v>
      </c>
      <c r="C17" s="111" t="s">
        <v>1300</v>
      </c>
      <c r="D17" s="111" t="s">
        <v>936</v>
      </c>
      <c r="E17" s="112">
        <v>45547</v>
      </c>
      <c r="F17" s="111" t="s">
        <v>54</v>
      </c>
      <c r="G17" s="111">
        <v>-1.65</v>
      </c>
      <c r="H17" s="111">
        <v>-1.65</v>
      </c>
      <c r="J17" s="111" t="s">
        <v>937</v>
      </c>
      <c r="M17" s="112">
        <v>45547</v>
      </c>
      <c r="N17" s="112">
        <v>45548</v>
      </c>
      <c r="O17" s="111" t="s">
        <v>938</v>
      </c>
      <c r="P17" s="111">
        <v>205826</v>
      </c>
      <c r="Q17" s="111" t="s">
        <v>1285</v>
      </c>
      <c r="S17" s="111">
        <v>0</v>
      </c>
      <c r="T17" s="111">
        <v>0</v>
      </c>
      <c r="V17" s="111" t="s">
        <v>34</v>
      </c>
    </row>
    <row r="18" spans="1:22" s="111" customFormat="1">
      <c r="A18" s="111" t="s">
        <v>933</v>
      </c>
      <c r="B18" s="111" t="s">
        <v>934</v>
      </c>
      <c r="C18" s="111" t="s">
        <v>1301</v>
      </c>
      <c r="D18" s="111" t="s">
        <v>936</v>
      </c>
      <c r="E18" s="112">
        <v>45547</v>
      </c>
      <c r="F18" s="111" t="s">
        <v>54</v>
      </c>
      <c r="G18" s="111">
        <v>-1.65</v>
      </c>
      <c r="H18" s="111">
        <v>-1.65</v>
      </c>
      <c r="J18" s="111" t="s">
        <v>937</v>
      </c>
      <c r="M18" s="112">
        <v>45547</v>
      </c>
      <c r="N18" s="112">
        <v>45548</v>
      </c>
      <c r="O18" s="111" t="s">
        <v>938</v>
      </c>
      <c r="P18" s="111">
        <v>205826</v>
      </c>
      <c r="Q18" s="111" t="s">
        <v>1285</v>
      </c>
      <c r="S18" s="111">
        <v>0</v>
      </c>
      <c r="T18" s="111">
        <v>0</v>
      </c>
      <c r="V18" s="111" t="s">
        <v>34</v>
      </c>
    </row>
    <row r="19" spans="1:22" s="111" customFormat="1">
      <c r="A19" s="111" t="s">
        <v>933</v>
      </c>
      <c r="B19" s="111" t="s">
        <v>934</v>
      </c>
      <c r="C19" s="111" t="s">
        <v>1302</v>
      </c>
      <c r="D19" s="111" t="s">
        <v>936</v>
      </c>
      <c r="E19" s="112">
        <v>45547</v>
      </c>
      <c r="F19" s="111" t="s">
        <v>54</v>
      </c>
      <c r="G19" s="111">
        <v>-414.8</v>
      </c>
      <c r="H19" s="111">
        <v>-414.8</v>
      </c>
      <c r="J19" s="111" t="s">
        <v>937</v>
      </c>
      <c r="M19" s="112">
        <v>45547</v>
      </c>
      <c r="N19" s="112">
        <v>45548</v>
      </c>
      <c r="O19" s="111" t="s">
        <v>938</v>
      </c>
      <c r="P19" s="111">
        <v>205826</v>
      </c>
      <c r="Q19" s="111" t="s">
        <v>1285</v>
      </c>
      <c r="S19" s="111">
        <v>0</v>
      </c>
      <c r="T19" s="111">
        <v>0</v>
      </c>
      <c r="V19" s="111" t="s">
        <v>34</v>
      </c>
    </row>
    <row r="20" spans="1:22" s="111" customFormat="1">
      <c r="A20" s="111" t="s">
        <v>933</v>
      </c>
      <c r="B20" s="111" t="s">
        <v>934</v>
      </c>
      <c r="C20" s="111" t="s">
        <v>1303</v>
      </c>
      <c r="D20" s="111" t="s">
        <v>936</v>
      </c>
      <c r="E20" s="112">
        <v>45547</v>
      </c>
      <c r="F20" s="111" t="s">
        <v>54</v>
      </c>
      <c r="G20" s="111">
        <v>-472.6</v>
      </c>
      <c r="H20" s="111">
        <v>-472.6</v>
      </c>
      <c r="J20" s="111" t="s">
        <v>937</v>
      </c>
      <c r="M20" s="112">
        <v>45547</v>
      </c>
      <c r="N20" s="112">
        <v>45548</v>
      </c>
      <c r="O20" s="111" t="s">
        <v>938</v>
      </c>
      <c r="P20" s="111">
        <v>205826</v>
      </c>
      <c r="Q20" s="111" t="s">
        <v>1285</v>
      </c>
      <c r="S20" s="111">
        <v>0</v>
      </c>
      <c r="T20" s="111">
        <v>0</v>
      </c>
      <c r="V20" s="111" t="s">
        <v>34</v>
      </c>
    </row>
    <row r="21" spans="1:22" s="111" customFormat="1">
      <c r="A21" s="111" t="s">
        <v>933</v>
      </c>
      <c r="B21" s="111" t="s">
        <v>934</v>
      </c>
      <c r="C21" s="111" t="s">
        <v>1304</v>
      </c>
      <c r="D21" s="111" t="s">
        <v>936</v>
      </c>
      <c r="E21" s="112">
        <v>45547</v>
      </c>
      <c r="F21" s="111" t="s">
        <v>54</v>
      </c>
      <c r="G21" s="111">
        <v>-3.4</v>
      </c>
      <c r="H21" s="111">
        <v>-3.4</v>
      </c>
      <c r="J21" s="111" t="s">
        <v>937</v>
      </c>
      <c r="M21" s="112">
        <v>45547</v>
      </c>
      <c r="N21" s="112">
        <v>45548</v>
      </c>
      <c r="O21" s="111" t="s">
        <v>938</v>
      </c>
      <c r="P21" s="111">
        <v>205826</v>
      </c>
      <c r="Q21" s="111" t="s">
        <v>1285</v>
      </c>
      <c r="S21" s="111">
        <v>0</v>
      </c>
      <c r="T21" s="111">
        <v>0</v>
      </c>
      <c r="V21" s="111" t="s">
        <v>34</v>
      </c>
    </row>
    <row r="22" spans="1:22" s="111" customFormat="1">
      <c r="A22" s="111" t="s">
        <v>933</v>
      </c>
      <c r="B22" s="111" t="s">
        <v>934</v>
      </c>
      <c r="C22" s="111" t="s">
        <v>1305</v>
      </c>
      <c r="D22" s="111" t="s">
        <v>936</v>
      </c>
      <c r="E22" s="112">
        <v>45547</v>
      </c>
      <c r="F22" s="111" t="s">
        <v>54</v>
      </c>
      <c r="G22" s="111">
        <v>-3.4</v>
      </c>
      <c r="H22" s="111">
        <v>-3.4</v>
      </c>
      <c r="J22" s="111" t="s">
        <v>937</v>
      </c>
      <c r="M22" s="112">
        <v>45547</v>
      </c>
      <c r="N22" s="112">
        <v>45548</v>
      </c>
      <c r="O22" s="111" t="s">
        <v>938</v>
      </c>
      <c r="P22" s="111">
        <v>205826</v>
      </c>
      <c r="Q22" s="111" t="s">
        <v>1285</v>
      </c>
      <c r="S22" s="111">
        <v>0</v>
      </c>
      <c r="T22" s="111">
        <v>0</v>
      </c>
      <c r="V22" s="111" t="s">
        <v>34</v>
      </c>
    </row>
    <row r="23" spans="1:22" s="111" customFormat="1">
      <c r="A23" s="111" t="s">
        <v>933</v>
      </c>
      <c r="B23" s="111" t="s">
        <v>934</v>
      </c>
      <c r="C23" s="111" t="s">
        <v>1306</v>
      </c>
      <c r="D23" s="111" t="s">
        <v>936</v>
      </c>
      <c r="E23" s="112">
        <v>45547</v>
      </c>
      <c r="F23" s="111" t="s">
        <v>54</v>
      </c>
      <c r="G23" s="111">
        <v>-95.2</v>
      </c>
      <c r="H23" s="111">
        <v>-95.2</v>
      </c>
      <c r="J23" s="111" t="s">
        <v>937</v>
      </c>
      <c r="M23" s="112">
        <v>45547</v>
      </c>
      <c r="N23" s="112">
        <v>45548</v>
      </c>
      <c r="O23" s="111" t="s">
        <v>938</v>
      </c>
      <c r="P23" s="111">
        <v>205826</v>
      </c>
      <c r="Q23" s="111" t="s">
        <v>1285</v>
      </c>
      <c r="S23" s="111">
        <v>0</v>
      </c>
      <c r="T23" s="111">
        <v>0</v>
      </c>
      <c r="V23" s="111" t="s">
        <v>34</v>
      </c>
    </row>
    <row r="24" spans="1:22" s="111" customFormat="1">
      <c r="A24" s="111" t="s">
        <v>933</v>
      </c>
      <c r="B24" s="111" t="s">
        <v>934</v>
      </c>
      <c r="C24" s="111" t="s">
        <v>1307</v>
      </c>
      <c r="D24" s="111" t="s">
        <v>936</v>
      </c>
      <c r="E24" s="112">
        <v>45547</v>
      </c>
      <c r="F24" s="111" t="s">
        <v>54</v>
      </c>
      <c r="G24" s="111">
        <v>-3.4</v>
      </c>
      <c r="H24" s="111">
        <v>-3.4</v>
      </c>
      <c r="J24" s="111" t="s">
        <v>937</v>
      </c>
      <c r="M24" s="112">
        <v>45547</v>
      </c>
      <c r="N24" s="112">
        <v>45548</v>
      </c>
      <c r="O24" s="111" t="s">
        <v>938</v>
      </c>
      <c r="P24" s="111">
        <v>205826</v>
      </c>
      <c r="Q24" s="111" t="s">
        <v>1285</v>
      </c>
      <c r="S24" s="111">
        <v>0</v>
      </c>
      <c r="T24" s="111">
        <v>0</v>
      </c>
      <c r="V24" s="111" t="s">
        <v>34</v>
      </c>
    </row>
    <row r="25" spans="1:22" s="111" customFormat="1">
      <c r="A25" s="111" t="s">
        <v>933</v>
      </c>
      <c r="B25" s="111" t="s">
        <v>934</v>
      </c>
      <c r="C25" s="111" t="s">
        <v>1308</v>
      </c>
      <c r="D25" s="111" t="s">
        <v>936</v>
      </c>
      <c r="E25" s="112">
        <v>45547</v>
      </c>
      <c r="F25" s="111" t="s">
        <v>54</v>
      </c>
      <c r="G25" s="111">
        <v>-3.4</v>
      </c>
      <c r="H25" s="111">
        <v>-3.4</v>
      </c>
      <c r="J25" s="111" t="s">
        <v>937</v>
      </c>
      <c r="M25" s="112">
        <v>45547</v>
      </c>
      <c r="N25" s="112">
        <v>45548</v>
      </c>
      <c r="O25" s="111" t="s">
        <v>938</v>
      </c>
      <c r="P25" s="111">
        <v>205826</v>
      </c>
      <c r="Q25" s="111" t="s">
        <v>1285</v>
      </c>
      <c r="S25" s="111">
        <v>0</v>
      </c>
      <c r="T25" s="111">
        <v>0</v>
      </c>
      <c r="V25" s="111" t="s">
        <v>34</v>
      </c>
    </row>
    <row r="26" spans="1:22" s="111" customFormat="1">
      <c r="A26" s="111" t="s">
        <v>933</v>
      </c>
      <c r="B26" s="111" t="s">
        <v>934</v>
      </c>
      <c r="C26" s="111" t="s">
        <v>1309</v>
      </c>
      <c r="D26" s="111" t="s">
        <v>936</v>
      </c>
      <c r="E26" s="112">
        <v>45547</v>
      </c>
      <c r="F26" s="111" t="s">
        <v>54</v>
      </c>
      <c r="G26" s="111">
        <v>-24.6</v>
      </c>
      <c r="H26" s="111">
        <v>-24.6</v>
      </c>
      <c r="J26" s="111" t="s">
        <v>937</v>
      </c>
      <c r="M26" s="112">
        <v>45547</v>
      </c>
      <c r="N26" s="112">
        <v>45548</v>
      </c>
      <c r="O26" s="111" t="s">
        <v>938</v>
      </c>
      <c r="P26" s="111">
        <v>205826</v>
      </c>
      <c r="Q26" s="111" t="s">
        <v>1285</v>
      </c>
      <c r="S26" s="111">
        <v>0</v>
      </c>
      <c r="T26" s="111">
        <v>0</v>
      </c>
      <c r="V26" s="111" t="s">
        <v>34</v>
      </c>
    </row>
    <row r="27" spans="1:22" s="111" customFormat="1">
      <c r="A27" s="111" t="s">
        <v>933</v>
      </c>
      <c r="B27" s="111" t="s">
        <v>934</v>
      </c>
      <c r="C27" s="111" t="s">
        <v>1310</v>
      </c>
      <c r="D27" s="111" t="s">
        <v>936</v>
      </c>
      <c r="E27" s="112">
        <v>45547</v>
      </c>
      <c r="F27" s="111" t="s">
        <v>54</v>
      </c>
      <c r="G27" s="111">
        <v>-8.1999999999999993</v>
      </c>
      <c r="H27" s="111">
        <v>-8.1999999999999993</v>
      </c>
      <c r="J27" s="111" t="s">
        <v>937</v>
      </c>
      <c r="M27" s="112">
        <v>45547</v>
      </c>
      <c r="N27" s="112">
        <v>45548</v>
      </c>
      <c r="O27" s="111" t="s">
        <v>938</v>
      </c>
      <c r="P27" s="111">
        <v>205826</v>
      </c>
      <c r="Q27" s="111" t="s">
        <v>1285</v>
      </c>
      <c r="S27" s="111">
        <v>0</v>
      </c>
      <c r="T27" s="111">
        <v>0</v>
      </c>
      <c r="V27" s="111" t="s">
        <v>34</v>
      </c>
    </row>
    <row r="28" spans="1:22" s="111" customFormat="1">
      <c r="A28" s="111" t="s">
        <v>933</v>
      </c>
      <c r="B28" s="111" t="s">
        <v>934</v>
      </c>
      <c r="C28" s="111" t="s">
        <v>1311</v>
      </c>
      <c r="D28" s="111" t="s">
        <v>936</v>
      </c>
      <c r="E28" s="112">
        <v>45547</v>
      </c>
      <c r="F28" s="111" t="s">
        <v>54</v>
      </c>
      <c r="G28" s="111">
        <v>-8.1999999999999993</v>
      </c>
      <c r="H28" s="111">
        <v>-8.1999999999999993</v>
      </c>
      <c r="J28" s="111" t="s">
        <v>937</v>
      </c>
      <c r="M28" s="112">
        <v>45547</v>
      </c>
      <c r="N28" s="112">
        <v>45548</v>
      </c>
      <c r="O28" s="111" t="s">
        <v>938</v>
      </c>
      <c r="P28" s="111">
        <v>205826</v>
      </c>
      <c r="Q28" s="111" t="s">
        <v>1285</v>
      </c>
      <c r="S28" s="111">
        <v>0</v>
      </c>
      <c r="T28" s="111">
        <v>0</v>
      </c>
      <c r="V28" s="111" t="s">
        <v>34</v>
      </c>
    </row>
    <row r="29" spans="1:22" s="111" customFormat="1">
      <c r="A29" s="111" t="s">
        <v>933</v>
      </c>
      <c r="B29" s="111" t="s">
        <v>934</v>
      </c>
      <c r="C29" s="111" t="s">
        <v>1312</v>
      </c>
      <c r="D29" s="111" t="s">
        <v>936</v>
      </c>
      <c r="E29" s="112">
        <v>45547</v>
      </c>
      <c r="F29" s="111" t="s">
        <v>54</v>
      </c>
      <c r="G29" s="111">
        <v>-8.1999999999999993</v>
      </c>
      <c r="H29" s="111">
        <v>-8.1999999999999993</v>
      </c>
      <c r="J29" s="111" t="s">
        <v>937</v>
      </c>
      <c r="M29" s="112">
        <v>45547</v>
      </c>
      <c r="N29" s="112">
        <v>45548</v>
      </c>
      <c r="O29" s="111" t="s">
        <v>938</v>
      </c>
      <c r="P29" s="111">
        <v>205826</v>
      </c>
      <c r="Q29" s="111" t="s">
        <v>1285</v>
      </c>
      <c r="S29" s="111">
        <v>0</v>
      </c>
      <c r="T29" s="111">
        <v>0</v>
      </c>
      <c r="V29" s="111" t="s">
        <v>34</v>
      </c>
    </row>
    <row r="30" spans="1:22" s="111" customFormat="1">
      <c r="A30" s="111" t="s">
        <v>933</v>
      </c>
      <c r="B30" s="111" t="s">
        <v>934</v>
      </c>
      <c r="C30" s="111" t="s">
        <v>1313</v>
      </c>
      <c r="D30" s="111" t="s">
        <v>936</v>
      </c>
      <c r="E30" s="112">
        <v>45547</v>
      </c>
      <c r="F30" s="111" t="s">
        <v>54</v>
      </c>
      <c r="G30" s="111">
        <v>-8.1999999999999993</v>
      </c>
      <c r="H30" s="111">
        <v>-8.1999999999999993</v>
      </c>
      <c r="J30" s="111" t="s">
        <v>937</v>
      </c>
      <c r="M30" s="112">
        <v>45547</v>
      </c>
      <c r="N30" s="112">
        <v>45548</v>
      </c>
      <c r="O30" s="111" t="s">
        <v>938</v>
      </c>
      <c r="P30" s="111">
        <v>205826</v>
      </c>
      <c r="Q30" s="111" t="s">
        <v>1285</v>
      </c>
      <c r="S30" s="111">
        <v>0</v>
      </c>
      <c r="T30" s="111">
        <v>0</v>
      </c>
      <c r="V30" s="111" t="s">
        <v>34</v>
      </c>
    </row>
    <row r="31" spans="1:22" s="111" customFormat="1">
      <c r="A31" s="111" t="s">
        <v>933</v>
      </c>
      <c r="B31" s="111" t="s">
        <v>934</v>
      </c>
      <c r="C31" s="111" t="s">
        <v>1314</v>
      </c>
      <c r="D31" s="111" t="s">
        <v>936</v>
      </c>
      <c r="E31" s="112">
        <v>45547</v>
      </c>
      <c r="F31" s="111" t="s">
        <v>54</v>
      </c>
      <c r="G31" s="111">
        <v>-287</v>
      </c>
      <c r="H31" s="111">
        <v>-287</v>
      </c>
      <c r="J31" s="111" t="s">
        <v>937</v>
      </c>
      <c r="M31" s="112">
        <v>45547</v>
      </c>
      <c r="N31" s="112">
        <v>45548</v>
      </c>
      <c r="O31" s="111" t="s">
        <v>938</v>
      </c>
      <c r="P31" s="111">
        <v>205826</v>
      </c>
      <c r="Q31" s="111" t="s">
        <v>1285</v>
      </c>
      <c r="S31" s="111">
        <v>0</v>
      </c>
      <c r="T31" s="111">
        <v>0</v>
      </c>
      <c r="V31" s="111" t="s">
        <v>34</v>
      </c>
    </row>
    <row r="32" spans="1:22" s="111" customFormat="1">
      <c r="A32" s="111" t="s">
        <v>933</v>
      </c>
      <c r="B32" s="111" t="s">
        <v>934</v>
      </c>
      <c r="C32" s="111" t="s">
        <v>1315</v>
      </c>
      <c r="D32" s="111" t="s">
        <v>936</v>
      </c>
      <c r="E32" s="112">
        <v>45547</v>
      </c>
      <c r="F32" s="111" t="s">
        <v>54</v>
      </c>
      <c r="G32" s="111">
        <v>-8.1999999999999993</v>
      </c>
      <c r="H32" s="111">
        <v>-8.1999999999999993</v>
      </c>
      <c r="J32" s="111" t="s">
        <v>937</v>
      </c>
      <c r="M32" s="112">
        <v>45547</v>
      </c>
      <c r="N32" s="112">
        <v>45548</v>
      </c>
      <c r="O32" s="111" t="s">
        <v>938</v>
      </c>
      <c r="P32" s="111">
        <v>205826</v>
      </c>
      <c r="Q32" s="111" t="s">
        <v>1285</v>
      </c>
      <c r="S32" s="111">
        <v>0</v>
      </c>
      <c r="T32" s="111">
        <v>0</v>
      </c>
      <c r="V32" s="111" t="s">
        <v>34</v>
      </c>
    </row>
    <row r="33" spans="1:22" s="111" customFormat="1">
      <c r="A33" s="111" t="s">
        <v>933</v>
      </c>
      <c r="B33" s="111" t="s">
        <v>934</v>
      </c>
      <c r="C33" s="111" t="s">
        <v>1316</v>
      </c>
      <c r="D33" s="111" t="s">
        <v>936</v>
      </c>
      <c r="E33" s="112">
        <v>45547</v>
      </c>
      <c r="F33" s="111" t="s">
        <v>54</v>
      </c>
      <c r="G33" s="111">
        <v>-90.2</v>
      </c>
      <c r="H33" s="111">
        <v>-90.2</v>
      </c>
      <c r="J33" s="111" t="s">
        <v>937</v>
      </c>
      <c r="M33" s="112">
        <v>45547</v>
      </c>
      <c r="N33" s="112">
        <v>45548</v>
      </c>
      <c r="O33" s="111" t="s">
        <v>938</v>
      </c>
      <c r="P33" s="111">
        <v>205826</v>
      </c>
      <c r="Q33" s="111" t="s">
        <v>1285</v>
      </c>
      <c r="S33" s="111">
        <v>0</v>
      </c>
      <c r="T33" s="111">
        <v>0</v>
      </c>
      <c r="V33" s="111" t="s">
        <v>34</v>
      </c>
    </row>
    <row r="34" spans="1:22" s="111" customFormat="1">
      <c r="A34" s="111" t="s">
        <v>933</v>
      </c>
      <c r="B34" s="111" t="s">
        <v>934</v>
      </c>
      <c r="C34" s="111" t="s">
        <v>1317</v>
      </c>
      <c r="D34" s="111" t="s">
        <v>936</v>
      </c>
      <c r="E34" s="112">
        <v>45547</v>
      </c>
      <c r="F34" s="111" t="s">
        <v>54</v>
      </c>
      <c r="G34" s="206">
        <v>-1000</v>
      </c>
      <c r="H34" s="206">
        <v>-1000</v>
      </c>
      <c r="J34" s="111" t="s">
        <v>937</v>
      </c>
      <c r="M34" s="112">
        <v>45547</v>
      </c>
      <c r="N34" s="112">
        <v>45548</v>
      </c>
      <c r="O34" s="111" t="s">
        <v>938</v>
      </c>
      <c r="P34" s="111">
        <v>205826</v>
      </c>
      <c r="Q34" s="111" t="s">
        <v>1285</v>
      </c>
      <c r="S34" s="111">
        <v>0</v>
      </c>
      <c r="T34" s="111">
        <v>0</v>
      </c>
      <c r="V34" s="111" t="s">
        <v>34</v>
      </c>
    </row>
    <row r="35" spans="1:22" s="111" customFormat="1">
      <c r="A35" s="111" t="s">
        <v>933</v>
      </c>
      <c r="B35" s="111" t="s">
        <v>934</v>
      </c>
      <c r="C35" s="111" t="s">
        <v>1318</v>
      </c>
      <c r="D35" s="111" t="s">
        <v>936</v>
      </c>
      <c r="E35" s="112">
        <v>45547</v>
      </c>
      <c r="F35" s="111" t="s">
        <v>54</v>
      </c>
      <c r="G35" s="206">
        <v>-1000</v>
      </c>
      <c r="H35" s="206">
        <v>-1000</v>
      </c>
      <c r="J35" s="111" t="s">
        <v>937</v>
      </c>
      <c r="M35" s="112">
        <v>45547</v>
      </c>
      <c r="N35" s="112">
        <v>45548</v>
      </c>
      <c r="O35" s="111" t="s">
        <v>938</v>
      </c>
      <c r="P35" s="111">
        <v>205826</v>
      </c>
      <c r="Q35" s="111" t="s">
        <v>1285</v>
      </c>
      <c r="S35" s="111">
        <v>0</v>
      </c>
      <c r="T35" s="111">
        <v>0</v>
      </c>
      <c r="V35" s="111" t="s">
        <v>34</v>
      </c>
    </row>
    <row r="36" spans="1:22">
      <c r="A36" t="s">
        <v>933</v>
      </c>
      <c r="B36" t="s">
        <v>934</v>
      </c>
      <c r="C36" t="s">
        <v>1319</v>
      </c>
      <c r="D36" t="s">
        <v>936</v>
      </c>
      <c r="E36" s="1">
        <v>45547</v>
      </c>
      <c r="F36" t="s">
        <v>54</v>
      </c>
      <c r="G36" s="202">
        <v>-1000</v>
      </c>
      <c r="H36" s="202">
        <v>-1000</v>
      </c>
      <c r="J36" t="s">
        <v>937</v>
      </c>
      <c r="M36" s="1">
        <v>45547</v>
      </c>
      <c r="N36" s="1">
        <v>45548</v>
      </c>
      <c r="O36" t="s">
        <v>938</v>
      </c>
      <c r="P36">
        <v>205826</v>
      </c>
      <c r="Q36" t="s">
        <v>1285</v>
      </c>
      <c r="S36">
        <v>0</v>
      </c>
      <c r="T36">
        <v>0</v>
      </c>
      <c r="V36" t="s">
        <v>34</v>
      </c>
    </row>
    <row r="37" spans="1:22">
      <c r="G37" s="202">
        <f t="shared" ref="G37:H37" si="0">SUM(G2:G36)</f>
        <v>-17459.300000000003</v>
      </c>
      <c r="H37" s="202">
        <f t="shared" si="0"/>
        <v>-17459.300000000003</v>
      </c>
    </row>
    <row r="40" spans="1:22">
      <c r="B40" t="s">
        <v>1320</v>
      </c>
      <c r="C40">
        <v>1395</v>
      </c>
      <c r="G40" s="202">
        <v>35360.97</v>
      </c>
    </row>
  </sheetData>
  <autoFilter ref="A1:V1" xr:uid="{1A677916-3F43-4E6C-B010-1E4C255392FA}">
    <sortState xmlns:xlrd2="http://schemas.microsoft.com/office/spreadsheetml/2017/richdata2" ref="A2:V36">
      <sortCondition ref="C1"/>
    </sortState>
  </autoFilter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ed91297-fd6c-4f0d-9129-feb9cbd1c01a">
      <Terms xmlns="http://schemas.microsoft.com/office/infopath/2007/PartnerControls"/>
    </lcf76f155ced4ddcb4097134ff3c332f>
    <TaxCatchAll xmlns="f1e14f21-6b02-41fd-827a-e5136e71e7e8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14EF061E07E9846B03CB135CC44A76B" ma:contentTypeVersion="21" ma:contentTypeDescription="Criar um novo documento." ma:contentTypeScope="" ma:versionID="e8a40bf43fe50a33bc2214233c8a2ce5">
  <xsd:schema xmlns:xsd="http://www.w3.org/2001/XMLSchema" xmlns:xs="http://www.w3.org/2001/XMLSchema" xmlns:p="http://schemas.microsoft.com/office/2006/metadata/properties" xmlns:ns2="7ed91297-fd6c-4f0d-9129-feb9cbd1c01a" xmlns:ns3="f1e14f21-6b02-41fd-827a-e5136e71e7e8" targetNamespace="http://schemas.microsoft.com/office/2006/metadata/properties" ma:root="true" ma:fieldsID="8bf4791c7e90de7b2d1d43a3ccc56d28" ns2:_="" ns3:_="">
    <xsd:import namespace="7ed91297-fd6c-4f0d-9129-feb9cbd1c01a"/>
    <xsd:import namespace="f1e14f21-6b02-41fd-827a-e5136e71e7e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d91297-fd6c-4f0d-9129-feb9cbd1c0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7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8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2" nillable="true" ma:displayName="Tags" ma:hidden="true" ma:internalName="MediaServiceAutoTags" ma:readOnly="true">
      <xsd:simpleType>
        <xsd:restriction base="dms:Text"/>
      </xsd:simpleType>
    </xsd:element>
    <xsd:element name="MediaServiceLocation" ma:index="13" nillable="true" ma:displayName="Location" ma:hidden="true" ma:internalName="MediaServiceLocation" ma:readOnly="true">
      <xsd:simpleType>
        <xsd:restriction base="dms:Text"/>
      </xsd:simpleType>
    </xsd:element>
    <xsd:element name="MediaServiceOCR" ma:index="14" nillable="true" ma:displayName="Extracted Text" ma:hidden="true" ma:internalName="MediaServiceOCR" ma:readOnly="true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hidden="true" ma:internalName="MediaServiceKeyPoints" ma:readOnly="true">
      <xsd:simpleType>
        <xsd:restriction base="dms:Note"/>
      </xsd:simpleType>
    </xsd:element>
    <xsd:element name="MediaLengthInSeconds" ma:index="19" nillable="true" ma:displayName="Length (seconds)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m" ma:readOnly="false" ma:fieldId="{5cf76f15-5ced-4ddc-b409-7134ff3c332f}" ma:taxonomyMulti="true" ma:sspId="a07ed397-ddfa-4e13-9ba3-daa1d70016a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e14f21-6b02-41fd-827a-e5136e71e7e8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Partilhado Com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Detalhes de Partilhado Com" ma:hidden="true" ma:internalName="SharedWithDetails" ma:readOnly="true">
      <xsd:simpleType>
        <xsd:restriction base="dms:Note"/>
      </xsd:simpleType>
    </xsd:element>
    <xsd:element name="TaxCatchAll" ma:index="22" nillable="true" ma:displayName="Taxonomy Catch All Column" ma:hidden="true" ma:list="{bb254990-de88-4cee-a7e5-23507a2e99ef}" ma:internalName="TaxCatchAll" ma:readOnly="false" ma:showField="CatchAllData" ma:web="f1e14f21-6b02-41fd-827a-e5136e71e7e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Tipo de Conteúdo"/>
        <xsd:element ref="dc:title" minOccurs="0" maxOccurs="1" ma:index="1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92D7B78-CDB2-4F20-9EFE-8334DEE6789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2803C0A-C983-4978-BC5D-4E8BC20EB532}">
  <ds:schemaRefs>
    <ds:schemaRef ds:uri="http://schemas.openxmlformats.org/package/2006/metadata/core-properties"/>
    <ds:schemaRef ds:uri="http://schemas.microsoft.com/office/2006/documentManagement/types"/>
    <ds:schemaRef ds:uri="f1e14f21-6b02-41fd-827a-e5136e71e7e8"/>
    <ds:schemaRef ds:uri="http://purl.org/dc/elements/1.1/"/>
    <ds:schemaRef ds:uri="http://schemas.microsoft.com/office/2006/metadata/properties"/>
    <ds:schemaRef ds:uri="7ed91297-fd6c-4f0d-9129-feb9cbd1c01a"/>
    <ds:schemaRef ds:uri="http://purl.org/dc/terms/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B37BAEFA-952A-4B56-868B-16E33D51F4E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ed91297-fd6c-4f0d-9129-feb9cbd1c01a"/>
    <ds:schemaRef ds:uri="f1e14f21-6b02-41fd-827a-e5136e71e7e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33</vt:i4>
      </vt:variant>
    </vt:vector>
  </HeadingPairs>
  <TitlesOfParts>
    <vt:vector size="33" baseType="lpstr">
      <vt:lpstr>01.08.25</vt:lpstr>
      <vt:lpstr>04.08.25</vt:lpstr>
      <vt:lpstr>05.08.25</vt:lpstr>
      <vt:lpstr>06.08.25</vt:lpstr>
      <vt:lpstr>07.08.25</vt:lpstr>
      <vt:lpstr>08.08.25</vt:lpstr>
      <vt:lpstr>09.07.25</vt:lpstr>
      <vt:lpstr>10.07.25</vt:lpstr>
      <vt:lpstr>11.07.25</vt:lpstr>
      <vt:lpstr>14.07.25</vt:lpstr>
      <vt:lpstr>15.07.25</vt:lpstr>
      <vt:lpstr>16.07.25</vt:lpstr>
      <vt:lpstr>17.07.25</vt:lpstr>
      <vt:lpstr>18.07.25</vt:lpstr>
      <vt:lpstr>21.07.25</vt:lpstr>
      <vt:lpstr>22.07.25</vt:lpstr>
      <vt:lpstr>23.07.25</vt:lpstr>
      <vt:lpstr>24.07.25</vt:lpstr>
      <vt:lpstr>25.07.25</vt:lpstr>
      <vt:lpstr>28.07.25</vt:lpstr>
      <vt:lpstr>29.07.25</vt:lpstr>
      <vt:lpstr>30.07.25</vt:lpstr>
      <vt:lpstr>31.07.25</vt:lpstr>
      <vt:lpstr>Planilha10</vt:lpstr>
      <vt:lpstr>Planilha9</vt:lpstr>
      <vt:lpstr>Modelo DICOS</vt:lpstr>
      <vt:lpstr>Planilha24</vt:lpstr>
      <vt:lpstr>Planilha23</vt:lpstr>
      <vt:lpstr>Planilha3</vt:lpstr>
      <vt:lpstr>MODELO GIRO AMORT.</vt:lpstr>
      <vt:lpstr>MODELO IOF A RECOLHER</vt:lpstr>
      <vt:lpstr>Estorno GL 1109</vt:lpstr>
      <vt:lpstr>Estorno GL 1309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Lucas Moreira do Vale</cp:lastModifiedBy>
  <cp:revision/>
  <dcterms:created xsi:type="dcterms:W3CDTF">2006-09-16T00:00:00Z</dcterms:created>
  <dcterms:modified xsi:type="dcterms:W3CDTF">2025-08-20T19:40:41Z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0x010100914EF061E07E9846B03CB135CC44A76B</vt:lpwstr>
  </property>
  <property fmtid="{D5CDD505-2E9C-101B-9397-08002B2CF9AE}" pid="3" name="MediaServiceImageTags">
    <vt:lpwstr/>
  </property>
  <property fmtid="{D5CDD505-2E9C-101B-9397-08002B2CF9AE}" pid="4" name="MSIP_Label_510e9cc9-ac6f-42b1-bf24-968858a22d9f_Enabled">
    <vt:lpwstr>true</vt:lpwstr>
  </property>
  <property fmtid="{D5CDD505-2E9C-101B-9397-08002B2CF9AE}" pid="5" name="MSIP_Label_510e9cc9-ac6f-42b1-bf24-968858a22d9f_SetDate">
    <vt:lpwstr>2024-05-06T13:07:53Z</vt:lpwstr>
  </property>
  <property fmtid="{D5CDD505-2E9C-101B-9397-08002B2CF9AE}" pid="6" name="MSIP_Label_510e9cc9-ac6f-42b1-bf24-968858a22d9f_Method">
    <vt:lpwstr>Privileged</vt:lpwstr>
  </property>
  <property fmtid="{D5CDD505-2E9C-101B-9397-08002B2CF9AE}" pid="7" name="MSIP_Label_510e9cc9-ac6f-42b1-bf24-968858a22d9f_Name">
    <vt:lpwstr>Classificação interna</vt:lpwstr>
  </property>
  <property fmtid="{D5CDD505-2E9C-101B-9397-08002B2CF9AE}" pid="8" name="MSIP_Label_510e9cc9-ac6f-42b1-bf24-968858a22d9f_SiteId">
    <vt:lpwstr>ffc0be44-315f-4479-b12f-56afe6ededd6</vt:lpwstr>
  </property>
  <property fmtid="{D5CDD505-2E9C-101B-9397-08002B2CF9AE}" pid="9" name="MSIP_Label_510e9cc9-ac6f-42b1-bf24-968858a22d9f_ActionId">
    <vt:lpwstr>a8bd2717-2e59-4cfa-bce9-fb43a5d917e2</vt:lpwstr>
  </property>
  <property fmtid="{D5CDD505-2E9C-101B-9397-08002B2CF9AE}" pid="10" name="MSIP_Label_510e9cc9-ac6f-42b1-bf24-968858a22d9f_ContentBits">
    <vt:lpwstr>1</vt:lpwstr>
  </property>
</Properties>
</file>