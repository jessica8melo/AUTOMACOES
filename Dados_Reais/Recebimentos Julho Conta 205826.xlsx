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btecno.sharepoint.com/teams/contasapagar/Documentos Partilhados/Contas a Receber/2026/205826/07 -Julho/"/>
    </mc:Choice>
  </mc:AlternateContent>
  <xr:revisionPtr revIDLastSave="18486" documentId="8_{DE6DBAFE-669C-434B-828B-30CE511D85AA}" xr6:coauthVersionLast="47" xr6:coauthVersionMax="47" xr10:uidLastSave="{3175B8A8-A3EF-4925-B362-213EEC863B4F}"/>
  <bookViews>
    <workbookView xWindow="28680" yWindow="-120" windowWidth="29040" windowHeight="15720" firstSheet="4" activeTab="4" xr2:uid="{2698F6D4-7B68-4F19-AF2D-2705CFB9F4E4}"/>
  </bookViews>
  <sheets>
    <sheet name="01.07.26" sheetId="65" r:id="rId1"/>
    <sheet name="02.07.26" sheetId="123" r:id="rId2"/>
    <sheet name="03.07.26" sheetId="98" r:id="rId3"/>
    <sheet name="06.07.26" sheetId="99" r:id="rId4"/>
    <sheet name="07.07.26" sheetId="100" r:id="rId5"/>
    <sheet name="08.07.26" sheetId="101" r:id="rId6"/>
    <sheet name="09.07.26" sheetId="116" r:id="rId7"/>
    <sheet name="10.07.26" sheetId="117" r:id="rId8"/>
    <sheet name="13.07.26" sheetId="103" r:id="rId9"/>
    <sheet name="14.07.26" sheetId="118" r:id="rId10"/>
    <sheet name="15.07.26" sheetId="104" r:id="rId11"/>
    <sheet name="16.07.26" sheetId="105" r:id="rId12"/>
    <sheet name="17.07.26" sheetId="108" r:id="rId13"/>
    <sheet name="20.07.26" sheetId="109" r:id="rId14"/>
    <sheet name="21.07.26" sheetId="120" r:id="rId15"/>
    <sheet name="22.07.26" sheetId="121" r:id="rId16"/>
    <sheet name="23.07.26" sheetId="113" r:id="rId17"/>
    <sheet name="24.07.26" sheetId="112" r:id="rId18"/>
    <sheet name="27.07.26" sheetId="122" r:id="rId19"/>
    <sheet name="28.07.26" sheetId="114" r:id="rId20"/>
    <sheet name="29.07.26" sheetId="124" r:id="rId21"/>
    <sheet name="30.07.26" sheetId="125" r:id="rId22"/>
    <sheet name="31.07.26" sheetId="126" r:id="rId23"/>
  </sheets>
  <definedNames>
    <definedName name="_xlnm._FilterDatabase" localSheetId="9" hidden="1">'14.07.26'!$G$2:$N$34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26" l="1"/>
  <c r="N11" i="126"/>
  <c r="L11" i="126"/>
  <c r="K11" i="126"/>
  <c r="J11" i="126"/>
  <c r="I11" i="126"/>
  <c r="O11" i="126" s="1"/>
  <c r="N10" i="126"/>
  <c r="L10" i="126"/>
  <c r="K10" i="126"/>
  <c r="J10" i="126"/>
  <c r="I10" i="126"/>
  <c r="N9" i="126"/>
  <c r="L9" i="126"/>
  <c r="K9" i="126"/>
  <c r="J9" i="126"/>
  <c r="I9" i="126"/>
  <c r="O9" i="126" s="1"/>
  <c r="N8" i="126"/>
  <c r="L8" i="126"/>
  <c r="K8" i="126"/>
  <c r="J8" i="126"/>
  <c r="I8" i="126"/>
  <c r="O8" i="126" s="1"/>
  <c r="N7" i="126"/>
  <c r="L7" i="126"/>
  <c r="K7" i="126"/>
  <c r="J7" i="126"/>
  <c r="I7" i="126"/>
  <c r="O7" i="126" s="1"/>
  <c r="N6" i="126"/>
  <c r="M6" i="126"/>
  <c r="L6" i="126"/>
  <c r="K6" i="126"/>
  <c r="J6" i="126"/>
  <c r="I6" i="126"/>
  <c r="O6" i="126" s="1"/>
  <c r="N5" i="126"/>
  <c r="M5" i="126"/>
  <c r="O5" i="126" s="1"/>
  <c r="L5" i="126"/>
  <c r="K5" i="126"/>
  <c r="J5" i="126"/>
  <c r="I5" i="126"/>
  <c r="N4" i="126"/>
  <c r="M4" i="126"/>
  <c r="M12" i="126" s="1"/>
  <c r="L4" i="126"/>
  <c r="K4" i="126"/>
  <c r="J4" i="126"/>
  <c r="I4" i="126"/>
  <c r="O4" i="126" s="1"/>
  <c r="J12" i="126" l="1"/>
  <c r="L12" i="126"/>
  <c r="K12" i="126"/>
  <c r="N12" i="126"/>
  <c r="O10" i="126"/>
  <c r="O12" i="126" s="1"/>
  <c r="I12" i="126"/>
  <c r="M17" i="124" l="1"/>
  <c r="M16" i="124"/>
  <c r="I16" i="124"/>
  <c r="H18" i="124"/>
  <c r="L17" i="124"/>
  <c r="K17" i="124"/>
  <c r="J17" i="124"/>
  <c r="I17" i="124"/>
  <c r="M18" i="124"/>
  <c r="L16" i="124"/>
  <c r="L18" i="124" s="1"/>
  <c r="K16" i="124"/>
  <c r="N16" i="124" s="1"/>
  <c r="J16" i="124"/>
  <c r="J18" i="124" s="1"/>
  <c r="I18" i="124"/>
  <c r="N17" i="124" l="1"/>
  <c r="N18" i="124" s="1"/>
  <c r="K18" i="124"/>
  <c r="H12" i="124" l="1"/>
  <c r="M11" i="124"/>
  <c r="L11" i="124"/>
  <c r="K11" i="124"/>
  <c r="J11" i="124"/>
  <c r="I11" i="124"/>
  <c r="M10" i="124"/>
  <c r="L10" i="124"/>
  <c r="K10" i="124"/>
  <c r="J10" i="124"/>
  <c r="I10" i="124"/>
  <c r="M9" i="124"/>
  <c r="M12" i="124" s="1"/>
  <c r="L9" i="124"/>
  <c r="L12" i="124" s="1"/>
  <c r="K9" i="124"/>
  <c r="K12" i="124" s="1"/>
  <c r="J9" i="124"/>
  <c r="J12" i="124" s="1"/>
  <c r="I9" i="124"/>
  <c r="I12" i="124" s="1"/>
  <c r="M5" i="124"/>
  <c r="M4" i="124"/>
  <c r="N10" i="124" l="1"/>
  <c r="N11" i="124"/>
  <c r="N9" i="124"/>
  <c r="N12" i="124" s="1"/>
  <c r="N29" i="117" l="1"/>
  <c r="M29" i="117"/>
  <c r="L29" i="117"/>
  <c r="K29" i="117"/>
  <c r="J29" i="117"/>
  <c r="I29" i="117"/>
  <c r="H29" i="117"/>
  <c r="I9" i="117" l="1"/>
  <c r="I21" i="117"/>
  <c r="N21" i="117" s="1"/>
  <c r="J21" i="117"/>
  <c r="K21" i="117"/>
  <c r="L21" i="117"/>
  <c r="M26" i="117"/>
  <c r="N26" i="117" s="1"/>
  <c r="M25" i="117"/>
  <c r="I23" i="117"/>
  <c r="N23" i="117" s="1"/>
  <c r="I3" i="117"/>
  <c r="N3" i="117" s="1"/>
  <c r="J3" i="117"/>
  <c r="K3" i="117"/>
  <c r="L3" i="117"/>
  <c r="I4" i="117"/>
  <c r="N4" i="117" s="1"/>
  <c r="J4" i="117"/>
  <c r="K4" i="117"/>
  <c r="L4" i="117"/>
  <c r="I5" i="117"/>
  <c r="J5" i="117"/>
  <c r="K5" i="117"/>
  <c r="N5" i="117" s="1"/>
  <c r="L5" i="117"/>
  <c r="I6" i="117"/>
  <c r="N6" i="117" s="1"/>
  <c r="J6" i="117"/>
  <c r="K6" i="117"/>
  <c r="L6" i="117"/>
  <c r="I7" i="117"/>
  <c r="N7" i="117" s="1"/>
  <c r="J7" i="117"/>
  <c r="K7" i="117"/>
  <c r="L7" i="117"/>
  <c r="I8" i="117"/>
  <c r="N8" i="117" s="1"/>
  <c r="J8" i="117"/>
  <c r="K8" i="117"/>
  <c r="L8" i="117"/>
  <c r="J9" i="117"/>
  <c r="K9" i="117"/>
  <c r="L9" i="117"/>
  <c r="I10" i="117"/>
  <c r="N10" i="117" s="1"/>
  <c r="J10" i="117"/>
  <c r="K10" i="117"/>
  <c r="L10" i="117"/>
  <c r="I11" i="117"/>
  <c r="J11" i="117"/>
  <c r="N11" i="117" s="1"/>
  <c r="K11" i="117"/>
  <c r="L11" i="117"/>
  <c r="I12" i="117"/>
  <c r="J12" i="117"/>
  <c r="K12" i="117"/>
  <c r="L12" i="117"/>
  <c r="N12" i="117"/>
  <c r="I13" i="117"/>
  <c r="J13" i="117"/>
  <c r="N13" i="117" s="1"/>
  <c r="K13" i="117"/>
  <c r="L13" i="117"/>
  <c r="I14" i="117"/>
  <c r="N14" i="117" s="1"/>
  <c r="J14" i="117"/>
  <c r="K14" i="117"/>
  <c r="L14" i="117"/>
  <c r="I15" i="117"/>
  <c r="J15" i="117"/>
  <c r="K15" i="117"/>
  <c r="L15" i="117"/>
  <c r="N15" i="117"/>
  <c r="I16" i="117"/>
  <c r="N16" i="117" s="1"/>
  <c r="J16" i="117"/>
  <c r="K16" i="117"/>
  <c r="L16" i="117"/>
  <c r="I17" i="117"/>
  <c r="N17" i="117" s="1"/>
  <c r="J17" i="117"/>
  <c r="K17" i="117"/>
  <c r="L17" i="117"/>
  <c r="I18" i="117"/>
  <c r="J18" i="117"/>
  <c r="K18" i="117"/>
  <c r="L18" i="117"/>
  <c r="N18" i="117" s="1"/>
  <c r="I19" i="117"/>
  <c r="N19" i="117" s="1"/>
  <c r="J19" i="117"/>
  <c r="K19" i="117"/>
  <c r="L19" i="117"/>
  <c r="I20" i="117"/>
  <c r="J20" i="117"/>
  <c r="K20" i="117"/>
  <c r="L20" i="117"/>
  <c r="N20" i="117"/>
  <c r="I22" i="117"/>
  <c r="J22" i="117"/>
  <c r="K22" i="117"/>
  <c r="L22" i="117"/>
  <c r="N22" i="117"/>
  <c r="J23" i="117"/>
  <c r="K23" i="117"/>
  <c r="L23" i="117"/>
  <c r="I24" i="117"/>
  <c r="N24" i="117" s="1"/>
  <c r="J24" i="117"/>
  <c r="K24" i="117"/>
  <c r="L24" i="117"/>
  <c r="I25" i="117"/>
  <c r="J25" i="117"/>
  <c r="N25" i="117" s="1"/>
  <c r="K25" i="117"/>
  <c r="L25" i="117"/>
  <c r="I26" i="117"/>
  <c r="J26" i="117"/>
  <c r="K26" i="117"/>
  <c r="L26" i="117"/>
  <c r="I27" i="117"/>
  <c r="J27" i="117"/>
  <c r="N27" i="117" s="1"/>
  <c r="K27" i="117"/>
  <c r="L27" i="117"/>
  <c r="I28" i="117"/>
  <c r="N28" i="117" s="1"/>
  <c r="J28" i="117"/>
  <c r="K28" i="117"/>
  <c r="L28" i="117"/>
  <c r="B4" i="126"/>
  <c r="H17" i="125"/>
  <c r="M16" i="125"/>
  <c r="L16" i="125"/>
  <c r="K16" i="125"/>
  <c r="J16" i="125"/>
  <c r="I16" i="125"/>
  <c r="N16" i="125" s="1"/>
  <c r="M15" i="125"/>
  <c r="L15" i="125"/>
  <c r="K15" i="125"/>
  <c r="K17" i="125" s="1"/>
  <c r="J15" i="125"/>
  <c r="I15" i="125"/>
  <c r="N15" i="125" s="1"/>
  <c r="N14" i="125"/>
  <c r="M14" i="125"/>
  <c r="M17" i="125" s="1"/>
  <c r="L14" i="125"/>
  <c r="L17" i="125" s="1"/>
  <c r="K14" i="125"/>
  <c r="J14" i="125"/>
  <c r="J17" i="125" s="1"/>
  <c r="I14" i="125"/>
  <c r="I17" i="125" s="1"/>
  <c r="I11" i="125"/>
  <c r="H11" i="125"/>
  <c r="M10" i="125"/>
  <c r="L10" i="125"/>
  <c r="L11" i="125" s="1"/>
  <c r="K10" i="125"/>
  <c r="N10" i="125" s="1"/>
  <c r="J10" i="125"/>
  <c r="J11" i="125" s="1"/>
  <c r="I10" i="125"/>
  <c r="M9" i="125"/>
  <c r="M11" i="125" s="1"/>
  <c r="L9" i="125"/>
  <c r="K9" i="125"/>
  <c r="J9" i="125"/>
  <c r="I9" i="125"/>
  <c r="N9" i="125" s="1"/>
  <c r="N11" i="125" s="1"/>
  <c r="M6" i="125"/>
  <c r="L6" i="125"/>
  <c r="K6" i="125"/>
  <c r="J6" i="125"/>
  <c r="H6" i="125"/>
  <c r="N5" i="125"/>
  <c r="L5" i="125"/>
  <c r="K5" i="125"/>
  <c r="J5" i="125"/>
  <c r="I5" i="125"/>
  <c r="L4" i="125"/>
  <c r="K4" i="125"/>
  <c r="J4" i="125"/>
  <c r="I4" i="125"/>
  <c r="I6" i="125" s="1"/>
  <c r="B4" i="125"/>
  <c r="B4" i="112"/>
  <c r="N9" i="117" l="1"/>
  <c r="N17" i="125"/>
  <c r="N4" i="125"/>
  <c r="N6" i="125" s="1"/>
  <c r="K11" i="125"/>
  <c r="B4" i="108"/>
  <c r="M9" i="105" l="1"/>
  <c r="M10" i="105" s="1"/>
  <c r="M8" i="105"/>
  <c r="H10" i="105"/>
  <c r="L9" i="105"/>
  <c r="K9" i="105"/>
  <c r="K10" i="105" s="1"/>
  <c r="J9" i="105"/>
  <c r="I9" i="105"/>
  <c r="L8" i="105"/>
  <c r="L10" i="105" s="1"/>
  <c r="K8" i="105"/>
  <c r="J8" i="105"/>
  <c r="J10" i="105" s="1"/>
  <c r="I8" i="105"/>
  <c r="I10" i="105" s="1"/>
  <c r="N9" i="105" l="1"/>
  <c r="N8" i="105"/>
  <c r="N10" i="105" s="1"/>
  <c r="M6" i="124" l="1"/>
  <c r="L6" i="124"/>
  <c r="H6" i="124"/>
  <c r="L5" i="124"/>
  <c r="K5" i="124"/>
  <c r="J5" i="124"/>
  <c r="I5" i="124"/>
  <c r="L4" i="124"/>
  <c r="K4" i="124"/>
  <c r="J4" i="124"/>
  <c r="J6" i="124" s="1"/>
  <c r="I4" i="124"/>
  <c r="I6" i="124" s="1"/>
  <c r="B4" i="124"/>
  <c r="H17" i="114"/>
  <c r="I16" i="114"/>
  <c r="J16" i="114"/>
  <c r="K16" i="114"/>
  <c r="L16" i="114"/>
  <c r="M16" i="114"/>
  <c r="I14" i="114"/>
  <c r="I17" i="114" s="1"/>
  <c r="J14" i="114"/>
  <c r="J17" i="114" s="1"/>
  <c r="K14" i="114"/>
  <c r="K17" i="114" s="1"/>
  <c r="L14" i="114"/>
  <c r="M14" i="114"/>
  <c r="I15" i="114"/>
  <c r="J15" i="114"/>
  <c r="K15" i="114"/>
  <c r="L15" i="114"/>
  <c r="M15" i="114"/>
  <c r="M10" i="114"/>
  <c r="M9" i="114"/>
  <c r="L11" i="114"/>
  <c r="H11" i="114"/>
  <c r="M6" i="114"/>
  <c r="H6" i="114"/>
  <c r="I9" i="114"/>
  <c r="J9" i="114"/>
  <c r="K9" i="114"/>
  <c r="L9" i="114"/>
  <c r="I10" i="114"/>
  <c r="J10" i="114"/>
  <c r="J11" i="114" s="1"/>
  <c r="K10" i="114"/>
  <c r="L10" i="114"/>
  <c r="K6" i="124" l="1"/>
  <c r="N5" i="124"/>
  <c r="K11" i="114"/>
  <c r="I11" i="114"/>
  <c r="N9" i="114"/>
  <c r="N16" i="114"/>
  <c r="M17" i="114"/>
  <c r="L17" i="114"/>
  <c r="N4" i="124"/>
  <c r="N14" i="114"/>
  <c r="N15" i="114"/>
  <c r="M11" i="114"/>
  <c r="N10" i="114"/>
  <c r="N6" i="124" l="1"/>
  <c r="N11" i="114"/>
  <c r="N17" i="114"/>
  <c r="K5" i="114" l="1"/>
  <c r="L5" i="114"/>
  <c r="J5" i="114"/>
  <c r="J4" i="114"/>
  <c r="J6" i="114" s="1"/>
  <c r="I4" i="114"/>
  <c r="I5" i="114"/>
  <c r="L4" i="114"/>
  <c r="L6" i="114" s="1"/>
  <c r="K4" i="114"/>
  <c r="K6" i="114" s="1"/>
  <c r="I6" i="114" l="1"/>
  <c r="N4" i="114"/>
  <c r="N5" i="114"/>
  <c r="N6" i="114" l="1"/>
  <c r="L11" i="118"/>
  <c r="M33" i="118"/>
  <c r="M32" i="118"/>
  <c r="M34" i="118" s="1"/>
  <c r="H34" i="118" l="1"/>
  <c r="L33" i="118"/>
  <c r="K33" i="118"/>
  <c r="J33" i="118"/>
  <c r="I33" i="118"/>
  <c r="L32" i="118"/>
  <c r="K32" i="118"/>
  <c r="J32" i="118"/>
  <c r="I32" i="118"/>
  <c r="L31" i="118"/>
  <c r="K31" i="118"/>
  <c r="J31" i="118"/>
  <c r="I31" i="118"/>
  <c r="L30" i="118"/>
  <c r="K30" i="118"/>
  <c r="J30" i="118"/>
  <c r="I30" i="118"/>
  <c r="L29" i="118"/>
  <c r="K29" i="118"/>
  <c r="J29" i="118"/>
  <c r="I29" i="118"/>
  <c r="L28" i="118"/>
  <c r="K28" i="118"/>
  <c r="J28" i="118"/>
  <c r="I28" i="118"/>
  <c r="N28" i="118" s="1"/>
  <c r="L27" i="118"/>
  <c r="K27" i="118"/>
  <c r="J27" i="118"/>
  <c r="I27" i="118"/>
  <c r="L26" i="118"/>
  <c r="K26" i="118"/>
  <c r="J26" i="118"/>
  <c r="I26" i="118"/>
  <c r="L22" i="118"/>
  <c r="K22" i="118"/>
  <c r="J22" i="118"/>
  <c r="I22" i="118"/>
  <c r="N22" i="118" s="1"/>
  <c r="L21" i="118"/>
  <c r="K21" i="118"/>
  <c r="J21" i="118"/>
  <c r="I21" i="118"/>
  <c r="L25" i="118"/>
  <c r="K25" i="118"/>
  <c r="J25" i="118"/>
  <c r="I25" i="118"/>
  <c r="L24" i="118"/>
  <c r="K24" i="118"/>
  <c r="J24" i="118"/>
  <c r="I24" i="118"/>
  <c r="L23" i="118"/>
  <c r="K23" i="118"/>
  <c r="J23" i="118"/>
  <c r="I23" i="118"/>
  <c r="N23" i="118" s="1"/>
  <c r="L20" i="118"/>
  <c r="K20" i="118"/>
  <c r="J20" i="118"/>
  <c r="I20" i="118"/>
  <c r="N20" i="118" s="1"/>
  <c r="L19" i="118"/>
  <c r="K19" i="118"/>
  <c r="J19" i="118"/>
  <c r="I19" i="118"/>
  <c r="L18" i="118"/>
  <c r="K18" i="118"/>
  <c r="J18" i="118"/>
  <c r="I18" i="118"/>
  <c r="L17" i="118"/>
  <c r="K17" i="118"/>
  <c r="J17" i="118"/>
  <c r="I17" i="118"/>
  <c r="L16" i="118"/>
  <c r="K16" i="118"/>
  <c r="J16" i="118"/>
  <c r="I16" i="118"/>
  <c r="L15" i="118"/>
  <c r="K15" i="118"/>
  <c r="J15" i="118"/>
  <c r="I15" i="118"/>
  <c r="L14" i="118"/>
  <c r="K14" i="118"/>
  <c r="J14" i="118"/>
  <c r="I14" i="118"/>
  <c r="L13" i="118"/>
  <c r="K13" i="118"/>
  <c r="J13" i="118"/>
  <c r="I13" i="118"/>
  <c r="L12" i="118"/>
  <c r="K12" i="118"/>
  <c r="J12" i="118"/>
  <c r="I12" i="118"/>
  <c r="K11" i="118"/>
  <c r="J11" i="118"/>
  <c r="I11" i="118"/>
  <c r="L10" i="118"/>
  <c r="K10" i="118"/>
  <c r="J10" i="118"/>
  <c r="I10" i="118"/>
  <c r="L9" i="118"/>
  <c r="K9" i="118"/>
  <c r="J9" i="118"/>
  <c r="I9" i="118"/>
  <c r="L8" i="118"/>
  <c r="K8" i="118"/>
  <c r="J8" i="118"/>
  <c r="I8" i="118"/>
  <c r="N8" i="118" s="1"/>
  <c r="L7" i="118"/>
  <c r="K7" i="118"/>
  <c r="J7" i="118"/>
  <c r="I7" i="118"/>
  <c r="L6" i="118"/>
  <c r="K6" i="118"/>
  <c r="J6" i="118"/>
  <c r="I6" i="118"/>
  <c r="L5" i="118"/>
  <c r="K5" i="118"/>
  <c r="J5" i="118"/>
  <c r="I5" i="118"/>
  <c r="L4" i="118"/>
  <c r="K4" i="118"/>
  <c r="J4" i="118"/>
  <c r="I4" i="118"/>
  <c r="L3" i="118"/>
  <c r="K3" i="118"/>
  <c r="J3" i="118"/>
  <c r="I3" i="118"/>
  <c r="K34" i="118" l="1"/>
  <c r="J34" i="118"/>
  <c r="I34" i="118"/>
  <c r="L34" i="118"/>
  <c r="N7" i="118"/>
  <c r="N21" i="118"/>
  <c r="N5" i="118"/>
  <c r="N9" i="118"/>
  <c r="N18" i="118"/>
  <c r="N19" i="118"/>
  <c r="N15" i="118"/>
  <c r="N31" i="118"/>
  <c r="N26" i="118"/>
  <c r="N24" i="118"/>
  <c r="N25" i="118"/>
  <c r="N29" i="118"/>
  <c r="N10" i="118"/>
  <c r="N6" i="118"/>
  <c r="N4" i="118"/>
  <c r="N33" i="118"/>
  <c r="N32" i="118"/>
  <c r="N30" i="118"/>
  <c r="N27" i="118"/>
  <c r="N17" i="118"/>
  <c r="N16" i="118"/>
  <c r="N14" i="118"/>
  <c r="N13" i="118"/>
  <c r="N12" i="118"/>
  <c r="N11" i="118"/>
  <c r="N3" i="118"/>
  <c r="N34" i="118" l="1"/>
  <c r="B4" i="101" l="1"/>
  <c r="M5" i="100" l="1"/>
  <c r="H5" i="100"/>
  <c r="H10" i="100"/>
  <c r="L9" i="100"/>
  <c r="K9" i="100"/>
  <c r="J9" i="100"/>
  <c r="I9" i="100"/>
  <c r="M10" i="100"/>
  <c r="L8" i="100"/>
  <c r="L10" i="100" s="1"/>
  <c r="K8" i="100"/>
  <c r="J8" i="100"/>
  <c r="J10" i="100" s="1"/>
  <c r="I8" i="100"/>
  <c r="I4" i="100"/>
  <c r="J4" i="100"/>
  <c r="K4" i="100"/>
  <c r="L4" i="100"/>
  <c r="I3" i="100"/>
  <c r="J3" i="100"/>
  <c r="N3" i="100" s="1"/>
  <c r="K3" i="100"/>
  <c r="L3" i="100"/>
  <c r="N4" i="100" l="1"/>
  <c r="L5" i="100"/>
  <c r="K5" i="100"/>
  <c r="I5" i="100"/>
  <c r="N5" i="100"/>
  <c r="J5" i="100"/>
  <c r="N9" i="100"/>
  <c r="I10" i="100"/>
  <c r="N8" i="100"/>
  <c r="N10" i="100" s="1"/>
  <c r="K10" i="100"/>
  <c r="B4" i="98" l="1"/>
  <c r="I9" i="116" l="1"/>
  <c r="M9" i="116" s="1"/>
  <c r="L9" i="116"/>
  <c r="K9" i="116"/>
  <c r="J9" i="116"/>
  <c r="N9" i="116" l="1"/>
  <c r="B4" i="122" l="1"/>
  <c r="H17" i="122" l="1"/>
  <c r="M16" i="122"/>
  <c r="L16" i="122"/>
  <c r="K16" i="122"/>
  <c r="K17" i="122" s="1"/>
  <c r="J16" i="122"/>
  <c r="I16" i="122"/>
  <c r="M15" i="122"/>
  <c r="L15" i="122"/>
  <c r="K15" i="122"/>
  <c r="J15" i="122"/>
  <c r="I15" i="122"/>
  <c r="M11" i="122"/>
  <c r="M12" i="122" s="1"/>
  <c r="M10" i="122"/>
  <c r="H12" i="122"/>
  <c r="L11" i="122"/>
  <c r="K11" i="122"/>
  <c r="J11" i="122"/>
  <c r="I11" i="122"/>
  <c r="L10" i="122"/>
  <c r="K10" i="122"/>
  <c r="J10" i="122"/>
  <c r="I10" i="122"/>
  <c r="H7" i="122"/>
  <c r="L6" i="122"/>
  <c r="K6" i="122"/>
  <c r="J6" i="122"/>
  <c r="I6" i="122"/>
  <c r="L5" i="122"/>
  <c r="K5" i="122"/>
  <c r="J5" i="122"/>
  <c r="I5" i="122"/>
  <c r="I7" i="122" s="1"/>
  <c r="M17" i="122" l="1"/>
  <c r="J17" i="122"/>
  <c r="N15" i="122"/>
  <c r="N16" i="122"/>
  <c r="I17" i="122"/>
  <c r="L17" i="122"/>
  <c r="I12" i="122"/>
  <c r="K12" i="122"/>
  <c r="L12" i="122"/>
  <c r="N10" i="122"/>
  <c r="N11" i="122"/>
  <c r="J12" i="122"/>
  <c r="M7" i="122"/>
  <c r="K7" i="122"/>
  <c r="L7" i="122"/>
  <c r="N5" i="122"/>
  <c r="N6" i="122"/>
  <c r="J7" i="122"/>
  <c r="N17" i="122" l="1"/>
  <c r="N12" i="122"/>
  <c r="N7" i="122"/>
  <c r="M7" i="121" l="1"/>
  <c r="M6" i="121"/>
  <c r="H8" i="121"/>
  <c r="I7" i="121"/>
  <c r="J7" i="121"/>
  <c r="K7" i="121"/>
  <c r="L7" i="121"/>
  <c r="I6" i="121"/>
  <c r="J6" i="121"/>
  <c r="K6" i="121"/>
  <c r="L6" i="121"/>
  <c r="L8" i="121" s="1"/>
  <c r="K8" i="121" l="1"/>
  <c r="M8" i="121"/>
  <c r="N7" i="121"/>
  <c r="J8" i="121"/>
  <c r="N6" i="121"/>
  <c r="N8" i="121" s="1"/>
  <c r="I8" i="121"/>
  <c r="B4" i="120" l="1"/>
  <c r="B4" i="109"/>
  <c r="M5" i="103" l="1"/>
  <c r="L5" i="103"/>
  <c r="K5" i="103"/>
  <c r="J5" i="103"/>
  <c r="I5" i="103"/>
  <c r="N5" i="103" l="1"/>
  <c r="M6" i="98" l="1"/>
  <c r="H9" i="123" l="1"/>
  <c r="M8" i="123"/>
  <c r="M9" i="123" s="1"/>
  <c r="L8" i="123"/>
  <c r="K8" i="123"/>
  <c r="J8" i="123"/>
  <c r="I8" i="123"/>
  <c r="L7" i="123"/>
  <c r="K7" i="123"/>
  <c r="J7" i="123"/>
  <c r="I7" i="123"/>
  <c r="L6" i="123"/>
  <c r="K6" i="123"/>
  <c r="J6" i="123"/>
  <c r="I6" i="123"/>
  <c r="N6" i="123" s="1"/>
  <c r="B4" i="123"/>
  <c r="N7" i="123" l="1"/>
  <c r="K9" i="123"/>
  <c r="N8" i="123"/>
  <c r="L9" i="123"/>
  <c r="J9" i="123"/>
  <c r="N9" i="123"/>
  <c r="I9" i="123"/>
  <c r="B4" i="121" l="1"/>
  <c r="B4" i="118"/>
  <c r="B4" i="117"/>
  <c r="B4" i="116"/>
  <c r="B4" i="114" l="1"/>
  <c r="B4" i="113" l="1"/>
  <c r="M9" i="113" l="1"/>
  <c r="L9" i="113"/>
  <c r="K9" i="113"/>
  <c r="J9" i="113"/>
  <c r="I9" i="113"/>
  <c r="H9" i="113"/>
  <c r="N9" i="113" l="1"/>
  <c r="L6" i="98" l="1"/>
  <c r="K6" i="98"/>
  <c r="J6" i="98"/>
  <c r="I6" i="98"/>
  <c r="N6" i="98" l="1"/>
  <c r="M8" i="112"/>
  <c r="L8" i="112"/>
  <c r="K8" i="112"/>
  <c r="J8" i="112"/>
  <c r="I8" i="112"/>
  <c r="N8" i="112" l="1"/>
  <c r="B4" i="103" l="1"/>
  <c r="B4" i="105" l="1"/>
  <c r="B4" i="104"/>
  <c r="B4" i="100" l="1"/>
  <c r="B4" i="99"/>
  <c r="B4" i="65"/>
</calcChain>
</file>

<file path=xl/sharedStrings.xml><?xml version="1.0" encoding="utf-8"?>
<sst xmlns="http://schemas.openxmlformats.org/spreadsheetml/2006/main" count="762" uniqueCount="224">
  <si>
    <t>CONTA: 205826 AGÊNCIA: 3309</t>
  </si>
  <si>
    <t>VALORES TOTAIS NO DIA EM (R$)</t>
  </si>
  <si>
    <t>Recebimentos</t>
  </si>
  <si>
    <t xml:space="preserve">SITUAÇÃO </t>
  </si>
  <si>
    <t>TIPO DE SERVIÇO</t>
  </si>
  <si>
    <t>NR. DO RECEBIMENTO</t>
  </si>
  <si>
    <t>NOTA FISCAL</t>
  </si>
  <si>
    <t>VALOR BRUTO NF</t>
  </si>
  <si>
    <t>IR</t>
  </si>
  <si>
    <t>PIS</t>
  </si>
  <si>
    <t>COFINS</t>
  </si>
  <si>
    <t>CSLL</t>
  </si>
  <si>
    <t>ISS</t>
  </si>
  <si>
    <t>VALOR LIQUIDO</t>
  </si>
  <si>
    <t>TOTAL</t>
  </si>
  <si>
    <t>Transferência recebida: 553.309.000.006.534 01/07 15:51 BB T S 00042318949000184</t>
  </si>
  <si>
    <t>Transferência recebida: 553.309.000.205.393 01/07 12:03 BB TEC 00042318949000184</t>
  </si>
  <si>
    <t>TED Devolvida: 104 00045 0000000001867 000090722</t>
  </si>
  <si>
    <t>Resg.BB Fdos.Extramercado</t>
  </si>
  <si>
    <t>TED Transf.Eletr.Disponível: NR.PROC-000000000000100894620165180018</t>
  </si>
  <si>
    <t>Pix - Recebido: 01/07 04:44 07685061821 VITORIO KIYOJI</t>
  </si>
  <si>
    <t>Pix - Recebido: 01/07 09:39 00006715862621 MARCONE SIL</t>
  </si>
  <si>
    <t>LANÇAMENTO DE RESPONSABILIDADE DA CONCILIAÇÃO</t>
  </si>
  <si>
    <t>0107001-GYN</t>
  </si>
  <si>
    <t>0107002-GYN</t>
  </si>
  <si>
    <t>DEVOLUCAO SALDO NEGATIVO FOPAG</t>
  </si>
  <si>
    <t>VALOR LANÇADO</t>
  </si>
  <si>
    <t>Transferência recebida 553.309.000.200.000 02/07 10:19 BB T S 00042318949000184</t>
  </si>
  <si>
    <t>Resg.BB Fdos.Extramercado 1.200.133</t>
  </si>
  <si>
    <t>Ordem Banc 12 Sec Tes Nac 3.282.842.000.000 00394411000109 SECRETARIA DE ADMINIST</t>
  </si>
  <si>
    <t>Ordem Banc 12 Sec Tes Nac 3.283.673.000.00 26994558000395 DIRETORIA DE GESTÃO DE</t>
  </si>
  <si>
    <t>Ordem Banc 12 Sec Tes Nac 3.285.731.000.000 42354068000119 SUPERINTENDENCIA DE SE</t>
  </si>
  <si>
    <t>Ordem Banc 12 Sec Tes Nac 3.286.223.000.000 29507878000108 COMISSÃO DE VALORES MO</t>
  </si>
  <si>
    <t>BAIXA CESSAO FUNCIONARIOS BBTS</t>
  </si>
  <si>
    <t>0207001-GYN</t>
  </si>
  <si>
    <t>0207002-GYN</t>
  </si>
  <si>
    <t>0207003-GYN</t>
  </si>
  <si>
    <t>0207004-GYN</t>
  </si>
  <si>
    <t>020700-GYN</t>
  </si>
  <si>
    <t>DEVOLUCAO APV-ADTO P/ VIAGENS</t>
  </si>
  <si>
    <t>Pix - Recebido 21.617.234.583.112 02/07 16:17 00001789548101 LUIS FERNANDO AMARAL GONCALVES</t>
  </si>
  <si>
    <t>Transferência recebida 553.309.000.200.000</t>
  </si>
  <si>
    <t>Transferência recebida 553.309.000.200.000 03/07 09:24 BB T S 00042318949000184</t>
  </si>
  <si>
    <t>Pix - Recebido 31.708.396.575.112 03/07 17:08 42521088000137 INSTITUTO N</t>
  </si>
  <si>
    <t>0307001-GYN</t>
  </si>
  <si>
    <t>Resgate Depósito Judicial</t>
  </si>
  <si>
    <t>JOAO CARLOS MARTINEZ</t>
  </si>
  <si>
    <t>Dep disponivel agencia 7.320.759.802 JOAO CARLOS MARTINEZ</t>
  </si>
  <si>
    <t>Pix - Recebido 60.907.217.044.301 06/07 09:07 63917840944 MARCIO MORAIS SANTANA</t>
  </si>
  <si>
    <t>Resgate Automático</t>
  </si>
  <si>
    <t>0607001-GYN</t>
  </si>
  <si>
    <t>0607002-GYN</t>
  </si>
  <si>
    <t>0607003-GYN</t>
  </si>
  <si>
    <t>BLOQ/DESBL/ALVARA JUD TRAB</t>
  </si>
  <si>
    <t>Transferência recebida 551.545.000.012.910 07/07 16:32 AEROSO 00001014373000265</t>
  </si>
  <si>
    <t>Transferência recebida 553.309.000.205.393 07/07 11:59 BB TEC 00042318949000184</t>
  </si>
  <si>
    <t>Resg.BB Fdos.Extramercado Resg.BB Fdos.Extramercado</t>
  </si>
  <si>
    <t>Resgate Depósito Judicial 92.304.494</t>
  </si>
  <si>
    <t>Crédito Sistema CDA Pgt.BB Con202674211521/0002 / 1</t>
  </si>
  <si>
    <t>0707001-GYN</t>
  </si>
  <si>
    <t>0707002-GYN</t>
  </si>
  <si>
    <t>0707003-GYN</t>
  </si>
  <si>
    <t>0707004-GYN</t>
  </si>
  <si>
    <t>DEV. MULTA/SINISTRO CUSTO</t>
  </si>
  <si>
    <t>MICROFILMAGEM BB</t>
  </si>
  <si>
    <t>Transferência recebida 553.309.000.006.624 08/07 15:53 BB T S 00042318949000184</t>
  </si>
  <si>
    <t>TED Devolvida 104 01739 0000000001209 000090797</t>
  </si>
  <si>
    <t>Pix - Recebido 81.329.483.842.501 08/07 13:29 69504210104 Jânio Pereira</t>
  </si>
  <si>
    <t>Pix - Recebido 81.151.291.350.072 08/07 11:51 00029509469840 WELINGTON DE LIMA COSTA</t>
  </si>
  <si>
    <t>0807001-GYN</t>
  </si>
  <si>
    <t>0807002-GYN</t>
  </si>
  <si>
    <t>TED Devolvida 104 01739 0000000001209 000090826</t>
  </si>
  <si>
    <t>Transferência recebida 553.309.000.200.000 10/07 11:09 BB T S 00042318949000184</t>
  </si>
  <si>
    <t>Crédito Sistema CDA Pgt.BB Con202285580012/0056 / 1</t>
  </si>
  <si>
    <t>Crédito Sistema CDA Crédito Sistema CDA</t>
  </si>
  <si>
    <t>Crédito Sistema CDA Pgt.BB Con202585580045/0006 / 1</t>
  </si>
  <si>
    <t>Pix - Rejeitado 101.725.366.410.681 10/07 17:25 CPF/CNPJ informado está in</t>
  </si>
  <si>
    <t>1007001-GYN</t>
  </si>
  <si>
    <t>1007002-GYN</t>
  </si>
  <si>
    <t>1007003-GYN</t>
  </si>
  <si>
    <t>SEGUR CIBERNETIC</t>
  </si>
  <si>
    <t>LICENC SOFT IMPORT</t>
  </si>
  <si>
    <t>DOCA - CONT ACESSO</t>
  </si>
  <si>
    <t>Transferência recebida 553.309.000.200.000 13/07 10:39 BB T S 00042318949000184</t>
  </si>
  <si>
    <t>Crédito Sistema CDA Pgt.BB Con202574216764/0008 / 1</t>
  </si>
  <si>
    <t>1307001-GYN</t>
  </si>
  <si>
    <t>Transferência recebida 553.309.000.006.624 14/07 17:38 BB T S 00042318949000184</t>
  </si>
  <si>
    <t>Transferência recebida 553.309.000.200.000 14/07 09:29 BB T S 00042318949000184</t>
  </si>
  <si>
    <t>Crédito Sistema CDA Pgt.BB Con202374215778/0033 / 1</t>
  </si>
  <si>
    <t>Crédito Sistema CDA Pgt.BB Con202574216138/0008 / 1</t>
  </si>
  <si>
    <t>Crédito Sistema CDA Pgt.BB Con202574217907/0006 / 1</t>
  </si>
  <si>
    <t>Crédito Sistema CDA Pgt.BB Con202585580040/0008 / 1</t>
  </si>
  <si>
    <t>Crédito Sistema CDA Pgt.BB Con202585580042/0006 / 1</t>
  </si>
  <si>
    <t>Crédito Sistema CDA Pgt.BB Con202585580044/0006 / 1</t>
  </si>
  <si>
    <t>Crédito Sistema CDA Pgt.BB Con202685580008/0003 / 1</t>
  </si>
  <si>
    <t>1407001-GYN</t>
  </si>
  <si>
    <t>1407002-GYN</t>
  </si>
  <si>
    <t>1407003-GYN</t>
  </si>
  <si>
    <t>1407004-GYN</t>
  </si>
  <si>
    <t>1407005-GYN</t>
  </si>
  <si>
    <t>1407006-GYN</t>
  </si>
  <si>
    <t>1407007-GYN</t>
  </si>
  <si>
    <t>1407008-GYN</t>
  </si>
  <si>
    <t>SOLUCAO HIVEPLACE</t>
  </si>
  <si>
    <t>PROCESSAMENTO DADOS</t>
  </si>
  <si>
    <t>TRANSFER MENSAGEM BB</t>
  </si>
  <si>
    <t>SERV CALL CENTER</t>
  </si>
  <si>
    <t>KIT AJUIZAMENTO BB</t>
  </si>
  <si>
    <t>DOSI SISTEMA IMAGEM</t>
  </si>
  <si>
    <t>Transferência recebida 551.545.000.012.910 15/07 16:00 AEROSO 00001014373000265</t>
  </si>
  <si>
    <t>Transferência recebida 551.545.000.012.910 15/07 16:02 AEROSO 00001014373000265</t>
  </si>
  <si>
    <t xml:space="preserve"> Transferência recebida 551.545.000.012.910 15/07 16:05 AEROSO 00001014373000265</t>
  </si>
  <si>
    <t>Transferência recebida 553.309.000.200.000 15/07 14:32 BB T S 00042318949000184</t>
  </si>
  <si>
    <t>Transferência recebida 553.309.000.205.393 15/07 14:33 BB TEC 00042318949000184</t>
  </si>
  <si>
    <t>ORPAG ORIGEM  EXTERIOR</t>
  </si>
  <si>
    <t>ORPAG ORIGEM EXTERIOR</t>
  </si>
  <si>
    <t>Pix - Recebido 151.853.455.103.661 15/07 18:53 21336180153 COSME MARQUES</t>
  </si>
  <si>
    <t>1507001-GYN</t>
  </si>
  <si>
    <t>1507002-GYN</t>
  </si>
  <si>
    <t>1507003-GYN</t>
  </si>
  <si>
    <t>1507004-GYN</t>
  </si>
  <si>
    <t>1507005-GYN</t>
  </si>
  <si>
    <t>1507006-GYN</t>
  </si>
  <si>
    <t>1507007-GYN</t>
  </si>
  <si>
    <t>Transferência recebida 553.309.000.006.534 16/07 16:31 BB T S 00042318949000184</t>
  </si>
  <si>
    <t>Transferência recebida 553.309.000.200.000 16/07 10:44 BB T S 00042318949000184</t>
  </si>
  <si>
    <t>Crédito Sistema CDA Pgt.BB Con201885580028/0100 / 1</t>
  </si>
  <si>
    <t>Pix - Recebido 161.048.413.697.712 16/07 10:48 00001926627598 JUDIMAR DOS</t>
  </si>
  <si>
    <t>Pix - Recebido 161.655.563.144.481 16/07 16:55 35963166500 AUGUSTO CESAR</t>
  </si>
  <si>
    <t>Pix - Recebido 162.219.235.627.462 16/07 22:19 00000395751101 POLIANA ROM</t>
  </si>
  <si>
    <t>1607001-GYN</t>
  </si>
  <si>
    <t>1607002-GYN</t>
  </si>
  <si>
    <t>1607003-GYN</t>
  </si>
  <si>
    <t>1607004-GYN</t>
  </si>
  <si>
    <t>COBRAN EXTR CONGL BB</t>
  </si>
  <si>
    <t>0107003-GYN</t>
  </si>
  <si>
    <t>Transferência recebida 553.309.000.200.000 17/07 10:10 BB T S 00042318949000184</t>
  </si>
  <si>
    <t>Transferência recebida 553.309.000.205.393 17/07 10:09 BB TEC 00042318949000184</t>
  </si>
  <si>
    <t>Pix - Recebido 171.235.490.708.901 17/07 12:35 26063417753 NANCY DE SOUZA</t>
  </si>
  <si>
    <t>Pix - Recebido 171.652.413.357.121 17/07 16:52 69504210104 JANIO PEREIRA</t>
  </si>
  <si>
    <t>1707001-GYN</t>
  </si>
  <si>
    <t>1707002-GYN</t>
  </si>
  <si>
    <t>1707003-GYN</t>
  </si>
  <si>
    <t>Transferência recebida 553.309.000.006.624 20/07 14:51 BB T S 00042318949000184</t>
  </si>
  <si>
    <t>Ordem Banc 12 Sec Tes Nac 27136980001859 FOLHA DE PAGAMENTO - M</t>
  </si>
  <si>
    <t>Pix - Recebido 201.820.224.874.292 20/07 18:20 00053885970163 ROSELI NOVA</t>
  </si>
  <si>
    <t>2007001-GYN</t>
  </si>
  <si>
    <t>2007002-GYN</t>
  </si>
  <si>
    <t>Transferência recebida 553.309.000.006.624 21/07 13:45 BB T S 00042318949000184</t>
  </si>
  <si>
    <t>Transferência recebida 553.309.000.200.000 21/07 16:22 BB T S 00042318949000184</t>
  </si>
  <si>
    <t>Crédito Sistema CDA: Pgt.BB Con202185580045/0058 / 1</t>
  </si>
  <si>
    <t>2107001-GYN</t>
  </si>
  <si>
    <t>PSIM MONITORAMENT BB</t>
  </si>
  <si>
    <t>TELECOBRANCA BB</t>
  </si>
  <si>
    <t>Crédito Sistema CDA: Pgt.BB Con202285580015/0051 / 1</t>
  </si>
  <si>
    <t>Transferência recebida: 553.070.000.006.040 22/07 16:27 CATENO 00020247380000170</t>
  </si>
  <si>
    <t>Transferência recebida: 553.309.000.200.000 22/07 12:30 BB T S 00042318949000184</t>
  </si>
  <si>
    <t>Pix - Recebido: 22/07 19:10 00087105861720 KARLA KETYLIN DE LIMA SCHRODER 110125</t>
  </si>
  <si>
    <t>2207001-GYN</t>
  </si>
  <si>
    <t>2207002-GYN</t>
  </si>
  <si>
    <t>2207003-GYN</t>
  </si>
  <si>
    <t>Transferência recebida 553.309.000.205.393 23/07 12:53 BB TEC 00042318949000184</t>
  </si>
  <si>
    <t>TED-Pag FGTS Trabalhador 104 0000 04257533102 JUD PROC VARA</t>
  </si>
  <si>
    <t>2407001-GYN</t>
  </si>
  <si>
    <t>2407002-GYN</t>
  </si>
  <si>
    <t>2407003-GYN</t>
  </si>
  <si>
    <t>2407004-GYN</t>
  </si>
  <si>
    <t>2407005-GYN</t>
  </si>
  <si>
    <t>Transferência recebida: 553.309.000.200.000 24/07 10:23 BB T S 00042318949000184</t>
  </si>
  <si>
    <t>Resgate Depósito Judicial: 92.642.721</t>
  </si>
  <si>
    <t>Resgate Depósito Judicial: 92.722.795</t>
  </si>
  <si>
    <t>Resgate Depósito Judicial: 92.790.107</t>
  </si>
  <si>
    <t>Crédito Sistema CDA: Pgt.BB Con202274217485/0044 / 1</t>
  </si>
  <si>
    <t>SERV GED BB</t>
  </si>
  <si>
    <t>Transferência recebida 553.309.000.200.000 27/07 11:59 BB T S 00042318949000184</t>
  </si>
  <si>
    <t>TED-Pag  FGTS Trabalhador   100.439.188</t>
  </si>
  <si>
    <t>Pix - Rejeitado 471.533.911</t>
  </si>
  <si>
    <t>Ordem Banc 12 Sec Tes Nac - 3.815.121.000.000 00394460057763 FOLHA DE PAGAMENTO - M</t>
  </si>
  <si>
    <t>2707001-GYN</t>
  </si>
  <si>
    <t>2707002-GYN</t>
  </si>
  <si>
    <t>Transferência recebida 553.309.000.205.393 28/07 10:59 BB TEC 00042318949000184</t>
  </si>
  <si>
    <t>Resgate Depósito Judicial 92.689.359</t>
  </si>
  <si>
    <t>2807001-GYN</t>
  </si>
  <si>
    <t>2907001-GYN</t>
  </si>
  <si>
    <t>SERV MANU NOVO PGDM</t>
  </si>
  <si>
    <t>2907002-GYN</t>
  </si>
  <si>
    <t>CONT CENTER CABB</t>
  </si>
  <si>
    <t>2907003-GYN</t>
  </si>
  <si>
    <t>REMANEJ PERIFER BB</t>
  </si>
  <si>
    <t>2907004-GYN</t>
  </si>
  <si>
    <t>2907005-GYN</t>
  </si>
  <si>
    <t>MANUT PERIFERICOS BB</t>
  </si>
  <si>
    <t>Crédito Sistema CDA: Pgt.BB Con202385580006/0041 / 1</t>
  </si>
  <si>
    <t>Crédito Sistema CDA: Pgt.BB Con202685580037/0002 / 1</t>
  </si>
  <si>
    <t>Crédito Sistema CDA: Pgt.BB Con202185580052/0059 / 1</t>
  </si>
  <si>
    <t>Transferência recebida: 553.309.000.200.000 29/07 12:23 BB T S 00042318949000184</t>
  </si>
  <si>
    <t>Resgate Depósito Judicial 92.944.055</t>
  </si>
  <si>
    <t>Crédito Sistema CDA: Pgt.BB Con202685580007/0004 / 1</t>
  </si>
  <si>
    <t>Crédito Sistema CDA: Pgt.BB Con202585580042/0011 / 1</t>
  </si>
  <si>
    <t>2907006-GYN</t>
  </si>
  <si>
    <t>2907007-GYN</t>
  </si>
  <si>
    <t>2907008-GYN</t>
  </si>
  <si>
    <t>MANUT PROGR COMPUT</t>
  </si>
  <si>
    <t>Transferência recebida: 553.309.000.006.624 30/07 10:09 BB T S 00042318949000184</t>
  </si>
  <si>
    <t>Transferência recebida: 553.309.000.200.000 30/07 10:16 BB T S 00042318949000184</t>
  </si>
  <si>
    <t>Pix - Recebido: 30/07 17:02 11215871945 KAUAN MATHEUS BENTO</t>
  </si>
  <si>
    <t>Pix - Recebido: 30/07 22:59 00070813426553 VALMIRETE SOUZA DOS SANTOS</t>
  </si>
  <si>
    <t>3007001-GYN</t>
  </si>
  <si>
    <t>3007002-GYN</t>
  </si>
  <si>
    <t>DEVOLUCAO COBAN</t>
  </si>
  <si>
    <t>DEVOLUCAO PAGTO INDEVIDO</t>
  </si>
  <si>
    <t>Transferência recebida: 613.309.000.205.393 31/07 09:46 BB TEC 00042318949000184</t>
  </si>
  <si>
    <t>Crédito Sistema CDA: Pgt.BB Con202585580001/0018 / 1</t>
  </si>
  <si>
    <t>3107001-GYN</t>
  </si>
  <si>
    <t>3107002-GYN</t>
  </si>
  <si>
    <t>3107003-GYN</t>
  </si>
  <si>
    <t>RESSARCIMENTO ALELO GECOB</t>
  </si>
  <si>
    <t>Pix - Recebido: 31/07 09:38 42521088000137 INSTITUTO NACIONAL DA PROPRIEDADE INDUSTRIAL</t>
  </si>
  <si>
    <t>3107004-GYN</t>
  </si>
  <si>
    <t>3107005-GYN</t>
  </si>
  <si>
    <t>Nota Fiscal</t>
  </si>
  <si>
    <t>Valor Bruto</t>
  </si>
  <si>
    <t>INSS</t>
  </si>
  <si>
    <t>MANUT REDE MAN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</si>
</sst>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sz val="10"/>
      <color rgb="FF000000"/>
      <name val="Arial Unicode MS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4" fillId="0" borderId="0" xfId="0" applyFont="1"/>
    <xf numFmtId="44" fontId="4" fillId="0" borderId="0" xfId="1" applyFont="1"/>
    <xf numFmtId="0" fontId="2" fillId="0" borderId="0" xfId="0" applyFont="1" applyAlignment="1">
      <alignment horizontal="center" vertical="center"/>
    </xf>
    <xf numFmtId="44" fontId="3" fillId="0" borderId="0" xfId="1" applyFont="1"/>
    <xf numFmtId="0" fontId="2" fillId="0" borderId="2" xfId="0" applyFont="1" applyBorder="1" applyAlignment="1">
      <alignment horizontal="center" vertical="center"/>
    </xf>
    <xf numFmtId="0" fontId="5" fillId="0" borderId="2" xfId="0" applyFont="1" applyBorder="1"/>
    <xf numFmtId="44" fontId="5" fillId="0" borderId="2" xfId="1" applyFont="1" applyFill="1" applyBorder="1"/>
    <xf numFmtId="0" fontId="0" fillId="0" borderId="2" xfId="0" applyBorder="1"/>
    <xf numFmtId="44" fontId="0" fillId="0" borderId="0" xfId="1" applyFont="1"/>
    <xf numFmtId="0" fontId="3" fillId="3" borderId="2" xfId="0" applyFont="1" applyFill="1" applyBorder="1"/>
    <xf numFmtId="44" fontId="3" fillId="3" borderId="2" xfId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2" fillId="0" borderId="4" xfId="1" applyFont="1" applyBorder="1" applyAlignment="1">
      <alignment horizontal="center"/>
    </xf>
    <xf numFmtId="44" fontId="2" fillId="0" borderId="4" xfId="1" applyFont="1" applyFill="1" applyBorder="1" applyAlignment="1">
      <alignment horizontal="center"/>
    </xf>
    <xf numFmtId="44" fontId="2" fillId="0" borderId="4" xfId="1" applyFont="1" applyFill="1" applyBorder="1"/>
    <xf numFmtId="44" fontId="2" fillId="0" borderId="4" xfId="0" applyNumberFormat="1" applyFont="1" applyBorder="1" applyAlignment="1">
      <alignment horizontal="center"/>
    </xf>
    <xf numFmtId="44" fontId="1" fillId="0" borderId="4" xfId="1" applyFont="1" applyFill="1" applyBorder="1"/>
    <xf numFmtId="44" fontId="0" fillId="0" borderId="0" xfId="0" applyNumberFormat="1"/>
    <xf numFmtId="44" fontId="0" fillId="0" borderId="4" xfId="1" applyFont="1" applyFill="1" applyBorder="1"/>
    <xf numFmtId="2" fontId="0" fillId="0" borderId="4" xfId="1" applyNumberFormat="1" applyFont="1" applyFill="1" applyBorder="1"/>
    <xf numFmtId="0" fontId="2" fillId="4" borderId="4" xfId="0" applyFont="1" applyFill="1" applyBorder="1" applyAlignment="1">
      <alignment horizontal="center"/>
    </xf>
    <xf numFmtId="15" fontId="0" fillId="0" borderId="0" xfId="0" applyNumberFormat="1"/>
    <xf numFmtId="2" fontId="2" fillId="0" borderId="4" xfId="1" applyNumberFormat="1" applyFont="1" applyFill="1" applyBorder="1"/>
    <xf numFmtId="4" fontId="0" fillId="0" borderId="0" xfId="0" applyNumberFormat="1"/>
    <xf numFmtId="0" fontId="0" fillId="0" borderId="4" xfId="1" applyNumberFormat="1" applyFont="1" applyBorder="1" applyAlignment="1">
      <alignment horizontal="center"/>
    </xf>
    <xf numFmtId="2" fontId="0" fillId="0" borderId="0" xfId="0" applyNumberFormat="1"/>
    <xf numFmtId="44" fontId="2" fillId="0" borderId="4" xfId="1" applyFont="1" applyBorder="1"/>
    <xf numFmtId="44" fontId="5" fillId="0" borderId="2" xfId="1" applyFont="1" applyBorder="1"/>
    <xf numFmtId="0" fontId="2" fillId="0" borderId="7" xfId="0" applyFont="1" applyBorder="1" applyAlignment="1">
      <alignment horizontal="center"/>
    </xf>
    <xf numFmtId="44" fontId="2" fillId="0" borderId="7" xfId="1" applyFont="1" applyFill="1" applyBorder="1" applyAlignment="1">
      <alignment horizontal="center"/>
    </xf>
    <xf numFmtId="44" fontId="0" fillId="0" borderId="4" xfId="1" applyFont="1" applyBorder="1"/>
    <xf numFmtId="4" fontId="0" fillId="0" borderId="4" xfId="0" applyNumberFormat="1" applyBorder="1"/>
    <xf numFmtId="4" fontId="6" fillId="0" borderId="0" xfId="0" applyNumberFormat="1" applyFont="1" applyAlignment="1">
      <alignment vertical="center"/>
    </xf>
    <xf numFmtId="44" fontId="2" fillId="0" borderId="4" xfId="0" applyNumberFormat="1" applyFont="1" applyBorder="1"/>
    <xf numFmtId="2" fontId="0" fillId="0" borderId="4" xfId="1" applyNumberFormat="1" applyFont="1" applyBorder="1" applyAlignment="1">
      <alignment horizontal="center"/>
    </xf>
    <xf numFmtId="43" fontId="2" fillId="0" borderId="6" xfId="2" applyFont="1" applyFill="1" applyBorder="1" applyAlignment="1">
      <alignment vertical="center"/>
    </xf>
    <xf numFmtId="44" fontId="1" fillId="0" borderId="2" xfId="1" applyFont="1" applyFill="1" applyBorder="1"/>
    <xf numFmtId="0" fontId="3" fillId="3" borderId="5" xfId="0" applyFont="1" applyFill="1" applyBorder="1"/>
    <xf numFmtId="44" fontId="3" fillId="3" borderId="5" xfId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44" fontId="0" fillId="0" borderId="2" xfId="1" applyFont="1" applyBorder="1"/>
    <xf numFmtId="0" fontId="0" fillId="0" borderId="9" xfId="0" applyBorder="1" applyAlignment="1">
      <alignment horizontal="center"/>
    </xf>
    <xf numFmtId="0" fontId="0" fillId="0" borderId="8" xfId="0" applyBorder="1"/>
    <xf numFmtId="44" fontId="5" fillId="0" borderId="3" xfId="1" applyFont="1" applyFill="1" applyBorder="1"/>
    <xf numFmtId="8" fontId="0" fillId="0" borderId="0" xfId="0" applyNumberFormat="1"/>
    <xf numFmtId="0" fontId="0" fillId="0" borderId="4" xfId="0" applyBorder="1"/>
    <xf numFmtId="4" fontId="6" fillId="0" borderId="4" xfId="0" applyNumberFormat="1" applyFont="1" applyBorder="1" applyAlignment="1">
      <alignment vertical="center"/>
    </xf>
    <xf numFmtId="164" fontId="0" fillId="0" borderId="0" xfId="3" applyNumberFormat="1" applyFont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44" fontId="0" fillId="0" borderId="2" xfId="0" applyNumberFormat="1" applyBorder="1"/>
    <xf numFmtId="0" fontId="5" fillId="2" borderId="2" xfId="0" applyFont="1" applyFill="1" applyBorder="1"/>
    <xf numFmtId="44" fontId="5" fillId="2" borderId="2" xfId="1" applyFont="1" applyFill="1" applyBorder="1"/>
    <xf numFmtId="0" fontId="5" fillId="4" borderId="2" xfId="0" applyFont="1" applyFill="1" applyBorder="1"/>
    <xf numFmtId="44" fontId="5" fillId="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1" xfId="0" applyFont="1" applyFill="1" applyBorder="1"/>
    <xf numFmtId="44" fontId="0" fillId="4" borderId="2" xfId="1" applyFont="1" applyFill="1" applyBorder="1"/>
    <xf numFmtId="4" fontId="5" fillId="2" borderId="2" xfId="0" applyNumberFormat="1" applyFont="1" applyFill="1" applyBorder="1"/>
    <xf numFmtId="44" fontId="0" fillId="4" borderId="2" xfId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2" fillId="0" borderId="2" xfId="1" applyFont="1" applyBorder="1"/>
    <xf numFmtId="44" fontId="2" fillId="0" borderId="2" xfId="1" applyFont="1" applyBorder="1" applyAlignment="1">
      <alignment horizontal="center"/>
    </xf>
    <xf numFmtId="2" fontId="0" fillId="4" borderId="2" xfId="1" applyNumberFormat="1" applyFont="1" applyFill="1" applyBorder="1" applyAlignment="1">
      <alignment horizontal="left" indent="3"/>
    </xf>
    <xf numFmtId="44" fontId="0" fillId="4" borderId="2" xfId="1" applyFont="1" applyFill="1" applyBorder="1" applyAlignment="1">
      <alignment horizontal="left" indent="3"/>
    </xf>
    <xf numFmtId="0" fontId="2" fillId="4" borderId="0" xfId="0" applyFont="1" applyFill="1" applyAlignment="1">
      <alignment horizontal="center"/>
    </xf>
    <xf numFmtId="43" fontId="2" fillId="4" borderId="6" xfId="2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44" fontId="5" fillId="2" borderId="3" xfId="1" applyFont="1" applyFill="1" applyBorder="1"/>
    <xf numFmtId="44" fontId="5" fillId="4" borderId="3" xfId="1" applyFont="1" applyFill="1" applyBorder="1"/>
    <xf numFmtId="0" fontId="0" fillId="4" borderId="4" xfId="0" applyFill="1" applyBorder="1" applyAlignment="1">
      <alignment horizontal="center"/>
    </xf>
    <xf numFmtId="44" fontId="0" fillId="4" borderId="4" xfId="1" applyFont="1" applyFill="1" applyBorder="1" applyAlignment="1">
      <alignment horizontal="center"/>
    </xf>
    <xf numFmtId="44" fontId="0" fillId="4" borderId="4" xfId="1" applyFont="1" applyFill="1" applyBorder="1"/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44" fontId="1" fillId="4" borderId="2" xfId="1" applyFont="1" applyFill="1" applyBorder="1"/>
    <xf numFmtId="4" fontId="2" fillId="0" borderId="4" xfId="0" applyNumberFormat="1" applyFont="1" applyBorder="1"/>
    <xf numFmtId="44" fontId="0" fillId="4" borderId="0" xfId="1" applyFont="1" applyFill="1" applyAlignment="1">
      <alignment horizontal="left" indent="3"/>
    </xf>
    <xf numFmtId="44" fontId="0" fillId="4" borderId="4" xfId="1" applyFont="1" applyFill="1" applyBorder="1" applyAlignment="1">
      <alignment horizontal="left" indent="3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3" fontId="2" fillId="4" borderId="12" xfId="2" applyFont="1" applyFill="1" applyBorder="1" applyAlignment="1">
      <alignment horizontal="center" vertical="center"/>
    </xf>
    <xf numFmtId="43" fontId="2" fillId="4" borderId="6" xfId="2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838E-6868-4047-AB7D-B974D03EE0CD}">
  <sheetPr>
    <tabColor rgb="FF00B050"/>
  </sheetPr>
  <dimension ref="A1:E100"/>
  <sheetViews>
    <sheetView workbookViewId="0">
      <selection activeCell="C13" sqref="C13"/>
    </sheetView>
  </sheetViews>
  <sheetFormatPr defaultRowHeight="14.4"/>
  <cols>
    <col min="1" max="1" width="82.5546875" bestFit="1" customWidth="1"/>
    <col min="2" max="2" width="39.77734375" style="9" bestFit="1" customWidth="1"/>
    <col min="3" max="3" width="27.77734375" bestFit="1" customWidth="1"/>
    <col min="4" max="4" width="26" bestFit="1" customWidth="1"/>
    <col min="5" max="5" width="34" style="3" bestFit="1" customWidth="1"/>
    <col min="6" max="6" width="8.77734375" customWidth="1"/>
    <col min="7" max="7" width="18" bestFit="1" customWidth="1"/>
    <col min="8" max="8" width="15.6640625" bestFit="1" customWidth="1"/>
    <col min="9" max="21" width="8.77734375" customWidth="1"/>
  </cols>
  <sheetData>
    <row r="1" spans="1:5" ht="15.6">
      <c r="A1" s="91" t="s">
        <v>0</v>
      </c>
      <c r="B1" s="92"/>
      <c r="C1" s="92"/>
      <c r="D1" s="92"/>
      <c r="E1" s="92"/>
    </row>
    <row r="2" spans="1:5" ht="15.6">
      <c r="A2" s="1"/>
      <c r="B2" s="2"/>
    </row>
    <row r="3" spans="1:5" ht="15.6">
      <c r="A3" s="1"/>
      <c r="B3" s="4" t="s">
        <v>1</v>
      </c>
    </row>
    <row r="4" spans="1:5" ht="15.6">
      <c r="A4" s="10" t="s">
        <v>2</v>
      </c>
      <c r="B4" s="11">
        <f>SUM(B5:B119)</f>
        <v>3806436.9699999997</v>
      </c>
      <c r="C4" s="12" t="s">
        <v>3</v>
      </c>
      <c r="D4" s="12" t="s">
        <v>5</v>
      </c>
      <c r="E4" s="13" t="s">
        <v>4</v>
      </c>
    </row>
    <row r="5" spans="1:5" ht="15.6">
      <c r="A5" s="57" t="s">
        <v>15</v>
      </c>
      <c r="B5" s="58">
        <v>1857511.7</v>
      </c>
      <c r="C5" s="93" t="s">
        <v>22</v>
      </c>
      <c r="D5" s="94"/>
      <c r="E5" s="95"/>
    </row>
    <row r="6" spans="1:5" ht="15.6">
      <c r="A6" s="57" t="s">
        <v>16</v>
      </c>
      <c r="B6" s="58">
        <v>10181.65</v>
      </c>
      <c r="C6" s="93" t="s">
        <v>22</v>
      </c>
      <c r="D6" s="94"/>
      <c r="E6" s="95"/>
    </row>
    <row r="7" spans="1:5" ht="15.6">
      <c r="A7" s="57" t="s">
        <v>17</v>
      </c>
      <c r="B7" s="58">
        <v>486.26</v>
      </c>
      <c r="C7" s="93" t="s">
        <v>22</v>
      </c>
      <c r="D7" s="94"/>
      <c r="E7" s="95"/>
    </row>
    <row r="8" spans="1:5" ht="15.6">
      <c r="A8" s="57" t="s">
        <v>18</v>
      </c>
      <c r="B8" s="58">
        <v>1900000</v>
      </c>
      <c r="C8" s="93" t="s">
        <v>22</v>
      </c>
      <c r="D8" s="94"/>
      <c r="E8" s="95"/>
    </row>
    <row r="9" spans="1:5" ht="15.6">
      <c r="A9" s="59" t="s">
        <v>19</v>
      </c>
      <c r="B9" s="60">
        <v>37396.550000000003</v>
      </c>
      <c r="C9" s="61" t="s">
        <v>26</v>
      </c>
      <c r="D9" s="61" t="s">
        <v>135</v>
      </c>
      <c r="E9" s="67" t="s">
        <v>53</v>
      </c>
    </row>
    <row r="10" spans="1:5" ht="15.6">
      <c r="A10" s="59" t="s">
        <v>20</v>
      </c>
      <c r="B10" s="60">
        <v>551.64</v>
      </c>
      <c r="C10" s="61" t="s">
        <v>26</v>
      </c>
      <c r="D10" s="61" t="s">
        <v>23</v>
      </c>
      <c r="E10" s="62" t="s">
        <v>25</v>
      </c>
    </row>
    <row r="11" spans="1:5" ht="15.6">
      <c r="A11" s="59" t="s">
        <v>21</v>
      </c>
      <c r="B11" s="60">
        <v>309.17</v>
      </c>
      <c r="C11" s="61" t="s">
        <v>26</v>
      </c>
      <c r="D11" s="61" t="s">
        <v>24</v>
      </c>
      <c r="E11" s="62" t="s">
        <v>25</v>
      </c>
    </row>
    <row r="12" spans="1:5" ht="15.6">
      <c r="A12" s="6"/>
      <c r="B12" s="7"/>
      <c r="C12" s="8"/>
      <c r="D12" s="8"/>
      <c r="E12" s="5"/>
    </row>
    <row r="13" spans="1:5" ht="15.6">
      <c r="A13" s="6"/>
      <c r="B13" s="7"/>
      <c r="C13" s="8"/>
      <c r="D13" s="8"/>
      <c r="E13" s="5"/>
    </row>
    <row r="14" spans="1:5" ht="15.6">
      <c r="A14" s="6"/>
      <c r="B14" s="7"/>
      <c r="C14" s="8"/>
      <c r="D14" s="8"/>
      <c r="E14" s="5"/>
    </row>
    <row r="15" spans="1:5" ht="15.6">
      <c r="A15" s="6"/>
      <c r="B15" s="7"/>
      <c r="C15" s="8"/>
      <c r="D15" s="8"/>
      <c r="E15" s="5"/>
    </row>
    <row r="16" spans="1:5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>
      <c r="C100" s="8"/>
      <c r="D100" s="8"/>
      <c r="E100" s="5"/>
    </row>
  </sheetData>
  <mergeCells count="5">
    <mergeCell ref="A1:E1"/>
    <mergeCell ref="C5:E5"/>
    <mergeCell ref="C6:E6"/>
    <mergeCell ref="C7:E7"/>
    <mergeCell ref="C8:E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348E-A5B5-45DA-860B-CAB3A780F981}">
  <sheetPr>
    <tabColor rgb="FF00B050"/>
  </sheetPr>
  <dimension ref="A1:N101"/>
  <sheetViews>
    <sheetView workbookViewId="0">
      <selection activeCell="A12" sqref="A12"/>
    </sheetView>
  </sheetViews>
  <sheetFormatPr defaultRowHeight="14.4"/>
  <cols>
    <col min="1" max="1" width="94.109375" bestFit="1" customWidth="1"/>
    <col min="2" max="2" width="39.77734375" style="9" bestFit="1" customWidth="1"/>
    <col min="3" max="3" width="22.77734375" customWidth="1"/>
    <col min="4" max="4" width="26.5546875" bestFit="1" customWidth="1"/>
    <col min="5" max="5" width="34.88671875" style="3" bestFit="1" customWidth="1"/>
    <col min="6" max="6" width="8.77734375" customWidth="1"/>
    <col min="7" max="7" width="12.109375" bestFit="1" customWidth="1"/>
    <col min="8" max="8" width="16.109375" bestFit="1" customWidth="1"/>
    <col min="9" max="9" width="13.109375" bestFit="1" customWidth="1"/>
    <col min="10" max="10" width="12" bestFit="1" customWidth="1"/>
    <col min="11" max="12" width="13.109375" bestFit="1" customWidth="1"/>
    <col min="13" max="13" width="14.21875" customWidth="1"/>
    <col min="14" max="14" width="15.664062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</row>
    <row r="3" spans="1:14" ht="15.6">
      <c r="A3" s="1"/>
      <c r="B3" s="4" t="s">
        <v>1</v>
      </c>
    </row>
    <row r="4" spans="1:14" ht="16.2" thickBot="1">
      <c r="A4" s="10" t="s">
        <v>2</v>
      </c>
      <c r="B4" s="11">
        <f>SUM(B5:B101)</f>
        <v>12374335.849999998</v>
      </c>
      <c r="C4" s="12" t="s">
        <v>3</v>
      </c>
      <c r="D4" s="12" t="s">
        <v>5</v>
      </c>
      <c r="E4" s="13" t="s">
        <v>4</v>
      </c>
    </row>
    <row r="5" spans="1:14" ht="16.2" thickBot="1">
      <c r="A5" s="57" t="s">
        <v>27</v>
      </c>
      <c r="B5" s="58">
        <v>3698870.23</v>
      </c>
      <c r="C5" s="93" t="s">
        <v>22</v>
      </c>
      <c r="D5" s="94"/>
      <c r="E5" s="95"/>
      <c r="G5" s="14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</row>
    <row r="6" spans="1:14" ht="16.2" thickBot="1">
      <c r="A6" s="57" t="s">
        <v>28</v>
      </c>
      <c r="B6" s="58">
        <v>7400000</v>
      </c>
      <c r="C6" s="93" t="s">
        <v>22</v>
      </c>
      <c r="D6" s="94"/>
      <c r="E6" s="95"/>
      <c r="G6" s="14"/>
      <c r="H6" s="36"/>
      <c r="I6" s="16">
        <f>H6*4.8%</f>
        <v>0</v>
      </c>
      <c r="J6" s="16">
        <f>H6*0.65%</f>
        <v>0</v>
      </c>
      <c r="K6" s="16">
        <f>H6*3%</f>
        <v>0</v>
      </c>
      <c r="L6" s="16">
        <f>H6*1%</f>
        <v>0</v>
      </c>
      <c r="M6" s="16">
        <v>0</v>
      </c>
      <c r="N6" s="16">
        <f>H6-I6-J6-K6-L6-M6</f>
        <v>0</v>
      </c>
    </row>
    <row r="7" spans="1:14" ht="16.2" thickBot="1">
      <c r="A7" s="59" t="s">
        <v>29</v>
      </c>
      <c r="B7" s="60">
        <v>12465.95</v>
      </c>
      <c r="C7" s="61" t="s">
        <v>26</v>
      </c>
      <c r="D7" s="61" t="s">
        <v>34</v>
      </c>
      <c r="E7" s="62" t="s">
        <v>33</v>
      </c>
      <c r="G7" s="29"/>
      <c r="H7" s="36"/>
      <c r="I7" s="16">
        <f>H7*4.8%</f>
        <v>0</v>
      </c>
      <c r="J7" s="16">
        <f>H7*0.65%</f>
        <v>0</v>
      </c>
      <c r="K7" s="16">
        <f>H7*3%</f>
        <v>0</v>
      </c>
      <c r="L7" s="16">
        <f>H7*1%</f>
        <v>0</v>
      </c>
      <c r="M7" s="16">
        <v>0</v>
      </c>
      <c r="N7" s="16">
        <f>H7-I7-J7-K7-L7-M7</f>
        <v>0</v>
      </c>
    </row>
    <row r="8" spans="1:14" ht="16.2" thickBot="1">
      <c r="A8" s="59" t="s">
        <v>30</v>
      </c>
      <c r="B8" s="60">
        <v>806942.54</v>
      </c>
      <c r="C8" s="61" t="s">
        <v>26</v>
      </c>
      <c r="D8" s="61" t="s">
        <v>35</v>
      </c>
      <c r="E8" s="62" t="s">
        <v>33</v>
      </c>
      <c r="G8" s="15"/>
      <c r="H8" s="16"/>
      <c r="I8" s="16">
        <f>H8*4.8%</f>
        <v>0</v>
      </c>
      <c r="J8" s="16">
        <f>H8*0.65%</f>
        <v>0</v>
      </c>
      <c r="K8" s="16">
        <f>H8*3%</f>
        <v>0</v>
      </c>
      <c r="L8" s="16">
        <f>H8*1%</f>
        <v>0</v>
      </c>
      <c r="M8" s="16">
        <f>H8*2%</f>
        <v>0</v>
      </c>
      <c r="N8" s="16">
        <f>H8-I8-J8-K8-L8-M8</f>
        <v>0</v>
      </c>
    </row>
    <row r="9" spans="1:14" ht="16.2" thickBot="1">
      <c r="A9" s="59" t="s">
        <v>31</v>
      </c>
      <c r="B9" s="60">
        <v>91404.19</v>
      </c>
      <c r="C9" s="61" t="s">
        <v>26</v>
      </c>
      <c r="D9" s="61" t="s">
        <v>36</v>
      </c>
      <c r="E9" s="62" t="s">
        <v>33</v>
      </c>
      <c r="G9" s="14" t="s">
        <v>14</v>
      </c>
      <c r="H9" s="17">
        <f>SUM(H7:H8)</f>
        <v>0</v>
      </c>
      <c r="I9" s="17">
        <f t="shared" ref="I9:N9" si="0">SUM(I6:I8)</f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  <c r="M9" s="17">
        <f t="shared" si="0"/>
        <v>0</v>
      </c>
      <c r="N9" s="17">
        <f t="shared" si="0"/>
        <v>0</v>
      </c>
    </row>
    <row r="10" spans="1:14" ht="15.6">
      <c r="A10" s="59" t="s">
        <v>32</v>
      </c>
      <c r="B10" s="60">
        <v>364339.59</v>
      </c>
      <c r="C10" s="61" t="s">
        <v>26</v>
      </c>
      <c r="D10" s="61" t="s">
        <v>37</v>
      </c>
      <c r="E10" s="62" t="s">
        <v>33</v>
      </c>
    </row>
    <row r="11" spans="1:14" ht="15.6">
      <c r="A11" s="59" t="s">
        <v>40</v>
      </c>
      <c r="B11" s="60">
        <v>313.35000000000002</v>
      </c>
      <c r="C11" s="61" t="s">
        <v>26</v>
      </c>
      <c r="D11" s="63" t="s">
        <v>38</v>
      </c>
      <c r="E11" s="64" t="s">
        <v>39</v>
      </c>
    </row>
    <row r="12" spans="1:14" ht="15.6">
      <c r="A12" s="6"/>
      <c r="B12" s="7"/>
      <c r="C12" s="54"/>
      <c r="D12" s="54"/>
      <c r="E12" s="5"/>
      <c r="N12" s="22"/>
    </row>
    <row r="13" spans="1:14" ht="15.6">
      <c r="A13" s="6"/>
      <c r="B13" s="7"/>
      <c r="C13" s="54"/>
      <c r="D13" s="54"/>
      <c r="E13" s="5"/>
    </row>
    <row r="14" spans="1:14" ht="15.6">
      <c r="A14" s="6"/>
      <c r="B14" s="7"/>
      <c r="C14" s="54"/>
      <c r="D14" s="54"/>
      <c r="E14" s="5"/>
    </row>
    <row r="15" spans="1:14" ht="15.6">
      <c r="A15" s="6"/>
      <c r="B15" s="7"/>
      <c r="C15" s="8"/>
      <c r="D15" s="8"/>
      <c r="E15" s="5"/>
    </row>
    <row r="16" spans="1:14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  <row r="101" spans="1:5" ht="15.6">
      <c r="A101" s="6"/>
      <c r="B101" s="7"/>
      <c r="C101" s="8"/>
      <c r="D101" s="8"/>
      <c r="E101" s="5"/>
    </row>
  </sheetData>
  <mergeCells count="3">
    <mergeCell ref="A1:E1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B6D6-F751-4D6C-AE49-19B5112EA2C4}">
  <sheetPr>
    <tabColor rgb="FF00B050"/>
  </sheetPr>
  <dimension ref="A1:R101"/>
  <sheetViews>
    <sheetView workbookViewId="0">
      <selection activeCell="D12" sqref="D12"/>
    </sheetView>
  </sheetViews>
  <sheetFormatPr defaultRowHeight="14.4"/>
  <cols>
    <col min="1" max="1" width="83" bestFit="1" customWidth="1"/>
    <col min="2" max="2" width="38.88671875" style="9" bestFit="1" customWidth="1"/>
    <col min="3" max="3" width="15.77734375" bestFit="1" customWidth="1"/>
    <col min="4" max="4" width="26.5546875" bestFit="1" customWidth="1"/>
    <col min="5" max="5" width="34.88671875" style="3" bestFit="1" customWidth="1"/>
    <col min="6" max="6" width="8.77734375" customWidth="1"/>
    <col min="7" max="7" width="12.109375" bestFit="1" customWidth="1"/>
    <col min="8" max="8" width="16.109375" bestFit="1" customWidth="1"/>
    <col min="9" max="9" width="13.77734375" bestFit="1" customWidth="1"/>
    <col min="10" max="10" width="12.6640625" bestFit="1" customWidth="1"/>
    <col min="11" max="12" width="13.109375" bestFit="1" customWidth="1"/>
    <col min="13" max="13" width="14.21875" customWidth="1"/>
    <col min="14" max="14" width="15.6640625" bestFit="1" customWidth="1"/>
    <col min="15" max="21" width="8.77734375" customWidth="1"/>
  </cols>
  <sheetData>
    <row r="1" spans="1:18" ht="15.6">
      <c r="A1" s="91" t="s">
        <v>0</v>
      </c>
      <c r="B1" s="92"/>
      <c r="C1" s="92"/>
      <c r="D1" s="92"/>
      <c r="E1" s="92"/>
    </row>
    <row r="2" spans="1:18" ht="15.6">
      <c r="A2" s="1"/>
      <c r="B2" s="2"/>
    </row>
    <row r="3" spans="1:18" ht="15.6">
      <c r="A3" s="1"/>
      <c r="B3" s="4" t="s">
        <v>1</v>
      </c>
    </row>
    <row r="4" spans="1:18" ht="16.2" thickBot="1">
      <c r="A4" s="10" t="s">
        <v>2</v>
      </c>
      <c r="B4" s="11">
        <f>SUM(B5:B101)</f>
        <v>14682515.5</v>
      </c>
      <c r="C4" s="12" t="s">
        <v>3</v>
      </c>
      <c r="D4" s="12" t="s">
        <v>5</v>
      </c>
      <c r="E4" s="13" t="s">
        <v>4</v>
      </c>
    </row>
    <row r="5" spans="1:18" ht="16.2" thickBot="1">
      <c r="A5" s="57" t="s">
        <v>42</v>
      </c>
      <c r="B5" s="58">
        <v>199925.3</v>
      </c>
      <c r="C5" s="93" t="s">
        <v>22</v>
      </c>
      <c r="D5" s="94"/>
      <c r="E5" s="95"/>
      <c r="G5" s="14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</row>
    <row r="6" spans="1:18" ht="16.2" thickBot="1">
      <c r="A6" s="57" t="s">
        <v>28</v>
      </c>
      <c r="B6" s="58">
        <v>14470000</v>
      </c>
      <c r="C6" s="93" t="s">
        <v>22</v>
      </c>
      <c r="D6" s="94"/>
      <c r="E6" s="95"/>
      <c r="G6" s="14"/>
      <c r="H6" s="35"/>
      <c r="I6" s="16">
        <f>H6*4.8%</f>
        <v>0</v>
      </c>
      <c r="J6" s="16">
        <f>H6*0.65%</f>
        <v>0</v>
      </c>
      <c r="K6" s="16">
        <f>H6*3%</f>
        <v>0</v>
      </c>
      <c r="L6" s="16">
        <f>H6*1%</f>
        <v>0</v>
      </c>
      <c r="M6" s="16">
        <f>H6*5%</f>
        <v>0</v>
      </c>
      <c r="N6" s="16">
        <f>H6-I6-J6-K6-L6-M6</f>
        <v>0</v>
      </c>
      <c r="O6" s="9"/>
      <c r="P6" s="9"/>
      <c r="Q6" s="9"/>
      <c r="R6" s="9"/>
    </row>
    <row r="7" spans="1:18" ht="15.6">
      <c r="A7" s="59" t="s">
        <v>43</v>
      </c>
      <c r="B7" s="60">
        <v>12590.2</v>
      </c>
      <c r="C7" s="61" t="s">
        <v>26</v>
      </c>
      <c r="D7" s="66" t="s">
        <v>44</v>
      </c>
      <c r="E7" s="67" t="s">
        <v>33</v>
      </c>
    </row>
    <row r="8" spans="1:18" ht="15.6">
      <c r="A8" s="6"/>
      <c r="B8" s="7"/>
      <c r="C8" s="54"/>
      <c r="D8" s="54"/>
      <c r="E8" s="5"/>
    </row>
    <row r="9" spans="1:18" ht="15.6">
      <c r="A9" s="6"/>
      <c r="B9" s="7"/>
      <c r="C9" s="8"/>
      <c r="D9" s="8"/>
      <c r="E9" s="5"/>
    </row>
    <row r="10" spans="1:18" ht="15.6">
      <c r="A10" s="6"/>
      <c r="B10" s="7"/>
      <c r="C10" s="8"/>
      <c r="D10" s="8"/>
      <c r="E10" s="5"/>
    </row>
    <row r="11" spans="1:18" ht="15.6">
      <c r="A11" s="6"/>
      <c r="B11" s="7"/>
      <c r="C11" s="8"/>
      <c r="D11" s="8"/>
      <c r="E11" s="5"/>
    </row>
    <row r="12" spans="1:18" ht="15.6">
      <c r="A12" s="6"/>
      <c r="B12" s="7"/>
      <c r="C12" s="8"/>
      <c r="D12" s="8"/>
      <c r="E12" s="5"/>
      <c r="N12" s="22"/>
    </row>
    <row r="13" spans="1:18" ht="15.6">
      <c r="A13" s="6"/>
      <c r="B13" s="7"/>
      <c r="C13" s="8"/>
      <c r="D13" s="8"/>
      <c r="E13" s="5"/>
    </row>
    <row r="14" spans="1:18" ht="15.6">
      <c r="A14" s="6"/>
      <c r="B14" s="7"/>
      <c r="C14" s="8"/>
      <c r="D14" s="8"/>
      <c r="E14" s="5"/>
    </row>
    <row r="15" spans="1:18" ht="15.6">
      <c r="A15" s="6"/>
      <c r="B15" s="7"/>
      <c r="C15" s="8"/>
      <c r="D15" s="8"/>
      <c r="E15" s="5"/>
    </row>
    <row r="16" spans="1:18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  <row r="101" spans="1:5" ht="15.6">
      <c r="A101" s="6"/>
      <c r="B101" s="7"/>
      <c r="C101" s="8"/>
      <c r="D101" s="8"/>
      <c r="E101" s="5"/>
    </row>
  </sheetData>
  <mergeCells count="3">
    <mergeCell ref="A1:E1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D7BE-6D39-4DC7-87C0-9A1B6FDB760D}">
  <sheetPr>
    <tabColor rgb="FF00B050"/>
  </sheetPr>
  <dimension ref="A1:F100"/>
  <sheetViews>
    <sheetView workbookViewId="0">
      <selection activeCell="B16" sqref="B16"/>
    </sheetView>
  </sheetViews>
  <sheetFormatPr defaultRowHeight="14.4"/>
  <cols>
    <col min="1" max="1" width="88" bestFit="1" customWidth="1"/>
    <col min="2" max="2" width="39.77734375" style="9" bestFit="1" customWidth="1"/>
    <col min="3" max="3" width="33" bestFit="1" customWidth="1"/>
    <col min="4" max="4" width="26" bestFit="1" customWidth="1"/>
    <col min="5" max="5" width="34" style="3" bestFit="1" customWidth="1"/>
    <col min="6" max="6" width="21.77734375" bestFit="1" customWidth="1"/>
    <col min="7" max="7" width="18" bestFit="1" customWidth="1"/>
    <col min="8" max="8" width="15.6640625" bestFit="1" customWidth="1"/>
    <col min="9" max="21" width="8.77734375" customWidth="1"/>
  </cols>
  <sheetData>
    <row r="1" spans="1:6" ht="15.6">
      <c r="A1" s="91" t="s">
        <v>0</v>
      </c>
      <c r="B1" s="92"/>
      <c r="C1" s="92"/>
      <c r="D1" s="92"/>
      <c r="E1" s="92"/>
    </row>
    <row r="2" spans="1:6" ht="15.6">
      <c r="A2" s="1"/>
      <c r="B2" s="2"/>
    </row>
    <row r="3" spans="1:6" ht="15.6">
      <c r="A3" s="1"/>
      <c r="B3" s="4" t="s">
        <v>1</v>
      </c>
    </row>
    <row r="4" spans="1:6" ht="15.6">
      <c r="A4" s="10" t="s">
        <v>2</v>
      </c>
      <c r="B4" s="11">
        <f>SUM(B5:B100)</f>
        <v>4634146.0600000005</v>
      </c>
      <c r="C4" s="12" t="s">
        <v>3</v>
      </c>
      <c r="D4" s="12" t="s">
        <v>5</v>
      </c>
      <c r="E4" s="13" t="s">
        <v>4</v>
      </c>
    </row>
    <row r="5" spans="1:6" ht="15.6">
      <c r="A5" s="59" t="s">
        <v>47</v>
      </c>
      <c r="B5" s="60">
        <v>1915.66</v>
      </c>
      <c r="C5" s="61" t="s">
        <v>26</v>
      </c>
      <c r="D5" s="61" t="s">
        <v>50</v>
      </c>
      <c r="E5" s="62" t="s">
        <v>25</v>
      </c>
      <c r="F5" t="s">
        <v>46</v>
      </c>
    </row>
    <row r="6" spans="1:6" ht="15.6">
      <c r="A6" s="57" t="s">
        <v>18</v>
      </c>
      <c r="B6" s="58">
        <v>4550000</v>
      </c>
      <c r="C6" s="93" t="s">
        <v>22</v>
      </c>
      <c r="D6" s="94"/>
      <c r="E6" s="95"/>
    </row>
    <row r="7" spans="1:6" ht="15.6">
      <c r="A7" s="59" t="s">
        <v>45</v>
      </c>
      <c r="B7" s="60">
        <v>10706.96</v>
      </c>
      <c r="C7" s="61" t="s">
        <v>26</v>
      </c>
      <c r="D7" s="61" t="s">
        <v>51</v>
      </c>
      <c r="E7" s="62" t="s">
        <v>53</v>
      </c>
    </row>
    <row r="8" spans="1:6" ht="15.6">
      <c r="A8" s="59" t="s">
        <v>48</v>
      </c>
      <c r="B8" s="60">
        <v>111.03</v>
      </c>
      <c r="C8" s="61" t="s">
        <v>26</v>
      </c>
      <c r="D8" s="61" t="s">
        <v>52</v>
      </c>
      <c r="E8" s="62" t="s">
        <v>39</v>
      </c>
    </row>
    <row r="9" spans="1:6" ht="15.6">
      <c r="A9" s="57" t="s">
        <v>49</v>
      </c>
      <c r="B9" s="58">
        <v>71412.41</v>
      </c>
      <c r="C9" s="93" t="s">
        <v>22</v>
      </c>
      <c r="D9" s="94"/>
      <c r="E9" s="95"/>
    </row>
    <row r="10" spans="1:6" ht="15.6">
      <c r="A10" s="6"/>
      <c r="B10" s="7"/>
      <c r="C10" s="8"/>
      <c r="D10" s="8"/>
      <c r="E10" s="5"/>
    </row>
    <row r="11" spans="1:6" ht="15.6">
      <c r="A11" s="6"/>
      <c r="B11" s="7"/>
      <c r="C11" s="8"/>
      <c r="D11" s="8"/>
      <c r="E11" s="5"/>
    </row>
    <row r="12" spans="1:6" ht="15.6">
      <c r="A12" s="6"/>
      <c r="B12" s="7"/>
      <c r="C12" s="8"/>
      <c r="D12" s="8"/>
      <c r="E12" s="5"/>
    </row>
    <row r="13" spans="1:6" ht="15.6">
      <c r="A13" s="6"/>
      <c r="B13" s="7"/>
      <c r="C13" s="8"/>
      <c r="D13" s="8"/>
      <c r="E13" s="5"/>
    </row>
    <row r="14" spans="1:6" ht="15.6">
      <c r="A14" s="6"/>
      <c r="B14" s="7"/>
      <c r="C14" s="8"/>
      <c r="D14" s="8"/>
      <c r="E14" s="5"/>
    </row>
    <row r="15" spans="1:6" ht="15.6">
      <c r="A15" s="6"/>
      <c r="B15" s="7"/>
      <c r="C15" s="8"/>
      <c r="D15" s="8"/>
      <c r="E15" s="5"/>
    </row>
    <row r="16" spans="1:6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3">
    <mergeCell ref="A1:E1"/>
    <mergeCell ref="C6:E6"/>
    <mergeCell ref="C9:E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8688-33CE-454E-B266-DDE0A9AC508D}">
  <sheetPr>
    <tabColor rgb="FF00B050"/>
  </sheetPr>
  <dimension ref="A1:N100"/>
  <sheetViews>
    <sheetView tabSelected="1" topLeftCell="B1" workbookViewId="0">
      <selection activeCell="H3" sqref="H3:N4"/>
    </sheetView>
  </sheetViews>
  <sheetFormatPr defaultRowHeight="14.4"/>
  <cols>
    <col min="1" max="1" width="86.33203125" customWidth="1"/>
    <col min="2" max="2" width="38.88671875" style="9" bestFit="1" customWidth="1"/>
    <col min="3" max="3" width="21" customWidth="1"/>
    <col min="4" max="4" width="25.6640625" bestFit="1" customWidth="1"/>
    <col min="5" max="5" width="33.44140625" style="3" bestFit="1" customWidth="1"/>
    <col min="6" max="6" width="8.77734375" customWidth="1"/>
    <col min="7" max="7" width="16.5546875" bestFit="1" customWidth="1"/>
    <col min="8" max="8" width="20.5546875" style="30" bestFit="1" customWidth="1"/>
    <col min="9" max="9" width="18" style="30" bestFit="1" customWidth="1"/>
    <col min="10" max="10" width="16.77734375" style="30" bestFit="1" customWidth="1"/>
    <col min="11" max="11" width="18" style="30" bestFit="1" customWidth="1"/>
    <col min="12" max="12" width="16.77734375" style="30" bestFit="1" customWidth="1"/>
    <col min="13" max="13" width="13" style="30" bestFit="1" customWidth="1"/>
    <col min="14" max="14" width="20.5546875" style="30" bestFit="1" customWidth="1"/>
    <col min="15" max="21" width="8.77734375" customWidth="1"/>
  </cols>
  <sheetData>
    <row r="1" spans="1:14" ht="16.2" thickBot="1">
      <c r="A1" s="91" t="s">
        <v>0</v>
      </c>
      <c r="B1" s="92"/>
      <c r="C1" s="92"/>
      <c r="D1" s="92"/>
      <c r="E1" s="92"/>
    </row>
    <row r="2" spans="1:14" ht="16.2" thickBot="1">
      <c r="A2" s="1"/>
      <c r="B2" s="2"/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</row>
    <row r="3" spans="1:14" ht="16.2" thickBot="1">
      <c r="A3" s="1"/>
      <c r="B3" s="4" t="s">
        <v>1</v>
      </c>
      <c r="G3" s="25">
        <v>613</v>
      </c>
      <c r="H3" s="89">
        <v>1801576.04</v>
      </c>
      <c r="I3" s="90">
        <f>H3*4.8%</f>
        <v>86475.649920000011</v>
      </c>
      <c r="J3" s="90">
        <f>H3*0.65%</f>
        <v>11710.244260000001</v>
      </c>
      <c r="K3" s="90">
        <f>H3*3%</f>
        <v>54047.281199999998</v>
      </c>
      <c r="L3" s="90">
        <f>H3*1%</f>
        <v>18015.760399999999</v>
      </c>
      <c r="M3" s="90"/>
      <c r="N3" s="90">
        <f>H3-I3-J3-K3-L3-M3</f>
        <v>1631327.1042199999</v>
      </c>
    </row>
    <row r="4" spans="1:14" ht="16.2" thickBot="1">
      <c r="A4" s="10" t="s">
        <v>2</v>
      </c>
      <c r="B4" s="11">
        <f>SUM(B5:B100)</f>
        <v>11166184.25</v>
      </c>
      <c r="C4" s="12" t="s">
        <v>3</v>
      </c>
      <c r="D4" s="12" t="s">
        <v>5</v>
      </c>
      <c r="E4" s="13" t="s">
        <v>4</v>
      </c>
      <c r="G4" s="25">
        <v>614</v>
      </c>
      <c r="H4" s="90">
        <v>488658.16</v>
      </c>
      <c r="I4" s="90">
        <f>H4*4.8%</f>
        <v>23455.591679999998</v>
      </c>
      <c r="J4" s="90">
        <f>H4*0.65%</f>
        <v>3176.2780400000001</v>
      </c>
      <c r="K4" s="90">
        <f>H4*3%</f>
        <v>14659.744799999999</v>
      </c>
      <c r="L4" s="90">
        <f>H4*1%</f>
        <v>4886.5815999999995</v>
      </c>
      <c r="M4" s="90"/>
      <c r="N4" s="90">
        <f>H4-I4-J4-K4-L4-M4</f>
        <v>442479.96388</v>
      </c>
    </row>
    <row r="5" spans="1:14" ht="16.2" thickBot="1">
      <c r="A5" s="59" t="s">
        <v>54</v>
      </c>
      <c r="B5" s="60">
        <v>1445.06</v>
      </c>
      <c r="C5" s="61" t="s">
        <v>26</v>
      </c>
      <c r="D5" s="61" t="s">
        <v>59</v>
      </c>
      <c r="E5" s="62" t="s">
        <v>63</v>
      </c>
      <c r="G5" s="14" t="s">
        <v>14</v>
      </c>
      <c r="H5" s="38">
        <f>SUM(H3:H4)</f>
        <v>2290234.2000000002</v>
      </c>
      <c r="I5" s="31">
        <f t="shared" ref="I5" si="0">SUM(I3:I4)</f>
        <v>109931.24160000001</v>
      </c>
      <c r="J5" s="31">
        <f t="shared" ref="J5" si="1">SUM(J3:J4)</f>
        <v>14886.522300000001</v>
      </c>
      <c r="K5" s="31">
        <f t="shared" ref="K5" si="2">SUM(K3:K4)</f>
        <v>68707.025999999998</v>
      </c>
      <c r="L5" s="31">
        <f t="shared" ref="L5" si="3">SUM(L3:L4)</f>
        <v>22902.341999999997</v>
      </c>
      <c r="M5" s="31">
        <f t="shared" ref="M5" si="4">SUM(M3:M4)</f>
        <v>0</v>
      </c>
      <c r="N5" s="31">
        <f t="shared" ref="N5" si="5">SUM(N3:N4)</f>
        <v>2073807.0680999998</v>
      </c>
    </row>
    <row r="6" spans="1:14" ht="16.2" thickBot="1">
      <c r="A6" s="57" t="s">
        <v>55</v>
      </c>
      <c r="B6" s="58">
        <v>16309.01</v>
      </c>
      <c r="C6" s="93" t="s">
        <v>22</v>
      </c>
      <c r="D6" s="94"/>
      <c r="E6" s="95"/>
      <c r="H6"/>
      <c r="I6"/>
      <c r="J6"/>
      <c r="K6"/>
      <c r="L6"/>
      <c r="M6"/>
      <c r="N6"/>
    </row>
    <row r="7" spans="1:14" ht="16.2" thickBot="1">
      <c r="A7" s="57" t="s">
        <v>56</v>
      </c>
      <c r="B7" s="58">
        <v>8900000</v>
      </c>
      <c r="C7" s="93" t="s">
        <v>22</v>
      </c>
      <c r="D7" s="94"/>
      <c r="E7" s="95"/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  <c r="L7" s="14" t="s">
        <v>11</v>
      </c>
      <c r="M7" s="14" t="s">
        <v>12</v>
      </c>
      <c r="N7" s="14" t="s">
        <v>13</v>
      </c>
    </row>
    <row r="8" spans="1:14" ht="16.2" thickBot="1">
      <c r="A8" s="59" t="s">
        <v>57</v>
      </c>
      <c r="B8" s="60">
        <v>15119.29</v>
      </c>
      <c r="C8" s="61" t="s">
        <v>26</v>
      </c>
      <c r="D8" s="61" t="s">
        <v>60</v>
      </c>
      <c r="E8" s="68" t="s">
        <v>53</v>
      </c>
      <c r="G8" s="14"/>
      <c r="H8" s="35"/>
      <c r="I8" s="16">
        <f>H8*4.8%</f>
        <v>0</v>
      </c>
      <c r="J8" s="16">
        <f>H8*0.65%</f>
        <v>0</v>
      </c>
      <c r="K8" s="16">
        <f>H8*3%</f>
        <v>0</v>
      </c>
      <c r="L8" s="16">
        <f>H8*1%</f>
        <v>0</v>
      </c>
      <c r="M8" s="16"/>
      <c r="N8" s="16">
        <f>H8-I8-J8-K8-L8-M8</f>
        <v>0</v>
      </c>
    </row>
    <row r="9" spans="1:14" ht="16.2" thickBot="1">
      <c r="A9" s="59" t="s">
        <v>58</v>
      </c>
      <c r="B9" s="60">
        <v>2073807.07</v>
      </c>
      <c r="C9" s="61" t="s">
        <v>26</v>
      </c>
      <c r="D9" s="61" t="s">
        <v>61</v>
      </c>
      <c r="E9" s="62" t="s">
        <v>64</v>
      </c>
      <c r="G9" s="14"/>
      <c r="H9" s="35"/>
      <c r="I9" s="16">
        <f>H9*4.8%</f>
        <v>0</v>
      </c>
      <c r="J9" s="16">
        <f>H9*0.65%</f>
        <v>0</v>
      </c>
      <c r="K9" s="16">
        <f>H9*3%</f>
        <v>0</v>
      </c>
      <c r="L9" s="16">
        <f>H9*1%</f>
        <v>0</v>
      </c>
      <c r="M9" s="16"/>
      <c r="N9" s="16">
        <f>H9-I9-J9-K9-L9-M9</f>
        <v>0</v>
      </c>
    </row>
    <row r="10" spans="1:14" ht="16.2" thickBot="1">
      <c r="A10" s="59" t="s">
        <v>58</v>
      </c>
      <c r="B10" s="60">
        <v>159503.82</v>
      </c>
      <c r="C10" s="61" t="s">
        <v>26</v>
      </c>
      <c r="D10" s="61" t="s">
        <v>62</v>
      </c>
      <c r="E10" s="68" t="s">
        <v>64</v>
      </c>
      <c r="G10" s="14" t="s">
        <v>14</v>
      </c>
      <c r="H10" s="38">
        <f>SUM(H8:H9)</f>
        <v>0</v>
      </c>
      <c r="I10" s="31">
        <f t="shared" ref="I10:N10" si="6">SUM(I8:I9)</f>
        <v>0</v>
      </c>
      <c r="J10" s="31">
        <f t="shared" si="6"/>
        <v>0</v>
      </c>
      <c r="K10" s="31">
        <f t="shared" si="6"/>
        <v>0</v>
      </c>
      <c r="L10" s="31">
        <f t="shared" si="6"/>
        <v>0</v>
      </c>
      <c r="M10" s="31">
        <f t="shared" si="6"/>
        <v>0</v>
      </c>
      <c r="N10" s="31">
        <f t="shared" si="6"/>
        <v>0</v>
      </c>
    </row>
    <row r="11" spans="1:14" ht="15.6">
      <c r="A11" s="6"/>
      <c r="B11" s="7"/>
      <c r="C11" s="8"/>
      <c r="D11" s="8"/>
      <c r="E11" s="5"/>
      <c r="H11"/>
      <c r="I11"/>
      <c r="J11"/>
      <c r="K11"/>
      <c r="L11"/>
      <c r="M11"/>
      <c r="N11"/>
    </row>
    <row r="12" spans="1:14" ht="15.6">
      <c r="A12" s="6"/>
      <c r="B12" s="7"/>
      <c r="C12" s="8"/>
      <c r="D12" s="8"/>
      <c r="E12" s="5"/>
      <c r="H12"/>
      <c r="I12"/>
      <c r="J12"/>
      <c r="K12"/>
      <c r="L12"/>
      <c r="M12"/>
      <c r="N12"/>
    </row>
    <row r="13" spans="1:14" ht="15.6">
      <c r="A13" s="6"/>
      <c r="B13" s="7"/>
      <c r="C13" s="8"/>
      <c r="D13" s="8"/>
      <c r="E13" s="5"/>
      <c r="H13"/>
      <c r="I13"/>
      <c r="J13"/>
      <c r="K13"/>
      <c r="L13"/>
      <c r="M13"/>
      <c r="N13"/>
    </row>
    <row r="14" spans="1:14" ht="15.6">
      <c r="A14" s="6"/>
      <c r="B14" s="7"/>
      <c r="C14" s="8"/>
      <c r="D14" s="8"/>
      <c r="E14" s="5"/>
      <c r="H14"/>
      <c r="I14"/>
      <c r="J14"/>
      <c r="K14"/>
      <c r="L14"/>
      <c r="M14"/>
      <c r="N14"/>
    </row>
    <row r="15" spans="1:14" ht="15.6">
      <c r="A15" s="6"/>
      <c r="B15" s="7"/>
      <c r="C15" s="8"/>
      <c r="D15" s="8"/>
      <c r="E15" s="5"/>
      <c r="H15"/>
      <c r="I15"/>
      <c r="J15"/>
      <c r="K15"/>
      <c r="L15"/>
      <c r="M15"/>
      <c r="N15"/>
    </row>
    <row r="16" spans="1:14" ht="15.6">
      <c r="A16" s="6"/>
      <c r="B16" s="7"/>
      <c r="C16" s="8"/>
      <c r="D16" s="8"/>
      <c r="E16" s="5"/>
      <c r="H16"/>
      <c r="I16"/>
      <c r="J16"/>
      <c r="K16"/>
      <c r="L16"/>
      <c r="M16"/>
      <c r="N16"/>
    </row>
    <row r="17" spans="1:14" ht="15.6">
      <c r="A17" s="6"/>
      <c r="B17" s="7"/>
      <c r="C17" s="8"/>
      <c r="D17" s="8"/>
      <c r="E17" s="5"/>
      <c r="H17"/>
      <c r="I17"/>
      <c r="J17"/>
      <c r="K17"/>
      <c r="L17"/>
      <c r="M17"/>
      <c r="N17"/>
    </row>
    <row r="18" spans="1:14" ht="15.6">
      <c r="A18" s="6"/>
      <c r="B18" s="7"/>
      <c r="C18" s="8"/>
      <c r="D18" s="8"/>
      <c r="E18" s="5"/>
      <c r="H18"/>
      <c r="I18"/>
      <c r="J18"/>
      <c r="K18"/>
      <c r="L18"/>
      <c r="M18"/>
      <c r="N18"/>
    </row>
    <row r="19" spans="1:14" ht="15.6">
      <c r="A19" s="6"/>
      <c r="B19" s="7"/>
      <c r="C19" s="8"/>
      <c r="D19" s="8"/>
      <c r="E19" s="5"/>
      <c r="H19"/>
      <c r="I19"/>
      <c r="J19"/>
      <c r="K19"/>
      <c r="L19"/>
      <c r="M19"/>
      <c r="N19"/>
    </row>
    <row r="20" spans="1:14" ht="15.6">
      <c r="A20" s="6"/>
      <c r="B20" s="7"/>
      <c r="C20" s="8"/>
      <c r="D20" s="8"/>
      <c r="E20" s="5"/>
      <c r="H20"/>
      <c r="I20"/>
      <c r="J20"/>
      <c r="K20"/>
      <c r="L20"/>
      <c r="M20"/>
      <c r="N20"/>
    </row>
    <row r="21" spans="1:14" ht="15.6">
      <c r="A21" s="6"/>
      <c r="B21" s="7"/>
      <c r="C21" s="8"/>
      <c r="D21" s="8"/>
      <c r="E21" s="5"/>
      <c r="H21"/>
      <c r="I21"/>
      <c r="J21"/>
      <c r="K21"/>
      <c r="L21"/>
      <c r="M21"/>
      <c r="N21"/>
    </row>
    <row r="22" spans="1:14" ht="15.6">
      <c r="A22" s="6"/>
      <c r="B22" s="7"/>
      <c r="C22" s="8"/>
      <c r="D22" s="8"/>
      <c r="E22" s="5"/>
      <c r="H22"/>
      <c r="I22"/>
      <c r="J22"/>
      <c r="K22"/>
      <c r="L22"/>
      <c r="M22"/>
      <c r="N22"/>
    </row>
    <row r="23" spans="1:14" ht="15.6">
      <c r="A23" s="6"/>
      <c r="B23" s="7"/>
      <c r="C23" s="8"/>
      <c r="D23" s="8"/>
      <c r="E23" s="5"/>
      <c r="H23"/>
      <c r="I23"/>
      <c r="J23"/>
      <c r="K23"/>
      <c r="L23"/>
      <c r="M23"/>
      <c r="N23"/>
    </row>
    <row r="24" spans="1:14" ht="15.6">
      <c r="A24" s="6"/>
      <c r="B24" s="7"/>
      <c r="C24" s="8"/>
      <c r="D24" s="8"/>
      <c r="E24" s="5"/>
      <c r="H24"/>
      <c r="I24"/>
      <c r="J24"/>
      <c r="K24"/>
      <c r="L24"/>
      <c r="M24"/>
      <c r="N24"/>
    </row>
    <row r="25" spans="1:14" ht="15.6">
      <c r="A25" s="6"/>
      <c r="B25" s="7"/>
      <c r="C25" s="8"/>
      <c r="D25" s="8"/>
      <c r="E25" s="5"/>
      <c r="H25"/>
      <c r="I25"/>
      <c r="J25"/>
      <c r="K25"/>
      <c r="L25"/>
      <c r="M25"/>
      <c r="N25"/>
    </row>
    <row r="26" spans="1:14" ht="15.6">
      <c r="A26" s="6"/>
      <c r="B26" s="7"/>
      <c r="C26" s="8"/>
      <c r="D26" s="8"/>
      <c r="E26" s="5"/>
      <c r="H26"/>
      <c r="I26"/>
      <c r="J26"/>
      <c r="K26"/>
      <c r="L26"/>
      <c r="M26"/>
      <c r="N26"/>
    </row>
    <row r="27" spans="1:14" ht="15.6">
      <c r="A27" s="6"/>
      <c r="B27" s="7"/>
      <c r="C27" s="8"/>
      <c r="D27" s="8"/>
      <c r="E27" s="5"/>
      <c r="H27"/>
      <c r="I27"/>
      <c r="J27"/>
      <c r="K27"/>
      <c r="L27"/>
      <c r="M27"/>
      <c r="N27"/>
    </row>
    <row r="28" spans="1:14" ht="15.6">
      <c r="A28" s="6"/>
      <c r="B28" s="7"/>
      <c r="C28" s="8"/>
      <c r="D28" s="8"/>
      <c r="E28" s="5"/>
      <c r="H28"/>
      <c r="I28"/>
      <c r="J28"/>
      <c r="K28"/>
      <c r="L28"/>
      <c r="M28"/>
      <c r="N28"/>
    </row>
    <row r="29" spans="1:14" ht="15.6">
      <c r="A29" s="6"/>
      <c r="B29" s="7"/>
      <c r="C29" s="8"/>
      <c r="D29" s="8"/>
      <c r="E29" s="5"/>
      <c r="H29"/>
      <c r="I29"/>
      <c r="J29"/>
      <c r="K29"/>
      <c r="L29"/>
      <c r="M29"/>
      <c r="N29"/>
    </row>
    <row r="30" spans="1:14" ht="15.6">
      <c r="A30" s="6"/>
      <c r="B30" s="7"/>
      <c r="C30" s="8"/>
      <c r="D30" s="8"/>
      <c r="E30" s="5"/>
      <c r="H30"/>
      <c r="I30"/>
      <c r="J30"/>
      <c r="K30"/>
      <c r="L30"/>
      <c r="M30"/>
      <c r="N30"/>
    </row>
    <row r="31" spans="1:14" ht="15.6">
      <c r="A31" s="6"/>
      <c r="B31" s="7"/>
      <c r="C31" s="8"/>
      <c r="D31" s="8"/>
      <c r="E31" s="5"/>
      <c r="H31"/>
      <c r="I31"/>
      <c r="J31"/>
      <c r="K31"/>
      <c r="L31"/>
      <c r="M31"/>
      <c r="N31"/>
    </row>
    <row r="32" spans="1:14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3">
    <mergeCell ref="A1:E1"/>
    <mergeCell ref="C7:E7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2DAE-09D0-41BC-9FF4-AF94292AF5F2}">
  <sheetPr>
    <tabColor rgb="FF00B050"/>
  </sheetPr>
  <dimension ref="A1:E100"/>
  <sheetViews>
    <sheetView workbookViewId="0">
      <selection activeCell="A6" sqref="A6"/>
    </sheetView>
  </sheetViews>
  <sheetFormatPr defaultRowHeight="14.4"/>
  <cols>
    <col min="1" max="1" width="93.21875" bestFit="1" customWidth="1"/>
    <col min="2" max="2" width="38.88671875" style="9" bestFit="1" customWidth="1"/>
    <col min="3" max="3" width="15.77734375" bestFit="1" customWidth="1"/>
    <col min="4" max="4" width="26" bestFit="1" customWidth="1"/>
    <col min="5" max="5" width="33.44140625" style="3" bestFit="1" customWidth="1"/>
    <col min="6" max="6" width="8.77734375" customWidth="1"/>
    <col min="7" max="7" width="18" bestFit="1" customWidth="1"/>
    <col min="8" max="8" width="15.6640625" bestFit="1" customWidth="1"/>
    <col min="9" max="21" width="8.77734375" customWidth="1"/>
  </cols>
  <sheetData>
    <row r="1" spans="1:5" ht="15.6">
      <c r="A1" s="91" t="s">
        <v>0</v>
      </c>
      <c r="B1" s="92"/>
      <c r="C1" s="92"/>
      <c r="D1" s="92"/>
      <c r="E1" s="92"/>
    </row>
    <row r="2" spans="1:5" ht="15.6">
      <c r="A2" s="1"/>
      <c r="B2" s="2"/>
    </row>
    <row r="3" spans="1:5" ht="15.6">
      <c r="A3" s="1"/>
      <c r="B3" s="4" t="s">
        <v>1</v>
      </c>
    </row>
    <row r="4" spans="1:5" ht="15.6">
      <c r="A4" s="10" t="s">
        <v>2</v>
      </c>
      <c r="B4" s="11">
        <f>SUM(B5:B100)</f>
        <v>6014766.3499999996</v>
      </c>
      <c r="C4" s="12" t="s">
        <v>3</v>
      </c>
      <c r="D4" s="12" t="s">
        <v>5</v>
      </c>
      <c r="E4" s="13" t="s">
        <v>4</v>
      </c>
    </row>
    <row r="5" spans="1:5" ht="15.6">
      <c r="A5" s="57" t="s">
        <v>65</v>
      </c>
      <c r="B5" s="58">
        <v>13797.36</v>
      </c>
      <c r="C5" s="93" t="s">
        <v>22</v>
      </c>
      <c r="D5" s="94"/>
      <c r="E5" s="95"/>
    </row>
    <row r="6" spans="1:5" ht="15.6">
      <c r="A6" s="57" t="s">
        <v>66</v>
      </c>
      <c r="B6" s="58">
        <v>354.49</v>
      </c>
      <c r="C6" s="93" t="s">
        <v>22</v>
      </c>
      <c r="D6" s="94"/>
      <c r="E6" s="95"/>
    </row>
    <row r="7" spans="1:5" ht="15.6">
      <c r="A7" s="57" t="s">
        <v>28</v>
      </c>
      <c r="B7" s="58">
        <v>6000000</v>
      </c>
      <c r="C7" s="93" t="s">
        <v>22</v>
      </c>
      <c r="D7" s="94"/>
      <c r="E7" s="95"/>
    </row>
    <row r="8" spans="1:5" ht="15.6">
      <c r="A8" s="59" t="s">
        <v>68</v>
      </c>
      <c r="B8" s="60">
        <v>380.18</v>
      </c>
      <c r="C8" s="61" t="s">
        <v>26</v>
      </c>
      <c r="D8" s="61" t="s">
        <v>69</v>
      </c>
      <c r="E8" s="62" t="s">
        <v>25</v>
      </c>
    </row>
    <row r="9" spans="1:5" ht="15.6">
      <c r="A9" s="59" t="s">
        <v>67</v>
      </c>
      <c r="B9" s="60">
        <v>234.32</v>
      </c>
      <c r="C9" s="61" t="s">
        <v>26</v>
      </c>
      <c r="D9" s="61" t="s">
        <v>70</v>
      </c>
      <c r="E9" s="62" t="s">
        <v>25</v>
      </c>
    </row>
    <row r="10" spans="1:5" ht="15.6">
      <c r="A10" s="6"/>
      <c r="B10" s="7"/>
      <c r="C10" s="8"/>
      <c r="D10" s="8"/>
      <c r="E10" s="5"/>
    </row>
    <row r="11" spans="1:5" ht="15.6">
      <c r="A11" s="6"/>
      <c r="B11" s="7"/>
      <c r="C11" s="8"/>
      <c r="D11" s="8"/>
      <c r="E11" s="5"/>
    </row>
    <row r="12" spans="1:5" ht="15.6">
      <c r="A12" s="6"/>
      <c r="B12" s="7"/>
      <c r="C12" s="8"/>
      <c r="D12" s="8"/>
      <c r="E12" s="5"/>
    </row>
    <row r="13" spans="1:5" ht="15.6">
      <c r="A13" s="6"/>
      <c r="B13" s="7"/>
      <c r="C13" s="8"/>
      <c r="D13" s="8"/>
      <c r="E13" s="5"/>
    </row>
    <row r="14" spans="1:5" ht="15.6">
      <c r="A14" s="6"/>
      <c r="B14" s="7"/>
      <c r="C14" s="8"/>
      <c r="D14" s="8"/>
      <c r="E14" s="5"/>
    </row>
    <row r="15" spans="1:5" ht="15.6">
      <c r="A15" s="6"/>
      <c r="B15" s="7"/>
      <c r="C15" s="8"/>
      <c r="D15" s="8"/>
      <c r="E15" s="5"/>
    </row>
    <row r="16" spans="1:5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4">
    <mergeCell ref="A1:E1"/>
    <mergeCell ref="C5:E5"/>
    <mergeCell ref="C6:E6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6D1D-BADA-4B7D-B0FF-9B1FA7690853}">
  <sheetPr>
    <tabColor rgb="FF00B050"/>
  </sheetPr>
  <dimension ref="A1:N100"/>
  <sheetViews>
    <sheetView workbookViewId="0">
      <selection activeCell="C10" sqref="C10"/>
    </sheetView>
  </sheetViews>
  <sheetFormatPr defaultRowHeight="14.4"/>
  <cols>
    <col min="1" max="1" width="62.77734375" customWidth="1"/>
    <col min="2" max="2" width="38.88671875" style="9" bestFit="1" customWidth="1"/>
    <col min="3" max="3" width="15.21875" bestFit="1" customWidth="1"/>
    <col min="4" max="4" width="25.6640625" bestFit="1" customWidth="1"/>
    <col min="5" max="5" width="32.6640625" style="3" bestFit="1" customWidth="1"/>
    <col min="6" max="6" width="16.21875" bestFit="1" customWidth="1"/>
    <col min="7" max="7" width="18" bestFit="1" customWidth="1"/>
    <col min="8" max="8" width="15.6640625" bestFit="1" customWidth="1"/>
    <col min="9" max="9" width="14.109375" bestFit="1" customWidth="1"/>
    <col min="10" max="10" width="13.109375" bestFit="1" customWidth="1"/>
    <col min="11" max="12" width="14.109375" bestFit="1" customWidth="1"/>
    <col min="13" max="13" width="13.109375" bestFit="1" customWidth="1"/>
    <col min="14" max="14" width="16.664062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</row>
    <row r="3" spans="1:14" ht="15.6">
      <c r="A3" s="1"/>
      <c r="B3" s="4" t="s">
        <v>1</v>
      </c>
    </row>
    <row r="4" spans="1:14" ht="15.6">
      <c r="A4" s="10" t="s">
        <v>2</v>
      </c>
      <c r="B4" s="11">
        <f>SUM(B5:B100)</f>
        <v>6700354.4900000002</v>
      </c>
      <c r="C4" s="12" t="s">
        <v>3</v>
      </c>
      <c r="D4" s="12" t="s">
        <v>5</v>
      </c>
      <c r="E4" s="13" t="s">
        <v>4</v>
      </c>
      <c r="G4" s="9"/>
    </row>
    <row r="5" spans="1:14" ht="15.6">
      <c r="A5" s="57" t="s">
        <v>71</v>
      </c>
      <c r="B5" s="58">
        <v>354.49</v>
      </c>
      <c r="C5" s="93" t="s">
        <v>22</v>
      </c>
      <c r="D5" s="94"/>
      <c r="E5" s="95"/>
    </row>
    <row r="6" spans="1:14" ht="15.6">
      <c r="A6" s="57" t="s">
        <v>18</v>
      </c>
      <c r="B6" s="58">
        <v>6700000</v>
      </c>
      <c r="C6" s="93" t="s">
        <v>22</v>
      </c>
      <c r="D6" s="94"/>
      <c r="E6" s="95"/>
      <c r="G6" s="37"/>
    </row>
    <row r="7" spans="1:14" ht="16.2" thickBot="1">
      <c r="A7" s="6"/>
      <c r="B7" s="7"/>
      <c r="C7" s="8"/>
      <c r="D7" s="8"/>
      <c r="E7" s="5"/>
    </row>
    <row r="8" spans="1:14" ht="16.2" thickBot="1">
      <c r="A8" s="6"/>
      <c r="B8" s="7"/>
      <c r="C8" s="8"/>
      <c r="D8" s="8"/>
      <c r="E8" s="5"/>
      <c r="G8" s="14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  <c r="N8" s="18" t="s">
        <v>13</v>
      </c>
    </row>
    <row r="9" spans="1:14" ht="16.2" thickBot="1">
      <c r="A9" s="6"/>
      <c r="B9" s="7"/>
      <c r="C9" s="8"/>
      <c r="D9" s="8"/>
      <c r="E9" s="5"/>
      <c r="G9" s="14">
        <v>2923</v>
      </c>
      <c r="H9" s="52"/>
      <c r="I9" s="19">
        <f>H9*4.8%</f>
        <v>0</v>
      </c>
      <c r="J9" s="19">
        <f>H9*0.65%</f>
        <v>0</v>
      </c>
      <c r="K9" s="19">
        <f>H9*3%</f>
        <v>0</v>
      </c>
      <c r="L9" s="19">
        <f>H9*1%</f>
        <v>0</v>
      </c>
      <c r="M9" s="19">
        <f>I9*5%</f>
        <v>0</v>
      </c>
      <c r="N9" s="19">
        <f>H9-I9-J9-K9-L9-M9</f>
        <v>0</v>
      </c>
    </row>
    <row r="10" spans="1:14" ht="15.6">
      <c r="A10" s="6"/>
      <c r="B10" s="7"/>
      <c r="C10" s="8"/>
      <c r="D10" s="8"/>
      <c r="E10" s="5"/>
    </row>
    <row r="11" spans="1:14" ht="15.6">
      <c r="A11" s="6"/>
      <c r="B11" s="7"/>
      <c r="C11" s="8"/>
      <c r="D11" s="8"/>
      <c r="E11" s="5"/>
    </row>
    <row r="12" spans="1:14" ht="15.6">
      <c r="A12" s="6"/>
      <c r="B12" s="7"/>
      <c r="C12" s="8"/>
      <c r="D12" s="8"/>
      <c r="E12" s="5"/>
    </row>
    <row r="13" spans="1:14" ht="15.6">
      <c r="A13" s="6"/>
      <c r="B13" s="7"/>
      <c r="C13" s="8"/>
      <c r="D13" s="8"/>
      <c r="E13" s="5"/>
    </row>
    <row r="14" spans="1:14" ht="15.6">
      <c r="A14" s="6"/>
      <c r="B14" s="7"/>
      <c r="C14" s="8"/>
      <c r="D14" s="8"/>
      <c r="E14" s="5"/>
    </row>
    <row r="15" spans="1:14" ht="15.6">
      <c r="A15" s="6"/>
      <c r="B15" s="7"/>
      <c r="C15" s="8"/>
      <c r="D15" s="8"/>
      <c r="E15" s="5"/>
    </row>
    <row r="16" spans="1:14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32"/>
      <c r="C41" s="8"/>
      <c r="D41" s="8"/>
      <c r="E41" s="5"/>
    </row>
    <row r="42" spans="1:5" ht="15.6">
      <c r="A42" s="6"/>
      <c r="B42" s="32"/>
      <c r="C42" s="8"/>
      <c r="D42" s="8"/>
      <c r="E42" s="5"/>
    </row>
    <row r="43" spans="1:5" ht="15.6">
      <c r="A43" s="6"/>
      <c r="B43" s="32"/>
      <c r="C43" s="8"/>
      <c r="D43" s="8"/>
      <c r="E43" s="5"/>
    </row>
    <row r="44" spans="1:5" ht="15.6">
      <c r="A44" s="6"/>
      <c r="B44" s="32"/>
      <c r="C44" s="8"/>
      <c r="D44" s="8"/>
      <c r="E44" s="5"/>
    </row>
    <row r="45" spans="1:5" ht="15.6">
      <c r="A45" s="6"/>
      <c r="B45" s="32"/>
      <c r="C45" s="8"/>
      <c r="D45" s="8"/>
      <c r="E45" s="5"/>
    </row>
    <row r="46" spans="1:5" ht="15.6">
      <c r="A46" s="6"/>
      <c r="B46" s="32"/>
      <c r="C46" s="8"/>
      <c r="D46" s="8"/>
      <c r="E46" s="5"/>
    </row>
    <row r="47" spans="1:5" ht="15.6">
      <c r="A47" s="6"/>
      <c r="B47" s="32"/>
      <c r="C47" s="8"/>
      <c r="D47" s="8"/>
      <c r="E47" s="5"/>
    </row>
    <row r="48" spans="1:5" ht="15.6">
      <c r="A48" s="6"/>
      <c r="B48" s="32"/>
      <c r="C48" s="8"/>
      <c r="D48" s="8"/>
      <c r="E48" s="5"/>
    </row>
    <row r="49" spans="1:5" ht="15.6">
      <c r="A49" s="6"/>
      <c r="B49" s="32"/>
      <c r="C49" s="8"/>
      <c r="D49" s="8"/>
      <c r="E49" s="5"/>
    </row>
    <row r="50" spans="1:5" ht="15.6">
      <c r="A50" s="6"/>
      <c r="B50" s="32"/>
      <c r="C50" s="8"/>
      <c r="D50" s="8"/>
      <c r="E50" s="5"/>
    </row>
    <row r="51" spans="1:5" ht="15.6">
      <c r="A51" s="6"/>
      <c r="B51" s="32"/>
      <c r="C51" s="8"/>
      <c r="D51" s="8"/>
      <c r="E51" s="5"/>
    </row>
    <row r="52" spans="1:5" ht="15.6">
      <c r="A52" s="6"/>
      <c r="B52" s="32"/>
      <c r="C52" s="8"/>
      <c r="D52" s="8"/>
      <c r="E52" s="5"/>
    </row>
    <row r="53" spans="1:5" ht="15.6">
      <c r="A53" s="6"/>
      <c r="B53" s="32"/>
      <c r="C53" s="8"/>
      <c r="D53" s="8"/>
      <c r="E53" s="5"/>
    </row>
    <row r="54" spans="1:5" ht="15.6">
      <c r="A54" s="6"/>
      <c r="B54" s="32"/>
      <c r="C54" s="8"/>
      <c r="D54" s="8"/>
      <c r="E54" s="5"/>
    </row>
    <row r="55" spans="1:5" ht="15.6">
      <c r="A55" s="6"/>
      <c r="B55" s="32"/>
      <c r="C55" s="8"/>
      <c r="D55" s="8"/>
      <c r="E55" s="5"/>
    </row>
    <row r="56" spans="1:5" ht="15.6">
      <c r="A56" s="6"/>
      <c r="B56" s="32"/>
      <c r="C56" s="8"/>
      <c r="D56" s="8"/>
      <c r="E56" s="5"/>
    </row>
    <row r="57" spans="1:5" ht="15.6">
      <c r="A57" s="6"/>
      <c r="B57" s="32"/>
      <c r="C57" s="8"/>
      <c r="D57" s="8"/>
      <c r="E57" s="5"/>
    </row>
    <row r="58" spans="1:5" ht="15.6">
      <c r="A58" s="6"/>
      <c r="B58" s="32"/>
      <c r="C58" s="8"/>
      <c r="D58" s="8"/>
      <c r="E58" s="5"/>
    </row>
    <row r="59" spans="1:5" ht="15.6">
      <c r="A59" s="6"/>
      <c r="B59" s="32"/>
      <c r="C59" s="8"/>
      <c r="D59" s="8"/>
      <c r="E59" s="5"/>
    </row>
    <row r="60" spans="1:5" ht="15.6">
      <c r="A60" s="6"/>
      <c r="B60" s="32"/>
      <c r="C60" s="8"/>
      <c r="D60" s="8"/>
      <c r="E60" s="5"/>
    </row>
    <row r="61" spans="1:5" ht="15.6">
      <c r="A61" s="6"/>
      <c r="B61" s="32"/>
      <c r="C61" s="8"/>
      <c r="D61" s="8"/>
      <c r="E61" s="5"/>
    </row>
    <row r="62" spans="1:5" ht="15.6">
      <c r="A62" s="6"/>
      <c r="B62" s="32"/>
      <c r="C62" s="8"/>
      <c r="D62" s="8"/>
      <c r="E62" s="5"/>
    </row>
    <row r="63" spans="1:5" ht="15.6">
      <c r="A63" s="6"/>
      <c r="B63" s="32"/>
      <c r="C63" s="8"/>
      <c r="D63" s="8"/>
      <c r="E63" s="5"/>
    </row>
    <row r="64" spans="1:5" ht="15.6">
      <c r="A64" s="6"/>
      <c r="B64" s="32"/>
      <c r="C64" s="8"/>
      <c r="D64" s="8"/>
      <c r="E64" s="5"/>
    </row>
    <row r="65" spans="1:5" ht="15.6">
      <c r="A65" s="6"/>
      <c r="B65" s="32"/>
      <c r="C65" s="8"/>
      <c r="D65" s="8"/>
      <c r="E65" s="5"/>
    </row>
    <row r="66" spans="1:5" ht="15.6">
      <c r="A66" s="6"/>
      <c r="B66" s="32"/>
      <c r="C66" s="8"/>
      <c r="D66" s="8"/>
      <c r="E66" s="5"/>
    </row>
    <row r="67" spans="1:5" ht="15.6">
      <c r="A67" s="6"/>
      <c r="B67" s="32"/>
      <c r="C67" s="8"/>
      <c r="D67" s="8"/>
      <c r="E67" s="5"/>
    </row>
    <row r="68" spans="1:5" ht="15.6">
      <c r="A68" s="6"/>
      <c r="B68" s="32"/>
      <c r="C68" s="8"/>
      <c r="D68" s="8"/>
      <c r="E68" s="5"/>
    </row>
    <row r="69" spans="1:5" ht="15.6">
      <c r="A69" s="6"/>
      <c r="B69" s="32"/>
      <c r="C69" s="8"/>
      <c r="D69" s="8"/>
      <c r="E69" s="5"/>
    </row>
    <row r="70" spans="1:5" ht="15.6">
      <c r="A70" s="6"/>
      <c r="B70" s="32"/>
      <c r="C70" s="8"/>
      <c r="D70" s="8"/>
      <c r="E70" s="5"/>
    </row>
    <row r="71" spans="1:5" ht="15.6">
      <c r="A71" s="6"/>
      <c r="B71" s="32"/>
      <c r="C71" s="8"/>
      <c r="D71" s="8"/>
      <c r="E71" s="5"/>
    </row>
    <row r="72" spans="1:5" ht="15.6">
      <c r="A72" s="6"/>
      <c r="B72" s="32"/>
      <c r="C72" s="8"/>
      <c r="D72" s="8"/>
      <c r="E72" s="5"/>
    </row>
    <row r="73" spans="1:5" ht="15.6">
      <c r="A73" s="6"/>
      <c r="B73" s="32"/>
      <c r="C73" s="8"/>
      <c r="D73" s="8"/>
      <c r="E73" s="5"/>
    </row>
    <row r="74" spans="1:5" ht="15.6">
      <c r="A74" s="6"/>
      <c r="B74" s="32"/>
      <c r="C74" s="8"/>
      <c r="D74" s="8"/>
      <c r="E74" s="5"/>
    </row>
    <row r="75" spans="1:5" ht="15.6">
      <c r="A75" s="6"/>
      <c r="B75" s="32"/>
      <c r="C75" s="8"/>
      <c r="D75" s="8"/>
      <c r="E75" s="5"/>
    </row>
    <row r="76" spans="1:5" ht="15.6">
      <c r="A76" s="6"/>
      <c r="B76" s="32"/>
      <c r="C76" s="8"/>
      <c r="D76" s="8"/>
      <c r="E76" s="5"/>
    </row>
    <row r="77" spans="1:5" ht="15.6">
      <c r="A77" s="6"/>
      <c r="B77" s="32"/>
      <c r="C77" s="8"/>
      <c r="D77" s="8"/>
      <c r="E77" s="5"/>
    </row>
    <row r="78" spans="1:5" ht="15.6">
      <c r="A78" s="6"/>
      <c r="B78" s="32"/>
      <c r="C78" s="8"/>
      <c r="D78" s="8"/>
      <c r="E78" s="5"/>
    </row>
    <row r="79" spans="1:5" ht="15.6">
      <c r="A79" s="6"/>
      <c r="B79" s="32"/>
      <c r="C79" s="8"/>
      <c r="D79" s="8"/>
      <c r="E79" s="5"/>
    </row>
    <row r="80" spans="1:5" ht="15.6">
      <c r="A80" s="6"/>
      <c r="B80" s="32"/>
      <c r="C80" s="8"/>
      <c r="D80" s="8"/>
      <c r="E80" s="5"/>
    </row>
    <row r="81" spans="1:5" ht="15.6">
      <c r="A81" s="6"/>
      <c r="B81" s="32"/>
      <c r="C81" s="8"/>
      <c r="D81" s="8"/>
      <c r="E81" s="5"/>
    </row>
    <row r="82" spans="1:5" ht="15.6">
      <c r="A82" s="6"/>
      <c r="B82" s="32"/>
      <c r="C82" s="8"/>
      <c r="D82" s="8"/>
      <c r="E82" s="5"/>
    </row>
    <row r="83" spans="1:5" ht="15.6">
      <c r="A83" s="6"/>
      <c r="B83" s="32"/>
      <c r="C83" s="8"/>
      <c r="D83" s="8"/>
      <c r="E83" s="5"/>
    </row>
    <row r="84" spans="1:5" ht="15.6">
      <c r="A84" s="6"/>
      <c r="B84" s="32"/>
      <c r="C84" s="8"/>
      <c r="D84" s="8"/>
      <c r="E84" s="5"/>
    </row>
    <row r="85" spans="1:5" ht="15.6">
      <c r="A85" s="6"/>
      <c r="B85" s="32"/>
      <c r="C85" s="8"/>
      <c r="D85" s="8"/>
      <c r="E85" s="5"/>
    </row>
    <row r="86" spans="1:5" ht="15.6">
      <c r="A86" s="6"/>
      <c r="B86" s="32"/>
      <c r="C86" s="8"/>
      <c r="D86" s="8"/>
      <c r="E86" s="5"/>
    </row>
    <row r="87" spans="1:5" ht="15.6">
      <c r="A87" s="6"/>
      <c r="B87" s="32"/>
      <c r="C87" s="8"/>
      <c r="D87" s="8"/>
      <c r="E87" s="5"/>
    </row>
    <row r="88" spans="1:5" ht="15.6">
      <c r="A88" s="6"/>
      <c r="B88" s="32"/>
      <c r="C88" s="8"/>
      <c r="D88" s="8"/>
      <c r="E88" s="5"/>
    </row>
    <row r="89" spans="1:5" ht="15.6">
      <c r="A89" s="6"/>
      <c r="B89" s="32"/>
      <c r="C89" s="8"/>
      <c r="D89" s="8"/>
      <c r="E89" s="5"/>
    </row>
    <row r="90" spans="1:5" ht="15.6">
      <c r="A90" s="6"/>
      <c r="B90" s="32"/>
      <c r="C90" s="8"/>
      <c r="D90" s="8"/>
      <c r="E90" s="5"/>
    </row>
    <row r="91" spans="1:5" ht="15.6">
      <c r="A91" s="6"/>
      <c r="B91" s="32"/>
      <c r="C91" s="8"/>
      <c r="D91" s="8"/>
      <c r="E91" s="5"/>
    </row>
    <row r="92" spans="1:5" ht="15.6">
      <c r="A92" s="6"/>
      <c r="B92" s="32"/>
      <c r="C92" s="8"/>
      <c r="D92" s="8"/>
      <c r="E92" s="5"/>
    </row>
    <row r="93" spans="1:5" ht="15.6">
      <c r="A93" s="6"/>
      <c r="B93" s="32"/>
      <c r="C93" s="8"/>
      <c r="D93" s="8"/>
      <c r="E93" s="5"/>
    </row>
    <row r="94" spans="1:5" ht="15.6">
      <c r="A94" s="6"/>
      <c r="B94" s="32"/>
      <c r="C94" s="8"/>
      <c r="D94" s="8"/>
      <c r="E94" s="5"/>
    </row>
    <row r="95" spans="1:5" ht="15.6">
      <c r="A95" s="6"/>
      <c r="B95" s="32"/>
      <c r="C95" s="8"/>
      <c r="D95" s="8"/>
      <c r="E95" s="5"/>
    </row>
    <row r="96" spans="1:5" ht="15.6">
      <c r="A96" s="6"/>
      <c r="B96" s="32"/>
      <c r="C96" s="8"/>
      <c r="D96" s="8"/>
      <c r="E96" s="5"/>
    </row>
    <row r="97" spans="1:5" ht="15.6">
      <c r="A97" s="6"/>
      <c r="B97" s="32"/>
      <c r="C97" s="8"/>
      <c r="D97" s="8"/>
      <c r="E97" s="5"/>
    </row>
    <row r="98" spans="1:5" ht="15.6">
      <c r="A98" s="6"/>
      <c r="B98" s="32"/>
      <c r="C98" s="8"/>
      <c r="D98" s="8"/>
      <c r="E98" s="5"/>
    </row>
    <row r="99" spans="1:5" ht="15.6">
      <c r="A99" s="6"/>
      <c r="B99" s="32"/>
      <c r="C99" s="8"/>
      <c r="D99" s="8"/>
      <c r="E99" s="5"/>
    </row>
    <row r="100" spans="1:5" ht="15.6">
      <c r="A100" s="6"/>
      <c r="B100" s="32"/>
      <c r="C100" s="8"/>
      <c r="D100" s="8"/>
      <c r="E100" s="5"/>
    </row>
  </sheetData>
  <mergeCells count="3">
    <mergeCell ref="A1:E1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DB12-A034-405E-AA5E-458D91519219}">
  <sheetPr>
    <tabColor rgb="FF00B050"/>
  </sheetPr>
  <dimension ref="A1:N101"/>
  <sheetViews>
    <sheetView workbookViewId="0">
      <selection activeCell="B5" sqref="B5:B9"/>
    </sheetView>
  </sheetViews>
  <sheetFormatPr defaultRowHeight="14.4"/>
  <cols>
    <col min="1" max="1" width="84.21875" customWidth="1"/>
    <col min="2" max="2" width="38.88671875" style="9" bestFit="1" customWidth="1"/>
    <col min="3" max="3" width="15.77734375" bestFit="1" customWidth="1"/>
    <col min="4" max="4" width="26.5546875" bestFit="1" customWidth="1"/>
    <col min="5" max="5" width="31.33203125" style="3" bestFit="1" customWidth="1"/>
    <col min="6" max="6" width="8.77734375" customWidth="1"/>
    <col min="7" max="7" width="12.109375" bestFit="1" customWidth="1"/>
    <col min="8" max="9" width="16.77734375" bestFit="1" customWidth="1"/>
    <col min="10" max="12" width="15.77734375" bestFit="1" customWidth="1"/>
    <col min="13" max="13" width="16.77734375" bestFit="1" customWidth="1"/>
    <col min="14" max="14" width="17.88671875" bestFit="1" customWidth="1"/>
    <col min="15" max="21" width="8.77734375" customWidth="1"/>
  </cols>
  <sheetData>
    <row r="1" spans="1:14" ht="16.2" thickBot="1">
      <c r="A1" s="91" t="s">
        <v>0</v>
      </c>
      <c r="B1" s="92"/>
      <c r="C1" s="92"/>
      <c r="D1" s="92"/>
      <c r="E1" s="92"/>
    </row>
    <row r="2" spans="1:14" ht="15.6">
      <c r="A2" s="1"/>
      <c r="B2" s="2"/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N2" s="33" t="s">
        <v>13</v>
      </c>
    </row>
    <row r="3" spans="1:14" ht="15.6">
      <c r="A3" s="1"/>
      <c r="B3" s="4" t="s">
        <v>1</v>
      </c>
      <c r="G3" s="61">
        <v>965</v>
      </c>
      <c r="H3" s="69">
        <v>66413.17</v>
      </c>
      <c r="I3" s="75">
        <f t="shared" ref="I3:I28" si="0">H3*4.8%</f>
        <v>3187.8321599999999</v>
      </c>
      <c r="J3" s="75">
        <f t="shared" ref="J3:J28" si="1">H3*0.65%</f>
        <v>431.68560500000001</v>
      </c>
      <c r="K3" s="75">
        <f t="shared" ref="K3:K28" si="2">H3*3%</f>
        <v>1992.3951</v>
      </c>
      <c r="L3" s="75">
        <f t="shared" ref="L3:L28" si="3">H3*1%</f>
        <v>664.13170000000002</v>
      </c>
      <c r="M3" s="75"/>
      <c r="N3" s="75">
        <f t="shared" ref="N3:N28" si="4">H3-I3-J3-K3-L3-M3</f>
        <v>60137.125435000002</v>
      </c>
    </row>
    <row r="4" spans="1:14" ht="15.6">
      <c r="A4" s="10" t="s">
        <v>2</v>
      </c>
      <c r="B4" s="11">
        <f>SUM(B5:B101)</f>
        <v>11647352.68</v>
      </c>
      <c r="C4" s="12" t="s">
        <v>3</v>
      </c>
      <c r="D4" s="12" t="s">
        <v>5</v>
      </c>
      <c r="E4" s="13" t="s">
        <v>4</v>
      </c>
      <c r="G4" s="61">
        <v>1414</v>
      </c>
      <c r="H4" s="69">
        <v>26107.56</v>
      </c>
      <c r="I4" s="76">
        <f t="shared" si="0"/>
        <v>1253.1628800000001</v>
      </c>
      <c r="J4" s="76">
        <f t="shared" si="1"/>
        <v>169.69914000000003</v>
      </c>
      <c r="K4" s="76">
        <f t="shared" si="2"/>
        <v>783.22680000000003</v>
      </c>
      <c r="L4" s="76">
        <f t="shared" si="3"/>
        <v>261.07560000000001</v>
      </c>
      <c r="M4" s="76"/>
      <c r="N4" s="76">
        <f t="shared" si="4"/>
        <v>23640.39558</v>
      </c>
    </row>
    <row r="5" spans="1:14" ht="15.6">
      <c r="A5" s="57" t="s">
        <v>72</v>
      </c>
      <c r="B5" s="58">
        <v>10279415.75</v>
      </c>
      <c r="C5" s="93" t="s">
        <v>22</v>
      </c>
      <c r="D5" s="94"/>
      <c r="E5" s="95"/>
      <c r="G5" s="61">
        <v>1347</v>
      </c>
      <c r="H5" s="69">
        <v>14504.2</v>
      </c>
      <c r="I5" s="76">
        <f t="shared" si="0"/>
        <v>696.2016000000001</v>
      </c>
      <c r="J5" s="76">
        <f t="shared" si="1"/>
        <v>94.277300000000011</v>
      </c>
      <c r="K5" s="76">
        <f t="shared" si="2"/>
        <v>435.12600000000003</v>
      </c>
      <c r="L5" s="76">
        <f t="shared" si="3"/>
        <v>145.042</v>
      </c>
      <c r="M5" s="76"/>
      <c r="N5" s="76">
        <f t="shared" si="4"/>
        <v>13133.553100000001</v>
      </c>
    </row>
    <row r="6" spans="1:14" ht="15.6">
      <c r="A6" s="59" t="s">
        <v>73</v>
      </c>
      <c r="B6" s="60">
        <v>241019.33</v>
      </c>
      <c r="C6" s="61" t="s">
        <v>26</v>
      </c>
      <c r="D6" s="61" t="s">
        <v>77</v>
      </c>
      <c r="E6" s="61" t="s">
        <v>80</v>
      </c>
      <c r="G6" s="61">
        <v>1139</v>
      </c>
      <c r="H6" s="69">
        <v>4982.71</v>
      </c>
      <c r="I6" s="76">
        <f t="shared" si="0"/>
        <v>239.17008000000001</v>
      </c>
      <c r="J6" s="76">
        <f t="shared" si="1"/>
        <v>32.387615000000004</v>
      </c>
      <c r="K6" s="76">
        <f t="shared" si="2"/>
        <v>149.4813</v>
      </c>
      <c r="L6" s="76">
        <f t="shared" si="3"/>
        <v>49.827100000000002</v>
      </c>
      <c r="M6" s="76"/>
      <c r="N6" s="76">
        <f t="shared" si="4"/>
        <v>4511.8439049999997</v>
      </c>
    </row>
    <row r="7" spans="1:14" ht="15.6">
      <c r="A7" s="59" t="s">
        <v>74</v>
      </c>
      <c r="B7" s="60">
        <v>734963.94</v>
      </c>
      <c r="C7" s="61" t="s">
        <v>26</v>
      </c>
      <c r="D7" s="61" t="s">
        <v>78</v>
      </c>
      <c r="E7" s="61" t="s">
        <v>82</v>
      </c>
      <c r="F7">
        <v>0.01</v>
      </c>
      <c r="G7" s="61">
        <v>63</v>
      </c>
      <c r="H7" s="69">
        <v>19486.91</v>
      </c>
      <c r="I7" s="76">
        <f t="shared" si="0"/>
        <v>935.37167999999997</v>
      </c>
      <c r="J7" s="76">
        <f t="shared" si="1"/>
        <v>126.66491500000001</v>
      </c>
      <c r="K7" s="76">
        <f t="shared" si="2"/>
        <v>584.60730000000001</v>
      </c>
      <c r="L7" s="76">
        <f t="shared" si="3"/>
        <v>194.8691</v>
      </c>
      <c r="M7" s="76"/>
      <c r="N7" s="76">
        <f t="shared" si="4"/>
        <v>17645.397004999999</v>
      </c>
    </row>
    <row r="8" spans="1:14" ht="15.6">
      <c r="A8" s="59" t="s">
        <v>75</v>
      </c>
      <c r="B8" s="60">
        <v>365661.91</v>
      </c>
      <c r="C8" s="61" t="s">
        <v>26</v>
      </c>
      <c r="D8" s="61" t="s">
        <v>79</v>
      </c>
      <c r="E8" s="61" t="s">
        <v>81</v>
      </c>
      <c r="G8" s="61">
        <v>1225</v>
      </c>
      <c r="H8" s="69">
        <v>12866.26</v>
      </c>
      <c r="I8" s="76">
        <f t="shared" si="0"/>
        <v>617.58048000000008</v>
      </c>
      <c r="J8" s="76">
        <f t="shared" si="1"/>
        <v>83.630690000000016</v>
      </c>
      <c r="K8" s="76">
        <f t="shared" si="2"/>
        <v>385.98779999999999</v>
      </c>
      <c r="L8" s="76">
        <f t="shared" si="3"/>
        <v>128.6626</v>
      </c>
      <c r="M8" s="76"/>
      <c r="N8" s="76">
        <f t="shared" si="4"/>
        <v>11650.398429999999</v>
      </c>
    </row>
    <row r="9" spans="1:14" ht="15.6">
      <c r="A9" s="57" t="s">
        <v>76</v>
      </c>
      <c r="B9" s="58">
        <v>26291.75</v>
      </c>
      <c r="C9" s="93" t="s">
        <v>22</v>
      </c>
      <c r="D9" s="94"/>
      <c r="E9" s="95"/>
      <c r="G9" s="61">
        <v>68</v>
      </c>
      <c r="H9" s="69">
        <v>18653.82</v>
      </c>
      <c r="I9" s="76">
        <f t="shared" si="0"/>
        <v>895.38336000000004</v>
      </c>
      <c r="J9" s="76">
        <f t="shared" si="1"/>
        <v>121.24983</v>
      </c>
      <c r="K9" s="76">
        <f t="shared" si="2"/>
        <v>559.6146</v>
      </c>
      <c r="L9" s="76">
        <f t="shared" si="3"/>
        <v>186.53819999999999</v>
      </c>
      <c r="M9" s="76"/>
      <c r="N9" s="76">
        <f t="shared" si="4"/>
        <v>16891.034009999999</v>
      </c>
    </row>
    <row r="10" spans="1:14" ht="15.6">
      <c r="A10" s="6"/>
      <c r="B10" s="7"/>
      <c r="C10" s="54"/>
      <c r="D10" s="54"/>
      <c r="E10" s="5"/>
      <c r="G10" s="61">
        <v>2600000000067</v>
      </c>
      <c r="H10" s="69">
        <v>27729.74</v>
      </c>
      <c r="I10" s="76">
        <f t="shared" si="0"/>
        <v>1331.0275200000001</v>
      </c>
      <c r="J10" s="76">
        <f t="shared" si="1"/>
        <v>180.24331000000004</v>
      </c>
      <c r="K10" s="76">
        <f t="shared" si="2"/>
        <v>831.8922</v>
      </c>
      <c r="L10" s="76">
        <f t="shared" si="3"/>
        <v>277.29740000000004</v>
      </c>
      <c r="M10" s="76"/>
      <c r="N10" s="76">
        <f t="shared" si="4"/>
        <v>25109.279570000002</v>
      </c>
    </row>
    <row r="11" spans="1:14" ht="15.6">
      <c r="A11" s="6"/>
      <c r="B11" s="7"/>
      <c r="C11" s="54"/>
      <c r="D11" s="54"/>
      <c r="E11" s="5"/>
      <c r="G11" s="61">
        <v>1000899</v>
      </c>
      <c r="H11" s="69">
        <v>1637.94</v>
      </c>
      <c r="I11" s="76">
        <f t="shared" si="0"/>
        <v>78.621120000000005</v>
      </c>
      <c r="J11" s="76">
        <f t="shared" si="1"/>
        <v>10.646610000000001</v>
      </c>
      <c r="K11" s="76">
        <f t="shared" si="2"/>
        <v>49.138199999999998</v>
      </c>
      <c r="L11" s="76">
        <f t="shared" si="3"/>
        <v>16.3794</v>
      </c>
      <c r="M11" s="76"/>
      <c r="N11" s="76">
        <f t="shared" si="4"/>
        <v>1483.1546699999999</v>
      </c>
    </row>
    <row r="12" spans="1:14" ht="15.6">
      <c r="A12" s="6"/>
      <c r="B12" s="7"/>
      <c r="C12" s="8"/>
      <c r="D12" s="8"/>
      <c r="E12" s="5"/>
      <c r="G12" s="61">
        <v>1193</v>
      </c>
      <c r="H12" s="69">
        <v>15392.06</v>
      </c>
      <c r="I12" s="76">
        <f t="shared" si="0"/>
        <v>738.81888000000004</v>
      </c>
      <c r="J12" s="76">
        <f t="shared" si="1"/>
        <v>100.04839000000001</v>
      </c>
      <c r="K12" s="76">
        <f t="shared" si="2"/>
        <v>461.76179999999999</v>
      </c>
      <c r="L12" s="76">
        <f t="shared" si="3"/>
        <v>153.92060000000001</v>
      </c>
      <c r="M12" s="76"/>
      <c r="N12" s="76">
        <f t="shared" si="4"/>
        <v>13937.510329999999</v>
      </c>
    </row>
    <row r="13" spans="1:14" ht="15.6">
      <c r="A13" s="6"/>
      <c r="B13" s="7"/>
      <c r="C13" s="8"/>
      <c r="D13" s="8"/>
      <c r="E13" s="5"/>
      <c r="F13">
        <v>882</v>
      </c>
      <c r="G13" s="61">
        <v>998</v>
      </c>
      <c r="H13" s="69">
        <v>6620.65</v>
      </c>
      <c r="I13" s="76">
        <f t="shared" si="0"/>
        <v>317.7912</v>
      </c>
      <c r="J13" s="76">
        <f t="shared" si="1"/>
        <v>43.034224999999999</v>
      </c>
      <c r="K13" s="76">
        <f t="shared" si="2"/>
        <v>198.61949999999999</v>
      </c>
      <c r="L13" s="76">
        <f t="shared" si="3"/>
        <v>66.206499999999991</v>
      </c>
      <c r="M13" s="76"/>
      <c r="N13" s="76">
        <f t="shared" si="4"/>
        <v>5994.9985749999996</v>
      </c>
    </row>
    <row r="14" spans="1:14" ht="15.6">
      <c r="A14" s="6"/>
      <c r="B14" s="7"/>
      <c r="C14" s="8"/>
      <c r="D14" s="8"/>
      <c r="E14" s="5"/>
      <c r="G14" s="61">
        <v>49</v>
      </c>
      <c r="H14" s="69">
        <v>7508.51</v>
      </c>
      <c r="I14" s="76">
        <f t="shared" si="0"/>
        <v>360.40848</v>
      </c>
      <c r="J14" s="76">
        <f t="shared" si="1"/>
        <v>48.805315000000007</v>
      </c>
      <c r="K14" s="76">
        <f t="shared" si="2"/>
        <v>225.25530000000001</v>
      </c>
      <c r="L14" s="76">
        <f t="shared" si="3"/>
        <v>75.085099999999997</v>
      </c>
      <c r="M14" s="76"/>
      <c r="N14" s="76">
        <f t="shared" si="4"/>
        <v>6798.9558050000005</v>
      </c>
    </row>
    <row r="15" spans="1:14" ht="15.6">
      <c r="A15" s="6"/>
      <c r="B15" s="7"/>
      <c r="C15" s="8"/>
      <c r="D15" s="8"/>
      <c r="E15" s="5"/>
      <c r="G15" s="61">
        <v>17</v>
      </c>
      <c r="H15" s="69">
        <v>2900.84</v>
      </c>
      <c r="I15" s="76">
        <f t="shared" si="0"/>
        <v>139.24032</v>
      </c>
      <c r="J15" s="76">
        <f t="shared" si="1"/>
        <v>18.855460000000004</v>
      </c>
      <c r="K15" s="76">
        <f t="shared" si="2"/>
        <v>87.025199999999998</v>
      </c>
      <c r="L15" s="76">
        <f t="shared" si="3"/>
        <v>29.008400000000002</v>
      </c>
      <c r="M15" s="76"/>
      <c r="N15" s="76">
        <f t="shared" si="4"/>
        <v>2626.7106199999998</v>
      </c>
    </row>
    <row r="16" spans="1:14" ht="15.6">
      <c r="A16" s="6"/>
      <c r="B16" s="7"/>
      <c r="C16" s="8"/>
      <c r="D16" s="8"/>
      <c r="E16" s="5"/>
      <c r="G16" s="61">
        <v>202600000049</v>
      </c>
      <c r="H16" s="69">
        <v>27975.919999999998</v>
      </c>
      <c r="I16" s="76">
        <f t="shared" si="0"/>
        <v>1342.8441599999999</v>
      </c>
      <c r="J16" s="76">
        <f t="shared" si="1"/>
        <v>181.84348</v>
      </c>
      <c r="K16" s="76">
        <f t="shared" si="2"/>
        <v>839.27759999999989</v>
      </c>
      <c r="L16" s="76">
        <f t="shared" si="3"/>
        <v>279.75919999999996</v>
      </c>
      <c r="M16" s="76"/>
      <c r="N16" s="76">
        <f t="shared" si="4"/>
        <v>25332.195559999996</v>
      </c>
    </row>
    <row r="17" spans="1:14" ht="15.6">
      <c r="A17" s="6"/>
      <c r="B17" s="7"/>
      <c r="C17" s="8"/>
      <c r="D17" s="8"/>
      <c r="E17" s="5"/>
      <c r="G17" s="61">
        <v>882</v>
      </c>
      <c r="H17" s="69">
        <v>7064.58</v>
      </c>
      <c r="I17" s="76">
        <f t="shared" si="0"/>
        <v>339.09984000000003</v>
      </c>
      <c r="J17" s="76">
        <f t="shared" si="1"/>
        <v>45.919770000000007</v>
      </c>
      <c r="K17" s="76">
        <f t="shared" si="2"/>
        <v>211.9374</v>
      </c>
      <c r="L17" s="76">
        <f t="shared" si="3"/>
        <v>70.645799999999994</v>
      </c>
      <c r="M17" s="76"/>
      <c r="N17" s="76">
        <f t="shared" si="4"/>
        <v>6396.9771899999996</v>
      </c>
    </row>
    <row r="18" spans="1:14" ht="15.6">
      <c r="A18" s="6"/>
      <c r="B18" s="7"/>
      <c r="C18" s="8"/>
      <c r="D18" s="8"/>
      <c r="E18" s="5"/>
      <c r="G18" s="61">
        <v>492</v>
      </c>
      <c r="H18" s="69">
        <v>16211.03</v>
      </c>
      <c r="I18" s="76">
        <f t="shared" si="0"/>
        <v>778.12944000000005</v>
      </c>
      <c r="J18" s="76">
        <f t="shared" si="1"/>
        <v>105.37169500000002</v>
      </c>
      <c r="K18" s="76">
        <f t="shared" si="2"/>
        <v>486.33089999999999</v>
      </c>
      <c r="L18" s="76">
        <f t="shared" si="3"/>
        <v>162.11030000000002</v>
      </c>
      <c r="M18" s="76"/>
      <c r="N18" s="76">
        <f t="shared" si="4"/>
        <v>14679.087664999999</v>
      </c>
    </row>
    <row r="19" spans="1:14" ht="15.6">
      <c r="A19" s="6"/>
      <c r="B19" s="7"/>
      <c r="C19" s="8"/>
      <c r="D19" s="8"/>
      <c r="E19" s="5"/>
      <c r="G19" s="61">
        <v>64</v>
      </c>
      <c r="H19" s="69">
        <v>78351.009999999995</v>
      </c>
      <c r="I19" s="76">
        <f t="shared" si="0"/>
        <v>3760.8484799999997</v>
      </c>
      <c r="J19" s="76">
        <f t="shared" si="1"/>
        <v>509.281565</v>
      </c>
      <c r="K19" s="76">
        <f t="shared" si="2"/>
        <v>2350.5302999999999</v>
      </c>
      <c r="L19" s="76">
        <f t="shared" si="3"/>
        <v>783.51009999999997</v>
      </c>
      <c r="M19" s="76"/>
      <c r="N19" s="76">
        <f t="shared" si="4"/>
        <v>70946.839554999999</v>
      </c>
    </row>
    <row r="20" spans="1:14" ht="15.6">
      <c r="A20" s="6"/>
      <c r="B20" s="7"/>
      <c r="C20" s="8"/>
      <c r="D20" s="8"/>
      <c r="E20" s="5"/>
      <c r="G20" s="61">
        <v>1113</v>
      </c>
      <c r="H20" s="69">
        <v>21753.200000000001</v>
      </c>
      <c r="I20" s="76">
        <f t="shared" si="0"/>
        <v>1044.1536000000001</v>
      </c>
      <c r="J20" s="76">
        <f t="shared" si="1"/>
        <v>141.39580000000001</v>
      </c>
      <c r="K20" s="76">
        <f t="shared" si="2"/>
        <v>652.596</v>
      </c>
      <c r="L20" s="76">
        <f t="shared" si="3"/>
        <v>217.53200000000001</v>
      </c>
      <c r="M20" s="76"/>
      <c r="N20" s="76">
        <f t="shared" si="4"/>
        <v>19697.5226</v>
      </c>
    </row>
    <row r="21" spans="1:14" ht="15.6">
      <c r="A21" s="6"/>
      <c r="B21" s="7"/>
      <c r="C21" s="8"/>
      <c r="D21" s="8"/>
      <c r="E21" s="5"/>
      <c r="G21" s="61">
        <v>1103</v>
      </c>
      <c r="H21" s="69">
        <v>11159.43</v>
      </c>
      <c r="I21" s="76">
        <f t="shared" si="0"/>
        <v>535.65264000000002</v>
      </c>
      <c r="J21" s="76">
        <f t="shared" si="1"/>
        <v>72.53629500000001</v>
      </c>
      <c r="K21" s="76">
        <f t="shared" si="2"/>
        <v>334.78289999999998</v>
      </c>
      <c r="L21" s="76">
        <f t="shared" si="3"/>
        <v>111.5943</v>
      </c>
      <c r="M21" s="76"/>
      <c r="N21" s="76">
        <f t="shared" si="4"/>
        <v>10104.863864999999</v>
      </c>
    </row>
    <row r="22" spans="1:14" ht="15.6">
      <c r="A22" s="6"/>
      <c r="B22" s="7"/>
      <c r="C22" s="8"/>
      <c r="D22" s="8"/>
      <c r="E22" s="5"/>
      <c r="G22" s="61">
        <v>4851</v>
      </c>
      <c r="H22" s="69">
        <v>83549.83</v>
      </c>
      <c r="I22" s="76">
        <f t="shared" si="0"/>
        <v>4010.3918400000002</v>
      </c>
      <c r="J22" s="76">
        <f t="shared" si="1"/>
        <v>543.07389500000011</v>
      </c>
      <c r="K22" s="76">
        <f t="shared" si="2"/>
        <v>2506.4949000000001</v>
      </c>
      <c r="L22" s="76">
        <f t="shared" si="3"/>
        <v>835.49830000000009</v>
      </c>
      <c r="M22" s="76"/>
      <c r="N22" s="76">
        <f t="shared" si="4"/>
        <v>75654.371064999999</v>
      </c>
    </row>
    <row r="23" spans="1:14" ht="15.6">
      <c r="A23" s="6"/>
      <c r="B23" s="7"/>
      <c r="C23" s="8"/>
      <c r="D23" s="8"/>
      <c r="E23" s="5"/>
      <c r="G23" s="61">
        <v>1138</v>
      </c>
      <c r="H23" s="69">
        <v>26620.38</v>
      </c>
      <c r="I23" s="76">
        <f t="shared" si="0"/>
        <v>1277.7782400000001</v>
      </c>
      <c r="J23" s="76">
        <f t="shared" si="1"/>
        <v>173.03247000000002</v>
      </c>
      <c r="K23" s="76">
        <f t="shared" si="2"/>
        <v>798.6114</v>
      </c>
      <c r="L23" s="76">
        <f t="shared" si="3"/>
        <v>266.2038</v>
      </c>
      <c r="M23" s="76"/>
      <c r="N23" s="76">
        <f t="shared" si="4"/>
        <v>24104.754090000002</v>
      </c>
    </row>
    <row r="24" spans="1:14" ht="15.6">
      <c r="A24" s="6"/>
      <c r="B24" s="7"/>
      <c r="C24" s="8"/>
      <c r="D24" s="8"/>
      <c r="E24" s="5"/>
      <c r="G24" s="61">
        <v>67</v>
      </c>
      <c r="H24" s="69">
        <v>1262.9000000000001</v>
      </c>
      <c r="I24" s="76">
        <f t="shared" si="0"/>
        <v>60.619200000000006</v>
      </c>
      <c r="J24" s="76">
        <f t="shared" si="1"/>
        <v>8.2088500000000018</v>
      </c>
      <c r="K24" s="76">
        <f t="shared" si="2"/>
        <v>37.887</v>
      </c>
      <c r="L24" s="76">
        <f t="shared" si="3"/>
        <v>12.629000000000001</v>
      </c>
      <c r="M24" s="76"/>
      <c r="N24" s="76">
        <f t="shared" si="4"/>
        <v>1143.5559500000002</v>
      </c>
    </row>
    <row r="25" spans="1:14" ht="15.6">
      <c r="A25" s="6"/>
      <c r="B25" s="7"/>
      <c r="C25" s="8"/>
      <c r="D25" s="8"/>
      <c r="E25" s="5"/>
      <c r="G25" s="61">
        <v>3137</v>
      </c>
      <c r="H25" s="69">
        <v>296856.11</v>
      </c>
      <c r="I25" s="76">
        <f t="shared" si="0"/>
        <v>14249.093279999999</v>
      </c>
      <c r="J25" s="76">
        <f t="shared" si="1"/>
        <v>1929.564715</v>
      </c>
      <c r="K25" s="76">
        <f t="shared" si="2"/>
        <v>8905.6832999999988</v>
      </c>
      <c r="L25" s="76">
        <f t="shared" si="3"/>
        <v>2968.5610999999999</v>
      </c>
      <c r="M25" s="76">
        <f>H25*5%</f>
        <v>14842.8055</v>
      </c>
      <c r="N25" s="76">
        <f t="shared" si="4"/>
        <v>253960.40210500007</v>
      </c>
    </row>
    <row r="26" spans="1:14" ht="15.6">
      <c r="A26" s="6"/>
      <c r="B26" s="7"/>
      <c r="C26" s="8"/>
      <c r="D26" s="8"/>
      <c r="E26" s="5"/>
      <c r="G26" s="61">
        <v>3138</v>
      </c>
      <c r="H26" s="69">
        <v>16320.68</v>
      </c>
      <c r="I26" s="76">
        <f t="shared" si="0"/>
        <v>783.39264000000003</v>
      </c>
      <c r="J26" s="76">
        <f t="shared" si="1"/>
        <v>106.08442000000001</v>
      </c>
      <c r="K26" s="76">
        <f t="shared" si="2"/>
        <v>489.62040000000002</v>
      </c>
      <c r="L26" s="76">
        <f t="shared" si="3"/>
        <v>163.20680000000002</v>
      </c>
      <c r="M26" s="76">
        <f>H26*5%</f>
        <v>816.03400000000011</v>
      </c>
      <c r="N26" s="76">
        <f t="shared" si="4"/>
        <v>13962.341740000002</v>
      </c>
    </row>
    <row r="27" spans="1:14" ht="15.6">
      <c r="A27" s="6"/>
      <c r="B27" s="7"/>
      <c r="C27" s="8"/>
      <c r="D27" s="8"/>
      <c r="E27" s="5"/>
      <c r="G27" s="61">
        <v>1263</v>
      </c>
      <c r="H27" s="69">
        <v>8327.48</v>
      </c>
      <c r="I27" s="76">
        <f t="shared" si="0"/>
        <v>399.71904000000001</v>
      </c>
      <c r="J27" s="76">
        <f t="shared" si="1"/>
        <v>54.128620000000005</v>
      </c>
      <c r="K27" s="76">
        <f t="shared" si="2"/>
        <v>249.82439999999997</v>
      </c>
      <c r="L27" s="76">
        <f t="shared" si="3"/>
        <v>83.274799999999999</v>
      </c>
      <c r="M27" s="76"/>
      <c r="N27" s="76">
        <f t="shared" si="4"/>
        <v>7540.5331399999986</v>
      </c>
    </row>
    <row r="28" spans="1:14" ht="15.6">
      <c r="A28" s="6"/>
      <c r="B28" s="7"/>
      <c r="C28" s="8"/>
      <c r="D28" s="8"/>
      <c r="E28" s="5"/>
      <c r="G28" s="61">
        <v>57</v>
      </c>
      <c r="H28" s="69">
        <v>8702.52</v>
      </c>
      <c r="I28" s="76">
        <f t="shared" si="0"/>
        <v>417.72096000000005</v>
      </c>
      <c r="J28" s="76">
        <f t="shared" si="1"/>
        <v>56.566380000000009</v>
      </c>
      <c r="K28" s="76">
        <f t="shared" si="2"/>
        <v>261.07560000000001</v>
      </c>
      <c r="L28" s="76">
        <f t="shared" si="3"/>
        <v>87.025200000000012</v>
      </c>
      <c r="M28" s="76"/>
      <c r="N28" s="76">
        <f t="shared" si="4"/>
        <v>7880.1318599999995</v>
      </c>
    </row>
    <row r="29" spans="1:14" ht="15.6">
      <c r="A29" s="6"/>
      <c r="B29" s="7"/>
      <c r="C29" s="8"/>
      <c r="D29" s="8"/>
      <c r="E29" s="5"/>
      <c r="G29" s="54" t="s">
        <v>14</v>
      </c>
      <c r="H29" s="73">
        <f>SUM(H3:H28)</f>
        <v>828959.44000000006</v>
      </c>
      <c r="I29" s="73">
        <f t="shared" ref="I29:N29" si="5">SUM(I3:I28)</f>
        <v>39790.053120000004</v>
      </c>
      <c r="J29" s="73">
        <f t="shared" si="5"/>
        <v>5388.2363600000008</v>
      </c>
      <c r="K29" s="73">
        <f t="shared" si="5"/>
        <v>24868.783199999998</v>
      </c>
      <c r="L29" s="73">
        <f t="shared" si="5"/>
        <v>8289.5944</v>
      </c>
      <c r="M29" s="73">
        <f t="shared" si="5"/>
        <v>15658.8395</v>
      </c>
      <c r="N29" s="73">
        <f t="shared" si="5"/>
        <v>734963.93342000002</v>
      </c>
    </row>
    <row r="30" spans="1:14" ht="15.6">
      <c r="A30" s="6"/>
      <c r="B30" s="7"/>
      <c r="C30" s="8"/>
      <c r="D30" s="8"/>
      <c r="E30" s="5"/>
    </row>
    <row r="31" spans="1:14" ht="15.6">
      <c r="A31" s="6"/>
      <c r="B31" s="7"/>
      <c r="C31" s="8"/>
      <c r="D31" s="8"/>
      <c r="E31" s="5"/>
    </row>
    <row r="32" spans="1:14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32"/>
      <c r="C42" s="8"/>
      <c r="D42" s="8"/>
      <c r="E42" s="5"/>
    </row>
    <row r="43" spans="1:5" ht="15.6">
      <c r="A43" s="6"/>
      <c r="B43" s="32"/>
      <c r="C43" s="8"/>
      <c r="D43" s="8"/>
      <c r="E43" s="5"/>
    </row>
    <row r="44" spans="1:5" ht="15.6">
      <c r="A44" s="6"/>
      <c r="B44" s="32"/>
      <c r="C44" s="8"/>
      <c r="D44" s="8"/>
      <c r="E44" s="5"/>
    </row>
    <row r="45" spans="1:5" ht="15.6">
      <c r="A45" s="6"/>
      <c r="B45" s="32"/>
      <c r="C45" s="8"/>
      <c r="D45" s="8"/>
      <c r="E45" s="5"/>
    </row>
    <row r="46" spans="1:5" ht="15.6">
      <c r="A46" s="6"/>
      <c r="B46" s="32"/>
      <c r="C46" s="8"/>
      <c r="D46" s="8"/>
      <c r="E46" s="5"/>
    </row>
    <row r="47" spans="1:5" ht="15.6">
      <c r="A47" s="6"/>
      <c r="B47" s="32"/>
      <c r="C47" s="8"/>
      <c r="D47" s="8"/>
      <c r="E47" s="5"/>
    </row>
    <row r="48" spans="1:5" ht="15.6">
      <c r="A48" s="6"/>
      <c r="B48" s="32"/>
      <c r="C48" s="8"/>
      <c r="D48" s="8"/>
      <c r="E48" s="5"/>
    </row>
    <row r="49" spans="1:5" ht="15.6">
      <c r="A49" s="6"/>
      <c r="B49" s="32"/>
      <c r="C49" s="8"/>
      <c r="D49" s="8"/>
      <c r="E49" s="5"/>
    </row>
    <row r="50" spans="1:5" ht="15.6">
      <c r="A50" s="6"/>
      <c r="B50" s="32"/>
      <c r="C50" s="8"/>
      <c r="D50" s="8"/>
      <c r="E50" s="5"/>
    </row>
    <row r="51" spans="1:5" ht="15.6">
      <c r="A51" s="6"/>
      <c r="B51" s="32"/>
      <c r="C51" s="8"/>
      <c r="D51" s="8"/>
      <c r="E51" s="5"/>
    </row>
    <row r="52" spans="1:5" ht="15.6">
      <c r="A52" s="6"/>
      <c r="B52" s="32"/>
      <c r="C52" s="8"/>
      <c r="D52" s="8"/>
      <c r="E52" s="5"/>
    </row>
    <row r="53" spans="1:5" ht="15.6">
      <c r="A53" s="6"/>
      <c r="B53" s="32"/>
      <c r="C53" s="8"/>
      <c r="D53" s="8"/>
      <c r="E53" s="5"/>
    </row>
    <row r="54" spans="1:5" ht="15.6">
      <c r="A54" s="6"/>
      <c r="B54" s="32"/>
      <c r="C54" s="8"/>
      <c r="D54" s="8"/>
      <c r="E54" s="5"/>
    </row>
    <row r="55" spans="1:5" ht="15.6">
      <c r="A55" s="6"/>
      <c r="B55" s="32"/>
      <c r="C55" s="8"/>
      <c r="D55" s="8"/>
      <c r="E55" s="5"/>
    </row>
    <row r="56" spans="1:5" ht="15.6">
      <c r="A56" s="6"/>
      <c r="B56" s="32"/>
      <c r="C56" s="8"/>
      <c r="D56" s="8"/>
      <c r="E56" s="5"/>
    </row>
    <row r="57" spans="1:5" ht="15.6">
      <c r="A57" s="6"/>
      <c r="B57" s="32"/>
      <c r="C57" s="8"/>
      <c r="D57" s="8"/>
      <c r="E57" s="5"/>
    </row>
    <row r="58" spans="1:5" ht="15.6">
      <c r="A58" s="6"/>
      <c r="B58" s="32"/>
      <c r="C58" s="8"/>
      <c r="D58" s="8"/>
      <c r="E58" s="5"/>
    </row>
    <row r="59" spans="1:5" ht="15.6">
      <c r="A59" s="6"/>
      <c r="B59" s="32"/>
      <c r="C59" s="8"/>
      <c r="D59" s="8"/>
      <c r="E59" s="5"/>
    </row>
    <row r="60" spans="1:5" ht="15.6">
      <c r="A60" s="6"/>
      <c r="B60" s="32"/>
      <c r="C60" s="8"/>
      <c r="D60" s="8"/>
      <c r="E60" s="5"/>
    </row>
    <row r="61" spans="1:5" ht="15.6">
      <c r="A61" s="6"/>
      <c r="B61" s="32"/>
      <c r="C61" s="8"/>
      <c r="D61" s="8"/>
      <c r="E61" s="5"/>
    </row>
    <row r="62" spans="1:5" ht="15.6">
      <c r="A62" s="6"/>
      <c r="B62" s="32"/>
      <c r="C62" s="8"/>
      <c r="D62" s="8"/>
      <c r="E62" s="5"/>
    </row>
    <row r="63" spans="1:5" ht="15.6">
      <c r="A63" s="6"/>
      <c r="B63" s="32"/>
      <c r="C63" s="8"/>
      <c r="D63" s="8"/>
      <c r="E63" s="5"/>
    </row>
    <row r="64" spans="1:5" ht="15.6">
      <c r="A64" s="6"/>
      <c r="B64" s="32"/>
      <c r="C64" s="8"/>
      <c r="D64" s="8"/>
      <c r="E64" s="5"/>
    </row>
    <row r="65" spans="1:5" ht="15.6">
      <c r="A65" s="6"/>
      <c r="B65" s="32"/>
      <c r="C65" s="8"/>
      <c r="D65" s="8"/>
      <c r="E65" s="5"/>
    </row>
    <row r="66" spans="1:5" ht="15.6">
      <c r="A66" s="6"/>
      <c r="B66" s="32"/>
      <c r="C66" s="8"/>
      <c r="D66" s="8"/>
      <c r="E66" s="5"/>
    </row>
    <row r="67" spans="1:5" ht="15.6">
      <c r="A67" s="6"/>
      <c r="B67" s="32"/>
      <c r="C67" s="8"/>
      <c r="D67" s="8"/>
      <c r="E67" s="5"/>
    </row>
    <row r="68" spans="1:5" ht="15.6">
      <c r="A68" s="6"/>
      <c r="B68" s="32"/>
      <c r="C68" s="8"/>
      <c r="D68" s="8"/>
      <c r="E68" s="5"/>
    </row>
    <row r="69" spans="1:5" ht="15.6">
      <c r="A69" s="6"/>
      <c r="B69" s="32"/>
      <c r="C69" s="8"/>
      <c r="D69" s="8"/>
      <c r="E69" s="5"/>
    </row>
    <row r="70" spans="1:5" ht="15.6">
      <c r="A70" s="6"/>
      <c r="B70" s="32"/>
      <c r="C70" s="8"/>
      <c r="D70" s="8"/>
      <c r="E70" s="5"/>
    </row>
    <row r="71" spans="1:5" ht="15.6">
      <c r="A71" s="6"/>
      <c r="B71" s="32"/>
      <c r="C71" s="8"/>
      <c r="D71" s="8"/>
      <c r="E71" s="5"/>
    </row>
    <row r="72" spans="1:5" ht="15.6">
      <c r="A72" s="6"/>
      <c r="B72" s="32"/>
      <c r="C72" s="8"/>
      <c r="D72" s="8"/>
      <c r="E72" s="5"/>
    </row>
    <row r="73" spans="1:5" ht="15.6">
      <c r="A73" s="6"/>
      <c r="B73" s="32"/>
      <c r="C73" s="8"/>
      <c r="D73" s="8"/>
      <c r="E73" s="5"/>
    </row>
    <row r="74" spans="1:5" ht="15.6">
      <c r="A74" s="6"/>
      <c r="B74" s="32"/>
      <c r="C74" s="8"/>
      <c r="D74" s="8"/>
      <c r="E74" s="5"/>
    </row>
    <row r="75" spans="1:5" ht="15.6">
      <c r="A75" s="6"/>
      <c r="B75" s="32"/>
      <c r="C75" s="8"/>
      <c r="D75" s="8"/>
      <c r="E75" s="5"/>
    </row>
    <row r="76" spans="1:5" ht="15.6">
      <c r="A76" s="6"/>
      <c r="B76" s="32"/>
      <c r="C76" s="8"/>
      <c r="D76" s="8"/>
      <c r="E76" s="5"/>
    </row>
    <row r="77" spans="1:5" ht="15.6">
      <c r="A77" s="6"/>
      <c r="B77" s="32"/>
      <c r="C77" s="8"/>
      <c r="D77" s="8"/>
      <c r="E77" s="5"/>
    </row>
    <row r="78" spans="1:5" ht="15.6">
      <c r="A78" s="6"/>
      <c r="B78" s="32"/>
      <c r="C78" s="8"/>
      <c r="D78" s="8"/>
      <c r="E78" s="5"/>
    </row>
    <row r="79" spans="1:5" ht="15.6">
      <c r="A79" s="6"/>
      <c r="B79" s="32"/>
      <c r="C79" s="8"/>
      <c r="D79" s="8"/>
      <c r="E79" s="5"/>
    </row>
    <row r="80" spans="1:5" ht="15.6">
      <c r="A80" s="6"/>
      <c r="B80" s="32"/>
      <c r="C80" s="8"/>
      <c r="D80" s="8"/>
      <c r="E80" s="5"/>
    </row>
    <row r="81" spans="1:5" ht="15.6">
      <c r="A81" s="6"/>
      <c r="B81" s="32"/>
      <c r="C81" s="8"/>
      <c r="D81" s="8"/>
      <c r="E81" s="5"/>
    </row>
    <row r="82" spans="1:5" ht="15.6">
      <c r="A82" s="6"/>
      <c r="B82" s="32"/>
      <c r="C82" s="8"/>
      <c r="D82" s="8"/>
      <c r="E82" s="5"/>
    </row>
    <row r="83" spans="1:5" ht="15.6">
      <c r="A83" s="6"/>
      <c r="B83" s="32"/>
      <c r="C83" s="8"/>
      <c r="D83" s="8"/>
      <c r="E83" s="5"/>
    </row>
    <row r="84" spans="1:5" ht="15.6">
      <c r="A84" s="6"/>
      <c r="B84" s="32"/>
      <c r="C84" s="8"/>
      <c r="D84" s="8"/>
      <c r="E84" s="5"/>
    </row>
    <row r="85" spans="1:5" ht="15.6">
      <c r="A85" s="6"/>
      <c r="B85" s="32"/>
      <c r="C85" s="8"/>
      <c r="D85" s="8"/>
      <c r="E85" s="5"/>
    </row>
    <row r="86" spans="1:5" ht="15.6">
      <c r="A86" s="6"/>
      <c r="B86" s="32"/>
      <c r="C86" s="8"/>
      <c r="D86" s="8"/>
      <c r="E86" s="5"/>
    </row>
    <row r="87" spans="1:5" ht="15.6">
      <c r="A87" s="6"/>
      <c r="B87" s="32"/>
      <c r="C87" s="8"/>
      <c r="D87" s="8"/>
      <c r="E87" s="5"/>
    </row>
    <row r="88" spans="1:5" ht="15.6">
      <c r="A88" s="6"/>
      <c r="B88" s="32"/>
      <c r="C88" s="8"/>
      <c r="D88" s="8"/>
      <c r="E88" s="5"/>
    </row>
    <row r="89" spans="1:5" ht="15.6">
      <c r="A89" s="6"/>
      <c r="B89" s="32"/>
      <c r="C89" s="8"/>
      <c r="D89" s="8"/>
      <c r="E89" s="5"/>
    </row>
    <row r="90" spans="1:5" ht="15.6">
      <c r="A90" s="6"/>
      <c r="B90" s="32"/>
      <c r="C90" s="8"/>
      <c r="D90" s="8"/>
      <c r="E90" s="5"/>
    </row>
    <row r="91" spans="1:5" ht="15.6">
      <c r="A91" s="6"/>
      <c r="B91" s="32"/>
      <c r="C91" s="8"/>
      <c r="D91" s="8"/>
      <c r="E91" s="5"/>
    </row>
    <row r="92" spans="1:5" ht="15.6">
      <c r="A92" s="6"/>
      <c r="B92" s="32"/>
      <c r="C92" s="8"/>
      <c r="D92" s="8"/>
      <c r="E92" s="5"/>
    </row>
    <row r="93" spans="1:5" ht="15.6">
      <c r="A93" s="6"/>
      <c r="B93" s="32"/>
      <c r="C93" s="8"/>
      <c r="D93" s="8"/>
      <c r="E93" s="5"/>
    </row>
    <row r="94" spans="1:5" ht="15.6">
      <c r="A94" s="6"/>
      <c r="B94" s="32"/>
      <c r="C94" s="8"/>
      <c r="D94" s="8"/>
      <c r="E94" s="5"/>
    </row>
    <row r="95" spans="1:5" ht="15.6">
      <c r="A95" s="6"/>
      <c r="B95" s="32"/>
      <c r="C95" s="8"/>
      <c r="D95" s="8"/>
      <c r="E95" s="5"/>
    </row>
    <row r="96" spans="1:5" ht="15.6">
      <c r="A96" s="6"/>
      <c r="B96" s="32"/>
      <c r="C96" s="8"/>
      <c r="D96" s="8"/>
      <c r="E96" s="5"/>
    </row>
    <row r="97" spans="1:5" ht="15.6">
      <c r="A97" s="6"/>
      <c r="B97" s="32"/>
      <c r="C97" s="8"/>
      <c r="D97" s="8"/>
      <c r="E97" s="5"/>
    </row>
    <row r="98" spans="1:5" ht="15.6">
      <c r="A98" s="6"/>
      <c r="B98" s="32"/>
      <c r="C98" s="8"/>
      <c r="D98" s="8"/>
      <c r="E98" s="5"/>
    </row>
    <row r="99" spans="1:5" ht="15.6">
      <c r="A99" s="6"/>
      <c r="B99" s="32"/>
      <c r="C99" s="8"/>
      <c r="D99" s="8"/>
      <c r="E99" s="5"/>
    </row>
    <row r="100" spans="1:5" ht="15.6">
      <c r="A100" s="6"/>
      <c r="B100" s="32"/>
      <c r="C100" s="8"/>
      <c r="D100" s="8"/>
      <c r="E100" s="5"/>
    </row>
    <row r="101" spans="1:5" ht="15.6">
      <c r="A101" s="6"/>
      <c r="B101" s="32"/>
      <c r="C101" s="8"/>
      <c r="D101" s="8"/>
      <c r="E101" s="5"/>
    </row>
  </sheetData>
  <mergeCells count="3">
    <mergeCell ref="C9:E9"/>
    <mergeCell ref="A1:E1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FCD9-A9AC-450A-AA46-B274D4BC8B73}">
  <sheetPr>
    <tabColor rgb="FF00B050"/>
  </sheetPr>
  <dimension ref="A1:N100"/>
  <sheetViews>
    <sheetView workbookViewId="0">
      <selection activeCell="A9" sqref="A9"/>
    </sheetView>
  </sheetViews>
  <sheetFormatPr defaultRowHeight="14.4"/>
  <cols>
    <col min="1" max="1" width="99.77734375" bestFit="1" customWidth="1"/>
    <col min="2" max="2" width="38.88671875" style="9" bestFit="1" customWidth="1"/>
    <col min="3" max="3" width="31.77734375" customWidth="1"/>
    <col min="4" max="4" width="26.5546875" bestFit="1" customWidth="1"/>
    <col min="5" max="5" width="31.33203125" style="3" bestFit="1" customWidth="1"/>
    <col min="6" max="6" width="8.77734375" customWidth="1"/>
    <col min="7" max="7" width="12.109375" bestFit="1" customWidth="1"/>
    <col min="8" max="8" width="16.6640625" bestFit="1" customWidth="1"/>
    <col min="9" max="9" width="14.109375" bestFit="1" customWidth="1"/>
    <col min="10" max="10" width="13.109375" bestFit="1" customWidth="1"/>
    <col min="11" max="12" width="14.109375" bestFit="1" customWidth="1"/>
    <col min="13" max="13" width="13.109375" bestFit="1" customWidth="1"/>
    <col min="14" max="14" width="15.664062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</row>
    <row r="3" spans="1:14" ht="16.2" thickBot="1">
      <c r="A3" s="1"/>
      <c r="B3" s="4" t="s">
        <v>1</v>
      </c>
    </row>
    <row r="4" spans="1:14" ht="16.2" thickBot="1">
      <c r="A4" s="10" t="s">
        <v>2</v>
      </c>
      <c r="B4" s="11">
        <f>SUM(B5:B100)</f>
        <v>8078061.3700000001</v>
      </c>
      <c r="C4" s="12" t="s">
        <v>3</v>
      </c>
      <c r="D4" s="12" t="s">
        <v>5</v>
      </c>
      <c r="E4" s="13" t="s">
        <v>4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</row>
    <row r="5" spans="1:14" ht="16.2" thickBot="1">
      <c r="A5" s="57" t="s">
        <v>83</v>
      </c>
      <c r="B5" s="58">
        <v>62876.3</v>
      </c>
      <c r="C5" s="93" t="s">
        <v>22</v>
      </c>
      <c r="D5" s="94"/>
      <c r="E5" s="95"/>
      <c r="G5" s="14"/>
      <c r="H5" s="36"/>
      <c r="I5" s="16">
        <f>H5*4.8%</f>
        <v>0</v>
      </c>
      <c r="J5" s="16">
        <f>H5*0.65%</f>
        <v>0</v>
      </c>
      <c r="K5" s="16">
        <f>H5*3%</f>
        <v>0</v>
      </c>
      <c r="L5" s="16">
        <f>H5*1%</f>
        <v>0</v>
      </c>
      <c r="M5" s="16">
        <f>H5*2%</f>
        <v>0</v>
      </c>
      <c r="N5" s="16">
        <f>H5-I5-J5-K5-L5-M5</f>
        <v>0</v>
      </c>
    </row>
    <row r="6" spans="1:14" ht="15.6">
      <c r="A6" s="57" t="s">
        <v>18</v>
      </c>
      <c r="B6" s="58">
        <v>7700000</v>
      </c>
      <c r="C6" s="93" t="s">
        <v>22</v>
      </c>
      <c r="D6" s="94"/>
      <c r="E6" s="95"/>
    </row>
    <row r="7" spans="1:14" ht="15.6">
      <c r="A7" s="59" t="s">
        <v>84</v>
      </c>
      <c r="B7" s="60">
        <v>315185.07</v>
      </c>
      <c r="C7" s="65" t="s">
        <v>26</v>
      </c>
      <c r="D7" s="66" t="s">
        <v>85</v>
      </c>
      <c r="E7" s="68" t="s">
        <v>81</v>
      </c>
    </row>
    <row r="8" spans="1:14" ht="15.6">
      <c r="A8" s="6"/>
      <c r="B8" s="7"/>
      <c r="C8" s="96"/>
      <c r="D8" s="97"/>
      <c r="E8" s="98"/>
    </row>
    <row r="9" spans="1:14" ht="15.6">
      <c r="A9" s="6"/>
      <c r="B9" s="7"/>
      <c r="C9" s="96"/>
      <c r="D9" s="97"/>
      <c r="E9" s="98"/>
    </row>
    <row r="10" spans="1:14" ht="15.6">
      <c r="A10" s="6"/>
      <c r="B10" s="7"/>
      <c r="C10" s="54"/>
      <c r="D10" s="54"/>
      <c r="E10" s="5"/>
    </row>
    <row r="11" spans="1:14" ht="15.6">
      <c r="A11" s="6"/>
      <c r="B11" s="7"/>
      <c r="C11" s="96"/>
      <c r="D11" s="97"/>
      <c r="E11" s="98"/>
    </row>
    <row r="12" spans="1:14" ht="15.6">
      <c r="A12" s="6"/>
      <c r="B12" s="7"/>
      <c r="C12" s="54"/>
      <c r="D12" s="54"/>
      <c r="E12" s="5"/>
    </row>
    <row r="13" spans="1:14" ht="15.6">
      <c r="A13" s="6"/>
      <c r="B13" s="7"/>
      <c r="C13" s="54"/>
      <c r="D13" s="54"/>
      <c r="E13" s="5"/>
    </row>
    <row r="14" spans="1:14" ht="15.6">
      <c r="A14" s="6"/>
      <c r="B14" s="7"/>
      <c r="C14" s="54"/>
      <c r="D14" s="54"/>
      <c r="E14" s="5"/>
    </row>
    <row r="15" spans="1:14" ht="15.6">
      <c r="A15" s="6"/>
      <c r="B15" s="7"/>
      <c r="C15" s="8"/>
      <c r="D15" s="8"/>
      <c r="E15" s="5"/>
    </row>
    <row r="16" spans="1:14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6">
    <mergeCell ref="C9:E9"/>
    <mergeCell ref="C11:E11"/>
    <mergeCell ref="A1:E1"/>
    <mergeCell ref="C5:E5"/>
    <mergeCell ref="C6:E6"/>
    <mergeCell ref="C8:E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C206-8FF7-4661-9720-4614B276B5E3}">
  <sheetPr>
    <tabColor rgb="FF00B050"/>
  </sheetPr>
  <dimension ref="A1:N100"/>
  <sheetViews>
    <sheetView workbookViewId="0">
      <selection activeCell="A11" sqref="A11"/>
    </sheetView>
  </sheetViews>
  <sheetFormatPr defaultRowHeight="14.4"/>
  <cols>
    <col min="1" max="1" width="81.21875" bestFit="1" customWidth="1"/>
    <col min="2" max="2" width="38.88671875" style="9" bestFit="1" customWidth="1"/>
    <col min="3" max="3" width="15.77734375" bestFit="1" customWidth="1"/>
    <col min="4" max="4" width="25.6640625" bestFit="1" customWidth="1"/>
    <col min="5" max="5" width="33.44140625" style="3" bestFit="1" customWidth="1"/>
    <col min="6" max="6" width="8.77734375" customWidth="1"/>
    <col min="7" max="7" width="16.109375" bestFit="1" customWidth="1"/>
    <col min="8" max="8" width="20.109375" bestFit="1" customWidth="1"/>
    <col min="9" max="9" width="14.21875" bestFit="1" customWidth="1"/>
    <col min="10" max="10" width="12.6640625" bestFit="1" customWidth="1"/>
    <col min="11" max="12" width="14.21875" bestFit="1" customWidth="1"/>
    <col min="13" max="13" width="13.21875" bestFit="1" customWidth="1"/>
    <col min="14" max="14" width="15.77734375" bestFit="1" customWidth="1"/>
    <col min="15" max="20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  <c r="G2" s="54" t="s">
        <v>6</v>
      </c>
      <c r="H2" s="54" t="s">
        <v>7</v>
      </c>
      <c r="I2" s="54" t="s">
        <v>8</v>
      </c>
      <c r="J2" s="54" t="s">
        <v>9</v>
      </c>
      <c r="K2" s="54" t="s">
        <v>10</v>
      </c>
      <c r="L2" s="54" t="s">
        <v>11</v>
      </c>
      <c r="M2" s="54" t="s">
        <v>12</v>
      </c>
      <c r="N2" s="54" t="s">
        <v>13</v>
      </c>
    </row>
    <row r="3" spans="1:14" ht="15.6">
      <c r="A3" s="1"/>
      <c r="B3" s="4" t="s">
        <v>1</v>
      </c>
      <c r="G3" s="72">
        <v>69</v>
      </c>
      <c r="H3" s="69">
        <v>288407.18</v>
      </c>
      <c r="I3" s="71">
        <f t="shared" ref="I3:I33" si="0">H3*4.8%</f>
        <v>13843.54464</v>
      </c>
      <c r="J3" s="71">
        <f t="shared" ref="J3:J33" si="1">H3*0.65%</f>
        <v>1874.6466700000001</v>
      </c>
      <c r="K3" s="71">
        <f t="shared" ref="K3:K33" si="2">H3*3%</f>
        <v>8652.2153999999991</v>
      </c>
      <c r="L3" s="71">
        <f t="shared" ref="L3:L33" si="3">H3*1%</f>
        <v>2884.0718000000002</v>
      </c>
      <c r="M3" s="71"/>
      <c r="N3" s="71">
        <f t="shared" ref="N3:N33" si="4">H3-I3-J3-K3-L3-M3</f>
        <v>261152.70149000004</v>
      </c>
    </row>
    <row r="4" spans="1:14" ht="15.6">
      <c r="A4" s="10" t="s">
        <v>2</v>
      </c>
      <c r="B4" s="11">
        <f>SUM(B5:B100)</f>
        <v>20685625.309999999</v>
      </c>
      <c r="C4" s="12" t="s">
        <v>3</v>
      </c>
      <c r="D4" s="12" t="s">
        <v>5</v>
      </c>
      <c r="E4" s="13" t="s">
        <v>4</v>
      </c>
      <c r="G4" s="72">
        <v>884</v>
      </c>
      <c r="H4" s="69">
        <v>163395.82</v>
      </c>
      <c r="I4" s="71">
        <f t="shared" si="0"/>
        <v>7842.9993600000007</v>
      </c>
      <c r="J4" s="71">
        <f t="shared" si="1"/>
        <v>1062.0728300000001</v>
      </c>
      <c r="K4" s="71">
        <f t="shared" si="2"/>
        <v>4901.8746000000001</v>
      </c>
      <c r="L4" s="71">
        <f t="shared" si="3"/>
        <v>1633.9582</v>
      </c>
      <c r="M4" s="71"/>
      <c r="N4" s="71">
        <f t="shared" si="4"/>
        <v>147954.91501000003</v>
      </c>
    </row>
    <row r="5" spans="1:14" ht="15.6">
      <c r="A5" s="57" t="s">
        <v>86</v>
      </c>
      <c r="B5" s="58">
        <v>21671.07</v>
      </c>
      <c r="C5" s="93" t="s">
        <v>22</v>
      </c>
      <c r="D5" s="94"/>
      <c r="E5" s="95"/>
      <c r="G5" s="72">
        <v>2600000000069</v>
      </c>
      <c r="H5" s="69">
        <v>312875.83</v>
      </c>
      <c r="I5" s="71">
        <f t="shared" si="0"/>
        <v>15018.039840000001</v>
      </c>
      <c r="J5" s="71">
        <f t="shared" si="1"/>
        <v>2033.6928950000004</v>
      </c>
      <c r="K5" s="71">
        <f t="shared" si="2"/>
        <v>9386.2749000000003</v>
      </c>
      <c r="L5" s="71">
        <f t="shared" si="3"/>
        <v>3128.7583000000004</v>
      </c>
      <c r="M5" s="71"/>
      <c r="N5" s="71">
        <f t="shared" si="4"/>
        <v>283309.06406500004</v>
      </c>
    </row>
    <row r="6" spans="1:14" ht="15.6">
      <c r="A6" s="57" t="s">
        <v>86</v>
      </c>
      <c r="B6" s="58">
        <v>27159.07</v>
      </c>
      <c r="C6" s="93" t="s">
        <v>22</v>
      </c>
      <c r="D6" s="94"/>
      <c r="E6" s="95"/>
      <c r="G6" s="72">
        <v>494</v>
      </c>
      <c r="H6" s="69">
        <v>394712.32000000001</v>
      </c>
      <c r="I6" s="71">
        <f t="shared" si="0"/>
        <v>18946.191360000001</v>
      </c>
      <c r="J6" s="71">
        <f t="shared" si="1"/>
        <v>2565.6300800000004</v>
      </c>
      <c r="K6" s="71">
        <f t="shared" si="2"/>
        <v>11841.3696</v>
      </c>
      <c r="L6" s="71">
        <f t="shared" si="3"/>
        <v>3947.1232</v>
      </c>
      <c r="M6" s="71"/>
      <c r="N6" s="71">
        <f t="shared" si="4"/>
        <v>357412.00576000009</v>
      </c>
    </row>
    <row r="7" spans="1:14" ht="15.6">
      <c r="A7" s="57" t="s">
        <v>87</v>
      </c>
      <c r="B7" s="58">
        <v>4200447.22</v>
      </c>
      <c r="C7" s="93" t="s">
        <v>22</v>
      </c>
      <c r="D7" s="94"/>
      <c r="E7" s="95"/>
      <c r="G7" s="72">
        <v>66</v>
      </c>
      <c r="H7" s="69">
        <v>521951.29</v>
      </c>
      <c r="I7" s="71">
        <f t="shared" si="0"/>
        <v>25053.661919999999</v>
      </c>
      <c r="J7" s="71">
        <f t="shared" si="1"/>
        <v>3392.6833850000003</v>
      </c>
      <c r="K7" s="71">
        <f t="shared" si="2"/>
        <v>15658.538699999999</v>
      </c>
      <c r="L7" s="71">
        <f t="shared" si="3"/>
        <v>5219.5128999999997</v>
      </c>
      <c r="M7" s="71"/>
      <c r="N7" s="71">
        <f t="shared" si="4"/>
        <v>472626.89309500006</v>
      </c>
    </row>
    <row r="8" spans="1:14" ht="15.6">
      <c r="A8" s="57" t="s">
        <v>18</v>
      </c>
      <c r="B8" s="58">
        <v>2500000</v>
      </c>
      <c r="C8" s="93" t="s">
        <v>22</v>
      </c>
      <c r="D8" s="94"/>
      <c r="E8" s="95"/>
      <c r="G8" s="72">
        <v>1115</v>
      </c>
      <c r="H8" s="69">
        <v>438735.2</v>
      </c>
      <c r="I8" s="71">
        <f t="shared" si="0"/>
        <v>21059.2896</v>
      </c>
      <c r="J8" s="71">
        <f t="shared" si="1"/>
        <v>2851.7788000000005</v>
      </c>
      <c r="K8" s="71">
        <f t="shared" si="2"/>
        <v>13162.056</v>
      </c>
      <c r="L8" s="71">
        <f t="shared" si="3"/>
        <v>4387.3519999999999</v>
      </c>
      <c r="M8" s="71"/>
      <c r="N8" s="71">
        <f t="shared" si="4"/>
        <v>397274.72359999997</v>
      </c>
    </row>
    <row r="9" spans="1:14" ht="15.6">
      <c r="A9" s="59" t="s">
        <v>88</v>
      </c>
      <c r="B9" s="60">
        <v>81.58</v>
      </c>
      <c r="C9" s="61" t="s">
        <v>26</v>
      </c>
      <c r="D9" s="61" t="s">
        <v>95</v>
      </c>
      <c r="E9" s="62" t="s">
        <v>103</v>
      </c>
      <c r="G9" s="72">
        <v>1105</v>
      </c>
      <c r="H9" s="69">
        <v>213188.51</v>
      </c>
      <c r="I9" s="71">
        <f t="shared" si="0"/>
        <v>10233.048480000001</v>
      </c>
      <c r="J9" s="71">
        <f t="shared" si="1"/>
        <v>1385.7253150000001</v>
      </c>
      <c r="K9" s="71">
        <f t="shared" si="2"/>
        <v>6395.6553000000004</v>
      </c>
      <c r="L9" s="71">
        <f t="shared" si="3"/>
        <v>2131.8851</v>
      </c>
      <c r="M9" s="71"/>
      <c r="N9" s="71">
        <f t="shared" si="4"/>
        <v>193042.195805</v>
      </c>
    </row>
    <row r="10" spans="1:14" ht="15.6">
      <c r="A10" s="59" t="s">
        <v>89</v>
      </c>
      <c r="B10" s="60">
        <v>25282.16</v>
      </c>
      <c r="C10" s="61" t="s">
        <v>26</v>
      </c>
      <c r="D10" s="61" t="s">
        <v>96</v>
      </c>
      <c r="E10" s="62" t="s">
        <v>104</v>
      </c>
      <c r="G10" s="72">
        <v>4853</v>
      </c>
      <c r="H10" s="69">
        <v>547482.67000000004</v>
      </c>
      <c r="I10" s="71">
        <f t="shared" si="0"/>
        <v>26279.168160000001</v>
      </c>
      <c r="J10" s="71">
        <f t="shared" si="1"/>
        <v>3558.6373550000008</v>
      </c>
      <c r="K10" s="71">
        <f t="shared" si="2"/>
        <v>16424.480100000001</v>
      </c>
      <c r="L10" s="71">
        <f t="shared" si="3"/>
        <v>5474.8267000000005</v>
      </c>
      <c r="M10" s="71"/>
      <c r="N10" s="71">
        <f t="shared" si="4"/>
        <v>495745.55768500007</v>
      </c>
    </row>
    <row r="11" spans="1:14" ht="15.6">
      <c r="A11" s="59" t="s">
        <v>90</v>
      </c>
      <c r="B11" s="60">
        <v>46905.88</v>
      </c>
      <c r="C11" s="61" t="s">
        <v>26</v>
      </c>
      <c r="D11" s="61" t="s">
        <v>97</v>
      </c>
      <c r="E11" s="62" t="s">
        <v>81</v>
      </c>
      <c r="G11" s="72">
        <v>1140</v>
      </c>
      <c r="H11" s="69">
        <v>170213.24</v>
      </c>
      <c r="I11" s="71">
        <f t="shared" si="0"/>
        <v>8170.2355199999993</v>
      </c>
      <c r="J11" s="71">
        <f t="shared" si="1"/>
        <v>1106.38606</v>
      </c>
      <c r="K11" s="71">
        <f t="shared" si="2"/>
        <v>5106.3971999999994</v>
      </c>
      <c r="L11" s="71">
        <f t="shared" si="3"/>
        <v>1702.1324</v>
      </c>
      <c r="M11" s="71"/>
      <c r="N11" s="71">
        <f t="shared" si="4"/>
        <v>154128.08882</v>
      </c>
    </row>
    <row r="12" spans="1:14" ht="15.6">
      <c r="A12" s="59" t="s">
        <v>91</v>
      </c>
      <c r="B12" s="60">
        <v>2558771.2999999998</v>
      </c>
      <c r="C12" s="61" t="s">
        <v>26</v>
      </c>
      <c r="D12" s="61" t="s">
        <v>98</v>
      </c>
      <c r="E12" s="67" t="s">
        <v>105</v>
      </c>
      <c r="G12" s="72">
        <v>46</v>
      </c>
      <c r="H12" s="69">
        <v>387925.57</v>
      </c>
      <c r="I12" s="71">
        <f t="shared" si="0"/>
        <v>18620.427360000001</v>
      </c>
      <c r="J12" s="71">
        <f t="shared" si="1"/>
        <v>2521.5162050000004</v>
      </c>
      <c r="K12" s="71">
        <f t="shared" si="2"/>
        <v>11637.767099999999</v>
      </c>
      <c r="L12" s="71">
        <f t="shared" si="3"/>
        <v>3879.2557000000002</v>
      </c>
      <c r="M12" s="71"/>
      <c r="N12" s="71">
        <f t="shared" si="4"/>
        <v>351266.60363500001</v>
      </c>
    </row>
    <row r="13" spans="1:14" ht="15.6">
      <c r="A13" s="59" t="s">
        <v>92</v>
      </c>
      <c r="B13" s="60">
        <v>922740.25</v>
      </c>
      <c r="C13" s="61" t="s">
        <v>26</v>
      </c>
      <c r="D13" s="61" t="s">
        <v>99</v>
      </c>
      <c r="E13" s="67" t="s">
        <v>153</v>
      </c>
      <c r="G13" s="72">
        <v>44</v>
      </c>
      <c r="H13" s="69">
        <v>233220.15</v>
      </c>
      <c r="I13" s="71">
        <f t="shared" si="0"/>
        <v>11194.5672</v>
      </c>
      <c r="J13" s="71">
        <f t="shared" si="1"/>
        <v>1515.930975</v>
      </c>
      <c r="K13" s="71">
        <f t="shared" si="2"/>
        <v>6996.6044999999995</v>
      </c>
      <c r="L13" s="71">
        <f t="shared" si="3"/>
        <v>2332.2015000000001</v>
      </c>
      <c r="M13" s="71"/>
      <c r="N13" s="71">
        <f t="shared" si="4"/>
        <v>211180.84582500003</v>
      </c>
    </row>
    <row r="14" spans="1:14" ht="15.6">
      <c r="A14" s="59" t="s">
        <v>92</v>
      </c>
      <c r="B14" s="60">
        <v>744089.94</v>
      </c>
      <c r="C14" s="61" t="s">
        <v>26</v>
      </c>
      <c r="D14" s="61" t="s">
        <v>100</v>
      </c>
      <c r="E14" s="62" t="s">
        <v>106</v>
      </c>
      <c r="G14" s="72">
        <v>967</v>
      </c>
      <c r="H14" s="69">
        <v>780970.15</v>
      </c>
      <c r="I14" s="71">
        <f t="shared" si="0"/>
        <v>37486.567200000005</v>
      </c>
      <c r="J14" s="71">
        <f t="shared" si="1"/>
        <v>5076.3059750000002</v>
      </c>
      <c r="K14" s="71">
        <f t="shared" si="2"/>
        <v>23429.104500000001</v>
      </c>
      <c r="L14" s="71">
        <f t="shared" si="3"/>
        <v>7809.7015000000001</v>
      </c>
      <c r="M14" s="71"/>
      <c r="N14" s="71">
        <f t="shared" si="4"/>
        <v>707168.47082499997</v>
      </c>
    </row>
    <row r="15" spans="1:14" ht="15.6">
      <c r="A15" s="59" t="s">
        <v>93</v>
      </c>
      <c r="B15" s="60">
        <v>1287319.76</v>
      </c>
      <c r="C15" s="61" t="s">
        <v>26</v>
      </c>
      <c r="D15" s="61" t="s">
        <v>101</v>
      </c>
      <c r="E15" s="62" t="s">
        <v>107</v>
      </c>
      <c r="G15" s="72">
        <v>1416</v>
      </c>
      <c r="H15" s="69">
        <v>231124.89</v>
      </c>
      <c r="I15" s="71">
        <f t="shared" si="0"/>
        <v>11093.994720000001</v>
      </c>
      <c r="J15" s="71">
        <f t="shared" si="1"/>
        <v>1502.3117850000003</v>
      </c>
      <c r="K15" s="71">
        <f t="shared" si="2"/>
        <v>6933.7467000000006</v>
      </c>
      <c r="L15" s="71">
        <f t="shared" si="3"/>
        <v>2311.2489</v>
      </c>
      <c r="M15" s="71"/>
      <c r="N15" s="71">
        <f>H15-I15-J15-K15-L15-M15</f>
        <v>209283.58789500003</v>
      </c>
    </row>
    <row r="16" spans="1:14" ht="15.6">
      <c r="A16" s="59" t="s">
        <v>94</v>
      </c>
      <c r="B16" s="60">
        <v>8351157.0800000001</v>
      </c>
      <c r="C16" s="61" t="s">
        <v>26</v>
      </c>
      <c r="D16" s="61" t="s">
        <v>102</v>
      </c>
      <c r="E16" s="62" t="s">
        <v>108</v>
      </c>
      <c r="G16" s="72">
        <v>51</v>
      </c>
      <c r="H16" s="69">
        <v>495438.33</v>
      </c>
      <c r="I16" s="71">
        <f t="shared" si="0"/>
        <v>23781.039840000001</v>
      </c>
      <c r="J16" s="71">
        <f t="shared" si="1"/>
        <v>3220.3491450000006</v>
      </c>
      <c r="K16" s="71">
        <f t="shared" si="2"/>
        <v>14863.1499</v>
      </c>
      <c r="L16" s="71">
        <f t="shared" si="3"/>
        <v>4954.3833000000004</v>
      </c>
      <c r="M16" s="71"/>
      <c r="N16" s="71">
        <f t="shared" si="4"/>
        <v>448619.40781500004</v>
      </c>
    </row>
    <row r="17" spans="1:14" ht="15.6">
      <c r="A17" s="6"/>
      <c r="B17" s="7"/>
      <c r="C17" s="8"/>
      <c r="D17" s="8"/>
      <c r="E17" s="5"/>
      <c r="G17" s="72">
        <v>1349</v>
      </c>
      <c r="H17" s="69">
        <v>420970.53</v>
      </c>
      <c r="I17" s="71">
        <f t="shared" si="0"/>
        <v>20206.585440000003</v>
      </c>
      <c r="J17" s="71">
        <f t="shared" si="1"/>
        <v>2736.3084450000006</v>
      </c>
      <c r="K17" s="71">
        <f t="shared" si="2"/>
        <v>12629.115900000001</v>
      </c>
      <c r="L17" s="71">
        <f t="shared" si="3"/>
        <v>4209.7053000000005</v>
      </c>
      <c r="M17" s="71"/>
      <c r="N17" s="71">
        <f t="shared" si="4"/>
        <v>381188.81491500011</v>
      </c>
    </row>
    <row r="18" spans="1:14" ht="15.6">
      <c r="A18" s="6"/>
      <c r="B18" s="7"/>
      <c r="C18" s="8"/>
      <c r="D18" s="8"/>
      <c r="E18" s="5"/>
      <c r="G18" s="72">
        <v>1265</v>
      </c>
      <c r="H18" s="69">
        <v>164857.10999999999</v>
      </c>
      <c r="I18" s="71">
        <f t="shared" si="0"/>
        <v>7913.1412799999998</v>
      </c>
      <c r="J18" s="71">
        <f t="shared" si="1"/>
        <v>1071.5712149999999</v>
      </c>
      <c r="K18" s="71">
        <f t="shared" si="2"/>
        <v>4945.7132999999994</v>
      </c>
      <c r="L18" s="71">
        <f t="shared" si="3"/>
        <v>1648.5710999999999</v>
      </c>
      <c r="M18" s="71"/>
      <c r="N18" s="71">
        <f t="shared" si="4"/>
        <v>149278.11310499997</v>
      </c>
    </row>
    <row r="19" spans="1:14" ht="15.6">
      <c r="A19" s="6"/>
      <c r="B19" s="7"/>
      <c r="C19" s="8"/>
      <c r="D19" s="8"/>
      <c r="E19" s="5"/>
      <c r="G19" s="72">
        <v>1141</v>
      </c>
      <c r="H19" s="69">
        <v>214032.24</v>
      </c>
      <c r="I19" s="71">
        <f t="shared" si="0"/>
        <v>10273.54752</v>
      </c>
      <c r="J19" s="71">
        <f t="shared" si="1"/>
        <v>1391.20956</v>
      </c>
      <c r="K19" s="71">
        <f t="shared" si="2"/>
        <v>6420.9671999999991</v>
      </c>
      <c r="L19" s="71">
        <f t="shared" si="3"/>
        <v>2140.3224</v>
      </c>
      <c r="M19" s="71"/>
      <c r="N19" s="71">
        <f t="shared" si="4"/>
        <v>193806.19332000002</v>
      </c>
    </row>
    <row r="20" spans="1:14" ht="15.6">
      <c r="A20" s="6"/>
      <c r="B20" s="7"/>
      <c r="C20" s="8"/>
      <c r="D20" s="8"/>
      <c r="E20" s="5"/>
      <c r="G20" s="72">
        <v>65</v>
      </c>
      <c r="H20" s="69">
        <v>424715.43</v>
      </c>
      <c r="I20" s="71">
        <f t="shared" si="0"/>
        <v>20386.340639999999</v>
      </c>
      <c r="J20" s="71">
        <f t="shared" si="1"/>
        <v>2760.6502950000004</v>
      </c>
      <c r="K20" s="71">
        <f t="shared" si="2"/>
        <v>12741.462899999999</v>
      </c>
      <c r="L20" s="71">
        <f t="shared" si="3"/>
        <v>4247.1543000000001</v>
      </c>
      <c r="M20" s="71"/>
      <c r="N20" s="71">
        <f t="shared" si="4"/>
        <v>384579.82186500001</v>
      </c>
    </row>
    <row r="21" spans="1:14" ht="15.6">
      <c r="A21" s="6"/>
      <c r="B21" s="7"/>
      <c r="C21" s="8"/>
      <c r="D21" s="8"/>
      <c r="E21" s="5"/>
      <c r="G21" s="72">
        <v>58</v>
      </c>
      <c r="H21" s="69">
        <v>197271.05</v>
      </c>
      <c r="I21" s="71">
        <f t="shared" si="0"/>
        <v>9469.0103999999992</v>
      </c>
      <c r="J21" s="71">
        <f t="shared" si="1"/>
        <v>1282.261825</v>
      </c>
      <c r="K21" s="71">
        <f t="shared" si="2"/>
        <v>5918.1314999999995</v>
      </c>
      <c r="L21" s="71">
        <f t="shared" si="3"/>
        <v>1972.7104999999999</v>
      </c>
      <c r="M21" s="71"/>
      <c r="N21" s="71">
        <f t="shared" si="4"/>
        <v>178628.93577500002</v>
      </c>
    </row>
    <row r="22" spans="1:14" ht="15.6">
      <c r="A22" s="6"/>
      <c r="B22" s="7"/>
      <c r="C22" s="8"/>
      <c r="D22" s="8"/>
      <c r="E22" s="5"/>
      <c r="G22" s="72">
        <v>1227</v>
      </c>
      <c r="H22" s="69">
        <v>295779.8</v>
      </c>
      <c r="I22" s="71">
        <f t="shared" si="0"/>
        <v>14197.430399999999</v>
      </c>
      <c r="J22" s="71">
        <f t="shared" si="1"/>
        <v>1922.5687</v>
      </c>
      <c r="K22" s="71">
        <f t="shared" si="2"/>
        <v>8873.3939999999984</v>
      </c>
      <c r="L22" s="71">
        <f t="shared" si="3"/>
        <v>2957.7979999999998</v>
      </c>
      <c r="M22" s="71"/>
      <c r="N22" s="71">
        <f t="shared" si="4"/>
        <v>267828.60889999999</v>
      </c>
    </row>
    <row r="23" spans="1:14" ht="15.6">
      <c r="A23" s="6"/>
      <c r="B23" s="7"/>
      <c r="C23" s="8"/>
      <c r="D23" s="8"/>
      <c r="E23" s="5"/>
      <c r="G23" s="72">
        <v>70</v>
      </c>
      <c r="H23" s="69">
        <v>315411.42</v>
      </c>
      <c r="I23" s="71">
        <f t="shared" si="0"/>
        <v>15139.748159999999</v>
      </c>
      <c r="J23" s="71">
        <f t="shared" si="1"/>
        <v>2050.1742300000001</v>
      </c>
      <c r="K23" s="71">
        <f t="shared" si="2"/>
        <v>9462.3425999999999</v>
      </c>
      <c r="L23" s="71">
        <f t="shared" si="3"/>
        <v>3154.1142</v>
      </c>
      <c r="M23" s="71"/>
      <c r="N23" s="71">
        <f t="shared" si="4"/>
        <v>285605.04080999998</v>
      </c>
    </row>
    <row r="24" spans="1:14" ht="15.6">
      <c r="A24" s="6"/>
      <c r="B24" s="7"/>
      <c r="C24" s="8"/>
      <c r="D24" s="8"/>
      <c r="E24" s="5"/>
      <c r="G24" s="72">
        <v>1000901</v>
      </c>
      <c r="H24" s="69">
        <v>197769.69</v>
      </c>
      <c r="I24" s="71">
        <f t="shared" si="0"/>
        <v>9492.9451200000003</v>
      </c>
      <c r="J24" s="71">
        <f t="shared" si="1"/>
        <v>1285.5029850000001</v>
      </c>
      <c r="K24" s="71">
        <f t="shared" si="2"/>
        <v>5933.0906999999997</v>
      </c>
      <c r="L24" s="71">
        <f t="shared" si="3"/>
        <v>1977.6969000000001</v>
      </c>
      <c r="M24" s="71"/>
      <c r="N24" s="71">
        <f t="shared" si="4"/>
        <v>179080.454295</v>
      </c>
    </row>
    <row r="25" spans="1:14" ht="15.6">
      <c r="A25" s="6"/>
      <c r="B25" s="7"/>
      <c r="C25" s="8"/>
      <c r="D25" s="8"/>
      <c r="E25" s="5"/>
      <c r="G25" s="72">
        <v>1195</v>
      </c>
      <c r="H25" s="69">
        <v>383571.76</v>
      </c>
      <c r="I25" s="71">
        <f t="shared" si="0"/>
        <v>18411.444480000002</v>
      </c>
      <c r="J25" s="71">
        <f t="shared" si="1"/>
        <v>2493.2164400000001</v>
      </c>
      <c r="K25" s="71">
        <f t="shared" si="2"/>
        <v>11507.1528</v>
      </c>
      <c r="L25" s="71">
        <f t="shared" si="3"/>
        <v>3835.7175999999999</v>
      </c>
      <c r="M25" s="71"/>
      <c r="N25" s="71">
        <f t="shared" si="4"/>
        <v>347324.22868000006</v>
      </c>
    </row>
    <row r="26" spans="1:14" ht="15.6">
      <c r="A26" s="6"/>
      <c r="B26" s="7"/>
      <c r="C26" s="8"/>
      <c r="D26" s="8"/>
      <c r="E26" s="5"/>
      <c r="G26" s="72">
        <v>43</v>
      </c>
      <c r="H26" s="69">
        <v>288690.18</v>
      </c>
      <c r="I26" s="71">
        <f t="shared" si="0"/>
        <v>13857.128640000001</v>
      </c>
      <c r="J26" s="71">
        <f t="shared" si="1"/>
        <v>1876.4861700000001</v>
      </c>
      <c r="K26" s="71">
        <f t="shared" si="2"/>
        <v>8660.7053999999989</v>
      </c>
      <c r="L26" s="71">
        <f t="shared" si="3"/>
        <v>2886.9018000000001</v>
      </c>
      <c r="M26" s="71"/>
      <c r="N26" s="71">
        <f t="shared" si="4"/>
        <v>261408.95799000002</v>
      </c>
    </row>
    <row r="27" spans="1:14" ht="15.6">
      <c r="A27" s="6"/>
      <c r="B27" s="7"/>
      <c r="C27" s="8"/>
      <c r="D27" s="8"/>
      <c r="E27" s="5"/>
      <c r="G27" s="72">
        <v>884</v>
      </c>
      <c r="H27" s="69">
        <v>244739.32</v>
      </c>
      <c r="I27" s="71">
        <f t="shared" si="0"/>
        <v>11747.487360000001</v>
      </c>
      <c r="J27" s="71">
        <f t="shared" si="1"/>
        <v>1590.8055800000002</v>
      </c>
      <c r="K27" s="71">
        <f t="shared" si="2"/>
        <v>7342.1796000000004</v>
      </c>
      <c r="L27" s="71">
        <f t="shared" si="3"/>
        <v>2447.3932</v>
      </c>
      <c r="M27" s="71"/>
      <c r="N27" s="71">
        <f t="shared" si="4"/>
        <v>221611.45426</v>
      </c>
    </row>
    <row r="28" spans="1:14" ht="15.6">
      <c r="A28" s="6"/>
      <c r="B28" s="7"/>
      <c r="C28" s="8"/>
      <c r="D28" s="8"/>
      <c r="E28" s="5"/>
      <c r="G28" s="72">
        <v>51</v>
      </c>
      <c r="H28" s="69">
        <v>110796.18</v>
      </c>
      <c r="I28" s="71">
        <f t="shared" si="0"/>
        <v>5318.2166399999996</v>
      </c>
      <c r="J28" s="71">
        <f t="shared" si="1"/>
        <v>720.17516999999998</v>
      </c>
      <c r="K28" s="71">
        <f t="shared" si="2"/>
        <v>3323.8853999999997</v>
      </c>
      <c r="L28" s="71">
        <f t="shared" si="3"/>
        <v>1107.9618</v>
      </c>
      <c r="M28" s="71"/>
      <c r="N28" s="71">
        <f t="shared" si="4"/>
        <v>100325.94098999999</v>
      </c>
    </row>
    <row r="29" spans="1:14" ht="15.6">
      <c r="A29" s="6"/>
      <c r="B29" s="7"/>
      <c r="C29" s="8"/>
      <c r="D29" s="8"/>
      <c r="E29" s="5"/>
      <c r="G29" s="72">
        <v>19</v>
      </c>
      <c r="H29" s="69">
        <v>139907.82</v>
      </c>
      <c r="I29" s="71">
        <f t="shared" si="0"/>
        <v>6715.5753600000007</v>
      </c>
      <c r="J29" s="71">
        <f t="shared" si="1"/>
        <v>909.40083000000016</v>
      </c>
      <c r="K29" s="71">
        <f t="shared" si="2"/>
        <v>4197.2345999999998</v>
      </c>
      <c r="L29" s="71">
        <f t="shared" si="3"/>
        <v>1399.0782000000002</v>
      </c>
      <c r="M29" s="71"/>
      <c r="N29" s="71">
        <f t="shared" si="4"/>
        <v>126686.53101000002</v>
      </c>
    </row>
    <row r="30" spans="1:14" ht="15.6">
      <c r="A30" s="6"/>
      <c r="B30" s="7"/>
      <c r="C30" s="8"/>
      <c r="D30" s="8"/>
      <c r="E30" s="5"/>
      <c r="G30" s="72">
        <v>202600000000051</v>
      </c>
      <c r="H30" s="69">
        <v>152555.89000000001</v>
      </c>
      <c r="I30" s="71">
        <f t="shared" si="0"/>
        <v>7322.6827200000007</v>
      </c>
      <c r="J30" s="71">
        <f t="shared" si="1"/>
        <v>991.61328500000013</v>
      </c>
      <c r="K30" s="71">
        <f t="shared" si="2"/>
        <v>4576.6767</v>
      </c>
      <c r="L30" s="71">
        <f t="shared" si="3"/>
        <v>1525.5589000000002</v>
      </c>
      <c r="M30" s="71"/>
      <c r="N30" s="71">
        <f t="shared" si="4"/>
        <v>138139.35839499999</v>
      </c>
    </row>
    <row r="31" spans="1:14" ht="15.6">
      <c r="A31" s="6"/>
      <c r="B31" s="7"/>
      <c r="C31" s="8"/>
      <c r="D31" s="8"/>
      <c r="E31" s="5"/>
      <c r="G31" s="72">
        <v>43</v>
      </c>
      <c r="H31" s="69">
        <v>260639.86</v>
      </c>
      <c r="I31" s="71">
        <f t="shared" si="0"/>
        <v>12510.71328</v>
      </c>
      <c r="J31" s="71">
        <f t="shared" si="1"/>
        <v>1694.1590900000001</v>
      </c>
      <c r="K31" s="71">
        <f t="shared" si="2"/>
        <v>7819.1957999999995</v>
      </c>
      <c r="L31" s="71">
        <f t="shared" si="3"/>
        <v>2606.3986</v>
      </c>
      <c r="M31" s="71"/>
      <c r="N31" s="71">
        <f t="shared" si="4"/>
        <v>236009.39323000002</v>
      </c>
    </row>
    <row r="32" spans="1:14" ht="15.6">
      <c r="A32" s="6"/>
      <c r="B32" s="7"/>
      <c r="C32" s="8"/>
      <c r="D32" s="8"/>
      <c r="E32" s="5"/>
      <c r="G32" s="72">
        <v>3148</v>
      </c>
      <c r="H32" s="69">
        <v>183553.57</v>
      </c>
      <c r="I32" s="71">
        <f t="shared" si="0"/>
        <v>8810.5713599999999</v>
      </c>
      <c r="J32" s="71">
        <f t="shared" si="1"/>
        <v>1193.0982050000002</v>
      </c>
      <c r="K32" s="71">
        <f t="shared" si="2"/>
        <v>5506.6071000000002</v>
      </c>
      <c r="L32" s="71">
        <f t="shared" si="3"/>
        <v>1835.5357000000001</v>
      </c>
      <c r="M32" s="71">
        <f t="shared" ref="M32:M33" si="5">H32*5%</f>
        <v>9177.6785</v>
      </c>
      <c r="N32" s="71">
        <f t="shared" si="4"/>
        <v>157030.07913500001</v>
      </c>
    </row>
    <row r="33" spans="1:14" ht="15.6">
      <c r="A33" s="6"/>
      <c r="B33" s="7"/>
      <c r="C33" s="8"/>
      <c r="D33" s="8"/>
      <c r="E33" s="5"/>
      <c r="G33" s="72">
        <v>3149</v>
      </c>
      <c r="H33" s="69">
        <v>61320.98</v>
      </c>
      <c r="I33" s="71">
        <f t="shared" si="0"/>
        <v>2943.4070400000001</v>
      </c>
      <c r="J33" s="71">
        <f t="shared" si="1"/>
        <v>398.58637000000004</v>
      </c>
      <c r="K33" s="71">
        <f t="shared" si="2"/>
        <v>1839.6294</v>
      </c>
      <c r="L33" s="71">
        <f t="shared" si="3"/>
        <v>613.20980000000009</v>
      </c>
      <c r="M33" s="71">
        <f t="shared" si="5"/>
        <v>3066.0490000000004</v>
      </c>
      <c r="N33" s="71">
        <f t="shared" si="4"/>
        <v>52460.098390000014</v>
      </c>
    </row>
    <row r="34" spans="1:14" ht="15.6">
      <c r="A34" s="6"/>
      <c r="B34" s="7"/>
      <c r="C34" s="8"/>
      <c r="D34" s="8"/>
      <c r="E34" s="5"/>
      <c r="G34" s="54" t="s">
        <v>14</v>
      </c>
      <c r="H34" s="73">
        <f t="shared" ref="H34:N34" si="6">SUM(H3:H33)</f>
        <v>9236223.9800000023</v>
      </c>
      <c r="I34" s="73">
        <f t="shared" si="6"/>
        <v>443338.75104000006</v>
      </c>
      <c r="J34" s="73">
        <f t="shared" si="6"/>
        <v>60035.455870000013</v>
      </c>
      <c r="K34" s="73">
        <f t="shared" si="6"/>
        <v>277086.71939999994</v>
      </c>
      <c r="L34" s="73">
        <f t="shared" si="6"/>
        <v>92362.23980000001</v>
      </c>
      <c r="M34" s="74">
        <f t="shared" si="6"/>
        <v>12243.727500000001</v>
      </c>
      <c r="N34" s="73">
        <f t="shared" si="6"/>
        <v>8351157.0863899998</v>
      </c>
    </row>
    <row r="35" spans="1:14" ht="15.6">
      <c r="A35" s="6"/>
      <c r="B35" s="7"/>
      <c r="C35" s="8"/>
      <c r="D35" s="8"/>
      <c r="E35" s="5"/>
    </row>
    <row r="36" spans="1:14" ht="15.6">
      <c r="A36" s="6"/>
      <c r="B36" s="7"/>
      <c r="C36" s="8"/>
      <c r="D36" s="8"/>
      <c r="E36" s="5"/>
    </row>
    <row r="37" spans="1:14" ht="15.6">
      <c r="A37" s="6"/>
      <c r="B37" s="7"/>
      <c r="C37" s="8"/>
      <c r="D37" s="8"/>
      <c r="E37" s="5"/>
    </row>
    <row r="38" spans="1:14" ht="15.6">
      <c r="A38" s="6"/>
      <c r="B38" s="7"/>
      <c r="C38" s="8"/>
      <c r="D38" s="8"/>
      <c r="E38" s="5"/>
    </row>
    <row r="39" spans="1:14" ht="15.6">
      <c r="A39" s="6"/>
      <c r="B39" s="7"/>
      <c r="C39" s="8"/>
      <c r="D39" s="8"/>
      <c r="E39" s="5"/>
    </row>
    <row r="40" spans="1:14" ht="15.6">
      <c r="A40" s="6"/>
      <c r="B40" s="7"/>
      <c r="C40" s="8"/>
      <c r="D40" s="8"/>
      <c r="E40" s="5"/>
    </row>
    <row r="41" spans="1:14" ht="15.6">
      <c r="A41" s="6"/>
      <c r="B41" s="32"/>
      <c r="C41" s="8"/>
      <c r="D41" s="8"/>
      <c r="E41" s="5"/>
    </row>
    <row r="42" spans="1:14" ht="15.6">
      <c r="A42" s="6"/>
      <c r="B42" s="32"/>
      <c r="C42" s="8"/>
      <c r="D42" s="8"/>
      <c r="E42" s="5"/>
    </row>
    <row r="43" spans="1:14" ht="15.6">
      <c r="A43" s="6"/>
      <c r="B43" s="32"/>
      <c r="C43" s="8"/>
      <c r="D43" s="8"/>
      <c r="E43" s="5"/>
    </row>
    <row r="44" spans="1:14" ht="15.6">
      <c r="A44" s="6"/>
      <c r="B44" s="32"/>
      <c r="C44" s="8"/>
      <c r="D44" s="8"/>
      <c r="E44" s="5"/>
    </row>
    <row r="45" spans="1:14" ht="15.6">
      <c r="A45" s="6"/>
      <c r="B45" s="32"/>
      <c r="C45" s="8"/>
      <c r="D45" s="8"/>
      <c r="E45" s="5"/>
    </row>
    <row r="46" spans="1:14" ht="15.6">
      <c r="A46" s="6"/>
      <c r="B46" s="32"/>
      <c r="C46" s="8"/>
      <c r="D46" s="8"/>
      <c r="E46" s="5"/>
    </row>
    <row r="47" spans="1:14" ht="15.6">
      <c r="A47" s="6"/>
      <c r="B47" s="32"/>
      <c r="C47" s="8"/>
      <c r="D47" s="8"/>
      <c r="E47" s="5"/>
    </row>
    <row r="48" spans="1:14" ht="15.6">
      <c r="A48" s="6"/>
      <c r="B48" s="32"/>
      <c r="C48" s="8"/>
      <c r="D48" s="8"/>
      <c r="E48" s="5"/>
    </row>
    <row r="49" spans="1:13" ht="15.6">
      <c r="A49" s="6"/>
      <c r="B49" s="32"/>
      <c r="C49" s="8"/>
      <c r="D49" s="8"/>
      <c r="E49" s="5"/>
    </row>
    <row r="50" spans="1:13" ht="15.6">
      <c r="A50" s="6"/>
      <c r="B50" s="32"/>
      <c r="C50" s="8"/>
      <c r="D50" s="8"/>
      <c r="E50" s="5"/>
    </row>
    <row r="51" spans="1:13" ht="15.6">
      <c r="A51" s="6"/>
      <c r="B51" s="32"/>
      <c r="C51" s="8"/>
      <c r="D51" s="8"/>
      <c r="E51" s="5"/>
    </row>
    <row r="52" spans="1:13" ht="15.6">
      <c r="A52" s="6"/>
      <c r="B52" s="32"/>
      <c r="C52" s="8"/>
      <c r="D52" s="8"/>
      <c r="E52" s="5"/>
    </row>
    <row r="53" spans="1:13" ht="15.6">
      <c r="A53" s="6"/>
      <c r="B53" s="32"/>
      <c r="C53" s="8"/>
      <c r="D53" s="8"/>
      <c r="E53" s="5"/>
    </row>
    <row r="54" spans="1:13" ht="15.6">
      <c r="A54" s="6"/>
      <c r="B54" s="32"/>
      <c r="C54" s="8"/>
      <c r="D54" s="8"/>
      <c r="E54" s="5"/>
    </row>
    <row r="55" spans="1:13" ht="15.6">
      <c r="A55" s="6"/>
      <c r="B55" s="32"/>
      <c r="C55" s="8"/>
      <c r="D55" s="8"/>
      <c r="E55" s="5"/>
    </row>
    <row r="56" spans="1:13" ht="15.6">
      <c r="A56" s="6"/>
      <c r="B56" s="32"/>
      <c r="C56" s="8"/>
      <c r="D56" s="8"/>
      <c r="E56" s="5"/>
    </row>
    <row r="57" spans="1:13" ht="15.6">
      <c r="A57" s="6"/>
      <c r="B57" s="32"/>
      <c r="C57" s="8"/>
      <c r="D57" s="8"/>
      <c r="E57" s="5"/>
    </row>
    <row r="58" spans="1:13" ht="15.6">
      <c r="A58" s="6"/>
      <c r="B58" s="32"/>
      <c r="C58" s="8"/>
      <c r="D58" s="8"/>
      <c r="E58" s="5"/>
    </row>
    <row r="59" spans="1:13" ht="15.6">
      <c r="A59" s="6"/>
      <c r="B59" s="32"/>
      <c r="C59" s="8"/>
      <c r="D59" s="8"/>
      <c r="E59" s="5"/>
    </row>
    <row r="60" spans="1:13" ht="15.6">
      <c r="A60" s="6"/>
      <c r="B60" s="32"/>
      <c r="C60" s="8"/>
      <c r="D60" s="8"/>
      <c r="E60" s="5"/>
    </row>
    <row r="61" spans="1:13" ht="15.6">
      <c r="A61" s="6"/>
      <c r="B61" s="32"/>
      <c r="C61" s="8"/>
      <c r="D61" s="8"/>
      <c r="E61" s="5"/>
    </row>
    <row r="62" spans="1:13" ht="15.6">
      <c r="A62" s="6"/>
      <c r="B62" s="32"/>
      <c r="C62" s="8"/>
      <c r="D62" s="8"/>
      <c r="E62" s="5"/>
    </row>
    <row r="63" spans="1:13" ht="16.2" thickBot="1">
      <c r="A63" s="6"/>
      <c r="B63" s="32"/>
      <c r="C63" s="8"/>
      <c r="D63" s="8"/>
      <c r="E63" s="5"/>
    </row>
    <row r="64" spans="1:13" ht="16.2" thickBot="1">
      <c r="A64" s="6"/>
      <c r="B64" s="32"/>
      <c r="C64" s="8"/>
      <c r="D64" s="8"/>
      <c r="E64" s="5"/>
      <c r="M64" s="39"/>
    </row>
    <row r="65" spans="1:5" ht="15.6">
      <c r="A65" s="6"/>
      <c r="B65" s="32"/>
      <c r="C65" s="8"/>
      <c r="D65" s="8"/>
      <c r="E65" s="5"/>
    </row>
    <row r="66" spans="1:5" ht="15.6">
      <c r="A66" s="6"/>
      <c r="B66" s="32"/>
      <c r="C66" s="8"/>
      <c r="D66" s="8"/>
      <c r="E66" s="5"/>
    </row>
    <row r="67" spans="1:5" ht="15.6">
      <c r="A67" s="6"/>
      <c r="B67" s="32"/>
      <c r="C67" s="8"/>
      <c r="D67" s="8"/>
      <c r="E67" s="5"/>
    </row>
    <row r="68" spans="1:5" ht="15.6">
      <c r="A68" s="6"/>
      <c r="B68" s="32"/>
      <c r="C68" s="8"/>
      <c r="D68" s="8"/>
      <c r="E68" s="5"/>
    </row>
    <row r="69" spans="1:5" ht="15.6">
      <c r="A69" s="6"/>
      <c r="B69" s="32"/>
      <c r="C69" s="8"/>
      <c r="D69" s="8"/>
      <c r="E69" s="5"/>
    </row>
    <row r="70" spans="1:5" ht="15.6">
      <c r="A70" s="6"/>
      <c r="B70" s="32"/>
      <c r="C70" s="8"/>
      <c r="D70" s="8"/>
      <c r="E70" s="5"/>
    </row>
    <row r="71" spans="1:5" ht="15.6">
      <c r="A71" s="6"/>
      <c r="B71" s="32"/>
      <c r="C71" s="8"/>
      <c r="D71" s="8"/>
      <c r="E71" s="5"/>
    </row>
    <row r="72" spans="1:5" ht="15.6">
      <c r="A72" s="6"/>
      <c r="B72" s="32"/>
      <c r="C72" s="8"/>
      <c r="D72" s="8"/>
      <c r="E72" s="5"/>
    </row>
    <row r="73" spans="1:5" ht="15.6">
      <c r="A73" s="6"/>
      <c r="B73" s="32"/>
      <c r="C73" s="8"/>
      <c r="D73" s="8"/>
      <c r="E73" s="5"/>
    </row>
    <row r="74" spans="1:5" ht="15.6">
      <c r="A74" s="6"/>
      <c r="B74" s="32"/>
      <c r="C74" s="8"/>
      <c r="D74" s="8"/>
      <c r="E74" s="5"/>
    </row>
    <row r="75" spans="1:5" ht="15.6">
      <c r="A75" s="6"/>
      <c r="B75" s="32"/>
      <c r="C75" s="8"/>
      <c r="D75" s="8"/>
      <c r="E75" s="5"/>
    </row>
    <row r="76" spans="1:5" ht="15.6">
      <c r="A76" s="6"/>
      <c r="B76" s="32"/>
      <c r="C76" s="8"/>
      <c r="D76" s="8"/>
      <c r="E76" s="5"/>
    </row>
    <row r="77" spans="1:5" ht="15.6">
      <c r="A77" s="6"/>
      <c r="B77" s="32"/>
      <c r="C77" s="8"/>
      <c r="D77" s="8"/>
      <c r="E77" s="5"/>
    </row>
    <row r="78" spans="1:5" ht="15.6">
      <c r="A78" s="6"/>
      <c r="B78" s="32"/>
      <c r="C78" s="8"/>
      <c r="D78" s="8"/>
      <c r="E78" s="5"/>
    </row>
    <row r="79" spans="1:5" ht="15.6">
      <c r="A79" s="6"/>
      <c r="B79" s="32"/>
      <c r="C79" s="8"/>
      <c r="D79" s="8"/>
      <c r="E79" s="5"/>
    </row>
    <row r="80" spans="1:5" ht="15.6">
      <c r="A80" s="6"/>
      <c r="B80" s="32"/>
      <c r="C80" s="8"/>
      <c r="D80" s="8"/>
      <c r="E80" s="5"/>
    </row>
    <row r="81" spans="1:5" ht="15.6">
      <c r="A81" s="6"/>
      <c r="B81" s="32"/>
      <c r="C81" s="8"/>
      <c r="D81" s="8"/>
      <c r="E81" s="5"/>
    </row>
    <row r="82" spans="1:5" ht="15.6">
      <c r="A82" s="6"/>
      <c r="B82" s="32"/>
      <c r="C82" s="8"/>
      <c r="D82" s="8"/>
      <c r="E82" s="5"/>
    </row>
    <row r="83" spans="1:5" ht="15.6">
      <c r="A83" s="6"/>
      <c r="B83" s="32"/>
      <c r="C83" s="8"/>
      <c r="D83" s="8"/>
      <c r="E83" s="5"/>
    </row>
    <row r="84" spans="1:5" ht="15.6">
      <c r="A84" s="6"/>
      <c r="B84" s="32"/>
      <c r="C84" s="8"/>
      <c r="D84" s="8"/>
      <c r="E84" s="5"/>
    </row>
    <row r="85" spans="1:5" ht="15.6">
      <c r="A85" s="6"/>
      <c r="B85" s="32"/>
      <c r="C85" s="8"/>
      <c r="D85" s="8"/>
      <c r="E85" s="5"/>
    </row>
    <row r="86" spans="1:5" ht="15.6">
      <c r="A86" s="6"/>
      <c r="B86" s="32"/>
      <c r="C86" s="8"/>
      <c r="D86" s="8"/>
      <c r="E86" s="5"/>
    </row>
    <row r="87" spans="1:5" ht="15.6">
      <c r="A87" s="6"/>
      <c r="B87" s="32"/>
      <c r="C87" s="8"/>
      <c r="D87" s="8"/>
      <c r="E87" s="5"/>
    </row>
    <row r="88" spans="1:5" ht="15.6">
      <c r="A88" s="6"/>
      <c r="B88" s="32"/>
      <c r="C88" s="8"/>
      <c r="D88" s="8"/>
      <c r="E88" s="5"/>
    </row>
    <row r="89" spans="1:5" ht="15.6">
      <c r="A89" s="6"/>
      <c r="B89" s="32"/>
      <c r="C89" s="8"/>
      <c r="D89" s="8"/>
      <c r="E89" s="5"/>
    </row>
    <row r="90" spans="1:5" ht="15.6">
      <c r="A90" s="6"/>
      <c r="B90" s="32"/>
      <c r="C90" s="8"/>
      <c r="D90" s="8"/>
      <c r="E90" s="5"/>
    </row>
    <row r="91" spans="1:5" ht="15.6">
      <c r="A91" s="6"/>
      <c r="B91" s="32"/>
      <c r="C91" s="8"/>
      <c r="D91" s="8"/>
      <c r="E91" s="5"/>
    </row>
    <row r="92" spans="1:5" ht="15.6">
      <c r="A92" s="6"/>
      <c r="B92" s="32"/>
      <c r="C92" s="8"/>
      <c r="D92" s="8"/>
      <c r="E92" s="5"/>
    </row>
    <row r="93" spans="1:5" ht="15.6">
      <c r="A93" s="6"/>
      <c r="B93" s="32"/>
      <c r="C93" s="8"/>
      <c r="D93" s="8"/>
      <c r="E93" s="5"/>
    </row>
    <row r="94" spans="1:5" ht="15.6">
      <c r="A94" s="6"/>
      <c r="B94" s="32"/>
      <c r="C94" s="8"/>
      <c r="D94" s="8"/>
      <c r="E94" s="5"/>
    </row>
    <row r="95" spans="1:5" ht="15.6">
      <c r="A95" s="6"/>
      <c r="B95" s="32"/>
      <c r="C95" s="8"/>
      <c r="D95" s="8"/>
      <c r="E95" s="5"/>
    </row>
    <row r="96" spans="1:5" ht="15.6">
      <c r="A96" s="6"/>
      <c r="B96" s="32"/>
      <c r="C96" s="8"/>
      <c r="D96" s="8"/>
      <c r="E96" s="5"/>
    </row>
    <row r="97" spans="1:5" ht="15.6">
      <c r="A97" s="6"/>
      <c r="B97" s="32"/>
      <c r="C97" s="8"/>
      <c r="D97" s="8"/>
      <c r="E97" s="5"/>
    </row>
    <row r="98" spans="1:5" ht="15.6">
      <c r="A98" s="6"/>
      <c r="B98" s="32"/>
      <c r="C98" s="8"/>
      <c r="D98" s="8"/>
      <c r="E98" s="5"/>
    </row>
    <row r="99" spans="1:5" ht="15.6">
      <c r="A99" s="6"/>
      <c r="B99" s="32"/>
      <c r="C99" s="8"/>
      <c r="D99" s="8"/>
      <c r="E99" s="5"/>
    </row>
    <row r="100" spans="1:5" ht="15.6">
      <c r="A100" s="6"/>
      <c r="B100" s="32"/>
      <c r="C100" s="8"/>
      <c r="D100" s="8"/>
      <c r="E100" s="5"/>
    </row>
  </sheetData>
  <autoFilter ref="G2:N34" xr:uid="{3F12C206-8FF7-4661-9720-4614B276B5E3}"/>
  <mergeCells count="5">
    <mergeCell ref="A1:E1"/>
    <mergeCell ref="C5:E5"/>
    <mergeCell ref="C6:E6"/>
    <mergeCell ref="C7:E7"/>
    <mergeCell ref="C8:E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0BAB-0AE5-4A09-B8BE-827BD5BE6930}">
  <sheetPr>
    <tabColor rgb="FF00B050"/>
  </sheetPr>
  <dimension ref="A1:G100"/>
  <sheetViews>
    <sheetView workbookViewId="0">
      <selection activeCell="A15" sqref="A15"/>
    </sheetView>
  </sheetViews>
  <sheetFormatPr defaultRowHeight="14.4"/>
  <cols>
    <col min="1" max="1" width="82.5546875" bestFit="1" customWidth="1"/>
    <col min="2" max="2" width="38.88671875" style="9" bestFit="1" customWidth="1"/>
    <col min="3" max="3" width="15.21875" bestFit="1" customWidth="1"/>
    <col min="4" max="4" width="25.6640625" bestFit="1" customWidth="1"/>
    <col min="5" max="5" width="33.44140625" style="3" bestFit="1" customWidth="1"/>
    <col min="6" max="6" width="8.77734375" customWidth="1"/>
    <col min="7" max="7" width="11.5546875" bestFit="1" customWidth="1"/>
    <col min="8" max="8" width="15.44140625" bestFit="1" customWidth="1"/>
    <col min="9" max="9" width="11.6640625" bestFit="1" customWidth="1"/>
    <col min="10" max="10" width="10.109375" bestFit="1" customWidth="1"/>
    <col min="11" max="11" width="11.6640625" bestFit="1" customWidth="1"/>
    <col min="12" max="12" width="10.109375" bestFit="1" customWidth="1"/>
    <col min="13" max="13" width="11.6640625" bestFit="1" customWidth="1"/>
    <col min="14" max="14" width="14.21875" bestFit="1" customWidth="1"/>
    <col min="15" max="21" width="8.77734375" customWidth="1"/>
  </cols>
  <sheetData>
    <row r="1" spans="1:7" ht="15.6">
      <c r="A1" s="91" t="s">
        <v>0</v>
      </c>
      <c r="B1" s="92"/>
      <c r="C1" s="92"/>
      <c r="D1" s="92"/>
      <c r="E1" s="92"/>
    </row>
    <row r="2" spans="1:7" ht="15.6">
      <c r="A2" s="1"/>
      <c r="B2" s="2"/>
    </row>
    <row r="3" spans="1:7" ht="15.6">
      <c r="A3" s="1"/>
      <c r="B3" s="4" t="s">
        <v>1</v>
      </c>
    </row>
    <row r="4" spans="1:7" ht="15.6">
      <c r="A4" s="10" t="s">
        <v>2</v>
      </c>
      <c r="B4" s="11">
        <f>SUM(B5:B100)</f>
        <v>5642834.6000000006</v>
      </c>
      <c r="C4" s="12" t="s">
        <v>3</v>
      </c>
      <c r="D4" s="12" t="s">
        <v>5</v>
      </c>
      <c r="E4" s="13" t="s">
        <v>4</v>
      </c>
    </row>
    <row r="5" spans="1:7" ht="15.6">
      <c r="A5" s="59" t="s">
        <v>109</v>
      </c>
      <c r="B5" s="60">
        <v>7914.99</v>
      </c>
      <c r="C5" s="61" t="s">
        <v>26</v>
      </c>
      <c r="D5" s="61" t="s">
        <v>117</v>
      </c>
      <c r="E5" s="62" t="s">
        <v>63</v>
      </c>
      <c r="G5" s="28"/>
    </row>
    <row r="6" spans="1:7" ht="15.6">
      <c r="A6" s="59" t="s">
        <v>110</v>
      </c>
      <c r="B6" s="60">
        <v>4568.82</v>
      </c>
      <c r="C6" s="61" t="s">
        <v>26</v>
      </c>
      <c r="D6" s="61" t="s">
        <v>118</v>
      </c>
      <c r="E6" s="62" t="s">
        <v>63</v>
      </c>
    </row>
    <row r="7" spans="1:7" ht="15.6">
      <c r="A7" s="59" t="s">
        <v>111</v>
      </c>
      <c r="B7" s="60">
        <v>766.43</v>
      </c>
      <c r="C7" s="61" t="s">
        <v>26</v>
      </c>
      <c r="D7" s="61" t="s">
        <v>119</v>
      </c>
      <c r="E7" s="62" t="s">
        <v>63</v>
      </c>
      <c r="G7" s="28"/>
    </row>
    <row r="8" spans="1:7" ht="15.6">
      <c r="A8" s="57" t="s">
        <v>112</v>
      </c>
      <c r="B8" s="58">
        <v>5520811.3600000003</v>
      </c>
      <c r="C8" s="93" t="s">
        <v>22</v>
      </c>
      <c r="D8" s="94"/>
      <c r="E8" s="95"/>
    </row>
    <row r="9" spans="1:7" ht="15.6">
      <c r="A9" s="57" t="s">
        <v>113</v>
      </c>
      <c r="B9" s="58">
        <v>10496.59</v>
      </c>
      <c r="C9" s="93" t="s">
        <v>22</v>
      </c>
      <c r="D9" s="94"/>
      <c r="E9" s="95"/>
    </row>
    <row r="10" spans="1:7" ht="15.6">
      <c r="A10" s="59" t="s">
        <v>114</v>
      </c>
      <c r="B10" s="60">
        <v>39084.54</v>
      </c>
      <c r="C10" s="61" t="s">
        <v>26</v>
      </c>
      <c r="D10" s="61" t="s">
        <v>120</v>
      </c>
      <c r="E10" s="62" t="s">
        <v>80</v>
      </c>
      <c r="F10">
        <v>3147</v>
      </c>
    </row>
    <row r="11" spans="1:7" ht="15.6">
      <c r="A11" s="59" t="s">
        <v>115</v>
      </c>
      <c r="B11" s="60">
        <v>23646.62</v>
      </c>
      <c r="C11" s="61" t="s">
        <v>26</v>
      </c>
      <c r="D11" s="61" t="s">
        <v>121</v>
      </c>
      <c r="E11" s="62" t="s">
        <v>80</v>
      </c>
      <c r="F11">
        <v>3155</v>
      </c>
      <c r="G11" s="28"/>
    </row>
    <row r="12" spans="1:7" ht="15.6">
      <c r="A12" s="59" t="s">
        <v>45</v>
      </c>
      <c r="B12" s="60">
        <v>35024.04</v>
      </c>
      <c r="C12" s="61" t="s">
        <v>26</v>
      </c>
      <c r="D12" s="61" t="s">
        <v>122</v>
      </c>
      <c r="E12" s="62" t="s">
        <v>53</v>
      </c>
    </row>
    <row r="13" spans="1:7" ht="15.6">
      <c r="A13" s="59" t="s">
        <v>116</v>
      </c>
      <c r="B13" s="60">
        <v>521.21</v>
      </c>
      <c r="C13" s="61" t="s">
        <v>26</v>
      </c>
      <c r="D13" s="61" t="s">
        <v>123</v>
      </c>
      <c r="E13" s="62" t="s">
        <v>25</v>
      </c>
    </row>
    <row r="14" spans="1:7" ht="15.6">
      <c r="A14" s="6"/>
      <c r="B14" s="7"/>
      <c r="C14" s="8"/>
      <c r="D14" s="8"/>
      <c r="E14" s="5"/>
    </row>
    <row r="15" spans="1:7" ht="15.6">
      <c r="A15" s="6"/>
      <c r="B15" s="7"/>
      <c r="C15" s="8"/>
      <c r="D15" s="8"/>
      <c r="E15" s="5"/>
    </row>
    <row r="16" spans="1:7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3">
    <mergeCell ref="A1:E1"/>
    <mergeCell ref="C8:E8"/>
    <mergeCell ref="C9:E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D83B-39CF-47AB-A31C-5112768FD351}">
  <sheetPr>
    <tabColor rgb="FF00B050"/>
  </sheetPr>
  <dimension ref="A1:N100"/>
  <sheetViews>
    <sheetView workbookViewId="0">
      <selection activeCell="B5" sqref="B5:B10"/>
    </sheetView>
  </sheetViews>
  <sheetFormatPr defaultRowHeight="14.4"/>
  <cols>
    <col min="1" max="1" width="82.5546875" bestFit="1" customWidth="1"/>
    <col min="2" max="2" width="38.88671875" style="9" bestFit="1" customWidth="1"/>
    <col min="3" max="3" width="19.21875" bestFit="1" customWidth="1"/>
    <col min="4" max="4" width="25.6640625" bestFit="1" customWidth="1"/>
    <col min="5" max="5" width="33.44140625" style="3" bestFit="1" customWidth="1"/>
    <col min="6" max="6" width="8.77734375" customWidth="1"/>
    <col min="7" max="7" width="11.5546875" bestFit="1" customWidth="1"/>
    <col min="8" max="8" width="15.44140625" bestFit="1" customWidth="1"/>
    <col min="9" max="9" width="12.77734375" bestFit="1" customWidth="1"/>
    <col min="10" max="10" width="11.77734375" bestFit="1" customWidth="1"/>
    <col min="11" max="11" width="12.77734375" bestFit="1" customWidth="1"/>
    <col min="12" max="12" width="11.77734375" bestFit="1" customWidth="1"/>
    <col min="13" max="13" width="12.77734375" bestFit="1" customWidth="1"/>
    <col min="14" max="14" width="14.2187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</row>
    <row r="3" spans="1:14" ht="15.6">
      <c r="A3" s="1"/>
      <c r="B3" s="4" t="s">
        <v>1</v>
      </c>
    </row>
    <row r="4" spans="1:14" ht="15.6">
      <c r="A4" s="10" t="s">
        <v>2</v>
      </c>
      <c r="B4" s="11">
        <f>SUM(B5:B100)</f>
        <v>194534.65999999997</v>
      </c>
      <c r="C4" s="12" t="s">
        <v>3</v>
      </c>
      <c r="D4" s="12" t="s">
        <v>5</v>
      </c>
      <c r="E4" s="13" t="s">
        <v>4</v>
      </c>
    </row>
    <row r="5" spans="1:14" ht="15.6">
      <c r="A5" s="57" t="s">
        <v>124</v>
      </c>
      <c r="B5" s="58">
        <v>59234.25</v>
      </c>
      <c r="C5" s="93" t="s">
        <v>22</v>
      </c>
      <c r="D5" s="94"/>
      <c r="E5" s="95"/>
    </row>
    <row r="6" spans="1:14" ht="16.2" thickBot="1">
      <c r="A6" s="57" t="s">
        <v>125</v>
      </c>
      <c r="B6" s="58">
        <v>128422.54</v>
      </c>
      <c r="C6" s="93" t="s">
        <v>22</v>
      </c>
      <c r="D6" s="94"/>
      <c r="E6" s="95"/>
    </row>
    <row r="7" spans="1:14" ht="16.2" thickBot="1">
      <c r="A7" s="59" t="s">
        <v>126</v>
      </c>
      <c r="B7" s="60">
        <v>3741.52</v>
      </c>
      <c r="C7" s="61" t="s">
        <v>26</v>
      </c>
      <c r="D7" s="61" t="s">
        <v>130</v>
      </c>
      <c r="E7" s="62" t="s">
        <v>134</v>
      </c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  <c r="L7" s="14" t="s">
        <v>11</v>
      </c>
      <c r="M7" s="14" t="s">
        <v>12</v>
      </c>
      <c r="N7" s="14" t="s">
        <v>13</v>
      </c>
    </row>
    <row r="8" spans="1:14" ht="16.2" thickBot="1">
      <c r="A8" s="59" t="s">
        <v>127</v>
      </c>
      <c r="B8" s="60">
        <v>643.07000000000005</v>
      </c>
      <c r="C8" s="61" t="s">
        <v>26</v>
      </c>
      <c r="D8" s="61" t="s">
        <v>131</v>
      </c>
      <c r="E8" s="62" t="s">
        <v>25</v>
      </c>
      <c r="G8" s="14">
        <v>3112</v>
      </c>
      <c r="H8" s="35">
        <v>252887.01</v>
      </c>
      <c r="I8" s="16">
        <f>H8*4.8%</f>
        <v>12138.576480000002</v>
      </c>
      <c r="J8" s="16">
        <f>H8*0.65%</f>
        <v>1643.7655650000002</v>
      </c>
      <c r="K8" s="16">
        <f>H8*3%</f>
        <v>7586.6103000000003</v>
      </c>
      <c r="L8" s="16">
        <f>H8*1%</f>
        <v>2528.8701000000001</v>
      </c>
      <c r="M8" s="16">
        <f>H8*2%</f>
        <v>5057.7402000000002</v>
      </c>
      <c r="N8" s="16">
        <f>H8-I8-J8-K8-L8-M8</f>
        <v>223931.44735500001</v>
      </c>
    </row>
    <row r="9" spans="1:14" ht="16.2" thickBot="1">
      <c r="A9" s="59" t="s">
        <v>128</v>
      </c>
      <c r="B9" s="60">
        <v>1122.73</v>
      </c>
      <c r="C9" s="61" t="s">
        <v>26</v>
      </c>
      <c r="D9" s="61" t="s">
        <v>132</v>
      </c>
      <c r="E9" s="62" t="s">
        <v>25</v>
      </c>
      <c r="G9" s="14">
        <v>3111</v>
      </c>
      <c r="H9" s="35">
        <v>93765</v>
      </c>
      <c r="I9" s="16">
        <f>H9*4.8%</f>
        <v>4500.72</v>
      </c>
      <c r="J9" s="16">
        <f>H9*0.65%</f>
        <v>609.47250000000008</v>
      </c>
      <c r="K9" s="16">
        <f>H9*3%</f>
        <v>2812.95</v>
      </c>
      <c r="L9" s="16">
        <f>H9*1%</f>
        <v>937.65</v>
      </c>
      <c r="M9" s="16">
        <f>H9*2%</f>
        <v>1875.3</v>
      </c>
      <c r="N9" s="16">
        <f>H9-I9-J9-K9-L9-M9</f>
        <v>83028.907500000001</v>
      </c>
    </row>
    <row r="10" spans="1:14" ht="16.2" thickBot="1">
      <c r="A10" s="59" t="s">
        <v>129</v>
      </c>
      <c r="B10" s="60">
        <v>1370.55</v>
      </c>
      <c r="C10" s="61" t="s">
        <v>26</v>
      </c>
      <c r="D10" s="61" t="s">
        <v>133</v>
      </c>
      <c r="E10" s="62" t="s">
        <v>25</v>
      </c>
      <c r="G10" s="14" t="s">
        <v>14</v>
      </c>
      <c r="H10" s="38">
        <f t="shared" ref="H10:N10" si="0">SUM(H8:H9)</f>
        <v>346652.01</v>
      </c>
      <c r="I10" s="38">
        <f t="shared" si="0"/>
        <v>16639.296480000001</v>
      </c>
      <c r="J10" s="38">
        <f t="shared" si="0"/>
        <v>2253.2380650000005</v>
      </c>
      <c r="K10" s="38">
        <f t="shared" si="0"/>
        <v>10399.560300000001</v>
      </c>
      <c r="L10" s="38">
        <f t="shared" si="0"/>
        <v>3466.5201000000002</v>
      </c>
      <c r="M10" s="38">
        <f t="shared" si="0"/>
        <v>6933.0402000000004</v>
      </c>
      <c r="N10" s="38">
        <f t="shared" si="0"/>
        <v>306960.35485500004</v>
      </c>
    </row>
    <row r="11" spans="1:14" ht="15.6">
      <c r="A11" s="6"/>
      <c r="B11" s="7"/>
      <c r="C11" s="8"/>
      <c r="D11" s="8"/>
      <c r="E11" s="5"/>
    </row>
    <row r="12" spans="1:14" ht="15.6">
      <c r="A12" s="6"/>
      <c r="B12" s="7"/>
      <c r="C12" s="8"/>
      <c r="D12" s="8"/>
      <c r="E12" s="5"/>
    </row>
    <row r="13" spans="1:14" ht="15.6">
      <c r="A13" s="6"/>
      <c r="B13" s="7"/>
      <c r="C13" s="8"/>
      <c r="D13" s="8"/>
      <c r="E13" s="5"/>
    </row>
    <row r="14" spans="1:14" ht="15.6">
      <c r="A14" s="6"/>
      <c r="B14" s="7"/>
      <c r="C14" s="8"/>
      <c r="D14" s="8"/>
      <c r="E14" s="5"/>
    </row>
    <row r="15" spans="1:14" ht="15.6">
      <c r="A15" s="6"/>
      <c r="B15" s="7"/>
      <c r="C15" s="8"/>
      <c r="D15" s="8"/>
      <c r="E15" s="5"/>
    </row>
    <row r="16" spans="1:14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3">
    <mergeCell ref="A1:E1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317B-790E-4CD1-83FB-139199933D9D}">
  <sheetPr>
    <tabColor rgb="FF00B050"/>
  </sheetPr>
  <dimension ref="A1:E99"/>
  <sheetViews>
    <sheetView workbookViewId="0">
      <selection activeCell="A15" sqref="A15"/>
    </sheetView>
  </sheetViews>
  <sheetFormatPr defaultRowHeight="14.4"/>
  <cols>
    <col min="1" max="1" width="81.21875" bestFit="1" customWidth="1"/>
    <col min="2" max="2" width="38.88671875" style="9" bestFit="1" customWidth="1"/>
    <col min="3" max="3" width="21.33203125" bestFit="1" customWidth="1"/>
    <col min="4" max="4" width="25.6640625" bestFit="1" customWidth="1"/>
    <col min="5" max="5" width="33.44140625" style="3" bestFit="1" customWidth="1"/>
    <col min="6" max="6" width="8.77734375" customWidth="1"/>
    <col min="7" max="7" width="18" bestFit="1" customWidth="1"/>
    <col min="8" max="8" width="15.6640625" bestFit="1" customWidth="1"/>
    <col min="9" max="21" width="8.77734375" customWidth="1"/>
  </cols>
  <sheetData>
    <row r="1" spans="1:5" ht="15.6">
      <c r="A1" s="91" t="s">
        <v>0</v>
      </c>
      <c r="B1" s="92"/>
      <c r="C1" s="92"/>
      <c r="D1" s="92"/>
      <c r="E1" s="92"/>
    </row>
    <row r="2" spans="1:5" ht="15.6">
      <c r="A2" s="1"/>
      <c r="B2" s="2"/>
    </row>
    <row r="3" spans="1:5" ht="15.6">
      <c r="A3" s="1"/>
      <c r="B3" s="4" t="s">
        <v>1</v>
      </c>
    </row>
    <row r="4" spans="1:5" ht="15.6">
      <c r="A4" s="10" t="s">
        <v>2</v>
      </c>
      <c r="B4" s="11">
        <f>SUM(B5:B99)</f>
        <v>34450007.409999996</v>
      </c>
      <c r="C4" s="12" t="s">
        <v>3</v>
      </c>
      <c r="D4" s="12" t="s">
        <v>5</v>
      </c>
      <c r="E4" s="13" t="s">
        <v>4</v>
      </c>
    </row>
    <row r="5" spans="1:5" ht="15.6">
      <c r="A5" s="57" t="s">
        <v>136</v>
      </c>
      <c r="B5" s="58">
        <v>143231.9</v>
      </c>
      <c r="C5" s="93" t="s">
        <v>22</v>
      </c>
      <c r="D5" s="94"/>
      <c r="E5" s="95"/>
    </row>
    <row r="6" spans="1:5" ht="15.6">
      <c r="A6" s="57" t="s">
        <v>137</v>
      </c>
      <c r="B6" s="58">
        <v>28554.14</v>
      </c>
      <c r="C6" s="93" t="s">
        <v>22</v>
      </c>
      <c r="D6" s="94"/>
      <c r="E6" s="95"/>
    </row>
    <row r="7" spans="1:5" ht="15.6">
      <c r="A7" s="70" t="s">
        <v>18</v>
      </c>
      <c r="B7" s="58">
        <v>34200000</v>
      </c>
      <c r="C7" s="93" t="s">
        <v>22</v>
      </c>
      <c r="D7" s="94"/>
      <c r="E7" s="95"/>
    </row>
    <row r="8" spans="1:5" ht="15.6">
      <c r="A8" s="59" t="s">
        <v>74</v>
      </c>
      <c r="B8" s="60">
        <v>76268.600000000006</v>
      </c>
      <c r="C8" s="61" t="s">
        <v>26</v>
      </c>
      <c r="D8" s="66" t="s">
        <v>140</v>
      </c>
      <c r="E8" s="67" t="s">
        <v>103</v>
      </c>
    </row>
    <row r="9" spans="1:5" ht="15.6">
      <c r="A9" s="59" t="s">
        <v>138</v>
      </c>
      <c r="B9" s="60">
        <v>103.98</v>
      </c>
      <c r="C9" s="61" t="s">
        <v>26</v>
      </c>
      <c r="D9" s="66" t="s">
        <v>141</v>
      </c>
      <c r="E9" s="62" t="s">
        <v>25</v>
      </c>
    </row>
    <row r="10" spans="1:5" ht="15.6">
      <c r="A10" s="59" t="s">
        <v>139</v>
      </c>
      <c r="B10" s="60">
        <v>1848.79</v>
      </c>
      <c r="C10" s="61" t="s">
        <v>26</v>
      </c>
      <c r="D10" s="66" t="s">
        <v>142</v>
      </c>
      <c r="E10" s="62" t="s">
        <v>25</v>
      </c>
    </row>
    <row r="11" spans="1:5" ht="15.6">
      <c r="A11" s="6"/>
      <c r="B11" s="7"/>
      <c r="C11" s="54"/>
      <c r="D11" s="54"/>
      <c r="E11" s="5"/>
    </row>
    <row r="12" spans="1:5" ht="15.6">
      <c r="A12" s="6"/>
      <c r="B12" s="7"/>
      <c r="C12" s="8"/>
      <c r="D12" s="8"/>
      <c r="E12" s="5"/>
    </row>
    <row r="13" spans="1:5" ht="15.6">
      <c r="A13" s="6"/>
      <c r="B13" s="7"/>
      <c r="C13" s="8"/>
      <c r="D13" s="8"/>
      <c r="E13" s="5"/>
    </row>
    <row r="14" spans="1:5" ht="15.6">
      <c r="A14" s="6"/>
      <c r="B14" s="7"/>
      <c r="C14" s="8"/>
      <c r="D14" s="8"/>
      <c r="E14" s="5"/>
    </row>
    <row r="15" spans="1:5" ht="15.6">
      <c r="A15" s="6"/>
      <c r="B15" s="7"/>
      <c r="C15" s="8"/>
      <c r="D15" s="8"/>
      <c r="E15" s="5"/>
    </row>
    <row r="16" spans="1:5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</sheetData>
  <mergeCells count="4">
    <mergeCell ref="A1:E1"/>
    <mergeCell ref="C5:E5"/>
    <mergeCell ref="C6:E6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463D-1110-4B5F-B926-0EFEA01266E1}">
  <sheetPr>
    <tabColor rgb="FF00B050"/>
  </sheetPr>
  <dimension ref="A1:E100"/>
  <sheetViews>
    <sheetView workbookViewId="0">
      <selection activeCell="C8" sqref="C8:D8"/>
    </sheetView>
  </sheetViews>
  <sheetFormatPr defaultRowHeight="14.4"/>
  <cols>
    <col min="1" max="1" width="84.109375" bestFit="1" customWidth="1"/>
    <col min="2" max="2" width="38.88671875" style="9" bestFit="1" customWidth="1"/>
    <col min="3" max="3" width="27.21875" bestFit="1" customWidth="1"/>
    <col min="4" max="4" width="26" bestFit="1" customWidth="1"/>
    <col min="5" max="5" width="37.109375" style="3" bestFit="1" customWidth="1"/>
    <col min="6" max="6" width="8.77734375" customWidth="1"/>
    <col min="7" max="7" width="18" bestFit="1" customWidth="1"/>
    <col min="8" max="8" width="15.6640625" bestFit="1" customWidth="1"/>
    <col min="9" max="21" width="8.77734375" customWidth="1"/>
  </cols>
  <sheetData>
    <row r="1" spans="1:5" ht="15.6">
      <c r="A1" s="91" t="s">
        <v>0</v>
      </c>
      <c r="B1" s="92"/>
      <c r="C1" s="92"/>
      <c r="D1" s="92"/>
      <c r="E1" s="92"/>
    </row>
    <row r="2" spans="1:5" ht="15.6">
      <c r="A2" s="1"/>
      <c r="B2" s="2"/>
    </row>
    <row r="3" spans="1:5" ht="15.6">
      <c r="A3" s="1"/>
      <c r="B3" s="4" t="s">
        <v>1</v>
      </c>
    </row>
    <row r="4" spans="1:5" ht="15.6">
      <c r="A4" s="10" t="s">
        <v>2</v>
      </c>
      <c r="B4" s="11">
        <f>SUM(B5:B100)</f>
        <v>18695984.27</v>
      </c>
      <c r="C4" s="12" t="s">
        <v>3</v>
      </c>
      <c r="D4" s="12" t="s">
        <v>5</v>
      </c>
      <c r="E4" s="13" t="s">
        <v>4</v>
      </c>
    </row>
    <row r="5" spans="1:5" ht="15.6">
      <c r="A5" s="57" t="s">
        <v>143</v>
      </c>
      <c r="B5" s="58">
        <v>18985.72</v>
      </c>
      <c r="C5" s="93" t="s">
        <v>22</v>
      </c>
      <c r="D5" s="94"/>
      <c r="E5" s="95"/>
    </row>
    <row r="6" spans="1:5" ht="15.6">
      <c r="A6" s="57" t="s">
        <v>41</v>
      </c>
      <c r="B6" s="58">
        <v>18162.03</v>
      </c>
      <c r="C6" s="93" t="s">
        <v>22</v>
      </c>
      <c r="D6" s="94"/>
      <c r="E6" s="95"/>
    </row>
    <row r="7" spans="1:5" ht="15.6">
      <c r="A7" s="57" t="s">
        <v>18</v>
      </c>
      <c r="B7" s="58">
        <v>18650000</v>
      </c>
      <c r="C7" s="93" t="s">
        <v>22</v>
      </c>
      <c r="D7" s="94"/>
      <c r="E7" s="95"/>
    </row>
    <row r="8" spans="1:5" ht="15.6">
      <c r="A8" s="59" t="s">
        <v>144</v>
      </c>
      <c r="B8" s="60">
        <v>8336.52</v>
      </c>
      <c r="C8" s="61" t="s">
        <v>26</v>
      </c>
      <c r="D8" s="61" t="s">
        <v>146</v>
      </c>
      <c r="E8" s="62" t="s">
        <v>33</v>
      </c>
    </row>
    <row r="9" spans="1:5" ht="15.6">
      <c r="A9" s="59" t="s">
        <v>145</v>
      </c>
      <c r="B9" s="60">
        <v>500</v>
      </c>
      <c r="C9" s="61" t="s">
        <v>26</v>
      </c>
      <c r="D9" s="61" t="s">
        <v>147</v>
      </c>
      <c r="E9" s="62" t="s">
        <v>25</v>
      </c>
    </row>
    <row r="10" spans="1:5" ht="15.6">
      <c r="A10" s="6"/>
      <c r="B10" s="7"/>
      <c r="C10" s="54"/>
      <c r="D10" s="54"/>
      <c r="E10" s="5"/>
    </row>
    <row r="11" spans="1:5" ht="15.6">
      <c r="A11" s="6"/>
      <c r="B11" s="7"/>
      <c r="C11" s="54"/>
      <c r="D11" s="54"/>
      <c r="E11" s="5"/>
    </row>
    <row r="12" spans="1:5" ht="15.6">
      <c r="A12" s="6"/>
      <c r="B12" s="7"/>
      <c r="C12" s="8"/>
      <c r="D12" s="8"/>
      <c r="E12" s="5"/>
    </row>
    <row r="13" spans="1:5" ht="15.6">
      <c r="A13" s="6"/>
      <c r="B13" s="7"/>
      <c r="C13" s="8"/>
      <c r="D13" s="8"/>
      <c r="E13" s="5"/>
    </row>
    <row r="14" spans="1:5" ht="15.6">
      <c r="A14" s="6"/>
      <c r="B14" s="7"/>
      <c r="C14" s="8"/>
      <c r="D14" s="8"/>
      <c r="E14" s="5"/>
    </row>
    <row r="15" spans="1:5" ht="15.6">
      <c r="A15" s="6"/>
      <c r="B15" s="7"/>
      <c r="C15" s="8"/>
      <c r="D15" s="8"/>
      <c r="E15" s="5"/>
    </row>
    <row r="16" spans="1:5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4">
    <mergeCell ref="A1:E1"/>
    <mergeCell ref="C5:E5"/>
    <mergeCell ref="C6:E6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B436-B72F-4D52-A256-70EC527AF669}">
  <sheetPr>
    <tabColor rgb="FF00B050"/>
  </sheetPr>
  <dimension ref="A1:E100"/>
  <sheetViews>
    <sheetView workbookViewId="0">
      <selection activeCell="C5" sqref="C5:E6"/>
    </sheetView>
  </sheetViews>
  <sheetFormatPr defaultRowHeight="14.4"/>
  <cols>
    <col min="1" max="1" width="81.21875" bestFit="1" customWidth="1"/>
    <col min="2" max="2" width="38.88671875" style="9" bestFit="1" customWidth="1"/>
    <col min="3" max="3" width="19.21875" bestFit="1" customWidth="1"/>
    <col min="4" max="4" width="25.6640625" bestFit="1" customWidth="1"/>
    <col min="5" max="5" width="33.44140625" style="3" bestFit="1" customWidth="1"/>
    <col min="6" max="6" width="8.77734375" customWidth="1"/>
    <col min="7" max="7" width="18" bestFit="1" customWidth="1"/>
    <col min="8" max="8" width="15.6640625" bestFit="1" customWidth="1"/>
    <col min="9" max="21" width="8.77734375" customWidth="1"/>
  </cols>
  <sheetData>
    <row r="1" spans="1:5" ht="15.6">
      <c r="A1" s="91" t="s">
        <v>0</v>
      </c>
      <c r="B1" s="92"/>
      <c r="C1" s="92"/>
      <c r="D1" s="92"/>
      <c r="E1" s="92"/>
    </row>
    <row r="2" spans="1:5" ht="15.6">
      <c r="A2" s="1"/>
      <c r="B2" s="2"/>
    </row>
    <row r="3" spans="1:5" ht="15.6">
      <c r="A3" s="1"/>
      <c r="B3" s="4" t="s">
        <v>1</v>
      </c>
    </row>
    <row r="4" spans="1:5" ht="15.6">
      <c r="A4" s="10" t="s">
        <v>2</v>
      </c>
      <c r="B4" s="11">
        <f>SUM(B5:B100)</f>
        <v>2612372.7800000003</v>
      </c>
      <c r="C4" s="12" t="s">
        <v>3</v>
      </c>
      <c r="D4" s="12" t="s">
        <v>5</v>
      </c>
      <c r="E4" s="13" t="s">
        <v>4</v>
      </c>
    </row>
    <row r="5" spans="1:5" ht="15.6">
      <c r="A5" s="57" t="s">
        <v>148</v>
      </c>
      <c r="B5" s="58">
        <v>23607.02</v>
      </c>
      <c r="C5" s="93" t="s">
        <v>22</v>
      </c>
      <c r="D5" s="94"/>
      <c r="E5" s="95"/>
    </row>
    <row r="6" spans="1:5" ht="15.6">
      <c r="A6" s="57" t="s">
        <v>149</v>
      </c>
      <c r="B6" s="58">
        <v>30466.29</v>
      </c>
      <c r="C6" s="93" t="s">
        <v>22</v>
      </c>
      <c r="D6" s="94"/>
      <c r="E6" s="95"/>
    </row>
    <row r="7" spans="1:5" ht="15.6">
      <c r="A7" s="59" t="s">
        <v>150</v>
      </c>
      <c r="B7" s="60">
        <v>2558299.4700000002</v>
      </c>
      <c r="C7" s="61" t="s">
        <v>26</v>
      </c>
      <c r="D7" s="61" t="s">
        <v>151</v>
      </c>
      <c r="E7" s="67" t="s">
        <v>152</v>
      </c>
    </row>
    <row r="8" spans="1:5" ht="15.6">
      <c r="A8" s="6"/>
      <c r="B8" s="7"/>
      <c r="C8" s="54"/>
      <c r="D8" s="54"/>
      <c r="E8" s="5"/>
    </row>
    <row r="9" spans="1:5" ht="15.6">
      <c r="A9" s="6"/>
      <c r="B9" s="7"/>
      <c r="C9" s="8"/>
      <c r="D9" s="8"/>
      <c r="E9" s="5"/>
    </row>
    <row r="10" spans="1:5" ht="15.6">
      <c r="A10" s="6"/>
      <c r="B10" s="7"/>
      <c r="C10" s="8"/>
      <c r="D10" s="8"/>
      <c r="E10" s="5"/>
    </row>
    <row r="11" spans="1:5" ht="15.6">
      <c r="A11" s="6"/>
      <c r="B11" s="7"/>
      <c r="C11" s="8"/>
      <c r="D11" s="8"/>
      <c r="E11" s="5"/>
    </row>
    <row r="12" spans="1:5" ht="15.6">
      <c r="A12" s="6"/>
      <c r="B12" s="7"/>
      <c r="C12" s="8"/>
      <c r="D12" s="8"/>
      <c r="E12" s="5"/>
    </row>
    <row r="13" spans="1:5" ht="15.6">
      <c r="A13" s="6"/>
      <c r="B13" s="7"/>
      <c r="C13" s="8"/>
      <c r="D13" s="8"/>
      <c r="E13" s="5"/>
    </row>
    <row r="14" spans="1:5" ht="15.6">
      <c r="A14" s="6"/>
      <c r="B14" s="7"/>
      <c r="C14" s="8"/>
      <c r="D14" s="8"/>
      <c r="E14" s="5"/>
    </row>
    <row r="15" spans="1:5" ht="15.6">
      <c r="A15" s="6"/>
      <c r="B15" s="7"/>
      <c r="C15" s="8"/>
      <c r="D15" s="8"/>
      <c r="E15" s="5"/>
    </row>
    <row r="16" spans="1:5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32"/>
      <c r="C41" s="8"/>
      <c r="D41" s="8"/>
      <c r="E41" s="5"/>
    </row>
    <row r="42" spans="1:5" ht="15.6">
      <c r="A42" s="6"/>
      <c r="B42" s="32"/>
      <c r="C42" s="8"/>
      <c r="D42" s="8"/>
      <c r="E42" s="5"/>
    </row>
    <row r="43" spans="1:5" ht="15.6">
      <c r="A43" s="6"/>
      <c r="B43" s="32"/>
      <c r="C43" s="8"/>
      <c r="D43" s="8"/>
      <c r="E43" s="5"/>
    </row>
    <row r="44" spans="1:5" ht="15.6">
      <c r="A44" s="6"/>
      <c r="B44" s="32"/>
      <c r="C44" s="8"/>
      <c r="D44" s="8"/>
      <c r="E44" s="5"/>
    </row>
    <row r="45" spans="1:5" ht="15.6">
      <c r="A45" s="6"/>
      <c r="B45" s="32"/>
      <c r="C45" s="8"/>
      <c r="D45" s="8"/>
      <c r="E45" s="5"/>
    </row>
    <row r="46" spans="1:5" ht="15.6">
      <c r="A46" s="6"/>
      <c r="B46" s="32"/>
      <c r="C46" s="8"/>
      <c r="D46" s="8"/>
      <c r="E46" s="5"/>
    </row>
    <row r="47" spans="1:5" ht="15.6">
      <c r="A47" s="6"/>
      <c r="B47" s="32"/>
      <c r="C47" s="8"/>
      <c r="D47" s="8"/>
      <c r="E47" s="5"/>
    </row>
    <row r="48" spans="1:5" ht="15.6">
      <c r="A48" s="6"/>
      <c r="B48" s="32"/>
      <c r="C48" s="8"/>
      <c r="D48" s="8"/>
      <c r="E48" s="5"/>
    </row>
    <row r="49" spans="1:5" ht="15.6">
      <c r="A49" s="6"/>
      <c r="B49" s="32"/>
      <c r="C49" s="8"/>
      <c r="D49" s="8"/>
      <c r="E49" s="5"/>
    </row>
    <row r="50" spans="1:5" ht="15.6">
      <c r="A50" s="6"/>
      <c r="B50" s="32"/>
      <c r="C50" s="8"/>
      <c r="D50" s="8"/>
      <c r="E50" s="5"/>
    </row>
    <row r="51" spans="1:5" ht="15.6">
      <c r="A51" s="6"/>
      <c r="B51" s="32"/>
      <c r="C51" s="8"/>
      <c r="D51" s="8"/>
      <c r="E51" s="5"/>
    </row>
    <row r="52" spans="1:5" ht="15.6">
      <c r="A52" s="6"/>
      <c r="B52" s="32"/>
      <c r="C52" s="8"/>
      <c r="D52" s="8"/>
      <c r="E52" s="5"/>
    </row>
    <row r="53" spans="1:5" ht="15.6">
      <c r="A53" s="6"/>
      <c r="B53" s="32"/>
      <c r="C53" s="8"/>
      <c r="D53" s="8"/>
      <c r="E53" s="5"/>
    </row>
    <row r="54" spans="1:5" ht="15.6">
      <c r="A54" s="6"/>
      <c r="B54" s="32"/>
      <c r="C54" s="8"/>
      <c r="D54" s="8"/>
      <c r="E54" s="5"/>
    </row>
    <row r="55" spans="1:5" ht="15.6">
      <c r="A55" s="6"/>
      <c r="B55" s="32"/>
      <c r="C55" s="8"/>
      <c r="D55" s="8"/>
      <c r="E55" s="5"/>
    </row>
    <row r="56" spans="1:5" ht="15.6">
      <c r="A56" s="6"/>
      <c r="B56" s="32"/>
      <c r="C56" s="8"/>
      <c r="D56" s="8"/>
      <c r="E56" s="5"/>
    </row>
    <row r="57" spans="1:5" ht="15.6">
      <c r="A57" s="6"/>
      <c r="B57" s="32"/>
      <c r="C57" s="8"/>
      <c r="D57" s="8"/>
      <c r="E57" s="5"/>
    </row>
    <row r="58" spans="1:5" ht="15.6">
      <c r="A58" s="6"/>
      <c r="B58" s="32"/>
      <c r="C58" s="8"/>
      <c r="D58" s="8"/>
      <c r="E58" s="5"/>
    </row>
    <row r="59" spans="1:5" ht="15.6">
      <c r="A59" s="6"/>
      <c r="B59" s="32"/>
      <c r="C59" s="8"/>
      <c r="D59" s="8"/>
      <c r="E59" s="5"/>
    </row>
    <row r="60" spans="1:5" ht="15.6">
      <c r="A60" s="6"/>
      <c r="B60" s="32"/>
      <c r="C60" s="8"/>
      <c r="D60" s="8"/>
      <c r="E60" s="5"/>
    </row>
    <row r="61" spans="1:5" ht="15.6">
      <c r="A61" s="6"/>
      <c r="B61" s="32"/>
      <c r="C61" s="8"/>
      <c r="D61" s="8"/>
      <c r="E61" s="5"/>
    </row>
    <row r="62" spans="1:5" ht="15.6">
      <c r="A62" s="6"/>
      <c r="B62" s="32"/>
      <c r="C62" s="8"/>
      <c r="D62" s="8"/>
      <c r="E62" s="5"/>
    </row>
    <row r="63" spans="1:5" ht="15.6">
      <c r="A63" s="6"/>
      <c r="B63" s="32"/>
      <c r="C63" s="8"/>
      <c r="D63" s="8"/>
      <c r="E63" s="5"/>
    </row>
    <row r="64" spans="1:5" ht="15.6">
      <c r="A64" s="6"/>
      <c r="B64" s="32"/>
      <c r="C64" s="8"/>
      <c r="D64" s="8"/>
      <c r="E64" s="5"/>
    </row>
    <row r="65" spans="1:5" ht="15.6">
      <c r="A65" s="6"/>
      <c r="B65" s="32"/>
      <c r="C65" s="8"/>
      <c r="D65" s="8"/>
      <c r="E65" s="5"/>
    </row>
    <row r="66" spans="1:5" ht="15.6">
      <c r="A66" s="6"/>
      <c r="B66" s="32"/>
      <c r="C66" s="8"/>
      <c r="D66" s="8"/>
      <c r="E66" s="5"/>
    </row>
    <row r="67" spans="1:5" ht="15.6">
      <c r="A67" s="6"/>
      <c r="B67" s="32"/>
      <c r="C67" s="8"/>
      <c r="D67" s="8"/>
      <c r="E67" s="5"/>
    </row>
    <row r="68" spans="1:5" ht="15.6">
      <c r="A68" s="6"/>
      <c r="B68" s="32"/>
      <c r="C68" s="8"/>
      <c r="D68" s="8"/>
      <c r="E68" s="5"/>
    </row>
    <row r="69" spans="1:5" ht="15.6">
      <c r="A69" s="6"/>
      <c r="B69" s="32"/>
      <c r="C69" s="8"/>
      <c r="D69" s="8"/>
      <c r="E69" s="5"/>
    </row>
    <row r="70" spans="1:5" ht="15.6">
      <c r="A70" s="6"/>
      <c r="B70" s="32"/>
      <c r="C70" s="8"/>
      <c r="D70" s="8"/>
      <c r="E70" s="5"/>
    </row>
    <row r="71" spans="1:5" ht="15.6">
      <c r="A71" s="6"/>
      <c r="B71" s="32"/>
      <c r="C71" s="8"/>
      <c r="D71" s="8"/>
      <c r="E71" s="5"/>
    </row>
    <row r="72" spans="1:5" ht="15.6">
      <c r="A72" s="6"/>
      <c r="B72" s="32"/>
      <c r="C72" s="8"/>
      <c r="D72" s="8"/>
      <c r="E72" s="5"/>
    </row>
    <row r="73" spans="1:5" ht="15.6">
      <c r="A73" s="6"/>
      <c r="B73" s="32"/>
      <c r="C73" s="8"/>
      <c r="D73" s="8"/>
      <c r="E73" s="5"/>
    </row>
    <row r="74" spans="1:5" ht="15.6">
      <c r="A74" s="6"/>
      <c r="B74" s="32"/>
      <c r="C74" s="8"/>
      <c r="D74" s="8"/>
      <c r="E74" s="5"/>
    </row>
    <row r="75" spans="1:5" ht="15.6">
      <c r="A75" s="6"/>
      <c r="B75" s="32"/>
      <c r="C75" s="8"/>
      <c r="D75" s="8"/>
      <c r="E75" s="5"/>
    </row>
    <row r="76" spans="1:5" ht="15.6">
      <c r="A76" s="6"/>
      <c r="B76" s="32"/>
      <c r="C76" s="8"/>
      <c r="D76" s="8"/>
      <c r="E76" s="5"/>
    </row>
    <row r="77" spans="1:5" ht="15.6">
      <c r="A77" s="6"/>
      <c r="B77" s="32"/>
      <c r="C77" s="8"/>
      <c r="D77" s="8"/>
      <c r="E77" s="5"/>
    </row>
    <row r="78" spans="1:5" ht="15.6">
      <c r="A78" s="6"/>
      <c r="B78" s="32"/>
      <c r="C78" s="8"/>
      <c r="D78" s="8"/>
      <c r="E78" s="5"/>
    </row>
    <row r="79" spans="1:5" ht="15.6">
      <c r="A79" s="6"/>
      <c r="B79" s="32"/>
      <c r="C79" s="8"/>
      <c r="D79" s="8"/>
      <c r="E79" s="5"/>
    </row>
    <row r="80" spans="1:5" ht="15.6">
      <c r="A80" s="6"/>
      <c r="B80" s="32"/>
      <c r="C80" s="8"/>
      <c r="D80" s="8"/>
      <c r="E80" s="5"/>
    </row>
    <row r="81" spans="1:5" ht="15.6">
      <c r="A81" s="6"/>
      <c r="B81" s="32"/>
      <c r="C81" s="8"/>
      <c r="D81" s="8"/>
      <c r="E81" s="5"/>
    </row>
    <row r="82" spans="1:5" ht="15.6">
      <c r="A82" s="6"/>
      <c r="B82" s="32"/>
      <c r="C82" s="8"/>
      <c r="D82" s="8"/>
      <c r="E82" s="5"/>
    </row>
    <row r="83" spans="1:5" ht="15.6">
      <c r="A83" s="6"/>
      <c r="B83" s="32"/>
      <c r="C83" s="8"/>
      <c r="D83" s="8"/>
      <c r="E83" s="5"/>
    </row>
    <row r="84" spans="1:5" ht="15.6">
      <c r="A84" s="6"/>
      <c r="B84" s="32"/>
      <c r="C84" s="8"/>
      <c r="D84" s="8"/>
      <c r="E84" s="5"/>
    </row>
    <row r="85" spans="1:5" ht="15.6">
      <c r="A85" s="6"/>
      <c r="B85" s="32"/>
      <c r="C85" s="8"/>
      <c r="D85" s="8"/>
      <c r="E85" s="5"/>
    </row>
    <row r="86" spans="1:5" ht="15.6">
      <c r="A86" s="6"/>
      <c r="B86" s="32"/>
      <c r="C86" s="8"/>
      <c r="D86" s="8"/>
      <c r="E86" s="5"/>
    </row>
    <row r="87" spans="1:5" ht="15.6">
      <c r="A87" s="6"/>
      <c r="B87" s="32"/>
      <c r="C87" s="8"/>
      <c r="D87" s="8"/>
      <c r="E87" s="5"/>
    </row>
    <row r="88" spans="1:5" ht="15.6">
      <c r="A88" s="6"/>
      <c r="B88" s="32"/>
      <c r="C88" s="8"/>
      <c r="D88" s="8"/>
      <c r="E88" s="5"/>
    </row>
    <row r="89" spans="1:5" ht="15.6">
      <c r="A89" s="6"/>
      <c r="B89" s="32"/>
      <c r="C89" s="8"/>
      <c r="D89" s="8"/>
      <c r="E89" s="5"/>
    </row>
    <row r="90" spans="1:5" ht="15.6">
      <c r="A90" s="6"/>
      <c r="B90" s="32"/>
      <c r="C90" s="8"/>
      <c r="D90" s="8"/>
      <c r="E90" s="5"/>
    </row>
    <row r="91" spans="1:5" ht="15.6">
      <c r="A91" s="6"/>
      <c r="B91" s="32"/>
      <c r="C91" s="8"/>
      <c r="D91" s="8"/>
      <c r="E91" s="5"/>
    </row>
    <row r="92" spans="1:5" ht="15.6">
      <c r="A92" s="6"/>
      <c r="B92" s="32"/>
      <c r="C92" s="8"/>
      <c r="D92" s="8"/>
      <c r="E92" s="5"/>
    </row>
    <row r="93" spans="1:5" ht="15.6">
      <c r="A93" s="6"/>
      <c r="B93" s="32"/>
      <c r="C93" s="8"/>
      <c r="D93" s="8"/>
      <c r="E93" s="5"/>
    </row>
    <row r="94" spans="1:5" ht="15.6">
      <c r="A94" s="6"/>
      <c r="B94" s="32"/>
      <c r="C94" s="8"/>
      <c r="D94" s="8"/>
      <c r="E94" s="5"/>
    </row>
    <row r="95" spans="1:5" ht="15.6">
      <c r="A95" s="6"/>
      <c r="B95" s="32"/>
      <c r="C95" s="8"/>
      <c r="D95" s="8"/>
      <c r="E95" s="5"/>
    </row>
    <row r="96" spans="1:5" ht="15.6">
      <c r="A96" s="6"/>
      <c r="B96" s="32"/>
      <c r="C96" s="8"/>
      <c r="D96" s="8"/>
      <c r="E96" s="5"/>
    </row>
    <row r="97" spans="1:5" ht="15.6">
      <c r="A97" s="6"/>
      <c r="B97" s="32"/>
      <c r="C97" s="8"/>
      <c r="D97" s="8"/>
      <c r="E97" s="5"/>
    </row>
    <row r="98" spans="1:5" ht="15.6">
      <c r="A98" s="6"/>
      <c r="B98" s="32"/>
      <c r="C98" s="8"/>
      <c r="D98" s="8"/>
      <c r="E98" s="5"/>
    </row>
    <row r="99" spans="1:5" ht="15.6">
      <c r="A99" s="6"/>
      <c r="B99" s="32"/>
      <c r="C99" s="8"/>
      <c r="D99" s="8"/>
      <c r="E99" s="5"/>
    </row>
    <row r="100" spans="1:5" ht="15.6">
      <c r="A100" s="6"/>
      <c r="B100" s="32"/>
      <c r="C100" s="8"/>
      <c r="D100" s="8"/>
      <c r="E100" s="5"/>
    </row>
  </sheetData>
  <mergeCells count="3">
    <mergeCell ref="A1:E1"/>
    <mergeCell ref="C6:E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1C37-7140-48F2-A106-4C1774F7E8B9}">
  <sheetPr>
    <tabColor rgb="FF00B050"/>
  </sheetPr>
  <dimension ref="A1:N100"/>
  <sheetViews>
    <sheetView workbookViewId="0">
      <selection activeCell="A7" sqref="A7"/>
    </sheetView>
  </sheetViews>
  <sheetFormatPr defaultRowHeight="14.4"/>
  <cols>
    <col min="1" max="1" width="82.33203125" bestFit="1" customWidth="1"/>
    <col min="2" max="2" width="39.77734375" style="9" bestFit="1" customWidth="1"/>
    <col min="3" max="3" width="15.77734375" bestFit="1" customWidth="1"/>
    <col min="4" max="4" width="26.5546875" bestFit="1" customWidth="1"/>
    <col min="5" max="5" width="33.109375" style="3" bestFit="1" customWidth="1"/>
    <col min="6" max="6" width="8.77734375" customWidth="1"/>
    <col min="7" max="7" width="12.109375" bestFit="1" customWidth="1"/>
    <col min="8" max="8" width="16.109375" bestFit="1" customWidth="1"/>
    <col min="9" max="9" width="12.88671875" bestFit="1" customWidth="1"/>
    <col min="10" max="10" width="11.88671875" bestFit="1" customWidth="1"/>
    <col min="11" max="11" width="12.88671875" bestFit="1" customWidth="1"/>
    <col min="12" max="12" width="11.88671875" bestFit="1" customWidth="1"/>
    <col min="13" max="13" width="12.88671875" bestFit="1" customWidth="1"/>
    <col min="14" max="14" width="14.664062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  <c r="C2" s="28"/>
      <c r="D2" s="53"/>
    </row>
    <row r="3" spans="1:14" ht="15.6">
      <c r="A3" s="1"/>
      <c r="B3" s="4" t="s">
        <v>1</v>
      </c>
    </row>
    <row r="4" spans="1:14" ht="16.2" thickBot="1">
      <c r="A4" s="10" t="s">
        <v>2</v>
      </c>
      <c r="B4" s="11">
        <f>SUM(B5:B100)</f>
        <v>17443001.140000001</v>
      </c>
      <c r="C4" s="12" t="s">
        <v>3</v>
      </c>
      <c r="D4" s="12" t="s">
        <v>5</v>
      </c>
      <c r="E4" s="13" t="s">
        <v>4</v>
      </c>
    </row>
    <row r="5" spans="1:14" ht="16.2" thickBot="1">
      <c r="A5" s="59" t="s">
        <v>155</v>
      </c>
      <c r="B5" s="60">
        <v>278925.90000000002</v>
      </c>
      <c r="C5" s="61" t="s">
        <v>26</v>
      </c>
      <c r="D5" s="61" t="s">
        <v>159</v>
      </c>
      <c r="E5" s="62" t="s">
        <v>104</v>
      </c>
      <c r="G5" s="14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</row>
    <row r="6" spans="1:14" ht="16.2" thickBot="1">
      <c r="A6" s="57" t="s">
        <v>156</v>
      </c>
      <c r="B6" s="58">
        <v>11459557.1</v>
      </c>
      <c r="C6" s="93" t="s">
        <v>22</v>
      </c>
      <c r="D6" s="94"/>
      <c r="E6" s="95"/>
      <c r="G6" s="14"/>
      <c r="H6" s="35"/>
      <c r="I6" s="16">
        <f>H6*4.8%</f>
        <v>0</v>
      </c>
      <c r="J6" s="16">
        <f>H6*0.65%</f>
        <v>0</v>
      </c>
      <c r="K6" s="16">
        <f>H6*3%</f>
        <v>0</v>
      </c>
      <c r="L6" s="16">
        <f>H6*1%</f>
        <v>0</v>
      </c>
      <c r="M6" s="16">
        <f>H6*2%</f>
        <v>0</v>
      </c>
      <c r="N6" s="16">
        <f>H6-I6-J6-K6-L6-M6</f>
        <v>0</v>
      </c>
    </row>
    <row r="7" spans="1:14" ht="16.2" thickBot="1">
      <c r="A7" s="59" t="s">
        <v>154</v>
      </c>
      <c r="B7" s="60">
        <v>5703095.5199999996</v>
      </c>
      <c r="C7" s="61" t="s">
        <v>26</v>
      </c>
      <c r="D7" s="61" t="s">
        <v>160</v>
      </c>
      <c r="E7" s="62" t="s">
        <v>134</v>
      </c>
      <c r="G7" s="14"/>
      <c r="H7" s="35"/>
      <c r="I7" s="16">
        <f>H7*4.8%</f>
        <v>0</v>
      </c>
      <c r="J7" s="16">
        <f>H7*0.65%</f>
        <v>0</v>
      </c>
      <c r="K7" s="16">
        <f>H7*3%</f>
        <v>0</v>
      </c>
      <c r="L7" s="16">
        <f>H7*1%</f>
        <v>0</v>
      </c>
      <c r="M7" s="16">
        <f>H7*2%</f>
        <v>0</v>
      </c>
      <c r="N7" s="16">
        <f>H7-I7-J7-K7-L7-M7</f>
        <v>0</v>
      </c>
    </row>
    <row r="8" spans="1:14" ht="16.2" thickBot="1">
      <c r="A8" s="59" t="s">
        <v>157</v>
      </c>
      <c r="B8" s="60">
        <v>1422.62</v>
      </c>
      <c r="C8" s="61" t="s">
        <v>26</v>
      </c>
      <c r="D8" s="61" t="s">
        <v>158</v>
      </c>
      <c r="E8" s="77" t="s">
        <v>25</v>
      </c>
      <c r="G8" s="14" t="s">
        <v>14</v>
      </c>
      <c r="H8" s="31">
        <f t="shared" ref="H8:N8" si="0">SUM(H6:H7)</f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</row>
    <row r="9" spans="1:14" ht="15.6">
      <c r="A9" s="6"/>
      <c r="B9" s="7"/>
      <c r="C9" s="8"/>
      <c r="D9" s="8"/>
      <c r="E9" s="5"/>
    </row>
    <row r="10" spans="1:14" ht="15.6">
      <c r="A10" s="6"/>
      <c r="B10" s="7"/>
      <c r="C10" s="8"/>
      <c r="D10" s="8"/>
      <c r="E10" s="5"/>
    </row>
    <row r="11" spans="1:14" ht="15.6">
      <c r="A11" s="6"/>
      <c r="B11" s="7"/>
      <c r="C11" s="8"/>
      <c r="D11" s="8"/>
      <c r="E11" s="5"/>
    </row>
    <row r="12" spans="1:14" ht="15.6">
      <c r="A12" s="6"/>
      <c r="B12" s="7"/>
      <c r="C12" s="8"/>
      <c r="D12" s="8"/>
      <c r="E12" s="5"/>
    </row>
    <row r="13" spans="1:14" ht="15.6">
      <c r="A13" s="6"/>
      <c r="B13" s="7"/>
      <c r="C13" s="8"/>
      <c r="D13" s="8"/>
      <c r="E13" s="5"/>
    </row>
    <row r="14" spans="1:14" ht="15.6">
      <c r="A14" s="6"/>
      <c r="B14" s="7"/>
      <c r="C14" s="8"/>
      <c r="D14" s="8"/>
      <c r="E14" s="5"/>
    </row>
    <row r="15" spans="1:14" ht="15.6">
      <c r="A15" s="6"/>
      <c r="B15" s="7"/>
      <c r="C15" s="8"/>
      <c r="D15" s="8"/>
      <c r="E15" s="5"/>
    </row>
    <row r="16" spans="1:14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32"/>
      <c r="C41" s="8"/>
      <c r="D41" s="8"/>
      <c r="E41" s="5"/>
    </row>
    <row r="42" spans="1:5" ht="15.6">
      <c r="A42" s="6"/>
      <c r="B42" s="32"/>
      <c r="C42" s="8"/>
      <c r="D42" s="8"/>
      <c r="E42" s="5"/>
    </row>
    <row r="43" spans="1:5" ht="15.6">
      <c r="A43" s="6"/>
      <c r="B43" s="32"/>
      <c r="C43" s="8"/>
      <c r="D43" s="8"/>
      <c r="E43" s="5"/>
    </row>
    <row r="44" spans="1:5" ht="15.6">
      <c r="A44" s="6"/>
      <c r="B44" s="32"/>
      <c r="C44" s="8"/>
      <c r="D44" s="8"/>
      <c r="E44" s="5"/>
    </row>
    <row r="45" spans="1:5" ht="15.6">
      <c r="A45" s="6"/>
      <c r="B45" s="32"/>
      <c r="C45" s="8"/>
      <c r="D45" s="8"/>
      <c r="E45" s="5"/>
    </row>
    <row r="46" spans="1:5" ht="15.6">
      <c r="A46" s="6"/>
      <c r="B46" s="32"/>
      <c r="C46" s="8"/>
      <c r="D46" s="8"/>
      <c r="E46" s="5"/>
    </row>
    <row r="47" spans="1:5" ht="15.6">
      <c r="A47" s="6"/>
      <c r="B47" s="32"/>
      <c r="C47" s="8"/>
      <c r="D47" s="8"/>
      <c r="E47" s="5"/>
    </row>
    <row r="48" spans="1:5" ht="15.6">
      <c r="A48" s="6"/>
      <c r="B48" s="32"/>
      <c r="C48" s="8"/>
      <c r="D48" s="8"/>
      <c r="E48" s="5"/>
    </row>
    <row r="49" spans="1:5" ht="15.6">
      <c r="A49" s="6"/>
      <c r="B49" s="32"/>
      <c r="C49" s="8"/>
      <c r="D49" s="8"/>
      <c r="E49" s="5"/>
    </row>
    <row r="50" spans="1:5" ht="15.6">
      <c r="A50" s="6"/>
      <c r="B50" s="32"/>
      <c r="C50" s="8"/>
      <c r="D50" s="8"/>
      <c r="E50" s="5"/>
    </row>
    <row r="51" spans="1:5" ht="15.6">
      <c r="A51" s="6"/>
      <c r="B51" s="32"/>
      <c r="C51" s="8"/>
      <c r="D51" s="8"/>
      <c r="E51" s="5"/>
    </row>
    <row r="52" spans="1:5" ht="15.6">
      <c r="A52" s="6"/>
      <c r="B52" s="32"/>
      <c r="C52" s="8"/>
      <c r="D52" s="8"/>
      <c r="E52" s="5"/>
    </row>
    <row r="53" spans="1:5" ht="15.6">
      <c r="A53" s="6"/>
      <c r="B53" s="32"/>
      <c r="C53" s="8"/>
      <c r="D53" s="8"/>
      <c r="E53" s="5"/>
    </row>
    <row r="54" spans="1:5" ht="15.6">
      <c r="A54" s="6"/>
      <c r="B54" s="32"/>
      <c r="C54" s="8"/>
      <c r="D54" s="8"/>
      <c r="E54" s="5"/>
    </row>
    <row r="55" spans="1:5" ht="15.6">
      <c r="A55" s="6"/>
      <c r="B55" s="32"/>
      <c r="C55" s="8"/>
      <c r="D55" s="8"/>
      <c r="E55" s="5"/>
    </row>
    <row r="56" spans="1:5" ht="15.6">
      <c r="A56" s="6"/>
      <c r="B56" s="32"/>
      <c r="C56" s="8"/>
      <c r="D56" s="8"/>
      <c r="E56" s="5"/>
    </row>
    <row r="57" spans="1:5" ht="15.6">
      <c r="A57" s="6"/>
      <c r="B57" s="32"/>
      <c r="C57" s="8"/>
      <c r="D57" s="8"/>
      <c r="E57" s="5"/>
    </row>
    <row r="58" spans="1:5" ht="15.6">
      <c r="A58" s="6"/>
      <c r="B58" s="32"/>
      <c r="C58" s="8"/>
      <c r="D58" s="8"/>
      <c r="E58" s="5"/>
    </row>
    <row r="59" spans="1:5" ht="15.6">
      <c r="A59" s="6"/>
      <c r="B59" s="32"/>
      <c r="C59" s="8"/>
      <c r="D59" s="8"/>
      <c r="E59" s="5"/>
    </row>
    <row r="60" spans="1:5" ht="15.6">
      <c r="A60" s="6"/>
      <c r="B60" s="32"/>
      <c r="C60" s="8"/>
      <c r="D60" s="8"/>
      <c r="E60" s="5"/>
    </row>
    <row r="61" spans="1:5" ht="15.6">
      <c r="A61" s="6"/>
      <c r="B61" s="32"/>
      <c r="C61" s="8"/>
      <c r="D61" s="8"/>
      <c r="E61" s="5"/>
    </row>
    <row r="62" spans="1:5" ht="15.6">
      <c r="A62" s="6"/>
      <c r="B62" s="32"/>
      <c r="C62" s="8"/>
      <c r="D62" s="8"/>
      <c r="E62" s="5"/>
    </row>
    <row r="63" spans="1:5" ht="15.6">
      <c r="A63" s="6"/>
      <c r="B63" s="32"/>
      <c r="C63" s="8"/>
      <c r="D63" s="8"/>
      <c r="E63" s="5"/>
    </row>
    <row r="64" spans="1:5" ht="15.6">
      <c r="A64" s="6"/>
      <c r="B64" s="32"/>
      <c r="C64" s="8"/>
      <c r="D64" s="8"/>
      <c r="E64" s="5"/>
    </row>
    <row r="65" spans="1:5" ht="15.6">
      <c r="A65" s="6"/>
      <c r="B65" s="32"/>
      <c r="C65" s="8"/>
      <c r="D65" s="8"/>
      <c r="E65" s="5"/>
    </row>
    <row r="66" spans="1:5" ht="15.6">
      <c r="A66" s="6"/>
      <c r="B66" s="32"/>
      <c r="C66" s="8"/>
      <c r="D66" s="8"/>
      <c r="E66" s="5"/>
    </row>
    <row r="67" spans="1:5" ht="15.6">
      <c r="A67" s="6"/>
      <c r="B67" s="32"/>
      <c r="C67" s="8"/>
      <c r="D67" s="8"/>
      <c r="E67" s="5"/>
    </row>
    <row r="68" spans="1:5" ht="15.6">
      <c r="A68" s="6"/>
      <c r="B68" s="32"/>
      <c r="C68" s="8"/>
      <c r="D68" s="8"/>
      <c r="E68" s="5"/>
    </row>
    <row r="69" spans="1:5" ht="15.6">
      <c r="A69" s="6"/>
      <c r="B69" s="32"/>
      <c r="C69" s="8"/>
      <c r="D69" s="8"/>
      <c r="E69" s="5"/>
    </row>
    <row r="70" spans="1:5" ht="15.6">
      <c r="A70" s="6"/>
      <c r="B70" s="32"/>
      <c r="C70" s="8"/>
      <c r="D70" s="8"/>
      <c r="E70" s="5"/>
    </row>
    <row r="71" spans="1:5" ht="15.6">
      <c r="A71" s="6"/>
      <c r="B71" s="32"/>
      <c r="C71" s="8"/>
      <c r="D71" s="8"/>
      <c r="E71" s="5"/>
    </row>
    <row r="72" spans="1:5" ht="15.6">
      <c r="A72" s="6"/>
      <c r="B72" s="32"/>
      <c r="C72" s="8"/>
      <c r="D72" s="8"/>
      <c r="E72" s="5"/>
    </row>
    <row r="73" spans="1:5" ht="15.6">
      <c r="A73" s="6"/>
      <c r="B73" s="32"/>
      <c r="C73" s="8"/>
      <c r="D73" s="8"/>
      <c r="E73" s="5"/>
    </row>
    <row r="74" spans="1:5" ht="15.6">
      <c r="A74" s="6"/>
      <c r="B74" s="32"/>
      <c r="C74" s="8"/>
      <c r="D74" s="8"/>
      <c r="E74" s="5"/>
    </row>
    <row r="75" spans="1:5" ht="15.6">
      <c r="A75" s="6"/>
      <c r="B75" s="32"/>
      <c r="C75" s="8"/>
      <c r="D75" s="8"/>
      <c r="E75" s="5"/>
    </row>
    <row r="76" spans="1:5" ht="15.6">
      <c r="A76" s="6"/>
      <c r="B76" s="32"/>
      <c r="C76" s="8"/>
      <c r="D76" s="8"/>
      <c r="E76" s="5"/>
    </row>
    <row r="77" spans="1:5" ht="15.6">
      <c r="A77" s="6"/>
      <c r="B77" s="32"/>
      <c r="C77" s="8"/>
      <c r="D77" s="8"/>
      <c r="E77" s="5"/>
    </row>
    <row r="78" spans="1:5" ht="15.6">
      <c r="A78" s="6"/>
      <c r="B78" s="32"/>
      <c r="C78" s="8"/>
      <c r="D78" s="8"/>
      <c r="E78" s="5"/>
    </row>
    <row r="79" spans="1:5" ht="15.6">
      <c r="A79" s="6"/>
      <c r="B79" s="32"/>
      <c r="C79" s="8"/>
      <c r="D79" s="8"/>
      <c r="E79" s="5"/>
    </row>
    <row r="80" spans="1:5" ht="15.6">
      <c r="A80" s="6"/>
      <c r="B80" s="32"/>
      <c r="C80" s="8"/>
      <c r="D80" s="8"/>
      <c r="E80" s="5"/>
    </row>
    <row r="81" spans="1:5" ht="15.6">
      <c r="A81" s="6"/>
      <c r="B81" s="32"/>
      <c r="C81" s="8"/>
      <c r="D81" s="8"/>
      <c r="E81" s="5"/>
    </row>
    <row r="82" spans="1:5" ht="15.6">
      <c r="A82" s="6"/>
      <c r="B82" s="32"/>
      <c r="C82" s="8"/>
      <c r="D82" s="8"/>
      <c r="E82" s="5"/>
    </row>
    <row r="83" spans="1:5" ht="15.6">
      <c r="A83" s="6"/>
      <c r="B83" s="32"/>
      <c r="C83" s="8"/>
      <c r="D83" s="8"/>
      <c r="E83" s="5"/>
    </row>
    <row r="84" spans="1:5" ht="15.6">
      <c r="A84" s="6"/>
      <c r="B84" s="32"/>
      <c r="C84" s="8"/>
      <c r="D84" s="8"/>
      <c r="E84" s="5"/>
    </row>
    <row r="85" spans="1:5" ht="15.6">
      <c r="A85" s="6"/>
      <c r="B85" s="32"/>
      <c r="C85" s="8"/>
      <c r="D85" s="8"/>
      <c r="E85" s="5"/>
    </row>
    <row r="86" spans="1:5" ht="15.6">
      <c r="A86" s="6"/>
      <c r="B86" s="32"/>
      <c r="C86" s="8"/>
      <c r="D86" s="8"/>
      <c r="E86" s="5"/>
    </row>
    <row r="87" spans="1:5" ht="15.6">
      <c r="A87" s="6"/>
      <c r="B87" s="32"/>
      <c r="C87" s="8"/>
      <c r="D87" s="8"/>
      <c r="E87" s="5"/>
    </row>
    <row r="88" spans="1:5" ht="15.6">
      <c r="A88" s="6"/>
      <c r="B88" s="32"/>
      <c r="C88" s="8"/>
      <c r="D88" s="8"/>
      <c r="E88" s="5"/>
    </row>
    <row r="89" spans="1:5" ht="15.6">
      <c r="A89" s="6"/>
      <c r="B89" s="32"/>
      <c r="C89" s="8"/>
      <c r="D89" s="8"/>
      <c r="E89" s="5"/>
    </row>
    <row r="90" spans="1:5" ht="15.6">
      <c r="A90" s="6"/>
      <c r="B90" s="32"/>
      <c r="C90" s="8"/>
      <c r="D90" s="8"/>
      <c r="E90" s="5"/>
    </row>
    <row r="91" spans="1:5" ht="15.6">
      <c r="A91" s="6"/>
      <c r="B91" s="32"/>
      <c r="C91" s="8"/>
      <c r="D91" s="8"/>
      <c r="E91" s="5"/>
    </row>
    <row r="92" spans="1:5" ht="15.6">
      <c r="A92" s="6"/>
      <c r="B92" s="32"/>
      <c r="C92" s="8"/>
      <c r="D92" s="8"/>
      <c r="E92" s="5"/>
    </row>
    <row r="93" spans="1:5" ht="15.6">
      <c r="A93" s="6"/>
      <c r="B93" s="32"/>
      <c r="C93" s="8"/>
      <c r="D93" s="8"/>
      <c r="E93" s="5"/>
    </row>
    <row r="94" spans="1:5" ht="15.6">
      <c r="A94" s="6"/>
      <c r="B94" s="32"/>
      <c r="C94" s="8"/>
      <c r="D94" s="8"/>
      <c r="E94" s="5"/>
    </row>
    <row r="95" spans="1:5" ht="15.6">
      <c r="A95" s="6"/>
      <c r="B95" s="32"/>
      <c r="C95" s="8"/>
      <c r="D95" s="8"/>
      <c r="E95" s="5"/>
    </row>
    <row r="96" spans="1:5" ht="15.6">
      <c r="A96" s="6"/>
      <c r="B96" s="32"/>
      <c r="C96" s="8"/>
      <c r="D96" s="8"/>
      <c r="E96" s="5"/>
    </row>
    <row r="97" spans="1:5" ht="15.6">
      <c r="A97" s="6"/>
      <c r="B97" s="32"/>
      <c r="C97" s="8"/>
      <c r="D97" s="8"/>
      <c r="E97" s="5"/>
    </row>
    <row r="98" spans="1:5" ht="15.6">
      <c r="A98" s="6"/>
      <c r="B98" s="32"/>
      <c r="C98" s="8"/>
      <c r="D98" s="8"/>
      <c r="E98" s="5"/>
    </row>
    <row r="99" spans="1:5" ht="15.6">
      <c r="A99" s="6"/>
      <c r="B99" s="32"/>
      <c r="C99" s="8"/>
      <c r="D99" s="8"/>
      <c r="E99" s="5"/>
    </row>
    <row r="100" spans="1:5" ht="15.6">
      <c r="A100" s="6"/>
      <c r="B100" s="32"/>
      <c r="C100" s="8"/>
      <c r="D100" s="8"/>
      <c r="E100" s="5"/>
    </row>
  </sheetData>
  <mergeCells count="2">
    <mergeCell ref="A1:E1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049C-E643-4643-9861-D483F91586F4}">
  <sheetPr>
    <tabColor rgb="FF00B050"/>
  </sheetPr>
  <dimension ref="A1:N100"/>
  <sheetViews>
    <sheetView workbookViewId="0">
      <selection activeCell="C5" sqref="C5:E5"/>
    </sheetView>
  </sheetViews>
  <sheetFormatPr defaultRowHeight="14.4"/>
  <cols>
    <col min="1" max="1" width="81.21875" bestFit="1" customWidth="1"/>
    <col min="2" max="2" width="38.88671875" style="9" bestFit="1" customWidth="1"/>
    <col min="3" max="3" width="16.33203125" customWidth="1"/>
    <col min="4" max="4" width="25.6640625" bestFit="1" customWidth="1"/>
    <col min="5" max="5" width="20.21875" style="3" bestFit="1" customWidth="1"/>
    <col min="6" max="6" width="8.77734375" customWidth="1"/>
    <col min="7" max="7" width="11.5546875" bestFit="1" customWidth="1"/>
    <col min="8" max="8" width="17.109375" bestFit="1" customWidth="1"/>
    <col min="9" max="9" width="17.6640625" bestFit="1" customWidth="1"/>
    <col min="10" max="10" width="18.5546875" bestFit="1" customWidth="1"/>
    <col min="11" max="13" width="16.5546875" bestFit="1" customWidth="1"/>
    <col min="14" max="14" width="18.554687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6.2" thickBot="1">
      <c r="A2" s="1"/>
      <c r="B2" s="2"/>
      <c r="D2" s="26"/>
    </row>
    <row r="3" spans="1:14" ht="16.2" thickBot="1">
      <c r="A3" s="1"/>
      <c r="B3" s="4" t="s">
        <v>1</v>
      </c>
      <c r="G3" s="33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34" t="s">
        <v>11</v>
      </c>
      <c r="M3" s="34" t="s">
        <v>12</v>
      </c>
      <c r="N3" s="34" t="s">
        <v>13</v>
      </c>
    </row>
    <row r="4" spans="1:14" ht="16.2" thickBot="1">
      <c r="A4" s="10" t="s">
        <v>2</v>
      </c>
      <c r="B4" s="11">
        <f>SUM(B5:B100)</f>
        <v>6009702.4400000004</v>
      </c>
      <c r="C4" s="12" t="s">
        <v>3</v>
      </c>
      <c r="D4" s="12" t="s">
        <v>5</v>
      </c>
      <c r="E4" s="13" t="s">
        <v>4</v>
      </c>
      <c r="G4" s="51"/>
      <c r="H4" s="23"/>
      <c r="I4" s="21"/>
      <c r="J4" s="21"/>
      <c r="K4" s="21"/>
      <c r="L4" s="21"/>
      <c r="M4" s="21"/>
      <c r="N4" s="21"/>
    </row>
    <row r="5" spans="1:14" ht="16.2" thickBot="1">
      <c r="A5" s="57" t="s">
        <v>161</v>
      </c>
      <c r="B5" s="58">
        <v>9702.44</v>
      </c>
      <c r="C5" s="93" t="s">
        <v>22</v>
      </c>
      <c r="D5" s="94"/>
      <c r="E5" s="95"/>
      <c r="G5" s="51"/>
      <c r="H5" s="23"/>
      <c r="I5" s="21"/>
      <c r="J5" s="21"/>
      <c r="K5" s="21"/>
      <c r="L5" s="21"/>
      <c r="M5" s="21"/>
      <c r="N5" s="21"/>
    </row>
    <row r="6" spans="1:14" ht="16.2" thickBot="1">
      <c r="A6" s="57" t="s">
        <v>18</v>
      </c>
      <c r="B6" s="58">
        <v>6000000</v>
      </c>
      <c r="C6" s="93" t="s">
        <v>22</v>
      </c>
      <c r="D6" s="94"/>
      <c r="E6" s="95"/>
      <c r="G6" s="51"/>
      <c r="H6" s="23"/>
      <c r="I6" s="21"/>
      <c r="J6" s="21"/>
      <c r="K6" s="21"/>
      <c r="L6" s="21"/>
      <c r="M6" s="21"/>
      <c r="N6" s="21"/>
    </row>
    <row r="7" spans="1:14" ht="16.2" thickBot="1">
      <c r="A7" s="6"/>
      <c r="B7" s="7"/>
      <c r="C7" s="56"/>
      <c r="D7" s="8"/>
      <c r="E7" s="5"/>
      <c r="G7" s="51"/>
      <c r="H7" s="23"/>
      <c r="I7" s="21"/>
      <c r="J7" s="21"/>
      <c r="K7" s="21"/>
      <c r="L7" s="21"/>
      <c r="M7" s="21"/>
      <c r="N7" s="21"/>
    </row>
    <row r="8" spans="1:14" ht="16.2" thickBot="1">
      <c r="A8" s="6"/>
      <c r="B8" s="7"/>
      <c r="C8" s="8"/>
      <c r="D8" s="8"/>
      <c r="E8" s="5"/>
      <c r="G8" s="51"/>
      <c r="H8" s="23"/>
      <c r="I8" s="21"/>
      <c r="J8" s="21"/>
      <c r="K8" s="21"/>
      <c r="L8" s="21"/>
      <c r="M8" s="21"/>
      <c r="N8" s="21"/>
    </row>
    <row r="9" spans="1:14" ht="16.2" thickBot="1">
      <c r="A9" s="6"/>
      <c r="B9" s="7"/>
      <c r="C9" s="8"/>
      <c r="D9" s="8"/>
      <c r="E9" s="5"/>
      <c r="G9" s="14" t="s">
        <v>14</v>
      </c>
      <c r="H9" s="20">
        <f t="shared" ref="H9:N9" si="0">SUM(H4:H8)</f>
        <v>0</v>
      </c>
      <c r="I9" s="20">
        <f t="shared" si="0"/>
        <v>0</v>
      </c>
      <c r="J9" s="20">
        <f t="shared" si="0"/>
        <v>0</v>
      </c>
      <c r="K9" s="20">
        <f t="shared" si="0"/>
        <v>0</v>
      </c>
      <c r="L9" s="20">
        <f t="shared" si="0"/>
        <v>0</v>
      </c>
      <c r="M9" s="20">
        <f t="shared" si="0"/>
        <v>0</v>
      </c>
      <c r="N9" s="20">
        <f t="shared" si="0"/>
        <v>0</v>
      </c>
    </row>
    <row r="10" spans="1:14" ht="15.6">
      <c r="A10" s="6"/>
      <c r="B10" s="7"/>
      <c r="C10" s="8"/>
      <c r="D10" s="8"/>
      <c r="E10" s="5"/>
    </row>
    <row r="11" spans="1:14" ht="16.2" thickBot="1">
      <c r="A11" s="6"/>
      <c r="B11" s="7"/>
      <c r="C11" s="56"/>
      <c r="D11" s="8"/>
      <c r="E11" s="5"/>
    </row>
    <row r="12" spans="1:14" ht="16.2" thickBot="1">
      <c r="A12" s="6"/>
      <c r="B12" s="7"/>
      <c r="C12" s="8"/>
      <c r="D12" s="8"/>
      <c r="E12" s="5"/>
      <c r="G12" s="33" t="s">
        <v>6</v>
      </c>
      <c r="H12" s="34" t="s">
        <v>7</v>
      </c>
      <c r="I12" s="34" t="s">
        <v>8</v>
      </c>
      <c r="J12" s="18" t="s">
        <v>9</v>
      </c>
      <c r="K12" s="18" t="s">
        <v>10</v>
      </c>
      <c r="L12" s="18" t="s">
        <v>11</v>
      </c>
      <c r="M12" s="18" t="s">
        <v>12</v>
      </c>
      <c r="N12" s="18" t="s">
        <v>13</v>
      </c>
    </row>
    <row r="13" spans="1:14" ht="16.2" thickBot="1">
      <c r="A13" s="6"/>
      <c r="B13" s="7"/>
      <c r="C13" s="8"/>
      <c r="D13" s="8"/>
      <c r="E13" s="5"/>
      <c r="G13" s="51"/>
      <c r="H13" s="23"/>
      <c r="I13" s="21"/>
      <c r="J13" s="21"/>
      <c r="K13" s="21"/>
      <c r="L13" s="21"/>
      <c r="M13" s="21"/>
      <c r="N13" s="21"/>
    </row>
    <row r="14" spans="1:14" ht="16.2" thickBot="1">
      <c r="A14" s="6"/>
      <c r="B14" s="7"/>
      <c r="C14" s="8"/>
      <c r="D14" s="8"/>
      <c r="E14" s="5"/>
      <c r="G14" s="51"/>
      <c r="H14" s="23"/>
      <c r="I14" s="21"/>
      <c r="J14" s="21"/>
      <c r="K14" s="21"/>
      <c r="L14" s="21"/>
      <c r="M14" s="21"/>
      <c r="N14" s="21"/>
    </row>
    <row r="15" spans="1:14" ht="16.2" thickBot="1">
      <c r="A15" s="6"/>
      <c r="B15" s="7"/>
      <c r="C15" s="8"/>
      <c r="D15" s="8"/>
      <c r="E15" s="5"/>
      <c r="G15" s="14"/>
      <c r="H15" s="20"/>
      <c r="I15" s="20"/>
      <c r="J15" s="20"/>
      <c r="K15" s="20"/>
      <c r="L15" s="20"/>
      <c r="M15" s="20"/>
      <c r="N15" s="20"/>
    </row>
    <row r="16" spans="1:14" ht="16.2" thickBot="1">
      <c r="A16" s="6"/>
      <c r="B16" s="7"/>
      <c r="C16" s="8"/>
      <c r="D16" s="8"/>
      <c r="E16" s="5"/>
      <c r="G16" s="14"/>
      <c r="H16" s="21"/>
      <c r="I16" s="21"/>
      <c r="J16" s="21"/>
      <c r="K16" s="21"/>
      <c r="L16" s="21"/>
      <c r="M16" s="21"/>
      <c r="N16" s="21"/>
    </row>
    <row r="17" spans="1:14" ht="16.2" thickBot="1">
      <c r="A17" s="6"/>
      <c r="B17" s="7"/>
      <c r="C17" s="8"/>
      <c r="D17" s="8"/>
      <c r="E17" s="5"/>
      <c r="G17" s="14"/>
      <c r="H17" s="20"/>
      <c r="I17" s="20"/>
      <c r="J17" s="20"/>
      <c r="K17" s="20"/>
      <c r="L17" s="20"/>
      <c r="M17" s="20"/>
      <c r="N17" s="20"/>
    </row>
    <row r="18" spans="1:14" ht="15.6">
      <c r="A18" s="6"/>
      <c r="B18" s="7"/>
      <c r="C18" s="8"/>
      <c r="D18" s="8"/>
      <c r="E18" s="5"/>
    </row>
    <row r="19" spans="1:14" ht="15.6">
      <c r="A19" s="6"/>
      <c r="B19" s="7"/>
      <c r="C19" s="8"/>
      <c r="D19" s="8"/>
      <c r="E19" s="5"/>
    </row>
    <row r="20" spans="1:14" ht="15.6">
      <c r="A20" s="6"/>
      <c r="B20" s="7"/>
      <c r="C20" s="8"/>
      <c r="D20" s="8"/>
      <c r="E20" s="5"/>
    </row>
    <row r="21" spans="1:14" ht="15.6">
      <c r="A21" s="6"/>
      <c r="B21" s="7"/>
      <c r="C21" s="8"/>
      <c r="D21" s="8"/>
      <c r="E21" s="5"/>
    </row>
    <row r="22" spans="1:14" ht="15.6">
      <c r="A22" s="6"/>
      <c r="B22" s="7"/>
      <c r="C22" s="8"/>
      <c r="D22" s="8"/>
      <c r="E22" s="5"/>
    </row>
    <row r="23" spans="1:14" ht="15.6">
      <c r="A23" s="6"/>
      <c r="B23" s="7"/>
      <c r="C23" s="8"/>
      <c r="D23" s="8"/>
      <c r="E23" s="5"/>
    </row>
    <row r="24" spans="1:14" ht="15.6">
      <c r="A24" s="6"/>
      <c r="B24" s="7"/>
      <c r="C24" s="8"/>
      <c r="D24" s="8"/>
      <c r="E24" s="5"/>
    </row>
    <row r="25" spans="1:14" ht="15.6">
      <c r="A25" s="6"/>
      <c r="B25" s="7"/>
      <c r="C25" s="8"/>
      <c r="D25" s="8"/>
      <c r="E25" s="5"/>
    </row>
    <row r="26" spans="1:14" ht="15.6">
      <c r="A26" s="6"/>
      <c r="B26" s="7"/>
      <c r="C26" s="8"/>
      <c r="D26" s="8"/>
      <c r="E26" s="5"/>
    </row>
    <row r="27" spans="1:14" ht="15.6">
      <c r="A27" s="6"/>
      <c r="B27" s="7"/>
      <c r="C27" s="8"/>
      <c r="D27" s="8"/>
      <c r="E27" s="5"/>
    </row>
    <row r="28" spans="1:14" ht="15.6">
      <c r="A28" s="6"/>
      <c r="B28" s="7"/>
      <c r="C28" s="8"/>
      <c r="D28" s="8"/>
      <c r="E28" s="5"/>
    </row>
    <row r="29" spans="1:14" ht="15.6">
      <c r="A29" s="6"/>
      <c r="B29" s="7"/>
      <c r="C29" s="8"/>
      <c r="D29" s="8"/>
      <c r="E29" s="5"/>
    </row>
    <row r="30" spans="1:14" ht="15.6">
      <c r="A30" s="6"/>
      <c r="B30" s="7"/>
      <c r="C30" s="8"/>
      <c r="D30" s="8"/>
      <c r="E30" s="5"/>
    </row>
    <row r="31" spans="1:14" ht="15.6">
      <c r="A31" s="6"/>
      <c r="B31" s="7"/>
      <c r="C31" s="8"/>
      <c r="D31" s="8"/>
      <c r="E31" s="5"/>
    </row>
    <row r="32" spans="1:14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3">
    <mergeCell ref="A1:E1"/>
    <mergeCell ref="C6:E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F48D-0D59-4568-8167-059A1AABA34E}">
  <sheetPr>
    <tabColor rgb="FF00B050"/>
  </sheetPr>
  <dimension ref="A1:N100"/>
  <sheetViews>
    <sheetView workbookViewId="0">
      <selection activeCell="C10" sqref="C10"/>
    </sheetView>
  </sheetViews>
  <sheetFormatPr defaultRowHeight="14.4"/>
  <cols>
    <col min="1" max="1" width="83.21875" bestFit="1" customWidth="1"/>
    <col min="2" max="2" width="38.88671875" style="9" bestFit="1" customWidth="1"/>
    <col min="3" max="3" width="26.5546875" bestFit="1" customWidth="1"/>
    <col min="4" max="4" width="25.6640625" bestFit="1" customWidth="1"/>
    <col min="5" max="5" width="27.6640625" style="3" bestFit="1" customWidth="1"/>
    <col min="6" max="6" width="8.77734375" customWidth="1"/>
    <col min="7" max="7" width="11.5546875" bestFit="1" customWidth="1"/>
    <col min="8" max="8" width="16.77734375" bestFit="1" customWidth="1"/>
    <col min="9" max="12" width="11.6640625" bestFit="1" customWidth="1"/>
    <col min="13" max="13" width="10.109375" bestFit="1" customWidth="1"/>
    <col min="14" max="14" width="14.2187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</row>
    <row r="3" spans="1:14" ht="15.6">
      <c r="A3" s="1"/>
      <c r="B3" s="4" t="s">
        <v>1</v>
      </c>
    </row>
    <row r="4" spans="1:14" ht="15.6">
      <c r="A4" s="10" t="s">
        <v>2</v>
      </c>
      <c r="B4" s="11">
        <f>SUM(B5:B100)</f>
        <v>6074325.3200000003</v>
      </c>
      <c r="C4" s="12" t="s">
        <v>3</v>
      </c>
      <c r="D4" s="12" t="s">
        <v>5</v>
      </c>
      <c r="E4" s="13" t="s">
        <v>4</v>
      </c>
    </row>
    <row r="5" spans="1:14" ht="15.6">
      <c r="A5" s="57" t="s">
        <v>168</v>
      </c>
      <c r="B5" s="58">
        <v>5890588.3799999999</v>
      </c>
      <c r="C5" s="93" t="s">
        <v>22</v>
      </c>
      <c r="D5" s="94"/>
      <c r="E5" s="95"/>
    </row>
    <row r="6" spans="1:14" ht="16.2" thickBot="1">
      <c r="A6" s="59" t="s">
        <v>169</v>
      </c>
      <c r="B6" s="60">
        <v>43673.75</v>
      </c>
      <c r="C6" s="61" t="s">
        <v>26</v>
      </c>
      <c r="D6" s="61" t="s">
        <v>163</v>
      </c>
      <c r="E6" s="62" t="s">
        <v>53</v>
      </c>
    </row>
    <row r="7" spans="1:14" ht="16.2" thickBot="1">
      <c r="A7" s="59" t="s">
        <v>170</v>
      </c>
      <c r="B7" s="60">
        <v>15424.57</v>
      </c>
      <c r="C7" s="61" t="s">
        <v>26</v>
      </c>
      <c r="D7" s="61" t="s">
        <v>164</v>
      </c>
      <c r="E7" s="62" t="s">
        <v>53</v>
      </c>
      <c r="G7" s="14" t="s">
        <v>6</v>
      </c>
      <c r="H7" s="19" t="s">
        <v>7</v>
      </c>
      <c r="I7" s="27" t="s">
        <v>8</v>
      </c>
      <c r="J7" s="27" t="s">
        <v>9</v>
      </c>
      <c r="K7" s="27" t="s">
        <v>10</v>
      </c>
      <c r="L7" s="27" t="s">
        <v>11</v>
      </c>
      <c r="M7" s="27" t="s">
        <v>12</v>
      </c>
      <c r="N7" s="27" t="s">
        <v>13</v>
      </c>
    </row>
    <row r="8" spans="1:14" ht="16.2" thickBot="1">
      <c r="A8" s="59" t="s">
        <v>171</v>
      </c>
      <c r="B8" s="60">
        <v>2561.44</v>
      </c>
      <c r="C8" s="61" t="s">
        <v>26</v>
      </c>
      <c r="D8" s="61" t="s">
        <v>165</v>
      </c>
      <c r="E8" s="62" t="s">
        <v>53</v>
      </c>
      <c r="G8" s="15"/>
      <c r="H8" s="23"/>
      <c r="I8" s="24">
        <f>H8*4.8%</f>
        <v>0</v>
      </c>
      <c r="J8" s="24">
        <f>H8*0.65%</f>
        <v>0</v>
      </c>
      <c r="K8" s="24">
        <f>H8*3%</f>
        <v>0</v>
      </c>
      <c r="L8" s="24">
        <f>H8*1%</f>
        <v>0</v>
      </c>
      <c r="M8" s="24">
        <f>H8*2%</f>
        <v>0</v>
      </c>
      <c r="N8" s="23">
        <f>H8-I8-J8-K8-L8-M8</f>
        <v>0</v>
      </c>
    </row>
    <row r="9" spans="1:14" ht="15.6">
      <c r="A9" s="59" t="s">
        <v>172</v>
      </c>
      <c r="B9" s="60">
        <v>109298.91</v>
      </c>
      <c r="C9" s="61" t="s">
        <v>26</v>
      </c>
      <c r="D9" s="61" t="s">
        <v>166</v>
      </c>
      <c r="E9" s="62" t="s">
        <v>173</v>
      </c>
    </row>
    <row r="10" spans="1:14" ht="15.6">
      <c r="A10" s="59" t="s">
        <v>162</v>
      </c>
      <c r="B10" s="60">
        <v>12778.27</v>
      </c>
      <c r="C10" s="61" t="s">
        <v>26</v>
      </c>
      <c r="D10" s="61" t="s">
        <v>167</v>
      </c>
      <c r="E10" s="62" t="s">
        <v>53</v>
      </c>
    </row>
    <row r="11" spans="1:14" ht="15.6">
      <c r="A11" s="6"/>
      <c r="B11" s="7"/>
      <c r="C11" s="8"/>
      <c r="D11" s="8"/>
      <c r="E11" s="5"/>
    </row>
    <row r="12" spans="1:14" ht="15.6">
      <c r="A12" s="6"/>
      <c r="B12" s="7"/>
      <c r="C12" s="8"/>
      <c r="D12" s="8"/>
      <c r="E12" s="5"/>
    </row>
    <row r="13" spans="1:14" ht="15.6">
      <c r="A13" s="6"/>
      <c r="B13" s="7"/>
      <c r="C13" s="8"/>
      <c r="D13" s="8"/>
      <c r="E13" s="5"/>
    </row>
    <row r="14" spans="1:14" ht="15.6">
      <c r="A14" s="6"/>
      <c r="B14" s="7"/>
      <c r="C14" s="8"/>
      <c r="D14" s="8"/>
      <c r="E14" s="5"/>
    </row>
    <row r="15" spans="1:14" ht="15.6">
      <c r="A15" s="6"/>
      <c r="B15" s="7"/>
      <c r="C15" s="8"/>
      <c r="D15" s="8"/>
      <c r="E15" s="5"/>
    </row>
    <row r="16" spans="1:14" ht="15.6">
      <c r="A16" s="6"/>
      <c r="B16" s="7"/>
      <c r="C16" s="8"/>
      <c r="D16" s="8"/>
      <c r="E16" s="5"/>
    </row>
    <row r="17" spans="1:5" ht="15.6">
      <c r="A17" s="6"/>
      <c r="B17" s="7"/>
      <c r="C17" s="8"/>
      <c r="D17" s="8"/>
      <c r="E17" s="5"/>
    </row>
    <row r="18" spans="1:5" ht="15.6">
      <c r="A18" s="6"/>
      <c r="B18" s="7"/>
      <c r="C18" s="8"/>
      <c r="D18" s="8"/>
      <c r="E18" s="5"/>
    </row>
    <row r="19" spans="1:5" ht="15.6">
      <c r="A19" s="6"/>
      <c r="B19" s="7"/>
      <c r="C19" s="8"/>
      <c r="D19" s="8"/>
      <c r="E19" s="5"/>
    </row>
    <row r="20" spans="1:5" ht="15.6">
      <c r="A20" s="6"/>
      <c r="B20" s="7"/>
      <c r="C20" s="8"/>
      <c r="D20" s="8"/>
      <c r="E20" s="5"/>
    </row>
    <row r="21" spans="1:5" ht="15.6">
      <c r="A21" s="6"/>
      <c r="B21" s="7"/>
      <c r="C21" s="8"/>
      <c r="D21" s="8"/>
      <c r="E21" s="5"/>
    </row>
    <row r="22" spans="1:5" ht="15.6">
      <c r="A22" s="6"/>
      <c r="B22" s="7"/>
      <c r="C22" s="8"/>
      <c r="D22" s="8"/>
      <c r="E22" s="5"/>
    </row>
    <row r="23" spans="1:5" ht="15.6">
      <c r="A23" s="6"/>
      <c r="B23" s="7"/>
      <c r="C23" s="8"/>
      <c r="D23" s="8"/>
      <c r="E23" s="5"/>
    </row>
    <row r="24" spans="1:5" ht="15.6">
      <c r="A24" s="6"/>
      <c r="B24" s="7"/>
      <c r="C24" s="8"/>
      <c r="D24" s="8"/>
      <c r="E24" s="5"/>
    </row>
    <row r="25" spans="1:5" ht="15.6">
      <c r="A25" s="6"/>
      <c r="B25" s="7"/>
      <c r="C25" s="8"/>
      <c r="D25" s="8"/>
      <c r="E25" s="5"/>
    </row>
    <row r="26" spans="1:5" ht="15.6">
      <c r="A26" s="6"/>
      <c r="B26" s="7"/>
      <c r="C26" s="8"/>
      <c r="D26" s="8"/>
      <c r="E26" s="5"/>
    </row>
    <row r="27" spans="1:5" ht="15.6">
      <c r="A27" s="6"/>
      <c r="B27" s="7"/>
      <c r="C27" s="8"/>
      <c r="D27" s="8"/>
      <c r="E27" s="5"/>
    </row>
    <row r="28" spans="1:5" ht="15.6">
      <c r="A28" s="6"/>
      <c r="B28" s="7"/>
      <c r="C28" s="8"/>
      <c r="D28" s="8"/>
      <c r="E28" s="5"/>
    </row>
    <row r="29" spans="1:5" ht="15.6">
      <c r="A29" s="6"/>
      <c r="B29" s="7"/>
      <c r="C29" s="8"/>
      <c r="D29" s="8"/>
      <c r="E29" s="5"/>
    </row>
    <row r="30" spans="1:5" ht="15.6">
      <c r="A30" s="6"/>
      <c r="B30" s="7"/>
      <c r="C30" s="8"/>
      <c r="D30" s="8"/>
      <c r="E30" s="5"/>
    </row>
    <row r="31" spans="1:5" ht="15.6">
      <c r="A31" s="6"/>
      <c r="B31" s="7"/>
      <c r="C31" s="8"/>
      <c r="D31" s="8"/>
      <c r="E31" s="5"/>
    </row>
    <row r="32" spans="1:5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7"/>
      <c r="C41" s="8"/>
      <c r="D41" s="8"/>
      <c r="E41" s="5"/>
    </row>
    <row r="42" spans="1:5" ht="15.6">
      <c r="A42" s="6"/>
      <c r="B42" s="7"/>
      <c r="C42" s="8"/>
      <c r="D42" s="8"/>
      <c r="E42" s="5"/>
    </row>
    <row r="43" spans="1:5" ht="15.6">
      <c r="A43" s="6"/>
      <c r="B43" s="7"/>
      <c r="C43" s="8"/>
      <c r="D43" s="8"/>
      <c r="E43" s="5"/>
    </row>
    <row r="44" spans="1:5" ht="15.6">
      <c r="A44" s="6"/>
      <c r="B44" s="7"/>
      <c r="C44" s="8"/>
      <c r="D44" s="8"/>
      <c r="E44" s="5"/>
    </row>
    <row r="45" spans="1:5" ht="15.6">
      <c r="A45" s="6"/>
      <c r="B45" s="7"/>
      <c r="C45" s="8"/>
      <c r="D45" s="8"/>
      <c r="E45" s="5"/>
    </row>
    <row r="46" spans="1:5" ht="15.6">
      <c r="A46" s="6"/>
      <c r="B46" s="7"/>
      <c r="C46" s="8"/>
      <c r="D46" s="8"/>
      <c r="E46" s="5"/>
    </row>
    <row r="47" spans="1:5" ht="15.6">
      <c r="A47" s="6"/>
      <c r="B47" s="7"/>
      <c r="C47" s="8"/>
      <c r="D47" s="8"/>
      <c r="E47" s="5"/>
    </row>
    <row r="48" spans="1:5" ht="15.6">
      <c r="A48" s="6"/>
      <c r="B48" s="7"/>
      <c r="C48" s="8"/>
      <c r="D48" s="8"/>
      <c r="E48" s="5"/>
    </row>
    <row r="49" spans="1:5" ht="15.6">
      <c r="A49" s="6"/>
      <c r="B49" s="7"/>
      <c r="C49" s="8"/>
      <c r="D49" s="8"/>
      <c r="E49" s="5"/>
    </row>
    <row r="50" spans="1:5" ht="15.6">
      <c r="A50" s="6"/>
      <c r="B50" s="7"/>
      <c r="C50" s="8"/>
      <c r="D50" s="8"/>
      <c r="E50" s="5"/>
    </row>
    <row r="51" spans="1:5" ht="15.6">
      <c r="A51" s="6"/>
      <c r="B51" s="7"/>
      <c r="C51" s="8"/>
      <c r="D51" s="8"/>
      <c r="E51" s="5"/>
    </row>
    <row r="52" spans="1:5" ht="15.6">
      <c r="A52" s="6"/>
      <c r="B52" s="7"/>
      <c r="C52" s="8"/>
      <c r="D52" s="8"/>
      <c r="E52" s="5"/>
    </row>
    <row r="53" spans="1:5" ht="15.6">
      <c r="A53" s="6"/>
      <c r="B53" s="7"/>
      <c r="C53" s="8"/>
      <c r="D53" s="8"/>
      <c r="E53" s="5"/>
    </row>
    <row r="54" spans="1:5" ht="15.6">
      <c r="A54" s="6"/>
      <c r="B54" s="7"/>
      <c r="C54" s="8"/>
      <c r="D54" s="8"/>
      <c r="E54" s="5"/>
    </row>
    <row r="55" spans="1:5" ht="15.6">
      <c r="A55" s="6"/>
      <c r="B55" s="7"/>
      <c r="C55" s="8"/>
      <c r="D55" s="8"/>
      <c r="E55" s="5"/>
    </row>
    <row r="56" spans="1:5" ht="15.6">
      <c r="A56" s="6"/>
      <c r="B56" s="7"/>
      <c r="C56" s="8"/>
      <c r="D56" s="8"/>
      <c r="E56" s="5"/>
    </row>
    <row r="57" spans="1:5" ht="15.6">
      <c r="A57" s="6"/>
      <c r="B57" s="7"/>
      <c r="C57" s="8"/>
      <c r="D57" s="8"/>
      <c r="E57" s="5"/>
    </row>
    <row r="58" spans="1:5" ht="15.6">
      <c r="A58" s="6"/>
      <c r="B58" s="7"/>
      <c r="C58" s="8"/>
      <c r="D58" s="8"/>
      <c r="E58" s="5"/>
    </row>
    <row r="59" spans="1:5" ht="15.6">
      <c r="A59" s="6"/>
      <c r="B59" s="7"/>
      <c r="C59" s="8"/>
      <c r="D59" s="8"/>
      <c r="E59" s="5"/>
    </row>
    <row r="60" spans="1:5" ht="15.6">
      <c r="A60" s="6"/>
      <c r="B60" s="7"/>
      <c r="C60" s="8"/>
      <c r="D60" s="8"/>
      <c r="E60" s="5"/>
    </row>
    <row r="61" spans="1:5" ht="15.6">
      <c r="A61" s="6"/>
      <c r="B61" s="7"/>
      <c r="C61" s="8"/>
      <c r="D61" s="8"/>
      <c r="E61" s="5"/>
    </row>
    <row r="62" spans="1:5" ht="15.6">
      <c r="A62" s="6"/>
      <c r="B62" s="7"/>
      <c r="C62" s="8"/>
      <c r="D62" s="8"/>
      <c r="E62" s="5"/>
    </row>
    <row r="63" spans="1:5" ht="15.6">
      <c r="A63" s="6"/>
      <c r="B63" s="7"/>
      <c r="C63" s="8"/>
      <c r="D63" s="8"/>
      <c r="E63" s="5"/>
    </row>
    <row r="64" spans="1:5" ht="15.6">
      <c r="A64" s="6"/>
      <c r="B64" s="7"/>
      <c r="C64" s="8"/>
      <c r="D64" s="8"/>
      <c r="E64" s="5"/>
    </row>
    <row r="65" spans="1:5" ht="15.6">
      <c r="A65" s="6"/>
      <c r="B65" s="7"/>
      <c r="C65" s="8"/>
      <c r="D65" s="8"/>
      <c r="E65" s="5"/>
    </row>
    <row r="66" spans="1:5" ht="15.6">
      <c r="A66" s="6"/>
      <c r="B66" s="7"/>
      <c r="C66" s="8"/>
      <c r="D66" s="8"/>
      <c r="E66" s="5"/>
    </row>
    <row r="67" spans="1:5" ht="15.6">
      <c r="A67" s="6"/>
      <c r="B67" s="7"/>
      <c r="C67" s="8"/>
      <c r="D67" s="8"/>
      <c r="E67" s="5"/>
    </row>
    <row r="68" spans="1:5" ht="15.6">
      <c r="A68" s="6"/>
      <c r="B68" s="7"/>
      <c r="C68" s="8"/>
      <c r="D68" s="8"/>
      <c r="E68" s="5"/>
    </row>
    <row r="69" spans="1:5" ht="15.6">
      <c r="A69" s="6"/>
      <c r="B69" s="7"/>
      <c r="C69" s="8"/>
      <c r="D69" s="8"/>
      <c r="E69" s="5"/>
    </row>
    <row r="70" spans="1:5" ht="15.6">
      <c r="A70" s="6"/>
      <c r="B70" s="7"/>
      <c r="C70" s="8"/>
      <c r="D70" s="8"/>
      <c r="E70" s="5"/>
    </row>
    <row r="71" spans="1:5" ht="15.6">
      <c r="A71" s="6"/>
      <c r="B71" s="7"/>
      <c r="C71" s="8"/>
      <c r="D71" s="8"/>
      <c r="E71" s="5"/>
    </row>
    <row r="72" spans="1:5" ht="15.6">
      <c r="A72" s="6"/>
      <c r="B72" s="7"/>
      <c r="C72" s="8"/>
      <c r="D72" s="8"/>
      <c r="E72" s="5"/>
    </row>
    <row r="73" spans="1:5" ht="15.6">
      <c r="A73" s="6"/>
      <c r="B73" s="7"/>
      <c r="C73" s="8"/>
      <c r="D73" s="8"/>
      <c r="E73" s="5"/>
    </row>
    <row r="74" spans="1:5" ht="15.6">
      <c r="A74" s="6"/>
      <c r="B74" s="7"/>
      <c r="C74" s="8"/>
      <c r="D74" s="8"/>
      <c r="E74" s="5"/>
    </row>
    <row r="75" spans="1:5" ht="15.6">
      <c r="A75" s="6"/>
      <c r="B75" s="7"/>
      <c r="C75" s="8"/>
      <c r="D75" s="8"/>
      <c r="E75" s="5"/>
    </row>
    <row r="76" spans="1:5" ht="15.6">
      <c r="A76" s="6"/>
      <c r="B76" s="7"/>
      <c r="C76" s="8"/>
      <c r="D76" s="8"/>
      <c r="E76" s="5"/>
    </row>
    <row r="77" spans="1:5" ht="15.6">
      <c r="A77" s="6"/>
      <c r="B77" s="7"/>
      <c r="C77" s="8"/>
      <c r="D77" s="8"/>
      <c r="E77" s="5"/>
    </row>
    <row r="78" spans="1:5" ht="15.6">
      <c r="A78" s="6"/>
      <c r="B78" s="7"/>
      <c r="C78" s="8"/>
      <c r="D78" s="8"/>
      <c r="E78" s="5"/>
    </row>
    <row r="79" spans="1:5" ht="15.6">
      <c r="A79" s="6"/>
      <c r="B79" s="7"/>
      <c r="C79" s="8"/>
      <c r="D79" s="8"/>
      <c r="E79" s="5"/>
    </row>
    <row r="80" spans="1:5" ht="15.6">
      <c r="A80" s="6"/>
      <c r="B80" s="7"/>
      <c r="C80" s="8"/>
      <c r="D80" s="8"/>
      <c r="E80" s="5"/>
    </row>
    <row r="81" spans="1:5" ht="15.6">
      <c r="A81" s="6"/>
      <c r="B81" s="7"/>
      <c r="C81" s="8"/>
      <c r="D81" s="8"/>
      <c r="E81" s="5"/>
    </row>
    <row r="82" spans="1:5" ht="15.6">
      <c r="A82" s="6"/>
      <c r="B82" s="7"/>
      <c r="C82" s="8"/>
      <c r="D82" s="8"/>
      <c r="E82" s="5"/>
    </row>
    <row r="83" spans="1:5" ht="15.6">
      <c r="A83" s="6"/>
      <c r="B83" s="7"/>
      <c r="C83" s="8"/>
      <c r="D83" s="8"/>
      <c r="E83" s="5"/>
    </row>
    <row r="84" spans="1:5" ht="15.6">
      <c r="A84" s="6"/>
      <c r="B84" s="7"/>
      <c r="C84" s="8"/>
      <c r="D84" s="8"/>
      <c r="E84" s="5"/>
    </row>
    <row r="85" spans="1:5" ht="15.6">
      <c r="A85" s="6"/>
      <c r="B85" s="7"/>
      <c r="C85" s="8"/>
      <c r="D85" s="8"/>
      <c r="E85" s="5"/>
    </row>
    <row r="86" spans="1:5" ht="15.6">
      <c r="A86" s="6"/>
      <c r="B86" s="7"/>
      <c r="C86" s="8"/>
      <c r="D86" s="8"/>
      <c r="E86" s="5"/>
    </row>
    <row r="87" spans="1:5" ht="15.6">
      <c r="A87" s="6"/>
      <c r="B87" s="7"/>
      <c r="C87" s="8"/>
      <c r="D87" s="8"/>
      <c r="E87" s="5"/>
    </row>
    <row r="88" spans="1:5" ht="15.6">
      <c r="A88" s="6"/>
      <c r="B88" s="7"/>
      <c r="C88" s="8"/>
      <c r="D88" s="8"/>
      <c r="E88" s="5"/>
    </row>
    <row r="89" spans="1:5" ht="15.6">
      <c r="A89" s="6"/>
      <c r="B89" s="7"/>
      <c r="C89" s="8"/>
      <c r="D89" s="8"/>
      <c r="E89" s="5"/>
    </row>
    <row r="90" spans="1:5" ht="15.6">
      <c r="A90" s="6"/>
      <c r="B90" s="7"/>
      <c r="C90" s="8"/>
      <c r="D90" s="8"/>
      <c r="E90" s="5"/>
    </row>
    <row r="91" spans="1:5" ht="15.6">
      <c r="A91" s="6"/>
      <c r="B91" s="7"/>
      <c r="C91" s="8"/>
      <c r="D91" s="8"/>
      <c r="E91" s="5"/>
    </row>
    <row r="92" spans="1:5" ht="15.6">
      <c r="A92" s="6"/>
      <c r="B92" s="7"/>
      <c r="C92" s="8"/>
      <c r="D92" s="8"/>
      <c r="E92" s="5"/>
    </row>
    <row r="93" spans="1:5" ht="15.6">
      <c r="A93" s="6"/>
      <c r="B93" s="7"/>
      <c r="C93" s="8"/>
      <c r="D93" s="8"/>
      <c r="E93" s="5"/>
    </row>
    <row r="94" spans="1:5" ht="15.6">
      <c r="A94" s="6"/>
      <c r="B94" s="7"/>
      <c r="C94" s="8"/>
      <c r="D94" s="8"/>
      <c r="E94" s="5"/>
    </row>
    <row r="95" spans="1:5" ht="15.6">
      <c r="A95" s="6"/>
      <c r="B95" s="7"/>
      <c r="C95" s="8"/>
      <c r="D95" s="8"/>
      <c r="E95" s="5"/>
    </row>
    <row r="96" spans="1:5" ht="15.6">
      <c r="A96" s="6"/>
      <c r="B96" s="7"/>
      <c r="C96" s="8"/>
      <c r="D96" s="8"/>
      <c r="E96" s="5"/>
    </row>
    <row r="97" spans="1:5" ht="15.6">
      <c r="A97" s="6"/>
      <c r="B97" s="7"/>
      <c r="C97" s="8"/>
      <c r="D97" s="8"/>
      <c r="E97" s="5"/>
    </row>
    <row r="98" spans="1:5" ht="15.6">
      <c r="A98" s="6"/>
      <c r="B98" s="7"/>
      <c r="C98" s="8"/>
      <c r="D98" s="8"/>
      <c r="E98" s="5"/>
    </row>
    <row r="99" spans="1:5" ht="15.6">
      <c r="A99" s="6"/>
      <c r="B99" s="7"/>
      <c r="C99" s="8"/>
      <c r="D99" s="8"/>
      <c r="E99" s="5"/>
    </row>
    <row r="100" spans="1:5" ht="15.6">
      <c r="A100" s="6"/>
      <c r="B100" s="7"/>
      <c r="C100" s="8"/>
      <c r="D100" s="8"/>
      <c r="E100" s="5"/>
    </row>
  </sheetData>
  <mergeCells count="2">
    <mergeCell ref="A1:E1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20D2-7AAD-422F-84EE-D975132A75D3}">
  <sheetPr>
    <tabColor rgb="FF00B050"/>
  </sheetPr>
  <dimension ref="A1:N100"/>
  <sheetViews>
    <sheetView workbookViewId="0">
      <selection activeCell="C8" sqref="C8"/>
    </sheetView>
  </sheetViews>
  <sheetFormatPr defaultRowHeight="14.4"/>
  <cols>
    <col min="1" max="1" width="91.33203125" customWidth="1"/>
    <col min="2" max="2" width="38.88671875" style="9" bestFit="1" customWidth="1"/>
    <col min="3" max="3" width="17.109375" customWidth="1"/>
    <col min="4" max="4" width="25.6640625" bestFit="1" customWidth="1"/>
    <col min="5" max="5" width="41.109375" style="3" bestFit="1" customWidth="1"/>
    <col min="6" max="6" width="8.77734375" customWidth="1"/>
    <col min="7" max="7" width="11.5546875" bestFit="1" customWidth="1"/>
    <col min="8" max="8" width="16.77734375" bestFit="1" customWidth="1"/>
    <col min="9" max="9" width="13.77734375" bestFit="1" customWidth="1"/>
    <col min="10" max="10" width="12.77734375" bestFit="1" customWidth="1"/>
    <col min="11" max="11" width="13.77734375" bestFit="1" customWidth="1"/>
    <col min="12" max="12" width="12.77734375" bestFit="1" customWidth="1"/>
    <col min="13" max="13" width="13.77734375" bestFit="1" customWidth="1"/>
    <col min="14" max="14" width="15.4414062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5.6">
      <c r="A2" s="1"/>
      <c r="B2" s="2"/>
    </row>
    <row r="3" spans="1:14" ht="16.2" thickBot="1">
      <c r="A3" s="1"/>
      <c r="B3" s="4" t="s">
        <v>1</v>
      </c>
    </row>
    <row r="4" spans="1:14" ht="16.2" thickBot="1">
      <c r="A4" s="10" t="s">
        <v>2</v>
      </c>
      <c r="B4" s="11">
        <f>SUM(B5:B100)</f>
        <v>169295.22</v>
      </c>
      <c r="C4" s="12" t="s">
        <v>3</v>
      </c>
      <c r="D4" s="12" t="s">
        <v>5</v>
      </c>
      <c r="E4" s="13" t="s">
        <v>4</v>
      </c>
      <c r="G4" s="33" t="s">
        <v>6</v>
      </c>
      <c r="H4" s="34" t="s">
        <v>7</v>
      </c>
      <c r="I4" s="34" t="s">
        <v>8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13</v>
      </c>
    </row>
    <row r="5" spans="1:14" ht="16.2" thickBot="1">
      <c r="A5" s="57" t="s">
        <v>174</v>
      </c>
      <c r="B5" s="58">
        <v>96587.98</v>
      </c>
      <c r="C5" s="93" t="s">
        <v>22</v>
      </c>
      <c r="D5" s="94"/>
      <c r="E5" s="95"/>
      <c r="G5" s="15"/>
      <c r="H5" s="23"/>
      <c r="I5" s="21">
        <f>H5*4.8%</f>
        <v>0</v>
      </c>
      <c r="J5" s="21">
        <f>H5*0.65%</f>
        <v>0</v>
      </c>
      <c r="K5" s="21">
        <f>H5*3%</f>
        <v>0</v>
      </c>
      <c r="L5" s="21">
        <f>H5*1%</f>
        <v>0</v>
      </c>
      <c r="M5" s="21"/>
      <c r="N5" s="21">
        <f>H5-I5-J5-K5-L5-M5</f>
        <v>0</v>
      </c>
    </row>
    <row r="6" spans="1:14" ht="16.2" thickBot="1">
      <c r="A6" s="59" t="s">
        <v>175</v>
      </c>
      <c r="B6" s="60">
        <v>6979.7</v>
      </c>
      <c r="C6" s="78" t="s">
        <v>26</v>
      </c>
      <c r="D6" s="79" t="s">
        <v>178</v>
      </c>
      <c r="E6" s="79" t="s">
        <v>53</v>
      </c>
      <c r="G6" s="15"/>
      <c r="H6" s="23"/>
      <c r="I6" s="21">
        <f>H6*4.8%</f>
        <v>0</v>
      </c>
      <c r="J6" s="21">
        <f>H6*0.65%</f>
        <v>0</v>
      </c>
      <c r="K6" s="21">
        <f>H6*3%</f>
        <v>0</v>
      </c>
      <c r="L6" s="21">
        <f>H6*1%</f>
        <v>0</v>
      </c>
      <c r="M6" s="21"/>
      <c r="N6" s="21">
        <f>H6-I6-J6-K6-L6-M6</f>
        <v>0</v>
      </c>
    </row>
    <row r="7" spans="1:14" ht="16.2" thickBot="1">
      <c r="A7" s="57" t="s">
        <v>176</v>
      </c>
      <c r="B7" s="58">
        <v>184.21</v>
      </c>
      <c r="C7" s="93" t="s">
        <v>22</v>
      </c>
      <c r="D7" s="94"/>
      <c r="E7" s="95"/>
      <c r="G7" s="14" t="s">
        <v>14</v>
      </c>
      <c r="H7" s="20">
        <f t="shared" ref="H7:N7" si="0">SUM(H5:H6)</f>
        <v>0</v>
      </c>
      <c r="I7" s="20">
        <f t="shared" si="0"/>
        <v>0</v>
      </c>
      <c r="J7" s="20">
        <f t="shared" si="0"/>
        <v>0</v>
      </c>
      <c r="K7" s="20">
        <f t="shared" si="0"/>
        <v>0</v>
      </c>
      <c r="L7" s="20">
        <f t="shared" si="0"/>
        <v>0</v>
      </c>
      <c r="M7" s="20">
        <f t="shared" si="0"/>
        <v>0</v>
      </c>
      <c r="N7" s="20">
        <f t="shared" si="0"/>
        <v>0</v>
      </c>
    </row>
    <row r="8" spans="1:14" ht="16.2" thickBot="1">
      <c r="A8" s="59" t="s">
        <v>177</v>
      </c>
      <c r="B8" s="60">
        <v>65543.33</v>
      </c>
      <c r="C8" s="78" t="s">
        <v>26</v>
      </c>
      <c r="D8" s="79" t="s">
        <v>179</v>
      </c>
      <c r="E8" s="79" t="s">
        <v>33</v>
      </c>
    </row>
    <row r="9" spans="1:14" ht="16.2" thickBot="1">
      <c r="A9" s="6"/>
      <c r="B9" s="7"/>
      <c r="C9" s="40"/>
      <c r="D9" s="55"/>
      <c r="E9" s="55"/>
      <c r="G9" s="33" t="s">
        <v>6</v>
      </c>
      <c r="H9" s="34" t="s">
        <v>7</v>
      </c>
      <c r="I9" s="34" t="s">
        <v>8</v>
      </c>
      <c r="J9" s="18" t="s">
        <v>9</v>
      </c>
      <c r="K9" s="18" t="s">
        <v>10</v>
      </c>
      <c r="L9" s="18" t="s">
        <v>11</v>
      </c>
      <c r="M9" s="18" t="s">
        <v>12</v>
      </c>
      <c r="N9" s="18" t="s">
        <v>13</v>
      </c>
    </row>
    <row r="10" spans="1:14" ht="16.2" thickBot="1">
      <c r="A10" s="6"/>
      <c r="B10" s="7"/>
      <c r="C10" s="40"/>
      <c r="D10" s="55"/>
      <c r="E10" s="55"/>
      <c r="G10" s="15"/>
      <c r="H10" s="23"/>
      <c r="I10" s="21">
        <f>H10*4.8%</f>
        <v>0</v>
      </c>
      <c r="J10" s="21">
        <f>H10*0.65%</f>
        <v>0</v>
      </c>
      <c r="K10" s="21">
        <f>H10*3%</f>
        <v>0</v>
      </c>
      <c r="L10" s="21">
        <f>H10*1%</f>
        <v>0</v>
      </c>
      <c r="M10" s="21">
        <f>H10*5%</f>
        <v>0</v>
      </c>
      <c r="N10" s="21">
        <f>H10-I10-J10-K10-L10-M10</f>
        <v>0</v>
      </c>
    </row>
    <row r="11" spans="1:14" ht="16.2" thickBot="1">
      <c r="A11" s="6"/>
      <c r="B11" s="7"/>
      <c r="C11" s="40"/>
      <c r="D11" s="55"/>
      <c r="E11" s="55"/>
      <c r="G11" s="15"/>
      <c r="H11" s="23"/>
      <c r="I11" s="21">
        <f>H11*4.8%</f>
        <v>0</v>
      </c>
      <c r="J11" s="21">
        <f>H11*0.65%</f>
        <v>0</v>
      </c>
      <c r="K11" s="21">
        <f>H11*3%</f>
        <v>0</v>
      </c>
      <c r="L11" s="21">
        <f>H11*1%</f>
        <v>0</v>
      </c>
      <c r="M11" s="21">
        <f>H11*5%</f>
        <v>0</v>
      </c>
      <c r="N11" s="21">
        <f>H11-I11-J11-K11-L11-M11</f>
        <v>0</v>
      </c>
    </row>
    <row r="12" spans="1:14" ht="16.2" thickBot="1">
      <c r="A12" s="6"/>
      <c r="B12" s="7"/>
      <c r="C12" s="40"/>
      <c r="D12" s="55"/>
      <c r="E12" s="55"/>
      <c r="G12" s="14" t="s">
        <v>14</v>
      </c>
      <c r="H12" s="20">
        <f t="shared" ref="H12:N12" si="1">SUM(H10:H11)</f>
        <v>0</v>
      </c>
      <c r="I12" s="20">
        <f t="shared" si="1"/>
        <v>0</v>
      </c>
      <c r="J12" s="20">
        <f t="shared" si="1"/>
        <v>0</v>
      </c>
      <c r="K12" s="20">
        <f t="shared" si="1"/>
        <v>0</v>
      </c>
      <c r="L12" s="20">
        <f t="shared" si="1"/>
        <v>0</v>
      </c>
      <c r="M12" s="20">
        <f t="shared" si="1"/>
        <v>0</v>
      </c>
      <c r="N12" s="20">
        <f t="shared" si="1"/>
        <v>0</v>
      </c>
    </row>
    <row r="13" spans="1:14" ht="16.2" thickBot="1">
      <c r="A13" s="6"/>
      <c r="B13" s="7"/>
      <c r="C13" s="8"/>
      <c r="D13" s="8"/>
      <c r="E13" s="5"/>
    </row>
    <row r="14" spans="1:14" ht="16.2" thickBot="1">
      <c r="A14" s="6"/>
      <c r="B14" s="7"/>
      <c r="C14" s="8"/>
      <c r="D14" s="8"/>
      <c r="E14" s="5"/>
      <c r="G14" s="33" t="s">
        <v>6</v>
      </c>
      <c r="H14" s="34" t="s">
        <v>7</v>
      </c>
      <c r="I14" s="34" t="s">
        <v>8</v>
      </c>
      <c r="J14" s="18" t="s">
        <v>9</v>
      </c>
      <c r="K14" s="18" t="s">
        <v>10</v>
      </c>
      <c r="L14" s="18" t="s">
        <v>11</v>
      </c>
      <c r="M14" s="18" t="s">
        <v>12</v>
      </c>
      <c r="N14" s="18" t="s">
        <v>13</v>
      </c>
    </row>
    <row r="15" spans="1:14" ht="16.2" thickBot="1">
      <c r="A15" s="6"/>
      <c r="B15" s="7"/>
      <c r="C15" s="40"/>
      <c r="D15" s="55"/>
      <c r="E15" s="55"/>
      <c r="G15" s="15"/>
      <c r="H15" s="23"/>
      <c r="I15" s="21">
        <f>H15*4.8%</f>
        <v>0</v>
      </c>
      <c r="J15" s="21">
        <f>H15*0.65%</f>
        <v>0</v>
      </c>
      <c r="K15" s="21">
        <f>H15*3%</f>
        <v>0</v>
      </c>
      <c r="L15" s="21">
        <f>H15*1%</f>
        <v>0</v>
      </c>
      <c r="M15" s="21">
        <f>H15*5%</f>
        <v>0</v>
      </c>
      <c r="N15" s="21">
        <f>H15-I15-J15-K15-L15-M15</f>
        <v>0</v>
      </c>
    </row>
    <row r="16" spans="1:14" ht="16.2" thickBot="1">
      <c r="A16" s="6"/>
      <c r="B16" s="7"/>
      <c r="C16" s="40"/>
      <c r="D16" s="55"/>
      <c r="E16" s="55"/>
      <c r="G16" s="15"/>
      <c r="H16" s="23"/>
      <c r="I16" s="21">
        <f>H16*4.8%</f>
        <v>0</v>
      </c>
      <c r="J16" s="21">
        <f>H16*0.65%</f>
        <v>0</v>
      </c>
      <c r="K16" s="21">
        <f>H16*3%</f>
        <v>0</v>
      </c>
      <c r="L16" s="21">
        <f>H16*1%</f>
        <v>0</v>
      </c>
      <c r="M16" s="21">
        <f>H16*5%</f>
        <v>0</v>
      </c>
      <c r="N16" s="21">
        <f>H16-I16-J16-K16-L16-M16</f>
        <v>0</v>
      </c>
    </row>
    <row r="17" spans="1:14" ht="16.2" thickBot="1">
      <c r="A17" s="6"/>
      <c r="B17" s="7"/>
      <c r="C17" s="8"/>
      <c r="D17" s="8"/>
      <c r="E17" s="5"/>
      <c r="G17" s="14" t="s">
        <v>14</v>
      </c>
      <c r="H17" s="20">
        <f t="shared" ref="H17:N17" si="2">SUM(H15:H16)</f>
        <v>0</v>
      </c>
      <c r="I17" s="20">
        <f t="shared" si="2"/>
        <v>0</v>
      </c>
      <c r="J17" s="20">
        <f t="shared" si="2"/>
        <v>0</v>
      </c>
      <c r="K17" s="20">
        <f t="shared" si="2"/>
        <v>0</v>
      </c>
      <c r="L17" s="20">
        <f t="shared" si="2"/>
        <v>0</v>
      </c>
      <c r="M17" s="20">
        <f t="shared" si="2"/>
        <v>0</v>
      </c>
      <c r="N17" s="20">
        <f t="shared" si="2"/>
        <v>0</v>
      </c>
    </row>
    <row r="18" spans="1:14" ht="15.6">
      <c r="A18" s="6"/>
      <c r="B18" s="7"/>
      <c r="C18" s="8"/>
      <c r="D18" s="8"/>
      <c r="E18" s="5"/>
    </row>
    <row r="19" spans="1:14" ht="15.6">
      <c r="A19" s="6"/>
      <c r="B19" s="7"/>
      <c r="C19" s="8"/>
      <c r="D19" s="8"/>
      <c r="E19" s="5"/>
    </row>
    <row r="20" spans="1:14" ht="15.6">
      <c r="A20" s="6"/>
      <c r="B20" s="7"/>
      <c r="C20" s="8"/>
      <c r="D20" s="8"/>
      <c r="E20" s="5"/>
    </row>
    <row r="21" spans="1:14" ht="15.6">
      <c r="A21" s="6"/>
      <c r="B21" s="7"/>
      <c r="C21" s="8"/>
      <c r="D21" s="8"/>
      <c r="E21" s="5"/>
    </row>
    <row r="22" spans="1:14" ht="15.6">
      <c r="A22" s="6"/>
      <c r="B22" s="7"/>
      <c r="C22" s="8"/>
      <c r="D22" s="8"/>
      <c r="E22" s="5"/>
    </row>
    <row r="23" spans="1:14" ht="15.6">
      <c r="A23" s="6"/>
      <c r="B23" s="7"/>
      <c r="C23" s="8"/>
      <c r="D23" s="8"/>
      <c r="E23" s="5"/>
    </row>
    <row r="24" spans="1:14" ht="15.6">
      <c r="A24" s="6"/>
      <c r="B24" s="7"/>
      <c r="C24" s="8"/>
      <c r="D24" s="8"/>
      <c r="E24" s="5"/>
    </row>
    <row r="25" spans="1:14" ht="15.6">
      <c r="A25" s="6"/>
      <c r="B25" s="7"/>
      <c r="C25" s="8"/>
      <c r="D25" s="8"/>
      <c r="E25" s="5"/>
    </row>
    <row r="26" spans="1:14" ht="15.6">
      <c r="A26" s="6"/>
      <c r="B26" s="7"/>
      <c r="C26" s="8"/>
      <c r="D26" s="8"/>
      <c r="E26" s="5"/>
    </row>
    <row r="27" spans="1:14" ht="15.6">
      <c r="A27" s="6"/>
      <c r="B27" s="7"/>
      <c r="C27" s="8"/>
      <c r="D27" s="8"/>
      <c r="E27" s="5"/>
    </row>
    <row r="28" spans="1:14" ht="15.6">
      <c r="A28" s="6"/>
      <c r="B28" s="7"/>
      <c r="C28" s="8"/>
      <c r="D28" s="8"/>
      <c r="E28" s="5"/>
    </row>
    <row r="29" spans="1:14" ht="15.6">
      <c r="A29" s="6"/>
      <c r="B29" s="7"/>
      <c r="C29" s="8"/>
      <c r="D29" s="8"/>
      <c r="E29" s="5"/>
    </row>
    <row r="30" spans="1:14" ht="15.6">
      <c r="A30" s="6"/>
      <c r="B30" s="7"/>
      <c r="C30" s="8"/>
      <c r="D30" s="8"/>
      <c r="E30" s="5"/>
    </row>
    <row r="31" spans="1:14" ht="15.6">
      <c r="A31" s="6"/>
      <c r="B31" s="7"/>
      <c r="C31" s="8"/>
      <c r="D31" s="8"/>
      <c r="E31" s="5"/>
    </row>
    <row r="32" spans="1:14" ht="15.6">
      <c r="A32" s="6"/>
      <c r="B32" s="7"/>
      <c r="C32" s="8"/>
      <c r="D32" s="8"/>
      <c r="E32" s="5"/>
    </row>
    <row r="33" spans="1:5" ht="15.6">
      <c r="A33" s="6"/>
      <c r="B33" s="7"/>
      <c r="C33" s="8"/>
      <c r="D33" s="8"/>
      <c r="E33" s="5"/>
    </row>
    <row r="34" spans="1:5" ht="15.6">
      <c r="A34" s="6"/>
      <c r="B34" s="7"/>
      <c r="C34" s="8"/>
      <c r="D34" s="8"/>
      <c r="E34" s="5"/>
    </row>
    <row r="35" spans="1:5" ht="15.6">
      <c r="A35" s="6"/>
      <c r="B35" s="7"/>
      <c r="C35" s="8"/>
      <c r="D35" s="8"/>
      <c r="E35" s="5"/>
    </row>
    <row r="36" spans="1:5" ht="15.6">
      <c r="A36" s="6"/>
      <c r="B36" s="7"/>
      <c r="C36" s="8"/>
      <c r="D36" s="8"/>
      <c r="E36" s="5"/>
    </row>
    <row r="37" spans="1:5" ht="15.6">
      <c r="A37" s="6"/>
      <c r="B37" s="7"/>
      <c r="C37" s="8"/>
      <c r="D37" s="8"/>
      <c r="E37" s="5"/>
    </row>
    <row r="38" spans="1:5" ht="15.6">
      <c r="A38" s="6"/>
      <c r="B38" s="7"/>
      <c r="C38" s="8"/>
      <c r="D38" s="8"/>
      <c r="E38" s="5"/>
    </row>
    <row r="39" spans="1:5" ht="15.6">
      <c r="A39" s="6"/>
      <c r="B39" s="7"/>
      <c r="C39" s="8"/>
      <c r="D39" s="8"/>
      <c r="E39" s="5"/>
    </row>
    <row r="40" spans="1:5" ht="15.6">
      <c r="A40" s="6"/>
      <c r="B40" s="7"/>
      <c r="C40" s="8"/>
      <c r="D40" s="8"/>
      <c r="E40" s="5"/>
    </row>
    <row r="41" spans="1:5" ht="15.6">
      <c r="A41" s="6"/>
      <c r="B41" s="32"/>
      <c r="C41" s="8"/>
      <c r="D41" s="8"/>
      <c r="E41" s="5"/>
    </row>
    <row r="42" spans="1:5" ht="15.6">
      <c r="A42" s="6"/>
      <c r="B42" s="32"/>
      <c r="C42" s="8"/>
      <c r="D42" s="8"/>
      <c r="E42" s="5"/>
    </row>
    <row r="43" spans="1:5" ht="15.6">
      <c r="A43" s="6"/>
      <c r="B43" s="32"/>
      <c r="C43" s="8"/>
      <c r="D43" s="8"/>
      <c r="E43" s="5"/>
    </row>
    <row r="44" spans="1:5" ht="15.6">
      <c r="A44" s="6"/>
      <c r="B44" s="32"/>
      <c r="C44" s="8"/>
      <c r="D44" s="8"/>
      <c r="E44" s="5"/>
    </row>
    <row r="45" spans="1:5" ht="15.6">
      <c r="A45" s="6"/>
      <c r="B45" s="32"/>
      <c r="C45" s="8"/>
      <c r="D45" s="8"/>
      <c r="E45" s="5"/>
    </row>
    <row r="46" spans="1:5" ht="15.6">
      <c r="A46" s="6"/>
      <c r="B46" s="32"/>
      <c r="C46" s="8"/>
      <c r="D46" s="8"/>
      <c r="E46" s="5"/>
    </row>
    <row r="47" spans="1:5" ht="15.6">
      <c r="A47" s="6"/>
      <c r="B47" s="32"/>
      <c r="C47" s="8"/>
      <c r="D47" s="8"/>
      <c r="E47" s="5"/>
    </row>
    <row r="48" spans="1:5" ht="15.6">
      <c r="A48" s="6"/>
      <c r="B48" s="32"/>
      <c r="C48" s="8"/>
      <c r="D48" s="8"/>
      <c r="E48" s="5"/>
    </row>
    <row r="49" spans="1:5" ht="15.6">
      <c r="A49" s="6"/>
      <c r="B49" s="32"/>
      <c r="C49" s="8"/>
      <c r="D49" s="8"/>
      <c r="E49" s="5"/>
    </row>
    <row r="50" spans="1:5" ht="15.6">
      <c r="A50" s="6"/>
      <c r="B50" s="32"/>
      <c r="C50" s="8"/>
      <c r="D50" s="8"/>
      <c r="E50" s="5"/>
    </row>
    <row r="51" spans="1:5" ht="15.6">
      <c r="A51" s="6"/>
      <c r="B51" s="32"/>
      <c r="C51" s="8"/>
      <c r="D51" s="8"/>
      <c r="E51" s="5"/>
    </row>
    <row r="52" spans="1:5" ht="15.6">
      <c r="A52" s="6"/>
      <c r="B52" s="32"/>
      <c r="C52" s="8"/>
      <c r="D52" s="8"/>
      <c r="E52" s="5"/>
    </row>
    <row r="53" spans="1:5" ht="15.6">
      <c r="A53" s="6"/>
      <c r="B53" s="32"/>
      <c r="C53" s="8"/>
      <c r="D53" s="8"/>
      <c r="E53" s="5"/>
    </row>
    <row r="54" spans="1:5" ht="15.6">
      <c r="A54" s="6"/>
      <c r="B54" s="32"/>
      <c r="C54" s="8"/>
      <c r="D54" s="8"/>
      <c r="E54" s="5"/>
    </row>
    <row r="55" spans="1:5" ht="15.6">
      <c r="A55" s="6"/>
      <c r="B55" s="32"/>
      <c r="C55" s="8"/>
      <c r="D55" s="8"/>
      <c r="E55" s="5"/>
    </row>
    <row r="56" spans="1:5" ht="15.6">
      <c r="A56" s="6"/>
      <c r="B56" s="32"/>
      <c r="C56" s="8"/>
      <c r="D56" s="8"/>
      <c r="E56" s="5"/>
    </row>
    <row r="57" spans="1:5" ht="15.6">
      <c r="A57" s="6"/>
      <c r="B57" s="32"/>
      <c r="C57" s="8"/>
      <c r="D57" s="8"/>
      <c r="E57" s="5"/>
    </row>
    <row r="58" spans="1:5" ht="15.6">
      <c r="A58" s="6"/>
      <c r="B58" s="32"/>
      <c r="C58" s="8"/>
      <c r="D58" s="8"/>
      <c r="E58" s="5"/>
    </row>
    <row r="59" spans="1:5" ht="15.6">
      <c r="A59" s="6"/>
      <c r="B59" s="32"/>
      <c r="C59" s="8"/>
      <c r="D59" s="8"/>
      <c r="E59" s="5"/>
    </row>
    <row r="60" spans="1:5" ht="15.6">
      <c r="A60" s="6"/>
      <c r="B60" s="32"/>
      <c r="C60" s="8"/>
      <c r="D60" s="8"/>
      <c r="E60" s="5"/>
    </row>
    <row r="61" spans="1:5" ht="15.6">
      <c r="A61" s="6"/>
      <c r="B61" s="32"/>
      <c r="C61" s="8"/>
      <c r="D61" s="8"/>
      <c r="E61" s="5"/>
    </row>
    <row r="62" spans="1:5" ht="15.6">
      <c r="A62" s="6"/>
      <c r="B62" s="32"/>
      <c r="C62" s="8"/>
      <c r="D62" s="8"/>
      <c r="E62" s="5"/>
    </row>
    <row r="63" spans="1:5" ht="15.6">
      <c r="A63" s="6"/>
      <c r="B63" s="32"/>
      <c r="C63" s="8"/>
      <c r="D63" s="8"/>
      <c r="E63" s="5"/>
    </row>
    <row r="64" spans="1:5" ht="15.6">
      <c r="A64" s="6"/>
      <c r="B64" s="32"/>
      <c r="C64" s="8"/>
      <c r="D64" s="8"/>
      <c r="E64" s="5"/>
    </row>
    <row r="65" spans="1:5" ht="15.6">
      <c r="A65" s="6"/>
      <c r="B65" s="32"/>
      <c r="C65" s="8"/>
      <c r="D65" s="8"/>
      <c r="E65" s="5"/>
    </row>
    <row r="66" spans="1:5" ht="15.6">
      <c r="A66" s="6"/>
      <c r="B66" s="32"/>
      <c r="C66" s="8"/>
      <c r="D66" s="8"/>
      <c r="E66" s="5"/>
    </row>
    <row r="67" spans="1:5" ht="15.6">
      <c r="A67" s="6"/>
      <c r="B67" s="32"/>
      <c r="C67" s="8"/>
      <c r="D67" s="8"/>
      <c r="E67" s="5"/>
    </row>
    <row r="68" spans="1:5" ht="15.6">
      <c r="A68" s="6"/>
      <c r="B68" s="32"/>
      <c r="C68" s="8"/>
      <c r="D68" s="8"/>
      <c r="E68" s="5"/>
    </row>
    <row r="69" spans="1:5" ht="15.6">
      <c r="A69" s="6"/>
      <c r="B69" s="32"/>
      <c r="C69" s="8"/>
      <c r="D69" s="8"/>
      <c r="E69" s="5"/>
    </row>
    <row r="70" spans="1:5" ht="15.6">
      <c r="A70" s="6"/>
      <c r="B70" s="32"/>
      <c r="C70" s="8"/>
      <c r="D70" s="8"/>
      <c r="E70" s="5"/>
    </row>
    <row r="71" spans="1:5" ht="15.6">
      <c r="A71" s="6"/>
      <c r="B71" s="32"/>
      <c r="C71" s="8"/>
      <c r="D71" s="8"/>
      <c r="E71" s="5"/>
    </row>
    <row r="72" spans="1:5" ht="15.6">
      <c r="A72" s="6"/>
      <c r="B72" s="32"/>
      <c r="C72" s="8"/>
      <c r="D72" s="8"/>
      <c r="E72" s="5"/>
    </row>
    <row r="73" spans="1:5" ht="15.6">
      <c r="A73" s="6"/>
      <c r="B73" s="32"/>
      <c r="C73" s="8"/>
      <c r="D73" s="8"/>
      <c r="E73" s="5"/>
    </row>
    <row r="74" spans="1:5" ht="15.6">
      <c r="A74" s="6"/>
      <c r="B74" s="32"/>
      <c r="C74" s="8"/>
      <c r="D74" s="8"/>
      <c r="E74" s="5"/>
    </row>
    <row r="75" spans="1:5" ht="15.6">
      <c r="A75" s="6"/>
      <c r="B75" s="32"/>
      <c r="C75" s="8"/>
      <c r="D75" s="8"/>
      <c r="E75" s="5"/>
    </row>
    <row r="76" spans="1:5" ht="15.6">
      <c r="A76" s="6"/>
      <c r="B76" s="32"/>
      <c r="C76" s="8"/>
      <c r="D76" s="8"/>
      <c r="E76" s="5"/>
    </row>
    <row r="77" spans="1:5" ht="15.6">
      <c r="A77" s="6"/>
      <c r="B77" s="32"/>
      <c r="C77" s="8"/>
      <c r="D77" s="8"/>
      <c r="E77" s="5"/>
    </row>
    <row r="78" spans="1:5" ht="15.6">
      <c r="A78" s="6"/>
      <c r="B78" s="32"/>
      <c r="C78" s="8"/>
      <c r="D78" s="8"/>
      <c r="E78" s="5"/>
    </row>
    <row r="79" spans="1:5" ht="15.6">
      <c r="A79" s="6"/>
      <c r="B79" s="32"/>
      <c r="C79" s="8"/>
      <c r="D79" s="8"/>
      <c r="E79" s="5"/>
    </row>
    <row r="80" spans="1:5" ht="15.6">
      <c r="A80" s="6"/>
      <c r="B80" s="32"/>
      <c r="C80" s="8"/>
      <c r="D80" s="8"/>
      <c r="E80" s="5"/>
    </row>
    <row r="81" spans="1:5" ht="15.6">
      <c r="A81" s="6"/>
      <c r="B81" s="32"/>
      <c r="C81" s="8"/>
      <c r="D81" s="8"/>
      <c r="E81" s="5"/>
    </row>
    <row r="82" spans="1:5" ht="15.6">
      <c r="A82" s="6"/>
      <c r="B82" s="32"/>
      <c r="C82" s="8"/>
      <c r="D82" s="8"/>
      <c r="E82" s="5"/>
    </row>
    <row r="83" spans="1:5" ht="15.6">
      <c r="A83" s="6"/>
      <c r="B83" s="32"/>
      <c r="C83" s="8"/>
      <c r="D83" s="8"/>
      <c r="E83" s="5"/>
    </row>
    <row r="84" spans="1:5" ht="15.6">
      <c r="A84" s="6"/>
      <c r="B84" s="32"/>
      <c r="C84" s="8"/>
      <c r="D84" s="8"/>
      <c r="E84" s="5"/>
    </row>
    <row r="85" spans="1:5" ht="15.6">
      <c r="A85" s="6"/>
      <c r="B85" s="32"/>
      <c r="C85" s="8"/>
      <c r="D85" s="8"/>
      <c r="E85" s="5"/>
    </row>
    <row r="86" spans="1:5" ht="15.6">
      <c r="A86" s="6"/>
      <c r="B86" s="32"/>
      <c r="C86" s="8"/>
      <c r="D86" s="8"/>
      <c r="E86" s="5"/>
    </row>
    <row r="87" spans="1:5" ht="15.6">
      <c r="A87" s="6"/>
      <c r="B87" s="32"/>
      <c r="C87" s="8"/>
      <c r="D87" s="8"/>
      <c r="E87" s="5"/>
    </row>
    <row r="88" spans="1:5" ht="15.6">
      <c r="A88" s="6"/>
      <c r="B88" s="32"/>
      <c r="C88" s="8"/>
      <c r="D88" s="8"/>
      <c r="E88" s="5"/>
    </row>
    <row r="89" spans="1:5" ht="15.6">
      <c r="A89" s="6"/>
      <c r="B89" s="32"/>
      <c r="C89" s="8"/>
      <c r="D89" s="8"/>
      <c r="E89" s="5"/>
    </row>
    <row r="90" spans="1:5" ht="15.6">
      <c r="A90" s="6"/>
      <c r="B90" s="32"/>
      <c r="C90" s="8"/>
      <c r="D90" s="8"/>
      <c r="E90" s="5"/>
    </row>
    <row r="91" spans="1:5" ht="15.6">
      <c r="A91" s="6"/>
      <c r="B91" s="32"/>
      <c r="C91" s="8"/>
      <c r="D91" s="8"/>
      <c r="E91" s="5"/>
    </row>
    <row r="92" spans="1:5" ht="15.6">
      <c r="A92" s="6"/>
      <c r="B92" s="32"/>
      <c r="C92" s="8"/>
      <c r="D92" s="8"/>
      <c r="E92" s="5"/>
    </row>
    <row r="93" spans="1:5" ht="15.6">
      <c r="A93" s="6"/>
      <c r="B93" s="32"/>
      <c r="C93" s="8"/>
      <c r="D93" s="8"/>
      <c r="E93" s="5"/>
    </row>
    <row r="94" spans="1:5" ht="15.6">
      <c r="A94" s="6"/>
      <c r="B94" s="32"/>
      <c r="C94" s="8"/>
      <c r="D94" s="8"/>
      <c r="E94" s="5"/>
    </row>
    <row r="95" spans="1:5" ht="15.6">
      <c r="A95" s="6"/>
      <c r="B95" s="32"/>
      <c r="C95" s="8"/>
      <c r="D95" s="8"/>
      <c r="E95" s="5"/>
    </row>
    <row r="96" spans="1:5" ht="15.6">
      <c r="A96" s="6"/>
      <c r="B96" s="32"/>
      <c r="C96" s="8"/>
      <c r="D96" s="8"/>
      <c r="E96" s="5"/>
    </row>
    <row r="97" spans="1:5" ht="15.6">
      <c r="A97" s="6"/>
      <c r="B97" s="32"/>
      <c r="C97" s="8"/>
      <c r="D97" s="8"/>
      <c r="E97" s="5"/>
    </row>
    <row r="98" spans="1:5" ht="15.6">
      <c r="A98" s="6"/>
      <c r="B98" s="32"/>
      <c r="C98" s="8"/>
      <c r="D98" s="8"/>
      <c r="E98" s="5"/>
    </row>
    <row r="99" spans="1:5" ht="15.6">
      <c r="A99" s="6"/>
      <c r="B99" s="32"/>
      <c r="C99" s="8"/>
      <c r="D99" s="8"/>
      <c r="E99" s="5"/>
    </row>
    <row r="100" spans="1:5" ht="15.6">
      <c r="A100" s="6"/>
      <c r="B100" s="32"/>
      <c r="C100" s="8"/>
      <c r="D100" s="8"/>
      <c r="E100" s="5"/>
    </row>
  </sheetData>
  <mergeCells count="3">
    <mergeCell ref="A1:E1"/>
    <mergeCell ref="C5:E5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50D0-F4BA-45AE-AB1C-24282C8A0CCD}">
  <sheetPr>
    <tabColor rgb="FF00B050"/>
  </sheetPr>
  <dimension ref="A1:N100"/>
  <sheetViews>
    <sheetView topLeftCell="B1" workbookViewId="0">
      <selection activeCell="E7" sqref="E7"/>
    </sheetView>
  </sheetViews>
  <sheetFormatPr defaultRowHeight="14.4"/>
  <cols>
    <col min="1" max="1" width="94.5546875" bestFit="1" customWidth="1"/>
    <col min="2" max="2" width="38.88671875" style="9" bestFit="1" customWidth="1"/>
    <col min="3" max="3" width="18.21875" bestFit="1" customWidth="1"/>
    <col min="4" max="4" width="25.6640625" bestFit="1" customWidth="1"/>
    <col min="5" max="5" width="41.6640625" style="3" bestFit="1" customWidth="1"/>
    <col min="6" max="6" width="8.77734375" customWidth="1"/>
    <col min="7" max="7" width="11.5546875" bestFit="1" customWidth="1"/>
    <col min="8" max="8" width="17.109375" bestFit="1" customWidth="1"/>
    <col min="9" max="9" width="17.6640625" bestFit="1" customWidth="1"/>
    <col min="10" max="10" width="18.5546875" bestFit="1" customWidth="1"/>
    <col min="11" max="13" width="16.5546875" bestFit="1" customWidth="1"/>
    <col min="14" max="14" width="18.554687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6.2" thickBot="1">
      <c r="A2" s="1"/>
      <c r="B2" s="2"/>
      <c r="C2" s="9"/>
      <c r="D2" s="26"/>
    </row>
    <row r="3" spans="1:14" ht="15.6">
      <c r="A3" s="1"/>
      <c r="B3" s="4" t="s">
        <v>1</v>
      </c>
      <c r="G3" s="33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34" t="s">
        <v>11</v>
      </c>
      <c r="M3" s="34" t="s">
        <v>12</v>
      </c>
      <c r="N3" s="34" t="s">
        <v>13</v>
      </c>
    </row>
    <row r="4" spans="1:14" ht="15.6">
      <c r="A4" s="42" t="s">
        <v>2</v>
      </c>
      <c r="B4" s="43">
        <f>SUM(B5:B100)</f>
        <v>434402.88</v>
      </c>
      <c r="C4" s="44" t="s">
        <v>3</v>
      </c>
      <c r="D4" s="44" t="s">
        <v>5</v>
      </c>
      <c r="E4" s="45" t="s">
        <v>4</v>
      </c>
      <c r="G4" s="47"/>
      <c r="H4" s="46"/>
      <c r="I4" s="41">
        <f>H4*4.8%</f>
        <v>0</v>
      </c>
      <c r="J4" s="41">
        <f>H4*0.65%</f>
        <v>0</v>
      </c>
      <c r="K4" s="41">
        <f>H4*3%</f>
        <v>0</v>
      </c>
      <c r="L4" s="41">
        <f>H4*1%</f>
        <v>0</v>
      </c>
      <c r="M4" s="41"/>
      <c r="N4" s="41">
        <f>H4-I4-J4-K4-L4-M4</f>
        <v>0</v>
      </c>
    </row>
    <row r="5" spans="1:14" ht="16.2" thickBot="1">
      <c r="A5" s="57" t="s">
        <v>180</v>
      </c>
      <c r="B5" s="80">
        <v>10103.42</v>
      </c>
      <c r="C5" s="93" t="s">
        <v>22</v>
      </c>
      <c r="D5" s="94"/>
      <c r="E5" s="95"/>
      <c r="G5" s="48"/>
      <c r="H5" s="46"/>
      <c r="I5" s="41">
        <f>H5*4.8%</f>
        <v>0</v>
      </c>
      <c r="J5" s="41">
        <f>H5*0.65%</f>
        <v>0</v>
      </c>
      <c r="K5" s="41">
        <f>H5*3%</f>
        <v>0</v>
      </c>
      <c r="L5" s="41">
        <f>H5*1%</f>
        <v>0</v>
      </c>
      <c r="M5" s="41"/>
      <c r="N5" s="41">
        <f>H5-I5-J5-K5-L5-M5</f>
        <v>0</v>
      </c>
    </row>
    <row r="6" spans="1:14" ht="16.2" thickBot="1">
      <c r="A6" s="57" t="s">
        <v>18</v>
      </c>
      <c r="B6" s="80">
        <v>400000</v>
      </c>
      <c r="C6" s="93" t="s">
        <v>22</v>
      </c>
      <c r="D6" s="94"/>
      <c r="E6" s="95"/>
      <c r="G6" s="14" t="s">
        <v>14</v>
      </c>
      <c r="H6" s="17">
        <f t="shared" ref="H6:N6" si="0">SUM(H4:H5)</f>
        <v>0</v>
      </c>
      <c r="I6" s="17">
        <f t="shared" si="0"/>
        <v>0</v>
      </c>
      <c r="J6" s="17">
        <f t="shared" si="0"/>
        <v>0</v>
      </c>
      <c r="K6" s="17">
        <f t="shared" si="0"/>
        <v>0</v>
      </c>
      <c r="L6" s="17">
        <f t="shared" si="0"/>
        <v>0</v>
      </c>
      <c r="M6" s="17">
        <f t="shared" si="0"/>
        <v>0</v>
      </c>
      <c r="N6" s="17">
        <f t="shared" si="0"/>
        <v>0</v>
      </c>
    </row>
    <row r="7" spans="1:14" ht="16.2" thickBot="1">
      <c r="A7" s="59" t="s">
        <v>181</v>
      </c>
      <c r="B7" s="81">
        <v>24299.46</v>
      </c>
      <c r="C7" s="78" t="s">
        <v>26</v>
      </c>
      <c r="D7" s="61" t="s">
        <v>182</v>
      </c>
      <c r="E7" s="62" t="s">
        <v>53</v>
      </c>
    </row>
    <row r="8" spans="1:14" ht="16.2" thickBot="1">
      <c r="A8" s="6"/>
      <c r="B8" s="49"/>
      <c r="C8" s="8"/>
      <c r="D8" s="8"/>
      <c r="E8" s="5"/>
      <c r="G8" s="14" t="s">
        <v>6</v>
      </c>
      <c r="H8" s="17" t="s">
        <v>7</v>
      </c>
      <c r="I8" s="17" t="s">
        <v>8</v>
      </c>
      <c r="J8" s="17" t="s">
        <v>9</v>
      </c>
      <c r="K8" s="17" t="s">
        <v>10</v>
      </c>
      <c r="L8" s="17" t="s">
        <v>11</v>
      </c>
      <c r="M8" s="17" t="s">
        <v>12</v>
      </c>
      <c r="N8" s="17" t="s">
        <v>13</v>
      </c>
    </row>
    <row r="9" spans="1:14" ht="16.2" thickBot="1">
      <c r="A9" s="6"/>
      <c r="B9" s="49"/>
      <c r="C9" s="8"/>
      <c r="D9" s="8"/>
      <c r="E9" s="5"/>
      <c r="G9" s="15"/>
      <c r="H9" s="16"/>
      <c r="I9" s="35">
        <f>H9*4.8%</f>
        <v>0</v>
      </c>
      <c r="J9" s="35">
        <f>H9*0.65%</f>
        <v>0</v>
      </c>
      <c r="K9" s="35">
        <f>H9*3%</f>
        <v>0</v>
      </c>
      <c r="L9" s="35">
        <f>H9*1%</f>
        <v>0</v>
      </c>
      <c r="M9" s="35">
        <f>H9*5%</f>
        <v>0</v>
      </c>
      <c r="N9" s="35">
        <f>H9-I9-J9-K9-L9-M9</f>
        <v>0</v>
      </c>
    </row>
    <row r="10" spans="1:14" ht="16.2" thickBot="1">
      <c r="A10" s="6"/>
      <c r="B10" s="49"/>
      <c r="C10" s="8"/>
      <c r="D10" s="8"/>
      <c r="E10" s="5"/>
      <c r="G10" s="15"/>
      <c r="H10" s="16"/>
      <c r="I10" s="35">
        <f>H10*4.8%</f>
        <v>0</v>
      </c>
      <c r="J10" s="35">
        <f>H10*0.65%</f>
        <v>0</v>
      </c>
      <c r="K10" s="35">
        <f>H10*3%</f>
        <v>0</v>
      </c>
      <c r="L10" s="35">
        <f>H10*1%</f>
        <v>0</v>
      </c>
      <c r="M10" s="35">
        <f>H10*5%</f>
        <v>0</v>
      </c>
      <c r="N10" s="35">
        <f>H10-I10-J10-K10-L10-M10</f>
        <v>0</v>
      </c>
    </row>
    <row r="11" spans="1:14" ht="16.2" thickBot="1">
      <c r="A11" s="6"/>
      <c r="B11" s="49"/>
      <c r="C11" s="8"/>
      <c r="D11" s="8"/>
      <c r="E11" s="5"/>
      <c r="G11" s="14" t="s">
        <v>14</v>
      </c>
      <c r="H11" s="17">
        <f t="shared" ref="H11:N11" si="1">SUM(H9:H10)</f>
        <v>0</v>
      </c>
      <c r="I11" s="17">
        <f t="shared" si="1"/>
        <v>0</v>
      </c>
      <c r="J11" s="17">
        <f t="shared" si="1"/>
        <v>0</v>
      </c>
      <c r="K11" s="17">
        <f t="shared" si="1"/>
        <v>0</v>
      </c>
      <c r="L11" s="17">
        <f t="shared" si="1"/>
        <v>0</v>
      </c>
      <c r="M11" s="17">
        <f t="shared" si="1"/>
        <v>0</v>
      </c>
      <c r="N11" s="17">
        <f t="shared" si="1"/>
        <v>0</v>
      </c>
    </row>
    <row r="12" spans="1:14" ht="16.2" thickBot="1">
      <c r="A12" s="6"/>
      <c r="B12" s="49"/>
      <c r="C12" s="8"/>
      <c r="D12" s="8"/>
      <c r="E12" s="5"/>
    </row>
    <row r="13" spans="1:14" ht="16.2" thickBot="1">
      <c r="A13" s="6"/>
      <c r="B13" s="49"/>
      <c r="C13" s="8"/>
      <c r="D13" s="8"/>
      <c r="E13" s="5"/>
      <c r="G13" s="14" t="s">
        <v>6</v>
      </c>
      <c r="H13" s="17" t="s">
        <v>7</v>
      </c>
      <c r="I13" s="17" t="s">
        <v>8</v>
      </c>
      <c r="J13" s="17" t="s">
        <v>9</v>
      </c>
      <c r="K13" s="17" t="s">
        <v>10</v>
      </c>
      <c r="L13" s="17" t="s">
        <v>11</v>
      </c>
      <c r="M13" s="17" t="s">
        <v>12</v>
      </c>
      <c r="N13" s="17" t="s">
        <v>13</v>
      </c>
    </row>
    <row r="14" spans="1:14" ht="16.2" thickBot="1">
      <c r="A14" s="6"/>
      <c r="B14" s="49"/>
      <c r="C14" s="8"/>
      <c r="D14" s="8"/>
      <c r="E14" s="5"/>
      <c r="G14" s="15"/>
      <c r="H14" s="16"/>
      <c r="I14" s="35">
        <f>H14*4.8%</f>
        <v>0</v>
      </c>
      <c r="J14" s="35">
        <f>H14*0.65%</f>
        <v>0</v>
      </c>
      <c r="K14" s="35">
        <f>H14*3%</f>
        <v>0</v>
      </c>
      <c r="L14" s="35">
        <f>H14*1%</f>
        <v>0</v>
      </c>
      <c r="M14" s="35">
        <f>H14*5%</f>
        <v>0</v>
      </c>
      <c r="N14" s="35">
        <f>H14-I14-J14-K14-L14-M14</f>
        <v>0</v>
      </c>
    </row>
    <row r="15" spans="1:14" ht="16.2" thickBot="1">
      <c r="A15" s="6"/>
      <c r="B15" s="49"/>
      <c r="C15" s="8"/>
      <c r="D15" s="8"/>
      <c r="E15" s="5"/>
      <c r="G15" s="15"/>
      <c r="H15" s="16"/>
      <c r="I15" s="35">
        <f>H15*4.8%</f>
        <v>0</v>
      </c>
      <c r="J15" s="35">
        <f>H15*0.65%</f>
        <v>0</v>
      </c>
      <c r="K15" s="35">
        <f>H15*3%</f>
        <v>0</v>
      </c>
      <c r="L15" s="35">
        <f>H15*1%</f>
        <v>0</v>
      </c>
      <c r="M15" s="35">
        <f>H15*5%</f>
        <v>0</v>
      </c>
      <c r="N15" s="35">
        <f>H15-I15-J15-K15-L15-M15</f>
        <v>0</v>
      </c>
    </row>
    <row r="16" spans="1:14" ht="16.2" thickBot="1">
      <c r="A16" s="6"/>
      <c r="B16" s="49"/>
      <c r="C16" s="8"/>
      <c r="D16" s="8"/>
      <c r="E16" s="5"/>
      <c r="G16" s="15"/>
      <c r="H16" s="16"/>
      <c r="I16" s="35">
        <f>H16*4.8%</f>
        <v>0</v>
      </c>
      <c r="J16" s="35">
        <f>H16*0.65%</f>
        <v>0</v>
      </c>
      <c r="K16" s="35">
        <f>H16*3%</f>
        <v>0</v>
      </c>
      <c r="L16" s="35">
        <f>H16*1%</f>
        <v>0</v>
      </c>
      <c r="M16" s="35">
        <f>H16*5%</f>
        <v>0</v>
      </c>
      <c r="N16" s="35">
        <f>H16-I16-J16-K16-L16-M16</f>
        <v>0</v>
      </c>
    </row>
    <row r="17" spans="1:14" ht="16.2" thickBot="1">
      <c r="A17" s="6"/>
      <c r="B17" s="49"/>
      <c r="C17" s="8"/>
      <c r="D17" s="8"/>
      <c r="E17" s="5"/>
      <c r="G17" s="14" t="s">
        <v>14</v>
      </c>
      <c r="H17" s="17">
        <f t="shared" ref="H17:N17" si="2">SUM(H14:H16)</f>
        <v>0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 t="shared" si="2"/>
        <v>0</v>
      </c>
      <c r="N17" s="17">
        <f t="shared" si="2"/>
        <v>0</v>
      </c>
    </row>
    <row r="18" spans="1:14" ht="15.6">
      <c r="A18" s="6"/>
      <c r="B18" s="49"/>
      <c r="C18" s="8"/>
      <c r="D18" s="8"/>
      <c r="E18" s="5"/>
    </row>
    <row r="19" spans="1:14" ht="15.6">
      <c r="A19" s="6"/>
      <c r="B19" s="49"/>
      <c r="C19" s="8"/>
      <c r="D19" s="8"/>
      <c r="E19" s="5"/>
    </row>
    <row r="20" spans="1:14" ht="15.6">
      <c r="A20" s="6"/>
      <c r="B20" s="49"/>
      <c r="C20" s="8"/>
      <c r="D20" s="8"/>
      <c r="E20" s="5"/>
      <c r="H20" s="50"/>
    </row>
    <row r="21" spans="1:14" ht="15.6">
      <c r="A21" s="6"/>
      <c r="B21" s="49"/>
      <c r="C21" s="8"/>
      <c r="D21" s="8"/>
      <c r="E21" s="5"/>
      <c r="H21" s="50"/>
    </row>
    <row r="22" spans="1:14" ht="15.6">
      <c r="A22" s="6"/>
      <c r="B22" s="49"/>
      <c r="C22" s="8"/>
      <c r="D22" s="8"/>
      <c r="E22" s="5"/>
      <c r="H22" s="50"/>
    </row>
    <row r="23" spans="1:14" ht="15.6">
      <c r="A23" s="6"/>
      <c r="B23" s="49"/>
      <c r="C23" s="8"/>
      <c r="D23" s="8"/>
      <c r="E23" s="5"/>
    </row>
    <row r="24" spans="1:14" ht="15.6">
      <c r="A24" s="6"/>
      <c r="B24" s="49"/>
      <c r="C24" s="8"/>
      <c r="D24" s="8"/>
      <c r="E24" s="5"/>
    </row>
    <row r="25" spans="1:14" ht="15.6">
      <c r="A25" s="6"/>
      <c r="B25" s="49"/>
      <c r="C25" s="8"/>
      <c r="D25" s="8"/>
      <c r="E25" s="5"/>
    </row>
    <row r="26" spans="1:14" ht="15.6">
      <c r="A26" s="6"/>
      <c r="B26" s="49"/>
      <c r="C26" s="8"/>
      <c r="D26" s="8"/>
      <c r="E26" s="5"/>
    </row>
    <row r="27" spans="1:14" ht="15.6">
      <c r="A27" s="6"/>
      <c r="B27" s="49"/>
      <c r="C27" s="8"/>
      <c r="D27" s="8"/>
      <c r="E27" s="5"/>
    </row>
    <row r="28" spans="1:14" ht="15.6">
      <c r="A28" s="6"/>
      <c r="B28" s="49"/>
      <c r="C28" s="8"/>
      <c r="D28" s="8"/>
      <c r="E28" s="5"/>
    </row>
    <row r="29" spans="1:14" ht="15.6">
      <c r="A29" s="6"/>
      <c r="B29" s="49"/>
      <c r="C29" s="8"/>
      <c r="D29" s="8"/>
      <c r="E29" s="5"/>
    </row>
    <row r="30" spans="1:14" ht="15.6">
      <c r="A30" s="6"/>
      <c r="B30" s="49"/>
      <c r="C30" s="8"/>
      <c r="D30" s="8"/>
      <c r="E30" s="5"/>
    </row>
    <row r="31" spans="1:14" ht="15.6">
      <c r="A31" s="6"/>
      <c r="B31" s="49"/>
      <c r="C31" s="8"/>
      <c r="D31" s="8"/>
      <c r="E31" s="5"/>
    </row>
    <row r="32" spans="1:14" ht="15.6">
      <c r="A32" s="6"/>
      <c r="B32" s="49"/>
      <c r="C32" s="8"/>
      <c r="D32" s="8"/>
      <c r="E32" s="5"/>
    </row>
    <row r="33" spans="1:5" ht="15.6">
      <c r="A33" s="6"/>
      <c r="B33" s="49"/>
      <c r="C33" s="8"/>
      <c r="D33" s="8"/>
      <c r="E33" s="5"/>
    </row>
    <row r="34" spans="1:5" ht="15.6">
      <c r="A34" s="6"/>
      <c r="B34" s="49"/>
      <c r="C34" s="8"/>
      <c r="D34" s="8"/>
      <c r="E34" s="5"/>
    </row>
    <row r="35" spans="1:5" ht="15.6">
      <c r="A35" s="6"/>
      <c r="B35" s="49"/>
      <c r="C35" s="8"/>
      <c r="D35" s="8"/>
      <c r="E35" s="5"/>
    </row>
    <row r="36" spans="1:5" ht="15.6">
      <c r="A36" s="6"/>
      <c r="B36" s="49"/>
      <c r="C36" s="8"/>
      <c r="D36" s="8"/>
      <c r="E36" s="5"/>
    </row>
    <row r="37" spans="1:5" ht="15.6">
      <c r="A37" s="6"/>
      <c r="B37" s="49"/>
      <c r="C37" s="8"/>
      <c r="D37" s="8"/>
      <c r="E37" s="5"/>
    </row>
    <row r="38" spans="1:5" ht="15.6">
      <c r="A38" s="6"/>
      <c r="B38" s="49"/>
      <c r="C38" s="8"/>
      <c r="D38" s="8"/>
      <c r="E38" s="5"/>
    </row>
    <row r="39" spans="1:5" ht="15.6">
      <c r="A39" s="6"/>
      <c r="B39" s="49"/>
      <c r="C39" s="8"/>
      <c r="D39" s="8"/>
      <c r="E39" s="5"/>
    </row>
    <row r="40" spans="1:5" ht="15.6">
      <c r="A40" s="6"/>
      <c r="B40" s="49"/>
      <c r="C40" s="8"/>
      <c r="D40" s="8"/>
      <c r="E40" s="5"/>
    </row>
    <row r="41" spans="1:5" ht="15.6">
      <c r="A41" s="6"/>
      <c r="B41" s="49"/>
      <c r="C41" s="8"/>
      <c r="D41" s="8"/>
      <c r="E41" s="5"/>
    </row>
    <row r="42" spans="1:5" ht="15.6">
      <c r="A42" s="6"/>
      <c r="B42" s="49"/>
      <c r="C42" s="8"/>
      <c r="D42" s="8"/>
      <c r="E42" s="5"/>
    </row>
    <row r="43" spans="1:5" ht="15.6">
      <c r="A43" s="6"/>
      <c r="B43" s="49"/>
      <c r="C43" s="8"/>
      <c r="D43" s="8"/>
      <c r="E43" s="5"/>
    </row>
    <row r="44" spans="1:5" ht="15.6">
      <c r="A44" s="6"/>
      <c r="B44" s="49"/>
      <c r="C44" s="8"/>
      <c r="D44" s="8"/>
      <c r="E44" s="5"/>
    </row>
    <row r="45" spans="1:5" ht="15.6">
      <c r="A45" s="6"/>
      <c r="B45" s="49"/>
      <c r="C45" s="8"/>
      <c r="D45" s="8"/>
      <c r="E45" s="5"/>
    </row>
    <row r="46" spans="1:5" ht="15.6">
      <c r="A46" s="6"/>
      <c r="B46" s="49"/>
      <c r="C46" s="8"/>
      <c r="D46" s="8"/>
      <c r="E46" s="5"/>
    </row>
    <row r="47" spans="1:5" ht="15.6">
      <c r="A47" s="6"/>
      <c r="B47" s="49"/>
      <c r="C47" s="8"/>
      <c r="D47" s="8"/>
      <c r="E47" s="5"/>
    </row>
    <row r="48" spans="1:5" ht="15.6">
      <c r="A48" s="6"/>
      <c r="B48" s="49"/>
      <c r="C48" s="8"/>
      <c r="D48" s="8"/>
      <c r="E48" s="5"/>
    </row>
    <row r="49" spans="1:5" ht="15.6">
      <c r="A49" s="6"/>
      <c r="B49" s="49"/>
      <c r="C49" s="8"/>
      <c r="D49" s="8"/>
      <c r="E49" s="5"/>
    </row>
    <row r="50" spans="1:5" ht="15.6">
      <c r="A50" s="6"/>
      <c r="B50" s="49"/>
      <c r="C50" s="8"/>
      <c r="D50" s="8"/>
      <c r="E50" s="5"/>
    </row>
    <row r="51" spans="1:5" ht="15.6">
      <c r="A51" s="6"/>
      <c r="B51" s="49"/>
      <c r="C51" s="8"/>
      <c r="D51" s="8"/>
      <c r="E51" s="5"/>
    </row>
    <row r="52" spans="1:5" ht="15.6">
      <c r="A52" s="6"/>
      <c r="B52" s="49"/>
      <c r="C52" s="8"/>
      <c r="D52" s="8"/>
      <c r="E52" s="5"/>
    </row>
    <row r="53" spans="1:5" ht="15.6">
      <c r="A53" s="6"/>
      <c r="B53" s="49"/>
      <c r="C53" s="8"/>
      <c r="D53" s="8"/>
      <c r="E53" s="5"/>
    </row>
    <row r="54" spans="1:5" ht="15.6">
      <c r="A54" s="6"/>
      <c r="B54" s="49"/>
      <c r="C54" s="8"/>
      <c r="D54" s="8"/>
      <c r="E54" s="5"/>
    </row>
    <row r="55" spans="1:5" ht="15.6">
      <c r="A55" s="6"/>
      <c r="B55" s="49"/>
      <c r="C55" s="8"/>
      <c r="D55" s="8"/>
      <c r="E55" s="5"/>
    </row>
    <row r="56" spans="1:5" ht="15.6">
      <c r="A56" s="6"/>
      <c r="B56" s="49"/>
      <c r="C56" s="8"/>
      <c r="D56" s="8"/>
      <c r="E56" s="5"/>
    </row>
    <row r="57" spans="1:5" ht="15.6">
      <c r="A57" s="6"/>
      <c r="B57" s="49"/>
      <c r="C57" s="8"/>
      <c r="D57" s="8"/>
      <c r="E57" s="5"/>
    </row>
    <row r="58" spans="1:5" ht="15.6">
      <c r="A58" s="6"/>
      <c r="B58" s="49"/>
      <c r="C58" s="8"/>
      <c r="D58" s="8"/>
      <c r="E58" s="5"/>
    </row>
    <row r="59" spans="1:5" ht="15.6">
      <c r="A59" s="6"/>
      <c r="B59" s="49"/>
      <c r="C59" s="8"/>
      <c r="D59" s="8"/>
      <c r="E59" s="5"/>
    </row>
    <row r="60" spans="1:5" ht="15.6">
      <c r="A60" s="6"/>
      <c r="B60" s="49"/>
      <c r="C60" s="8"/>
      <c r="D60" s="8"/>
      <c r="E60" s="5"/>
    </row>
    <row r="61" spans="1:5" ht="15.6">
      <c r="A61" s="6"/>
      <c r="B61" s="49"/>
      <c r="C61" s="8"/>
      <c r="D61" s="8"/>
      <c r="E61" s="5"/>
    </row>
    <row r="62" spans="1:5" ht="15.6">
      <c r="A62" s="6"/>
      <c r="B62" s="49"/>
      <c r="C62" s="8"/>
      <c r="D62" s="8"/>
      <c r="E62" s="5"/>
    </row>
    <row r="63" spans="1:5" ht="15.6">
      <c r="A63" s="6"/>
      <c r="B63" s="49"/>
      <c r="C63" s="8"/>
      <c r="D63" s="8"/>
      <c r="E63" s="5"/>
    </row>
    <row r="64" spans="1:5" ht="15.6">
      <c r="A64" s="6"/>
      <c r="B64" s="49"/>
      <c r="C64" s="8"/>
      <c r="D64" s="8"/>
      <c r="E64" s="5"/>
    </row>
    <row r="65" spans="1:5" ht="15.6">
      <c r="A65" s="6"/>
      <c r="B65" s="49"/>
      <c r="C65" s="8"/>
      <c r="D65" s="8"/>
      <c r="E65" s="5"/>
    </row>
    <row r="66" spans="1:5" ht="15.6">
      <c r="A66" s="6"/>
      <c r="B66" s="49"/>
      <c r="C66" s="8"/>
      <c r="D66" s="8"/>
      <c r="E66" s="5"/>
    </row>
    <row r="67" spans="1:5" ht="15.6">
      <c r="A67" s="6"/>
      <c r="B67" s="49"/>
      <c r="C67" s="8"/>
      <c r="D67" s="8"/>
      <c r="E67" s="5"/>
    </row>
    <row r="68" spans="1:5" ht="15.6">
      <c r="A68" s="6"/>
      <c r="B68" s="49"/>
      <c r="C68" s="8"/>
      <c r="D68" s="8"/>
      <c r="E68" s="5"/>
    </row>
    <row r="69" spans="1:5" ht="15.6">
      <c r="A69" s="6"/>
      <c r="B69" s="49"/>
      <c r="C69" s="8"/>
      <c r="D69" s="8"/>
      <c r="E69" s="5"/>
    </row>
    <row r="70" spans="1:5" ht="15.6">
      <c r="A70" s="6"/>
      <c r="B70" s="49"/>
      <c r="C70" s="8"/>
      <c r="D70" s="8"/>
      <c r="E70" s="5"/>
    </row>
    <row r="71" spans="1:5" ht="15.6">
      <c r="A71" s="6"/>
      <c r="B71" s="49"/>
      <c r="C71" s="8"/>
      <c r="D71" s="8"/>
      <c r="E71" s="5"/>
    </row>
    <row r="72" spans="1:5" ht="15.6">
      <c r="A72" s="6"/>
      <c r="B72" s="49"/>
      <c r="C72" s="8"/>
      <c r="D72" s="8"/>
      <c r="E72" s="5"/>
    </row>
    <row r="73" spans="1:5" ht="15.6">
      <c r="A73" s="6"/>
      <c r="B73" s="49"/>
      <c r="C73" s="8"/>
      <c r="D73" s="8"/>
      <c r="E73" s="5"/>
    </row>
    <row r="74" spans="1:5" ht="15.6">
      <c r="A74" s="6"/>
      <c r="B74" s="49"/>
      <c r="C74" s="8"/>
      <c r="D74" s="8"/>
      <c r="E74" s="5"/>
    </row>
    <row r="75" spans="1:5" ht="15.6">
      <c r="A75" s="6"/>
      <c r="B75" s="49"/>
      <c r="C75" s="8"/>
      <c r="D75" s="8"/>
      <c r="E75" s="5"/>
    </row>
    <row r="76" spans="1:5" ht="15.6">
      <c r="A76" s="6"/>
      <c r="B76" s="49"/>
      <c r="C76" s="8"/>
      <c r="D76" s="8"/>
      <c r="E76" s="5"/>
    </row>
    <row r="77" spans="1:5" ht="15.6">
      <c r="A77" s="6"/>
      <c r="B77" s="49"/>
      <c r="C77" s="8"/>
      <c r="D77" s="8"/>
      <c r="E77" s="5"/>
    </row>
    <row r="78" spans="1:5" ht="15.6">
      <c r="A78" s="6"/>
      <c r="B78" s="49"/>
      <c r="C78" s="8"/>
      <c r="D78" s="8"/>
      <c r="E78" s="5"/>
    </row>
    <row r="79" spans="1:5" ht="15.6">
      <c r="A79" s="6"/>
      <c r="B79" s="49"/>
      <c r="C79" s="8"/>
      <c r="D79" s="8"/>
      <c r="E79" s="5"/>
    </row>
    <row r="80" spans="1:5" ht="15.6">
      <c r="A80" s="6"/>
      <c r="B80" s="49"/>
      <c r="C80" s="8"/>
      <c r="D80" s="8"/>
      <c r="E80" s="5"/>
    </row>
    <row r="81" spans="1:5" ht="15.6">
      <c r="A81" s="6"/>
      <c r="B81" s="49"/>
      <c r="C81" s="8"/>
      <c r="D81" s="8"/>
      <c r="E81" s="5"/>
    </row>
    <row r="82" spans="1:5" ht="15.6">
      <c r="A82" s="6"/>
      <c r="B82" s="49"/>
      <c r="C82" s="8"/>
      <c r="D82" s="8"/>
      <c r="E82" s="5"/>
    </row>
    <row r="83" spans="1:5" ht="15.6">
      <c r="A83" s="6"/>
      <c r="B83" s="49"/>
      <c r="C83" s="8"/>
      <c r="D83" s="8"/>
      <c r="E83" s="5"/>
    </row>
    <row r="84" spans="1:5" ht="15.6">
      <c r="A84" s="6"/>
      <c r="B84" s="49"/>
      <c r="C84" s="8"/>
      <c r="D84" s="8"/>
      <c r="E84" s="5"/>
    </row>
    <row r="85" spans="1:5" ht="15.6">
      <c r="A85" s="6"/>
      <c r="B85" s="49"/>
      <c r="C85" s="8"/>
      <c r="D85" s="8"/>
      <c r="E85" s="5"/>
    </row>
    <row r="86" spans="1:5" ht="15.6">
      <c r="A86" s="6"/>
      <c r="B86" s="49"/>
      <c r="C86" s="8"/>
      <c r="D86" s="8"/>
      <c r="E86" s="5"/>
    </row>
    <row r="87" spans="1:5" ht="15.6">
      <c r="A87" s="6"/>
      <c r="B87" s="49"/>
      <c r="C87" s="8"/>
      <c r="D87" s="8"/>
      <c r="E87" s="5"/>
    </row>
    <row r="88" spans="1:5" ht="15.6">
      <c r="A88" s="6"/>
      <c r="B88" s="49"/>
      <c r="C88" s="8"/>
      <c r="D88" s="8"/>
      <c r="E88" s="5"/>
    </row>
    <row r="89" spans="1:5" ht="15.6">
      <c r="A89" s="6"/>
      <c r="B89" s="49"/>
      <c r="C89" s="8"/>
      <c r="D89" s="8"/>
      <c r="E89" s="5"/>
    </row>
    <row r="90" spans="1:5" ht="15.6">
      <c r="A90" s="6"/>
      <c r="B90" s="49"/>
      <c r="C90" s="8"/>
      <c r="D90" s="8"/>
      <c r="E90" s="5"/>
    </row>
    <row r="91" spans="1:5" ht="15.6">
      <c r="A91" s="6"/>
      <c r="B91" s="49"/>
      <c r="C91" s="8"/>
      <c r="D91" s="8"/>
      <c r="E91" s="5"/>
    </row>
    <row r="92" spans="1:5" ht="15.6">
      <c r="A92" s="6"/>
      <c r="B92" s="49"/>
      <c r="C92" s="8"/>
      <c r="D92" s="8"/>
      <c r="E92" s="5"/>
    </row>
    <row r="93" spans="1:5" ht="15.6">
      <c r="A93" s="6"/>
      <c r="B93" s="49"/>
      <c r="C93" s="8"/>
      <c r="D93" s="8"/>
      <c r="E93" s="5"/>
    </row>
    <row r="94" spans="1:5" ht="15.6">
      <c r="A94" s="6"/>
      <c r="B94" s="49"/>
      <c r="C94" s="8"/>
      <c r="D94" s="8"/>
      <c r="E94" s="5"/>
    </row>
    <row r="95" spans="1:5" ht="15.6">
      <c r="A95" s="6"/>
      <c r="B95" s="49"/>
      <c r="C95" s="8"/>
      <c r="D95" s="8"/>
      <c r="E95" s="5"/>
    </row>
    <row r="96" spans="1:5" ht="15.6">
      <c r="A96" s="6"/>
      <c r="B96" s="49"/>
      <c r="C96" s="8"/>
      <c r="D96" s="8"/>
      <c r="E96" s="5"/>
    </row>
    <row r="97" spans="1:5" ht="15.6">
      <c r="A97" s="6"/>
      <c r="B97" s="49"/>
      <c r="C97" s="8"/>
      <c r="D97" s="8"/>
      <c r="E97" s="5"/>
    </row>
    <row r="98" spans="1:5" ht="15.6">
      <c r="A98" s="6"/>
      <c r="B98" s="49"/>
      <c r="C98" s="8"/>
      <c r="D98" s="8"/>
      <c r="E98" s="5"/>
    </row>
    <row r="99" spans="1:5" ht="15.6">
      <c r="A99" s="6"/>
      <c r="B99" s="49"/>
      <c r="C99" s="8"/>
      <c r="D99" s="8"/>
      <c r="E99" s="5"/>
    </row>
    <row r="100" spans="1:5" ht="15.6">
      <c r="A100" s="6"/>
      <c r="B100" s="49"/>
      <c r="C100" s="8"/>
      <c r="D100" s="8"/>
      <c r="E100" s="5"/>
    </row>
  </sheetData>
  <mergeCells count="3">
    <mergeCell ref="A1:E1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AD3C-5A86-4454-A6B3-49FC1652B02A}">
  <sheetPr>
    <tabColor rgb="FF00B050"/>
  </sheetPr>
  <dimension ref="A1:P100"/>
  <sheetViews>
    <sheetView workbookViewId="0">
      <selection activeCell="C8" sqref="C8:D9"/>
    </sheetView>
  </sheetViews>
  <sheetFormatPr defaultRowHeight="14.4"/>
  <cols>
    <col min="1" max="1" width="94.5546875" bestFit="1" customWidth="1"/>
    <col min="2" max="2" width="38.88671875" style="9" bestFit="1" customWidth="1"/>
    <col min="3" max="3" width="28.6640625" bestFit="1" customWidth="1"/>
    <col min="4" max="4" width="25.6640625" bestFit="1" customWidth="1"/>
    <col min="5" max="5" width="41.6640625" style="3" bestFit="1" customWidth="1"/>
    <col min="6" max="6" width="8.77734375" customWidth="1"/>
    <col min="7" max="7" width="11.5546875" bestFit="1" customWidth="1"/>
    <col min="8" max="8" width="17.109375" bestFit="1" customWidth="1"/>
    <col min="9" max="9" width="17.6640625" bestFit="1" customWidth="1"/>
    <col min="10" max="10" width="18.5546875" bestFit="1" customWidth="1"/>
    <col min="11" max="13" width="16.5546875" bestFit="1" customWidth="1"/>
    <col min="14" max="14" width="18.5546875" bestFit="1" customWidth="1"/>
    <col min="15" max="21" width="8.77734375" customWidth="1"/>
  </cols>
  <sheetData>
    <row r="1" spans="1:16" ht="15.6">
      <c r="A1" s="91" t="s">
        <v>0</v>
      </c>
      <c r="B1" s="92"/>
      <c r="C1" s="92"/>
      <c r="D1" s="92"/>
      <c r="E1" s="92"/>
    </row>
    <row r="2" spans="1:16" ht="16.2" thickBot="1">
      <c r="A2" s="1"/>
      <c r="B2" s="2"/>
      <c r="C2" s="9"/>
      <c r="D2" s="26"/>
    </row>
    <row r="3" spans="1:16" ht="15.6">
      <c r="A3" s="1"/>
      <c r="B3" s="4" t="s">
        <v>1</v>
      </c>
      <c r="G3" s="33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34" t="s">
        <v>11</v>
      </c>
      <c r="M3" s="34" t="s">
        <v>12</v>
      </c>
      <c r="N3" s="34" t="s">
        <v>13</v>
      </c>
    </row>
    <row r="4" spans="1:16" ht="15.6">
      <c r="A4" s="42" t="s">
        <v>2</v>
      </c>
      <c r="B4" s="43">
        <f>SUM(B5:B100)</f>
        <v>17271349.830000002</v>
      </c>
      <c r="C4" s="44" t="s">
        <v>3</v>
      </c>
      <c r="D4" s="44" t="s">
        <v>5</v>
      </c>
      <c r="E4" s="45" t="s">
        <v>4</v>
      </c>
      <c r="G4" s="85">
        <v>3202</v>
      </c>
      <c r="H4" s="69">
        <v>152755.12</v>
      </c>
      <c r="I4" s="87">
        <f>H4*4.8%</f>
        <v>7332.2457599999998</v>
      </c>
      <c r="J4" s="87">
        <f>H4*0.65%</f>
        <v>992.9082800000001</v>
      </c>
      <c r="K4" s="87">
        <f>H4*3%</f>
        <v>4582.6535999999996</v>
      </c>
      <c r="L4" s="87">
        <f>H4*1%</f>
        <v>1527.5511999999999</v>
      </c>
      <c r="M4" s="87">
        <f>H4*5%</f>
        <v>7637.7560000000003</v>
      </c>
      <c r="N4" s="87">
        <f>H4-I4-J4-K4-L4-M4</f>
        <v>130682.00516000003</v>
      </c>
    </row>
    <row r="5" spans="1:16" ht="16.2" thickBot="1">
      <c r="A5" s="59" t="s">
        <v>192</v>
      </c>
      <c r="B5" s="81">
        <v>828438.11</v>
      </c>
      <c r="C5" s="101" t="s">
        <v>26</v>
      </c>
      <c r="D5" s="99" t="s">
        <v>183</v>
      </c>
      <c r="E5" s="99" t="s">
        <v>184</v>
      </c>
      <c r="G5" s="86">
        <v>3200</v>
      </c>
      <c r="H5" s="69">
        <v>1021.57</v>
      </c>
      <c r="I5" s="87">
        <f>H5*4.8%</f>
        <v>49.035360000000004</v>
      </c>
      <c r="J5" s="87">
        <f>H5*0.65%</f>
        <v>6.6402050000000008</v>
      </c>
      <c r="K5" s="87">
        <f>H5*3%</f>
        <v>30.647100000000002</v>
      </c>
      <c r="L5" s="87">
        <f>H5*1%</f>
        <v>10.2157</v>
      </c>
      <c r="M5" s="87">
        <f>H5*5%</f>
        <v>51.078500000000005</v>
      </c>
      <c r="N5" s="87">
        <f>H5-I5-J5-K5-L5-M5</f>
        <v>873.95313500000009</v>
      </c>
    </row>
    <row r="6" spans="1:16" ht="16.2" thickBot="1">
      <c r="A6" s="59" t="s">
        <v>192</v>
      </c>
      <c r="B6" s="81">
        <v>2243738.31</v>
      </c>
      <c r="C6" s="102"/>
      <c r="D6" s="100"/>
      <c r="E6" s="100"/>
      <c r="G6" s="14" t="s">
        <v>14</v>
      </c>
      <c r="H6" s="17">
        <f>SUM(H4:H5)</f>
        <v>153776.69</v>
      </c>
      <c r="I6" s="17">
        <f t="shared" ref="I6:N6" si="0">SUM(I4:I5)</f>
        <v>7381.2811199999996</v>
      </c>
      <c r="J6" s="17">
        <f t="shared" si="0"/>
        <v>999.54848500000014</v>
      </c>
      <c r="K6" s="17">
        <f t="shared" si="0"/>
        <v>4613.3006999999998</v>
      </c>
      <c r="L6" s="17">
        <f t="shared" si="0"/>
        <v>1537.7668999999999</v>
      </c>
      <c r="M6" s="17">
        <f t="shared" si="0"/>
        <v>7688.8344999999999</v>
      </c>
      <c r="N6" s="17">
        <f t="shared" si="0"/>
        <v>131555.95829500002</v>
      </c>
    </row>
    <row r="7" spans="1:16" ht="16.2" thickBot="1">
      <c r="A7" s="59" t="s">
        <v>193</v>
      </c>
      <c r="B7" s="81">
        <v>4992937.28</v>
      </c>
      <c r="C7" s="61" t="s">
        <v>26</v>
      </c>
      <c r="D7" s="61" t="s">
        <v>185</v>
      </c>
      <c r="E7" s="62" t="s">
        <v>186</v>
      </c>
    </row>
    <row r="8" spans="1:16" ht="16.2" thickBot="1">
      <c r="A8" s="59" t="s">
        <v>194</v>
      </c>
      <c r="B8" s="81">
        <v>131555.95000000001</v>
      </c>
      <c r="C8" s="61" t="s">
        <v>26</v>
      </c>
      <c r="D8" s="61" t="s">
        <v>187</v>
      </c>
      <c r="E8" s="62" t="s">
        <v>188</v>
      </c>
      <c r="G8" s="14" t="s">
        <v>6</v>
      </c>
      <c r="H8" s="17" t="s">
        <v>7</v>
      </c>
      <c r="I8" s="17" t="s">
        <v>8</v>
      </c>
      <c r="J8" s="17" t="s">
        <v>9</v>
      </c>
      <c r="K8" s="17" t="s">
        <v>10</v>
      </c>
      <c r="L8" s="17" t="s">
        <v>11</v>
      </c>
      <c r="M8" s="17" t="s">
        <v>12</v>
      </c>
      <c r="N8" s="17" t="s">
        <v>13</v>
      </c>
    </row>
    <row r="9" spans="1:16" ht="16.2" thickBot="1">
      <c r="A9" s="59" t="s">
        <v>194</v>
      </c>
      <c r="B9" s="81">
        <v>167624.21</v>
      </c>
      <c r="C9" s="61" t="s">
        <v>26</v>
      </c>
      <c r="D9" s="61" t="s">
        <v>189</v>
      </c>
      <c r="E9" s="62" t="s">
        <v>188</v>
      </c>
      <c r="G9" s="82">
        <v>3203</v>
      </c>
      <c r="H9" s="83">
        <v>117824.21</v>
      </c>
      <c r="I9" s="84">
        <f>H9*4.8%</f>
        <v>5655.5620800000006</v>
      </c>
      <c r="J9" s="84">
        <f>H9*0.65%</f>
        <v>765.85736500000007</v>
      </c>
      <c r="K9" s="84">
        <f>H9*3%</f>
        <v>3534.7263000000003</v>
      </c>
      <c r="L9" s="84">
        <f>H9*1%</f>
        <v>1178.2421000000002</v>
      </c>
      <c r="M9" s="84">
        <f>H9*5%</f>
        <v>5891.210500000001</v>
      </c>
      <c r="N9" s="84">
        <f>H9-I9-J9-K9-L9-M9</f>
        <v>100798.611655</v>
      </c>
      <c r="O9" s="9"/>
      <c r="P9" s="9"/>
    </row>
    <row r="10" spans="1:16" ht="16.2" thickBot="1">
      <c r="A10" s="59" t="s">
        <v>194</v>
      </c>
      <c r="B10" s="81">
        <v>3085985.68</v>
      </c>
      <c r="C10" s="61" t="s">
        <v>26</v>
      </c>
      <c r="D10" s="61" t="s">
        <v>190</v>
      </c>
      <c r="E10" s="62" t="s">
        <v>191</v>
      </c>
      <c r="G10" s="82">
        <v>3204</v>
      </c>
      <c r="H10" s="83">
        <v>70912.89</v>
      </c>
      <c r="I10" s="84">
        <f>H10*4.8%</f>
        <v>3403.8187200000002</v>
      </c>
      <c r="J10" s="84">
        <f>H10*0.65%</f>
        <v>460.93378500000006</v>
      </c>
      <c r="K10" s="84">
        <f>H10*3%</f>
        <v>2127.3867</v>
      </c>
      <c r="L10" s="84">
        <f>H10*1%</f>
        <v>709.12890000000004</v>
      </c>
      <c r="M10" s="84">
        <f>H10*5%</f>
        <v>3545.6445000000003</v>
      </c>
      <c r="N10" s="84">
        <f>H10-I10-J10-K10-L10-M10</f>
        <v>60665.977394999994</v>
      </c>
      <c r="O10" s="9"/>
      <c r="P10" s="9"/>
    </row>
    <row r="11" spans="1:16" ht="16.2" thickBot="1">
      <c r="A11" s="57" t="s">
        <v>195</v>
      </c>
      <c r="B11" s="80">
        <v>5509952.79</v>
      </c>
      <c r="C11" s="93" t="s">
        <v>22</v>
      </c>
      <c r="D11" s="94"/>
      <c r="E11" s="95"/>
      <c r="G11" s="82">
        <v>3205</v>
      </c>
      <c r="H11" s="83">
        <v>7200.01</v>
      </c>
      <c r="I11" s="84">
        <f>H11*4.8%</f>
        <v>345.60048</v>
      </c>
      <c r="J11" s="84">
        <f>H11*0.65%</f>
        <v>46.800065000000004</v>
      </c>
      <c r="K11" s="84">
        <f>H11*3%</f>
        <v>216.00030000000001</v>
      </c>
      <c r="L11" s="84">
        <f>H11*1%</f>
        <v>72.000100000000003</v>
      </c>
      <c r="M11" s="84">
        <f>H11*5%</f>
        <v>360.00050000000005</v>
      </c>
      <c r="N11" s="84">
        <f>H11-I11-J11-K11-L11-M11</f>
        <v>6159.6085549999998</v>
      </c>
      <c r="O11" s="9"/>
      <c r="P11" s="9"/>
    </row>
    <row r="12" spans="1:16" ht="16.2" thickBot="1">
      <c r="A12" s="59" t="s">
        <v>196</v>
      </c>
      <c r="B12" s="81">
        <v>1082.6600000000001</v>
      </c>
      <c r="C12" s="61" t="s">
        <v>26</v>
      </c>
      <c r="D12" s="61" t="s">
        <v>199</v>
      </c>
      <c r="E12" s="62" t="s">
        <v>53</v>
      </c>
      <c r="G12" s="14" t="s">
        <v>14</v>
      </c>
      <c r="H12" s="17">
        <f>SUM(H9:H11)</f>
        <v>195937.11000000002</v>
      </c>
      <c r="I12" s="17">
        <f t="shared" ref="I12:N12" si="1">SUM(I9:I11)</f>
        <v>9404.98128</v>
      </c>
      <c r="J12" s="17">
        <f t="shared" si="1"/>
        <v>1273.5912149999999</v>
      </c>
      <c r="K12" s="17">
        <f t="shared" si="1"/>
        <v>5878.1133</v>
      </c>
      <c r="L12" s="17">
        <f t="shared" si="1"/>
        <v>1959.3711000000001</v>
      </c>
      <c r="M12" s="17">
        <f t="shared" si="1"/>
        <v>9796.8555000000015</v>
      </c>
      <c r="N12" s="17">
        <f t="shared" si="1"/>
        <v>167624.19760500002</v>
      </c>
    </row>
    <row r="13" spans="1:16" ht="15.6">
      <c r="A13" s="59" t="s">
        <v>197</v>
      </c>
      <c r="B13" s="81">
        <v>306960.34999999998</v>
      </c>
      <c r="C13" s="61" t="s">
        <v>26</v>
      </c>
      <c r="D13" s="61" t="s">
        <v>200</v>
      </c>
      <c r="E13" s="62" t="s">
        <v>202</v>
      </c>
    </row>
    <row r="14" spans="1:16" ht="16.2" thickBot="1">
      <c r="A14" s="59" t="s">
        <v>198</v>
      </c>
      <c r="B14" s="81">
        <v>3074.49</v>
      </c>
      <c r="C14" s="61" t="s">
        <v>26</v>
      </c>
      <c r="D14" s="61" t="s">
        <v>201</v>
      </c>
      <c r="E14" s="62" t="s">
        <v>106</v>
      </c>
    </row>
    <row r="15" spans="1:16" ht="15.6">
      <c r="A15" s="6"/>
      <c r="B15" s="49"/>
      <c r="C15" s="8"/>
      <c r="D15" s="8"/>
      <c r="E15" s="5"/>
      <c r="G15" s="33" t="s">
        <v>6</v>
      </c>
      <c r="H15" s="34" t="s">
        <v>7</v>
      </c>
      <c r="I15" s="34" t="s">
        <v>8</v>
      </c>
      <c r="J15" s="34" t="s">
        <v>9</v>
      </c>
      <c r="K15" s="34" t="s">
        <v>10</v>
      </c>
      <c r="L15" s="34" t="s">
        <v>11</v>
      </c>
      <c r="M15" s="34" t="s">
        <v>12</v>
      </c>
      <c r="N15" s="34" t="s">
        <v>13</v>
      </c>
    </row>
    <row r="16" spans="1:16" ht="15.6">
      <c r="A16" s="6"/>
      <c r="B16" s="49"/>
      <c r="C16" s="8"/>
      <c r="D16" s="8"/>
      <c r="E16" s="5"/>
      <c r="G16" s="85">
        <v>3212</v>
      </c>
      <c r="H16" s="69">
        <v>252887.01</v>
      </c>
      <c r="I16" s="87">
        <f>H16*4.8%</f>
        <v>12138.576480000002</v>
      </c>
      <c r="J16" s="87">
        <f>H16*0.65%</f>
        <v>1643.7655650000002</v>
      </c>
      <c r="K16" s="87">
        <f>H16*3%</f>
        <v>7586.6103000000003</v>
      </c>
      <c r="L16" s="87">
        <f>H16*1%</f>
        <v>2528.8701000000001</v>
      </c>
      <c r="M16" s="87">
        <f>H16*2%</f>
        <v>5057.7402000000002</v>
      </c>
      <c r="N16" s="87">
        <f>H16-I16-J16-K16-L16-M16</f>
        <v>223931.44735500001</v>
      </c>
    </row>
    <row r="17" spans="1:14" ht="16.2" thickBot="1">
      <c r="A17" s="6"/>
      <c r="B17" s="49"/>
      <c r="C17" s="8"/>
      <c r="D17" s="8"/>
      <c r="E17" s="5"/>
      <c r="G17" s="86">
        <v>3208</v>
      </c>
      <c r="H17" s="69">
        <v>93765</v>
      </c>
      <c r="I17" s="87">
        <f>H17*4.8%</f>
        <v>4500.72</v>
      </c>
      <c r="J17" s="87">
        <f>H17*0.65%</f>
        <v>609.47250000000008</v>
      </c>
      <c r="K17" s="87">
        <f>H17*3%</f>
        <v>2812.95</v>
      </c>
      <c r="L17" s="87">
        <f>H17*1%</f>
        <v>937.65</v>
      </c>
      <c r="M17" s="87">
        <f>H17*2%</f>
        <v>1875.3</v>
      </c>
      <c r="N17" s="87">
        <f>H17-I17-J17-K17-L17-M17</f>
        <v>83028.907500000001</v>
      </c>
    </row>
    <row r="18" spans="1:14" ht="16.2" thickBot="1">
      <c r="A18" s="6"/>
      <c r="C18" s="8"/>
      <c r="D18" s="8"/>
      <c r="E18" s="5"/>
      <c r="G18" s="14" t="s">
        <v>14</v>
      </c>
      <c r="H18" s="17">
        <f>SUM(H16:H17)</f>
        <v>346652.01</v>
      </c>
      <c r="I18" s="17">
        <f t="shared" ref="I18:N18" si="2">SUM(I16:I17)</f>
        <v>16639.296480000001</v>
      </c>
      <c r="J18" s="17">
        <f t="shared" si="2"/>
        <v>2253.2380650000005</v>
      </c>
      <c r="K18" s="17">
        <f t="shared" si="2"/>
        <v>10399.560300000001</v>
      </c>
      <c r="L18" s="17">
        <f t="shared" si="2"/>
        <v>3466.5201000000002</v>
      </c>
      <c r="M18" s="17">
        <f t="shared" si="2"/>
        <v>6933.0402000000004</v>
      </c>
      <c r="N18" s="17">
        <f t="shared" si="2"/>
        <v>306960.35485500004</v>
      </c>
    </row>
    <row r="19" spans="1:14" ht="15.6">
      <c r="A19" s="6"/>
      <c r="B19" s="49"/>
      <c r="C19" s="8"/>
      <c r="D19" s="8"/>
      <c r="E19" s="5"/>
    </row>
    <row r="20" spans="1:14" ht="15.6">
      <c r="A20" s="6"/>
      <c r="B20" s="49"/>
      <c r="C20" s="8"/>
      <c r="D20" s="8"/>
      <c r="E20" s="5"/>
      <c r="H20" s="50"/>
    </row>
    <row r="21" spans="1:14" ht="15.6">
      <c r="A21" s="6"/>
      <c r="B21" s="49"/>
      <c r="C21" s="8"/>
      <c r="D21" s="8"/>
      <c r="E21" s="5"/>
      <c r="H21" s="50"/>
    </row>
    <row r="22" spans="1:14" ht="15.6">
      <c r="A22" s="6"/>
      <c r="B22" s="49"/>
      <c r="C22" s="8"/>
      <c r="D22" s="8"/>
      <c r="E22" s="5"/>
      <c r="H22" s="50"/>
    </row>
    <row r="23" spans="1:14" ht="15.6">
      <c r="A23" s="6"/>
      <c r="B23" s="49"/>
      <c r="C23" s="8"/>
      <c r="D23" s="8"/>
      <c r="E23" s="5"/>
    </row>
    <row r="24" spans="1:14" ht="15.6">
      <c r="A24" s="6"/>
      <c r="B24" s="49"/>
      <c r="C24" s="8"/>
      <c r="D24" s="8"/>
      <c r="E24" s="5"/>
    </row>
    <row r="25" spans="1:14" ht="15.6">
      <c r="A25" s="6"/>
      <c r="B25" s="49"/>
      <c r="C25" s="8"/>
      <c r="D25" s="8"/>
      <c r="E25" s="5"/>
    </row>
    <row r="26" spans="1:14" ht="15.6">
      <c r="A26" s="6"/>
      <c r="B26" s="49"/>
      <c r="C26" s="8"/>
      <c r="D26" s="8"/>
      <c r="E26" s="5"/>
    </row>
    <row r="27" spans="1:14" ht="15.6">
      <c r="A27" s="6"/>
      <c r="B27" s="49"/>
      <c r="C27" s="8"/>
      <c r="D27" s="8"/>
      <c r="E27" s="5"/>
    </row>
    <row r="28" spans="1:14" ht="15.6">
      <c r="A28" s="6"/>
      <c r="B28" s="49"/>
      <c r="C28" s="8"/>
      <c r="D28" s="8"/>
      <c r="E28" s="5"/>
    </row>
    <row r="29" spans="1:14" ht="15.6">
      <c r="A29" s="6"/>
      <c r="B29" s="49"/>
      <c r="C29" s="8"/>
      <c r="D29" s="8"/>
      <c r="E29" s="5"/>
    </row>
    <row r="30" spans="1:14" ht="15.6">
      <c r="A30" s="6"/>
      <c r="B30" s="49"/>
      <c r="C30" s="8"/>
      <c r="D30" s="8"/>
      <c r="E30" s="5"/>
    </row>
    <row r="31" spans="1:14" ht="15.6">
      <c r="A31" s="6"/>
      <c r="B31" s="49"/>
      <c r="C31" s="8"/>
      <c r="D31" s="8"/>
      <c r="E31" s="5"/>
    </row>
    <row r="32" spans="1:14" ht="15.6">
      <c r="A32" s="6"/>
      <c r="B32" s="49"/>
      <c r="C32" s="8"/>
      <c r="D32" s="8"/>
      <c r="E32" s="5"/>
    </row>
    <row r="33" spans="1:5" ht="15.6">
      <c r="A33" s="6"/>
      <c r="B33" s="49"/>
      <c r="C33" s="8"/>
      <c r="D33" s="8"/>
      <c r="E33" s="5"/>
    </row>
    <row r="34" spans="1:5" ht="15.6">
      <c r="A34" s="6"/>
      <c r="B34" s="49"/>
      <c r="C34" s="8"/>
      <c r="D34" s="8"/>
      <c r="E34" s="5"/>
    </row>
    <row r="35" spans="1:5" ht="15.6">
      <c r="A35" s="6"/>
      <c r="B35" s="49"/>
      <c r="C35" s="8"/>
      <c r="D35" s="8"/>
      <c r="E35" s="5"/>
    </row>
    <row r="36" spans="1:5" ht="15.6">
      <c r="A36" s="6"/>
      <c r="B36" s="49"/>
      <c r="C36" s="8"/>
      <c r="D36" s="8"/>
      <c r="E36" s="5"/>
    </row>
    <row r="37" spans="1:5" ht="15.6">
      <c r="A37" s="6"/>
      <c r="B37" s="49"/>
      <c r="C37" s="8"/>
      <c r="D37" s="8"/>
      <c r="E37" s="5"/>
    </row>
    <row r="38" spans="1:5" ht="15.6">
      <c r="A38" s="6"/>
      <c r="B38" s="49"/>
      <c r="C38" s="8"/>
      <c r="D38" s="8"/>
      <c r="E38" s="5"/>
    </row>
    <row r="39" spans="1:5" ht="15.6">
      <c r="A39" s="6"/>
      <c r="B39" s="49"/>
      <c r="C39" s="8"/>
      <c r="D39" s="8"/>
      <c r="E39" s="5"/>
    </row>
    <row r="40" spans="1:5" ht="15.6">
      <c r="A40" s="6"/>
      <c r="B40" s="49"/>
      <c r="C40" s="8"/>
      <c r="D40" s="8"/>
      <c r="E40" s="5"/>
    </row>
    <row r="41" spans="1:5" ht="15.6">
      <c r="A41" s="6"/>
      <c r="B41" s="49"/>
      <c r="C41" s="8"/>
      <c r="D41" s="8"/>
      <c r="E41" s="5"/>
    </row>
    <row r="42" spans="1:5" ht="15.6">
      <c r="A42" s="6"/>
      <c r="B42" s="49"/>
      <c r="C42" s="8"/>
      <c r="D42" s="8"/>
      <c r="E42" s="5"/>
    </row>
    <row r="43" spans="1:5" ht="15.6">
      <c r="A43" s="6"/>
      <c r="B43" s="49"/>
      <c r="C43" s="8"/>
      <c r="D43" s="8"/>
      <c r="E43" s="5"/>
    </row>
    <row r="44" spans="1:5" ht="15.6">
      <c r="A44" s="6"/>
      <c r="B44" s="49"/>
      <c r="C44" s="8"/>
      <c r="D44" s="8"/>
      <c r="E44" s="5"/>
    </row>
    <row r="45" spans="1:5" ht="15.6">
      <c r="A45" s="6"/>
      <c r="B45" s="49"/>
      <c r="C45" s="8"/>
      <c r="D45" s="8"/>
      <c r="E45" s="5"/>
    </row>
    <row r="46" spans="1:5" ht="15.6">
      <c r="A46" s="6"/>
      <c r="B46" s="49"/>
      <c r="C46" s="8"/>
      <c r="D46" s="8"/>
      <c r="E46" s="5"/>
    </row>
    <row r="47" spans="1:5" ht="15.6">
      <c r="A47" s="6"/>
      <c r="B47" s="49"/>
      <c r="C47" s="8"/>
      <c r="D47" s="8"/>
      <c r="E47" s="5"/>
    </row>
    <row r="48" spans="1:5" ht="15.6">
      <c r="A48" s="6"/>
      <c r="B48" s="49"/>
      <c r="C48" s="8"/>
      <c r="D48" s="8"/>
      <c r="E48" s="5"/>
    </row>
    <row r="49" spans="1:5" ht="15.6">
      <c r="A49" s="6"/>
      <c r="B49" s="49"/>
      <c r="C49" s="8"/>
      <c r="D49" s="8"/>
      <c r="E49" s="5"/>
    </row>
    <row r="50" spans="1:5" ht="15.6">
      <c r="A50" s="6"/>
      <c r="B50" s="49"/>
      <c r="C50" s="8"/>
      <c r="D50" s="8"/>
      <c r="E50" s="5"/>
    </row>
    <row r="51" spans="1:5" ht="15.6">
      <c r="A51" s="6"/>
      <c r="B51" s="49"/>
      <c r="C51" s="8"/>
      <c r="D51" s="8"/>
      <c r="E51" s="5"/>
    </row>
    <row r="52" spans="1:5" ht="15.6">
      <c r="A52" s="6"/>
      <c r="B52" s="49"/>
      <c r="C52" s="8"/>
      <c r="D52" s="8"/>
      <c r="E52" s="5"/>
    </row>
    <row r="53" spans="1:5" ht="15.6">
      <c r="A53" s="6"/>
      <c r="B53" s="49"/>
      <c r="C53" s="8"/>
      <c r="D53" s="8"/>
      <c r="E53" s="5"/>
    </row>
    <row r="54" spans="1:5" ht="15.6">
      <c r="A54" s="6"/>
      <c r="B54" s="49"/>
      <c r="C54" s="8"/>
      <c r="D54" s="8"/>
      <c r="E54" s="5"/>
    </row>
    <row r="55" spans="1:5" ht="15.6">
      <c r="A55" s="6"/>
      <c r="B55" s="49"/>
      <c r="C55" s="8"/>
      <c r="D55" s="8"/>
      <c r="E55" s="5"/>
    </row>
    <row r="56" spans="1:5" ht="15.6">
      <c r="A56" s="6"/>
      <c r="B56" s="49"/>
      <c r="C56" s="8"/>
      <c r="D56" s="8"/>
      <c r="E56" s="5"/>
    </row>
    <row r="57" spans="1:5" ht="15.6">
      <c r="A57" s="6"/>
      <c r="B57" s="49"/>
      <c r="C57" s="8"/>
      <c r="D57" s="8"/>
      <c r="E57" s="5"/>
    </row>
    <row r="58" spans="1:5" ht="15.6">
      <c r="A58" s="6"/>
      <c r="B58" s="49"/>
      <c r="C58" s="8"/>
      <c r="D58" s="8"/>
      <c r="E58" s="5"/>
    </row>
    <row r="59" spans="1:5" ht="15.6">
      <c r="A59" s="6"/>
      <c r="B59" s="49"/>
      <c r="C59" s="8"/>
      <c r="D59" s="8"/>
      <c r="E59" s="5"/>
    </row>
    <row r="60" spans="1:5" ht="15.6">
      <c r="A60" s="6"/>
      <c r="B60" s="49"/>
      <c r="C60" s="8"/>
      <c r="D60" s="8"/>
      <c r="E60" s="5"/>
    </row>
    <row r="61" spans="1:5" ht="15.6">
      <c r="A61" s="6"/>
      <c r="B61" s="49"/>
      <c r="C61" s="8"/>
      <c r="D61" s="8"/>
      <c r="E61" s="5"/>
    </row>
    <row r="62" spans="1:5" ht="15.6">
      <c r="A62" s="6"/>
      <c r="B62" s="49"/>
      <c r="C62" s="8"/>
      <c r="D62" s="8"/>
      <c r="E62" s="5"/>
    </row>
    <row r="63" spans="1:5" ht="15.6">
      <c r="A63" s="6"/>
      <c r="B63" s="49"/>
      <c r="C63" s="8"/>
      <c r="D63" s="8"/>
      <c r="E63" s="5"/>
    </row>
    <row r="64" spans="1:5" ht="15.6">
      <c r="A64" s="6"/>
      <c r="B64" s="49"/>
      <c r="C64" s="8"/>
      <c r="D64" s="8"/>
      <c r="E64" s="5"/>
    </row>
    <row r="65" spans="1:5" ht="15.6">
      <c r="A65" s="6"/>
      <c r="B65" s="49"/>
      <c r="C65" s="8"/>
      <c r="D65" s="8"/>
      <c r="E65" s="5"/>
    </row>
    <row r="66" spans="1:5" ht="15.6">
      <c r="A66" s="6"/>
      <c r="B66" s="49"/>
      <c r="C66" s="8"/>
      <c r="D66" s="8"/>
      <c r="E66" s="5"/>
    </row>
    <row r="67" spans="1:5" ht="15.6">
      <c r="A67" s="6"/>
      <c r="B67" s="49"/>
      <c r="C67" s="8"/>
      <c r="D67" s="8"/>
      <c r="E67" s="5"/>
    </row>
    <row r="68" spans="1:5" ht="15.6">
      <c r="A68" s="6"/>
      <c r="B68" s="49"/>
      <c r="C68" s="8"/>
      <c r="D68" s="8"/>
      <c r="E68" s="5"/>
    </row>
    <row r="69" spans="1:5" ht="15.6">
      <c r="A69" s="6"/>
      <c r="B69" s="49"/>
      <c r="C69" s="8"/>
      <c r="D69" s="8"/>
      <c r="E69" s="5"/>
    </row>
    <row r="70" spans="1:5" ht="15.6">
      <c r="A70" s="6"/>
      <c r="B70" s="49"/>
      <c r="C70" s="8"/>
      <c r="D70" s="8"/>
      <c r="E70" s="5"/>
    </row>
    <row r="71" spans="1:5" ht="15.6">
      <c r="A71" s="6"/>
      <c r="B71" s="49"/>
      <c r="C71" s="8"/>
      <c r="D71" s="8"/>
      <c r="E71" s="5"/>
    </row>
    <row r="72" spans="1:5" ht="15.6">
      <c r="A72" s="6"/>
      <c r="B72" s="49"/>
      <c r="C72" s="8"/>
      <c r="D72" s="8"/>
      <c r="E72" s="5"/>
    </row>
    <row r="73" spans="1:5" ht="15.6">
      <c r="A73" s="6"/>
      <c r="B73" s="49"/>
      <c r="C73" s="8"/>
      <c r="D73" s="8"/>
      <c r="E73" s="5"/>
    </row>
    <row r="74" spans="1:5" ht="15.6">
      <c r="A74" s="6"/>
      <c r="B74" s="49"/>
      <c r="C74" s="8"/>
      <c r="D74" s="8"/>
      <c r="E74" s="5"/>
    </row>
    <row r="75" spans="1:5" ht="15.6">
      <c r="A75" s="6"/>
      <c r="B75" s="49"/>
      <c r="C75" s="8"/>
      <c r="D75" s="8"/>
      <c r="E75" s="5"/>
    </row>
    <row r="76" spans="1:5" ht="15.6">
      <c r="A76" s="6"/>
      <c r="B76" s="49"/>
      <c r="C76" s="8"/>
      <c r="D76" s="8"/>
      <c r="E76" s="5"/>
    </row>
    <row r="77" spans="1:5" ht="15.6">
      <c r="A77" s="6"/>
      <c r="B77" s="49"/>
      <c r="C77" s="8"/>
      <c r="D77" s="8"/>
      <c r="E77" s="5"/>
    </row>
    <row r="78" spans="1:5" ht="15.6">
      <c r="A78" s="6"/>
      <c r="B78" s="49"/>
      <c r="C78" s="8"/>
      <c r="D78" s="8"/>
      <c r="E78" s="5"/>
    </row>
    <row r="79" spans="1:5" ht="15.6">
      <c r="A79" s="6"/>
      <c r="B79" s="49"/>
      <c r="C79" s="8"/>
      <c r="D79" s="8"/>
      <c r="E79" s="5"/>
    </row>
    <row r="80" spans="1:5" ht="15.6">
      <c r="A80" s="6"/>
      <c r="B80" s="49"/>
      <c r="C80" s="8"/>
      <c r="D80" s="8"/>
      <c r="E80" s="5"/>
    </row>
    <row r="81" spans="1:5" ht="15.6">
      <c r="A81" s="6"/>
      <c r="B81" s="49"/>
      <c r="C81" s="8"/>
      <c r="D81" s="8"/>
      <c r="E81" s="5"/>
    </row>
    <row r="82" spans="1:5" ht="15.6">
      <c r="A82" s="6"/>
      <c r="B82" s="49"/>
      <c r="C82" s="8"/>
      <c r="D82" s="8"/>
      <c r="E82" s="5"/>
    </row>
    <row r="83" spans="1:5" ht="15.6">
      <c r="A83" s="6"/>
      <c r="B83" s="49"/>
      <c r="C83" s="8"/>
      <c r="D83" s="8"/>
      <c r="E83" s="5"/>
    </row>
    <row r="84" spans="1:5" ht="15.6">
      <c r="A84" s="6"/>
      <c r="B84" s="49"/>
      <c r="C84" s="8"/>
      <c r="D84" s="8"/>
      <c r="E84" s="5"/>
    </row>
    <row r="85" spans="1:5" ht="15.6">
      <c r="A85" s="6"/>
      <c r="B85" s="49"/>
      <c r="C85" s="8"/>
      <c r="D85" s="8"/>
      <c r="E85" s="5"/>
    </row>
    <row r="86" spans="1:5" ht="15.6">
      <c r="A86" s="6"/>
      <c r="B86" s="49"/>
      <c r="C86" s="8"/>
      <c r="D86" s="8"/>
      <c r="E86" s="5"/>
    </row>
    <row r="87" spans="1:5" ht="15.6">
      <c r="A87" s="6"/>
      <c r="B87" s="49"/>
      <c r="C87" s="8"/>
      <c r="D87" s="8"/>
      <c r="E87" s="5"/>
    </row>
    <row r="88" spans="1:5" ht="15.6">
      <c r="A88" s="6"/>
      <c r="B88" s="49"/>
      <c r="C88" s="8"/>
      <c r="D88" s="8"/>
      <c r="E88" s="5"/>
    </row>
    <row r="89" spans="1:5" ht="15.6">
      <c r="A89" s="6"/>
      <c r="B89" s="49"/>
      <c r="C89" s="8"/>
      <c r="D89" s="8"/>
      <c r="E89" s="5"/>
    </row>
    <row r="90" spans="1:5" ht="15.6">
      <c r="A90" s="6"/>
      <c r="B90" s="49"/>
      <c r="C90" s="8"/>
      <c r="D90" s="8"/>
      <c r="E90" s="5"/>
    </row>
    <row r="91" spans="1:5" ht="15.6">
      <c r="A91" s="6"/>
      <c r="B91" s="49"/>
      <c r="C91" s="8"/>
      <c r="D91" s="8"/>
      <c r="E91" s="5"/>
    </row>
    <row r="92" spans="1:5" ht="15.6">
      <c r="A92" s="6"/>
      <c r="B92" s="49"/>
      <c r="C92" s="8"/>
      <c r="D92" s="8"/>
      <c r="E92" s="5"/>
    </row>
    <row r="93" spans="1:5" ht="15.6">
      <c r="A93" s="6"/>
      <c r="B93" s="49"/>
      <c r="C93" s="8"/>
      <c r="D93" s="8"/>
      <c r="E93" s="5"/>
    </row>
    <row r="94" spans="1:5" ht="15.6">
      <c r="A94" s="6"/>
      <c r="B94" s="49"/>
      <c r="C94" s="8"/>
      <c r="D94" s="8"/>
      <c r="E94" s="5"/>
    </row>
    <row r="95" spans="1:5" ht="15.6">
      <c r="A95" s="6"/>
      <c r="B95" s="49"/>
      <c r="C95" s="8"/>
      <c r="D95" s="8"/>
      <c r="E95" s="5"/>
    </row>
    <row r="96" spans="1:5" ht="15.6">
      <c r="A96" s="6"/>
      <c r="B96" s="49"/>
      <c r="C96" s="8"/>
      <c r="D96" s="8"/>
      <c r="E96" s="5"/>
    </row>
    <row r="97" spans="1:5" ht="15.6">
      <c r="A97" s="6"/>
      <c r="B97" s="49"/>
      <c r="C97" s="8"/>
      <c r="D97" s="8"/>
      <c r="E97" s="5"/>
    </row>
    <row r="98" spans="1:5" ht="15.6">
      <c r="A98" s="6"/>
      <c r="B98" s="49"/>
      <c r="C98" s="8"/>
      <c r="D98" s="8"/>
      <c r="E98" s="5"/>
    </row>
    <row r="99" spans="1:5" ht="15.6">
      <c r="A99" s="6"/>
      <c r="B99" s="49"/>
      <c r="C99" s="8"/>
      <c r="D99" s="8"/>
      <c r="E99" s="5"/>
    </row>
    <row r="100" spans="1:5" ht="15.6">
      <c r="A100" s="6"/>
      <c r="B100" s="49"/>
      <c r="C100" s="8"/>
      <c r="D100" s="8"/>
      <c r="E100" s="5"/>
    </row>
  </sheetData>
  <mergeCells count="5">
    <mergeCell ref="A1:E1"/>
    <mergeCell ref="D5:D6"/>
    <mergeCell ref="E5:E6"/>
    <mergeCell ref="C5:C6"/>
    <mergeCell ref="C11:E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0F47-FFEA-4D59-BC17-C94295FE300C}">
  <sheetPr>
    <tabColor rgb="FF00B050"/>
  </sheetPr>
  <dimension ref="A1:N100"/>
  <sheetViews>
    <sheetView workbookViewId="0">
      <selection activeCell="B16" sqref="B16"/>
    </sheetView>
  </sheetViews>
  <sheetFormatPr defaultRowHeight="14.4"/>
  <cols>
    <col min="1" max="1" width="94.5546875" bestFit="1" customWidth="1"/>
    <col min="2" max="2" width="38.88671875" style="9" bestFit="1" customWidth="1"/>
    <col min="3" max="3" width="26.77734375" bestFit="1" customWidth="1"/>
    <col min="4" max="4" width="25.6640625" bestFit="1" customWidth="1"/>
    <col min="5" max="5" width="27" style="3" bestFit="1" customWidth="1"/>
    <col min="6" max="6" width="8.77734375" customWidth="1"/>
    <col min="7" max="7" width="11.5546875" bestFit="1" customWidth="1"/>
    <col min="8" max="8" width="17.109375" bestFit="1" customWidth="1"/>
    <col min="9" max="9" width="17.6640625" bestFit="1" customWidth="1"/>
    <col min="10" max="10" width="18.5546875" bestFit="1" customWidth="1"/>
    <col min="11" max="13" width="16.5546875" bestFit="1" customWidth="1"/>
    <col min="14" max="14" width="18.5546875" bestFit="1" customWidth="1"/>
    <col min="15" max="21" width="8.77734375" customWidth="1"/>
  </cols>
  <sheetData>
    <row r="1" spans="1:14" ht="15.6">
      <c r="A1" s="91" t="s">
        <v>0</v>
      </c>
      <c r="B1" s="92"/>
      <c r="C1" s="92"/>
      <c r="D1" s="92"/>
      <c r="E1" s="92"/>
    </row>
    <row r="2" spans="1:14" ht="16.2" thickBot="1">
      <c r="A2" s="1"/>
      <c r="B2" s="2"/>
      <c r="C2" s="9"/>
      <c r="D2" s="26"/>
    </row>
    <row r="3" spans="1:14" ht="15.6">
      <c r="A3" s="1"/>
      <c r="B3" s="4" t="s">
        <v>1</v>
      </c>
      <c r="G3" s="33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34" t="s">
        <v>11</v>
      </c>
      <c r="M3" s="34" t="s">
        <v>12</v>
      </c>
      <c r="N3" s="34" t="s">
        <v>13</v>
      </c>
    </row>
    <row r="4" spans="1:14" ht="15.6">
      <c r="A4" s="42" t="s">
        <v>2</v>
      </c>
      <c r="B4" s="43">
        <f>SUM(B5:B100)</f>
        <v>69515112.730000004</v>
      </c>
      <c r="C4" s="44" t="s">
        <v>3</v>
      </c>
      <c r="D4" s="44" t="s">
        <v>5</v>
      </c>
      <c r="E4" s="45" t="s">
        <v>4</v>
      </c>
      <c r="G4" s="47"/>
      <c r="H4" s="46"/>
      <c r="I4" s="41">
        <f>H4*4.8%</f>
        <v>0</v>
      </c>
      <c r="J4" s="41">
        <f>H4*0.65%</f>
        <v>0</v>
      </c>
      <c r="K4" s="41">
        <f>H4*3%</f>
        <v>0</v>
      </c>
      <c r="L4" s="41">
        <f>H4*1%</f>
        <v>0</v>
      </c>
      <c r="M4" s="41"/>
      <c r="N4" s="41">
        <f>H4-I4-J4-K4-L4-M4</f>
        <v>0</v>
      </c>
    </row>
    <row r="5" spans="1:14" ht="16.2" thickBot="1">
      <c r="A5" s="57" t="s">
        <v>203</v>
      </c>
      <c r="B5" s="80">
        <v>34221.61</v>
      </c>
      <c r="C5" s="93" t="s">
        <v>22</v>
      </c>
      <c r="D5" s="94"/>
      <c r="E5" s="95"/>
      <c r="G5" s="48"/>
      <c r="H5" s="46"/>
      <c r="I5" s="41">
        <f>H5*4.8%</f>
        <v>0</v>
      </c>
      <c r="J5" s="41">
        <f>H5*0.65%</f>
        <v>0</v>
      </c>
      <c r="K5" s="41">
        <f>H5*3%</f>
        <v>0</v>
      </c>
      <c r="L5" s="41">
        <f>H5*1%</f>
        <v>0</v>
      </c>
      <c r="M5" s="41"/>
      <c r="N5" s="41">
        <f>H5-I5-J5-K5-L5-M5</f>
        <v>0</v>
      </c>
    </row>
    <row r="6" spans="1:14" ht="16.2" thickBot="1">
      <c r="A6" s="57" t="s">
        <v>204</v>
      </c>
      <c r="B6" s="80">
        <v>69479548.519999996</v>
      </c>
      <c r="C6" s="93" t="s">
        <v>22</v>
      </c>
      <c r="D6" s="94"/>
      <c r="E6" s="95"/>
      <c r="G6" s="14" t="s">
        <v>14</v>
      </c>
      <c r="H6" s="17">
        <f t="shared" ref="H6:N6" si="0">SUM(H4:H5)</f>
        <v>0</v>
      </c>
      <c r="I6" s="17">
        <f t="shared" si="0"/>
        <v>0</v>
      </c>
      <c r="J6" s="17">
        <f t="shared" si="0"/>
        <v>0</v>
      </c>
      <c r="K6" s="17">
        <f t="shared" si="0"/>
        <v>0</v>
      </c>
      <c r="L6" s="17">
        <f t="shared" si="0"/>
        <v>0</v>
      </c>
      <c r="M6" s="17">
        <f t="shared" si="0"/>
        <v>0</v>
      </c>
      <c r="N6" s="17">
        <f t="shared" si="0"/>
        <v>0</v>
      </c>
    </row>
    <row r="7" spans="1:14" ht="16.2" thickBot="1">
      <c r="A7" s="59" t="s">
        <v>205</v>
      </c>
      <c r="B7" s="81">
        <v>1342.59</v>
      </c>
      <c r="C7" s="61" t="s">
        <v>26</v>
      </c>
      <c r="D7" s="61" t="s">
        <v>207</v>
      </c>
      <c r="E7" s="62" t="s">
        <v>209</v>
      </c>
    </row>
    <row r="8" spans="1:14" ht="16.2" thickBot="1">
      <c r="A8" s="59" t="s">
        <v>206</v>
      </c>
      <c r="B8" s="81">
        <v>0.01</v>
      </c>
      <c r="C8" s="61" t="s">
        <v>26</v>
      </c>
      <c r="D8" s="61" t="s">
        <v>208</v>
      </c>
      <c r="E8" s="62" t="s">
        <v>210</v>
      </c>
      <c r="G8" s="14" t="s">
        <v>6</v>
      </c>
      <c r="H8" s="17" t="s">
        <v>7</v>
      </c>
      <c r="I8" s="17" t="s">
        <v>8</v>
      </c>
      <c r="J8" s="17" t="s">
        <v>9</v>
      </c>
      <c r="K8" s="17" t="s">
        <v>10</v>
      </c>
      <c r="L8" s="17" t="s">
        <v>11</v>
      </c>
      <c r="M8" s="17" t="s">
        <v>12</v>
      </c>
      <c r="N8" s="17" t="s">
        <v>13</v>
      </c>
    </row>
    <row r="9" spans="1:14" ht="16.2" thickBot="1">
      <c r="A9" s="6"/>
      <c r="B9" s="49"/>
      <c r="C9" s="8"/>
      <c r="D9" s="8"/>
      <c r="E9" s="5"/>
      <c r="G9" s="15"/>
      <c r="H9" s="16"/>
      <c r="I9" s="35">
        <f>H9*4.8%</f>
        <v>0</v>
      </c>
      <c r="J9" s="35">
        <f>H9*0.65%</f>
        <v>0</v>
      </c>
      <c r="K9" s="35">
        <f>H9*3%</f>
        <v>0</v>
      </c>
      <c r="L9" s="35">
        <f>H9*1%</f>
        <v>0</v>
      </c>
      <c r="M9" s="35">
        <f>H9*5%</f>
        <v>0</v>
      </c>
      <c r="N9" s="35">
        <f>H9-I9-J9-K9-L9-M9</f>
        <v>0</v>
      </c>
    </row>
    <row r="10" spans="1:14" ht="16.2" thickBot="1">
      <c r="A10" s="6"/>
      <c r="B10" s="49"/>
      <c r="C10" s="8"/>
      <c r="D10" s="8"/>
      <c r="E10" s="5"/>
      <c r="G10" s="15"/>
      <c r="H10" s="16"/>
      <c r="I10" s="35">
        <f>H10*4.8%</f>
        <v>0</v>
      </c>
      <c r="J10" s="35">
        <f>H10*0.65%</f>
        <v>0</v>
      </c>
      <c r="K10" s="35">
        <f>H10*3%</f>
        <v>0</v>
      </c>
      <c r="L10" s="35">
        <f>H10*1%</f>
        <v>0</v>
      </c>
      <c r="M10" s="35">
        <f>H10*5%</f>
        <v>0</v>
      </c>
      <c r="N10" s="35">
        <f>H10-I10-J10-K10-L10-M10</f>
        <v>0</v>
      </c>
    </row>
    <row r="11" spans="1:14" ht="16.2" thickBot="1">
      <c r="A11" s="6"/>
      <c r="B11" s="49"/>
      <c r="C11" s="8"/>
      <c r="D11" s="8"/>
      <c r="E11" s="5"/>
      <c r="G11" s="14" t="s">
        <v>14</v>
      </c>
      <c r="H11" s="17">
        <f t="shared" ref="H11:N11" si="1">SUM(H9:H10)</f>
        <v>0</v>
      </c>
      <c r="I11" s="17">
        <f t="shared" si="1"/>
        <v>0</v>
      </c>
      <c r="J11" s="17">
        <f t="shared" si="1"/>
        <v>0</v>
      </c>
      <c r="K11" s="17">
        <f t="shared" si="1"/>
        <v>0</v>
      </c>
      <c r="L11" s="17">
        <f t="shared" si="1"/>
        <v>0</v>
      </c>
      <c r="M11" s="17">
        <f t="shared" si="1"/>
        <v>0</v>
      </c>
      <c r="N11" s="17">
        <f t="shared" si="1"/>
        <v>0</v>
      </c>
    </row>
    <row r="12" spans="1:14" ht="16.2" thickBot="1">
      <c r="A12" s="6"/>
      <c r="B12" s="49"/>
      <c r="C12" s="8"/>
      <c r="D12" s="8"/>
      <c r="E12" s="5"/>
    </row>
    <row r="13" spans="1:14" ht="16.2" thickBot="1">
      <c r="A13" s="6"/>
      <c r="B13" s="49"/>
      <c r="C13" s="8"/>
      <c r="D13" s="8"/>
      <c r="E13" s="5"/>
      <c r="G13" s="14" t="s">
        <v>6</v>
      </c>
      <c r="H13" s="17" t="s">
        <v>7</v>
      </c>
      <c r="I13" s="17" t="s">
        <v>8</v>
      </c>
      <c r="J13" s="17" t="s">
        <v>9</v>
      </c>
      <c r="K13" s="17" t="s">
        <v>10</v>
      </c>
      <c r="L13" s="17" t="s">
        <v>11</v>
      </c>
      <c r="M13" s="17" t="s">
        <v>12</v>
      </c>
      <c r="N13" s="17" t="s">
        <v>13</v>
      </c>
    </row>
    <row r="14" spans="1:14" ht="16.2" thickBot="1">
      <c r="A14" s="6"/>
      <c r="B14" s="49"/>
      <c r="C14" s="8"/>
      <c r="D14" s="8"/>
      <c r="E14" s="5"/>
      <c r="G14" s="15"/>
      <c r="H14" s="16"/>
      <c r="I14" s="35">
        <f>H14*4.8%</f>
        <v>0</v>
      </c>
      <c r="J14" s="35">
        <f>H14*0.65%</f>
        <v>0</v>
      </c>
      <c r="K14" s="35">
        <f>H14*3%</f>
        <v>0</v>
      </c>
      <c r="L14" s="35">
        <f>H14*1%</f>
        <v>0</v>
      </c>
      <c r="M14" s="35">
        <f>H14*5%</f>
        <v>0</v>
      </c>
      <c r="N14" s="35">
        <f>H14-I14-J14-K14-L14-M14</f>
        <v>0</v>
      </c>
    </row>
    <row r="15" spans="1:14" ht="16.2" thickBot="1">
      <c r="A15" s="6"/>
      <c r="B15" s="49"/>
      <c r="C15" s="8"/>
      <c r="D15" s="8"/>
      <c r="E15" s="5"/>
      <c r="G15" s="15"/>
      <c r="H15" s="16"/>
      <c r="I15" s="35">
        <f>H15*4.8%</f>
        <v>0</v>
      </c>
      <c r="J15" s="35">
        <f>H15*0.65%</f>
        <v>0</v>
      </c>
      <c r="K15" s="35">
        <f>H15*3%</f>
        <v>0</v>
      </c>
      <c r="L15" s="35">
        <f>H15*1%</f>
        <v>0</v>
      </c>
      <c r="M15" s="35">
        <f>H15*5%</f>
        <v>0</v>
      </c>
      <c r="N15" s="35">
        <f>H15-I15-J15-K15-L15-M15</f>
        <v>0</v>
      </c>
    </row>
    <row r="16" spans="1:14" ht="16.2" thickBot="1">
      <c r="A16" s="6"/>
      <c r="B16" s="49"/>
      <c r="C16" s="8"/>
      <c r="D16" s="8"/>
      <c r="E16" s="5"/>
      <c r="G16" s="15"/>
      <c r="H16" s="16"/>
      <c r="I16" s="35">
        <f>H16*4.8%</f>
        <v>0</v>
      </c>
      <c r="J16" s="35">
        <f>H16*0.65%</f>
        <v>0</v>
      </c>
      <c r="K16" s="35">
        <f>H16*3%</f>
        <v>0</v>
      </c>
      <c r="L16" s="35">
        <f>H16*1%</f>
        <v>0</v>
      </c>
      <c r="M16" s="35">
        <f>H16*5%</f>
        <v>0</v>
      </c>
      <c r="N16" s="35">
        <f>H16-I16-J16-K16-L16-M16</f>
        <v>0</v>
      </c>
    </row>
    <row r="17" spans="1:14" ht="16.2" thickBot="1">
      <c r="A17" s="6"/>
      <c r="B17" s="49"/>
      <c r="C17" s="8"/>
      <c r="D17" s="8"/>
      <c r="E17" s="5"/>
      <c r="G17" s="14" t="s">
        <v>14</v>
      </c>
      <c r="H17" s="17">
        <f t="shared" ref="H17:N17" si="2">SUM(H14:H16)</f>
        <v>0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 t="shared" si="2"/>
        <v>0</v>
      </c>
      <c r="N17" s="17">
        <f t="shared" si="2"/>
        <v>0</v>
      </c>
    </row>
    <row r="18" spans="1:14" ht="15.6">
      <c r="A18" s="6"/>
      <c r="B18" s="49"/>
      <c r="C18" s="8"/>
      <c r="D18" s="8"/>
      <c r="E18" s="5"/>
    </row>
    <row r="19" spans="1:14" ht="15.6">
      <c r="A19" s="6"/>
      <c r="B19" s="49"/>
      <c r="C19" s="8"/>
      <c r="D19" s="8"/>
      <c r="E19" s="5"/>
    </row>
    <row r="20" spans="1:14" ht="15.6">
      <c r="A20" s="6"/>
      <c r="B20" s="49"/>
      <c r="C20" s="8"/>
      <c r="D20" s="8"/>
      <c r="E20" s="5"/>
      <c r="H20" s="50"/>
    </row>
    <row r="21" spans="1:14" ht="15.6">
      <c r="A21" s="6"/>
      <c r="B21" s="49"/>
      <c r="C21" s="8"/>
      <c r="D21" s="8"/>
      <c r="E21" s="5"/>
      <c r="H21" s="50"/>
    </row>
    <row r="22" spans="1:14" ht="15.6">
      <c r="A22" s="6"/>
      <c r="B22" s="49"/>
      <c r="C22" s="8"/>
      <c r="D22" s="8"/>
      <c r="E22" s="5"/>
      <c r="H22" s="50"/>
    </row>
    <row r="23" spans="1:14" ht="15.6">
      <c r="A23" s="6"/>
      <c r="B23" s="49"/>
      <c r="C23" s="8"/>
      <c r="D23" s="8"/>
      <c r="E23" s="5"/>
    </row>
    <row r="24" spans="1:14" ht="15.6">
      <c r="A24" s="6"/>
      <c r="B24" s="49"/>
      <c r="C24" s="8"/>
      <c r="D24" s="8"/>
      <c r="E24" s="5"/>
    </row>
    <row r="25" spans="1:14" ht="15.6">
      <c r="A25" s="6"/>
      <c r="B25" s="49"/>
      <c r="C25" s="8"/>
      <c r="D25" s="8"/>
      <c r="E25" s="5"/>
    </row>
    <row r="26" spans="1:14" ht="15.6">
      <c r="A26" s="6"/>
      <c r="B26" s="49"/>
      <c r="C26" s="8"/>
      <c r="D26" s="8"/>
      <c r="E26" s="5"/>
    </row>
    <row r="27" spans="1:14" ht="15.6">
      <c r="A27" s="6"/>
      <c r="B27" s="49"/>
      <c r="C27" s="8"/>
      <c r="D27" s="8"/>
      <c r="E27" s="5"/>
    </row>
    <row r="28" spans="1:14" ht="15.6">
      <c r="A28" s="6"/>
      <c r="B28" s="49"/>
      <c r="C28" s="8"/>
      <c r="D28" s="8"/>
      <c r="E28" s="5"/>
    </row>
    <row r="29" spans="1:14" ht="15.6">
      <c r="A29" s="6"/>
      <c r="B29" s="49"/>
      <c r="C29" s="8"/>
      <c r="D29" s="8"/>
      <c r="E29" s="5"/>
    </row>
    <row r="30" spans="1:14" ht="15.6">
      <c r="A30" s="6"/>
      <c r="B30" s="49"/>
      <c r="C30" s="8"/>
      <c r="D30" s="8"/>
      <c r="E30" s="5"/>
    </row>
    <row r="31" spans="1:14" ht="15.6">
      <c r="A31" s="6"/>
      <c r="B31" s="49"/>
      <c r="C31" s="8"/>
      <c r="D31" s="8"/>
      <c r="E31" s="5"/>
    </row>
    <row r="32" spans="1:14" ht="15.6">
      <c r="A32" s="6"/>
      <c r="B32" s="49"/>
      <c r="C32" s="8"/>
      <c r="D32" s="8"/>
      <c r="E32" s="5"/>
    </row>
    <row r="33" spans="1:5" ht="15.6">
      <c r="A33" s="6"/>
      <c r="B33" s="49"/>
      <c r="C33" s="8"/>
      <c r="D33" s="8"/>
      <c r="E33" s="5"/>
    </row>
    <row r="34" spans="1:5" ht="15.6">
      <c r="A34" s="6"/>
      <c r="B34" s="49"/>
      <c r="C34" s="8"/>
      <c r="D34" s="8"/>
      <c r="E34" s="5"/>
    </row>
    <row r="35" spans="1:5" ht="15.6">
      <c r="A35" s="6"/>
      <c r="B35" s="49"/>
      <c r="C35" s="8"/>
      <c r="D35" s="8"/>
      <c r="E35" s="5"/>
    </row>
    <row r="36" spans="1:5" ht="15.6">
      <c r="A36" s="6"/>
      <c r="B36" s="49"/>
      <c r="C36" s="8"/>
      <c r="D36" s="8"/>
      <c r="E36" s="5"/>
    </row>
    <row r="37" spans="1:5" ht="15.6">
      <c r="A37" s="6"/>
      <c r="B37" s="49"/>
      <c r="C37" s="8"/>
      <c r="D37" s="8"/>
      <c r="E37" s="5"/>
    </row>
    <row r="38" spans="1:5" ht="15.6">
      <c r="A38" s="6"/>
      <c r="B38" s="49"/>
      <c r="C38" s="8"/>
      <c r="D38" s="8"/>
      <c r="E38" s="5"/>
    </row>
    <row r="39" spans="1:5" ht="15.6">
      <c r="A39" s="6"/>
      <c r="B39" s="49"/>
      <c r="C39" s="8"/>
      <c r="D39" s="8"/>
      <c r="E39" s="5"/>
    </row>
    <row r="40" spans="1:5" ht="15.6">
      <c r="A40" s="6"/>
      <c r="B40" s="49"/>
      <c r="C40" s="8"/>
      <c r="D40" s="8"/>
      <c r="E40" s="5"/>
    </row>
    <row r="41" spans="1:5" ht="15.6">
      <c r="A41" s="6"/>
      <c r="B41" s="49"/>
      <c r="C41" s="8"/>
      <c r="D41" s="8"/>
      <c r="E41" s="5"/>
    </row>
    <row r="42" spans="1:5" ht="15.6">
      <c r="A42" s="6"/>
      <c r="B42" s="49"/>
      <c r="C42" s="8"/>
      <c r="D42" s="8"/>
      <c r="E42" s="5"/>
    </row>
    <row r="43" spans="1:5" ht="15.6">
      <c r="A43" s="6"/>
      <c r="B43" s="49"/>
      <c r="C43" s="8"/>
      <c r="D43" s="8"/>
      <c r="E43" s="5"/>
    </row>
    <row r="44" spans="1:5" ht="15.6">
      <c r="A44" s="6"/>
      <c r="B44" s="49"/>
      <c r="C44" s="8"/>
      <c r="D44" s="8"/>
      <c r="E44" s="5"/>
    </row>
    <row r="45" spans="1:5" ht="15.6">
      <c r="A45" s="6"/>
      <c r="B45" s="49"/>
      <c r="C45" s="8"/>
      <c r="D45" s="8"/>
      <c r="E45" s="5"/>
    </row>
    <row r="46" spans="1:5" ht="15.6">
      <c r="A46" s="6"/>
      <c r="B46" s="49"/>
      <c r="C46" s="8"/>
      <c r="D46" s="8"/>
      <c r="E46" s="5"/>
    </row>
    <row r="47" spans="1:5" ht="15.6">
      <c r="A47" s="6"/>
      <c r="B47" s="49"/>
      <c r="C47" s="8"/>
      <c r="D47" s="8"/>
      <c r="E47" s="5"/>
    </row>
    <row r="48" spans="1:5" ht="15.6">
      <c r="A48" s="6"/>
      <c r="B48" s="49"/>
      <c r="C48" s="8"/>
      <c r="D48" s="8"/>
      <c r="E48" s="5"/>
    </row>
    <row r="49" spans="1:5" ht="15.6">
      <c r="A49" s="6"/>
      <c r="B49" s="49"/>
      <c r="C49" s="8"/>
      <c r="D49" s="8"/>
      <c r="E49" s="5"/>
    </row>
    <row r="50" spans="1:5" ht="15.6">
      <c r="A50" s="6"/>
      <c r="B50" s="49"/>
      <c r="C50" s="8"/>
      <c r="D50" s="8"/>
      <c r="E50" s="5"/>
    </row>
    <row r="51" spans="1:5" ht="15.6">
      <c r="A51" s="6"/>
      <c r="B51" s="49"/>
      <c r="C51" s="8"/>
      <c r="D51" s="8"/>
      <c r="E51" s="5"/>
    </row>
    <row r="52" spans="1:5" ht="15.6">
      <c r="A52" s="6"/>
      <c r="B52" s="49"/>
      <c r="C52" s="8"/>
      <c r="D52" s="8"/>
      <c r="E52" s="5"/>
    </row>
    <row r="53" spans="1:5" ht="15.6">
      <c r="A53" s="6"/>
      <c r="B53" s="49"/>
      <c r="C53" s="8"/>
      <c r="D53" s="8"/>
      <c r="E53" s="5"/>
    </row>
    <row r="54" spans="1:5" ht="15.6">
      <c r="A54" s="6"/>
      <c r="B54" s="49"/>
      <c r="C54" s="8"/>
      <c r="D54" s="8"/>
      <c r="E54" s="5"/>
    </row>
    <row r="55" spans="1:5" ht="15.6">
      <c r="A55" s="6"/>
      <c r="B55" s="49"/>
      <c r="C55" s="8"/>
      <c r="D55" s="8"/>
      <c r="E55" s="5"/>
    </row>
    <row r="56" spans="1:5" ht="15.6">
      <c r="A56" s="6"/>
      <c r="B56" s="49"/>
      <c r="C56" s="8"/>
      <c r="D56" s="8"/>
      <c r="E56" s="5"/>
    </row>
    <row r="57" spans="1:5" ht="15.6">
      <c r="A57" s="6"/>
      <c r="B57" s="49"/>
      <c r="C57" s="8"/>
      <c r="D57" s="8"/>
      <c r="E57" s="5"/>
    </row>
    <row r="58" spans="1:5" ht="15.6">
      <c r="A58" s="6"/>
      <c r="B58" s="49"/>
      <c r="C58" s="8"/>
      <c r="D58" s="8"/>
      <c r="E58" s="5"/>
    </row>
    <row r="59" spans="1:5" ht="15.6">
      <c r="A59" s="6"/>
      <c r="B59" s="49"/>
      <c r="C59" s="8"/>
      <c r="D59" s="8"/>
      <c r="E59" s="5"/>
    </row>
    <row r="60" spans="1:5" ht="15.6">
      <c r="A60" s="6"/>
      <c r="B60" s="49"/>
      <c r="C60" s="8"/>
      <c r="D60" s="8"/>
      <c r="E60" s="5"/>
    </row>
    <row r="61" spans="1:5" ht="15.6">
      <c r="A61" s="6"/>
      <c r="B61" s="49"/>
      <c r="C61" s="8"/>
      <c r="D61" s="8"/>
      <c r="E61" s="5"/>
    </row>
    <row r="62" spans="1:5" ht="15.6">
      <c r="A62" s="6"/>
      <c r="B62" s="49"/>
      <c r="C62" s="8"/>
      <c r="D62" s="8"/>
      <c r="E62" s="5"/>
    </row>
    <row r="63" spans="1:5" ht="15.6">
      <c r="A63" s="6"/>
      <c r="B63" s="49"/>
      <c r="C63" s="8"/>
      <c r="D63" s="8"/>
      <c r="E63" s="5"/>
    </row>
    <row r="64" spans="1:5" ht="15.6">
      <c r="A64" s="6"/>
      <c r="B64" s="49"/>
      <c r="C64" s="8"/>
      <c r="D64" s="8"/>
      <c r="E64" s="5"/>
    </row>
    <row r="65" spans="1:5" ht="15.6">
      <c r="A65" s="6"/>
      <c r="B65" s="49"/>
      <c r="C65" s="8"/>
      <c r="D65" s="8"/>
      <c r="E65" s="5"/>
    </row>
    <row r="66" spans="1:5" ht="15.6">
      <c r="A66" s="6"/>
      <c r="B66" s="49"/>
      <c r="C66" s="8"/>
      <c r="D66" s="8"/>
      <c r="E66" s="5"/>
    </row>
    <row r="67" spans="1:5" ht="15.6">
      <c r="A67" s="6"/>
      <c r="B67" s="49"/>
      <c r="C67" s="8"/>
      <c r="D67" s="8"/>
      <c r="E67" s="5"/>
    </row>
    <row r="68" spans="1:5" ht="15.6">
      <c r="A68" s="6"/>
      <c r="B68" s="49"/>
      <c r="C68" s="8"/>
      <c r="D68" s="8"/>
      <c r="E68" s="5"/>
    </row>
    <row r="69" spans="1:5" ht="15.6">
      <c r="A69" s="6"/>
      <c r="B69" s="49"/>
      <c r="C69" s="8"/>
      <c r="D69" s="8"/>
      <c r="E69" s="5"/>
    </row>
    <row r="70" spans="1:5" ht="15.6">
      <c r="A70" s="6"/>
      <c r="B70" s="49"/>
      <c r="C70" s="8"/>
      <c r="D70" s="8"/>
      <c r="E70" s="5"/>
    </row>
    <row r="71" spans="1:5" ht="15.6">
      <c r="A71" s="6"/>
      <c r="B71" s="49"/>
      <c r="C71" s="8"/>
      <c r="D71" s="8"/>
      <c r="E71" s="5"/>
    </row>
    <row r="72" spans="1:5" ht="15.6">
      <c r="A72" s="6"/>
      <c r="B72" s="49"/>
      <c r="C72" s="8"/>
      <c r="D72" s="8"/>
      <c r="E72" s="5"/>
    </row>
    <row r="73" spans="1:5" ht="15.6">
      <c r="A73" s="6"/>
      <c r="B73" s="49"/>
      <c r="C73" s="8"/>
      <c r="D73" s="8"/>
      <c r="E73" s="5"/>
    </row>
    <row r="74" spans="1:5" ht="15.6">
      <c r="A74" s="6"/>
      <c r="B74" s="49"/>
      <c r="C74" s="8"/>
      <c r="D74" s="8"/>
      <c r="E74" s="5"/>
    </row>
    <row r="75" spans="1:5" ht="15.6">
      <c r="A75" s="6"/>
      <c r="B75" s="49"/>
      <c r="C75" s="8"/>
      <c r="D75" s="8"/>
      <c r="E75" s="5"/>
    </row>
    <row r="76" spans="1:5" ht="15.6">
      <c r="A76" s="6"/>
      <c r="B76" s="49"/>
      <c r="C76" s="8"/>
      <c r="D76" s="8"/>
      <c r="E76" s="5"/>
    </row>
    <row r="77" spans="1:5" ht="15.6">
      <c r="A77" s="6"/>
      <c r="B77" s="49"/>
      <c r="C77" s="8"/>
      <c r="D77" s="8"/>
      <c r="E77" s="5"/>
    </row>
    <row r="78" spans="1:5" ht="15.6">
      <c r="A78" s="6"/>
      <c r="B78" s="49"/>
      <c r="C78" s="8"/>
      <c r="D78" s="8"/>
      <c r="E78" s="5"/>
    </row>
    <row r="79" spans="1:5" ht="15.6">
      <c r="A79" s="6"/>
      <c r="B79" s="49"/>
      <c r="C79" s="8"/>
      <c r="D79" s="8"/>
      <c r="E79" s="5"/>
    </row>
    <row r="80" spans="1:5" ht="15.6">
      <c r="A80" s="6"/>
      <c r="B80" s="49"/>
      <c r="C80" s="8"/>
      <c r="D80" s="8"/>
      <c r="E80" s="5"/>
    </row>
    <row r="81" spans="1:5" ht="15.6">
      <c r="A81" s="6"/>
      <c r="B81" s="49"/>
      <c r="C81" s="8"/>
      <c r="D81" s="8"/>
      <c r="E81" s="5"/>
    </row>
    <row r="82" spans="1:5" ht="15.6">
      <c r="A82" s="6"/>
      <c r="B82" s="49"/>
      <c r="C82" s="8"/>
      <c r="D82" s="8"/>
      <c r="E82" s="5"/>
    </row>
    <row r="83" spans="1:5" ht="15.6">
      <c r="A83" s="6"/>
      <c r="B83" s="49"/>
      <c r="C83" s="8"/>
      <c r="D83" s="8"/>
      <c r="E83" s="5"/>
    </row>
    <row r="84" spans="1:5" ht="15.6">
      <c r="A84" s="6"/>
      <c r="B84" s="49"/>
      <c r="C84" s="8"/>
      <c r="D84" s="8"/>
      <c r="E84" s="5"/>
    </row>
    <row r="85" spans="1:5" ht="15.6">
      <c r="A85" s="6"/>
      <c r="B85" s="49"/>
      <c r="C85" s="8"/>
      <c r="D85" s="8"/>
      <c r="E85" s="5"/>
    </row>
    <row r="86" spans="1:5" ht="15.6">
      <c r="A86" s="6"/>
      <c r="B86" s="49"/>
      <c r="C86" s="8"/>
      <c r="D86" s="8"/>
      <c r="E86" s="5"/>
    </row>
    <row r="87" spans="1:5" ht="15.6">
      <c r="A87" s="6"/>
      <c r="B87" s="49"/>
      <c r="C87" s="8"/>
      <c r="D87" s="8"/>
      <c r="E87" s="5"/>
    </row>
    <row r="88" spans="1:5" ht="15.6">
      <c r="A88" s="6"/>
      <c r="B88" s="49"/>
      <c r="C88" s="8"/>
      <c r="D88" s="8"/>
      <c r="E88" s="5"/>
    </row>
    <row r="89" spans="1:5" ht="15.6">
      <c r="A89" s="6"/>
      <c r="B89" s="49"/>
      <c r="C89" s="8"/>
      <c r="D89" s="8"/>
      <c r="E89" s="5"/>
    </row>
    <row r="90" spans="1:5" ht="15.6">
      <c r="A90" s="6"/>
      <c r="B90" s="49"/>
      <c r="C90" s="8"/>
      <c r="D90" s="8"/>
      <c r="E90" s="5"/>
    </row>
    <row r="91" spans="1:5" ht="15.6">
      <c r="A91" s="6"/>
      <c r="B91" s="49"/>
      <c r="C91" s="8"/>
      <c r="D91" s="8"/>
      <c r="E91" s="5"/>
    </row>
    <row r="92" spans="1:5" ht="15.6">
      <c r="A92" s="6"/>
      <c r="B92" s="49"/>
      <c r="C92" s="8"/>
      <c r="D92" s="8"/>
      <c r="E92" s="5"/>
    </row>
    <row r="93" spans="1:5" ht="15.6">
      <c r="A93" s="6"/>
      <c r="B93" s="49"/>
      <c r="C93" s="8"/>
      <c r="D93" s="8"/>
      <c r="E93" s="5"/>
    </row>
    <row r="94" spans="1:5" ht="15.6">
      <c r="A94" s="6"/>
      <c r="B94" s="49"/>
      <c r="C94" s="8"/>
      <c r="D94" s="8"/>
      <c r="E94" s="5"/>
    </row>
    <row r="95" spans="1:5" ht="15.6">
      <c r="A95" s="6"/>
      <c r="B95" s="49"/>
      <c r="C95" s="8"/>
      <c r="D95" s="8"/>
      <c r="E95" s="5"/>
    </row>
    <row r="96" spans="1:5" ht="15.6">
      <c r="A96" s="6"/>
      <c r="B96" s="49"/>
      <c r="C96" s="8"/>
      <c r="D96" s="8"/>
      <c r="E96" s="5"/>
    </row>
    <row r="97" spans="1:5" ht="15.6">
      <c r="A97" s="6"/>
      <c r="B97" s="49"/>
      <c r="C97" s="8"/>
      <c r="D97" s="8"/>
      <c r="E97" s="5"/>
    </row>
    <row r="98" spans="1:5" ht="15.6">
      <c r="A98" s="6"/>
      <c r="B98" s="49"/>
      <c r="C98" s="8"/>
      <c r="D98" s="8"/>
      <c r="E98" s="5"/>
    </row>
    <row r="99" spans="1:5" ht="15.6">
      <c r="A99" s="6"/>
      <c r="B99" s="49"/>
      <c r="C99" s="8"/>
      <c r="D99" s="8"/>
      <c r="E99" s="5"/>
    </row>
    <row r="100" spans="1:5" ht="15.6">
      <c r="A100" s="6"/>
      <c r="B100" s="49"/>
      <c r="C100" s="8"/>
      <c r="D100" s="8"/>
      <c r="E100" s="5"/>
    </row>
  </sheetData>
  <mergeCells count="3">
    <mergeCell ref="A1:E1"/>
    <mergeCell ref="C6:E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DC8B-11D1-4881-98C4-621DB20FA439}">
  <sheetPr>
    <tabColor rgb="FF00B050"/>
  </sheetPr>
  <dimension ref="A1:O100"/>
  <sheetViews>
    <sheetView topLeftCell="C1" workbookViewId="0">
      <selection activeCell="E10" sqref="A10:E10"/>
    </sheetView>
  </sheetViews>
  <sheetFormatPr defaultRowHeight="14.4"/>
  <cols>
    <col min="1" max="1" width="94.5546875" bestFit="1" customWidth="1"/>
    <col min="2" max="2" width="38.88671875" style="9" bestFit="1" customWidth="1"/>
    <col min="3" max="3" width="28.6640625" customWidth="1"/>
    <col min="4" max="4" width="25.6640625" bestFit="1" customWidth="1"/>
    <col min="5" max="5" width="41.6640625" style="3" bestFit="1" customWidth="1"/>
    <col min="6" max="6" width="8.77734375" customWidth="1"/>
    <col min="7" max="7" width="11.5546875" bestFit="1" customWidth="1"/>
    <col min="8" max="8" width="17.109375" bestFit="1" customWidth="1"/>
    <col min="9" max="9" width="17.6640625" bestFit="1" customWidth="1"/>
    <col min="10" max="10" width="18.5546875" bestFit="1" customWidth="1"/>
    <col min="11" max="13" width="16.5546875" bestFit="1" customWidth="1"/>
    <col min="14" max="14" width="18.5546875" bestFit="1" customWidth="1"/>
    <col min="15" max="15" width="15.44140625" bestFit="1" customWidth="1"/>
    <col min="16" max="21" width="8.77734375" customWidth="1"/>
  </cols>
  <sheetData>
    <row r="1" spans="1:15" ht="15.6">
      <c r="A1" s="91" t="s">
        <v>0</v>
      </c>
      <c r="B1" s="92"/>
      <c r="C1" s="92"/>
      <c r="D1" s="92"/>
      <c r="E1" s="92"/>
    </row>
    <row r="2" spans="1:15" ht="16.2" thickBot="1">
      <c r="A2" s="1"/>
      <c r="B2" s="2"/>
      <c r="C2" s="9"/>
      <c r="D2" s="26"/>
    </row>
    <row r="3" spans="1:15" ht="16.2" thickBot="1">
      <c r="A3" s="1"/>
      <c r="B3" s="4" t="s">
        <v>1</v>
      </c>
      <c r="G3" s="14" t="s">
        <v>220</v>
      </c>
      <c r="H3" s="17" t="s">
        <v>221</v>
      </c>
      <c r="I3" s="17" t="s">
        <v>8</v>
      </c>
      <c r="J3" s="17" t="s">
        <v>9</v>
      </c>
      <c r="K3" s="17" t="s">
        <v>10</v>
      </c>
      <c r="L3" s="17" t="s">
        <v>11</v>
      </c>
      <c r="M3" s="17" t="s">
        <v>12</v>
      </c>
      <c r="N3" s="17" t="s">
        <v>222</v>
      </c>
      <c r="O3" s="17" t="s">
        <v>13</v>
      </c>
    </row>
    <row r="4" spans="1:15" ht="16.2" thickBot="1">
      <c r="A4" s="42" t="s">
        <v>2</v>
      </c>
      <c r="B4" s="43">
        <f>SUM(B5:B100)</f>
        <v>16654768.629999999</v>
      </c>
      <c r="C4" s="44" t="s">
        <v>3</v>
      </c>
      <c r="D4" s="44" t="s">
        <v>5</v>
      </c>
      <c r="E4" s="45" t="s">
        <v>4</v>
      </c>
      <c r="G4" s="82">
        <v>3209</v>
      </c>
      <c r="H4" s="84">
        <v>2739236.21</v>
      </c>
      <c r="I4" s="84">
        <f>H4*4.8%</f>
        <v>131483.33807999999</v>
      </c>
      <c r="J4" s="84">
        <f>H4*0.65%</f>
        <v>17805.035365</v>
      </c>
      <c r="K4" s="84">
        <f>H4*3%</f>
        <v>82177.086299999995</v>
      </c>
      <c r="L4" s="84">
        <f>H4*1%</f>
        <v>27392.362099999998</v>
      </c>
      <c r="M4" s="84">
        <f>H4*2%</f>
        <v>54784.724199999997</v>
      </c>
      <c r="N4" s="84">
        <f>H4*11%</f>
        <v>301315.98310000001</v>
      </c>
      <c r="O4" s="84">
        <f>H4-I4-J4-K4-L4-M4-N4</f>
        <v>2124277.6808549999</v>
      </c>
    </row>
    <row r="5" spans="1:15" ht="16.2" thickBot="1">
      <c r="A5" s="57" t="s">
        <v>211</v>
      </c>
      <c r="B5" s="80">
        <v>9336.51</v>
      </c>
      <c r="C5" s="93" t="s">
        <v>22</v>
      </c>
      <c r="D5" s="94"/>
      <c r="E5" s="95"/>
      <c r="G5" s="82">
        <v>3210</v>
      </c>
      <c r="H5" s="84">
        <v>368065.59</v>
      </c>
      <c r="I5" s="84">
        <f t="shared" ref="I5:I11" si="0">H5*4.8%</f>
        <v>17667.14832</v>
      </c>
      <c r="J5" s="84">
        <f t="shared" ref="J5:J11" si="1">H5*0.65%</f>
        <v>2392.4263350000006</v>
      </c>
      <c r="K5" s="84">
        <f t="shared" ref="K5:K11" si="2">H5*3%</f>
        <v>11041.967700000001</v>
      </c>
      <c r="L5" s="84">
        <f t="shared" ref="L5:L11" si="3">H5*1%</f>
        <v>3680.6559000000002</v>
      </c>
      <c r="M5" s="84">
        <f t="shared" ref="M5:M6" si="4">H5*2%</f>
        <v>7361.3118000000004</v>
      </c>
      <c r="N5" s="84">
        <f>H5*11%</f>
        <v>40487.214900000006</v>
      </c>
      <c r="O5" s="84">
        <f t="shared" ref="O5:O11" si="5">H5-I5-J5-K5-L5-M5-N5</f>
        <v>285434.86504499998</v>
      </c>
    </row>
    <row r="6" spans="1:15" ht="16.2" thickBot="1">
      <c r="A6" s="57" t="s">
        <v>18</v>
      </c>
      <c r="B6" s="80">
        <v>12600000</v>
      </c>
      <c r="C6" s="93" t="s">
        <v>22</v>
      </c>
      <c r="D6" s="94"/>
      <c r="E6" s="95"/>
      <c r="G6" s="82">
        <v>3211</v>
      </c>
      <c r="H6" s="84">
        <v>935907.5</v>
      </c>
      <c r="I6" s="84">
        <f t="shared" si="0"/>
        <v>44923.56</v>
      </c>
      <c r="J6" s="84">
        <f t="shared" si="1"/>
        <v>6083.3987500000003</v>
      </c>
      <c r="K6" s="84">
        <f t="shared" si="2"/>
        <v>28077.224999999999</v>
      </c>
      <c r="L6" s="84">
        <f t="shared" si="3"/>
        <v>9359.0750000000007</v>
      </c>
      <c r="M6" s="84">
        <f t="shared" si="4"/>
        <v>18718.150000000001</v>
      </c>
      <c r="N6" s="84">
        <f t="shared" ref="N6:N11" si="6">H6*11%</f>
        <v>102949.825</v>
      </c>
      <c r="O6" s="84">
        <f t="shared" si="5"/>
        <v>725796.26624999999</v>
      </c>
    </row>
    <row r="7" spans="1:15" ht="16.2" thickBot="1">
      <c r="A7" s="59" t="s">
        <v>115</v>
      </c>
      <c r="B7" s="81">
        <v>509526.94</v>
      </c>
      <c r="C7" s="61" t="s">
        <v>26</v>
      </c>
      <c r="D7" s="61" t="s">
        <v>213</v>
      </c>
      <c r="E7" s="62" t="s">
        <v>106</v>
      </c>
      <c r="G7" s="82">
        <v>4856</v>
      </c>
      <c r="H7" s="84">
        <v>136596.12</v>
      </c>
      <c r="I7" s="84">
        <f t="shared" si="0"/>
        <v>6556.6137600000002</v>
      </c>
      <c r="J7" s="84">
        <f t="shared" si="1"/>
        <v>887.8747800000001</v>
      </c>
      <c r="K7" s="84">
        <f t="shared" si="2"/>
        <v>4097.8836000000001</v>
      </c>
      <c r="L7" s="84">
        <f t="shared" si="3"/>
        <v>1365.9612</v>
      </c>
      <c r="M7" s="84">
        <v>0</v>
      </c>
      <c r="N7" s="84">
        <f t="shared" si="6"/>
        <v>15025.573199999999</v>
      </c>
      <c r="O7" s="84">
        <f t="shared" si="5"/>
        <v>108662.21345999998</v>
      </c>
    </row>
    <row r="8" spans="1:15" ht="16.2" thickBot="1">
      <c r="A8" s="59" t="s">
        <v>115</v>
      </c>
      <c r="B8" s="81">
        <v>15529.01</v>
      </c>
      <c r="C8" s="61" t="s">
        <v>26</v>
      </c>
      <c r="D8" s="61" t="s">
        <v>214</v>
      </c>
      <c r="E8" s="62" t="s">
        <v>216</v>
      </c>
      <c r="G8" s="82">
        <v>4857</v>
      </c>
      <c r="H8" s="84">
        <v>110961.94</v>
      </c>
      <c r="I8" s="84">
        <f t="shared" si="0"/>
        <v>5326.1731200000004</v>
      </c>
      <c r="J8" s="84">
        <f t="shared" si="1"/>
        <v>721.25261000000012</v>
      </c>
      <c r="K8" s="84">
        <f t="shared" si="2"/>
        <v>3328.8582000000001</v>
      </c>
      <c r="L8" s="84">
        <f t="shared" si="3"/>
        <v>1109.6194</v>
      </c>
      <c r="M8" s="84">
        <v>0</v>
      </c>
      <c r="N8" s="84">
        <f t="shared" si="6"/>
        <v>12205.813400000001</v>
      </c>
      <c r="O8" s="84">
        <f t="shared" si="5"/>
        <v>88270.223270000002</v>
      </c>
    </row>
    <row r="9" spans="1:15" ht="16.2" thickBot="1">
      <c r="A9" s="59" t="s">
        <v>115</v>
      </c>
      <c r="B9" s="81">
        <v>1505.72</v>
      </c>
      <c r="C9" s="61" t="s">
        <v>26</v>
      </c>
      <c r="D9" s="61" t="s">
        <v>215</v>
      </c>
      <c r="E9" s="62" t="s">
        <v>216</v>
      </c>
      <c r="G9" s="82">
        <v>70</v>
      </c>
      <c r="H9" s="84">
        <v>29398.639999999999</v>
      </c>
      <c r="I9" s="84">
        <f t="shared" si="0"/>
        <v>1411.13472</v>
      </c>
      <c r="J9" s="84">
        <f t="shared" si="1"/>
        <v>191.09116</v>
      </c>
      <c r="K9" s="84">
        <f t="shared" si="2"/>
        <v>881.9591999999999</v>
      </c>
      <c r="L9" s="84">
        <f t="shared" si="3"/>
        <v>293.9864</v>
      </c>
      <c r="M9" s="84">
        <v>0</v>
      </c>
      <c r="N9" s="84">
        <f t="shared" si="6"/>
        <v>3233.8503999999998</v>
      </c>
      <c r="O9" s="84">
        <f t="shared" si="5"/>
        <v>23386.618119999996</v>
      </c>
    </row>
    <row r="10" spans="1:15" ht="16.2" thickBot="1">
      <c r="A10" s="59" t="s">
        <v>212</v>
      </c>
      <c r="B10" s="81">
        <v>3505773.19</v>
      </c>
      <c r="C10" s="61" t="s">
        <v>26</v>
      </c>
      <c r="D10" s="61" t="s">
        <v>219</v>
      </c>
      <c r="E10" s="62" t="s">
        <v>223</v>
      </c>
      <c r="G10" s="82">
        <v>70</v>
      </c>
      <c r="H10" s="84">
        <v>78784.77</v>
      </c>
      <c r="I10" s="84">
        <f t="shared" si="0"/>
        <v>3781.6689600000004</v>
      </c>
      <c r="J10" s="84">
        <f t="shared" si="1"/>
        <v>512.1010050000001</v>
      </c>
      <c r="K10" s="84">
        <f t="shared" si="2"/>
        <v>2363.5430999999999</v>
      </c>
      <c r="L10" s="84">
        <f t="shared" si="3"/>
        <v>787.84770000000003</v>
      </c>
      <c r="M10" s="84">
        <v>0</v>
      </c>
      <c r="N10" s="84">
        <f t="shared" si="6"/>
        <v>8666.324700000001</v>
      </c>
      <c r="O10" s="84">
        <f t="shared" si="5"/>
        <v>62673.284535000013</v>
      </c>
    </row>
    <row r="11" spans="1:15" ht="16.2" thickBot="1">
      <c r="A11" s="59" t="s">
        <v>217</v>
      </c>
      <c r="B11" s="81">
        <v>13097.26</v>
      </c>
      <c r="C11" s="61" t="s">
        <v>26</v>
      </c>
      <c r="D11" s="61" t="s">
        <v>218</v>
      </c>
      <c r="E11" s="62" t="s">
        <v>33</v>
      </c>
      <c r="G11" s="82">
        <v>71</v>
      </c>
      <c r="H11" s="84">
        <v>109707.12</v>
      </c>
      <c r="I11" s="84">
        <f t="shared" si="0"/>
        <v>5265.9417599999997</v>
      </c>
      <c r="J11" s="84">
        <f t="shared" si="1"/>
        <v>713.09627999999998</v>
      </c>
      <c r="K11" s="84">
        <f t="shared" si="2"/>
        <v>3291.2135999999996</v>
      </c>
      <c r="L11" s="84">
        <f t="shared" si="3"/>
        <v>1097.0712000000001</v>
      </c>
      <c r="M11" s="84">
        <v>0</v>
      </c>
      <c r="N11" s="84">
        <f t="shared" si="6"/>
        <v>12067.7832</v>
      </c>
      <c r="O11" s="84">
        <f t="shared" si="5"/>
        <v>87272.013959999982</v>
      </c>
    </row>
    <row r="12" spans="1:15" ht="16.2" thickBot="1">
      <c r="A12" s="6"/>
      <c r="B12" s="49"/>
      <c r="C12" s="8"/>
      <c r="D12" s="8"/>
      <c r="E12" s="5"/>
      <c r="G12" s="14" t="s">
        <v>14</v>
      </c>
      <c r="H12" s="88">
        <f t="shared" ref="H12:O12" si="7">SUM(H4:H11)</f>
        <v>4508657.8899999997</v>
      </c>
      <c r="I12" s="88">
        <f t="shared" si="7"/>
        <v>216415.57871999999</v>
      </c>
      <c r="J12" s="88">
        <f t="shared" si="7"/>
        <v>29306.276285</v>
      </c>
      <c r="K12" s="88">
        <f t="shared" si="7"/>
        <v>135259.73670000001</v>
      </c>
      <c r="L12" s="88">
        <f t="shared" si="7"/>
        <v>45086.5789</v>
      </c>
      <c r="M12" s="88">
        <f t="shared" si="7"/>
        <v>80864.186000000002</v>
      </c>
      <c r="N12" s="88">
        <f t="shared" si="7"/>
        <v>495952.36790000001</v>
      </c>
      <c r="O12" s="88">
        <f t="shared" si="7"/>
        <v>3505773.1654949994</v>
      </c>
    </row>
    <row r="13" spans="1:15" ht="15.6">
      <c r="A13" s="6"/>
      <c r="B13" s="49"/>
      <c r="C13" s="8"/>
      <c r="D13" s="8"/>
      <c r="E13" s="5"/>
    </row>
    <row r="14" spans="1:15" ht="15.6">
      <c r="A14" s="6"/>
      <c r="B14" s="49"/>
      <c r="C14" s="8"/>
      <c r="D14" s="8"/>
      <c r="E14" s="5"/>
    </row>
    <row r="15" spans="1:15" ht="15.6">
      <c r="A15" s="6"/>
      <c r="B15" s="49"/>
      <c r="C15" s="8"/>
      <c r="D15" s="8"/>
      <c r="E15" s="5"/>
    </row>
    <row r="16" spans="1:15" ht="15.6">
      <c r="A16" s="6"/>
      <c r="B16" s="49"/>
      <c r="C16" s="8"/>
      <c r="D16" s="8"/>
      <c r="E16" s="5"/>
    </row>
    <row r="17" spans="1:8" ht="15.6">
      <c r="A17" s="6"/>
      <c r="B17" s="49"/>
      <c r="C17" s="8"/>
      <c r="D17" s="8"/>
      <c r="E17" s="5"/>
    </row>
    <row r="18" spans="1:8" ht="15.6">
      <c r="A18" s="6"/>
      <c r="B18" s="49"/>
      <c r="C18" s="8"/>
      <c r="D18" s="8"/>
      <c r="E18" s="5"/>
    </row>
    <row r="19" spans="1:8" ht="15.6">
      <c r="A19" s="6"/>
      <c r="B19" s="49"/>
      <c r="C19" s="8"/>
      <c r="D19" s="8"/>
      <c r="E19" s="5"/>
    </row>
    <row r="20" spans="1:8" ht="15.6">
      <c r="A20" s="6"/>
      <c r="B20" s="49"/>
      <c r="C20" s="8"/>
      <c r="D20" s="8"/>
      <c r="E20" s="5"/>
      <c r="H20" s="50"/>
    </row>
    <row r="21" spans="1:8" ht="15.6">
      <c r="A21" s="6"/>
      <c r="B21" s="49"/>
      <c r="C21" s="8"/>
      <c r="D21" s="8"/>
      <c r="E21" s="5"/>
      <c r="H21" s="50"/>
    </row>
    <row r="22" spans="1:8" ht="15.6">
      <c r="A22" s="6"/>
      <c r="B22" s="49"/>
      <c r="C22" s="8"/>
      <c r="D22" s="8"/>
      <c r="E22" s="5"/>
      <c r="H22" s="50"/>
    </row>
    <row r="23" spans="1:8" ht="15.6">
      <c r="A23" s="6"/>
      <c r="B23" s="49"/>
      <c r="C23" s="8"/>
      <c r="D23" s="8"/>
      <c r="E23" s="5"/>
    </row>
    <row r="24" spans="1:8" ht="15.6">
      <c r="A24" s="6"/>
      <c r="B24" s="49"/>
      <c r="C24" s="8"/>
      <c r="D24" s="8"/>
      <c r="E24" s="5"/>
    </row>
    <row r="25" spans="1:8" ht="15.6">
      <c r="A25" s="6"/>
      <c r="B25" s="49"/>
      <c r="C25" s="8"/>
      <c r="D25" s="8"/>
      <c r="E25" s="5"/>
    </row>
    <row r="26" spans="1:8" ht="15.6">
      <c r="A26" s="6"/>
      <c r="B26" s="49"/>
      <c r="C26" s="8"/>
      <c r="D26" s="8"/>
      <c r="E26" s="5"/>
    </row>
    <row r="27" spans="1:8" ht="15.6">
      <c r="A27" s="6"/>
      <c r="B27" s="49"/>
      <c r="C27" s="8"/>
      <c r="D27" s="8"/>
      <c r="E27" s="5"/>
    </row>
    <row r="28" spans="1:8" ht="15.6">
      <c r="A28" s="6"/>
      <c r="B28" s="49"/>
      <c r="C28" s="8"/>
      <c r="D28" s="8"/>
      <c r="E28" s="5"/>
    </row>
    <row r="29" spans="1:8" ht="15.6">
      <c r="A29" s="6"/>
      <c r="B29" s="49"/>
      <c r="C29" s="8"/>
      <c r="D29" s="8"/>
      <c r="E29" s="5"/>
    </row>
    <row r="30" spans="1:8" ht="15.6">
      <c r="A30" s="6"/>
      <c r="B30" s="49"/>
      <c r="C30" s="8"/>
      <c r="D30" s="8"/>
      <c r="E30" s="5"/>
    </row>
    <row r="31" spans="1:8" ht="15.6">
      <c r="A31" s="6"/>
      <c r="B31" s="49"/>
      <c r="C31" s="8"/>
      <c r="D31" s="8"/>
      <c r="E31" s="5"/>
    </row>
    <row r="32" spans="1:8" ht="15.6">
      <c r="A32" s="6"/>
      <c r="B32" s="49"/>
      <c r="C32" s="8"/>
      <c r="D32" s="8"/>
      <c r="E32" s="5"/>
    </row>
    <row r="33" spans="1:5" ht="15.6">
      <c r="A33" s="6"/>
      <c r="B33" s="49"/>
      <c r="C33" s="8"/>
      <c r="D33" s="8"/>
      <c r="E33" s="5"/>
    </row>
    <row r="34" spans="1:5" ht="15.6">
      <c r="A34" s="6"/>
      <c r="B34" s="49"/>
      <c r="C34" s="8"/>
      <c r="D34" s="8"/>
      <c r="E34" s="5"/>
    </row>
    <row r="35" spans="1:5" ht="15.6">
      <c r="A35" s="6"/>
      <c r="B35" s="49"/>
      <c r="C35" s="8"/>
      <c r="D35" s="8"/>
      <c r="E35" s="5"/>
    </row>
    <row r="36" spans="1:5" ht="15.6">
      <c r="A36" s="6"/>
      <c r="B36" s="49"/>
      <c r="C36" s="8"/>
      <c r="D36" s="8"/>
      <c r="E36" s="5"/>
    </row>
    <row r="37" spans="1:5" ht="15.6">
      <c r="A37" s="6"/>
      <c r="B37" s="49"/>
      <c r="C37" s="8"/>
      <c r="D37" s="8"/>
      <c r="E37" s="5"/>
    </row>
    <row r="38" spans="1:5" ht="15.6">
      <c r="A38" s="6"/>
      <c r="B38" s="49"/>
      <c r="C38" s="8"/>
      <c r="D38" s="8"/>
      <c r="E38" s="5"/>
    </row>
    <row r="39" spans="1:5" ht="15.6">
      <c r="A39" s="6"/>
      <c r="B39" s="49"/>
      <c r="C39" s="8"/>
      <c r="D39" s="8"/>
      <c r="E39" s="5"/>
    </row>
    <row r="40" spans="1:5" ht="15.6">
      <c r="A40" s="6"/>
      <c r="B40" s="49"/>
      <c r="C40" s="8"/>
      <c r="D40" s="8"/>
      <c r="E40" s="5"/>
    </row>
    <row r="41" spans="1:5" ht="15.6">
      <c r="A41" s="6"/>
      <c r="B41" s="49"/>
      <c r="C41" s="8"/>
      <c r="D41" s="8"/>
      <c r="E41" s="5"/>
    </row>
    <row r="42" spans="1:5" ht="15.6">
      <c r="A42" s="6"/>
      <c r="B42" s="49"/>
      <c r="C42" s="8"/>
      <c r="D42" s="8"/>
      <c r="E42" s="5"/>
    </row>
    <row r="43" spans="1:5" ht="15.6">
      <c r="A43" s="6"/>
      <c r="B43" s="49"/>
      <c r="C43" s="8"/>
      <c r="D43" s="8"/>
      <c r="E43" s="5"/>
    </row>
    <row r="44" spans="1:5" ht="15.6">
      <c r="A44" s="6"/>
      <c r="B44" s="49"/>
      <c r="C44" s="8"/>
      <c r="D44" s="8"/>
      <c r="E44" s="5"/>
    </row>
    <row r="45" spans="1:5" ht="15.6">
      <c r="A45" s="6"/>
      <c r="B45" s="49"/>
      <c r="C45" s="8"/>
      <c r="D45" s="8"/>
      <c r="E45" s="5"/>
    </row>
    <row r="46" spans="1:5" ht="15.6">
      <c r="A46" s="6"/>
      <c r="B46" s="49"/>
      <c r="C46" s="8"/>
      <c r="D46" s="8"/>
      <c r="E46" s="5"/>
    </row>
    <row r="47" spans="1:5" ht="15.6">
      <c r="A47" s="6"/>
      <c r="B47" s="49"/>
      <c r="C47" s="8"/>
      <c r="D47" s="8"/>
      <c r="E47" s="5"/>
    </row>
    <row r="48" spans="1:5" ht="15.6">
      <c r="A48" s="6"/>
      <c r="B48" s="49"/>
      <c r="C48" s="8"/>
      <c r="D48" s="8"/>
      <c r="E48" s="5"/>
    </row>
    <row r="49" spans="1:5" ht="15.6">
      <c r="A49" s="6"/>
      <c r="B49" s="49"/>
      <c r="C49" s="8"/>
      <c r="D49" s="8"/>
      <c r="E49" s="5"/>
    </row>
    <row r="50" spans="1:5" ht="15.6">
      <c r="A50" s="6"/>
      <c r="B50" s="49"/>
      <c r="C50" s="8"/>
      <c r="D50" s="8"/>
      <c r="E50" s="5"/>
    </row>
    <row r="51" spans="1:5" ht="15.6">
      <c r="A51" s="6"/>
      <c r="B51" s="49"/>
      <c r="C51" s="8"/>
      <c r="D51" s="8"/>
      <c r="E51" s="5"/>
    </row>
    <row r="52" spans="1:5" ht="15.6">
      <c r="A52" s="6"/>
      <c r="B52" s="49"/>
      <c r="C52" s="8"/>
      <c r="D52" s="8"/>
      <c r="E52" s="5"/>
    </row>
    <row r="53" spans="1:5" ht="15.6">
      <c r="A53" s="6"/>
      <c r="B53" s="49"/>
      <c r="C53" s="8"/>
      <c r="D53" s="8"/>
      <c r="E53" s="5"/>
    </row>
    <row r="54" spans="1:5" ht="15.6">
      <c r="A54" s="6"/>
      <c r="B54" s="49"/>
      <c r="C54" s="8"/>
      <c r="D54" s="8"/>
      <c r="E54" s="5"/>
    </row>
    <row r="55" spans="1:5" ht="15.6">
      <c r="A55" s="6"/>
      <c r="B55" s="49"/>
      <c r="C55" s="8"/>
      <c r="D55" s="8"/>
      <c r="E55" s="5"/>
    </row>
    <row r="56" spans="1:5" ht="15.6">
      <c r="A56" s="6"/>
      <c r="B56" s="49"/>
      <c r="C56" s="8"/>
      <c r="D56" s="8"/>
      <c r="E56" s="5"/>
    </row>
    <row r="57" spans="1:5" ht="15.6">
      <c r="A57" s="6"/>
      <c r="B57" s="49"/>
      <c r="C57" s="8"/>
      <c r="D57" s="8"/>
      <c r="E57" s="5"/>
    </row>
    <row r="58" spans="1:5" ht="15.6">
      <c r="A58" s="6"/>
      <c r="B58" s="49"/>
      <c r="C58" s="8"/>
      <c r="D58" s="8"/>
      <c r="E58" s="5"/>
    </row>
    <row r="59" spans="1:5" ht="15.6">
      <c r="A59" s="6"/>
      <c r="B59" s="49"/>
      <c r="C59" s="8"/>
      <c r="D59" s="8"/>
      <c r="E59" s="5"/>
    </row>
    <row r="60" spans="1:5" ht="15.6">
      <c r="A60" s="6"/>
      <c r="B60" s="49"/>
      <c r="C60" s="8"/>
      <c r="D60" s="8"/>
      <c r="E60" s="5"/>
    </row>
    <row r="61" spans="1:5" ht="15.6">
      <c r="A61" s="6"/>
      <c r="B61" s="49"/>
      <c r="C61" s="8"/>
      <c r="D61" s="8"/>
      <c r="E61" s="5"/>
    </row>
    <row r="62" spans="1:5" ht="15.6">
      <c r="A62" s="6"/>
      <c r="B62" s="49"/>
      <c r="C62" s="8"/>
      <c r="D62" s="8"/>
      <c r="E62" s="5"/>
    </row>
    <row r="63" spans="1:5" ht="15.6">
      <c r="A63" s="6"/>
      <c r="B63" s="49"/>
      <c r="C63" s="8"/>
      <c r="D63" s="8"/>
      <c r="E63" s="5"/>
    </row>
    <row r="64" spans="1:5" ht="15.6">
      <c r="A64" s="6"/>
      <c r="B64" s="49"/>
      <c r="C64" s="8"/>
      <c r="D64" s="8"/>
      <c r="E64" s="5"/>
    </row>
    <row r="65" spans="1:5" ht="15.6">
      <c r="A65" s="6"/>
      <c r="B65" s="49"/>
      <c r="C65" s="8"/>
      <c r="D65" s="8"/>
      <c r="E65" s="5"/>
    </row>
    <row r="66" spans="1:5" ht="15.6">
      <c r="A66" s="6"/>
      <c r="B66" s="49"/>
      <c r="C66" s="8"/>
      <c r="D66" s="8"/>
      <c r="E66" s="5"/>
    </row>
    <row r="67" spans="1:5" ht="15.6">
      <c r="A67" s="6"/>
      <c r="B67" s="49"/>
      <c r="C67" s="8"/>
      <c r="D67" s="8"/>
      <c r="E67" s="5"/>
    </row>
    <row r="68" spans="1:5" ht="15.6">
      <c r="A68" s="6"/>
      <c r="B68" s="49"/>
      <c r="C68" s="8"/>
      <c r="D68" s="8"/>
      <c r="E68" s="5"/>
    </row>
    <row r="69" spans="1:5" ht="15.6">
      <c r="A69" s="6"/>
      <c r="B69" s="49"/>
      <c r="C69" s="8"/>
      <c r="D69" s="8"/>
      <c r="E69" s="5"/>
    </row>
    <row r="70" spans="1:5" ht="15.6">
      <c r="A70" s="6"/>
      <c r="B70" s="49"/>
      <c r="C70" s="8"/>
      <c r="D70" s="8"/>
      <c r="E70" s="5"/>
    </row>
    <row r="71" spans="1:5" ht="15.6">
      <c r="A71" s="6"/>
      <c r="B71" s="49"/>
      <c r="C71" s="8"/>
      <c r="D71" s="8"/>
      <c r="E71" s="5"/>
    </row>
    <row r="72" spans="1:5" ht="15.6">
      <c r="A72" s="6"/>
      <c r="B72" s="49"/>
      <c r="C72" s="8"/>
      <c r="D72" s="8"/>
      <c r="E72" s="5"/>
    </row>
    <row r="73" spans="1:5" ht="15.6">
      <c r="A73" s="6"/>
      <c r="B73" s="49"/>
      <c r="C73" s="8"/>
      <c r="D73" s="8"/>
      <c r="E73" s="5"/>
    </row>
    <row r="74" spans="1:5" ht="15.6">
      <c r="A74" s="6"/>
      <c r="B74" s="49"/>
      <c r="C74" s="8"/>
      <c r="D74" s="8"/>
      <c r="E74" s="5"/>
    </row>
    <row r="75" spans="1:5" ht="15.6">
      <c r="A75" s="6"/>
      <c r="B75" s="49"/>
      <c r="C75" s="8"/>
      <c r="D75" s="8"/>
      <c r="E75" s="5"/>
    </row>
    <row r="76" spans="1:5" ht="15.6">
      <c r="A76" s="6"/>
      <c r="B76" s="49"/>
      <c r="C76" s="8"/>
      <c r="D76" s="8"/>
      <c r="E76" s="5"/>
    </row>
    <row r="77" spans="1:5" ht="15.6">
      <c r="A77" s="6"/>
      <c r="B77" s="49"/>
      <c r="C77" s="8"/>
      <c r="D77" s="8"/>
      <c r="E77" s="5"/>
    </row>
    <row r="78" spans="1:5" ht="15.6">
      <c r="A78" s="6"/>
      <c r="B78" s="49"/>
      <c r="C78" s="8"/>
      <c r="D78" s="8"/>
      <c r="E78" s="5"/>
    </row>
    <row r="79" spans="1:5" ht="15.6">
      <c r="A79" s="6"/>
      <c r="B79" s="49"/>
      <c r="C79" s="8"/>
      <c r="D79" s="8"/>
      <c r="E79" s="5"/>
    </row>
    <row r="80" spans="1:5" ht="15.6">
      <c r="A80" s="6"/>
      <c r="B80" s="49"/>
      <c r="C80" s="8"/>
      <c r="D80" s="8"/>
      <c r="E80" s="5"/>
    </row>
    <row r="81" spans="1:5" ht="15.6">
      <c r="A81" s="6"/>
      <c r="B81" s="49"/>
      <c r="C81" s="8"/>
      <c r="D81" s="8"/>
      <c r="E81" s="5"/>
    </row>
    <row r="82" spans="1:5" ht="15.6">
      <c r="A82" s="6"/>
      <c r="B82" s="49"/>
      <c r="C82" s="8"/>
      <c r="D82" s="8"/>
      <c r="E82" s="5"/>
    </row>
    <row r="83" spans="1:5" ht="15.6">
      <c r="A83" s="6"/>
      <c r="B83" s="49"/>
      <c r="C83" s="8"/>
      <c r="D83" s="8"/>
      <c r="E83" s="5"/>
    </row>
    <row r="84" spans="1:5" ht="15.6">
      <c r="A84" s="6"/>
      <c r="B84" s="49"/>
      <c r="C84" s="8"/>
      <c r="D84" s="8"/>
      <c r="E84" s="5"/>
    </row>
    <row r="85" spans="1:5" ht="15.6">
      <c r="A85" s="6"/>
      <c r="B85" s="49"/>
      <c r="C85" s="8"/>
      <c r="D85" s="8"/>
      <c r="E85" s="5"/>
    </row>
    <row r="86" spans="1:5" ht="15.6">
      <c r="A86" s="6"/>
      <c r="B86" s="49"/>
      <c r="C86" s="8"/>
      <c r="D86" s="8"/>
      <c r="E86" s="5"/>
    </row>
    <row r="87" spans="1:5" ht="15.6">
      <c r="A87" s="6"/>
      <c r="B87" s="49"/>
      <c r="C87" s="8"/>
      <c r="D87" s="8"/>
      <c r="E87" s="5"/>
    </row>
    <row r="88" spans="1:5" ht="15.6">
      <c r="A88" s="6"/>
      <c r="B88" s="49"/>
      <c r="C88" s="8"/>
      <c r="D88" s="8"/>
      <c r="E88" s="5"/>
    </row>
    <row r="89" spans="1:5" ht="15.6">
      <c r="A89" s="6"/>
      <c r="B89" s="49"/>
      <c r="C89" s="8"/>
      <c r="D89" s="8"/>
      <c r="E89" s="5"/>
    </row>
    <row r="90" spans="1:5" ht="15.6">
      <c r="A90" s="6"/>
      <c r="B90" s="49"/>
      <c r="C90" s="8"/>
      <c r="D90" s="8"/>
      <c r="E90" s="5"/>
    </row>
    <row r="91" spans="1:5" ht="15.6">
      <c r="A91" s="6"/>
      <c r="B91" s="49"/>
      <c r="C91" s="8"/>
      <c r="D91" s="8"/>
      <c r="E91" s="5"/>
    </row>
    <row r="92" spans="1:5" ht="15.6">
      <c r="A92" s="6"/>
      <c r="B92" s="49"/>
      <c r="C92" s="8"/>
      <c r="D92" s="8"/>
      <c r="E92" s="5"/>
    </row>
    <row r="93" spans="1:5" ht="15.6">
      <c r="A93" s="6"/>
      <c r="B93" s="49"/>
      <c r="C93" s="8"/>
      <c r="D93" s="8"/>
      <c r="E93" s="5"/>
    </row>
    <row r="94" spans="1:5" ht="15.6">
      <c r="A94" s="6"/>
      <c r="B94" s="49"/>
      <c r="C94" s="8"/>
      <c r="D94" s="8"/>
      <c r="E94" s="5"/>
    </row>
    <row r="95" spans="1:5" ht="15.6">
      <c r="A95" s="6"/>
      <c r="B95" s="49"/>
      <c r="C95" s="8"/>
      <c r="D95" s="8"/>
      <c r="E95" s="5"/>
    </row>
    <row r="96" spans="1:5" ht="15.6">
      <c r="A96" s="6"/>
      <c r="B96" s="49"/>
      <c r="C96" s="8"/>
      <c r="D96" s="8"/>
      <c r="E96" s="5"/>
    </row>
    <row r="97" spans="1:5" ht="15.6">
      <c r="A97" s="6"/>
      <c r="B97" s="49"/>
      <c r="C97" s="8"/>
      <c r="D97" s="8"/>
      <c r="E97" s="5"/>
    </row>
    <row r="98" spans="1:5" ht="15.6">
      <c r="A98" s="6"/>
      <c r="B98" s="49"/>
      <c r="C98" s="8"/>
      <c r="D98" s="8"/>
      <c r="E98" s="5"/>
    </row>
    <row r="99" spans="1:5" ht="15.6">
      <c r="A99" s="6"/>
      <c r="B99" s="49"/>
      <c r="C99" s="8"/>
      <c r="D99" s="8"/>
      <c r="E99" s="5"/>
    </row>
    <row r="100" spans="1:5" ht="15.6">
      <c r="A100" s="6"/>
      <c r="B100" s="49"/>
      <c r="C100" s="8"/>
      <c r="D100" s="8"/>
      <c r="E100" s="5"/>
    </row>
  </sheetData>
  <mergeCells count="3">
    <mergeCell ref="A1:E1"/>
    <mergeCell ref="C6:E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91297-fd6c-4f0d-9129-feb9cbd1c01a">
      <Terms xmlns="http://schemas.microsoft.com/office/infopath/2007/PartnerControls"/>
    </lcf76f155ced4ddcb4097134ff3c332f>
    <TaxCatchAll xmlns="f1e14f21-6b02-41fd-827a-e5136e71e7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4EF061E07E9846B03CB135CC44A76B" ma:contentTypeVersion="21" ma:contentTypeDescription="Criar um novo documento." ma:contentTypeScope="" ma:versionID="44d47543a9e74e1e7dca3f58286da6ed">
  <xsd:schema xmlns:xsd="http://www.w3.org/2001/XMLSchema" xmlns:xs="http://www.w3.org/2001/XMLSchema" xmlns:p="http://schemas.microsoft.com/office/2006/metadata/properties" xmlns:ns2="7ed91297-fd6c-4f0d-9129-feb9cbd1c01a" xmlns:ns3="f1e14f21-6b02-41fd-827a-e5136e71e7e8" targetNamespace="http://schemas.microsoft.com/office/2006/metadata/properties" ma:root="true" ma:fieldsID="dd5f5d5cd940c94ff89d71724ba0c90b" ns2:_="" ns3:_="">
    <xsd:import namespace="7ed91297-fd6c-4f0d-9129-feb9cbd1c01a"/>
    <xsd:import namespace="f1e14f21-6b02-41fd-827a-e5136e71e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91297-fd6c-4f0d-9129-feb9cbd1c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3" nillable="true" ma:displayName="Location" ma:hidden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a07ed397-ddfa-4e13-9ba3-daa1d7001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4f21-6b02-41fd-827a-e5136e71e7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bb254990-de88-4cee-a7e5-23507a2e99ef}" ma:internalName="TaxCatchAll" ma:readOnly="false" ma:showField="CatchAllData" ma:web="f1e14f21-6b02-41fd-827a-e5136e71e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69926A-8459-436E-A9B0-F237F0812C6D}">
  <ds:schemaRefs>
    <ds:schemaRef ds:uri="f1e14f21-6b02-41fd-827a-e5136e71e7e8"/>
    <ds:schemaRef ds:uri="http://purl.org/dc/elements/1.1/"/>
    <ds:schemaRef ds:uri="http://schemas.microsoft.com/office/2006/metadata/properties"/>
    <ds:schemaRef ds:uri="7ed91297-fd6c-4f0d-9129-feb9cbd1c0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E2301D-580C-46A2-A395-553939FF6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003367-F655-4701-816C-6B3062677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91297-fd6c-4f0d-9129-feb9cbd1c01a"/>
    <ds:schemaRef ds:uri="f1e14f21-6b02-41fd-827a-e5136e71e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0e9cc9-ac6f-42b1-bf24-968858a22d9f}" enabled="1" method="Standard" siteId="{ffc0be44-315f-4479-b12f-56afe6eded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01.07.26</vt:lpstr>
      <vt:lpstr>02.07.26</vt:lpstr>
      <vt:lpstr>03.07.26</vt:lpstr>
      <vt:lpstr>06.07.26</vt:lpstr>
      <vt:lpstr>07.07.26</vt:lpstr>
      <vt:lpstr>08.07.26</vt:lpstr>
      <vt:lpstr>09.07.26</vt:lpstr>
      <vt:lpstr>10.07.26</vt:lpstr>
      <vt:lpstr>13.07.26</vt:lpstr>
      <vt:lpstr>14.07.26</vt:lpstr>
      <vt:lpstr>15.07.26</vt:lpstr>
      <vt:lpstr>16.07.26</vt:lpstr>
      <vt:lpstr>17.07.26</vt:lpstr>
      <vt:lpstr>20.07.26</vt:lpstr>
      <vt:lpstr>21.07.26</vt:lpstr>
      <vt:lpstr>22.07.26</vt:lpstr>
      <vt:lpstr>23.07.26</vt:lpstr>
      <vt:lpstr>24.07.26</vt:lpstr>
      <vt:lpstr>27.07.26</vt:lpstr>
      <vt:lpstr>28.07.26</vt:lpstr>
      <vt:lpstr>29.07.26</vt:lpstr>
      <vt:lpstr>30.07.26</vt:lpstr>
      <vt:lpstr>31.07.26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Cardoso Santa Cruz</dc:creator>
  <cp:keywords/>
  <dc:description/>
  <cp:lastModifiedBy>Lucas Moreira do Vale</cp:lastModifiedBy>
  <cp:revision/>
  <dcterms:created xsi:type="dcterms:W3CDTF">2021-12-03T12:48:21Z</dcterms:created>
  <dcterms:modified xsi:type="dcterms:W3CDTF">2026-08-04T13:29:39Z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0e9cc9-ac6f-42b1-bf24-968858a22d9f_Enabled">
    <vt:lpwstr>true</vt:lpwstr>
  </property>
  <property fmtid="{D5CDD505-2E9C-101B-9397-08002B2CF9AE}" pid="3" name="MSIP_Label_510e9cc9-ac6f-42b1-bf24-968858a22d9f_SetDate">
    <vt:lpwstr>2021-12-03T12:48:22Z</vt:lpwstr>
  </property>
  <property fmtid="{D5CDD505-2E9C-101B-9397-08002B2CF9AE}" pid="4" name="MSIP_Label_510e9cc9-ac6f-42b1-bf24-968858a22d9f_Method">
    <vt:lpwstr>Standard</vt:lpwstr>
  </property>
  <property fmtid="{D5CDD505-2E9C-101B-9397-08002B2CF9AE}" pid="5" name="MSIP_Label_510e9cc9-ac6f-42b1-bf24-968858a22d9f_Name">
    <vt:lpwstr>Classificação interna</vt:lpwstr>
  </property>
  <property fmtid="{D5CDD505-2E9C-101B-9397-08002B2CF9AE}" pid="6" name="MSIP_Label_510e9cc9-ac6f-42b1-bf24-968858a22d9f_SiteId">
    <vt:lpwstr>ffc0be44-315f-4479-b12f-56afe6ededd6</vt:lpwstr>
  </property>
  <property fmtid="{D5CDD505-2E9C-101B-9397-08002B2CF9AE}" pid="7" name="MSIP_Label_510e9cc9-ac6f-42b1-bf24-968858a22d9f_ActionId">
    <vt:lpwstr>63a6d5f2-a149-4276-98b5-0000e794f70f</vt:lpwstr>
  </property>
  <property fmtid="{D5CDD505-2E9C-101B-9397-08002B2CF9AE}" pid="8" name="MSIP_Label_510e9cc9-ac6f-42b1-bf24-968858a22d9f_ContentBits">
    <vt:lpwstr>1</vt:lpwstr>
  </property>
  <property fmtid="{D5CDD505-2E9C-101B-9397-08002B2CF9AE}" pid="9" name="ContentTypeId">
    <vt:lpwstr>0x010100914EF061E07E9846B03CB135CC44A76B</vt:lpwstr>
  </property>
  <property fmtid="{D5CDD505-2E9C-101B-9397-08002B2CF9AE}" pid="10" name="MediaServiceImageTags">
    <vt:lpwstr/>
  </property>
</Properties>
</file>