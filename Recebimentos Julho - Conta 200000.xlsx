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btecno.sharepoint.com/teams/contasapagar/Documentos Partilhados/Contas a Receber/2026/200.000/07 - JULHO/"/>
    </mc:Choice>
  </mc:AlternateContent>
  <xr:revisionPtr revIDLastSave="32427" documentId="8_{DE6DBAFE-669C-434B-828B-30CE511D85AA}" xr6:coauthVersionLast="47" xr6:coauthVersionMax="47" xr10:uidLastSave="{E2F7880E-173A-49C9-8556-88AF811F5977}"/>
  <bookViews>
    <workbookView xWindow="-110" yWindow="-110" windowWidth="19420" windowHeight="10300" firstSheet="15" activeTab="22" xr2:uid="{2698F6D4-7B68-4F19-AF2D-2705CFB9F4E4}"/>
  </bookViews>
  <sheets>
    <sheet name="01.07.26" sheetId="67" r:id="rId1"/>
    <sheet name="02.07.26" sheetId="66" r:id="rId2"/>
    <sheet name="03.07.26" sheetId="68" r:id="rId3"/>
    <sheet name="06.07.26" sheetId="69" r:id="rId4"/>
    <sheet name="07.07.26" sheetId="70" r:id="rId5"/>
    <sheet name="08.07.26" sheetId="71" r:id="rId6"/>
    <sheet name="09.07.26" sheetId="72" r:id="rId7"/>
    <sheet name="10.07.26" sheetId="73" r:id="rId8"/>
    <sheet name="13.07.26" sheetId="75" r:id="rId9"/>
    <sheet name="14.07.26" sheetId="101" r:id="rId10"/>
    <sheet name="15.07.26" sheetId="76" r:id="rId11"/>
    <sheet name="16.06.26" sheetId="90" r:id="rId12"/>
    <sheet name="17.07.26" sheetId="91" r:id="rId13"/>
    <sheet name="20.07.26" sheetId="93" r:id="rId14"/>
    <sheet name="21.07.26" sheetId="94" r:id="rId15"/>
    <sheet name="22.07.26" sheetId="95" r:id="rId16"/>
    <sheet name="23.07.26" sheetId="97" r:id="rId17"/>
    <sheet name="24.07.26" sheetId="96" r:id="rId18"/>
    <sheet name="27.07.26" sheetId="98" r:id="rId19"/>
    <sheet name="28.07.26" sheetId="102" r:id="rId20"/>
    <sheet name="29.07.26" sheetId="103" r:id="rId21"/>
    <sheet name="30.07.26" sheetId="104" r:id="rId22"/>
    <sheet name="31.07.26" sheetId="105" r:id="rId23"/>
    <sheet name="27.02.26" sheetId="99" state="hidden" r:id="rId24"/>
    <sheet name="Penultimo dia " sheetId="41" state="hidden" r:id="rId25"/>
    <sheet name="Ultimo dia " sheetId="42" state="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9" i="103" l="1"/>
  <c r="K49" i="103"/>
  <c r="J49" i="103"/>
  <c r="I49" i="103"/>
  <c r="M42" i="103"/>
  <c r="M43" i="103" s="1"/>
  <c r="H43" i="103"/>
  <c r="L42" i="103"/>
  <c r="K42" i="103"/>
  <c r="J42" i="103"/>
  <c r="I42" i="103"/>
  <c r="L41" i="103"/>
  <c r="K41" i="103"/>
  <c r="J41" i="103"/>
  <c r="J43" i="103" s="1"/>
  <c r="I41" i="103"/>
  <c r="M37" i="103"/>
  <c r="H38" i="103"/>
  <c r="M38" i="103"/>
  <c r="L37" i="103"/>
  <c r="K37" i="103"/>
  <c r="J37" i="103"/>
  <c r="I37" i="103"/>
  <c r="L36" i="103"/>
  <c r="L38" i="103" s="1"/>
  <c r="K36" i="103"/>
  <c r="J36" i="103"/>
  <c r="J38" i="103" s="1"/>
  <c r="I36" i="103"/>
  <c r="H33" i="103"/>
  <c r="M32" i="103"/>
  <c r="M33" i="103" s="1"/>
  <c r="L32" i="103"/>
  <c r="K32" i="103"/>
  <c r="J32" i="103"/>
  <c r="I32" i="103"/>
  <c r="L31" i="103"/>
  <c r="L33" i="103" s="1"/>
  <c r="K31" i="103"/>
  <c r="J31" i="103"/>
  <c r="I31" i="103"/>
  <c r="M27" i="103"/>
  <c r="M28" i="103" s="1"/>
  <c r="H28" i="103"/>
  <c r="L27" i="103"/>
  <c r="K27" i="103"/>
  <c r="J27" i="103"/>
  <c r="I27" i="103"/>
  <c r="L26" i="103"/>
  <c r="L28" i="103" s="1"/>
  <c r="K26" i="103"/>
  <c r="J26" i="103"/>
  <c r="I26" i="103"/>
  <c r="M22" i="103"/>
  <c r="I28" i="103" l="1"/>
  <c r="J28" i="103"/>
  <c r="N46" i="103"/>
  <c r="L43" i="103"/>
  <c r="N41" i="103"/>
  <c r="I43" i="103"/>
  <c r="K43" i="103"/>
  <c r="N42" i="103"/>
  <c r="N43" i="103" s="1"/>
  <c r="I38" i="103"/>
  <c r="K38" i="103"/>
  <c r="N37" i="103"/>
  <c r="N36" i="103"/>
  <c r="N38" i="103" s="1"/>
  <c r="K33" i="103"/>
  <c r="I33" i="103"/>
  <c r="J33" i="103"/>
  <c r="N31" i="103"/>
  <c r="N32" i="103"/>
  <c r="K28" i="103"/>
  <c r="N26" i="103"/>
  <c r="N27" i="103"/>
  <c r="N33" i="103" l="1"/>
  <c r="N28" i="103"/>
  <c r="H23" i="103" l="1"/>
  <c r="L22" i="103"/>
  <c r="K22" i="103"/>
  <c r="J22" i="103"/>
  <c r="I22" i="103"/>
  <c r="L21" i="103"/>
  <c r="L23" i="103" s="1"/>
  <c r="K21" i="103"/>
  <c r="K23" i="103" s="1"/>
  <c r="J21" i="103"/>
  <c r="J23" i="103" s="1"/>
  <c r="I21" i="103"/>
  <c r="N21" i="103" s="1"/>
  <c r="M18" i="103"/>
  <c r="H18" i="103"/>
  <c r="L17" i="103"/>
  <c r="K17" i="103"/>
  <c r="J17" i="103"/>
  <c r="I17" i="103"/>
  <c r="L16" i="103"/>
  <c r="K16" i="103"/>
  <c r="J16" i="103"/>
  <c r="I16" i="103"/>
  <c r="L13" i="103"/>
  <c r="K13" i="103"/>
  <c r="J13" i="103"/>
  <c r="I13" i="103"/>
  <c r="I18" i="103" l="1"/>
  <c r="K18" i="103"/>
  <c r="M23" i="103"/>
  <c r="N22" i="103"/>
  <c r="N23" i="103" s="1"/>
  <c r="I23" i="103"/>
  <c r="L18" i="103"/>
  <c r="N17" i="103"/>
  <c r="N16" i="103"/>
  <c r="N18" i="103" s="1"/>
  <c r="J18" i="103"/>
  <c r="N13" i="103"/>
  <c r="M7" i="103" l="1"/>
  <c r="H7" i="103"/>
  <c r="L6" i="103"/>
  <c r="K6" i="103"/>
  <c r="J6" i="103"/>
  <c r="I6" i="103"/>
  <c r="N6" i="103" s="1"/>
  <c r="B4" i="103"/>
  <c r="I12" i="91" l="1"/>
  <c r="B4" i="98"/>
  <c r="B16" i="97"/>
  <c r="B4" i="97"/>
  <c r="B18" i="95"/>
  <c r="B4" i="95"/>
  <c r="B15" i="93"/>
  <c r="B4" i="93"/>
  <c r="B19" i="91"/>
  <c r="B4" i="91"/>
  <c r="B19" i="76"/>
  <c r="B4" i="76"/>
  <c r="B19" i="101"/>
  <c r="B4" i="101"/>
  <c r="B19" i="68"/>
  <c r="I5" i="105" l="1"/>
  <c r="J5" i="105" s="1"/>
  <c r="B12" i="105"/>
  <c r="B4" i="105"/>
  <c r="I3" i="96" l="1"/>
  <c r="J3" i="96" s="1"/>
  <c r="D2" i="96"/>
  <c r="I6" i="97" l="1"/>
  <c r="J6" i="95" l="1"/>
  <c r="I6" i="95"/>
  <c r="B19" i="75" l="1"/>
  <c r="B4" i="75"/>
  <c r="B19" i="73"/>
  <c r="B4" i="73"/>
  <c r="B33" i="68"/>
  <c r="B4" i="68"/>
  <c r="B33" i="66"/>
  <c r="B33" i="67"/>
  <c r="I5" i="76"/>
  <c r="L5" i="94" l="1"/>
  <c r="K5" i="94"/>
  <c r="J5" i="94"/>
  <c r="D3" i="94"/>
  <c r="N5" i="94" l="1"/>
  <c r="L5" i="93" l="1"/>
  <c r="K5" i="93"/>
  <c r="J5" i="93"/>
  <c r="I5" i="93"/>
  <c r="N5" i="93" s="1"/>
  <c r="N12" i="91" l="1"/>
  <c r="M15" i="76"/>
  <c r="M9" i="76"/>
  <c r="M8" i="76"/>
  <c r="M35" i="73"/>
  <c r="H16" i="76"/>
  <c r="L15" i="76"/>
  <c r="K15" i="76"/>
  <c r="J15" i="76"/>
  <c r="I15" i="76"/>
  <c r="L14" i="76"/>
  <c r="K14" i="76"/>
  <c r="J14" i="76"/>
  <c r="I14" i="76"/>
  <c r="L13" i="76"/>
  <c r="K13" i="76"/>
  <c r="J13" i="76"/>
  <c r="I13" i="76"/>
  <c r="L12" i="76"/>
  <c r="K12" i="76"/>
  <c r="J12" i="76"/>
  <c r="I12" i="76"/>
  <c r="L11" i="76"/>
  <c r="K11" i="76"/>
  <c r="J11" i="76"/>
  <c r="I11" i="76"/>
  <c r="L10" i="76"/>
  <c r="K10" i="76"/>
  <c r="J10" i="76"/>
  <c r="I10" i="76"/>
  <c r="L9" i="76"/>
  <c r="K9" i="76"/>
  <c r="J9" i="76"/>
  <c r="I9" i="76"/>
  <c r="L8" i="76"/>
  <c r="K8" i="76"/>
  <c r="J8" i="76"/>
  <c r="I8" i="76"/>
  <c r="J5" i="76"/>
  <c r="L16" i="76" l="1"/>
  <c r="I16" i="76"/>
  <c r="J16" i="76"/>
  <c r="K16" i="76"/>
  <c r="N9" i="76"/>
  <c r="M16" i="76"/>
  <c r="N13" i="76"/>
  <c r="N8" i="76"/>
  <c r="N11" i="76"/>
  <c r="N14" i="76"/>
  <c r="N15" i="76"/>
  <c r="N10" i="76"/>
  <c r="N12" i="76"/>
  <c r="N16" i="76" l="1"/>
  <c r="L13" i="73" l="1"/>
  <c r="K13" i="73"/>
  <c r="J13" i="73"/>
  <c r="I13" i="73"/>
  <c r="N13" i="73" s="1"/>
  <c r="L16" i="73"/>
  <c r="K16" i="73"/>
  <c r="J16" i="73"/>
  <c r="I16" i="73"/>
  <c r="N16" i="73" s="1"/>
  <c r="M36" i="73"/>
  <c r="M37" i="73"/>
  <c r="L34" i="73"/>
  <c r="K34" i="73"/>
  <c r="J34" i="73"/>
  <c r="I34" i="73"/>
  <c r="L33" i="73"/>
  <c r="K33" i="73"/>
  <c r="J33" i="73"/>
  <c r="I33" i="73"/>
  <c r="L36" i="73"/>
  <c r="K36" i="73"/>
  <c r="J36" i="73"/>
  <c r="I36" i="73"/>
  <c r="H37" i="73"/>
  <c r="L35" i="73"/>
  <c r="K35" i="73"/>
  <c r="J35" i="73"/>
  <c r="I35" i="73"/>
  <c r="L32" i="73"/>
  <c r="K32" i="73"/>
  <c r="J32" i="73"/>
  <c r="I32" i="73"/>
  <c r="L31" i="73"/>
  <c r="K31" i="73"/>
  <c r="J31" i="73"/>
  <c r="I31" i="73"/>
  <c r="L30" i="73"/>
  <c r="K30" i="73"/>
  <c r="J30" i="73"/>
  <c r="I30" i="73"/>
  <c r="L29" i="73"/>
  <c r="K29" i="73"/>
  <c r="J29" i="73"/>
  <c r="I29" i="73"/>
  <c r="L28" i="73"/>
  <c r="K28" i="73"/>
  <c r="J28" i="73"/>
  <c r="I28" i="73"/>
  <c r="L27" i="73"/>
  <c r="K27" i="73"/>
  <c r="J27" i="73"/>
  <c r="I27" i="73"/>
  <c r="L26" i="73"/>
  <c r="K26" i="73"/>
  <c r="J26" i="73"/>
  <c r="I26" i="73"/>
  <c r="L25" i="73"/>
  <c r="K25" i="73"/>
  <c r="J25" i="73"/>
  <c r="I25" i="73"/>
  <c r="L24" i="73"/>
  <c r="K24" i="73"/>
  <c r="J24" i="73"/>
  <c r="I24" i="73"/>
  <c r="L23" i="73"/>
  <c r="K23" i="73"/>
  <c r="J23" i="73"/>
  <c r="I23" i="73"/>
  <c r="L22" i="73"/>
  <c r="K22" i="73"/>
  <c r="J22" i="73"/>
  <c r="I22" i="73"/>
  <c r="L21" i="73"/>
  <c r="K21" i="73"/>
  <c r="J21" i="73"/>
  <c r="I21" i="73"/>
  <c r="L20" i="73"/>
  <c r="K20" i="73"/>
  <c r="J20" i="73"/>
  <c r="I20" i="73"/>
  <c r="L19" i="73"/>
  <c r="K19" i="73"/>
  <c r="J19" i="73"/>
  <c r="I19" i="73"/>
  <c r="L18" i="73"/>
  <c r="K18" i="73"/>
  <c r="J18" i="73"/>
  <c r="I18" i="73"/>
  <c r="L17" i="73"/>
  <c r="K17" i="73"/>
  <c r="J17" i="73"/>
  <c r="I17" i="73"/>
  <c r="L15" i="73"/>
  <c r="K15" i="73"/>
  <c r="J15" i="73"/>
  <c r="I15" i="73"/>
  <c r="L14" i="73"/>
  <c r="K14" i="73"/>
  <c r="J14" i="73"/>
  <c r="I14" i="73"/>
  <c r="L12" i="73"/>
  <c r="K12" i="73"/>
  <c r="J12" i="73"/>
  <c r="I12" i="73"/>
  <c r="L11" i="73"/>
  <c r="K11" i="73"/>
  <c r="J11" i="73"/>
  <c r="I11" i="73"/>
  <c r="L10" i="73"/>
  <c r="K10" i="73"/>
  <c r="J10" i="73"/>
  <c r="I10" i="73"/>
  <c r="L9" i="73"/>
  <c r="K9" i="73"/>
  <c r="J9" i="73"/>
  <c r="I9" i="73"/>
  <c r="L8" i="73"/>
  <c r="K8" i="73"/>
  <c r="J8" i="73"/>
  <c r="I8" i="73"/>
  <c r="L7" i="73"/>
  <c r="K7" i="73"/>
  <c r="J7" i="73"/>
  <c r="I7" i="73"/>
  <c r="L6" i="73"/>
  <c r="K6" i="73"/>
  <c r="J6" i="73"/>
  <c r="I6" i="73"/>
  <c r="I37" i="73" s="1"/>
  <c r="K37" i="73" l="1"/>
  <c r="L37" i="73"/>
  <c r="J37" i="73"/>
  <c r="N36" i="73"/>
  <c r="N33" i="73"/>
  <c r="N34" i="73"/>
  <c r="N8" i="73"/>
  <c r="N12" i="73"/>
  <c r="N18" i="73"/>
  <c r="N35" i="73"/>
  <c r="N30" i="73"/>
  <c r="N27" i="73"/>
  <c r="N22" i="73"/>
  <c r="N19" i="73"/>
  <c r="N17" i="73"/>
  <c r="N14" i="73"/>
  <c r="N11" i="73"/>
  <c r="N10" i="73"/>
  <c r="N24" i="73"/>
  <c r="N9" i="73"/>
  <c r="N21" i="73"/>
  <c r="N23" i="73"/>
  <c r="N25" i="73"/>
  <c r="N32" i="73"/>
  <c r="N29" i="73"/>
  <c r="N20" i="73"/>
  <c r="N31" i="73"/>
  <c r="N26" i="73"/>
  <c r="N7" i="73"/>
  <c r="N15" i="73"/>
  <c r="N28" i="73"/>
  <c r="N6" i="73"/>
  <c r="N37" i="73" l="1"/>
  <c r="B12" i="104" l="1"/>
  <c r="B50" i="103"/>
  <c r="I7" i="67"/>
  <c r="J7" i="67" s="1"/>
  <c r="I38" i="104"/>
  <c r="J38" i="104" s="1"/>
  <c r="B4" i="104"/>
  <c r="I5" i="104"/>
  <c r="N5" i="104" s="1"/>
  <c r="J5" i="104"/>
  <c r="K5" i="104"/>
  <c r="L5" i="104"/>
  <c r="I18" i="102"/>
  <c r="L47" i="98" l="1"/>
  <c r="K47" i="98"/>
  <c r="J47" i="98"/>
  <c r="I42" i="98"/>
  <c r="O29" i="98"/>
  <c r="L41" i="102" l="1"/>
  <c r="K41" i="102"/>
  <c r="J41" i="102"/>
  <c r="I41" i="102"/>
  <c r="L38" i="102"/>
  <c r="K38" i="102"/>
  <c r="J38" i="102"/>
  <c r="I38" i="102"/>
  <c r="N41" i="102" l="1"/>
  <c r="N38" i="102"/>
  <c r="I35" i="102" l="1"/>
  <c r="J35" i="102"/>
  <c r="K35" i="102"/>
  <c r="L35" i="102"/>
  <c r="I32" i="102"/>
  <c r="J32" i="102"/>
  <c r="K32" i="102"/>
  <c r="L32" i="102"/>
  <c r="M23" i="102"/>
  <c r="L23" i="102"/>
  <c r="K23" i="102"/>
  <c r="J23" i="102"/>
  <c r="N35" i="102" l="1"/>
  <c r="N32" i="102"/>
  <c r="H29" i="102" l="1"/>
  <c r="I27" i="102"/>
  <c r="J27" i="102"/>
  <c r="K27" i="102"/>
  <c r="L27" i="102"/>
  <c r="M29" i="102"/>
  <c r="I28" i="102"/>
  <c r="J28" i="102"/>
  <c r="K28" i="102"/>
  <c r="L28" i="102"/>
  <c r="I22" i="102"/>
  <c r="I23" i="102" s="1"/>
  <c r="H23" i="102"/>
  <c r="I19" i="102"/>
  <c r="J19" i="102"/>
  <c r="K19" i="102"/>
  <c r="L19" i="102"/>
  <c r="M19" i="102"/>
  <c r="H19" i="102"/>
  <c r="K29" i="102" l="1"/>
  <c r="L29" i="102"/>
  <c r="N28" i="102"/>
  <c r="J29" i="102"/>
  <c r="I29" i="102"/>
  <c r="N27" i="102"/>
  <c r="N22" i="102"/>
  <c r="N23" i="102" s="1"/>
  <c r="N18" i="102"/>
  <c r="N19" i="102" s="1"/>
  <c r="H15" i="102"/>
  <c r="I14" i="102"/>
  <c r="J14" i="102"/>
  <c r="K14" i="102"/>
  <c r="L14" i="102"/>
  <c r="M14" i="102"/>
  <c r="I11" i="102"/>
  <c r="N11" i="102" s="1"/>
  <c r="J11" i="102"/>
  <c r="K11" i="102"/>
  <c r="L11" i="102"/>
  <c r="M11" i="102"/>
  <c r="I12" i="102"/>
  <c r="J12" i="102"/>
  <c r="K12" i="102"/>
  <c r="L12" i="102"/>
  <c r="M12" i="102"/>
  <c r="I13" i="102"/>
  <c r="J13" i="102"/>
  <c r="K13" i="102"/>
  <c r="L13" i="102"/>
  <c r="M13" i="102"/>
  <c r="M6" i="102"/>
  <c r="M7" i="102"/>
  <c r="M5" i="102"/>
  <c r="H8" i="102"/>
  <c r="I6" i="102"/>
  <c r="J6" i="102"/>
  <c r="K6" i="102"/>
  <c r="L6" i="102"/>
  <c r="I7" i="102"/>
  <c r="J7" i="102"/>
  <c r="N7" i="102" s="1"/>
  <c r="K7" i="102"/>
  <c r="L7" i="102"/>
  <c r="B4" i="102"/>
  <c r="I11" i="98"/>
  <c r="I12" i="98" s="1"/>
  <c r="M48" i="98"/>
  <c r="H48" i="98"/>
  <c r="I47" i="98"/>
  <c r="N47" i="98" s="1"/>
  <c r="L46" i="98"/>
  <c r="L48" i="98" s="1"/>
  <c r="K46" i="98"/>
  <c r="K48" i="98" s="1"/>
  <c r="J46" i="98"/>
  <c r="I46" i="98"/>
  <c r="M43" i="98"/>
  <c r="H43" i="98"/>
  <c r="L42" i="98"/>
  <c r="L43" i="98" s="1"/>
  <c r="K42" i="98"/>
  <c r="K43" i="98" s="1"/>
  <c r="J42" i="98"/>
  <c r="J43" i="98" s="1"/>
  <c r="I43" i="98"/>
  <c r="M39" i="98"/>
  <c r="H39" i="98"/>
  <c r="L39" i="98"/>
  <c r="K39" i="98"/>
  <c r="J39" i="98"/>
  <c r="I39" i="98"/>
  <c r="M35" i="98"/>
  <c r="H35" i="98"/>
  <c r="L35" i="98"/>
  <c r="K35" i="98"/>
  <c r="J35" i="98"/>
  <c r="I35" i="98"/>
  <c r="M31" i="98"/>
  <c r="H31" i="98"/>
  <c r="L30" i="98"/>
  <c r="K30" i="98"/>
  <c r="J30" i="98"/>
  <c r="I30" i="98"/>
  <c r="N30" i="98" s="1"/>
  <c r="L29" i="98"/>
  <c r="L31" i="98" s="1"/>
  <c r="K29" i="98"/>
  <c r="J29" i="98"/>
  <c r="I29" i="98"/>
  <c r="M26" i="98"/>
  <c r="H26" i="98"/>
  <c r="L25" i="98"/>
  <c r="L26" i="98" s="1"/>
  <c r="K25" i="98"/>
  <c r="K26" i="98" s="1"/>
  <c r="J25" i="98"/>
  <c r="J26" i="98" s="1"/>
  <c r="I25" i="98"/>
  <c r="I26" i="98" s="1"/>
  <c r="M22" i="98"/>
  <c r="H22" i="98"/>
  <c r="L21" i="98"/>
  <c r="K21" i="98"/>
  <c r="J21" i="98"/>
  <c r="I21" i="98"/>
  <c r="L20" i="98"/>
  <c r="L22" i="98" s="1"/>
  <c r="K20" i="98"/>
  <c r="K22" i="98" s="1"/>
  <c r="J20" i="98"/>
  <c r="I20" i="98"/>
  <c r="M17" i="98"/>
  <c r="H17" i="98"/>
  <c r="L16" i="98"/>
  <c r="K16" i="98"/>
  <c r="J16" i="98"/>
  <c r="I16" i="98"/>
  <c r="L15" i="98"/>
  <c r="K15" i="98"/>
  <c r="J15" i="98"/>
  <c r="I15" i="98"/>
  <c r="M12" i="98"/>
  <c r="H12" i="98"/>
  <c r="L11" i="98"/>
  <c r="L12" i="98" s="1"/>
  <c r="K11" i="98"/>
  <c r="K12" i="98" s="1"/>
  <c r="J11" i="98"/>
  <c r="J12" i="98" s="1"/>
  <c r="H7" i="98"/>
  <c r="L6" i="98"/>
  <c r="K6" i="98"/>
  <c r="J6" i="98"/>
  <c r="I6" i="98"/>
  <c r="L5" i="98"/>
  <c r="K5" i="98"/>
  <c r="J5" i="98"/>
  <c r="I5" i="98"/>
  <c r="K7" i="98" l="1"/>
  <c r="K15" i="102"/>
  <c r="N29" i="102"/>
  <c r="N16" i="98"/>
  <c r="L15" i="102"/>
  <c r="J15" i="102"/>
  <c r="N6" i="102"/>
  <c r="N13" i="102"/>
  <c r="I15" i="102"/>
  <c r="M8" i="102"/>
  <c r="N14" i="102"/>
  <c r="M15" i="102"/>
  <c r="N12" i="102"/>
  <c r="N46" i="98"/>
  <c r="N48" i="98" s="1"/>
  <c r="J48" i="98"/>
  <c r="I48" i="98"/>
  <c r="N42" i="98"/>
  <c r="N43" i="98" s="1"/>
  <c r="N38" i="98"/>
  <c r="N39" i="98" s="1"/>
  <c r="N34" i="98"/>
  <c r="N35" i="98" s="1"/>
  <c r="N29" i="98"/>
  <c r="N31" i="98" s="1"/>
  <c r="J31" i="98"/>
  <c r="K31" i="98"/>
  <c r="I31" i="98"/>
  <c r="N25" i="98"/>
  <c r="N26" i="98" s="1"/>
  <c r="N21" i="98"/>
  <c r="N20" i="98"/>
  <c r="N22" i="98" s="1"/>
  <c r="J22" i="98"/>
  <c r="I22" i="98"/>
  <c r="I17" i="98"/>
  <c r="K17" i="98"/>
  <c r="J17" i="98"/>
  <c r="L17" i="98"/>
  <c r="N15" i="98"/>
  <c r="N11" i="98"/>
  <c r="N12" i="98" s="1"/>
  <c r="M7" i="98"/>
  <c r="N6" i="98"/>
  <c r="L7" i="98"/>
  <c r="I7" i="98"/>
  <c r="J7" i="98"/>
  <c r="N5" i="98"/>
  <c r="N15" i="102" l="1"/>
  <c r="N17" i="98"/>
  <c r="N7" i="98"/>
  <c r="I9" i="91" l="1"/>
  <c r="J9" i="91"/>
  <c r="I6" i="91"/>
  <c r="J6" i="91" s="1"/>
  <c r="M13" i="75" l="1"/>
  <c r="I13" i="75"/>
  <c r="L13" i="75"/>
  <c r="K13" i="75"/>
  <c r="J13" i="75"/>
  <c r="I5" i="75"/>
  <c r="N13" i="75" l="1"/>
  <c r="B19" i="70" l="1"/>
  <c r="B4" i="70" l="1"/>
  <c r="I5" i="68" l="1"/>
  <c r="M11" i="96" l="1"/>
  <c r="M16" i="96"/>
  <c r="M22" i="96"/>
  <c r="M27" i="96"/>
  <c r="M34" i="96"/>
  <c r="M40" i="96"/>
  <c r="I76" i="103"/>
  <c r="J76" i="103" s="1"/>
  <c r="L5" i="103"/>
  <c r="L7" i="103" s="1"/>
  <c r="K5" i="103"/>
  <c r="K7" i="103" s="1"/>
  <c r="J5" i="103"/>
  <c r="J7" i="103" s="1"/>
  <c r="I5" i="103"/>
  <c r="I7" i="103" s="1"/>
  <c r="N5" i="103" l="1"/>
  <c r="N7" i="103" s="1"/>
  <c r="J6" i="97"/>
  <c r="B4" i="96"/>
  <c r="M39" i="96"/>
  <c r="M41" i="96" s="1"/>
  <c r="I31" i="96"/>
  <c r="N31" i="96" s="1"/>
  <c r="J31" i="96"/>
  <c r="K31" i="96"/>
  <c r="L31" i="96"/>
  <c r="M26" i="96"/>
  <c r="M28" i="96" s="1"/>
  <c r="I27" i="96"/>
  <c r="J27" i="96"/>
  <c r="K27" i="96"/>
  <c r="L27" i="96"/>
  <c r="H28" i="96"/>
  <c r="M21" i="96"/>
  <c r="M23" i="96" s="1"/>
  <c r="I39" i="96"/>
  <c r="N39" i="96" s="1"/>
  <c r="J39" i="96"/>
  <c r="K39" i="96"/>
  <c r="L39" i="96"/>
  <c r="I40" i="96"/>
  <c r="J40" i="96"/>
  <c r="K40" i="96"/>
  <c r="L40" i="96"/>
  <c r="H41" i="96"/>
  <c r="J41" i="96"/>
  <c r="K41" i="96"/>
  <c r="I34" i="96"/>
  <c r="J34" i="96"/>
  <c r="K34" i="96"/>
  <c r="L34" i="96"/>
  <c r="I35" i="96"/>
  <c r="N35" i="96" s="1"/>
  <c r="J35" i="96"/>
  <c r="K35" i="96"/>
  <c r="L35" i="96"/>
  <c r="H36" i="96"/>
  <c r="M36" i="96"/>
  <c r="I26" i="96"/>
  <c r="J26" i="96"/>
  <c r="K26" i="96"/>
  <c r="L26" i="96"/>
  <c r="I21" i="96"/>
  <c r="J21" i="96"/>
  <c r="K21" i="96"/>
  <c r="L21" i="96"/>
  <c r="I22" i="96"/>
  <c r="J22" i="96"/>
  <c r="J23" i="96" s="1"/>
  <c r="K22" i="96"/>
  <c r="L22" i="96"/>
  <c r="H23" i="96"/>
  <c r="I16" i="96"/>
  <c r="J16" i="96"/>
  <c r="K16" i="96"/>
  <c r="L16" i="96"/>
  <c r="N16" i="96"/>
  <c r="I17" i="96"/>
  <c r="J17" i="96"/>
  <c r="J18" i="96" s="1"/>
  <c r="K17" i="96"/>
  <c r="K18" i="96" s="1"/>
  <c r="L17" i="96"/>
  <c r="H18" i="96"/>
  <c r="L18" i="96"/>
  <c r="M18" i="96"/>
  <c r="M13" i="96"/>
  <c r="H13" i="96"/>
  <c r="I11" i="96"/>
  <c r="I13" i="96" s="1"/>
  <c r="J11" i="96"/>
  <c r="K11" i="96"/>
  <c r="L11" i="96"/>
  <c r="N11" i="96"/>
  <c r="I12" i="96"/>
  <c r="J12" i="96"/>
  <c r="K12" i="96"/>
  <c r="L12" i="96"/>
  <c r="P7" i="103" l="1"/>
  <c r="N11" i="103"/>
  <c r="N27" i="96"/>
  <c r="N22" i="96"/>
  <c r="N12" i="96"/>
  <c r="N13" i="96" s="1"/>
  <c r="J28" i="96"/>
  <c r="I23" i="96"/>
  <c r="N17" i="96"/>
  <c r="N18" i="96" s="1"/>
  <c r="L28" i="96"/>
  <c r="K28" i="96"/>
  <c r="K13" i="96"/>
  <c r="J13" i="96"/>
  <c r="L23" i="96"/>
  <c r="L13" i="96"/>
  <c r="N26" i="96"/>
  <c r="N28" i="96" s="1"/>
  <c r="K23" i="96"/>
  <c r="J36" i="96"/>
  <c r="L41" i="96"/>
  <c r="N40" i="96"/>
  <c r="N41" i="96" s="1"/>
  <c r="L36" i="96"/>
  <c r="I36" i="96"/>
  <c r="K36" i="96"/>
  <c r="N34" i="96"/>
  <c r="N36" i="96" s="1"/>
  <c r="I41" i="96"/>
  <c r="I18" i="96"/>
  <c r="N21" i="96"/>
  <c r="N23" i="96" s="1"/>
  <c r="I28" i="96"/>
  <c r="I11" i="95" l="1"/>
  <c r="J11" i="95"/>
  <c r="B55" i="102"/>
  <c r="B19" i="98"/>
  <c r="I17" i="101"/>
  <c r="J17" i="101"/>
  <c r="K17" i="101"/>
  <c r="L17" i="101"/>
  <c r="M17" i="101"/>
  <c r="I8" i="93" l="1"/>
  <c r="J8" i="93"/>
  <c r="K8" i="93"/>
  <c r="L8" i="93"/>
  <c r="N8" i="93" l="1"/>
  <c r="H17" i="101"/>
  <c r="N16" i="101" l="1"/>
  <c r="N15" i="101"/>
  <c r="N17" i="101" l="1"/>
  <c r="I12" i="101"/>
  <c r="L8" i="101"/>
  <c r="K8" i="101"/>
  <c r="J8" i="101"/>
  <c r="N8" i="101" s="1"/>
  <c r="J12" i="101"/>
  <c r="I11" i="72" l="1"/>
  <c r="J11" i="72"/>
  <c r="K11" i="72"/>
  <c r="L11" i="72"/>
  <c r="M11" i="72"/>
  <c r="N11" i="72"/>
  <c r="M13" i="67" l="1"/>
  <c r="I13" i="67"/>
  <c r="L13" i="67"/>
  <c r="K13" i="67"/>
  <c r="J13" i="67"/>
  <c r="N13" i="67" l="1"/>
  <c r="I53" i="102"/>
  <c r="J53" i="102"/>
  <c r="I8" i="90" l="1"/>
  <c r="J8" i="90"/>
  <c r="I5" i="90"/>
  <c r="J5" i="90" s="1"/>
  <c r="L9" i="75" l="1"/>
  <c r="K9" i="75"/>
  <c r="J9" i="75"/>
  <c r="J5" i="75"/>
  <c r="N9" i="75" l="1"/>
  <c r="L5" i="71" l="1"/>
  <c r="M5" i="71"/>
  <c r="K5" i="71"/>
  <c r="J5" i="71"/>
  <c r="I5" i="71"/>
  <c r="N5" i="71" l="1"/>
  <c r="L5" i="70" l="1"/>
  <c r="K5" i="70"/>
  <c r="J5" i="70"/>
  <c r="N5" i="70" l="1"/>
  <c r="M5" i="68"/>
  <c r="L5" i="68"/>
  <c r="K5" i="68"/>
  <c r="J5" i="68"/>
  <c r="N5" i="68" l="1"/>
  <c r="L5" i="102"/>
  <c r="L8" i="102" s="1"/>
  <c r="K5" i="102"/>
  <c r="K8" i="102" s="1"/>
  <c r="J5" i="102"/>
  <c r="J8" i="102" s="1"/>
  <c r="I5" i="102"/>
  <c r="I8" i="102" s="1"/>
  <c r="N5" i="102" l="1"/>
  <c r="N8" i="102" s="1"/>
  <c r="I5" i="99" l="1"/>
  <c r="B4" i="71" l="1"/>
  <c r="L9" i="71" l="1"/>
  <c r="K9" i="71"/>
  <c r="J9" i="71"/>
  <c r="I5" i="69"/>
  <c r="J5" i="69" s="1"/>
  <c r="N9" i="71" l="1"/>
  <c r="M22" i="93" l="1"/>
  <c r="H22" i="93"/>
  <c r="L21" i="93"/>
  <c r="K21" i="93"/>
  <c r="J21" i="93"/>
  <c r="I21" i="93"/>
  <c r="L20" i="93"/>
  <c r="K20" i="93"/>
  <c r="J20" i="93"/>
  <c r="I20" i="93"/>
  <c r="L19" i="93"/>
  <c r="K19" i="93"/>
  <c r="J19" i="93"/>
  <c r="I19" i="93"/>
  <c r="L18" i="93"/>
  <c r="K18" i="93"/>
  <c r="J18" i="93"/>
  <c r="I18" i="93"/>
  <c r="L17" i="93"/>
  <c r="K17" i="93"/>
  <c r="J17" i="93"/>
  <c r="I17" i="93"/>
  <c r="N17" i="93" s="1"/>
  <c r="L16" i="93"/>
  <c r="K16" i="93"/>
  <c r="J16" i="93"/>
  <c r="I16" i="93"/>
  <c r="N16" i="93" s="1"/>
  <c r="I15" i="93"/>
  <c r="J15" i="93"/>
  <c r="K15" i="93"/>
  <c r="L15" i="93"/>
  <c r="N15" i="93"/>
  <c r="L22" i="93" l="1"/>
  <c r="N19" i="93"/>
  <c r="J22" i="93"/>
  <c r="I22" i="93"/>
  <c r="K22" i="93"/>
  <c r="N21" i="93"/>
  <c r="N18" i="93"/>
  <c r="N20" i="93"/>
  <c r="N22" i="93" l="1"/>
  <c r="M16" i="72"/>
  <c r="M17" i="72" s="1"/>
  <c r="I16" i="72"/>
  <c r="I15" i="72"/>
  <c r="N15" i="72" s="1"/>
  <c r="I14" i="72"/>
  <c r="H17" i="72"/>
  <c r="L16" i="72"/>
  <c r="K16" i="72"/>
  <c r="J16" i="72"/>
  <c r="L15" i="72"/>
  <c r="K15" i="72"/>
  <c r="J15" i="72"/>
  <c r="L14" i="72"/>
  <c r="K14" i="72"/>
  <c r="J14" i="72"/>
  <c r="N14" i="72" l="1"/>
  <c r="J17" i="72"/>
  <c r="L17" i="72"/>
  <c r="N16" i="72"/>
  <c r="K17" i="72"/>
  <c r="N17" i="72"/>
  <c r="I17" i="72"/>
  <c r="B56" i="99" l="1"/>
  <c r="J5" i="99"/>
  <c r="B4" i="99"/>
  <c r="B19" i="69"/>
  <c r="B19" i="94" l="1"/>
  <c r="B4" i="94"/>
  <c r="B4" i="72" l="1"/>
  <c r="B29" i="96" l="1"/>
  <c r="B19" i="90"/>
  <c r="B4" i="90"/>
  <c r="B4" i="66" l="1"/>
  <c r="B19" i="72" l="1"/>
  <c r="B4" i="69"/>
  <c r="B19" i="67"/>
  <c r="B4" i="67"/>
  <c r="B19" i="66"/>
  <c r="B19" i="42" l="1"/>
  <c r="B4" i="42"/>
  <c r="B19" i="41"/>
  <c r="B4" i="41"/>
  <c r="B3" i="41" l="1"/>
  <c r="B33" i="41" s="1"/>
  <c r="B3" i="42" s="1"/>
  <c r="B33" i="42" s="1"/>
  <c r="B3" i="66" l="1"/>
  <c r="B3" i="68" s="1"/>
  <c r="B3" i="69" s="1"/>
  <c r="B33" i="69" s="1"/>
  <c r="B3" i="70" s="1"/>
  <c r="B37" i="70" s="1"/>
  <c r="B3" i="71" s="1"/>
  <c r="B28" i="71" s="1"/>
  <c r="B3" i="72" l="1"/>
  <c r="B33" i="72" s="1"/>
  <c r="B3" i="73" s="1"/>
  <c r="B33" i="73" l="1"/>
  <c r="B3" i="75" s="1"/>
  <c r="B33" i="75" l="1"/>
  <c r="B3" i="101" s="1"/>
  <c r="B34" i="101" l="1"/>
  <c r="B3" i="76" s="1"/>
  <c r="B30" i="76" s="1"/>
  <c r="B3" i="90" s="1"/>
  <c r="B33" i="90" l="1"/>
  <c r="B3" i="91" s="1"/>
  <c r="B33" i="91" s="1"/>
  <c r="B3" i="93" s="1"/>
  <c r="B29" i="93" s="1"/>
  <c r="B3" i="94" s="1"/>
  <c r="B33" i="94" s="1"/>
  <c r="B3" i="95" s="1"/>
  <c r="B34" i="95" l="1"/>
  <c r="B3" i="97" s="1"/>
  <c r="B30" i="97" s="1"/>
  <c r="B3" i="96" s="1"/>
  <c r="B43" i="96" s="1"/>
  <c r="B3" i="98" s="1"/>
  <c r="B33" i="98" s="1"/>
  <c r="B3" i="102" l="1"/>
  <c r="B69" i="102" s="1"/>
  <c r="B3" i="103" s="1"/>
  <c r="B64" i="103" s="1"/>
  <c r="B3" i="104" s="1"/>
  <c r="B26" i="104" s="1"/>
  <c r="B3" i="105" s="1"/>
  <c r="B26" i="105" s="1"/>
  <c r="B3" i="99"/>
  <c r="B70" i="99" s="1"/>
  <c r="N49" i="103" l="1"/>
</calcChain>
</file>

<file path=xl/sharedStrings.xml><?xml version="1.0" encoding="utf-8"?>
<sst xmlns="http://schemas.openxmlformats.org/spreadsheetml/2006/main" count="1353" uniqueCount="315">
  <si>
    <t>Recebimentos</t>
  </si>
  <si>
    <t xml:space="preserve">SITUAÇÃO </t>
  </si>
  <si>
    <t>TIPO DE SERVIÇO</t>
  </si>
  <si>
    <t>CONTA: 200000 AGÊNCIA: 3309</t>
  </si>
  <si>
    <t>SALDO FINAL:</t>
  </si>
  <si>
    <t>SALDO INICIAL:</t>
  </si>
  <si>
    <t>Pagamentos</t>
  </si>
  <si>
    <t>NÚMERO DO RECEBIMENTO</t>
  </si>
  <si>
    <t>NOTA FISCAL</t>
  </si>
  <si>
    <t>IR</t>
  </si>
  <si>
    <t>VALOR LIQUIDO</t>
  </si>
  <si>
    <t>ISS</t>
  </si>
  <si>
    <t>VALOR BRUTO NF</t>
  </si>
  <si>
    <t>PIS</t>
  </si>
  <si>
    <t>COFINS</t>
  </si>
  <si>
    <t>CSLL</t>
  </si>
  <si>
    <t>TOTAL</t>
  </si>
  <si>
    <t>IR 1,5%</t>
  </si>
  <si>
    <t>ISS 2%</t>
  </si>
  <si>
    <t>VALOR LANÇADO</t>
  </si>
  <si>
    <t>IR 4,8%</t>
  </si>
  <si>
    <t>TARIFAS</t>
  </si>
  <si>
    <t>PIS 0,65%</t>
  </si>
  <si>
    <t>COFINS 3%</t>
  </si>
  <si>
    <t>CSLL 1%</t>
  </si>
  <si>
    <t>TRANSFERÊNCIAS</t>
  </si>
  <si>
    <t>VALOR NF</t>
  </si>
  <si>
    <t>Recebimentos Diversos: 05.437.257/0001-29 ATIVOS S.A. SECURIT</t>
  </si>
  <si>
    <t>SOLUCAO HIVEPLACE</t>
  </si>
  <si>
    <t xml:space="preserve">Devolução ISSQN Retido   </t>
  </si>
  <si>
    <t>2702012-GYN</t>
  </si>
  <si>
    <t>2702013-GYN</t>
  </si>
  <si>
    <t>2702014-GYN</t>
  </si>
  <si>
    <t>2702015-GYN</t>
  </si>
  <si>
    <t>2702024-GYN</t>
  </si>
  <si>
    <t>2702025-GYN</t>
  </si>
  <si>
    <t>2702026-GYN</t>
  </si>
  <si>
    <t>2702027-GYN</t>
  </si>
  <si>
    <t>2702028-GYN</t>
  </si>
  <si>
    <t>2702029-GYN</t>
  </si>
  <si>
    <t>2702030-GYN</t>
  </si>
  <si>
    <t>2702031-GYN</t>
  </si>
  <si>
    <t>2702032-GYN</t>
  </si>
  <si>
    <t>2702033-GYN</t>
  </si>
  <si>
    <t>2702034-GYN</t>
  </si>
  <si>
    <t>2702035-GYN</t>
  </si>
  <si>
    <t>2702036-GYN</t>
  </si>
  <si>
    <t>2702037-GYN</t>
  </si>
  <si>
    <t>MANUT TAA BB</t>
  </si>
  <si>
    <t>x</t>
  </si>
  <si>
    <t>DEVOLUCAO DE ISS CLIENTES</t>
  </si>
  <si>
    <t>ISS 5%</t>
  </si>
  <si>
    <t>X</t>
  </si>
  <si>
    <t>Dia incorreto</t>
  </si>
  <si>
    <t>Corrigido</t>
  </si>
  <si>
    <t>Crédito Sistema CDA: Pgt.BB Con202185580050/0054 / 9</t>
  </si>
  <si>
    <t>Crédito Sistema CDA: Pgt.BB Con202185580050/0054 / 10</t>
  </si>
  <si>
    <t>Crédito Sistema CDA: Pgt.BB Con202185580050/0054 / 11</t>
  </si>
  <si>
    <t>Crédito Sistema CDA: Pgt.BB Con202185580050/0054 / 12</t>
  </si>
  <si>
    <t>Crédito Sistema CDA: Pgt.BB Con202185580050/0054 / 21</t>
  </si>
  <si>
    <t>Crédito Sistema CDA: Pgt.BB Con202185580050/0054 / 22</t>
  </si>
  <si>
    <t>Crédito Sistema CDA: Pgt.BB Con202185580050/0054 / 23</t>
  </si>
  <si>
    <t>Crédito Sistema CDA: Pgt.BB Con202185580050/0054 / 24</t>
  </si>
  <si>
    <t>Crédito Sistema CDA: Pgt.BB Con202185580050/0054 / 25</t>
  </si>
  <si>
    <t>Crédito Sistema CDA: Pgt.BB Con202185580050/0054 / 26</t>
  </si>
  <si>
    <t>Crédito Sistema CDA: Pgt.BB Con202185580050/0054 / 27</t>
  </si>
  <si>
    <t>Crédito Sistema CDA: Pgt.BB Con202185580050/0054 / 28</t>
  </si>
  <si>
    <t>Crédito Sistema CDA: Pgt.BB Con202185580050/0054 / 29</t>
  </si>
  <si>
    <t>Crédito Sistema CDA: Pgt.BB Con202185580050/0054 / 30</t>
  </si>
  <si>
    <t>Crédito Sistema CDA: Pgt.BB Con202185580050/0054 / 31</t>
  </si>
  <si>
    <t>Transferência enviada: 553.309.000.205.826 27/02 11:04 BB TEC 00042318949000184</t>
  </si>
  <si>
    <t>Tarifa Transf Recurso-E/I: Cobrança referente 27/02/2026</t>
  </si>
  <si>
    <t>27-FEV-26001001200000/39</t>
  </si>
  <si>
    <t>%2000%</t>
  </si>
  <si>
    <t>Transferência recebida: 553.307.000.036.846 01/07 15:11 BB CONSORCIOS ADMINISTRA</t>
  </si>
  <si>
    <t>Transferência recebida: 553.309.000.205.826 01/07 12:12 BB TECNOLOGIA E SERVICOS</t>
  </si>
  <si>
    <t>0107001-GYN</t>
  </si>
  <si>
    <t>COBAN CONSORCIOS</t>
  </si>
  <si>
    <t>Transferência enviada 553.309.000.205.826 02/07 10:19 BB TEC 00042318949000184</t>
  </si>
  <si>
    <t>Tar Manuten Conta Ativa 811.830.700.083.461 Cobrança referente 02/07/2026</t>
  </si>
  <si>
    <t>Tarifa Transf Recurso-E/I 821.831.100.029.494</t>
  </si>
  <si>
    <t>TRANSFERÊNCIA</t>
  </si>
  <si>
    <t>02-JUL-26001001200000/2</t>
  </si>
  <si>
    <t>02-JUL-26001001200000/3</t>
  </si>
  <si>
    <t>Transferência recebida 553.309.000.205.826 03/07 13:28 BB TECNOLOGIA E SERVICOS</t>
  </si>
  <si>
    <t>Transferência enviada 553.309.000.205.826 03/07 09:24 BB TEC 00042318949000184</t>
  </si>
  <si>
    <t>Transferência recebida 553.309.000.205.826 06/07 11:52 BB TECNOLOGIA E SERVICOS</t>
  </si>
  <si>
    <t>Bloq Judicial-Bacen Jud 12.637.588.550.401</t>
  </si>
  <si>
    <t>Transferências</t>
  </si>
  <si>
    <t>03-JUL-26001001200000/1</t>
  </si>
  <si>
    <t>03-JUL-26001001200000/2</t>
  </si>
  <si>
    <t>04-JUL-26001001200000/</t>
  </si>
  <si>
    <t>32822,04*</t>
  </si>
  <si>
    <t>Crédito Sistema CDA 94.879.453 Pgt.BB Con202485580047/0018 / 1</t>
  </si>
  <si>
    <t>Pix - Recebido 101.516.215.505.541 10/07 15:16 06105781000165 ZOOMTECH LT</t>
  </si>
  <si>
    <t>Transferência enviada 553.309.000.205.826 10/07 11:09 BB TEC 00042318949000184</t>
  </si>
  <si>
    <t>Transferência enviada 553.309.000.205.826 13/07 10:39 BB TEC 00042318949000184</t>
  </si>
  <si>
    <t>Desbl Judicial-Bacen Jud 573.630.001</t>
  </si>
  <si>
    <t>1007001-GYN</t>
  </si>
  <si>
    <t>1007002-GYN</t>
  </si>
  <si>
    <t>Tarifa bancária: R$ 9,00 por parcela</t>
  </si>
  <si>
    <t>Valor líquido por parcela: R$ 30.045,26</t>
  </si>
  <si>
    <t>Total</t>
  </si>
  <si>
    <t>MANUT ALARME BB</t>
  </si>
  <si>
    <t>SERV INST SWITCHES</t>
  </si>
  <si>
    <t>Transferência recebida 553.307.000.036.846 15/07 17:11 BB CONSORCIOS ADMINISTRA</t>
  </si>
  <si>
    <t>1507001-GYN</t>
  </si>
  <si>
    <t>DEVOLUCAO SEGUROS</t>
  </si>
  <si>
    <t>Recebimento Fornecedor 01.378.407/0001-10 ALIANCA DO BRASIL S</t>
  </si>
  <si>
    <t>Crédito Sistema CDA Pgt.BB Con202285580006/0052 / 1</t>
  </si>
  <si>
    <t>Crédito Sistema CDA 94.831.083 Pgt.BB Con202185580063/0056 / 1</t>
  </si>
  <si>
    <t>Crédito Sistema CDA Pgt.BB Con202485580039/0019 / 1</t>
  </si>
  <si>
    <t>Crédito Sistema CDA Pgt.BB Con202374214555/0036 / 1</t>
  </si>
  <si>
    <t>Crédito Sistema CDA Pgt.BB Con202574214470/0011 / 1</t>
  </si>
  <si>
    <t>Crédito Sistema CDA 94.839.488 Pgt.BB Con202474213303/0023 / 1</t>
  </si>
  <si>
    <t>Crédito Sistema CDA Pgt.BB Con202474210685/0029 / 1</t>
  </si>
  <si>
    <t>Bloq Judicial-Bacen Jud 12.647.273.220.301</t>
  </si>
  <si>
    <t>21.075,51 *</t>
  </si>
  <si>
    <t>Transferência enviada 553.309.000.205.826 14/07 09:29 BB TEC 00042318949000184</t>
  </si>
  <si>
    <t>1407001-GYN</t>
  </si>
  <si>
    <t>1407002-GYN</t>
  </si>
  <si>
    <t>1407003-GYN</t>
  </si>
  <si>
    <t>1407004-GYN</t>
  </si>
  <si>
    <t>1407005-GYN</t>
  </si>
  <si>
    <t>1407006-GYN</t>
  </si>
  <si>
    <t>1407007-GYN</t>
  </si>
  <si>
    <t>1407008-GYN</t>
  </si>
  <si>
    <t>E-MAIL MARKETING BB</t>
  </si>
  <si>
    <t>SUP TEC SW LICENTER</t>
  </si>
  <si>
    <t>SERV GED BB</t>
  </si>
  <si>
    <t>Crédito Sistema CDA Pgt.BB Con202585580001/0017 / 1</t>
  </si>
  <si>
    <t>Crédito Sistema CDA 94.842.682 Pgt.BB Con202274213769/0051 / 1</t>
  </si>
  <si>
    <t>Transferência enviada 553.309.000.205.826 15/07 14:32 BB TEC 00042318949000184</t>
  </si>
  <si>
    <t>1507002-GYN</t>
  </si>
  <si>
    <t>1507003-GYN</t>
  </si>
  <si>
    <t>MANUT REDE MAN BB</t>
  </si>
  <si>
    <t>Transferência enviada 553.309.000.205.826 16/07 10:44 BB TEC 00042318949000184</t>
  </si>
  <si>
    <t>TED-Pag Fornecedores 100.427.047 745 0001 07275920000161 LENOVO TECNOLO</t>
  </si>
  <si>
    <t>Recebimentos Diversos 14.967.001.100.547 13.937.073/0001-56 BAHIA SECRETARIA DA</t>
  </si>
  <si>
    <t>Recebimentos Diversos 14.967.001.100.549 13.937.073/0001-56 BAHIA SECRETARIA DA</t>
  </si>
  <si>
    <t>Devolução ISSQN Retido 24.370.766.010.100</t>
  </si>
  <si>
    <t>Devolução ISSQN Retido 24.370.767.010.100</t>
  </si>
  <si>
    <t>Transferência enviada 553.309.000.205.826 17/07 10:10 BB TEC 00042318949000184</t>
  </si>
  <si>
    <t>3020 e 3021</t>
  </si>
  <si>
    <t>1707001-GYN</t>
  </si>
  <si>
    <t>1707002-GYN</t>
  </si>
  <si>
    <t>1707003-GYN</t>
  </si>
  <si>
    <t>1707004-GYN</t>
  </si>
  <si>
    <t>SERV INST PERIF</t>
  </si>
  <si>
    <t>Crédito Sistema CDA 95.123.448 PAGTO.BB DEMAIS DESP.OPER./CORRESPONDE</t>
  </si>
  <si>
    <t>Transferência enviada 553.309.000.205.826 20/07 14:52 BB TEC 00042318949000184</t>
  </si>
  <si>
    <t>Débito Autorizado 2.014.695.001.002</t>
  </si>
  <si>
    <t>2007001-GYN</t>
  </si>
  <si>
    <t>Transferência recebida: 21/07 17:33 BB GESTAO REC DTVM AS</t>
  </si>
  <si>
    <t>SERV IMPRE BBDTVM</t>
  </si>
  <si>
    <t>2107001-GYN</t>
  </si>
  <si>
    <t>1307001-GYN</t>
  </si>
  <si>
    <t>BLOQ/DESBL/ALVARA JUD TRAB</t>
  </si>
  <si>
    <t>CUSTO DE LICITACOES</t>
  </si>
  <si>
    <t>20-JUL-26001001200000/3</t>
  </si>
  <si>
    <t>CORRESPOND BANCARIO</t>
  </si>
  <si>
    <t>06-JUL-26001001200000/2</t>
  </si>
  <si>
    <t>Crédito CASSI: 33.719.485/0001-27 CAIXA DE ASSISTENCI</t>
  </si>
  <si>
    <t>Crédito Sistema CDA: Pgt.BB Con202585580006/0016 / 1</t>
  </si>
  <si>
    <t>Crédito Sistema CDA: Pgt.BB Con202385580035/0030 / 1</t>
  </si>
  <si>
    <t>Transferência enviada 553.309.000.205.826 22/07 12:30 BB TEC 00042318949000184</t>
  </si>
  <si>
    <t>Tarifa Transf Recurso-E/I: Cobrança referente 22/07/2026</t>
  </si>
  <si>
    <t>2207001-GYN</t>
  </si>
  <si>
    <t>2207002-GYN</t>
  </si>
  <si>
    <t>2207003-GYN</t>
  </si>
  <si>
    <t>SUP TEC SOFTWARE</t>
  </si>
  <si>
    <t>SUP SOFTW TRIBUNAIS</t>
  </si>
  <si>
    <t>Transferência recebida: 23/07 18:26 BB CONSORCIOS ADMINISTRA</t>
  </si>
  <si>
    <t>Transferência recebida: 553.309.000.205.826 23/07 12:54 BB TECNOLOGIA E SERVICOS</t>
  </si>
  <si>
    <t>Bloq Judicial-Bacen Jud 12.658.349.970.901</t>
  </si>
  <si>
    <t>21.991,26 *</t>
  </si>
  <si>
    <t>2307001-GYN</t>
  </si>
  <si>
    <t>ORPAG ORIGEM EXTERIOR</t>
  </si>
  <si>
    <t>Crédito Sistema CDA: Pgt.BB Con202374212408/0039 / 1</t>
  </si>
  <si>
    <t>Crédito Sistema CDA: Pgt.BB Con202585580036/0009 / 1</t>
  </si>
  <si>
    <t>Crédito Sistema CDA: Pgt.BB Con202285580044/0042 / 1</t>
  </si>
  <si>
    <t>Crédito Sistema CDA: Pgt.BB Con202585580037/0009 / 1</t>
  </si>
  <si>
    <t>14-JUL-26001001200000/10</t>
  </si>
  <si>
    <t>Transferência enviada: 553.309.000.205.826 21/07 16:22 BB TEC 00042318949000184</t>
  </si>
  <si>
    <t>22-JUL-26001001200000/5</t>
  </si>
  <si>
    <t>VALOR BLOQUEADO NÃO AFETA O SALDO, NÃO LANÇAR</t>
  </si>
  <si>
    <t>2407001-GYN</t>
  </si>
  <si>
    <t>GERENC MENSAGENS SMS</t>
  </si>
  <si>
    <t>2407002-GYN</t>
  </si>
  <si>
    <t>FAB DESENV SOFT BB</t>
  </si>
  <si>
    <t>2407003-GYN</t>
  </si>
  <si>
    <t>2407005-GYN</t>
  </si>
  <si>
    <t>SOLUCAO HCL</t>
  </si>
  <si>
    <t>2407004-GYN</t>
  </si>
  <si>
    <t>APLICAT BANCO BRASIL</t>
  </si>
  <si>
    <t>SERV NOBREAK BB</t>
  </si>
  <si>
    <t>2407006-GYN</t>
  </si>
  <si>
    <t>Tarifa Transf Recurso-E/I: Cobrança referente 24/07/2026</t>
  </si>
  <si>
    <t>Transferência enviada: 553.309.000.205.826 24/07 10:23 BB TEC 00042318949000184</t>
  </si>
  <si>
    <t>24-JUL-26001001200000/8</t>
  </si>
  <si>
    <t>Transferência enviada 553.309.000.205.826 27/07 11:59 BB TEC 00042318949000184</t>
  </si>
  <si>
    <t>Tarifa Transf Recurso-E/I: Cobrança referente 27/07/2026</t>
  </si>
  <si>
    <t>27-JUL-26001001200000/2</t>
  </si>
  <si>
    <t>23-JUL-26001001200000/3</t>
  </si>
  <si>
    <t>VALORES BLOQUEADOS NÃO AFETA O SALDO</t>
  </si>
  <si>
    <t>Recebimentos Diversos: 00.544.659/0001-09 BB-PREVIDENCIA FUND</t>
  </si>
  <si>
    <t>Crédito Sistema CDA: Pgt.BB Con202574216943/0007 / 1</t>
  </si>
  <si>
    <t>Crédito Sistema CDA: Pgt.BB Con202574216943/0007 / 2</t>
  </si>
  <si>
    <t>2807001-GYN</t>
  </si>
  <si>
    <t>2807002-GYN</t>
  </si>
  <si>
    <t>2807003-GYN</t>
  </si>
  <si>
    <t xml:space="preserve">Crédito Sistema CDA: Pgt.BB Con202185580061/0062 / 1       </t>
  </si>
  <si>
    <t xml:space="preserve">Crédito Sistema CDA: Pgt.BB Con202185580038/0070 / 1       </t>
  </si>
  <si>
    <t xml:space="preserve">Crédito Sistema CDA: Pgt.BB Con202274213769/0052 / 1       </t>
  </si>
  <si>
    <t xml:space="preserve">Crédito Sistema CDA: PAGTO.BB CONVENIO COOPERATIVA         </t>
  </si>
  <si>
    <t>Crédito Sistema CDA: PAGTO.BB DEMAIS DESP.OPER./CORRESPONDE</t>
  </si>
  <si>
    <t>Crédito Sistema CDA: PAGTO.BB CONTA CORRENTE COM COMPULSORI</t>
  </si>
  <si>
    <t>Crédito Sistema CDA: PAGTO.BB CREDITO IMOBILIARIO PMCMV AQU</t>
  </si>
  <si>
    <t xml:space="preserve">Crédito Sistema CDA: PAGTO.BB BB CREDITO CONSIGNACAO - NAO </t>
  </si>
  <si>
    <t xml:space="preserve">Crédito Sistema CDA: Pgt.BB Con202685580039/0002 / 1       </t>
  </si>
  <si>
    <t xml:space="preserve">Crédito Sistema CDA: Pgt.BB Con202685580039/0002 / 2       </t>
  </si>
  <si>
    <t xml:space="preserve">Crédito Sistema CDA: Pgt.BB Con202685580039/0002 / 3       </t>
  </si>
  <si>
    <t xml:space="preserve">Crédito Sistema CDA: Pgt.BB Con202685580039/0002 / 4       </t>
  </si>
  <si>
    <t xml:space="preserve">Crédito Sistema CDA: Pgt.BB Con202685580039/0002 / 5       </t>
  </si>
  <si>
    <t xml:space="preserve">Crédito Sistema CDA: Pgt.BB Con202685580039/0002 / 6       </t>
  </si>
  <si>
    <t xml:space="preserve">Crédito Sistema CDA: Pgt.BB Con202685580039/0002 / 7       </t>
  </si>
  <si>
    <t xml:space="preserve">Crédito Sistema CDA: Pgt.BB Con202685580039/0002 / 8       </t>
  </si>
  <si>
    <t xml:space="preserve">Crédito Sistema CDA: Pgt.BB Con202685580039/0002 / 9       </t>
  </si>
  <si>
    <t xml:space="preserve">Crédito Sistema CDA: Pgt.BB Con202685580039/0002 / 10      </t>
  </si>
  <si>
    <t xml:space="preserve">Crédito Sistema CDA: Pgt.BB Con202685580039/0002 / 11      </t>
  </si>
  <si>
    <t xml:space="preserve">Crédito Sistema CDA: Pgt.BB Con202685580039/0002 / 12      </t>
  </si>
  <si>
    <t xml:space="preserve">Crédito Sistema CDA: Pgt.BB Con202685580039/0002 / 13      </t>
  </si>
  <si>
    <t xml:space="preserve">Crédito Sistema CDA: Pgt.BB Con202685580039/0002 / 14      </t>
  </si>
  <si>
    <t xml:space="preserve">Crédito Sistema CDA: Pgt.BB Con202685580039/0002 / 15      </t>
  </si>
  <si>
    <t xml:space="preserve">Crédito Sistema CDA: Pgt.BB Con202685580039/0002 / 16      </t>
  </si>
  <si>
    <t xml:space="preserve">Crédito Sistema CDA: Pgt.BB Con202685580039/0002 / 17      </t>
  </si>
  <si>
    <t xml:space="preserve">Crédito Sistema CDA: Pgt.BB Con202685580039/0002 / 18      </t>
  </si>
  <si>
    <t xml:space="preserve">Crédito Sistema CDA: Pgt.BB Con202685580039/0002 / 19      </t>
  </si>
  <si>
    <t xml:space="preserve">Crédito Sistema CDA: Pgt.BB Con202685580039/0002 / 20      </t>
  </si>
  <si>
    <t xml:space="preserve">Crédito Sistema CDA: Pgt.BB Con202685580039/0002 / 21      </t>
  </si>
  <si>
    <t xml:space="preserve">Crédito Sistema CDA: Pgt.BB Con202685580039/0002 / 22      </t>
  </si>
  <si>
    <t xml:space="preserve">Crédito Sistema CDA: Pgt.BB Con202685580039/0002 / 23      </t>
  </si>
  <si>
    <t xml:space="preserve">Crédito Sistema CDA: Pgt.BB Con202685580039/0002 / 24      </t>
  </si>
  <si>
    <t xml:space="preserve">Crédito Sistema CDA: Pgt.BB Con202685580039/0002 / 25      </t>
  </si>
  <si>
    <t xml:space="preserve">Crédito Sistema CDA: Pgt.BB Con202685580039/0002 / 26      </t>
  </si>
  <si>
    <t xml:space="preserve">Crédito Sistema CDA: Pgt.BB Con202685580039/0002 / 27      </t>
  </si>
  <si>
    <t xml:space="preserve">Crédito Sistema CDA: Pgt.BB Con202685580039/0002 / 28      </t>
  </si>
  <si>
    <t xml:space="preserve">Crédito Sistema CDA: Pgt.BB Con202685580039/0002 / 29      </t>
  </si>
  <si>
    <t xml:space="preserve">Crédito Sistema CDA: Pgt.BB Con202685580039/0002 / 30      </t>
  </si>
  <si>
    <t xml:space="preserve">Crédito Sistema CDA: Pgt.BB Con202685580039/0002 / 31      </t>
  </si>
  <si>
    <t xml:space="preserve">Pagamento a Fornecedor: 24.383.371.010.100                                     </t>
  </si>
  <si>
    <t xml:space="preserve">Tarifa Transf Recurso-E/I:Cobrança referente 29/07/2026         </t>
  </si>
  <si>
    <t xml:space="preserve">Transferência enviada: 553.309.000.205.826 29/07 12:23 BB TEC 00042318949000184  </t>
  </si>
  <si>
    <t>29-JUL-26001001200000/46</t>
  </si>
  <si>
    <t>2907001-GYN</t>
  </si>
  <si>
    <t>2907002-GYN</t>
  </si>
  <si>
    <t>2907003-GYN</t>
  </si>
  <si>
    <t>2907004-GYN</t>
  </si>
  <si>
    <t>2907005-GYN</t>
  </si>
  <si>
    <t>2907006-GYN</t>
  </si>
  <si>
    <t>2907007-GYN</t>
  </si>
  <si>
    <t>2907008-GYN</t>
  </si>
  <si>
    <t>2907009-GYN</t>
  </si>
  <si>
    <t>2907010-GYN</t>
  </si>
  <si>
    <t>2907011-GYN</t>
  </si>
  <si>
    <t>2907012-GYN</t>
  </si>
  <si>
    <t>2907013-GYN</t>
  </si>
  <si>
    <t>2907014-GYN</t>
  </si>
  <si>
    <t>2907015-GYN</t>
  </si>
  <si>
    <t>2907016-GYN</t>
  </si>
  <si>
    <t>2907017-GYN</t>
  </si>
  <si>
    <t>2907018-GYN</t>
  </si>
  <si>
    <t>2907019-GYN</t>
  </si>
  <si>
    <t>2907020-GYN</t>
  </si>
  <si>
    <t>2907021-GYN</t>
  </si>
  <si>
    <t>2907022-GYN</t>
  </si>
  <si>
    <t>2907023-GYN</t>
  </si>
  <si>
    <t>2907024-GYN</t>
  </si>
  <si>
    <t>2907025-GYN</t>
  </si>
  <si>
    <t>2907026-GYN</t>
  </si>
  <si>
    <t>2907027-GYN</t>
  </si>
  <si>
    <t>2907028-GYN</t>
  </si>
  <si>
    <t>2907029-GYN</t>
  </si>
  <si>
    <t>2907030-GYN</t>
  </si>
  <si>
    <t>2907031-GYN</t>
  </si>
  <si>
    <t>2907032-GYN</t>
  </si>
  <si>
    <t>2907033-GYN</t>
  </si>
  <si>
    <t>2907034-GYN</t>
  </si>
  <si>
    <t>2907035-GYN</t>
  </si>
  <si>
    <t>2907036-GYN</t>
  </si>
  <si>
    <t>2907037-GYN</t>
  </si>
  <si>
    <t>2907038-GYN</t>
  </si>
  <si>
    <t>2907039-GYN</t>
  </si>
  <si>
    <t>2907040-GYN</t>
  </si>
  <si>
    <t>2907041-GYN</t>
  </si>
  <si>
    <t>2907042-GYN</t>
  </si>
  <si>
    <t>2907043-GYN</t>
  </si>
  <si>
    <t>2907044-GYN</t>
  </si>
  <si>
    <t>MANUT PROGR COMPUT</t>
  </si>
  <si>
    <t>MONITORA AMBIENTE BB</t>
  </si>
  <si>
    <t>VALOR LIQUIDO RECEBIDO</t>
  </si>
  <si>
    <t>CONT CENTER CABB</t>
  </si>
  <si>
    <t>Transferência enviada: 553.309.000.205.826 30/07 10:16 BB TEC 00042318949000184</t>
  </si>
  <si>
    <t>Retenção IOF a Recolher</t>
  </si>
  <si>
    <t>Câmbio</t>
  </si>
  <si>
    <t>Retenção Imposto de Renda</t>
  </si>
  <si>
    <t>Tarifa Transf Recurso-E/I: Cobrança referente 30/07/2026</t>
  </si>
  <si>
    <t>30-JUL-26001001200000/5</t>
  </si>
  <si>
    <t>FATURAMENTO REPASSE</t>
  </si>
  <si>
    <t>Transferência recebida 613.309.000.205.826 31/07 09:47 BB TECNOLOGIA E SERVICOS</t>
  </si>
  <si>
    <t>Recebimento Fornecedor: 27.833.136/0001-39 BB CORRETORA DE SEG</t>
  </si>
  <si>
    <t>3107001-GYN</t>
  </si>
  <si>
    <t>PRODUTOS SEGURIDADE</t>
  </si>
  <si>
    <t>TARIFAS VERIFICAR EMAIL PARCELAMENTO ZOOMTECH</t>
  </si>
  <si>
    <t>RECEBIMENTO DE MULTAS FORNEC.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</si>
</sst>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%"/>
    <numFmt numFmtId="165" formatCode="0.00000%"/>
    <numFmt numFmtId="166" formatCode="0.000%"/>
    <numFmt numFmtId="167" formatCode="0.000000%"/>
    <numFmt numFmtId="168" formatCode="0.0%"/>
    <numFmt numFmtId="169" formatCode="0.00000000%"/>
    <numFmt numFmtId="170" formatCode="[$-416]d\-mmm\-yy;@"/>
    <numFmt numFmtId="171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12"/>
      <color theme="1"/>
      <name val="Aptos Narrow"/>
      <family val="2"/>
    </font>
    <font>
      <sz val="10"/>
      <color rgb="FF000000"/>
      <name val="Arial Unicode MS"/>
    </font>
    <font>
      <b/>
      <sz val="10"/>
      <color rgb="FF000000"/>
      <name val="Arial Unicode MS"/>
    </font>
    <font>
      <b/>
      <sz val="12"/>
      <color theme="1"/>
      <name val="Aptos Narrow"/>
      <family val="2"/>
    </font>
    <font>
      <sz val="11"/>
      <color rgb="FF000000"/>
      <name val="Arial"/>
      <family val="2"/>
    </font>
    <font>
      <sz val="12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9">
    <xf numFmtId="0" fontId="0" fillId="0" borderId="0" xfId="0"/>
    <xf numFmtId="0" fontId="4" fillId="0" borderId="0" xfId="0" applyFont="1"/>
    <xf numFmtId="44" fontId="4" fillId="0" borderId="0" xfId="1" applyFont="1"/>
    <xf numFmtId="0" fontId="2" fillId="0" borderId="0" xfId="0" applyFont="1" applyAlignment="1">
      <alignment horizontal="center" vertical="center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44" fontId="0" fillId="0" borderId="0" xfId="1" applyFont="1"/>
    <xf numFmtId="0" fontId="3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/>
    </xf>
    <xf numFmtId="44" fontId="3" fillId="0" borderId="2" xfId="1" applyFont="1" applyBorder="1"/>
    <xf numFmtId="44" fontId="3" fillId="3" borderId="2" xfId="1" applyFont="1" applyFill="1" applyBorder="1"/>
    <xf numFmtId="44" fontId="3" fillId="4" borderId="2" xfId="1" applyFont="1" applyFill="1" applyBorder="1"/>
    <xf numFmtId="44" fontId="5" fillId="0" borderId="2" xfId="1" applyFont="1" applyFill="1" applyBorder="1"/>
    <xf numFmtId="44" fontId="2" fillId="0" borderId="2" xfId="1" applyFont="1" applyBorder="1"/>
    <xf numFmtId="2" fontId="0" fillId="0" borderId="0" xfId="0" applyNumberFormat="1"/>
    <xf numFmtId="0" fontId="2" fillId="0" borderId="3" xfId="0" applyFont="1" applyBorder="1" applyAlignment="1">
      <alignment horizontal="center"/>
    </xf>
    <xf numFmtId="44" fontId="0" fillId="0" borderId="3" xfId="1" applyFont="1" applyBorder="1"/>
    <xf numFmtId="0" fontId="0" fillId="0" borderId="3" xfId="0" applyBorder="1" applyAlignment="1">
      <alignment horizontal="center"/>
    </xf>
    <xf numFmtId="44" fontId="0" fillId="0" borderId="0" xfId="0" applyNumberFormat="1"/>
    <xf numFmtId="44" fontId="3" fillId="0" borderId="2" xfId="1" applyFont="1" applyFill="1" applyBorder="1"/>
    <xf numFmtId="164" fontId="0" fillId="0" borderId="0" xfId="2" applyNumberFormat="1" applyFont="1"/>
    <xf numFmtId="44" fontId="0" fillId="0" borderId="0" xfId="1" applyFont="1" applyAlignment="1">
      <alignment horizontal="center"/>
    </xf>
    <xf numFmtId="4" fontId="0" fillId="0" borderId="0" xfId="0" applyNumberFormat="1"/>
    <xf numFmtId="0" fontId="2" fillId="0" borderId="3" xfId="0" applyFont="1" applyBorder="1"/>
    <xf numFmtId="44" fontId="0" fillId="0" borderId="3" xfId="1" applyFont="1" applyFill="1" applyBorder="1"/>
    <xf numFmtId="44" fontId="2" fillId="0" borderId="3" xfId="0" applyNumberFormat="1" applyFont="1" applyBorder="1"/>
    <xf numFmtId="44" fontId="2" fillId="0" borderId="3" xfId="1" applyFont="1" applyBorder="1" applyAlignment="1">
      <alignment horizontal="center"/>
    </xf>
    <xf numFmtId="4" fontId="7" fillId="0" borderId="0" xfId="0" applyNumberFormat="1" applyFont="1" applyAlignment="1">
      <alignment vertical="center"/>
    </xf>
    <xf numFmtId="165" fontId="0" fillId="0" borderId="0" xfId="2" applyNumberFormat="1" applyFont="1"/>
    <xf numFmtId="44" fontId="2" fillId="0" borderId="3" xfId="1" applyFont="1" applyBorder="1"/>
    <xf numFmtId="166" fontId="0" fillId="0" borderId="0" xfId="2" applyNumberFormat="1" applyFont="1"/>
    <xf numFmtId="0" fontId="3" fillId="5" borderId="2" xfId="0" applyFont="1" applyFill="1" applyBorder="1"/>
    <xf numFmtId="44" fontId="3" fillId="5" borderId="2" xfId="1" applyFont="1" applyFill="1" applyBorder="1"/>
    <xf numFmtId="0" fontId="3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10" fontId="0" fillId="0" borderId="0" xfId="2" applyNumberFormat="1" applyFont="1"/>
    <xf numFmtId="15" fontId="2" fillId="0" borderId="0" xfId="0" applyNumberFormat="1" applyFont="1" applyAlignment="1">
      <alignment horizontal="center" vertical="center"/>
    </xf>
    <xf numFmtId="9" fontId="0" fillId="0" borderId="0" xfId="0" applyNumberFormat="1"/>
    <xf numFmtId="0" fontId="2" fillId="0" borderId="0" xfId="0" applyFont="1" applyAlignment="1">
      <alignment horizontal="center"/>
    </xf>
    <xf numFmtId="167" fontId="0" fillId="0" borderId="0" xfId="2" applyNumberFormat="1" applyFont="1"/>
    <xf numFmtId="4" fontId="2" fillId="0" borderId="0" xfId="0" applyNumberFormat="1" applyFont="1" applyAlignment="1">
      <alignment horizontal="center" vertical="center"/>
    </xf>
    <xf numFmtId="166" fontId="2" fillId="0" borderId="0" xfId="2" applyNumberFormat="1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44" fontId="0" fillId="0" borderId="3" xfId="1" applyFont="1" applyFill="1" applyBorder="1" applyAlignment="1">
      <alignment horizontal="center"/>
    </xf>
    <xf numFmtId="44" fontId="2" fillId="0" borderId="3" xfId="0" applyNumberFormat="1" applyFont="1" applyBorder="1" applyAlignment="1">
      <alignment horizontal="center"/>
    </xf>
    <xf numFmtId="44" fontId="2" fillId="0" borderId="3" xfId="1" applyFont="1" applyFill="1" applyBorder="1" applyAlignment="1">
      <alignment horizontal="center"/>
    </xf>
    <xf numFmtId="44" fontId="0" fillId="0" borderId="0" xfId="1" applyFont="1" applyFill="1"/>
    <xf numFmtId="44" fontId="2" fillId="0" borderId="3" xfId="1" applyFont="1" applyFill="1" applyBorder="1"/>
    <xf numFmtId="44" fontId="2" fillId="0" borderId="5" xfId="1" applyFont="1" applyFill="1" applyBorder="1" applyAlignment="1">
      <alignment horizontal="center"/>
    </xf>
    <xf numFmtId="43" fontId="0" fillId="0" borderId="0" xfId="3" applyFont="1"/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3" fillId="5" borderId="4" xfId="0" applyFont="1" applyFill="1" applyBorder="1"/>
    <xf numFmtId="44" fontId="3" fillId="5" borderId="4" xfId="1" applyFont="1" applyFill="1" applyBorder="1"/>
    <xf numFmtId="0" fontId="3" fillId="5" borderId="4" xfId="0" applyFont="1" applyFill="1" applyBorder="1" applyAlignment="1">
      <alignment horizontal="center"/>
    </xf>
    <xf numFmtId="164" fontId="2" fillId="0" borderId="6" xfId="2" applyNumberFormat="1" applyFont="1" applyFill="1" applyBorder="1"/>
    <xf numFmtId="0" fontId="5" fillId="6" borderId="2" xfId="0" applyFont="1" applyFill="1" applyBorder="1"/>
    <xf numFmtId="44" fontId="5" fillId="6" borderId="2" xfId="1" applyFont="1" applyFill="1" applyBorder="1"/>
    <xf numFmtId="15" fontId="0" fillId="0" borderId="0" xfId="2" applyNumberFormat="1" applyFont="1"/>
    <xf numFmtId="43" fontId="0" fillId="0" borderId="0" xfId="3" applyFont="1" applyAlignment="1">
      <alignment horizontal="left"/>
    </xf>
    <xf numFmtId="168" fontId="0" fillId="0" borderId="0" xfId="2" applyNumberFormat="1" applyFont="1"/>
    <xf numFmtId="2" fontId="2" fillId="0" borderId="3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10" fontId="2" fillId="0" borderId="0" xfId="2" applyNumberFormat="1" applyFont="1" applyAlignment="1">
      <alignment horizontal="center"/>
    </xf>
    <xf numFmtId="2" fontId="2" fillId="0" borderId="3" xfId="1" applyNumberFormat="1" applyFont="1" applyFill="1" applyBorder="1"/>
    <xf numFmtId="15" fontId="0" fillId="0" borderId="0" xfId="3" applyNumberFormat="1" applyFont="1"/>
    <xf numFmtId="169" fontId="0" fillId="0" borderId="0" xfId="2" applyNumberFormat="1" applyFont="1"/>
    <xf numFmtId="44" fontId="8" fillId="0" borderId="3" xfId="1" applyFont="1" applyBorder="1" applyAlignment="1">
      <alignment vertical="center"/>
    </xf>
    <xf numFmtId="0" fontId="0" fillId="3" borderId="0" xfId="0" applyFill="1"/>
    <xf numFmtId="2" fontId="5" fillId="0" borderId="2" xfId="0" applyNumberFormat="1" applyFont="1" applyBorder="1"/>
    <xf numFmtId="0" fontId="9" fillId="5" borderId="4" xfId="0" applyFont="1" applyFill="1" applyBorder="1" applyAlignment="1">
      <alignment horizontal="center"/>
    </xf>
    <xf numFmtId="44" fontId="5" fillId="0" borderId="2" xfId="1" applyFont="1" applyBorder="1"/>
    <xf numFmtId="0" fontId="0" fillId="0" borderId="2" xfId="0" applyBorder="1" applyAlignment="1">
      <alignment horizontal="center"/>
    </xf>
    <xf numFmtId="164" fontId="0" fillId="0" borderId="0" xfId="2" applyNumberFormat="1" applyFont="1" applyFill="1"/>
    <xf numFmtId="164" fontId="2" fillId="0" borderId="0" xfId="2" applyNumberFormat="1" applyFont="1" applyAlignment="1">
      <alignment horizontal="center"/>
    </xf>
    <xf numFmtId="44" fontId="0" fillId="0" borderId="3" xfId="1" applyFont="1" applyBorder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horizontal="center"/>
    </xf>
    <xf numFmtId="0" fontId="0" fillId="0" borderId="0" xfId="2" applyNumberFormat="1" applyFont="1"/>
    <xf numFmtId="170" fontId="0" fillId="0" borderId="0" xfId="0" applyNumberFormat="1"/>
    <xf numFmtId="0" fontId="2" fillId="0" borderId="8" xfId="0" applyFont="1" applyBorder="1" applyAlignment="1">
      <alignment horizontal="center"/>
    </xf>
    <xf numFmtId="171" fontId="0" fillId="0" borderId="3" xfId="1" applyNumberFormat="1" applyFont="1" applyBorder="1"/>
    <xf numFmtId="2" fontId="0" fillId="0" borderId="3" xfId="1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44" fontId="0" fillId="0" borderId="0" xfId="1" applyFont="1" applyFill="1" applyBorder="1" applyAlignment="1">
      <alignment horizontal="center"/>
    </xf>
    <xf numFmtId="2" fontId="0" fillId="0" borderId="0" xfId="1" applyNumberFormat="1" applyFont="1" applyFill="1" applyBorder="1" applyAlignment="1">
      <alignment horizontal="center"/>
    </xf>
    <xf numFmtId="44" fontId="2" fillId="0" borderId="0" xfId="1" applyFont="1" applyFill="1" applyBorder="1" applyAlignment="1">
      <alignment horizontal="center"/>
    </xf>
    <xf numFmtId="0" fontId="0" fillId="0" borderId="0" xfId="1" applyNumberFormat="1" applyFont="1" applyFill="1" applyBorder="1"/>
    <xf numFmtId="44" fontId="0" fillId="0" borderId="0" xfId="1" applyFont="1" applyFill="1" applyBorder="1"/>
    <xf numFmtId="0" fontId="2" fillId="6" borderId="9" xfId="0" applyFont="1" applyFill="1" applyBorder="1" applyAlignment="1">
      <alignment horizontal="center"/>
    </xf>
    <xf numFmtId="44" fontId="2" fillId="0" borderId="0" xfId="0" applyNumberFormat="1" applyFont="1"/>
    <xf numFmtId="0" fontId="8" fillId="0" borderId="3" xfId="0" applyFont="1" applyBorder="1" applyAlignment="1">
      <alignment horizontal="center" vertical="center"/>
    </xf>
    <xf numFmtId="44" fontId="7" fillId="0" borderId="3" xfId="1" applyFont="1" applyBorder="1" applyAlignment="1">
      <alignment vertical="center"/>
    </xf>
    <xf numFmtId="4" fontId="0" fillId="0" borderId="0" xfId="0" applyNumberFormat="1" applyAlignment="1">
      <alignment horizontal="center"/>
    </xf>
    <xf numFmtId="170" fontId="0" fillId="0" borderId="0" xfId="2" applyNumberFormat="1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/>
    <xf numFmtId="0" fontId="2" fillId="6" borderId="10" xfId="0" applyFont="1" applyFill="1" applyBorder="1"/>
    <xf numFmtId="0" fontId="2" fillId="6" borderId="11" xfId="0" applyFont="1" applyFill="1" applyBorder="1"/>
    <xf numFmtId="44" fontId="0" fillId="0" borderId="3" xfId="1" applyFont="1" applyFill="1" applyBorder="1" applyAlignment="1">
      <alignment horizontal="left" indent="2"/>
    </xf>
    <xf numFmtId="4" fontId="11" fillId="0" borderId="0" xfId="0" applyNumberFormat="1" applyFont="1"/>
    <xf numFmtId="0" fontId="11" fillId="0" borderId="0" xfId="0" applyFont="1"/>
    <xf numFmtId="0" fontId="0" fillId="0" borderId="3" xfId="0" applyBorder="1"/>
    <xf numFmtId="0" fontId="2" fillId="6" borderId="12" xfId="0" applyFont="1" applyFill="1" applyBorder="1" applyAlignment="1">
      <alignment horizontal="center"/>
    </xf>
    <xf numFmtId="0" fontId="0" fillId="6" borderId="2" xfId="0" applyFill="1" applyBorder="1"/>
    <xf numFmtId="0" fontId="0" fillId="2" borderId="2" xfId="0" applyFill="1" applyBorder="1"/>
    <xf numFmtId="0" fontId="2" fillId="2" borderId="2" xfId="0" applyFont="1" applyFill="1" applyBorder="1" applyAlignment="1">
      <alignment horizontal="center" vertical="center"/>
    </xf>
    <xf numFmtId="0" fontId="5" fillId="2" borderId="2" xfId="0" applyFont="1" applyFill="1" applyBorder="1"/>
    <xf numFmtId="44" fontId="5" fillId="2" borderId="2" xfId="1" applyFont="1" applyFill="1" applyBorder="1"/>
    <xf numFmtId="0" fontId="0" fillId="6" borderId="3" xfId="0" applyFill="1" applyBorder="1" applyAlignment="1">
      <alignment horizontal="center"/>
    </xf>
    <xf numFmtId="44" fontId="0" fillId="6" borderId="3" xfId="1" applyFont="1" applyFill="1" applyBorder="1"/>
    <xf numFmtId="44" fontId="0" fillId="6" borderId="3" xfId="1" applyFont="1" applyFill="1" applyBorder="1" applyAlignment="1">
      <alignment horizontal="left" indent="3"/>
    </xf>
    <xf numFmtId="44" fontId="0" fillId="6" borderId="2" xfId="1" applyFont="1" applyFill="1" applyBorder="1" applyAlignment="1">
      <alignment horizontal="center"/>
    </xf>
    <xf numFmtId="44" fontId="0" fillId="6" borderId="2" xfId="1" applyFont="1" applyFill="1" applyBorder="1"/>
    <xf numFmtId="0" fontId="2" fillId="6" borderId="3" xfId="0" applyFont="1" applyFill="1" applyBorder="1" applyAlignment="1">
      <alignment horizontal="center"/>
    </xf>
    <xf numFmtId="44" fontId="2" fillId="6" borderId="3" xfId="1" applyFont="1" applyFill="1" applyBorder="1" applyAlignment="1">
      <alignment horizontal="center"/>
    </xf>
    <xf numFmtId="44" fontId="5" fillId="2" borderId="2" xfId="1" applyFont="1" applyFill="1" applyBorder="1" applyAlignment="1">
      <alignment horizontal="right"/>
    </xf>
    <xf numFmtId="0" fontId="2" fillId="6" borderId="1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44" fontId="5" fillId="6" borderId="2" xfId="1" applyFont="1" applyFill="1" applyBorder="1" applyAlignment="1">
      <alignment horizontal="center"/>
    </xf>
    <xf numFmtId="44" fontId="5" fillId="6" borderId="2" xfId="1" applyFont="1" applyFill="1" applyBorder="1" applyAlignment="1">
      <alignment horizontal="right"/>
    </xf>
    <xf numFmtId="44" fontId="0" fillId="0" borderId="3" xfId="1" applyFont="1" applyFill="1" applyBorder="1" applyAlignment="1">
      <alignment horizontal="left" indent="3"/>
    </xf>
    <xf numFmtId="43" fontId="2" fillId="6" borderId="7" xfId="3" applyFont="1" applyFill="1" applyBorder="1" applyAlignment="1">
      <alignment vertical="center"/>
    </xf>
    <xf numFmtId="43" fontId="0" fillId="0" borderId="0" xfId="3" applyFont="1" applyFill="1" applyBorder="1"/>
    <xf numFmtId="43" fontId="0" fillId="0" borderId="0" xfId="3" applyFont="1" applyAlignment="1">
      <alignment horizontal="center"/>
    </xf>
    <xf numFmtId="43" fontId="2" fillId="6" borderId="7" xfId="3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2" fontId="0" fillId="0" borderId="0" xfId="1" applyNumberFormat="1" applyFont="1" applyFill="1" applyBorder="1"/>
    <xf numFmtId="0" fontId="2" fillId="6" borderId="12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2" fillId="6" borderId="3" xfId="0" applyNumberFormat="1" applyFont="1" applyFill="1" applyBorder="1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67EE-9AC4-49AB-8272-06BAC6E4C503}">
  <sheetPr>
    <tabColor rgb="FF00B050"/>
  </sheetPr>
  <dimension ref="A1:N33"/>
  <sheetViews>
    <sheetView topLeftCell="A23" workbookViewId="0">
      <selection activeCell="A33" sqref="A33"/>
    </sheetView>
  </sheetViews>
  <sheetFormatPr defaultRowHeight="14.5"/>
  <cols>
    <col min="1" max="1" width="89.90625" bestFit="1" customWidth="1"/>
    <col min="2" max="2" width="18.81640625" style="11" bestFit="1" customWidth="1"/>
    <col min="3" max="3" width="27.1796875" bestFit="1" customWidth="1"/>
    <col min="4" max="4" width="26.1796875" bestFit="1" customWidth="1"/>
    <col min="5" max="5" width="26.08984375" style="3" bestFit="1" customWidth="1"/>
    <col min="6" max="6" width="7.08984375" customWidth="1"/>
    <col min="7" max="7" width="14.36328125" bestFit="1" customWidth="1"/>
    <col min="8" max="8" width="16.90625" bestFit="1" customWidth="1"/>
    <col min="9" max="9" width="14.1796875" bestFit="1" customWidth="1"/>
    <col min="10" max="10" width="15.36328125" bestFit="1" customWidth="1"/>
    <col min="11" max="13" width="14.1796875" bestFit="1" customWidth="1"/>
    <col min="14" max="14" width="16.632812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C2" s="30"/>
      <c r="D2" s="28"/>
    </row>
    <row r="3" spans="1:14" ht="15.5">
      <c r="A3" s="16" t="s">
        <v>5</v>
      </c>
      <c r="B3" s="17">
        <v>199998.30000000447</v>
      </c>
      <c r="E3" s="15"/>
    </row>
    <row r="4" spans="1:14" ht="16">
      <c r="A4" s="39" t="s">
        <v>0</v>
      </c>
      <c r="B4" s="40">
        <f>SUM(B5:B18)</f>
        <v>3698871.93</v>
      </c>
      <c r="C4" s="41" t="s">
        <v>1</v>
      </c>
      <c r="D4" s="42" t="s">
        <v>7</v>
      </c>
      <c r="E4" s="43" t="s">
        <v>2</v>
      </c>
    </row>
    <row r="5" spans="1:14" ht="16" thickBot="1">
      <c r="A5" s="67" t="s">
        <v>74</v>
      </c>
      <c r="B5" s="68">
        <v>3698870.23</v>
      </c>
      <c r="C5" s="61" t="s">
        <v>19</v>
      </c>
      <c r="D5" s="61" t="s">
        <v>76</v>
      </c>
      <c r="E5" s="62" t="s">
        <v>77</v>
      </c>
    </row>
    <row r="6" spans="1:14" ht="16" thickBot="1">
      <c r="A6" s="67" t="s">
        <v>75</v>
      </c>
      <c r="B6" s="68">
        <v>1.7</v>
      </c>
      <c r="C6" s="61" t="s">
        <v>19</v>
      </c>
      <c r="D6" s="61"/>
      <c r="E6" s="62" t="s">
        <v>81</v>
      </c>
      <c r="G6" s="23" t="s">
        <v>8</v>
      </c>
      <c r="H6" s="34" t="s">
        <v>12</v>
      </c>
      <c r="I6" s="56" t="s">
        <v>17</v>
      </c>
      <c r="J6" s="56" t="s">
        <v>10</v>
      </c>
    </row>
    <row r="7" spans="1:14" ht="16" thickBot="1">
      <c r="A7" s="8"/>
      <c r="B7" s="20"/>
      <c r="C7" s="10"/>
      <c r="D7" s="10"/>
      <c r="E7" s="7"/>
      <c r="G7" s="25">
        <v>114</v>
      </c>
      <c r="H7" s="24">
        <v>3755198.2</v>
      </c>
      <c r="I7" s="24">
        <f>H7*1.5%</f>
        <v>56327.972999999998</v>
      </c>
      <c r="J7" s="24">
        <f>H7-I7</f>
        <v>3698870.227</v>
      </c>
    </row>
    <row r="8" spans="1:14" ht="15.5">
      <c r="A8" s="8"/>
      <c r="B8" s="20"/>
      <c r="C8" s="9"/>
      <c r="D8" s="9"/>
      <c r="E8" s="7"/>
      <c r="I8" s="11"/>
      <c r="J8" s="11"/>
      <c r="K8" s="11"/>
      <c r="L8" s="11"/>
      <c r="M8" s="11"/>
      <c r="N8" s="11"/>
    </row>
    <row r="9" spans="1:14" ht="15.5">
      <c r="A9" s="8"/>
      <c r="B9" s="20"/>
      <c r="C9" s="10"/>
      <c r="D9" s="10"/>
      <c r="E9" s="7"/>
      <c r="I9" s="11"/>
      <c r="J9" s="11"/>
      <c r="K9" s="11"/>
      <c r="L9" s="11"/>
      <c r="M9" s="11"/>
      <c r="N9" s="11"/>
    </row>
    <row r="10" spans="1:14" ht="15.5">
      <c r="A10" s="8"/>
      <c r="B10" s="20"/>
      <c r="C10" s="10"/>
      <c r="D10" s="10"/>
      <c r="E10" s="7"/>
      <c r="I10" s="11"/>
      <c r="J10" s="11"/>
      <c r="K10" s="11"/>
      <c r="L10" s="11"/>
      <c r="M10" s="11"/>
      <c r="N10" s="11"/>
    </row>
    <row r="11" spans="1:14" ht="16" thickBot="1">
      <c r="A11" s="8"/>
      <c r="B11" s="20"/>
      <c r="C11" s="9"/>
      <c r="D11" s="9"/>
      <c r="E11" s="7"/>
      <c r="I11" s="11"/>
      <c r="J11" s="11"/>
      <c r="K11" s="11"/>
      <c r="L11" s="11"/>
      <c r="M11" s="11"/>
      <c r="N11" s="11"/>
    </row>
    <row r="12" spans="1:14" ht="16" thickBot="1">
      <c r="A12" s="8"/>
      <c r="B12" s="20"/>
      <c r="C12" s="9"/>
      <c r="D12" s="9"/>
      <c r="E12" s="7"/>
      <c r="G12" s="23" t="s">
        <v>8</v>
      </c>
      <c r="H12" s="59" t="s">
        <v>12</v>
      </c>
      <c r="I12" s="59" t="s">
        <v>9</v>
      </c>
      <c r="J12" s="59" t="s">
        <v>13</v>
      </c>
      <c r="K12" s="59" t="s">
        <v>14</v>
      </c>
      <c r="L12" s="59" t="s">
        <v>15</v>
      </c>
      <c r="M12" s="59" t="s">
        <v>11</v>
      </c>
      <c r="N12" s="59" t="s">
        <v>10</v>
      </c>
    </row>
    <row r="13" spans="1:14" ht="16" thickBot="1">
      <c r="A13" s="8"/>
      <c r="B13" s="20"/>
      <c r="C13" s="10"/>
      <c r="D13" s="10"/>
      <c r="E13" s="7"/>
      <c r="G13" s="91"/>
      <c r="H13" s="78"/>
      <c r="I13" s="58">
        <f>H13*4.8%</f>
        <v>0</v>
      </c>
      <c r="J13" s="58">
        <f>H13*0.65%</f>
        <v>0</v>
      </c>
      <c r="K13" s="58">
        <f>H13*3%</f>
        <v>0</v>
      </c>
      <c r="L13" s="58">
        <f>H13*1%</f>
        <v>0</v>
      </c>
      <c r="M13" s="58">
        <f>H13*2%</f>
        <v>0</v>
      </c>
      <c r="N13" s="58">
        <f>H13-I13-J13-K13-L13-M13</f>
        <v>0</v>
      </c>
    </row>
    <row r="14" spans="1:14" ht="15.5">
      <c r="A14" s="8"/>
      <c r="B14" s="20"/>
      <c r="C14" s="9"/>
      <c r="D14" s="9"/>
      <c r="E14" s="7"/>
    </row>
    <row r="15" spans="1:14" ht="15.5">
      <c r="A15" s="8"/>
      <c r="B15" s="20"/>
      <c r="C15" s="10"/>
      <c r="D15" s="10"/>
      <c r="E15" s="7"/>
    </row>
    <row r="16" spans="1:14" ht="15.5">
      <c r="A16" s="8"/>
      <c r="B16" s="20"/>
      <c r="C16" s="9"/>
      <c r="D16" s="9"/>
      <c r="E16" s="7"/>
    </row>
    <row r="17" spans="1:5" ht="15.5">
      <c r="A17" s="8"/>
      <c r="B17" s="20"/>
      <c r="C17" s="10"/>
      <c r="D17" s="10"/>
      <c r="E17" s="7"/>
    </row>
    <row r="18" spans="1:5" ht="15.5">
      <c r="A18" s="8"/>
      <c r="B18" s="20"/>
      <c r="C18" s="10"/>
      <c r="D18" s="10"/>
      <c r="E18" s="7"/>
    </row>
    <row r="19" spans="1:5" ht="16">
      <c r="A19" s="39" t="s">
        <v>6</v>
      </c>
      <c r="B19" s="40">
        <f>SUM(B20:B32)</f>
        <v>0</v>
      </c>
      <c r="C19" s="41" t="s">
        <v>1</v>
      </c>
      <c r="D19" s="42" t="s">
        <v>7</v>
      </c>
      <c r="E19" s="43" t="s">
        <v>2</v>
      </c>
    </row>
    <row r="20" spans="1:5" ht="15.5">
      <c r="A20" s="8"/>
      <c r="B20" s="20"/>
      <c r="C20" s="9"/>
      <c r="D20" s="9"/>
      <c r="E20" s="7"/>
    </row>
    <row r="21" spans="1:5" ht="15.5">
      <c r="A21" s="8"/>
      <c r="B21" s="20"/>
      <c r="C21" s="9"/>
      <c r="D21" s="9"/>
      <c r="E21" s="7"/>
    </row>
    <row r="22" spans="1:5" ht="15.5">
      <c r="A22" s="8"/>
      <c r="B22" s="20"/>
      <c r="C22" s="10"/>
      <c r="D22" s="10"/>
      <c r="E22" s="7"/>
    </row>
    <row r="23" spans="1:5" ht="15.5">
      <c r="A23" s="8"/>
      <c r="B23" s="20"/>
      <c r="C23" s="9"/>
      <c r="D23" s="9"/>
      <c r="E23" s="7"/>
    </row>
    <row r="24" spans="1:5" ht="15.5">
      <c r="A24" s="8"/>
      <c r="B24" s="20"/>
      <c r="C24" s="10"/>
      <c r="D24" s="10"/>
      <c r="E24" s="7"/>
    </row>
    <row r="25" spans="1:5" ht="15.5">
      <c r="A25" s="8"/>
      <c r="B25" s="20"/>
      <c r="C25" s="10"/>
      <c r="D25" s="10"/>
      <c r="E25" s="7"/>
    </row>
    <row r="26" spans="1:5" ht="15.5">
      <c r="A26" s="8"/>
      <c r="B26" s="20"/>
      <c r="C26" s="9"/>
      <c r="D26" s="9"/>
      <c r="E26" s="7"/>
    </row>
    <row r="27" spans="1:5" ht="15.5">
      <c r="A27" s="8"/>
      <c r="B27" s="20"/>
      <c r="C27" s="9"/>
      <c r="D27" s="9"/>
      <c r="E27" s="7"/>
    </row>
    <row r="28" spans="1:5" ht="15.5">
      <c r="A28" s="8"/>
      <c r="B28" s="20"/>
      <c r="C28" s="10"/>
      <c r="D28" s="10"/>
      <c r="E28" s="7"/>
    </row>
    <row r="29" spans="1:5" ht="15.5">
      <c r="A29" s="8"/>
      <c r="B29" s="20"/>
      <c r="C29" s="9"/>
      <c r="D29" s="9"/>
      <c r="E29" s="7"/>
    </row>
    <row r="30" spans="1:5" ht="15.5">
      <c r="A30" s="8"/>
      <c r="B30" s="20"/>
      <c r="C30" s="10"/>
      <c r="D30" s="10"/>
      <c r="E30" s="7"/>
    </row>
    <row r="31" spans="1:5" ht="15.5">
      <c r="A31" s="8"/>
      <c r="B31" s="20"/>
      <c r="C31" s="9"/>
      <c r="D31" s="9"/>
      <c r="E31" s="7"/>
    </row>
    <row r="32" spans="1:5" ht="15.5">
      <c r="A32" s="8"/>
      <c r="B32" s="20"/>
      <c r="C32" s="10"/>
      <c r="D32" s="10"/>
      <c r="E32" s="7"/>
    </row>
    <row r="33" spans="1:5">
      <c r="A33" s="16" t="s">
        <v>4</v>
      </c>
      <c r="B33" s="21">
        <f>B3+B4-B19</f>
        <v>3898870.2300000046</v>
      </c>
      <c r="E33" s="15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7F4D-0482-4C26-9D9E-632C0E1AA531}">
  <sheetPr>
    <tabColor rgb="FF00B050"/>
  </sheetPr>
  <dimension ref="A1:N33"/>
  <sheetViews>
    <sheetView showGridLines="0" topLeftCell="A31" zoomScaleNormal="100" workbookViewId="0">
      <selection activeCell="B33" sqref="B33"/>
    </sheetView>
  </sheetViews>
  <sheetFormatPr defaultRowHeight="14.5"/>
  <cols>
    <col min="1" max="1" width="88.08984375" customWidth="1"/>
    <col min="2" max="2" width="18.1796875" style="11" bestFit="1" customWidth="1"/>
    <col min="3" max="3" width="27.1796875" bestFit="1" customWidth="1"/>
    <col min="4" max="4" width="25.90625" customWidth="1"/>
    <col min="5" max="5" width="21.90625" style="3" bestFit="1" customWidth="1"/>
    <col min="6" max="6" width="10" customWidth="1"/>
    <col min="7" max="7" width="14.36328125" bestFit="1" customWidth="1"/>
    <col min="8" max="8" width="16.54296875" bestFit="1" customWidth="1"/>
    <col min="9" max="9" width="14" bestFit="1" customWidth="1"/>
    <col min="10" max="10" width="14.54296875" bestFit="1" customWidth="1"/>
    <col min="11" max="12" width="14" bestFit="1" customWidth="1"/>
    <col min="13" max="13" width="15.08984375" bestFit="1" customWidth="1"/>
    <col min="14" max="14" width="16.5429687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G2" s="30"/>
    </row>
    <row r="3" spans="1:14" ht="15.5">
      <c r="A3" s="16" t="s">
        <v>5</v>
      </c>
      <c r="B3" s="17">
        <f>'01.07.26'!B33</f>
        <v>3898870.2300000046</v>
      </c>
      <c r="E3" s="15"/>
    </row>
    <row r="4" spans="1:14" ht="16">
      <c r="A4" s="63" t="s">
        <v>0</v>
      </c>
      <c r="B4" s="64">
        <f>SUM(B5:B18)</f>
        <v>0</v>
      </c>
      <c r="C4" s="65" t="s">
        <v>1</v>
      </c>
      <c r="D4" s="42" t="s">
        <v>7</v>
      </c>
      <c r="E4" s="43" t="s">
        <v>2</v>
      </c>
    </row>
    <row r="5" spans="1:14" ht="15.5">
      <c r="A5" s="8"/>
      <c r="B5" s="20"/>
      <c r="C5" s="9"/>
      <c r="D5" s="9"/>
      <c r="E5" s="7"/>
    </row>
    <row r="6" spans="1:14" ht="15.5">
      <c r="A6" s="8"/>
      <c r="B6" s="20"/>
      <c r="C6" s="9"/>
      <c r="D6" s="9"/>
      <c r="E6" s="7"/>
      <c r="N6" s="26"/>
    </row>
    <row r="7" spans="1:14" ht="15.5">
      <c r="A7" s="8"/>
      <c r="B7" s="20"/>
      <c r="C7" s="10"/>
      <c r="D7" s="10"/>
      <c r="E7" s="7"/>
    </row>
    <row r="8" spans="1:14" ht="15.5">
      <c r="A8" s="8"/>
      <c r="B8" s="20"/>
      <c r="C8" s="9"/>
      <c r="D8" s="9"/>
      <c r="E8" s="7"/>
    </row>
    <row r="9" spans="1:14" ht="15.5">
      <c r="A9" s="8"/>
      <c r="B9" s="20"/>
      <c r="C9" s="10"/>
      <c r="D9" s="10"/>
      <c r="E9" s="7"/>
    </row>
    <row r="10" spans="1:14" ht="15.5">
      <c r="A10" s="8"/>
      <c r="B10" s="20"/>
      <c r="C10" s="10"/>
      <c r="D10" s="10"/>
      <c r="E10" s="7"/>
      <c r="M10" s="29"/>
    </row>
    <row r="11" spans="1:14" ht="15.5">
      <c r="A11" s="8"/>
      <c r="B11" s="20"/>
      <c r="C11" s="9"/>
      <c r="D11" s="9"/>
      <c r="E11" s="7"/>
    </row>
    <row r="12" spans="1:14" ht="15.5">
      <c r="A12" s="8"/>
      <c r="B12" s="20"/>
      <c r="C12" s="9"/>
      <c r="D12" s="9"/>
      <c r="E12" s="7"/>
    </row>
    <row r="13" spans="1:14" ht="15.5">
      <c r="A13" s="8"/>
      <c r="B13" s="20"/>
      <c r="C13" s="10"/>
      <c r="D13" s="10"/>
      <c r="E13" s="7"/>
    </row>
    <row r="14" spans="1:14" ht="15.5">
      <c r="A14" s="8"/>
      <c r="B14" s="20"/>
      <c r="C14" s="9"/>
      <c r="D14" s="9"/>
      <c r="E14" s="7"/>
    </row>
    <row r="15" spans="1:14" ht="15.5">
      <c r="A15" s="8"/>
      <c r="B15" s="20"/>
      <c r="C15" s="9"/>
      <c r="D15" s="9"/>
      <c r="E15" s="7"/>
      <c r="M15" s="26"/>
    </row>
    <row r="16" spans="1:14" ht="15.5">
      <c r="A16" s="8"/>
      <c r="B16" s="20"/>
      <c r="C16" s="9"/>
      <c r="D16" s="9"/>
      <c r="E16" s="7"/>
    </row>
    <row r="17" spans="1:5" ht="15.5">
      <c r="A17" s="8"/>
      <c r="B17" s="20"/>
      <c r="C17" s="9"/>
      <c r="D17" s="9"/>
      <c r="E17" s="7"/>
    </row>
    <row r="18" spans="1:5" ht="15.5">
      <c r="A18" s="8"/>
      <c r="B18" s="20"/>
      <c r="C18" s="10"/>
      <c r="D18" s="10"/>
      <c r="E18" s="7"/>
    </row>
    <row r="19" spans="1:5" ht="16">
      <c r="A19" s="39" t="s">
        <v>6</v>
      </c>
      <c r="B19" s="40">
        <f>SUM(B20:B32)</f>
        <v>3698944.93</v>
      </c>
      <c r="C19" s="41" t="s">
        <v>1</v>
      </c>
      <c r="D19" s="42" t="s">
        <v>7</v>
      </c>
      <c r="E19" s="43" t="s">
        <v>2</v>
      </c>
    </row>
    <row r="20" spans="1:5" ht="15.5">
      <c r="A20" s="67" t="s">
        <v>78</v>
      </c>
      <c r="B20" s="68">
        <v>3698870.23</v>
      </c>
      <c r="C20" s="61" t="s">
        <v>19</v>
      </c>
      <c r="D20" s="61"/>
      <c r="E20" s="62" t="s">
        <v>81</v>
      </c>
    </row>
    <row r="21" spans="1:5" ht="15.5">
      <c r="A21" s="67" t="s">
        <v>79</v>
      </c>
      <c r="B21" s="68">
        <v>73</v>
      </c>
      <c r="C21" s="61" t="s">
        <v>19</v>
      </c>
      <c r="D21" s="61" t="s">
        <v>82</v>
      </c>
      <c r="E21" s="62" t="s">
        <v>21</v>
      </c>
    </row>
    <row r="22" spans="1:5" ht="15.5">
      <c r="A22" s="67" t="s">
        <v>80</v>
      </c>
      <c r="B22" s="68">
        <v>1.7</v>
      </c>
      <c r="C22" s="61" t="s">
        <v>19</v>
      </c>
      <c r="D22" s="61" t="s">
        <v>83</v>
      </c>
      <c r="E22" s="62" t="s">
        <v>21</v>
      </c>
    </row>
    <row r="23" spans="1:5" ht="15.5">
      <c r="A23" s="8"/>
      <c r="B23" s="20"/>
      <c r="C23" s="9"/>
      <c r="D23" s="9"/>
      <c r="E23" s="7"/>
    </row>
    <row r="24" spans="1:5" ht="15.5">
      <c r="A24" s="8"/>
      <c r="B24" s="20"/>
      <c r="C24" s="10"/>
      <c r="D24" s="10"/>
      <c r="E24" s="7"/>
    </row>
    <row r="25" spans="1:5" ht="15.5">
      <c r="A25" s="8"/>
      <c r="B25" s="20"/>
      <c r="C25" s="10"/>
      <c r="D25" s="10"/>
      <c r="E25" s="7"/>
    </row>
    <row r="26" spans="1:5" ht="15.5">
      <c r="A26" s="8"/>
      <c r="B26" s="20"/>
      <c r="C26" s="9"/>
      <c r="D26" s="9"/>
      <c r="E26" s="7"/>
    </row>
    <row r="27" spans="1:5" ht="15.5">
      <c r="A27" s="8"/>
      <c r="B27" s="20"/>
      <c r="C27" s="9"/>
      <c r="D27" s="9"/>
      <c r="E27" s="7"/>
    </row>
    <row r="28" spans="1:5" ht="15.5">
      <c r="A28" s="8"/>
      <c r="B28" s="20"/>
      <c r="C28" s="10"/>
      <c r="D28" s="10"/>
      <c r="E28" s="7"/>
    </row>
    <row r="29" spans="1:5" ht="15.5">
      <c r="A29" s="8"/>
      <c r="B29" s="20"/>
      <c r="C29" s="9"/>
      <c r="D29" s="9"/>
      <c r="E29" s="7"/>
    </row>
    <row r="30" spans="1:5" ht="15.5">
      <c r="A30" s="8"/>
      <c r="B30" s="20"/>
      <c r="C30" s="10"/>
      <c r="D30" s="10"/>
      <c r="E30" s="7"/>
    </row>
    <row r="31" spans="1:5" ht="15.5">
      <c r="A31" s="8"/>
      <c r="B31" s="20"/>
      <c r="C31" s="9"/>
      <c r="D31" s="9"/>
      <c r="E31" s="7"/>
    </row>
    <row r="32" spans="1:5" ht="15.5">
      <c r="A32" s="8"/>
      <c r="B32" s="20"/>
      <c r="C32" s="10"/>
      <c r="D32" s="10"/>
      <c r="E32" s="7"/>
    </row>
    <row r="33" spans="1:5">
      <c r="A33" s="16" t="s">
        <v>4</v>
      </c>
      <c r="B33" s="21">
        <f>B3+B4-B19</f>
        <v>199925.30000000447</v>
      </c>
      <c r="E33" s="15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7DE8-7ACD-4E5E-99EC-3FFFD64DEAFB}">
  <sheetPr>
    <tabColor rgb="FF00B050"/>
  </sheetPr>
  <dimension ref="A1:N33"/>
  <sheetViews>
    <sheetView topLeftCell="A28" workbookViewId="0">
      <selection activeCell="B33" sqref="B33"/>
    </sheetView>
  </sheetViews>
  <sheetFormatPr defaultRowHeight="14.5"/>
  <cols>
    <col min="1" max="1" width="88.36328125" bestFit="1" customWidth="1"/>
    <col min="2" max="2" width="18.1796875" style="11" bestFit="1" customWidth="1"/>
    <col min="3" max="3" width="27.1796875" bestFit="1" customWidth="1"/>
    <col min="4" max="4" width="25.90625" customWidth="1"/>
    <col min="5" max="5" width="22.81640625" style="3" bestFit="1" customWidth="1"/>
    <col min="6" max="6" width="9.1796875" customWidth="1"/>
    <col min="7" max="7" width="14.36328125" bestFit="1" customWidth="1"/>
    <col min="8" max="8" width="16.54296875" bestFit="1" customWidth="1"/>
    <col min="9" max="9" width="13.81640625" bestFit="1" customWidth="1"/>
    <col min="10" max="10" width="15.453125" bestFit="1" customWidth="1"/>
    <col min="11" max="11" width="13.81640625" bestFit="1" customWidth="1"/>
    <col min="12" max="12" width="12.81640625" bestFit="1" customWidth="1"/>
    <col min="13" max="14" width="15.08984375" bestFit="1" customWidth="1"/>
    <col min="15" max="15" width="14.179687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C2" s="30"/>
      <c r="D2" s="45"/>
    </row>
    <row r="3" spans="1:14" ht="16" thickBot="1">
      <c r="A3" s="16" t="s">
        <v>5</v>
      </c>
      <c r="B3" s="17">
        <f>'02.07.26'!B33</f>
        <v>199925.30000000447</v>
      </c>
      <c r="E3" s="15"/>
    </row>
    <row r="4" spans="1:14" ht="16.5" thickBot="1">
      <c r="A4" s="39" t="s">
        <v>0</v>
      </c>
      <c r="B4" s="40">
        <f>SUM(B5:B18)</f>
        <v>200000</v>
      </c>
      <c r="C4" s="41" t="s">
        <v>1</v>
      </c>
      <c r="D4" s="42" t="s">
        <v>7</v>
      </c>
      <c r="E4" s="43" t="s">
        <v>2</v>
      </c>
      <c r="G4" s="23" t="s">
        <v>8</v>
      </c>
      <c r="H4" s="56" t="s">
        <v>12</v>
      </c>
      <c r="I4" s="56" t="s">
        <v>9</v>
      </c>
      <c r="J4" s="56" t="s">
        <v>13</v>
      </c>
      <c r="K4" s="56" t="s">
        <v>14</v>
      </c>
      <c r="L4" s="56" t="s">
        <v>15</v>
      </c>
      <c r="M4" s="56" t="s">
        <v>11</v>
      </c>
      <c r="N4" s="56" t="s">
        <v>10</v>
      </c>
    </row>
    <row r="5" spans="1:14" ht="16" thickBot="1">
      <c r="A5" s="67" t="s">
        <v>84</v>
      </c>
      <c r="B5" s="68">
        <v>200000</v>
      </c>
      <c r="C5" s="61" t="s">
        <v>19</v>
      </c>
      <c r="D5" s="61" t="s">
        <v>90</v>
      </c>
      <c r="E5" s="62" t="s">
        <v>88</v>
      </c>
      <c r="G5" s="23"/>
      <c r="H5" s="58"/>
      <c r="I5" s="58">
        <f>H5*4.8%</f>
        <v>0</v>
      </c>
      <c r="J5" s="58">
        <f>H5*0.65%</f>
        <v>0</v>
      </c>
      <c r="K5" s="58">
        <f>H5*3%</f>
        <v>0</v>
      </c>
      <c r="L5" s="58">
        <f>H5*1%</f>
        <v>0</v>
      </c>
      <c r="M5" s="58">
        <f>H5*2%</f>
        <v>0</v>
      </c>
      <c r="N5" s="58">
        <f>H5-I5-J5-K5-L5-M5</f>
        <v>0</v>
      </c>
    </row>
    <row r="6" spans="1:14" ht="15.5">
      <c r="A6" s="8"/>
      <c r="B6" s="20"/>
      <c r="C6" s="9"/>
      <c r="D6" s="9"/>
      <c r="E6" s="7"/>
    </row>
    <row r="7" spans="1:14" ht="15.5">
      <c r="A7" s="8"/>
      <c r="B7" s="20"/>
      <c r="C7" s="10"/>
      <c r="D7" s="10"/>
      <c r="E7" s="7"/>
    </row>
    <row r="8" spans="1:14" ht="15.5">
      <c r="A8" s="8"/>
      <c r="B8" s="20"/>
      <c r="C8" s="9"/>
      <c r="D8" s="9"/>
      <c r="E8" s="7"/>
    </row>
    <row r="9" spans="1:14" ht="15.5">
      <c r="A9" s="8"/>
      <c r="B9" s="20"/>
      <c r="C9" s="10"/>
      <c r="D9" s="10"/>
      <c r="E9" s="7"/>
    </row>
    <row r="10" spans="1:14" ht="15.5">
      <c r="A10" s="8"/>
      <c r="B10" s="20"/>
      <c r="C10" s="10"/>
      <c r="D10" s="10"/>
      <c r="E10" s="7"/>
    </row>
    <row r="11" spans="1:14" ht="15.5">
      <c r="A11" s="8"/>
      <c r="B11" s="20"/>
      <c r="C11" s="9"/>
      <c r="D11" s="9"/>
      <c r="E11" s="7"/>
    </row>
    <row r="12" spans="1:14" ht="15.5">
      <c r="A12" s="8"/>
      <c r="B12" s="20"/>
      <c r="C12" s="9"/>
      <c r="D12" s="9"/>
      <c r="E12" s="7"/>
    </row>
    <row r="13" spans="1:14" ht="15.5">
      <c r="A13" s="8"/>
      <c r="B13" s="20"/>
      <c r="C13" s="10"/>
      <c r="D13" s="10"/>
      <c r="E13" s="7"/>
    </row>
    <row r="14" spans="1:14" ht="15.5">
      <c r="A14" s="8"/>
      <c r="B14" s="20"/>
      <c r="C14" s="9"/>
      <c r="D14" s="9"/>
      <c r="E14" s="7"/>
    </row>
    <row r="15" spans="1:14" ht="15.5">
      <c r="A15" s="8"/>
      <c r="B15" s="20"/>
      <c r="C15" s="9"/>
      <c r="D15" s="9"/>
      <c r="E15" s="7"/>
    </row>
    <row r="16" spans="1:14" ht="15.5">
      <c r="A16" s="8"/>
      <c r="B16" s="20"/>
      <c r="C16" s="9"/>
      <c r="D16" s="9"/>
      <c r="E16" s="7"/>
    </row>
    <row r="17" spans="1:5" ht="15.5">
      <c r="A17" s="8"/>
      <c r="B17" s="20"/>
      <c r="C17" s="9"/>
      <c r="D17" s="9"/>
      <c r="E17" s="7"/>
    </row>
    <row r="18" spans="1:5" ht="15.5">
      <c r="A18" s="8"/>
      <c r="B18" s="20"/>
      <c r="C18" s="10"/>
      <c r="D18" s="10"/>
      <c r="E18" s="7"/>
    </row>
    <row r="19" spans="1:5" ht="16">
      <c r="A19" s="39" t="s">
        <v>6</v>
      </c>
      <c r="B19" s="40">
        <f>SUM(B20:B32)</f>
        <v>199925.3</v>
      </c>
      <c r="C19" s="41" t="s">
        <v>1</v>
      </c>
      <c r="D19" s="42" t="s">
        <v>7</v>
      </c>
      <c r="E19" s="43" t="s">
        <v>2</v>
      </c>
    </row>
    <row r="20" spans="1:5" ht="15.5">
      <c r="A20" s="67" t="s">
        <v>85</v>
      </c>
      <c r="B20" s="68">
        <v>199925.3</v>
      </c>
      <c r="C20" s="61" t="s">
        <v>19</v>
      </c>
      <c r="D20" s="61" t="s">
        <v>89</v>
      </c>
      <c r="E20" s="62" t="s">
        <v>88</v>
      </c>
    </row>
    <row r="21" spans="1:5" ht="15.5">
      <c r="A21" s="8"/>
      <c r="B21" s="20"/>
      <c r="C21" s="9"/>
      <c r="D21" s="9"/>
      <c r="E21" s="7"/>
    </row>
    <row r="22" spans="1:5" ht="15.5">
      <c r="A22" s="8"/>
      <c r="B22" s="20"/>
      <c r="C22" s="9"/>
      <c r="D22" s="9"/>
      <c r="E22" s="7"/>
    </row>
    <row r="23" spans="1:5" ht="15.5">
      <c r="A23" s="8"/>
      <c r="B23" s="20"/>
      <c r="C23" s="9"/>
      <c r="D23" s="9"/>
      <c r="E23" s="7"/>
    </row>
    <row r="24" spans="1:5" ht="15.5">
      <c r="A24" s="8"/>
      <c r="B24" s="20"/>
      <c r="C24" s="9"/>
      <c r="D24" s="9"/>
      <c r="E24" s="7"/>
    </row>
    <row r="25" spans="1:5" ht="15.5">
      <c r="A25" s="8"/>
      <c r="B25" s="20"/>
      <c r="C25" s="9"/>
      <c r="D25" s="9"/>
      <c r="E25" s="7"/>
    </row>
    <row r="26" spans="1:5" ht="15.5">
      <c r="A26" s="8"/>
      <c r="B26" s="20"/>
      <c r="C26" s="9"/>
      <c r="D26" s="9"/>
      <c r="E26" s="7"/>
    </row>
    <row r="27" spans="1:5" ht="15.5">
      <c r="A27" s="8"/>
      <c r="B27" s="20"/>
      <c r="C27" s="9"/>
      <c r="D27" s="9"/>
      <c r="E27" s="7"/>
    </row>
    <row r="28" spans="1:5" ht="15.5">
      <c r="A28" s="8"/>
      <c r="B28" s="20"/>
      <c r="C28" s="9"/>
      <c r="D28" s="9"/>
      <c r="E28" s="7"/>
    </row>
    <row r="29" spans="1:5" ht="15.5">
      <c r="A29" s="8"/>
      <c r="B29" s="20"/>
      <c r="C29" s="10"/>
      <c r="D29" s="10"/>
      <c r="E29" s="7"/>
    </row>
    <row r="30" spans="1:5" ht="15.5">
      <c r="A30" s="8"/>
      <c r="B30" s="20"/>
      <c r="C30" s="10"/>
      <c r="D30" s="10"/>
      <c r="E30" s="7"/>
    </row>
    <row r="31" spans="1:5" ht="15.5">
      <c r="A31" s="8"/>
      <c r="B31" s="20"/>
      <c r="C31" s="10"/>
      <c r="D31" s="10"/>
      <c r="E31" s="7"/>
    </row>
    <row r="32" spans="1:5" ht="15.5">
      <c r="A32" s="8"/>
      <c r="B32" s="20"/>
      <c r="C32" s="10"/>
      <c r="D32" s="10"/>
      <c r="E32" s="7"/>
    </row>
    <row r="33" spans="1:5">
      <c r="A33" s="16" t="s">
        <v>4</v>
      </c>
      <c r="B33" s="21">
        <f>B3+B4-B19</f>
        <v>200000.00000000448</v>
      </c>
      <c r="E33" s="15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2468-DC85-4655-9E75-C14918455BB0}">
  <sheetPr>
    <tabColor rgb="FF00B050"/>
  </sheetPr>
  <dimension ref="A1:N33"/>
  <sheetViews>
    <sheetView topLeftCell="A17" workbookViewId="0">
      <selection activeCell="C6" sqref="C6:E6"/>
    </sheetView>
  </sheetViews>
  <sheetFormatPr defaultRowHeight="14.5"/>
  <cols>
    <col min="1" max="1" width="57.81640625" customWidth="1"/>
    <col min="2" max="2" width="18.1796875" style="11" bestFit="1" customWidth="1"/>
    <col min="3" max="3" width="15.1796875" bestFit="1" customWidth="1"/>
    <col min="4" max="4" width="26.1796875" bestFit="1" customWidth="1"/>
    <col min="5" max="5" width="27.6328125" style="3" bestFit="1" customWidth="1"/>
    <col min="6" max="6" width="9.1796875" customWidth="1"/>
    <col min="7" max="7" width="14.36328125" bestFit="1" customWidth="1"/>
    <col min="8" max="8" width="16.54296875" bestFit="1" customWidth="1"/>
    <col min="9" max="9" width="13.36328125" bestFit="1" customWidth="1"/>
    <col min="10" max="10" width="15.453125" bestFit="1" customWidth="1"/>
    <col min="11" max="12" width="12.08984375" bestFit="1" customWidth="1"/>
    <col min="13" max="14" width="15.0898437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D2" s="71"/>
    </row>
    <row r="3" spans="1:14" ht="16" thickBot="1">
      <c r="A3" s="16" t="s">
        <v>5</v>
      </c>
      <c r="B3" s="17">
        <f>'03.07.26'!B33</f>
        <v>200000.00000000448</v>
      </c>
      <c r="C3" s="30"/>
      <c r="D3" s="71"/>
      <c r="E3" s="15"/>
    </row>
    <row r="4" spans="1:14" ht="16.5" thickBot="1">
      <c r="A4" s="39" t="s">
        <v>0</v>
      </c>
      <c r="B4" s="40">
        <f>SUM(B5:B18)</f>
        <v>32822.04</v>
      </c>
      <c r="C4" s="41" t="s">
        <v>1</v>
      </c>
      <c r="D4" s="42" t="s">
        <v>7</v>
      </c>
      <c r="E4" s="43" t="s">
        <v>2</v>
      </c>
      <c r="G4" s="23" t="s">
        <v>8</v>
      </c>
      <c r="H4" s="56" t="s">
        <v>12</v>
      </c>
      <c r="I4" s="56" t="s">
        <v>18</v>
      </c>
      <c r="J4" s="56" t="s">
        <v>10</v>
      </c>
    </row>
    <row r="5" spans="1:14" ht="16" thickBot="1">
      <c r="A5" s="67" t="s">
        <v>86</v>
      </c>
      <c r="B5" s="68">
        <v>32822.04</v>
      </c>
      <c r="C5" s="111" t="s">
        <v>19</v>
      </c>
      <c r="D5" s="112" t="s">
        <v>91</v>
      </c>
      <c r="E5" s="117" t="s">
        <v>25</v>
      </c>
      <c r="G5" s="25"/>
      <c r="H5" s="32"/>
      <c r="I5" s="32">
        <f>H5*2%</f>
        <v>0</v>
      </c>
      <c r="J5" s="32">
        <f>H5-I5</f>
        <v>0</v>
      </c>
    </row>
    <row r="6" spans="1:14" ht="16" thickBot="1">
      <c r="A6" s="67" t="s">
        <v>87</v>
      </c>
      <c r="B6" s="134" t="s">
        <v>92</v>
      </c>
      <c r="C6" s="145" t="s">
        <v>204</v>
      </c>
      <c r="D6" s="146"/>
      <c r="E6" s="147"/>
    </row>
    <row r="7" spans="1:14" ht="16" thickBot="1">
      <c r="A7" s="8"/>
      <c r="B7" s="20"/>
      <c r="C7" s="9"/>
      <c r="D7" s="9"/>
      <c r="E7" s="7"/>
      <c r="G7" s="23"/>
      <c r="H7" s="56"/>
      <c r="I7" s="56"/>
      <c r="J7" s="56"/>
      <c r="K7" s="56"/>
      <c r="L7" s="56"/>
      <c r="M7" s="56"/>
      <c r="N7" s="56"/>
    </row>
    <row r="8" spans="1:14" ht="16" thickBot="1">
      <c r="A8" s="8"/>
      <c r="B8" s="20"/>
      <c r="C8" s="9"/>
      <c r="D8" s="9"/>
      <c r="E8" s="7"/>
      <c r="G8" s="23"/>
      <c r="H8" s="58"/>
      <c r="I8" s="75"/>
      <c r="J8" s="75"/>
      <c r="K8" s="75"/>
      <c r="L8" s="75"/>
      <c r="M8" s="75"/>
      <c r="N8" s="58"/>
    </row>
    <row r="9" spans="1:14" ht="15.5">
      <c r="A9" s="8"/>
      <c r="B9" s="20"/>
      <c r="C9" s="9"/>
      <c r="D9" s="9"/>
      <c r="E9" s="7"/>
    </row>
    <row r="10" spans="1:14" ht="15.5">
      <c r="A10" s="8"/>
      <c r="B10" s="20"/>
      <c r="C10" s="9"/>
      <c r="D10" s="9"/>
      <c r="E10" s="7"/>
    </row>
    <row r="11" spans="1:14" ht="15.5">
      <c r="A11" s="8"/>
      <c r="B11" s="20"/>
      <c r="C11" s="9"/>
      <c r="D11" s="9"/>
      <c r="E11" s="7"/>
    </row>
    <row r="12" spans="1:14" ht="15.5">
      <c r="A12" s="8"/>
      <c r="B12" s="20"/>
      <c r="C12" s="9"/>
      <c r="D12" s="9"/>
      <c r="E12" s="7"/>
    </row>
    <row r="13" spans="1:14" ht="15.5">
      <c r="A13" s="8"/>
      <c r="B13" s="20"/>
      <c r="C13" s="10"/>
      <c r="D13" s="10"/>
      <c r="E13" s="7"/>
    </row>
    <row r="14" spans="1:14" ht="15.5">
      <c r="A14" s="8"/>
      <c r="B14" s="20"/>
      <c r="C14" s="9"/>
      <c r="D14" s="9"/>
      <c r="E14" s="7"/>
    </row>
    <row r="15" spans="1:14" ht="15.5">
      <c r="A15" s="8"/>
      <c r="B15" s="20"/>
      <c r="C15" s="9"/>
      <c r="D15" s="9"/>
      <c r="E15" s="7"/>
    </row>
    <row r="16" spans="1:14" ht="15.5">
      <c r="A16" s="8"/>
      <c r="B16" s="20"/>
      <c r="C16" s="9"/>
      <c r="D16" s="9"/>
      <c r="E16" s="7"/>
    </row>
    <row r="17" spans="1:5" ht="15.5">
      <c r="A17" s="8"/>
      <c r="B17" s="20"/>
      <c r="C17" s="9"/>
      <c r="D17" s="9"/>
      <c r="E17" s="7"/>
    </row>
    <row r="18" spans="1:5" ht="15.5">
      <c r="A18" s="8"/>
      <c r="B18" s="20"/>
      <c r="C18" s="10"/>
      <c r="D18" s="10"/>
      <c r="E18" s="7"/>
    </row>
    <row r="19" spans="1:5" ht="16">
      <c r="A19" s="39" t="s">
        <v>6</v>
      </c>
      <c r="B19" s="40">
        <f>SUM(B20:B32)</f>
        <v>32822.04</v>
      </c>
      <c r="C19" s="41" t="s">
        <v>1</v>
      </c>
      <c r="D19" s="42" t="s">
        <v>7</v>
      </c>
      <c r="E19" s="43" t="s">
        <v>2</v>
      </c>
    </row>
    <row r="20" spans="1:5" ht="15.5">
      <c r="A20" s="67" t="s">
        <v>87</v>
      </c>
      <c r="B20" s="68">
        <v>32822.04</v>
      </c>
      <c r="C20" s="111" t="s">
        <v>19</v>
      </c>
      <c r="D20" s="61" t="s">
        <v>161</v>
      </c>
      <c r="E20" s="62" t="s">
        <v>157</v>
      </c>
    </row>
    <row r="21" spans="1:5" ht="15.5">
      <c r="A21" s="8"/>
      <c r="B21" s="82"/>
      <c r="C21" s="10"/>
      <c r="D21" s="10"/>
      <c r="E21" s="7"/>
    </row>
    <row r="22" spans="1:5" ht="15.5">
      <c r="A22" s="8"/>
      <c r="B22" s="20"/>
      <c r="C22" s="10"/>
      <c r="D22" s="10"/>
      <c r="E22" s="7"/>
    </row>
    <row r="23" spans="1:5" ht="15.5">
      <c r="A23" s="8"/>
      <c r="B23" s="20"/>
      <c r="C23" s="10"/>
      <c r="D23" s="10"/>
      <c r="E23" s="7"/>
    </row>
    <row r="24" spans="1:5" ht="15.5">
      <c r="A24" s="8"/>
      <c r="B24" s="20"/>
      <c r="C24" s="10"/>
      <c r="D24" s="10"/>
      <c r="E24" s="7"/>
    </row>
    <row r="25" spans="1:5" ht="15.5">
      <c r="A25" s="8"/>
      <c r="B25" s="20"/>
      <c r="C25" s="10"/>
      <c r="D25" s="10"/>
      <c r="E25" s="7"/>
    </row>
    <row r="26" spans="1:5" ht="15.5">
      <c r="A26" s="8"/>
      <c r="B26" s="20"/>
      <c r="C26" s="10"/>
      <c r="D26" s="10"/>
      <c r="E26" s="7"/>
    </row>
    <row r="27" spans="1:5" ht="15.5">
      <c r="A27" s="8"/>
      <c r="B27" s="20"/>
      <c r="C27" s="10"/>
      <c r="D27" s="10"/>
      <c r="E27" s="7"/>
    </row>
    <row r="28" spans="1:5" ht="15.5">
      <c r="A28" s="8"/>
      <c r="B28" s="20"/>
      <c r="C28" s="10"/>
      <c r="D28" s="10"/>
      <c r="E28" s="7"/>
    </row>
    <row r="29" spans="1:5" ht="15.5">
      <c r="A29" s="8"/>
      <c r="B29" s="20"/>
      <c r="C29" s="10"/>
      <c r="D29" s="10"/>
      <c r="E29" s="7"/>
    </row>
    <row r="30" spans="1:5" ht="15.5">
      <c r="A30" s="8"/>
      <c r="B30" s="20"/>
      <c r="C30" s="10"/>
      <c r="D30" s="10"/>
      <c r="E30" s="7"/>
    </row>
    <row r="31" spans="1:5" ht="15.5">
      <c r="A31" s="8"/>
      <c r="B31" s="20"/>
      <c r="C31" s="10"/>
      <c r="D31" s="10"/>
      <c r="E31" s="7"/>
    </row>
    <row r="32" spans="1:5" ht="15.5">
      <c r="A32" s="8"/>
      <c r="B32" s="20"/>
      <c r="C32" s="10"/>
      <c r="D32" s="10"/>
      <c r="E32" s="7"/>
    </row>
    <row r="33" spans="1:5">
      <c r="A33" s="16" t="s">
        <v>4</v>
      </c>
      <c r="B33" s="21">
        <f>B3+B4-B19</f>
        <v>200000.00000000448</v>
      </c>
      <c r="E33" s="15"/>
    </row>
  </sheetData>
  <mergeCells count="2">
    <mergeCell ref="A1:E1"/>
    <mergeCell ref="C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AD35-B1D7-4D39-A271-F347DF99AC61}">
  <sheetPr>
    <tabColor rgb="FF00B0F0"/>
  </sheetPr>
  <dimension ref="A1:N37"/>
  <sheetViews>
    <sheetView topLeftCell="A17" workbookViewId="0">
      <selection activeCell="A26" sqref="A26"/>
    </sheetView>
  </sheetViews>
  <sheetFormatPr defaultRowHeight="14.5"/>
  <cols>
    <col min="1" max="1" width="97.6328125" bestFit="1" customWidth="1"/>
    <col min="2" max="2" width="18.81640625" style="11" bestFit="1" customWidth="1"/>
    <col min="3" max="3" width="27.36328125" style="48" bestFit="1" customWidth="1"/>
    <col min="4" max="4" width="26.1796875" style="48" bestFit="1" customWidth="1"/>
    <col min="5" max="5" width="22.81640625" style="3" bestFit="1" customWidth="1"/>
    <col min="6" max="6" width="9.90625" customWidth="1"/>
    <col min="7" max="7" width="11.54296875" bestFit="1" customWidth="1"/>
    <col min="8" max="8" width="16.1796875" style="11" bestFit="1" customWidth="1"/>
    <col min="9" max="9" width="13.81640625" style="11" bestFit="1" customWidth="1"/>
    <col min="10" max="10" width="15.453125" style="11" bestFit="1" customWidth="1"/>
    <col min="11" max="12" width="13.81640625" style="11" bestFit="1" customWidth="1"/>
    <col min="13" max="13" width="12.6328125" bestFit="1" customWidth="1"/>
    <col min="14" max="14" width="16.179687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C2" s="85"/>
      <c r="D2" s="74"/>
    </row>
    <row r="3" spans="1:14" ht="16" thickBot="1">
      <c r="A3" s="16" t="s">
        <v>5</v>
      </c>
      <c r="B3" s="17">
        <f>'06.07.26'!B33</f>
        <v>200000.00000000448</v>
      </c>
      <c r="C3" s="73"/>
      <c r="E3" s="15"/>
    </row>
    <row r="4" spans="1:14" ht="16.5" thickBot="1">
      <c r="A4" s="39" t="s">
        <v>0</v>
      </c>
      <c r="B4" s="40">
        <f>SUM(B5:B18)</f>
        <v>0</v>
      </c>
      <c r="C4" s="41" t="s">
        <v>1</v>
      </c>
      <c r="D4" s="42" t="s">
        <v>7</v>
      </c>
      <c r="E4" s="43" t="s">
        <v>2</v>
      </c>
      <c r="G4" s="23" t="s">
        <v>8</v>
      </c>
      <c r="H4" s="56" t="s">
        <v>12</v>
      </c>
      <c r="I4" s="56" t="s">
        <v>9</v>
      </c>
      <c r="J4" s="56" t="s">
        <v>13</v>
      </c>
      <c r="K4" s="56" t="s">
        <v>14</v>
      </c>
      <c r="L4" s="56" t="s">
        <v>15</v>
      </c>
      <c r="M4" s="56" t="s">
        <v>11</v>
      </c>
      <c r="N4" s="56" t="s">
        <v>10</v>
      </c>
    </row>
    <row r="5" spans="1:14" ht="16" thickBot="1">
      <c r="A5" s="8"/>
      <c r="B5" s="20"/>
      <c r="C5" s="9"/>
      <c r="D5" s="9"/>
      <c r="E5" s="7"/>
      <c r="F5" s="35"/>
      <c r="G5" s="23"/>
      <c r="H5" s="58"/>
      <c r="I5" s="58"/>
      <c r="J5" s="58">
        <f>H5*0.65%</f>
        <v>0</v>
      </c>
      <c r="K5" s="58">
        <f>H5*3%</f>
        <v>0</v>
      </c>
      <c r="L5" s="58">
        <f>H5*1%</f>
        <v>0</v>
      </c>
      <c r="M5" s="58"/>
      <c r="N5" s="58">
        <f>H5-I5-J5-K5-L5-M5</f>
        <v>0</v>
      </c>
    </row>
    <row r="6" spans="1:14" ht="15.5">
      <c r="A6" s="8"/>
      <c r="B6" s="20"/>
      <c r="C6" s="9"/>
      <c r="D6" s="9"/>
      <c r="E6" s="7"/>
      <c r="H6"/>
      <c r="I6"/>
      <c r="J6"/>
      <c r="K6"/>
      <c r="L6"/>
    </row>
    <row r="7" spans="1:14" ht="15.5">
      <c r="A7" s="8"/>
      <c r="B7" s="20"/>
      <c r="C7" s="10"/>
      <c r="D7" s="10"/>
      <c r="E7" s="7"/>
      <c r="H7"/>
      <c r="I7"/>
      <c r="J7"/>
      <c r="K7"/>
      <c r="L7"/>
    </row>
    <row r="8" spans="1:14" ht="15.5">
      <c r="A8" s="8"/>
      <c r="B8" s="20"/>
      <c r="C8" s="9"/>
      <c r="D8" s="9"/>
      <c r="E8" s="7"/>
      <c r="H8"/>
      <c r="I8" s="22"/>
      <c r="J8"/>
      <c r="K8"/>
      <c r="L8"/>
    </row>
    <row r="9" spans="1:14" ht="15.5">
      <c r="A9" s="8"/>
      <c r="B9" s="20"/>
      <c r="C9" s="10"/>
      <c r="D9" s="10"/>
      <c r="E9" s="7"/>
      <c r="H9"/>
      <c r="I9"/>
      <c r="J9"/>
      <c r="K9"/>
      <c r="L9"/>
    </row>
    <row r="10" spans="1:14" ht="15.5">
      <c r="A10" s="8"/>
      <c r="B10" s="20"/>
      <c r="C10" s="10"/>
      <c r="D10" s="10"/>
      <c r="E10" s="7"/>
      <c r="H10"/>
      <c r="I10"/>
      <c r="J10"/>
      <c r="K10"/>
      <c r="L10"/>
    </row>
    <row r="11" spans="1:14" ht="15.5">
      <c r="A11" s="8"/>
      <c r="B11" s="20"/>
      <c r="C11" s="9"/>
      <c r="D11" s="9"/>
      <c r="E11" s="7"/>
      <c r="H11"/>
      <c r="I11"/>
      <c r="J11"/>
      <c r="K11"/>
      <c r="L11"/>
    </row>
    <row r="12" spans="1:14" ht="15.5">
      <c r="A12" s="8"/>
      <c r="B12" s="20"/>
      <c r="C12" s="9"/>
      <c r="D12" s="9"/>
      <c r="E12" s="7"/>
      <c r="H12"/>
      <c r="I12"/>
      <c r="J12"/>
      <c r="K12"/>
      <c r="L12"/>
    </row>
    <row r="13" spans="1:14" ht="15.5">
      <c r="A13" s="8"/>
      <c r="B13" s="20"/>
      <c r="C13" s="10"/>
      <c r="D13" s="10"/>
      <c r="E13" s="7"/>
      <c r="H13"/>
      <c r="I13"/>
      <c r="J13"/>
      <c r="K13"/>
      <c r="L13"/>
    </row>
    <row r="14" spans="1:14" ht="15.5">
      <c r="A14" s="8"/>
      <c r="B14" s="20"/>
      <c r="C14" s="9"/>
      <c r="D14" s="9"/>
      <c r="E14" s="7"/>
    </row>
    <row r="15" spans="1:14" ht="15.5">
      <c r="A15" s="8"/>
      <c r="B15" s="20"/>
      <c r="C15" s="9"/>
      <c r="D15" s="9"/>
      <c r="E15" s="7"/>
    </row>
    <row r="16" spans="1:14" ht="15.5">
      <c r="A16" s="8"/>
      <c r="B16" s="20"/>
      <c r="C16" s="9"/>
      <c r="D16" s="9"/>
      <c r="E16" s="7"/>
    </row>
    <row r="17" spans="1:5" ht="15.5">
      <c r="A17" s="8"/>
      <c r="B17" s="20"/>
      <c r="C17" s="9"/>
      <c r="D17" s="9"/>
      <c r="E17" s="7"/>
    </row>
    <row r="18" spans="1:5" ht="15.5">
      <c r="A18" s="8"/>
      <c r="B18" s="20"/>
      <c r="C18" s="9"/>
      <c r="D18" s="9"/>
      <c r="E18" s="7"/>
    </row>
    <row r="19" spans="1:5" ht="16">
      <c r="A19" s="39" t="s">
        <v>6</v>
      </c>
      <c r="B19" s="40">
        <f>SUM(B20:B36)</f>
        <v>0</v>
      </c>
      <c r="C19" s="41" t="s">
        <v>1</v>
      </c>
      <c r="D19" s="42" t="s">
        <v>7</v>
      </c>
      <c r="E19" s="43" t="s">
        <v>2</v>
      </c>
    </row>
    <row r="20" spans="1:5" ht="15.5">
      <c r="A20" s="8"/>
      <c r="B20" s="82"/>
      <c r="C20" s="10"/>
      <c r="D20" s="10"/>
      <c r="E20" s="7"/>
    </row>
    <row r="21" spans="1:5" ht="15.5">
      <c r="A21" s="8"/>
      <c r="B21" s="82"/>
      <c r="C21" s="9"/>
      <c r="D21" s="9"/>
      <c r="E21" s="7"/>
    </row>
    <row r="22" spans="1:5" ht="15.5">
      <c r="A22" s="8"/>
      <c r="B22" s="82"/>
      <c r="C22" s="9"/>
      <c r="D22" s="9"/>
      <c r="E22" s="7"/>
    </row>
    <row r="23" spans="1:5" ht="15.5">
      <c r="A23" s="8"/>
      <c r="B23" s="82"/>
      <c r="C23" s="10"/>
      <c r="D23" s="10"/>
      <c r="E23" s="7"/>
    </row>
    <row r="24" spans="1:5" ht="15.5">
      <c r="A24" s="8"/>
      <c r="B24" s="82"/>
      <c r="C24" s="9"/>
      <c r="D24" s="9"/>
      <c r="E24" s="7"/>
    </row>
    <row r="25" spans="1:5" ht="15.5">
      <c r="A25" s="8"/>
      <c r="B25" s="20"/>
      <c r="C25" s="10"/>
      <c r="D25" s="10"/>
      <c r="E25" s="7"/>
    </row>
    <row r="26" spans="1:5" ht="15.5">
      <c r="A26" s="8"/>
      <c r="B26" s="20"/>
      <c r="C26" s="9"/>
      <c r="D26" s="9"/>
      <c r="E26" s="7"/>
    </row>
    <row r="27" spans="1:5" ht="15.5">
      <c r="A27" s="8"/>
      <c r="B27" s="20"/>
      <c r="C27" s="9"/>
      <c r="D27" s="9"/>
      <c r="E27" s="7"/>
    </row>
    <row r="28" spans="1:5" ht="15.5">
      <c r="A28" s="8"/>
      <c r="B28" s="20"/>
      <c r="C28" s="10"/>
      <c r="D28" s="10"/>
      <c r="E28" s="7"/>
    </row>
    <row r="29" spans="1:5" ht="15.5">
      <c r="A29" s="8"/>
      <c r="B29" s="20"/>
      <c r="C29" s="9"/>
      <c r="D29" s="9"/>
      <c r="E29" s="7"/>
    </row>
    <row r="30" spans="1:5" ht="15.5">
      <c r="A30" s="8"/>
      <c r="B30" s="20"/>
      <c r="C30" s="9"/>
      <c r="D30" s="9"/>
      <c r="E30" s="7"/>
    </row>
    <row r="31" spans="1:5" ht="15.5">
      <c r="A31" s="8"/>
      <c r="B31" s="20"/>
      <c r="C31" s="9"/>
      <c r="D31" s="9"/>
      <c r="E31" s="7"/>
    </row>
    <row r="32" spans="1:5" ht="15.5">
      <c r="A32" s="8"/>
      <c r="B32" s="20"/>
      <c r="C32" s="9"/>
      <c r="D32" s="9"/>
      <c r="E32" s="7"/>
    </row>
    <row r="33" spans="1:5" ht="15.5">
      <c r="A33" s="8"/>
      <c r="B33" s="20"/>
      <c r="C33" s="9"/>
      <c r="D33" s="9"/>
      <c r="E33" s="7"/>
    </row>
    <row r="34" spans="1:5" ht="15.5">
      <c r="A34" s="8"/>
      <c r="B34" s="20"/>
      <c r="C34" s="9"/>
      <c r="D34" s="9"/>
      <c r="E34" s="7"/>
    </row>
    <row r="35" spans="1:5" ht="15.5">
      <c r="A35" s="8"/>
      <c r="B35" s="20"/>
      <c r="C35" s="9"/>
      <c r="D35" s="9"/>
      <c r="E35" s="7"/>
    </row>
    <row r="36" spans="1:5" ht="15.5">
      <c r="A36" s="8"/>
      <c r="B36" s="20"/>
      <c r="C36" s="9"/>
      <c r="D36" s="9"/>
      <c r="E36" s="7"/>
    </row>
    <row r="37" spans="1:5">
      <c r="A37" s="16" t="s">
        <v>4</v>
      </c>
      <c r="B37" s="21">
        <f>B3+B4-B19</f>
        <v>200000.00000000448</v>
      </c>
      <c r="E37" s="15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5FFD-6747-4C15-8F74-6B2F58CE0375}">
  <sheetPr>
    <tabColor rgb="FF0070C0"/>
  </sheetPr>
  <dimension ref="A1:N28"/>
  <sheetViews>
    <sheetView workbookViewId="0">
      <selection activeCell="B3" sqref="B3"/>
    </sheetView>
  </sheetViews>
  <sheetFormatPr defaultRowHeight="14.5"/>
  <cols>
    <col min="1" max="1" width="86.81640625" bestFit="1" customWidth="1"/>
    <col min="2" max="2" width="18.54296875" style="11" customWidth="1"/>
    <col min="3" max="3" width="38.81640625" bestFit="1" customWidth="1"/>
    <col min="4" max="4" width="26.81640625" bestFit="1" customWidth="1"/>
    <col min="5" max="5" width="27" style="3" bestFit="1" customWidth="1"/>
    <col min="6" max="6" width="4.1796875" bestFit="1" customWidth="1"/>
    <col min="7" max="7" width="12.08984375" bestFit="1" customWidth="1"/>
    <col min="8" max="8" width="15.90625" bestFit="1" customWidth="1"/>
    <col min="9" max="10" width="15.08984375" bestFit="1" customWidth="1"/>
    <col min="11" max="11" width="14.08984375" bestFit="1" customWidth="1"/>
    <col min="12" max="12" width="13.08984375" bestFit="1" customWidth="1"/>
    <col min="13" max="13" width="14.08984375" bestFit="1" customWidth="1"/>
    <col min="14" max="14" width="15.6328125" bestFit="1" customWidth="1"/>
    <col min="15" max="15" width="15.453125" bestFit="1" customWidth="1"/>
  </cols>
  <sheetData>
    <row r="1" spans="1:14" ht="15.5">
      <c r="A1" s="143" t="s">
        <v>3</v>
      </c>
      <c r="B1" s="144"/>
      <c r="C1" s="144"/>
      <c r="D1" s="144"/>
      <c r="E1" s="144"/>
      <c r="H1" s="30"/>
      <c r="J1" s="36"/>
    </row>
    <row r="2" spans="1:14" ht="15.5">
      <c r="A2" s="1"/>
      <c r="B2" s="2"/>
      <c r="C2" s="30"/>
      <c r="D2" s="49"/>
    </row>
    <row r="3" spans="1:14" ht="16" thickBot="1">
      <c r="A3" s="16" t="s">
        <v>5</v>
      </c>
      <c r="B3" s="17">
        <f>'07.07.26'!B37</f>
        <v>200000.00000000448</v>
      </c>
      <c r="C3" s="45"/>
      <c r="E3" s="15"/>
    </row>
    <row r="4" spans="1:14" ht="16.5" thickBot="1">
      <c r="A4" s="39" t="s">
        <v>0</v>
      </c>
      <c r="B4" s="40">
        <f>SUM(B5:B13)</f>
        <v>0</v>
      </c>
      <c r="C4" s="41" t="s">
        <v>1</v>
      </c>
      <c r="D4" s="42" t="s">
        <v>7</v>
      </c>
      <c r="E4" s="43" t="s">
        <v>2</v>
      </c>
      <c r="G4" s="23" t="s">
        <v>8</v>
      </c>
      <c r="H4" s="56" t="s">
        <v>12</v>
      </c>
      <c r="I4" s="56" t="s">
        <v>20</v>
      </c>
      <c r="J4" s="56" t="s">
        <v>22</v>
      </c>
      <c r="K4" s="56" t="s">
        <v>23</v>
      </c>
      <c r="L4" s="56" t="s">
        <v>24</v>
      </c>
      <c r="M4" s="56" t="s">
        <v>18</v>
      </c>
      <c r="N4" s="56" t="s">
        <v>10</v>
      </c>
    </row>
    <row r="5" spans="1:14" ht="16" thickBot="1">
      <c r="A5" s="8"/>
      <c r="B5" s="20"/>
      <c r="C5" s="9"/>
      <c r="D5" s="9"/>
      <c r="E5" s="7"/>
      <c r="G5" s="23"/>
      <c r="H5" s="58"/>
      <c r="I5" s="58">
        <f>H5*4.8%</f>
        <v>0</v>
      </c>
      <c r="J5" s="58">
        <f>H5*0.65%</f>
        <v>0</v>
      </c>
      <c r="K5" s="58">
        <f>H5*3%</f>
        <v>0</v>
      </c>
      <c r="L5" s="58">
        <f>H5*1%</f>
        <v>0</v>
      </c>
      <c r="M5" s="58">
        <f>H5*2%</f>
        <v>0</v>
      </c>
      <c r="N5" s="58">
        <f>H5-I5-J5-K5-L5-M5</f>
        <v>0</v>
      </c>
    </row>
    <row r="6" spans="1:14" ht="15.5">
      <c r="A6" s="8"/>
      <c r="B6" s="20"/>
      <c r="C6" s="9"/>
      <c r="D6" s="9"/>
      <c r="E6" s="7"/>
    </row>
    <row r="7" spans="1:14" ht="16" thickBot="1">
      <c r="A7" s="8"/>
      <c r="B7" s="20"/>
      <c r="C7" s="10"/>
      <c r="D7" s="10"/>
      <c r="E7" s="7"/>
    </row>
    <row r="8" spans="1:14" ht="16" thickBot="1">
      <c r="A8" s="8"/>
      <c r="B8" s="20"/>
      <c r="C8" s="9"/>
      <c r="D8" s="9"/>
      <c r="E8" s="7"/>
      <c r="G8" s="23"/>
      <c r="H8" s="56"/>
      <c r="I8" s="56"/>
      <c r="J8" s="56"/>
      <c r="K8" s="56"/>
      <c r="L8" s="56"/>
      <c r="M8" s="56"/>
      <c r="N8" s="56"/>
    </row>
    <row r="9" spans="1:14" ht="16" thickBot="1">
      <c r="A9" s="8"/>
      <c r="B9" s="20"/>
      <c r="C9" s="10"/>
      <c r="D9" s="10"/>
      <c r="E9" s="7"/>
      <c r="G9" s="25"/>
      <c r="H9" s="32"/>
      <c r="I9" s="32"/>
      <c r="J9" s="32">
        <f>H9*0.65%</f>
        <v>0</v>
      </c>
      <c r="K9" s="32">
        <f>H9*3%</f>
        <v>0</v>
      </c>
      <c r="L9" s="32">
        <f>H9*1%</f>
        <v>0</v>
      </c>
      <c r="M9" s="32"/>
      <c r="N9" s="32">
        <f>H9-I9-J9-K9-L9-M9</f>
        <v>0</v>
      </c>
    </row>
    <row r="10" spans="1:14" ht="15.5">
      <c r="A10" s="8"/>
      <c r="B10" s="20"/>
      <c r="C10" s="10"/>
      <c r="D10" s="10"/>
      <c r="E10" s="7"/>
    </row>
    <row r="11" spans="1:14" ht="15.5">
      <c r="A11" s="8"/>
      <c r="B11" s="20"/>
      <c r="C11" s="9"/>
      <c r="D11" s="9"/>
      <c r="E11" s="7"/>
    </row>
    <row r="12" spans="1:14" ht="15.5">
      <c r="A12" s="8"/>
      <c r="B12" s="20"/>
      <c r="C12" s="9"/>
      <c r="D12" s="9"/>
      <c r="E12" s="7"/>
    </row>
    <row r="13" spans="1:14" ht="15.5">
      <c r="A13" s="8"/>
      <c r="B13" s="20"/>
      <c r="C13" s="10"/>
      <c r="D13" s="10"/>
      <c r="E13" s="7"/>
    </row>
    <row r="14" spans="1:14" ht="15.5">
      <c r="A14" s="8"/>
      <c r="B14" s="20"/>
      <c r="C14" s="9"/>
      <c r="D14" s="9"/>
      <c r="E14" s="7"/>
    </row>
    <row r="15" spans="1:14" ht="16">
      <c r="A15" s="106"/>
      <c r="B15" s="27"/>
      <c r="C15" s="107"/>
      <c r="D15" s="108"/>
      <c r="E15" s="109"/>
    </row>
    <row r="16" spans="1:14" ht="15.5">
      <c r="A16" s="8"/>
      <c r="B16" s="20"/>
      <c r="C16" s="9"/>
      <c r="D16" s="9"/>
      <c r="E16" s="7"/>
    </row>
    <row r="17" spans="1:5" ht="15.5">
      <c r="A17" s="8"/>
      <c r="B17" s="20"/>
      <c r="C17" s="9"/>
      <c r="D17" s="9"/>
      <c r="E17" s="7"/>
    </row>
    <row r="18" spans="1:5" ht="15.5">
      <c r="A18" s="8"/>
      <c r="B18" s="20"/>
      <c r="C18" s="10"/>
      <c r="D18" s="10"/>
      <c r="E18" s="7"/>
    </row>
    <row r="19" spans="1:5" ht="15.5">
      <c r="A19" s="8"/>
      <c r="B19" s="20"/>
      <c r="C19" s="9"/>
      <c r="D19" s="9"/>
      <c r="E19" s="7"/>
    </row>
    <row r="20" spans="1:5" ht="15.5">
      <c r="A20" s="8"/>
      <c r="B20" s="20"/>
      <c r="C20" s="10"/>
      <c r="D20" s="10"/>
      <c r="E20" s="7"/>
    </row>
    <row r="21" spans="1:5" ht="15.5">
      <c r="A21" s="8"/>
      <c r="B21" s="20"/>
      <c r="C21" s="10"/>
      <c r="D21" s="10"/>
      <c r="E21" s="7"/>
    </row>
    <row r="22" spans="1:5" ht="15.5">
      <c r="A22" s="8"/>
      <c r="B22" s="20"/>
      <c r="C22" s="9"/>
      <c r="D22" s="9"/>
      <c r="E22" s="7"/>
    </row>
    <row r="23" spans="1:5" ht="15.5">
      <c r="A23" s="8"/>
      <c r="B23" s="20"/>
      <c r="C23" s="9"/>
      <c r="D23" s="9"/>
      <c r="E23" s="7"/>
    </row>
    <row r="24" spans="1:5" ht="15.5">
      <c r="A24" s="8"/>
      <c r="B24" s="20"/>
      <c r="C24" s="10"/>
      <c r="D24" s="10"/>
      <c r="E24" s="7"/>
    </row>
    <row r="25" spans="1:5" ht="15.5">
      <c r="A25" s="8"/>
      <c r="B25" s="20"/>
      <c r="C25" s="9"/>
      <c r="D25" s="9"/>
      <c r="E25" s="7"/>
    </row>
    <row r="26" spans="1:5" ht="15.5">
      <c r="A26" s="8"/>
      <c r="B26" s="20"/>
      <c r="C26" s="10"/>
      <c r="D26" s="10"/>
      <c r="E26" s="7"/>
    </row>
    <row r="27" spans="1:5" ht="15.5">
      <c r="A27" s="8"/>
      <c r="B27" s="20"/>
      <c r="C27" s="10"/>
      <c r="D27" s="10"/>
      <c r="E27" s="7"/>
    </row>
    <row r="28" spans="1:5">
      <c r="A28" s="16" t="s">
        <v>4</v>
      </c>
      <c r="B28" s="21">
        <f>B3+B4-B15</f>
        <v>200000.00000000448</v>
      </c>
      <c r="E28" s="15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0124-549C-4254-9F05-868424444F89}">
  <sheetPr>
    <tabColor rgb="FF0070C0"/>
  </sheetPr>
  <dimension ref="A1:N37"/>
  <sheetViews>
    <sheetView topLeftCell="A17" workbookViewId="0">
      <selection activeCell="B33" sqref="B33"/>
    </sheetView>
  </sheetViews>
  <sheetFormatPr defaultRowHeight="14.5"/>
  <cols>
    <col min="1" max="1" width="80.81640625" bestFit="1" customWidth="1"/>
    <col min="2" max="2" width="18.81640625" style="11" bestFit="1" customWidth="1"/>
    <col min="3" max="3" width="27.1796875" bestFit="1" customWidth="1"/>
    <col min="4" max="4" width="25.90625" customWidth="1"/>
    <col min="5" max="5" width="20.1796875" style="3" bestFit="1" customWidth="1"/>
    <col min="6" max="6" width="11.453125" customWidth="1"/>
    <col min="7" max="7" width="14.36328125" style="11" bestFit="1" customWidth="1"/>
    <col min="8" max="8" width="15.90625" bestFit="1" customWidth="1"/>
    <col min="9" max="9" width="14" style="22" bestFit="1" customWidth="1"/>
    <col min="10" max="10" width="15.54296875" bestFit="1" customWidth="1"/>
    <col min="11" max="12" width="12.6328125" bestFit="1" customWidth="1"/>
    <col min="13" max="14" width="15.0898437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</row>
    <row r="3" spans="1:14" ht="15.5">
      <c r="A3" s="16" t="s">
        <v>5</v>
      </c>
      <c r="B3" s="17">
        <f>'08.07.26'!B28</f>
        <v>200000.00000000448</v>
      </c>
      <c r="E3" s="15"/>
      <c r="G3"/>
      <c r="I3"/>
    </row>
    <row r="4" spans="1:14" ht="16.5" thickBot="1">
      <c r="A4" s="39" t="s">
        <v>0</v>
      </c>
      <c r="B4" s="40">
        <f>SUM(B5:B18)</f>
        <v>0</v>
      </c>
      <c r="C4" s="41" t="s">
        <v>1</v>
      </c>
      <c r="D4" s="42" t="s">
        <v>7</v>
      </c>
      <c r="E4" s="43" t="s">
        <v>2</v>
      </c>
    </row>
    <row r="5" spans="1:14" ht="16" thickBot="1">
      <c r="A5" s="8"/>
      <c r="B5" s="20"/>
      <c r="C5" s="9"/>
      <c r="D5" s="9"/>
      <c r="E5" s="7"/>
      <c r="G5" s="23" t="s">
        <v>8</v>
      </c>
      <c r="H5" s="23" t="s">
        <v>26</v>
      </c>
    </row>
    <row r="6" spans="1:14" ht="16" thickBot="1">
      <c r="A6" s="8"/>
      <c r="B6" s="20"/>
      <c r="C6" s="9"/>
      <c r="D6" s="9"/>
      <c r="E6" s="7"/>
      <c r="G6" s="25"/>
      <c r="H6" s="24"/>
    </row>
    <row r="7" spans="1:14" ht="16" thickBot="1">
      <c r="A7" s="8"/>
      <c r="B7" s="20"/>
      <c r="C7" s="10"/>
      <c r="D7" s="10"/>
      <c r="E7" s="7"/>
      <c r="G7" s="25"/>
      <c r="H7" s="32"/>
    </row>
    <row r="8" spans="1:14" ht="16" thickBot="1">
      <c r="A8" s="8"/>
      <c r="B8" s="20"/>
      <c r="C8" s="9"/>
      <c r="D8" s="9"/>
      <c r="E8" s="7"/>
      <c r="G8" s="23"/>
      <c r="H8" s="33"/>
    </row>
    <row r="9" spans="1:14" ht="16" thickBot="1">
      <c r="A9" s="8"/>
      <c r="B9" s="20"/>
      <c r="C9" s="10"/>
      <c r="D9" s="10"/>
      <c r="E9" s="7"/>
      <c r="G9"/>
      <c r="I9"/>
    </row>
    <row r="10" spans="1:14" ht="16" thickBot="1">
      <c r="A10" s="8"/>
      <c r="B10" s="20"/>
      <c r="C10" s="10"/>
      <c r="D10" s="10"/>
      <c r="E10" s="7"/>
      <c r="G10" s="31" t="s">
        <v>8</v>
      </c>
      <c r="H10" s="31" t="s">
        <v>12</v>
      </c>
      <c r="I10" s="31" t="s">
        <v>9</v>
      </c>
      <c r="J10" s="31" t="s">
        <v>13</v>
      </c>
      <c r="K10" s="31" t="s">
        <v>14</v>
      </c>
      <c r="L10" s="31" t="s">
        <v>15</v>
      </c>
      <c r="M10" s="31" t="s">
        <v>11</v>
      </c>
      <c r="N10" s="31" t="s">
        <v>10</v>
      </c>
    </row>
    <row r="11" spans="1:14" ht="16" thickBot="1">
      <c r="A11" s="8"/>
      <c r="B11" s="20"/>
      <c r="C11" s="9"/>
      <c r="D11" s="9"/>
      <c r="E11" s="7"/>
      <c r="G11" s="25"/>
      <c r="H11" s="24"/>
      <c r="I11" s="92">
        <f>H11*1.5%</f>
        <v>0</v>
      </c>
      <c r="J11" s="92">
        <f>0.65%*H11</f>
        <v>0</v>
      </c>
      <c r="K11" s="92">
        <f>3%*H11</f>
        <v>0</v>
      </c>
      <c r="L11" s="92">
        <f>1%*H11</f>
        <v>0</v>
      </c>
      <c r="M11" s="92">
        <f>H11*1.2574%</f>
        <v>0</v>
      </c>
      <c r="N11" s="24">
        <f>H11-I11-J11-K11-L11-M11</f>
        <v>0</v>
      </c>
    </row>
    <row r="12" spans="1:14" ht="16" thickBot="1">
      <c r="A12" s="8"/>
      <c r="B12" s="20"/>
      <c r="C12" s="9"/>
      <c r="D12" s="9"/>
      <c r="E12" s="7"/>
    </row>
    <row r="13" spans="1:14" ht="16" thickBot="1">
      <c r="A13" s="8"/>
      <c r="B13" s="20"/>
      <c r="C13" s="10"/>
      <c r="D13" s="10"/>
      <c r="E13" s="7"/>
      <c r="G13" s="31" t="s">
        <v>8</v>
      </c>
      <c r="H13" s="31" t="s">
        <v>12</v>
      </c>
      <c r="I13" s="31" t="s">
        <v>9</v>
      </c>
      <c r="J13" s="31" t="s">
        <v>13</v>
      </c>
      <c r="K13" s="31" t="s">
        <v>14</v>
      </c>
      <c r="L13" s="31" t="s">
        <v>15</v>
      </c>
      <c r="M13" s="31" t="s">
        <v>11</v>
      </c>
      <c r="N13" s="31" t="s">
        <v>10</v>
      </c>
    </row>
    <row r="14" spans="1:14" ht="16" thickBot="1">
      <c r="A14" s="8"/>
      <c r="B14" s="20"/>
      <c r="C14" s="9"/>
      <c r="D14" s="9"/>
      <c r="E14" s="7"/>
      <c r="G14" s="25"/>
      <c r="H14" s="24"/>
      <c r="I14" s="24">
        <f>H14*4.8%</f>
        <v>0</v>
      </c>
      <c r="J14" s="24">
        <f>0.65%*H14</f>
        <v>0</v>
      </c>
      <c r="K14" s="24">
        <f>3%*H14</f>
        <v>0</v>
      </c>
      <c r="L14" s="24">
        <f>1%*H14</f>
        <v>0</v>
      </c>
      <c r="M14" s="24"/>
      <c r="N14" s="24">
        <f>H14-I14-J14-K14-L14-M14</f>
        <v>0</v>
      </c>
    </row>
    <row r="15" spans="1:14" ht="16" thickBot="1">
      <c r="A15" s="8"/>
      <c r="B15" s="20"/>
      <c r="C15" s="9"/>
      <c r="D15" s="9"/>
      <c r="E15" s="7"/>
      <c r="G15" s="25"/>
      <c r="H15" s="24"/>
      <c r="I15" s="24">
        <f t="shared" ref="I15:I16" si="0">H15*4.8%</f>
        <v>0</v>
      </c>
      <c r="J15" s="24">
        <f t="shared" ref="J15:J16" si="1">0.65%*H15</f>
        <v>0</v>
      </c>
      <c r="K15" s="24">
        <f t="shared" ref="K15:K16" si="2">3%*H15</f>
        <v>0</v>
      </c>
      <c r="L15" s="24">
        <f t="shared" ref="L15:L16" si="3">1%*H15</f>
        <v>0</v>
      </c>
      <c r="M15" s="24"/>
      <c r="N15" s="24">
        <f t="shared" ref="N15:N16" si="4">H15-I15-J15-K15-L15-M15</f>
        <v>0</v>
      </c>
    </row>
    <row r="16" spans="1:14" ht="16" thickBot="1">
      <c r="A16" s="8"/>
      <c r="B16" s="20"/>
      <c r="C16" s="9"/>
      <c r="D16" s="9"/>
      <c r="E16" s="7"/>
      <c r="G16" s="25"/>
      <c r="H16" s="24"/>
      <c r="I16" s="24">
        <f t="shared" si="0"/>
        <v>0</v>
      </c>
      <c r="J16" s="24">
        <f t="shared" si="1"/>
        <v>0</v>
      </c>
      <c r="K16" s="24">
        <f t="shared" si="2"/>
        <v>0</v>
      </c>
      <c r="L16" s="24">
        <f t="shared" si="3"/>
        <v>0</v>
      </c>
      <c r="M16" s="24">
        <f t="shared" ref="M16" si="5">H16*5%</f>
        <v>0</v>
      </c>
      <c r="N16" s="24">
        <f t="shared" si="4"/>
        <v>0</v>
      </c>
    </row>
    <row r="17" spans="1:14" ht="16" thickBot="1">
      <c r="A17" s="8"/>
      <c r="B17" s="20"/>
      <c r="C17" s="9"/>
      <c r="D17" s="9"/>
      <c r="E17" s="7"/>
      <c r="G17" s="23" t="s">
        <v>16</v>
      </c>
      <c r="H17" s="33">
        <f>SUM(H14:H16)</f>
        <v>0</v>
      </c>
      <c r="I17" s="33">
        <f t="shared" ref="I17:N17" si="6">SUM(I14:I16)</f>
        <v>0</v>
      </c>
      <c r="J17" s="33">
        <f t="shared" si="6"/>
        <v>0</v>
      </c>
      <c r="K17" s="33">
        <f t="shared" si="6"/>
        <v>0</v>
      </c>
      <c r="L17" s="33">
        <f t="shared" si="6"/>
        <v>0</v>
      </c>
      <c r="M17" s="33">
        <f t="shared" si="6"/>
        <v>0</v>
      </c>
      <c r="N17" s="33">
        <f t="shared" si="6"/>
        <v>0</v>
      </c>
    </row>
    <row r="18" spans="1:14" ht="15.5">
      <c r="A18" s="8"/>
      <c r="B18" s="20"/>
      <c r="C18" s="10"/>
      <c r="D18" s="10"/>
      <c r="E18" s="7"/>
    </row>
    <row r="19" spans="1:14" ht="16">
      <c r="A19" s="39" t="s">
        <v>6</v>
      </c>
      <c r="B19" s="40">
        <f>SUM(B20:B32)</f>
        <v>0</v>
      </c>
      <c r="C19" s="41" t="s">
        <v>1</v>
      </c>
      <c r="D19" s="42" t="s">
        <v>7</v>
      </c>
      <c r="E19" s="43" t="s">
        <v>2</v>
      </c>
    </row>
    <row r="20" spans="1:14" ht="15.5">
      <c r="A20" s="8"/>
      <c r="B20" s="20"/>
      <c r="C20" s="9"/>
      <c r="D20" s="9"/>
      <c r="E20" s="7"/>
    </row>
    <row r="21" spans="1:14" ht="15.5">
      <c r="A21" s="8"/>
      <c r="B21" s="20"/>
      <c r="C21" s="9"/>
      <c r="D21" s="9"/>
      <c r="E21" s="7"/>
    </row>
    <row r="22" spans="1:14" ht="15.5">
      <c r="A22" s="8"/>
      <c r="B22" s="20"/>
      <c r="C22" s="10"/>
      <c r="D22" s="10"/>
      <c r="E22" s="7"/>
    </row>
    <row r="23" spans="1:14" ht="15.5">
      <c r="A23" s="8"/>
      <c r="B23" s="20"/>
      <c r="C23" s="9"/>
      <c r="D23" s="9"/>
      <c r="E23" s="7"/>
    </row>
    <row r="24" spans="1:14" ht="15.5">
      <c r="A24" s="8"/>
      <c r="B24" s="20"/>
      <c r="C24" s="10"/>
      <c r="D24" s="10"/>
      <c r="E24" s="7"/>
    </row>
    <row r="25" spans="1:14" ht="15.5">
      <c r="A25" s="8"/>
      <c r="B25" s="20"/>
      <c r="C25" s="10"/>
      <c r="D25" s="10"/>
      <c r="E25" s="7"/>
    </row>
    <row r="26" spans="1:14" ht="15.5">
      <c r="A26" s="8"/>
      <c r="B26" s="20"/>
      <c r="C26" s="9"/>
      <c r="D26" s="9"/>
      <c r="E26" s="7"/>
    </row>
    <row r="27" spans="1:14" ht="15.5">
      <c r="A27" s="8"/>
      <c r="B27" s="20"/>
      <c r="C27" s="9"/>
      <c r="D27" s="9"/>
      <c r="E27" s="7"/>
    </row>
    <row r="28" spans="1:14" ht="15.5">
      <c r="A28" s="8"/>
      <c r="B28" s="20"/>
      <c r="C28" s="10"/>
      <c r="D28" s="10"/>
      <c r="E28" s="7"/>
    </row>
    <row r="29" spans="1:14" ht="15.5">
      <c r="A29" s="8"/>
      <c r="B29" s="20"/>
      <c r="C29" s="9"/>
      <c r="D29" s="9"/>
      <c r="E29" s="7"/>
    </row>
    <row r="30" spans="1:14" ht="15.5">
      <c r="A30" s="8"/>
      <c r="B30" s="20"/>
      <c r="C30" s="10"/>
      <c r="D30" s="10"/>
      <c r="E30" s="7"/>
    </row>
    <row r="31" spans="1:14" ht="15.5">
      <c r="A31" s="8"/>
      <c r="B31" s="20"/>
      <c r="C31" s="10"/>
      <c r="D31" s="10"/>
      <c r="E31" s="7"/>
    </row>
    <row r="32" spans="1:14" ht="15.5">
      <c r="A32" s="8"/>
      <c r="B32" s="20"/>
      <c r="C32" s="10"/>
      <c r="D32" s="10"/>
      <c r="E32" s="7"/>
    </row>
    <row r="33" spans="1:5">
      <c r="A33" s="16" t="s">
        <v>4</v>
      </c>
      <c r="B33" s="21">
        <f>B3+B4-B19</f>
        <v>200000.00000000448</v>
      </c>
      <c r="E33" s="15"/>
    </row>
    <row r="37" spans="1:5">
      <c r="A37" s="30">
        <v>20833.330000000002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F12F-78E2-4DCF-B365-50180A3510FE}">
  <sheetPr>
    <tabColor rgb="FF00B050"/>
  </sheetPr>
  <dimension ref="A1:N37"/>
  <sheetViews>
    <sheetView topLeftCell="B1" workbookViewId="0">
      <selection activeCell="E6" sqref="E6"/>
    </sheetView>
  </sheetViews>
  <sheetFormatPr defaultRowHeight="14.5"/>
  <cols>
    <col min="1" max="1" width="89.90625" bestFit="1" customWidth="1"/>
    <col min="2" max="2" width="18.81640625" style="11" bestFit="1" customWidth="1"/>
    <col min="3" max="3" width="27.1796875" bestFit="1" customWidth="1"/>
    <col min="4" max="4" width="26.1796875" bestFit="1" customWidth="1"/>
    <col min="5" max="5" width="21.90625" style="3" bestFit="1" customWidth="1"/>
    <col min="6" max="6" width="5.1796875" customWidth="1"/>
    <col min="7" max="7" width="11.36328125" customWidth="1"/>
    <col min="8" max="8" width="16.6328125" bestFit="1" customWidth="1"/>
    <col min="9" max="9" width="16.81640625" bestFit="1" customWidth="1"/>
    <col min="10" max="10" width="15.81640625" bestFit="1" customWidth="1"/>
    <col min="11" max="11" width="16.81640625" bestFit="1" customWidth="1"/>
    <col min="12" max="13" width="15.81640625" bestFit="1" customWidth="1"/>
    <col min="14" max="14" width="17.90625" bestFit="1" customWidth="1"/>
  </cols>
  <sheetData>
    <row r="1" spans="1:14" ht="16">
      <c r="A1" s="143" t="s">
        <v>3</v>
      </c>
      <c r="B1" s="144"/>
      <c r="C1" s="144"/>
      <c r="D1" s="144"/>
      <c r="E1" s="144"/>
      <c r="G1" s="114">
        <v>30054.26</v>
      </c>
    </row>
    <row r="2" spans="1:14" ht="16">
      <c r="A2" s="1"/>
      <c r="B2" s="2"/>
      <c r="C2" s="30"/>
      <c r="D2" s="28"/>
      <c r="E2" s="50"/>
      <c r="G2" s="115" t="s">
        <v>100</v>
      </c>
    </row>
    <row r="3" spans="1:14" ht="16">
      <c r="A3" s="16" t="s">
        <v>5</v>
      </c>
      <c r="B3" s="17">
        <f>'09.07.26'!B33</f>
        <v>200000.00000000448</v>
      </c>
      <c r="E3" s="51"/>
      <c r="G3" s="115" t="s">
        <v>101</v>
      </c>
    </row>
    <row r="4" spans="1:14" ht="16.5" thickBot="1">
      <c r="A4" s="39" t="s">
        <v>0</v>
      </c>
      <c r="B4" s="40">
        <f>SUM(B5:B18)</f>
        <v>10309479.01</v>
      </c>
      <c r="C4" s="41" t="s">
        <v>1</v>
      </c>
      <c r="D4" s="42" t="s">
        <v>7</v>
      </c>
      <c r="E4" s="43" t="s">
        <v>2</v>
      </c>
      <c r="G4" s="48"/>
      <c r="H4" s="48"/>
      <c r="I4" s="48"/>
      <c r="J4" s="48"/>
    </row>
    <row r="5" spans="1:14" ht="16" thickBot="1">
      <c r="A5" s="67" t="s">
        <v>93</v>
      </c>
      <c r="B5" s="68">
        <v>10279415.75</v>
      </c>
      <c r="C5" s="61" t="s">
        <v>19</v>
      </c>
      <c r="D5" s="61" t="s">
        <v>98</v>
      </c>
      <c r="E5" s="62" t="s">
        <v>103</v>
      </c>
      <c r="G5" s="23" t="s">
        <v>8</v>
      </c>
      <c r="H5" s="23" t="s">
        <v>12</v>
      </c>
      <c r="I5" s="23" t="s">
        <v>9</v>
      </c>
      <c r="J5" s="23" t="s">
        <v>13</v>
      </c>
      <c r="K5" s="23" t="s">
        <v>14</v>
      </c>
      <c r="L5" s="23" t="s">
        <v>15</v>
      </c>
      <c r="M5" s="23" t="s">
        <v>11</v>
      </c>
      <c r="N5" s="23" t="s">
        <v>10</v>
      </c>
    </row>
    <row r="6" spans="1:14" ht="16" thickBot="1">
      <c r="A6" s="67" t="s">
        <v>94</v>
      </c>
      <c r="B6" s="68">
        <v>30054.26</v>
      </c>
      <c r="C6" s="61" t="s">
        <v>19</v>
      </c>
      <c r="D6" s="61" t="s">
        <v>99</v>
      </c>
      <c r="E6" s="62" t="s">
        <v>104</v>
      </c>
      <c r="G6" s="123">
        <v>966</v>
      </c>
      <c r="H6" s="124">
        <v>881234.69</v>
      </c>
      <c r="I6" s="125">
        <f t="shared" ref="I6:I12" si="0">H6*4.8%</f>
        <v>42299.265119999996</v>
      </c>
      <c r="J6" s="125">
        <f t="shared" ref="J6:J12" si="1">H6*0.65%</f>
        <v>5728.0254850000001</v>
      </c>
      <c r="K6" s="125">
        <f t="shared" ref="K6:K12" si="2">H6*3%</f>
        <v>26437.040699999998</v>
      </c>
      <c r="L6" s="125">
        <f t="shared" ref="L6:L12" si="3">H6*1%</f>
        <v>8812.3469000000005</v>
      </c>
      <c r="M6" s="125"/>
      <c r="N6" s="125">
        <f>H6-I6-J6-K6-L6-M6</f>
        <v>797958.01179499994</v>
      </c>
    </row>
    <row r="7" spans="1:14" ht="16" thickBot="1">
      <c r="A7" s="8"/>
      <c r="B7" s="20">
        <v>9</v>
      </c>
      <c r="C7" s="155" t="s">
        <v>313</v>
      </c>
      <c r="D7" s="156"/>
      <c r="E7" s="157"/>
      <c r="G7" s="123">
        <v>1415</v>
      </c>
      <c r="H7" s="124">
        <v>400282.4</v>
      </c>
      <c r="I7" s="125">
        <f t="shared" si="0"/>
        <v>19213.555200000003</v>
      </c>
      <c r="J7" s="125">
        <f t="shared" si="1"/>
        <v>2601.8356000000003</v>
      </c>
      <c r="K7" s="125">
        <f t="shared" si="2"/>
        <v>12008.472</v>
      </c>
      <c r="L7" s="125">
        <f t="shared" si="3"/>
        <v>4002.8240000000005</v>
      </c>
      <c r="M7" s="125"/>
      <c r="N7" s="125">
        <f>H7-I7-J7-K7-L7-M7</f>
        <v>362455.7132</v>
      </c>
    </row>
    <row r="8" spans="1:14" ht="16" thickBot="1">
      <c r="A8" s="8"/>
      <c r="B8" s="20"/>
      <c r="C8" s="9"/>
      <c r="D8" s="9"/>
      <c r="E8" s="7"/>
      <c r="G8" s="123">
        <v>50</v>
      </c>
      <c r="H8" s="124">
        <v>612154</v>
      </c>
      <c r="I8" s="125">
        <f t="shared" si="0"/>
        <v>29383.392</v>
      </c>
      <c r="J8" s="125">
        <f t="shared" si="1"/>
        <v>3979.0010000000002</v>
      </c>
      <c r="K8" s="125">
        <f t="shared" si="2"/>
        <v>18364.62</v>
      </c>
      <c r="L8" s="125">
        <f t="shared" si="3"/>
        <v>6121.54</v>
      </c>
      <c r="M8" s="125"/>
      <c r="N8" s="125">
        <f t="shared" ref="N8:N12" si="4">H8-I8-J8-K8-L8-M8</f>
        <v>554305.44699999993</v>
      </c>
    </row>
    <row r="9" spans="1:14" ht="16" thickBot="1">
      <c r="A9" s="8"/>
      <c r="B9" s="20"/>
      <c r="C9" s="10"/>
      <c r="D9" s="10"/>
      <c r="E9" s="7"/>
      <c r="G9" s="123">
        <v>1348</v>
      </c>
      <c r="H9" s="124">
        <v>486806.21</v>
      </c>
      <c r="I9" s="125">
        <f t="shared" si="0"/>
        <v>23366.698080000002</v>
      </c>
      <c r="J9" s="125">
        <f t="shared" si="1"/>
        <v>3164.2403650000006</v>
      </c>
      <c r="K9" s="125">
        <f t="shared" si="2"/>
        <v>14604.186299999999</v>
      </c>
      <c r="L9" s="125">
        <f t="shared" si="3"/>
        <v>4868.0621000000001</v>
      </c>
      <c r="M9" s="125"/>
      <c r="N9" s="125">
        <f t="shared" si="4"/>
        <v>440803.02315500006</v>
      </c>
    </row>
    <row r="10" spans="1:14" ht="16" thickBot="1">
      <c r="A10" s="8"/>
      <c r="B10" s="20"/>
      <c r="C10" s="10"/>
      <c r="D10" s="10"/>
      <c r="E10" s="7"/>
      <c r="G10" s="123">
        <v>1264</v>
      </c>
      <c r="H10" s="124">
        <v>217441.11</v>
      </c>
      <c r="I10" s="125">
        <f t="shared" si="0"/>
        <v>10437.173279999999</v>
      </c>
      <c r="J10" s="125">
        <f t="shared" si="1"/>
        <v>1413.367215</v>
      </c>
      <c r="K10" s="125">
        <f t="shared" si="2"/>
        <v>6523.233299999999</v>
      </c>
      <c r="L10" s="125">
        <f t="shared" si="3"/>
        <v>2174.4110999999998</v>
      </c>
      <c r="M10" s="125"/>
      <c r="N10" s="125">
        <f t="shared" si="4"/>
        <v>196892.925105</v>
      </c>
    </row>
    <row r="11" spans="1:14" ht="16" thickBot="1">
      <c r="A11" s="8"/>
      <c r="B11" s="20"/>
      <c r="C11" s="9"/>
      <c r="D11" s="9"/>
      <c r="E11" s="7"/>
      <c r="G11" s="123">
        <v>1140</v>
      </c>
      <c r="H11" s="124">
        <v>245978.26</v>
      </c>
      <c r="I11" s="125">
        <f t="shared" si="0"/>
        <v>11806.956480000001</v>
      </c>
      <c r="J11" s="125">
        <f t="shared" si="1"/>
        <v>1598.8586900000003</v>
      </c>
      <c r="K11" s="125">
        <f t="shared" si="2"/>
        <v>7379.3477999999996</v>
      </c>
      <c r="L11" s="125">
        <f t="shared" si="3"/>
        <v>2459.7826</v>
      </c>
      <c r="M11" s="125"/>
      <c r="N11" s="125">
        <f>H11-I11-J11-K11-L11-M11</f>
        <v>222733.31443000003</v>
      </c>
    </row>
    <row r="12" spans="1:14" ht="16" thickBot="1">
      <c r="A12" s="8"/>
      <c r="B12" s="20"/>
      <c r="C12" s="9"/>
      <c r="D12" s="9"/>
      <c r="E12" s="7"/>
      <c r="G12" s="123">
        <v>64</v>
      </c>
      <c r="H12" s="124">
        <v>469083.41</v>
      </c>
      <c r="I12" s="125">
        <f t="shared" si="0"/>
        <v>22516.003679999998</v>
      </c>
      <c r="J12" s="125">
        <f t="shared" si="1"/>
        <v>3049.0421650000003</v>
      </c>
      <c r="K12" s="125">
        <f t="shared" si="2"/>
        <v>14072.502299999998</v>
      </c>
      <c r="L12" s="125">
        <f t="shared" si="3"/>
        <v>4690.8341</v>
      </c>
      <c r="M12" s="125"/>
      <c r="N12" s="125">
        <f t="shared" si="4"/>
        <v>424755.02775499999</v>
      </c>
    </row>
    <row r="13" spans="1:14" ht="16" thickBot="1">
      <c r="A13" s="8"/>
      <c r="B13" s="20"/>
      <c r="C13" s="10"/>
      <c r="D13" s="10"/>
      <c r="E13" s="7"/>
      <c r="G13" s="123">
        <v>56</v>
      </c>
      <c r="H13" s="124">
        <v>232152.42</v>
      </c>
      <c r="I13" s="125">
        <f t="shared" ref="I13" si="5">H13*4.8%</f>
        <v>11143.31616</v>
      </c>
      <c r="J13" s="125">
        <f t="shared" ref="J13" si="6">H13*0.65%</f>
        <v>1508.9907300000002</v>
      </c>
      <c r="K13" s="125">
        <f t="shared" ref="K13" si="7">H13*3%</f>
        <v>6964.5726000000004</v>
      </c>
      <c r="L13" s="125">
        <f t="shared" ref="L13" si="8">H13*1%</f>
        <v>2321.5242000000003</v>
      </c>
      <c r="M13" s="125"/>
      <c r="N13" s="125">
        <f t="shared" ref="N13" si="9">H13-I13-J13-K13-L13-M13</f>
        <v>210214.01631000001</v>
      </c>
    </row>
    <row r="14" spans="1:14" ht="16" thickBot="1">
      <c r="A14" s="8"/>
      <c r="B14" s="20"/>
      <c r="C14" s="9"/>
      <c r="D14" s="9"/>
      <c r="E14" s="7"/>
      <c r="G14" s="123">
        <v>1226</v>
      </c>
      <c r="H14" s="124">
        <v>404171.79</v>
      </c>
      <c r="I14" s="125">
        <f>H14*4.8%</f>
        <v>19400.245920000001</v>
      </c>
      <c r="J14" s="125">
        <f>H14*0.65%</f>
        <v>2627.1166350000003</v>
      </c>
      <c r="K14" s="125">
        <f>H14*3%</f>
        <v>12125.153699999999</v>
      </c>
      <c r="L14" s="125">
        <f>H14*1%</f>
        <v>4041.7179000000001</v>
      </c>
      <c r="M14" s="125"/>
      <c r="N14" s="125">
        <f>H14-I14-J14-K14-L14-M14</f>
        <v>365977.55584499997</v>
      </c>
    </row>
    <row r="15" spans="1:14" ht="16" thickBot="1">
      <c r="A15" s="8"/>
      <c r="B15" s="20"/>
      <c r="C15" s="10"/>
      <c r="D15" s="10"/>
      <c r="E15" s="7"/>
      <c r="G15" s="123">
        <v>68</v>
      </c>
      <c r="H15" s="124">
        <v>437978.39</v>
      </c>
      <c r="I15" s="125">
        <f>H15*4.8%</f>
        <v>21022.96272</v>
      </c>
      <c r="J15" s="125">
        <f>H15*0.65%</f>
        <v>2846.8595350000005</v>
      </c>
      <c r="K15" s="125">
        <f>H15*3%</f>
        <v>13139.351699999999</v>
      </c>
      <c r="L15" s="125">
        <f>H15*1%</f>
        <v>4379.7839000000004</v>
      </c>
      <c r="M15" s="125"/>
      <c r="N15" s="125">
        <f>H15-I15-J15-K15-L15-M15</f>
        <v>396589.43214500003</v>
      </c>
    </row>
    <row r="16" spans="1:14" ht="16" thickBot="1">
      <c r="A16" s="8"/>
      <c r="B16" s="20"/>
      <c r="C16" s="9"/>
      <c r="D16" s="9"/>
      <c r="E16" s="7"/>
      <c r="G16" s="123">
        <v>69</v>
      </c>
      <c r="H16" s="124">
        <v>369750.16</v>
      </c>
      <c r="I16" s="125">
        <f t="shared" ref="I16" si="10">H16*4.8%</f>
        <v>17748.007679999999</v>
      </c>
      <c r="J16" s="125">
        <f t="shared" ref="J16" si="11">H16*0.65%</f>
        <v>2403.3760400000001</v>
      </c>
      <c r="K16" s="125">
        <f t="shared" ref="K16" si="12">H16*3%</f>
        <v>11092.504799999999</v>
      </c>
      <c r="L16" s="125">
        <f t="shared" ref="L16" si="13">H16*1%</f>
        <v>3697.5015999999996</v>
      </c>
      <c r="M16" s="125"/>
      <c r="N16" s="125">
        <f t="shared" ref="N16" si="14">H16-I16-J16-K16-L16-M16</f>
        <v>334808.76987999998</v>
      </c>
    </row>
    <row r="17" spans="1:14" ht="16" thickBot="1">
      <c r="A17" s="8"/>
      <c r="B17" s="20"/>
      <c r="C17" s="10"/>
      <c r="D17" s="10"/>
      <c r="E17" s="7"/>
      <c r="G17" s="123">
        <v>1000900</v>
      </c>
      <c r="H17" s="124">
        <v>245762.48</v>
      </c>
      <c r="I17" s="125">
        <f t="shared" ref="I17:I36" si="15">H17*4.8%</f>
        <v>11796.599040000001</v>
      </c>
      <c r="J17" s="125">
        <f t="shared" ref="J17:J36" si="16">H17*0.65%</f>
        <v>1597.4561200000003</v>
      </c>
      <c r="K17" s="125">
        <f t="shared" ref="K17:K36" si="17">H17*3%</f>
        <v>7372.8743999999997</v>
      </c>
      <c r="L17" s="125">
        <f t="shared" ref="L17:L36" si="18">H17*1%</f>
        <v>2457.6248000000001</v>
      </c>
      <c r="M17" s="125"/>
      <c r="N17" s="125">
        <f t="shared" ref="N17:N36" si="19">H17-I17-J17-K17-L17-M17</f>
        <v>222537.92564000003</v>
      </c>
    </row>
    <row r="18" spans="1:14" ht="16" thickBot="1">
      <c r="A18" s="8"/>
      <c r="B18" s="20"/>
      <c r="C18" s="10"/>
      <c r="D18" s="10"/>
      <c r="E18" s="7"/>
      <c r="G18" s="123">
        <v>1194</v>
      </c>
      <c r="H18" s="124">
        <v>430684.92</v>
      </c>
      <c r="I18" s="125">
        <f t="shared" si="15"/>
        <v>20672.87616</v>
      </c>
      <c r="J18" s="125">
        <f t="shared" si="16"/>
        <v>2799.4519800000003</v>
      </c>
      <c r="K18" s="125">
        <f t="shared" si="17"/>
        <v>12920.5476</v>
      </c>
      <c r="L18" s="125">
        <f t="shared" si="18"/>
        <v>4306.8491999999997</v>
      </c>
      <c r="M18" s="125"/>
      <c r="N18" s="125">
        <f t="shared" si="19"/>
        <v>389985.19506</v>
      </c>
    </row>
    <row r="19" spans="1:14" ht="16.5" thickBot="1">
      <c r="A19" s="39" t="s">
        <v>6</v>
      </c>
      <c r="B19" s="40">
        <f>SUM(B20:B32)</f>
        <v>10279415.75</v>
      </c>
      <c r="C19" s="41" t="s">
        <v>1</v>
      </c>
      <c r="D19" s="42" t="s">
        <v>7</v>
      </c>
      <c r="E19" s="43" t="s">
        <v>2</v>
      </c>
      <c r="G19" s="123">
        <v>42</v>
      </c>
      <c r="H19" s="124">
        <v>278383.73</v>
      </c>
      <c r="I19" s="125">
        <f t="shared" si="15"/>
        <v>13362.419039999999</v>
      </c>
      <c r="J19" s="125">
        <f t="shared" si="16"/>
        <v>1809.4942450000001</v>
      </c>
      <c r="K19" s="125">
        <f t="shared" si="17"/>
        <v>8351.5118999999995</v>
      </c>
      <c r="L19" s="125">
        <f t="shared" si="18"/>
        <v>2783.8372999999997</v>
      </c>
      <c r="M19" s="125"/>
      <c r="N19" s="125">
        <f t="shared" si="19"/>
        <v>252076.46751499994</v>
      </c>
    </row>
    <row r="20" spans="1:14" ht="16" thickBot="1">
      <c r="A20" s="67" t="s">
        <v>95</v>
      </c>
      <c r="B20" s="68">
        <v>10279415.75</v>
      </c>
      <c r="C20" s="61" t="s">
        <v>19</v>
      </c>
      <c r="D20" s="61"/>
      <c r="E20" s="62" t="s">
        <v>81</v>
      </c>
      <c r="F20">
        <v>883</v>
      </c>
      <c r="G20" s="123">
        <v>998</v>
      </c>
      <c r="H20" s="124">
        <v>350328.33</v>
      </c>
      <c r="I20" s="125">
        <f t="shared" si="15"/>
        <v>16815.759840000002</v>
      </c>
      <c r="J20" s="125">
        <f t="shared" si="16"/>
        <v>2277.1341450000004</v>
      </c>
      <c r="K20" s="125">
        <f t="shared" si="17"/>
        <v>10509.849899999999</v>
      </c>
      <c r="L20" s="125">
        <f t="shared" si="18"/>
        <v>3503.2833000000001</v>
      </c>
      <c r="M20" s="125"/>
      <c r="N20" s="125">
        <f t="shared" si="19"/>
        <v>317222.302815</v>
      </c>
    </row>
    <row r="21" spans="1:14" ht="16" thickBot="1">
      <c r="A21" s="8"/>
      <c r="B21" s="20"/>
      <c r="C21" s="9"/>
      <c r="D21" s="9"/>
      <c r="E21" s="7"/>
      <c r="G21" s="123">
        <v>202600050</v>
      </c>
      <c r="H21" s="124">
        <v>146468.24</v>
      </c>
      <c r="I21" s="125">
        <f t="shared" si="15"/>
        <v>7030.47552</v>
      </c>
      <c r="J21" s="125">
        <f t="shared" si="16"/>
        <v>952.04356000000007</v>
      </c>
      <c r="K21" s="125">
        <f t="shared" si="17"/>
        <v>4394.0472</v>
      </c>
      <c r="L21" s="125">
        <f t="shared" si="18"/>
        <v>1464.6823999999999</v>
      </c>
      <c r="M21" s="125"/>
      <c r="N21" s="125">
        <f t="shared" si="19"/>
        <v>132626.99132</v>
      </c>
    </row>
    <row r="22" spans="1:14" ht="16" thickBot="1">
      <c r="A22" s="8"/>
      <c r="B22" s="20"/>
      <c r="C22" s="10"/>
      <c r="D22" s="10"/>
      <c r="E22" s="7"/>
      <c r="G22" s="123">
        <v>18</v>
      </c>
      <c r="H22" s="124">
        <v>193540.61</v>
      </c>
      <c r="I22" s="125">
        <f t="shared" si="15"/>
        <v>9289.9492799999989</v>
      </c>
      <c r="J22" s="125">
        <f t="shared" si="16"/>
        <v>1258.0139650000001</v>
      </c>
      <c r="K22" s="125">
        <f t="shared" si="17"/>
        <v>5806.2182999999995</v>
      </c>
      <c r="L22" s="125">
        <f t="shared" si="18"/>
        <v>1935.4060999999999</v>
      </c>
      <c r="M22" s="125"/>
      <c r="N22" s="125">
        <f t="shared" si="19"/>
        <v>175251.02235499999</v>
      </c>
    </row>
    <row r="23" spans="1:14" ht="16" thickBot="1">
      <c r="A23" s="8"/>
      <c r="B23" s="20"/>
      <c r="C23" s="9"/>
      <c r="D23" s="9"/>
      <c r="E23" s="7"/>
      <c r="G23" s="123">
        <v>202600000050</v>
      </c>
      <c r="H23" s="124">
        <v>174977.45</v>
      </c>
      <c r="I23" s="125">
        <f t="shared" si="15"/>
        <v>8398.9176000000007</v>
      </c>
      <c r="J23" s="125">
        <f t="shared" si="16"/>
        <v>1137.3534250000002</v>
      </c>
      <c r="K23" s="125">
        <f t="shared" si="17"/>
        <v>5249.3235000000004</v>
      </c>
      <c r="L23" s="125">
        <f t="shared" si="18"/>
        <v>1749.7745000000002</v>
      </c>
      <c r="M23" s="125"/>
      <c r="N23" s="125">
        <f t="shared" si="19"/>
        <v>158442.08097500002</v>
      </c>
    </row>
    <row r="24" spans="1:14" ht="16" thickBot="1">
      <c r="A24" s="8"/>
      <c r="B24" s="20"/>
      <c r="C24" s="10"/>
      <c r="D24" s="10"/>
      <c r="E24" s="7"/>
      <c r="G24" s="123">
        <v>883</v>
      </c>
      <c r="H24" s="124">
        <v>207981.86</v>
      </c>
      <c r="I24" s="125">
        <f t="shared" si="15"/>
        <v>9983.1292799999992</v>
      </c>
      <c r="J24" s="125">
        <f t="shared" si="16"/>
        <v>1351.8820900000001</v>
      </c>
      <c r="K24" s="125">
        <f t="shared" si="17"/>
        <v>6239.4557999999997</v>
      </c>
      <c r="L24" s="125">
        <f t="shared" si="18"/>
        <v>2079.8186000000001</v>
      </c>
      <c r="M24" s="125"/>
      <c r="N24" s="125">
        <f t="shared" si="19"/>
        <v>188327.57423</v>
      </c>
    </row>
    <row r="25" spans="1:14" ht="16" thickBot="1">
      <c r="A25" s="8"/>
      <c r="B25" s="20"/>
      <c r="C25" s="10"/>
      <c r="D25" s="10"/>
      <c r="E25" s="7"/>
      <c r="G25" s="123">
        <v>493</v>
      </c>
      <c r="H25" s="124">
        <v>467234.2</v>
      </c>
      <c r="I25" s="125">
        <f t="shared" si="15"/>
        <v>22427.241600000001</v>
      </c>
      <c r="J25" s="125">
        <f t="shared" si="16"/>
        <v>3037.0223000000005</v>
      </c>
      <c r="K25" s="125">
        <f t="shared" si="17"/>
        <v>14017.026</v>
      </c>
      <c r="L25" s="125">
        <f t="shared" si="18"/>
        <v>4672.3420000000006</v>
      </c>
      <c r="M25" s="125"/>
      <c r="N25" s="125">
        <f t="shared" si="19"/>
        <v>423080.56809999997</v>
      </c>
    </row>
    <row r="26" spans="1:14" ht="16" thickBot="1">
      <c r="A26" s="8"/>
      <c r="B26" s="20"/>
      <c r="C26" s="9"/>
      <c r="D26" s="9"/>
      <c r="E26" s="7"/>
      <c r="G26" s="123">
        <v>65</v>
      </c>
      <c r="H26" s="124">
        <v>593561.53</v>
      </c>
      <c r="I26" s="125">
        <f t="shared" si="15"/>
        <v>28490.953440000001</v>
      </c>
      <c r="J26" s="125">
        <f t="shared" si="16"/>
        <v>3858.1499450000006</v>
      </c>
      <c r="K26" s="125">
        <f t="shared" si="17"/>
        <v>17806.8459</v>
      </c>
      <c r="L26" s="125">
        <f t="shared" si="18"/>
        <v>5935.6153000000004</v>
      </c>
      <c r="M26" s="125"/>
      <c r="N26" s="125">
        <f t="shared" si="19"/>
        <v>537469.96541500022</v>
      </c>
    </row>
    <row r="27" spans="1:14" ht="16" thickBot="1">
      <c r="A27" s="8"/>
      <c r="B27" s="20"/>
      <c r="C27" s="9"/>
      <c r="D27" s="9"/>
      <c r="E27" s="7"/>
      <c r="G27" s="123">
        <v>1114</v>
      </c>
      <c r="H27" s="124">
        <v>511767.2</v>
      </c>
      <c r="I27" s="125">
        <f t="shared" si="15"/>
        <v>24564.8256</v>
      </c>
      <c r="J27" s="125">
        <f t="shared" si="16"/>
        <v>3326.4868000000006</v>
      </c>
      <c r="K27" s="125">
        <f t="shared" si="17"/>
        <v>15353.016</v>
      </c>
      <c r="L27" s="125">
        <f t="shared" si="18"/>
        <v>5117.6720000000005</v>
      </c>
      <c r="M27" s="125"/>
      <c r="N27" s="125">
        <f t="shared" si="19"/>
        <v>463405.19959999999</v>
      </c>
    </row>
    <row r="28" spans="1:14" ht="16" thickBot="1">
      <c r="A28" s="8"/>
      <c r="B28" s="20"/>
      <c r="C28" s="10"/>
      <c r="D28" s="10"/>
      <c r="E28" s="7"/>
      <c r="G28" s="123">
        <v>1104</v>
      </c>
      <c r="H28" s="124">
        <v>298946.26</v>
      </c>
      <c r="I28" s="125">
        <f t="shared" si="15"/>
        <v>14349.420480000001</v>
      </c>
      <c r="J28" s="125">
        <f t="shared" si="16"/>
        <v>1943.1506900000002</v>
      </c>
      <c r="K28" s="125">
        <f t="shared" si="17"/>
        <v>8968.3878000000004</v>
      </c>
      <c r="L28" s="125">
        <f t="shared" si="18"/>
        <v>2989.4626000000003</v>
      </c>
      <c r="M28" s="125"/>
      <c r="N28" s="125">
        <f t="shared" si="19"/>
        <v>270695.83843</v>
      </c>
    </row>
    <row r="29" spans="1:14" ht="16" thickBot="1">
      <c r="A29" s="8"/>
      <c r="B29" s="20"/>
      <c r="C29" s="9"/>
      <c r="D29" s="9"/>
      <c r="E29" s="7"/>
      <c r="G29" s="123">
        <v>4852</v>
      </c>
      <c r="H29" s="124">
        <v>797619.31</v>
      </c>
      <c r="I29" s="125">
        <f t="shared" si="15"/>
        <v>38285.726880000002</v>
      </c>
      <c r="J29" s="125">
        <f t="shared" si="16"/>
        <v>5184.5255150000012</v>
      </c>
      <c r="K29" s="125">
        <f t="shared" si="17"/>
        <v>23928.579300000001</v>
      </c>
      <c r="L29" s="125">
        <f t="shared" si="18"/>
        <v>7976.1931000000004</v>
      </c>
      <c r="M29" s="125"/>
      <c r="N29" s="125">
        <f t="shared" si="19"/>
        <v>722244.28520500008</v>
      </c>
    </row>
    <row r="30" spans="1:14" ht="16" thickBot="1">
      <c r="A30" s="8"/>
      <c r="B30" s="20"/>
      <c r="C30" s="10"/>
      <c r="D30" s="10"/>
      <c r="E30" s="7"/>
      <c r="G30" s="123">
        <v>45</v>
      </c>
      <c r="H30" s="124">
        <v>522899.09</v>
      </c>
      <c r="I30" s="125">
        <f t="shared" si="15"/>
        <v>25099.156320000002</v>
      </c>
      <c r="J30" s="125">
        <f t="shared" si="16"/>
        <v>3398.8440850000006</v>
      </c>
      <c r="K30" s="125">
        <f t="shared" si="17"/>
        <v>15686.9727</v>
      </c>
      <c r="L30" s="125">
        <f t="shared" si="18"/>
        <v>5228.9909000000007</v>
      </c>
      <c r="M30" s="125"/>
      <c r="N30" s="125">
        <f t="shared" si="19"/>
        <v>473485.12599500007</v>
      </c>
    </row>
    <row r="31" spans="1:14" ht="16" thickBot="1">
      <c r="A31" s="8"/>
      <c r="B31" s="20"/>
      <c r="C31" s="9"/>
      <c r="D31" s="9"/>
      <c r="E31" s="7"/>
      <c r="G31" s="123">
        <v>43</v>
      </c>
      <c r="H31" s="124">
        <v>219339.4</v>
      </c>
      <c r="I31" s="125">
        <f t="shared" si="15"/>
        <v>10528.2912</v>
      </c>
      <c r="J31" s="125">
        <f t="shared" si="16"/>
        <v>1425.7061000000001</v>
      </c>
      <c r="K31" s="125">
        <f t="shared" si="17"/>
        <v>6580.1819999999998</v>
      </c>
      <c r="L31" s="125">
        <f t="shared" si="18"/>
        <v>2193.3939999999998</v>
      </c>
      <c r="M31" s="125"/>
      <c r="N31" s="125">
        <f t="shared" si="19"/>
        <v>198611.82669999998</v>
      </c>
    </row>
    <row r="32" spans="1:14" ht="16" thickBot="1">
      <c r="A32" s="8"/>
      <c r="B32" s="20"/>
      <c r="C32" s="10"/>
      <c r="D32" s="10"/>
      <c r="E32" s="7"/>
      <c r="G32" s="123">
        <v>1139</v>
      </c>
      <c r="H32" s="124">
        <v>202159.33</v>
      </c>
      <c r="I32" s="125">
        <f t="shared" si="15"/>
        <v>9703.6478399999996</v>
      </c>
      <c r="J32" s="125">
        <f t="shared" si="16"/>
        <v>1314.0356449999999</v>
      </c>
      <c r="K32" s="125">
        <f t="shared" si="17"/>
        <v>6064.7798999999995</v>
      </c>
      <c r="L32" s="125">
        <f t="shared" si="18"/>
        <v>2021.5933</v>
      </c>
      <c r="M32" s="125"/>
      <c r="N32" s="125">
        <f t="shared" si="19"/>
        <v>183055.273315</v>
      </c>
    </row>
    <row r="33" spans="1:14" ht="15" thickBot="1">
      <c r="A33" s="16" t="s">
        <v>4</v>
      </c>
      <c r="B33" s="21">
        <f>B3+B4-B19</f>
        <v>230063.2600000035</v>
      </c>
      <c r="E33" s="15"/>
      <c r="G33" s="123">
        <v>202600042</v>
      </c>
      <c r="H33" s="124">
        <v>306579.11</v>
      </c>
      <c r="I33" s="125">
        <f t="shared" si="15"/>
        <v>14715.797279999999</v>
      </c>
      <c r="J33" s="125">
        <f t="shared" si="16"/>
        <v>1992.7642150000001</v>
      </c>
      <c r="K33" s="125">
        <f t="shared" si="17"/>
        <v>9197.3732999999993</v>
      </c>
      <c r="L33" s="125">
        <f t="shared" si="18"/>
        <v>3065.7910999999999</v>
      </c>
      <c r="M33" s="125"/>
      <c r="N33" s="125">
        <f t="shared" si="19"/>
        <v>277607.38410500006</v>
      </c>
    </row>
    <row r="34" spans="1:14" ht="15" thickBot="1">
      <c r="G34" s="123">
        <v>202600068</v>
      </c>
      <c r="H34" s="124">
        <v>424776.87</v>
      </c>
      <c r="I34" s="125">
        <f t="shared" si="15"/>
        <v>20389.28976</v>
      </c>
      <c r="J34" s="125">
        <f t="shared" si="16"/>
        <v>2761.0496550000003</v>
      </c>
      <c r="K34" s="125">
        <f t="shared" si="17"/>
        <v>12743.3061</v>
      </c>
      <c r="L34" s="125">
        <f t="shared" si="18"/>
        <v>4247.7686999999996</v>
      </c>
      <c r="M34" s="125"/>
      <c r="N34" s="125">
        <f t="shared" si="19"/>
        <v>384635.455785</v>
      </c>
    </row>
    <row r="35" spans="1:14" ht="15" thickBot="1">
      <c r="G35" s="123">
        <v>3140</v>
      </c>
      <c r="H35" s="124">
        <v>179139.3</v>
      </c>
      <c r="I35" s="125">
        <f t="shared" si="15"/>
        <v>8598.6864000000005</v>
      </c>
      <c r="J35" s="125">
        <f t="shared" si="16"/>
        <v>1164.40545</v>
      </c>
      <c r="K35" s="125">
        <f t="shared" si="17"/>
        <v>5374.1789999999992</v>
      </c>
      <c r="L35" s="125">
        <f t="shared" si="18"/>
        <v>1791.393</v>
      </c>
      <c r="M35" s="125">
        <f>H35*5%</f>
        <v>8956.9650000000001</v>
      </c>
      <c r="N35" s="125">
        <f t="shared" si="19"/>
        <v>153253.67114999998</v>
      </c>
    </row>
    <row r="36" spans="1:14" ht="15" thickBot="1">
      <c r="G36" s="123">
        <v>3141</v>
      </c>
      <c r="H36" s="124">
        <v>56000.44</v>
      </c>
      <c r="I36" s="125">
        <f t="shared" si="15"/>
        <v>2688.0211200000003</v>
      </c>
      <c r="J36" s="125">
        <f t="shared" si="16"/>
        <v>364.00286000000006</v>
      </c>
      <c r="K36" s="125">
        <f t="shared" si="17"/>
        <v>1680.0132000000001</v>
      </c>
      <c r="L36" s="125">
        <f t="shared" si="18"/>
        <v>560.00440000000003</v>
      </c>
      <c r="M36" s="125">
        <f>H36*5%</f>
        <v>2800.0220000000004</v>
      </c>
      <c r="N36" s="125">
        <f t="shared" si="19"/>
        <v>47908.376420000008</v>
      </c>
    </row>
    <row r="37" spans="1:14" ht="15" thickBot="1">
      <c r="G37" s="116" t="s">
        <v>102</v>
      </c>
      <c r="H37" s="24">
        <f t="shared" ref="H37:N37" si="20">SUM(H6:H36)</f>
        <v>11365182.500000002</v>
      </c>
      <c r="I37" s="24">
        <f t="shared" si="20"/>
        <v>545528.76</v>
      </c>
      <c r="J37" s="24">
        <f t="shared" si="20"/>
        <v>73873.686249999984</v>
      </c>
      <c r="K37" s="24">
        <f t="shared" si="20"/>
        <v>340955.47499999998</v>
      </c>
      <c r="L37" s="24">
        <f t="shared" si="20"/>
        <v>113651.82500000001</v>
      </c>
      <c r="M37" s="86">
        <f t="shared" si="20"/>
        <v>11756.987000000001</v>
      </c>
      <c r="N37" s="24">
        <f t="shared" si="20"/>
        <v>10279415.76675</v>
      </c>
    </row>
  </sheetData>
  <mergeCells count="2">
    <mergeCell ref="A1:E1"/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A74E-293B-4ED0-AB3D-CC874D3C5F80}">
  <sheetPr>
    <tabColor rgb="FF00B050"/>
  </sheetPr>
  <dimension ref="A1:N33"/>
  <sheetViews>
    <sheetView workbookViewId="0">
      <selection activeCell="B34" sqref="B34"/>
    </sheetView>
  </sheetViews>
  <sheetFormatPr defaultRowHeight="14.5"/>
  <cols>
    <col min="1" max="1" width="81.54296875" bestFit="1" customWidth="1"/>
    <col min="2" max="2" width="17.08984375" style="11" bestFit="1" customWidth="1"/>
    <col min="3" max="3" width="28" customWidth="1"/>
    <col min="4" max="4" width="26.1796875" bestFit="1" customWidth="1"/>
    <col min="5" max="5" width="27.6328125" style="3" bestFit="1" customWidth="1"/>
    <col min="6" max="6" width="8" customWidth="1"/>
    <col min="7" max="7" width="11.54296875" bestFit="1" customWidth="1"/>
    <col min="8" max="8" width="15.453125" bestFit="1" customWidth="1"/>
    <col min="9" max="9" width="12.6328125" bestFit="1" customWidth="1"/>
    <col min="10" max="10" width="14.1796875" bestFit="1" customWidth="1"/>
    <col min="11" max="11" width="12.6328125" bestFit="1" customWidth="1"/>
    <col min="12" max="12" width="11.6328125" bestFit="1" customWidth="1"/>
    <col min="13" max="13" width="12.6328125" bestFit="1" customWidth="1"/>
    <col min="14" max="14" width="14.179687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C2" s="30"/>
      <c r="D2" s="45"/>
    </row>
    <row r="3" spans="1:14" ht="16" thickBot="1">
      <c r="A3" s="16" t="s">
        <v>5</v>
      </c>
      <c r="B3" s="17">
        <f>'10.07.26'!B33</f>
        <v>230063.2600000035</v>
      </c>
      <c r="C3" s="28"/>
      <c r="D3" s="45"/>
      <c r="E3" s="15"/>
    </row>
    <row r="4" spans="1:14" ht="16.5" thickBot="1">
      <c r="A4" s="39" t="s">
        <v>0</v>
      </c>
      <c r="B4" s="40">
        <f>SUM(B5:B18)</f>
        <v>32822.04</v>
      </c>
      <c r="C4" s="41" t="s">
        <v>1</v>
      </c>
      <c r="D4" s="42" t="s">
        <v>7</v>
      </c>
      <c r="E4" s="43" t="s">
        <v>2</v>
      </c>
      <c r="G4" s="23" t="s">
        <v>8</v>
      </c>
      <c r="H4" s="72" t="s">
        <v>12</v>
      </c>
      <c r="I4" s="72" t="s">
        <v>11</v>
      </c>
      <c r="J4" s="72" t="s">
        <v>10</v>
      </c>
    </row>
    <row r="5" spans="1:14" ht="16" thickBot="1">
      <c r="A5" s="67" t="s">
        <v>97</v>
      </c>
      <c r="B5" s="68">
        <v>32822.04</v>
      </c>
      <c r="C5" s="61" t="s">
        <v>19</v>
      </c>
      <c r="D5" s="61" t="s">
        <v>156</v>
      </c>
      <c r="E5" s="62" t="s">
        <v>157</v>
      </c>
      <c r="G5" s="102"/>
      <c r="H5" s="103"/>
      <c r="I5" s="32">
        <f>H5*2%</f>
        <v>0</v>
      </c>
      <c r="J5" s="32">
        <f>H5-I5</f>
        <v>0</v>
      </c>
    </row>
    <row r="6" spans="1:14" ht="15.5">
      <c r="A6" s="8"/>
      <c r="B6" s="20"/>
      <c r="C6" s="9"/>
      <c r="D6" s="9"/>
      <c r="E6" s="7"/>
      <c r="G6" s="22"/>
    </row>
    <row r="7" spans="1:14" ht="16" thickBot="1">
      <c r="A7" s="8"/>
      <c r="B7" s="20"/>
      <c r="C7" s="9"/>
      <c r="D7" s="9"/>
      <c r="E7" s="7"/>
    </row>
    <row r="8" spans="1:14" ht="16" thickBot="1">
      <c r="A8" s="8"/>
      <c r="B8" s="20"/>
      <c r="C8" s="9"/>
      <c r="D8" s="9"/>
      <c r="E8" s="7"/>
      <c r="G8" s="23" t="s">
        <v>8</v>
      </c>
      <c r="H8" s="23" t="s">
        <v>12</v>
      </c>
      <c r="I8" s="23" t="s">
        <v>9</v>
      </c>
      <c r="J8" s="23" t="s">
        <v>13</v>
      </c>
      <c r="K8" s="23" t="s">
        <v>14</v>
      </c>
      <c r="L8" s="23" t="s">
        <v>15</v>
      </c>
      <c r="M8" s="23" t="s">
        <v>11</v>
      </c>
      <c r="N8" s="23" t="s">
        <v>10</v>
      </c>
    </row>
    <row r="9" spans="1:14" ht="16" thickBot="1">
      <c r="A9" s="8"/>
      <c r="B9" s="20"/>
      <c r="C9" s="10"/>
      <c r="D9" s="10"/>
      <c r="E9" s="7"/>
      <c r="G9" s="23"/>
      <c r="H9" s="24"/>
      <c r="I9" s="86"/>
      <c r="J9" s="86">
        <f>H9*0.65%</f>
        <v>0</v>
      </c>
      <c r="K9" s="86">
        <f>H9*3%</f>
        <v>0</v>
      </c>
      <c r="L9" s="86">
        <f>H9*1%</f>
        <v>0</v>
      </c>
      <c r="M9" s="86"/>
      <c r="N9" s="86">
        <f>H9-I9-J9-K9-L9-M9</f>
        <v>0</v>
      </c>
    </row>
    <row r="10" spans="1:14" ht="15.5">
      <c r="A10" s="8"/>
      <c r="B10" s="20"/>
      <c r="C10" s="10"/>
      <c r="D10" s="10"/>
      <c r="E10" s="7"/>
    </row>
    <row r="11" spans="1:14" ht="16" thickBot="1">
      <c r="A11" s="8"/>
      <c r="B11" s="20"/>
      <c r="C11" s="9"/>
      <c r="D11" s="9"/>
      <c r="E11" s="7"/>
    </row>
    <row r="12" spans="1:14" ht="16" thickBot="1">
      <c r="A12" s="8"/>
      <c r="B12" s="20"/>
      <c r="C12" s="9"/>
      <c r="D12" s="9"/>
      <c r="E12" s="7"/>
      <c r="G12" s="23" t="s">
        <v>8</v>
      </c>
      <c r="H12" s="23" t="s">
        <v>12</v>
      </c>
      <c r="I12" s="23" t="s">
        <v>9</v>
      </c>
      <c r="J12" s="23" t="s">
        <v>13</v>
      </c>
      <c r="K12" s="23" t="s">
        <v>14</v>
      </c>
      <c r="L12" s="23" t="s">
        <v>15</v>
      </c>
      <c r="M12" s="23" t="s">
        <v>11</v>
      </c>
      <c r="N12" s="23" t="s">
        <v>10</v>
      </c>
    </row>
    <row r="13" spans="1:14" ht="16" thickBot="1">
      <c r="A13" s="8"/>
      <c r="B13" s="20"/>
      <c r="C13" s="10"/>
      <c r="D13" s="10"/>
      <c r="E13" s="7"/>
      <c r="G13" s="23"/>
      <c r="H13" s="24"/>
      <c r="I13" s="86">
        <f>H13*1.5%</f>
        <v>0</v>
      </c>
      <c r="J13" s="86">
        <f>H13*0.65%</f>
        <v>0</v>
      </c>
      <c r="K13" s="86">
        <f>H13*3%</f>
        <v>0</v>
      </c>
      <c r="L13" s="86">
        <f>H13*1%</f>
        <v>0</v>
      </c>
      <c r="M13" s="86">
        <f>H13*5%</f>
        <v>0</v>
      </c>
      <c r="N13" s="86">
        <f>H13-I13-J13-K13-L13-M13</f>
        <v>0</v>
      </c>
    </row>
    <row r="14" spans="1:14" ht="15.5">
      <c r="A14" s="8"/>
      <c r="B14" s="20"/>
      <c r="C14" s="9"/>
      <c r="D14" s="9"/>
      <c r="E14" s="7"/>
    </row>
    <row r="15" spans="1:14" ht="15.5">
      <c r="A15" s="8"/>
      <c r="B15" s="20"/>
      <c r="C15" s="10"/>
      <c r="D15" s="10"/>
      <c r="E15" s="7"/>
    </row>
    <row r="16" spans="1:14" ht="15.5">
      <c r="A16" s="8"/>
      <c r="B16" s="20"/>
      <c r="C16" s="9"/>
      <c r="D16" s="9"/>
      <c r="E16" s="7"/>
    </row>
    <row r="17" spans="1:5" ht="15.5">
      <c r="A17" s="8"/>
      <c r="B17" s="20"/>
      <c r="C17" s="10"/>
      <c r="D17" s="10"/>
      <c r="E17" s="7"/>
    </row>
    <row r="18" spans="1:5" ht="15.5">
      <c r="A18" s="8"/>
      <c r="B18" s="20"/>
      <c r="C18" s="10"/>
      <c r="D18" s="10"/>
      <c r="E18" s="7"/>
    </row>
    <row r="19" spans="1:5" ht="16">
      <c r="A19" s="39" t="s">
        <v>6</v>
      </c>
      <c r="B19" s="40">
        <f>SUM(B20:B32)</f>
        <v>62876.3</v>
      </c>
      <c r="C19" s="41" t="s">
        <v>1</v>
      </c>
      <c r="D19" s="42" t="s">
        <v>7</v>
      </c>
      <c r="E19" s="43" t="s">
        <v>2</v>
      </c>
    </row>
    <row r="20" spans="1:5" ht="15.5">
      <c r="A20" s="67" t="s">
        <v>96</v>
      </c>
      <c r="B20" s="68">
        <v>62876.3</v>
      </c>
      <c r="C20" s="61" t="s">
        <v>19</v>
      </c>
      <c r="D20" s="61"/>
      <c r="E20" s="62" t="s">
        <v>81</v>
      </c>
    </row>
    <row r="21" spans="1:5" ht="15.5">
      <c r="A21" s="8"/>
      <c r="B21" s="82"/>
      <c r="C21" s="9"/>
      <c r="D21" s="9"/>
      <c r="E21" s="7"/>
    </row>
    <row r="22" spans="1:5" ht="15.5">
      <c r="A22" s="8"/>
      <c r="B22" s="20"/>
      <c r="C22" s="10"/>
      <c r="D22" s="10"/>
      <c r="E22" s="7"/>
    </row>
    <row r="23" spans="1:5" ht="15.5">
      <c r="A23" s="8"/>
      <c r="B23" s="20"/>
      <c r="C23" s="9"/>
      <c r="D23" s="9"/>
      <c r="E23" s="7"/>
    </row>
    <row r="24" spans="1:5" ht="15.5">
      <c r="A24" s="8"/>
      <c r="B24" s="20"/>
      <c r="C24" s="10"/>
      <c r="D24" s="10"/>
      <c r="E24" s="7"/>
    </row>
    <row r="25" spans="1:5" ht="15.5">
      <c r="A25" s="8"/>
      <c r="B25" s="20"/>
      <c r="C25" s="10"/>
      <c r="D25" s="10"/>
      <c r="E25" s="7"/>
    </row>
    <row r="26" spans="1:5" ht="15.5">
      <c r="A26" s="8"/>
      <c r="B26" s="20"/>
      <c r="C26" s="9"/>
      <c r="D26" s="9"/>
      <c r="E26" s="7"/>
    </row>
    <row r="27" spans="1:5" ht="15.5">
      <c r="A27" s="8"/>
      <c r="B27" s="20"/>
      <c r="C27" s="9"/>
      <c r="D27" s="9"/>
      <c r="E27" s="7"/>
    </row>
    <row r="28" spans="1:5" ht="15.5">
      <c r="A28" s="8"/>
      <c r="B28" s="20"/>
      <c r="C28" s="10"/>
      <c r="D28" s="10"/>
      <c r="E28" s="7"/>
    </row>
    <row r="29" spans="1:5" ht="15.5">
      <c r="A29" s="8"/>
      <c r="B29" s="20"/>
      <c r="C29" s="9"/>
      <c r="D29" s="9"/>
      <c r="E29" s="7"/>
    </row>
    <row r="30" spans="1:5" ht="15.5">
      <c r="A30" s="8"/>
      <c r="B30" s="20"/>
      <c r="C30" s="10"/>
      <c r="D30" s="10"/>
      <c r="E30" s="7"/>
    </row>
    <row r="31" spans="1:5" ht="15.5">
      <c r="A31" s="8"/>
      <c r="B31" s="20"/>
      <c r="C31" s="10"/>
      <c r="D31" s="10"/>
      <c r="E31" s="7"/>
    </row>
    <row r="32" spans="1:5" ht="15.5">
      <c r="A32" s="8"/>
      <c r="B32" s="20"/>
      <c r="C32" s="10"/>
      <c r="D32" s="10"/>
      <c r="E32" s="7"/>
    </row>
    <row r="33" spans="1:5">
      <c r="A33" s="16" t="s">
        <v>4</v>
      </c>
      <c r="B33" s="21">
        <f>B3+B4-B19</f>
        <v>200009.00000000349</v>
      </c>
      <c r="E33" s="15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1B5F-AA3A-4AF0-B1F1-D7EAD6D8FCE1}">
  <sheetPr>
    <tabColor rgb="FF00B050"/>
  </sheetPr>
  <dimension ref="A1:N34"/>
  <sheetViews>
    <sheetView zoomScale="115" zoomScaleNormal="115" workbookViewId="0">
      <selection activeCell="B3" sqref="B3"/>
    </sheetView>
  </sheetViews>
  <sheetFormatPr defaultRowHeight="14.5"/>
  <cols>
    <col min="1" max="1" width="81.1796875" bestFit="1" customWidth="1"/>
    <col min="2" max="2" width="19.08984375" style="11" bestFit="1" customWidth="1"/>
    <col min="3" max="3" width="27.6328125" bestFit="1" customWidth="1"/>
    <col min="4" max="4" width="26.1796875" bestFit="1" customWidth="1"/>
    <col min="5" max="5" width="27.90625" style="3" bestFit="1" customWidth="1"/>
    <col min="6" max="6" width="8.36328125" customWidth="1"/>
    <col min="7" max="7" width="11.54296875" bestFit="1" customWidth="1"/>
    <col min="8" max="8" width="16.1796875" bestFit="1" customWidth="1"/>
    <col min="9" max="9" width="15.1796875" bestFit="1" customWidth="1"/>
    <col min="10" max="10" width="15.453125" bestFit="1" customWidth="1"/>
    <col min="11" max="13" width="13.81640625" bestFit="1" customWidth="1"/>
    <col min="14" max="14" width="16.179687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C2" s="60"/>
      <c r="D2" s="38"/>
    </row>
    <row r="3" spans="1:14" ht="15.5">
      <c r="A3" s="16" t="s">
        <v>5</v>
      </c>
      <c r="B3" s="17">
        <f>'13.07.26'!B33</f>
        <v>200009.00000000349</v>
      </c>
      <c r="C3" s="30"/>
      <c r="D3" s="28"/>
      <c r="E3" s="15"/>
    </row>
    <row r="4" spans="1:14" ht="16">
      <c r="A4" s="39" t="s">
        <v>0</v>
      </c>
      <c r="B4" s="40">
        <f>SUM(B5:B18)</f>
        <v>9726660.7399999984</v>
      </c>
      <c r="C4" s="41" t="s">
        <v>1</v>
      </c>
      <c r="D4" s="44" t="s">
        <v>7</v>
      </c>
      <c r="E4" s="43" t="s">
        <v>2</v>
      </c>
    </row>
    <row r="5" spans="1:14" ht="15.5">
      <c r="A5" s="67" t="s">
        <v>108</v>
      </c>
      <c r="B5" s="68">
        <v>16.34</v>
      </c>
      <c r="C5" s="61" t="s">
        <v>19</v>
      </c>
      <c r="D5" s="61" t="s">
        <v>119</v>
      </c>
      <c r="E5" s="62" t="s">
        <v>107</v>
      </c>
    </row>
    <row r="6" spans="1:14" ht="16" thickBot="1">
      <c r="A6" s="67" t="s">
        <v>109</v>
      </c>
      <c r="B6" s="68">
        <v>4868680.3</v>
      </c>
      <c r="C6" s="61" t="s">
        <v>19</v>
      </c>
      <c r="D6" s="61" t="s">
        <v>120</v>
      </c>
      <c r="E6" s="62" t="s">
        <v>28</v>
      </c>
    </row>
    <row r="7" spans="1:14" ht="16" thickBot="1">
      <c r="A7" s="67" t="s">
        <v>110</v>
      </c>
      <c r="B7" s="68">
        <v>199652.59</v>
      </c>
      <c r="C7" s="61" t="s">
        <v>19</v>
      </c>
      <c r="D7" s="61" t="s">
        <v>121</v>
      </c>
      <c r="E7" s="62" t="s">
        <v>127</v>
      </c>
      <c r="G7" s="23" t="s">
        <v>8</v>
      </c>
      <c r="H7" s="23" t="s">
        <v>12</v>
      </c>
      <c r="I7" s="23" t="s">
        <v>9</v>
      </c>
      <c r="J7" s="23" t="s">
        <v>13</v>
      </c>
      <c r="K7" s="23" t="s">
        <v>14</v>
      </c>
      <c r="L7" s="23" t="s">
        <v>15</v>
      </c>
      <c r="M7" s="23" t="s">
        <v>11</v>
      </c>
      <c r="N7" s="23" t="s">
        <v>10</v>
      </c>
    </row>
    <row r="8" spans="1:14" ht="16" thickBot="1">
      <c r="A8" s="67" t="s">
        <v>111</v>
      </c>
      <c r="B8" s="68">
        <v>3789144.32</v>
      </c>
      <c r="C8" s="61" t="s">
        <v>19</v>
      </c>
      <c r="D8" s="61" t="s">
        <v>122</v>
      </c>
      <c r="E8" s="62" t="s">
        <v>128</v>
      </c>
      <c r="G8" s="25"/>
      <c r="H8" s="86"/>
      <c r="I8" s="86"/>
      <c r="J8" s="86">
        <f>H8*0.65%</f>
        <v>0</v>
      </c>
      <c r="K8" s="86">
        <f>H8*3%</f>
        <v>0</v>
      </c>
      <c r="L8" s="86">
        <f>H8*1%</f>
        <v>0</v>
      </c>
      <c r="M8" s="86"/>
      <c r="N8" s="86">
        <f>H8-I8-J8-K8-L8-M8</f>
        <v>0</v>
      </c>
    </row>
    <row r="9" spans="1:14" ht="15.5">
      <c r="A9" s="67" t="s">
        <v>112</v>
      </c>
      <c r="B9" s="68">
        <v>83023.75</v>
      </c>
      <c r="C9" s="61" t="s">
        <v>19</v>
      </c>
      <c r="D9" s="61" t="s">
        <v>123</v>
      </c>
      <c r="E9" s="62" t="s">
        <v>128</v>
      </c>
    </row>
    <row r="10" spans="1:14" ht="16" thickBot="1">
      <c r="A10" s="67" t="s">
        <v>113</v>
      </c>
      <c r="B10" s="68">
        <v>416861.64</v>
      </c>
      <c r="C10" s="61" t="s">
        <v>19</v>
      </c>
      <c r="D10" s="61" t="s">
        <v>124</v>
      </c>
      <c r="E10" s="62" t="s">
        <v>28</v>
      </c>
    </row>
    <row r="11" spans="1:14" ht="16" thickBot="1">
      <c r="A11" s="67" t="s">
        <v>114</v>
      </c>
      <c r="B11" s="68">
        <v>353765.03</v>
      </c>
      <c r="C11" s="61" t="s">
        <v>19</v>
      </c>
      <c r="D11" s="61" t="s">
        <v>125</v>
      </c>
      <c r="E11" s="62" t="s">
        <v>28</v>
      </c>
      <c r="G11" s="23" t="s">
        <v>8</v>
      </c>
      <c r="H11" s="23" t="s">
        <v>12</v>
      </c>
      <c r="I11" s="23" t="s">
        <v>17</v>
      </c>
      <c r="J11" s="23" t="s">
        <v>10</v>
      </c>
    </row>
    <row r="12" spans="1:14" ht="16" thickBot="1">
      <c r="A12" s="67" t="s">
        <v>115</v>
      </c>
      <c r="B12" s="68">
        <v>15516.77</v>
      </c>
      <c r="C12" s="61" t="s">
        <v>19</v>
      </c>
      <c r="D12" s="61" t="s">
        <v>126</v>
      </c>
      <c r="E12" s="62" t="s">
        <v>129</v>
      </c>
      <c r="G12" s="25"/>
      <c r="H12" s="24"/>
      <c r="I12" s="24">
        <f>H12*1.5%</f>
        <v>0</v>
      </c>
      <c r="J12" s="24">
        <f>H12-I12</f>
        <v>0</v>
      </c>
    </row>
    <row r="13" spans="1:14" ht="16" thickBot="1">
      <c r="A13" s="121" t="s">
        <v>116</v>
      </c>
      <c r="B13" s="122" t="s">
        <v>117</v>
      </c>
      <c r="C13" s="119"/>
      <c r="D13" s="119"/>
      <c r="E13" s="120"/>
      <c r="I13" s="26"/>
    </row>
    <row r="14" spans="1:14" ht="16" thickBot="1">
      <c r="A14" s="8"/>
      <c r="B14" s="20"/>
      <c r="C14" s="9"/>
      <c r="D14" s="9"/>
      <c r="E14" s="7"/>
      <c r="G14" s="23" t="s">
        <v>8</v>
      </c>
      <c r="H14" s="23" t="s">
        <v>12</v>
      </c>
      <c r="I14" s="23" t="s">
        <v>9</v>
      </c>
      <c r="J14" s="23" t="s">
        <v>13</v>
      </c>
      <c r="K14" s="23" t="s">
        <v>14</v>
      </c>
      <c r="L14" s="23" t="s">
        <v>15</v>
      </c>
      <c r="M14" s="23" t="s">
        <v>11</v>
      </c>
      <c r="N14" s="23" t="s">
        <v>10</v>
      </c>
    </row>
    <row r="15" spans="1:14" ht="16" thickBot="1">
      <c r="A15" s="8"/>
      <c r="B15" s="20"/>
      <c r="C15" s="10"/>
      <c r="D15" s="10"/>
      <c r="E15" s="7"/>
      <c r="G15" s="25"/>
      <c r="H15" s="86"/>
      <c r="I15" s="86"/>
      <c r="J15" s="86"/>
      <c r="K15" s="86"/>
      <c r="L15" s="86"/>
      <c r="M15" s="86"/>
      <c r="N15" s="86">
        <f>H15-I15-J15-K15-L15-M15</f>
        <v>0</v>
      </c>
    </row>
    <row r="16" spans="1:14" ht="16" thickBot="1">
      <c r="A16" s="8"/>
      <c r="B16" s="20"/>
      <c r="C16" s="9"/>
      <c r="D16" s="9"/>
      <c r="E16" s="7"/>
      <c r="G16" s="25"/>
      <c r="H16" s="86"/>
      <c r="I16" s="86"/>
      <c r="J16" s="86"/>
      <c r="K16" s="86"/>
      <c r="L16" s="86"/>
      <c r="M16" s="86"/>
      <c r="N16" s="86">
        <f>H16-I16-J16-K16-L16-M16</f>
        <v>0</v>
      </c>
    </row>
    <row r="17" spans="1:14" ht="16" thickBot="1">
      <c r="A17" s="8"/>
      <c r="B17" s="20"/>
      <c r="C17" s="10"/>
      <c r="D17" s="10"/>
      <c r="E17" s="7"/>
      <c r="G17" s="23" t="s">
        <v>16</v>
      </c>
      <c r="H17" s="37">
        <f t="shared" ref="H17:N17" si="0">SUM(H15:H16)</f>
        <v>0</v>
      </c>
      <c r="I17" s="37">
        <f t="shared" si="0"/>
        <v>0</v>
      </c>
      <c r="J17" s="37">
        <f t="shared" si="0"/>
        <v>0</v>
      </c>
      <c r="K17" s="37">
        <f t="shared" si="0"/>
        <v>0</v>
      </c>
      <c r="L17" s="37">
        <f t="shared" si="0"/>
        <v>0</v>
      </c>
      <c r="M17" s="37">
        <f t="shared" si="0"/>
        <v>0</v>
      </c>
      <c r="N17" s="37">
        <f t="shared" si="0"/>
        <v>0</v>
      </c>
    </row>
    <row r="18" spans="1:14" ht="15.5">
      <c r="A18" s="8"/>
      <c r="B18" s="20"/>
      <c r="C18" s="10"/>
      <c r="D18" s="10"/>
      <c r="E18" s="7"/>
    </row>
    <row r="19" spans="1:14" ht="16">
      <c r="A19" s="39" t="s">
        <v>6</v>
      </c>
      <c r="B19" s="40">
        <f>SUM(B20:B33)</f>
        <v>4221522.7299999995</v>
      </c>
      <c r="C19" s="41" t="s">
        <v>1</v>
      </c>
      <c r="D19" s="42" t="s">
        <v>7</v>
      </c>
      <c r="E19" s="43" t="s">
        <v>2</v>
      </c>
    </row>
    <row r="20" spans="1:14" ht="15.5">
      <c r="A20" s="67" t="s">
        <v>118</v>
      </c>
      <c r="B20" s="68">
        <v>4200447.22</v>
      </c>
      <c r="C20" s="61" t="s">
        <v>19</v>
      </c>
      <c r="D20" s="61"/>
      <c r="E20" s="62" t="s">
        <v>81</v>
      </c>
    </row>
    <row r="21" spans="1:14" ht="15.5">
      <c r="A21" s="132" t="s">
        <v>116</v>
      </c>
      <c r="B21" s="133">
        <v>21075.51</v>
      </c>
      <c r="C21" s="61" t="s">
        <v>19</v>
      </c>
      <c r="D21" s="131" t="s">
        <v>182</v>
      </c>
      <c r="E21" s="131" t="s">
        <v>157</v>
      </c>
    </row>
    <row r="22" spans="1:14" ht="15.5">
      <c r="A22" s="8"/>
      <c r="B22" s="20"/>
      <c r="C22" s="10"/>
      <c r="D22" s="10"/>
      <c r="E22" s="7"/>
    </row>
    <row r="23" spans="1:14" ht="15.5">
      <c r="A23" s="8"/>
      <c r="B23" s="20"/>
      <c r="C23" s="9"/>
      <c r="D23" s="9"/>
      <c r="E23" s="7"/>
    </row>
    <row r="24" spans="1:14" ht="15.5">
      <c r="A24" s="8"/>
      <c r="B24" s="20"/>
      <c r="C24" s="10"/>
      <c r="D24" s="10"/>
      <c r="E24" s="7"/>
    </row>
    <row r="25" spans="1:14" ht="15.5">
      <c r="A25" s="8"/>
      <c r="B25" s="20"/>
      <c r="C25" s="10"/>
      <c r="D25" s="10"/>
      <c r="E25" s="7"/>
    </row>
    <row r="26" spans="1:14" ht="15.5">
      <c r="A26" s="8"/>
      <c r="B26" s="20"/>
      <c r="C26" s="9"/>
      <c r="D26" s="9"/>
      <c r="E26" s="7"/>
    </row>
    <row r="27" spans="1:14" ht="15.5">
      <c r="A27" s="8"/>
      <c r="B27" s="20"/>
      <c r="C27" s="9"/>
      <c r="D27" s="9"/>
      <c r="E27" s="7"/>
    </row>
    <row r="28" spans="1:14" ht="15.5">
      <c r="A28" s="8"/>
      <c r="B28" s="20"/>
      <c r="C28" s="10"/>
      <c r="D28" s="10"/>
      <c r="E28" s="7"/>
    </row>
    <row r="29" spans="1:14" ht="15.5">
      <c r="A29" s="8"/>
      <c r="B29" s="20"/>
      <c r="C29" s="9"/>
      <c r="D29" s="9"/>
      <c r="E29" s="7"/>
    </row>
    <row r="30" spans="1:14" ht="15.5">
      <c r="A30" s="8"/>
      <c r="B30" s="20"/>
      <c r="C30" s="10"/>
      <c r="D30" s="10"/>
      <c r="E30" s="7"/>
    </row>
    <row r="31" spans="1:14" ht="15.5">
      <c r="A31" s="8"/>
      <c r="B31" s="20"/>
      <c r="C31" s="9"/>
      <c r="D31" s="9"/>
      <c r="E31" s="7"/>
    </row>
    <row r="32" spans="1:14" ht="15.5">
      <c r="A32" s="8"/>
      <c r="B32" s="20"/>
      <c r="C32" s="9"/>
      <c r="D32" s="9"/>
      <c r="E32" s="7"/>
    </row>
    <row r="33" spans="1:5" ht="15.5">
      <c r="A33" s="8"/>
      <c r="B33" s="20"/>
      <c r="C33" s="10"/>
      <c r="D33" s="10"/>
      <c r="E33" s="7"/>
    </row>
    <row r="34" spans="1:5">
      <c r="A34" s="16" t="s">
        <v>4</v>
      </c>
      <c r="B34" s="21">
        <f>B3+B4-B19</f>
        <v>5705147.0100000026</v>
      </c>
      <c r="E34" s="15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0F23-C449-434F-A87F-A4838E2F24B0}">
  <sheetPr>
    <tabColor rgb="FF00B050"/>
  </sheetPr>
  <dimension ref="A1:N30"/>
  <sheetViews>
    <sheetView zoomScale="109" zoomScaleNormal="109" workbookViewId="0">
      <selection activeCell="A6" sqref="A6"/>
    </sheetView>
  </sheetViews>
  <sheetFormatPr defaultRowHeight="14.5"/>
  <cols>
    <col min="1" max="1" width="81.1796875" bestFit="1" customWidth="1"/>
    <col min="2" max="2" width="19.08984375" style="11" bestFit="1" customWidth="1"/>
    <col min="3" max="3" width="15.36328125" bestFit="1" customWidth="1"/>
    <col min="4" max="4" width="26.1796875" bestFit="1" customWidth="1"/>
    <col min="5" max="5" width="25.36328125" style="3" bestFit="1" customWidth="1"/>
    <col min="6" max="6" width="8.36328125" customWidth="1"/>
    <col min="7" max="7" width="11.54296875" bestFit="1" customWidth="1"/>
    <col min="8" max="8" width="16.54296875" bestFit="1" customWidth="1"/>
    <col min="9" max="9" width="17.90625" bestFit="1" customWidth="1"/>
    <col min="10" max="12" width="16.81640625" bestFit="1" customWidth="1"/>
    <col min="13" max="14" width="19.45312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C2" s="104"/>
      <c r="D2" s="28"/>
    </row>
    <row r="3" spans="1:14" ht="15.5">
      <c r="A3" s="16" t="s">
        <v>5</v>
      </c>
      <c r="B3" s="17">
        <f>'14.07.26'!B34</f>
        <v>5705147.0100000026</v>
      </c>
      <c r="C3" s="30"/>
      <c r="D3" s="38"/>
      <c r="E3" s="15"/>
    </row>
    <row r="4" spans="1:14" ht="16">
      <c r="A4" s="39" t="s">
        <v>0</v>
      </c>
      <c r="B4" s="40">
        <f>SUM(B5:B18)</f>
        <v>7144095.8899999997</v>
      </c>
      <c r="C4" s="41" t="s">
        <v>1</v>
      </c>
      <c r="D4" s="44" t="s">
        <v>7</v>
      </c>
      <c r="E4" s="43" t="s">
        <v>2</v>
      </c>
      <c r="G4" s="9" t="s">
        <v>8</v>
      </c>
      <c r="H4" s="9" t="s">
        <v>12</v>
      </c>
      <c r="I4" s="9" t="s">
        <v>9</v>
      </c>
      <c r="J4" s="9" t="s">
        <v>10</v>
      </c>
    </row>
    <row r="5" spans="1:14" ht="15.5">
      <c r="A5" s="67" t="s">
        <v>105</v>
      </c>
      <c r="B5" s="68">
        <v>3282740.64</v>
      </c>
      <c r="C5" s="61" t="s">
        <v>19</v>
      </c>
      <c r="D5" s="61" t="s">
        <v>106</v>
      </c>
      <c r="E5" s="62" t="s">
        <v>77</v>
      </c>
      <c r="G5" s="118">
        <v>100</v>
      </c>
      <c r="H5" s="127">
        <v>3332731.61</v>
      </c>
      <c r="I5" s="126">
        <f>1.5%*H5</f>
        <v>49990.974149999995</v>
      </c>
      <c r="J5" s="126">
        <f>H5-I5</f>
        <v>3282740.6358499997</v>
      </c>
    </row>
    <row r="6" spans="1:14" ht="16" thickBot="1">
      <c r="A6" s="67" t="s">
        <v>130</v>
      </c>
      <c r="B6" s="68">
        <v>3845681.9</v>
      </c>
      <c r="C6" s="61" t="s">
        <v>19</v>
      </c>
      <c r="D6" s="61" t="s">
        <v>133</v>
      </c>
      <c r="E6" s="62" t="s">
        <v>135</v>
      </c>
    </row>
    <row r="7" spans="1:14" ht="16" thickBot="1">
      <c r="A7" s="67" t="s">
        <v>131</v>
      </c>
      <c r="B7" s="68">
        <v>15673.35</v>
      </c>
      <c r="C7" s="61" t="s">
        <v>19</v>
      </c>
      <c r="D7" s="61" t="s">
        <v>134</v>
      </c>
      <c r="E7" s="62" t="s">
        <v>128</v>
      </c>
      <c r="G7" s="23" t="s">
        <v>8</v>
      </c>
      <c r="H7" s="23" t="s">
        <v>12</v>
      </c>
      <c r="I7" s="23" t="s">
        <v>9</v>
      </c>
      <c r="J7" s="23" t="s">
        <v>13</v>
      </c>
      <c r="K7" s="23" t="s">
        <v>14</v>
      </c>
      <c r="L7" s="23" t="s">
        <v>15</v>
      </c>
      <c r="M7" s="23" t="s">
        <v>11</v>
      </c>
      <c r="N7" s="23" t="s">
        <v>10</v>
      </c>
    </row>
    <row r="8" spans="1:14" ht="16" thickBot="1">
      <c r="A8" s="8"/>
      <c r="B8" s="20"/>
      <c r="C8" s="9"/>
      <c r="D8" s="9"/>
      <c r="E8" s="7"/>
      <c r="G8" s="123">
        <v>3126</v>
      </c>
      <c r="H8" s="124">
        <v>2746397.65</v>
      </c>
      <c r="I8" s="125">
        <f t="shared" ref="I8:I12" si="0">H8*4.8%</f>
        <v>131827.08720000001</v>
      </c>
      <c r="J8" s="125">
        <f t="shared" ref="J8:J12" si="1">H8*0.65%</f>
        <v>17851.584725000001</v>
      </c>
      <c r="K8" s="125">
        <f t="shared" ref="K8:K12" si="2">H8*3%</f>
        <v>82391.929499999998</v>
      </c>
      <c r="L8" s="125">
        <f t="shared" ref="L8:L12" si="3">H8*1%</f>
        <v>27463.976500000001</v>
      </c>
      <c r="M8" s="125">
        <f>H8*2%</f>
        <v>54927.953000000001</v>
      </c>
      <c r="N8" s="125">
        <f>H8-I8-J8-K8-L8-M8</f>
        <v>2431935.1190749998</v>
      </c>
    </row>
    <row r="9" spans="1:14" ht="16" thickBot="1">
      <c r="A9" s="8"/>
      <c r="B9" s="20"/>
      <c r="C9" s="9"/>
      <c r="D9" s="9"/>
      <c r="E9" s="7"/>
      <c r="G9" s="123">
        <v>3128</v>
      </c>
      <c r="H9" s="124">
        <v>774824.46</v>
      </c>
      <c r="I9" s="125">
        <f t="shared" si="0"/>
        <v>37191.574079999999</v>
      </c>
      <c r="J9" s="125">
        <f t="shared" si="1"/>
        <v>5036.3589900000006</v>
      </c>
      <c r="K9" s="125">
        <f t="shared" si="2"/>
        <v>23244.733799999998</v>
      </c>
      <c r="L9" s="125">
        <f t="shared" si="3"/>
        <v>7748.2446</v>
      </c>
      <c r="M9" s="125">
        <f t="shared" ref="M9" si="4">H9*2%</f>
        <v>15496.4892</v>
      </c>
      <c r="N9" s="125">
        <f>H9-I9-J9-K9-L9-M9</f>
        <v>686107.05932999996</v>
      </c>
    </row>
    <row r="10" spans="1:14" ht="16" thickBot="1">
      <c r="A10" s="8"/>
      <c r="B10" s="20"/>
      <c r="C10" s="9"/>
      <c r="D10" s="9"/>
      <c r="E10" s="7"/>
      <c r="G10" s="123">
        <v>58</v>
      </c>
      <c r="H10" s="124">
        <v>109707.12</v>
      </c>
      <c r="I10" s="125">
        <f t="shared" si="0"/>
        <v>5265.9417599999997</v>
      </c>
      <c r="J10" s="125">
        <f t="shared" si="1"/>
        <v>713.09627999999998</v>
      </c>
      <c r="K10" s="125">
        <f t="shared" si="2"/>
        <v>3291.2135999999996</v>
      </c>
      <c r="L10" s="125">
        <f t="shared" si="3"/>
        <v>1097.0712000000001</v>
      </c>
      <c r="M10" s="125"/>
      <c r="N10" s="125">
        <f t="shared" ref="N10:N12" si="5">H10-I10-J10-K10-L10-M10</f>
        <v>99339.797159999987</v>
      </c>
    </row>
    <row r="11" spans="1:14" ht="16" thickBot="1">
      <c r="A11" s="8"/>
      <c r="B11" s="20"/>
      <c r="C11" s="9"/>
      <c r="D11" s="9"/>
      <c r="E11" s="7"/>
      <c r="G11" s="123">
        <v>57</v>
      </c>
      <c r="H11" s="124">
        <v>72179.039999999994</v>
      </c>
      <c r="I11" s="125">
        <f t="shared" si="0"/>
        <v>3464.5939199999998</v>
      </c>
      <c r="J11" s="125">
        <f t="shared" si="1"/>
        <v>469.16376000000002</v>
      </c>
      <c r="K11" s="125">
        <f t="shared" si="2"/>
        <v>2165.3711999999996</v>
      </c>
      <c r="L11" s="125">
        <f t="shared" si="3"/>
        <v>721.79039999999998</v>
      </c>
      <c r="M11" s="125"/>
      <c r="N11" s="125">
        <f t="shared" si="5"/>
        <v>65358.120720000006</v>
      </c>
    </row>
    <row r="12" spans="1:14" ht="16" thickBot="1">
      <c r="A12" s="8"/>
      <c r="B12" s="20"/>
      <c r="C12" s="9"/>
      <c r="D12" s="9"/>
      <c r="E12" s="7"/>
      <c r="G12" s="123">
        <v>58</v>
      </c>
      <c r="H12" s="124">
        <v>28681.599999999999</v>
      </c>
      <c r="I12" s="125">
        <f t="shared" si="0"/>
        <v>1376.7167999999999</v>
      </c>
      <c r="J12" s="125">
        <f t="shared" si="1"/>
        <v>186.43040000000002</v>
      </c>
      <c r="K12" s="125">
        <f t="shared" si="2"/>
        <v>860.44799999999998</v>
      </c>
      <c r="L12" s="125">
        <f t="shared" si="3"/>
        <v>286.81599999999997</v>
      </c>
      <c r="M12" s="125"/>
      <c r="N12" s="125">
        <f t="shared" si="5"/>
        <v>25971.1888</v>
      </c>
    </row>
    <row r="13" spans="1:14" ht="16" thickBot="1">
      <c r="A13" s="8"/>
      <c r="B13" s="20"/>
      <c r="C13" s="9"/>
      <c r="D13" s="9"/>
      <c r="E13" s="7"/>
      <c r="G13" s="123">
        <v>4846</v>
      </c>
      <c r="H13" s="124">
        <v>133692.10999999999</v>
      </c>
      <c r="I13" s="125">
        <f>H13*4.8%</f>
        <v>6417.2212799999998</v>
      </c>
      <c r="J13" s="125">
        <f>H13*0.65%</f>
        <v>868.99871499999995</v>
      </c>
      <c r="K13" s="125">
        <f>H13*3%</f>
        <v>4010.7632999999996</v>
      </c>
      <c r="L13" s="125">
        <f>H13*1%</f>
        <v>1336.9210999999998</v>
      </c>
      <c r="M13" s="125"/>
      <c r="N13" s="125">
        <f>H13-I13-J13-K13-L13-M13</f>
        <v>121058.20560499998</v>
      </c>
    </row>
    <row r="14" spans="1:14" ht="16" thickBot="1">
      <c r="A14" s="8"/>
      <c r="B14" s="20"/>
      <c r="C14" s="9"/>
      <c r="D14" s="9"/>
      <c r="E14" s="7"/>
      <c r="G14" s="123">
        <v>4847</v>
      </c>
      <c r="H14" s="124">
        <v>109707.12</v>
      </c>
      <c r="I14" s="125">
        <f>H14*4.8%</f>
        <v>5265.9417599999997</v>
      </c>
      <c r="J14" s="125">
        <f>H14*0.65%</f>
        <v>713.09627999999998</v>
      </c>
      <c r="K14" s="125">
        <f>H14*3%</f>
        <v>3291.2135999999996</v>
      </c>
      <c r="L14" s="125">
        <f>H14*1%</f>
        <v>1097.0712000000001</v>
      </c>
      <c r="M14" s="125"/>
      <c r="N14" s="125">
        <f>H14-I14-J14-K14-L14-M14</f>
        <v>99339.797159999987</v>
      </c>
    </row>
    <row r="15" spans="1:14" ht="16" thickBot="1">
      <c r="A15" s="8"/>
      <c r="B15" s="20"/>
      <c r="C15" s="9"/>
      <c r="D15" s="9"/>
      <c r="E15" s="7"/>
      <c r="G15" s="123">
        <v>3127</v>
      </c>
      <c r="H15" s="124">
        <v>357507.19</v>
      </c>
      <c r="I15" s="125">
        <f t="shared" ref="I15" si="6">H15*4.8%</f>
        <v>17160.345120000002</v>
      </c>
      <c r="J15" s="125">
        <f t="shared" ref="J15" si="7">H15*0.65%</f>
        <v>2323.7967350000004</v>
      </c>
      <c r="K15" s="125">
        <f t="shared" ref="K15" si="8">H15*3%</f>
        <v>10725.215699999999</v>
      </c>
      <c r="L15" s="125">
        <f t="shared" ref="L15" si="9">H15*1%</f>
        <v>3575.0718999999999</v>
      </c>
      <c r="M15" s="125">
        <f>H15*2%</f>
        <v>7150.1437999999998</v>
      </c>
      <c r="N15" s="125">
        <f t="shared" ref="N15" si="10">H15-I15-J15-K15-L15-M15</f>
        <v>316572.61674500001</v>
      </c>
    </row>
    <row r="16" spans="1:14" ht="16" thickBot="1">
      <c r="A16" s="8"/>
      <c r="B16" s="20"/>
      <c r="C16" s="9"/>
      <c r="D16" s="148"/>
      <c r="E16" s="7"/>
      <c r="G16" s="23" t="s">
        <v>16</v>
      </c>
      <c r="H16" s="37">
        <f t="shared" ref="H16:N16" si="11">SUM(H8:H15)</f>
        <v>4332696.29</v>
      </c>
      <c r="I16" s="37">
        <f t="shared" si="11"/>
        <v>207969.42191999999</v>
      </c>
      <c r="J16" s="37">
        <f t="shared" si="11"/>
        <v>28162.525885000006</v>
      </c>
      <c r="K16" s="37">
        <f t="shared" si="11"/>
        <v>129980.88870000001</v>
      </c>
      <c r="L16" s="37">
        <f t="shared" si="11"/>
        <v>43326.962899999999</v>
      </c>
      <c r="M16" s="37">
        <f t="shared" si="11"/>
        <v>77574.58600000001</v>
      </c>
      <c r="N16" s="37">
        <f t="shared" si="11"/>
        <v>3845681.9045949997</v>
      </c>
    </row>
    <row r="17" spans="1:5" ht="15.5">
      <c r="A17" s="8"/>
      <c r="B17" s="20"/>
      <c r="C17" s="9"/>
      <c r="D17" s="149"/>
      <c r="E17" s="7"/>
    </row>
    <row r="18" spans="1:5" ht="15.5">
      <c r="A18" s="8"/>
      <c r="B18" s="20"/>
      <c r="C18" s="9"/>
      <c r="D18" s="83"/>
    </row>
    <row r="19" spans="1:5" ht="16">
      <c r="A19" s="39" t="s">
        <v>6</v>
      </c>
      <c r="B19" s="40">
        <f>SUM(B20:B29)</f>
        <v>5520811.3600000003</v>
      </c>
      <c r="C19" s="41" t="s">
        <v>1</v>
      </c>
      <c r="D19" s="42" t="s">
        <v>7</v>
      </c>
      <c r="E19" s="43" t="s">
        <v>2</v>
      </c>
    </row>
    <row r="20" spans="1:5" ht="15.5">
      <c r="A20" s="67" t="s">
        <v>132</v>
      </c>
      <c r="B20" s="68">
        <v>5520811.3600000003</v>
      </c>
      <c r="C20" s="61" t="s">
        <v>19</v>
      </c>
      <c r="D20" s="61"/>
      <c r="E20" s="62" t="s">
        <v>81</v>
      </c>
    </row>
    <row r="21" spans="1:5" ht="15.5">
      <c r="A21" s="8"/>
      <c r="B21" s="82"/>
      <c r="C21" s="9"/>
      <c r="D21" s="9"/>
      <c r="E21" s="7"/>
    </row>
    <row r="22" spans="1:5" ht="15.5">
      <c r="A22" s="8"/>
      <c r="B22" s="20"/>
      <c r="C22" s="10"/>
      <c r="D22" s="10"/>
      <c r="E22" s="7"/>
    </row>
    <row r="23" spans="1:5" ht="15.5">
      <c r="A23" s="8"/>
      <c r="B23" s="20"/>
      <c r="C23" s="9"/>
      <c r="D23" s="9"/>
      <c r="E23" s="7"/>
    </row>
    <row r="24" spans="1:5" ht="15.5">
      <c r="A24" s="8"/>
      <c r="B24" s="20"/>
      <c r="C24" s="10"/>
      <c r="D24" s="10"/>
      <c r="E24" s="7"/>
    </row>
    <row r="25" spans="1:5" ht="15.5">
      <c r="A25" s="8"/>
      <c r="B25" s="20"/>
      <c r="C25" s="10"/>
      <c r="D25" s="10"/>
      <c r="E25" s="7"/>
    </row>
    <row r="26" spans="1:5" ht="15.5">
      <c r="A26" s="8"/>
      <c r="B26" s="20"/>
      <c r="C26" s="9"/>
      <c r="D26" s="9"/>
      <c r="E26" s="7"/>
    </row>
    <row r="27" spans="1:5" ht="15.5">
      <c r="A27" s="8"/>
      <c r="B27" s="20"/>
      <c r="C27" s="9"/>
      <c r="D27" s="9"/>
      <c r="E27" s="7"/>
    </row>
    <row r="28" spans="1:5" ht="15.5">
      <c r="A28" s="8"/>
      <c r="B28" s="20"/>
      <c r="C28" s="10"/>
      <c r="D28" s="10"/>
      <c r="E28" s="7"/>
    </row>
    <row r="29" spans="1:5" ht="15.5">
      <c r="A29" s="8"/>
      <c r="B29" s="20"/>
      <c r="C29" s="9"/>
      <c r="D29" s="9"/>
      <c r="E29" s="7"/>
    </row>
    <row r="30" spans="1:5">
      <c r="A30" s="16" t="s">
        <v>4</v>
      </c>
      <c r="B30" s="21">
        <f>B3+B4-B19</f>
        <v>7328431.5400000019</v>
      </c>
    </row>
  </sheetData>
  <mergeCells count="2">
    <mergeCell ref="A1:E1"/>
    <mergeCell ref="D16:D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846F-56AA-4047-88F0-909D8EBDCF0D}">
  <sheetPr>
    <tabColor rgb="FF00B050"/>
  </sheetPr>
  <dimension ref="A1:J33"/>
  <sheetViews>
    <sheetView zoomScaleNormal="100" workbookViewId="0">
      <selection activeCell="B34" sqref="B34"/>
    </sheetView>
  </sheetViews>
  <sheetFormatPr defaultRowHeight="14.5"/>
  <cols>
    <col min="1" max="1" width="86.81640625" bestFit="1" customWidth="1"/>
    <col min="2" max="2" width="18.81640625" style="11" bestFit="1" customWidth="1"/>
    <col min="3" max="3" width="27.1796875" bestFit="1" customWidth="1"/>
    <col min="4" max="4" width="26.1796875" bestFit="1" customWidth="1"/>
    <col min="5" max="5" width="30" style="3" bestFit="1" customWidth="1"/>
    <col min="6" max="6" width="8.36328125" customWidth="1"/>
    <col min="7" max="7" width="14.36328125" bestFit="1" customWidth="1"/>
    <col min="8" max="8" width="16.54296875" bestFit="1" customWidth="1"/>
    <col min="9" max="9" width="13.81640625" bestFit="1" customWidth="1"/>
    <col min="10" max="10" width="15.1796875" bestFit="1" customWidth="1"/>
    <col min="11" max="12" width="13.81640625" bestFit="1" customWidth="1"/>
    <col min="13" max="13" width="15.08984375" bestFit="1" customWidth="1"/>
    <col min="14" max="14" width="16.1796875" bestFit="1" customWidth="1"/>
  </cols>
  <sheetData>
    <row r="1" spans="1:10" ht="15.5">
      <c r="A1" s="143" t="s">
        <v>3</v>
      </c>
      <c r="B1" s="144"/>
      <c r="C1" s="144"/>
      <c r="D1" s="144"/>
      <c r="E1" s="144"/>
      <c r="G1" s="30"/>
      <c r="H1" s="84"/>
    </row>
    <row r="2" spans="1:10" ht="15.5">
      <c r="A2" s="1"/>
      <c r="B2" s="2"/>
      <c r="D2" s="87"/>
    </row>
    <row r="3" spans="1:10" ht="16" thickBot="1">
      <c r="A3" s="16" t="s">
        <v>5</v>
      </c>
      <c r="B3" s="17">
        <f>'15.07.26'!B30</f>
        <v>7328431.5400000019</v>
      </c>
      <c r="E3" s="15"/>
    </row>
    <row r="4" spans="1:10" ht="16.5" thickBot="1">
      <c r="A4" s="39" t="s">
        <v>0</v>
      </c>
      <c r="B4" s="40">
        <f>SUM(B5:B18)</f>
        <v>0</v>
      </c>
      <c r="C4" s="41" t="s">
        <v>1</v>
      </c>
      <c r="D4" s="44" t="s">
        <v>7</v>
      </c>
      <c r="E4" s="43" t="s">
        <v>2</v>
      </c>
      <c r="G4" s="23" t="s">
        <v>8</v>
      </c>
      <c r="H4" s="23" t="s">
        <v>12</v>
      </c>
      <c r="I4" s="23" t="s">
        <v>17</v>
      </c>
      <c r="J4" s="23" t="s">
        <v>10</v>
      </c>
    </row>
    <row r="5" spans="1:10" ht="16" thickBot="1">
      <c r="A5" s="8"/>
      <c r="B5" s="20"/>
      <c r="C5" s="9"/>
      <c r="D5" s="9"/>
      <c r="E5" s="7"/>
      <c r="G5" s="25"/>
      <c r="H5" s="24"/>
      <c r="I5" s="32">
        <f>H5*1.5%</f>
        <v>0</v>
      </c>
      <c r="J5" s="32">
        <f>H5-I5</f>
        <v>0</v>
      </c>
    </row>
    <row r="6" spans="1:10" ht="16" thickBot="1">
      <c r="A6" s="8"/>
      <c r="B6" s="20"/>
      <c r="C6" s="9"/>
      <c r="D6" s="9"/>
      <c r="E6" s="7"/>
    </row>
    <row r="7" spans="1:10" ht="16" thickBot="1">
      <c r="A7" s="8"/>
      <c r="B7" s="20"/>
      <c r="C7" s="10"/>
      <c r="D7" s="10"/>
      <c r="E7" s="7"/>
      <c r="G7" s="23" t="s">
        <v>8</v>
      </c>
      <c r="H7" s="23" t="s">
        <v>12</v>
      </c>
      <c r="I7" s="23" t="s">
        <v>20</v>
      </c>
      <c r="J7" s="23" t="s">
        <v>10</v>
      </c>
    </row>
    <row r="8" spans="1:10" ht="16" thickBot="1">
      <c r="A8" s="8"/>
      <c r="B8" s="20"/>
      <c r="C8" s="9"/>
      <c r="D8" s="9"/>
      <c r="E8" s="7"/>
      <c r="G8" s="25"/>
      <c r="H8" s="24"/>
      <c r="I8" s="32">
        <f>H8*4.8%</f>
        <v>0</v>
      </c>
      <c r="J8" s="32">
        <f>H8-I8</f>
        <v>0</v>
      </c>
    </row>
    <row r="9" spans="1:10" ht="15.5">
      <c r="A9" s="8"/>
      <c r="B9" s="20"/>
      <c r="C9" s="10"/>
      <c r="D9" s="10"/>
      <c r="E9" s="7"/>
    </row>
    <row r="10" spans="1:10" ht="15.5">
      <c r="A10" s="8"/>
      <c r="B10" s="20"/>
      <c r="C10" s="10"/>
      <c r="D10" s="10"/>
      <c r="E10" s="7"/>
    </row>
    <row r="11" spans="1:10" ht="15.5">
      <c r="A11" s="8"/>
      <c r="B11" s="20"/>
      <c r="C11" s="9"/>
      <c r="D11" s="9"/>
      <c r="E11" s="7"/>
    </row>
    <row r="12" spans="1:10" ht="15.5">
      <c r="A12" s="8"/>
      <c r="B12" s="20"/>
      <c r="C12" s="9"/>
      <c r="D12" s="9"/>
      <c r="E12" s="7"/>
    </row>
    <row r="13" spans="1:10" ht="15.5">
      <c r="A13" s="8"/>
      <c r="B13" s="20"/>
      <c r="C13" s="10"/>
      <c r="D13" s="10"/>
      <c r="E13" s="7"/>
    </row>
    <row r="14" spans="1:10" ht="15.5">
      <c r="A14" s="8"/>
      <c r="B14" s="20"/>
      <c r="C14" s="9"/>
      <c r="D14" s="9"/>
      <c r="E14" s="7"/>
    </row>
    <row r="15" spans="1:10" ht="15.5">
      <c r="A15" s="8"/>
      <c r="B15" s="20"/>
      <c r="C15" s="10"/>
      <c r="D15" s="10"/>
      <c r="E15" s="7"/>
    </row>
    <row r="16" spans="1:10" ht="15.5">
      <c r="A16" s="8"/>
      <c r="B16" s="20"/>
      <c r="C16" s="9"/>
      <c r="D16" s="9"/>
      <c r="E16" s="7"/>
    </row>
    <row r="17" spans="1:5" ht="15.5">
      <c r="A17" s="8"/>
      <c r="B17" s="20"/>
      <c r="C17" s="10"/>
      <c r="D17" s="10"/>
      <c r="E17" s="7"/>
    </row>
    <row r="18" spans="1:5" ht="15.5">
      <c r="A18" s="8"/>
      <c r="B18" s="20"/>
      <c r="C18" s="10"/>
      <c r="D18" s="10"/>
      <c r="E18" s="7"/>
    </row>
    <row r="19" spans="1:5" ht="16">
      <c r="A19" s="39" t="s">
        <v>6</v>
      </c>
      <c r="B19" s="40">
        <f>SUM(B20:B32)</f>
        <v>7128422.54</v>
      </c>
      <c r="C19" s="41" t="s">
        <v>1</v>
      </c>
      <c r="D19" s="42" t="s">
        <v>7</v>
      </c>
      <c r="E19" s="43" t="s">
        <v>2</v>
      </c>
    </row>
    <row r="20" spans="1:5" ht="15.5">
      <c r="A20" s="67" t="s">
        <v>136</v>
      </c>
      <c r="B20" s="68">
        <v>7128422.54</v>
      </c>
      <c r="C20" s="61" t="s">
        <v>19</v>
      </c>
      <c r="D20" s="61"/>
      <c r="E20" s="62" t="s">
        <v>81</v>
      </c>
    </row>
    <row r="21" spans="1:5" ht="15.5">
      <c r="A21" s="8"/>
      <c r="B21" s="20"/>
      <c r="C21" s="9"/>
      <c r="D21" s="9"/>
      <c r="E21" s="7"/>
    </row>
    <row r="22" spans="1:5" ht="15.5">
      <c r="A22" s="8"/>
      <c r="B22" s="20"/>
      <c r="C22" s="10"/>
      <c r="D22" s="10"/>
      <c r="E22" s="7"/>
    </row>
    <row r="23" spans="1:5" ht="15.5">
      <c r="A23" s="8"/>
      <c r="B23" s="20"/>
      <c r="C23" s="9"/>
      <c r="D23" s="9"/>
      <c r="E23" s="7"/>
    </row>
    <row r="24" spans="1:5" ht="15.5">
      <c r="A24" s="8"/>
      <c r="B24" s="20"/>
      <c r="C24" s="10"/>
      <c r="D24" s="10"/>
      <c r="E24" s="7"/>
    </row>
    <row r="25" spans="1:5" ht="15.5">
      <c r="A25" s="8"/>
      <c r="B25" s="20"/>
      <c r="C25" s="10"/>
      <c r="D25" s="10"/>
      <c r="E25" s="7"/>
    </row>
    <row r="26" spans="1:5" ht="15.5">
      <c r="A26" s="8"/>
      <c r="B26" s="20"/>
      <c r="C26" s="9"/>
      <c r="D26" s="9"/>
      <c r="E26" s="7"/>
    </row>
    <row r="27" spans="1:5" ht="15.5">
      <c r="A27" s="8"/>
      <c r="B27" s="20"/>
      <c r="C27" s="9"/>
      <c r="D27" s="9"/>
      <c r="E27" s="7"/>
    </row>
    <row r="28" spans="1:5" ht="15.5">
      <c r="A28" s="8"/>
      <c r="B28" s="20"/>
      <c r="C28" s="10"/>
      <c r="D28" s="10"/>
      <c r="E28" s="7"/>
    </row>
    <row r="29" spans="1:5" ht="15.5">
      <c r="A29" s="8"/>
      <c r="B29" s="20"/>
      <c r="C29" s="9"/>
      <c r="D29" s="9"/>
      <c r="E29" s="7"/>
    </row>
    <row r="30" spans="1:5" ht="15.5">
      <c r="A30" s="8"/>
      <c r="B30" s="20"/>
      <c r="C30" s="10"/>
      <c r="D30" s="10"/>
      <c r="E30" s="7"/>
    </row>
    <row r="31" spans="1:5" ht="15.5">
      <c r="A31" s="8"/>
      <c r="B31" s="20"/>
      <c r="C31" s="9"/>
      <c r="D31" s="9"/>
      <c r="E31" s="7"/>
    </row>
    <row r="32" spans="1:5" ht="15.5">
      <c r="A32" s="8"/>
      <c r="B32" s="20"/>
      <c r="C32" s="10"/>
      <c r="D32" s="10"/>
      <c r="E32" s="7"/>
    </row>
    <row r="33" spans="1:5">
      <c r="A33" s="16" t="s">
        <v>4</v>
      </c>
      <c r="B33" s="21">
        <f>B3+B4-B19</f>
        <v>200009.00000000186</v>
      </c>
      <c r="E33" s="15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4A93A-8246-475B-8D39-C08171527017}">
  <sheetPr>
    <tabColor rgb="FF00B050"/>
  </sheetPr>
  <dimension ref="A1:P77"/>
  <sheetViews>
    <sheetView workbookViewId="0">
      <selection activeCell="I12" sqref="I12:N12"/>
    </sheetView>
  </sheetViews>
  <sheetFormatPr defaultRowHeight="14.5"/>
  <cols>
    <col min="1" max="1" width="105.1796875" bestFit="1" customWidth="1"/>
    <col min="2" max="2" width="18.81640625" style="11" bestFit="1" customWidth="1"/>
    <col min="3" max="3" width="27.1796875" bestFit="1" customWidth="1"/>
    <col min="4" max="4" width="26.81640625" bestFit="1" customWidth="1"/>
    <col min="5" max="5" width="26.08984375" style="3" bestFit="1" customWidth="1"/>
    <col min="6" max="6" width="15.90625" style="53" bestFit="1" customWidth="1"/>
    <col min="7" max="7" width="16.6328125" style="22" bestFit="1" customWidth="1"/>
    <col min="8" max="8" width="16.81640625" style="22" bestFit="1" customWidth="1"/>
    <col min="9" max="9" width="15.81640625" style="22" bestFit="1" customWidth="1"/>
    <col min="10" max="10" width="15.36328125" style="22" bestFit="1" customWidth="1"/>
    <col min="11" max="12" width="14.36328125" style="22" bestFit="1" customWidth="1"/>
    <col min="13" max="13" width="16.90625" style="22" bestFit="1" customWidth="1"/>
    <col min="14" max="14" width="17.9062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C2" s="45"/>
    </row>
    <row r="3" spans="1:14" ht="15.5">
      <c r="A3" s="16" t="s">
        <v>5</v>
      </c>
      <c r="B3" s="17">
        <f>'16.06.26'!B33</f>
        <v>200009.00000000186</v>
      </c>
      <c r="E3" s="15"/>
      <c r="G3"/>
      <c r="H3"/>
      <c r="I3"/>
      <c r="J3"/>
      <c r="K3"/>
      <c r="L3"/>
      <c r="M3"/>
    </row>
    <row r="4" spans="1:14" ht="16.5" thickBot="1">
      <c r="A4" s="39" t="s">
        <v>0</v>
      </c>
      <c r="B4" s="40">
        <f>SUM(B5:B18)</f>
        <v>161393.93000000002</v>
      </c>
      <c r="C4" s="41" t="s">
        <v>1</v>
      </c>
      <c r="D4" s="44" t="s">
        <v>7</v>
      </c>
      <c r="E4" s="43" t="s">
        <v>2</v>
      </c>
      <c r="G4"/>
      <c r="H4"/>
      <c r="I4"/>
      <c r="J4"/>
      <c r="K4"/>
      <c r="L4"/>
      <c r="M4"/>
    </row>
    <row r="5" spans="1:14" ht="16" thickBot="1">
      <c r="A5" s="67" t="s">
        <v>137</v>
      </c>
      <c r="B5" s="68">
        <v>18019</v>
      </c>
      <c r="C5" s="61" t="s">
        <v>19</v>
      </c>
      <c r="D5" s="61" t="s">
        <v>144</v>
      </c>
      <c r="E5" s="62" t="s">
        <v>148</v>
      </c>
      <c r="F5" s="53" t="s">
        <v>143</v>
      </c>
      <c r="G5" s="23" t="s">
        <v>8</v>
      </c>
      <c r="H5" s="23" t="s">
        <v>12</v>
      </c>
      <c r="I5" s="23" t="s">
        <v>17</v>
      </c>
      <c r="J5" s="23" t="s">
        <v>10</v>
      </c>
      <c r="K5"/>
      <c r="L5"/>
      <c r="M5"/>
    </row>
    <row r="6" spans="1:14" ht="16" thickBot="1">
      <c r="A6" s="67" t="s">
        <v>138</v>
      </c>
      <c r="B6" s="68">
        <v>125343.27</v>
      </c>
      <c r="C6" s="61" t="s">
        <v>19</v>
      </c>
      <c r="D6" s="150" t="s">
        <v>145</v>
      </c>
      <c r="E6" s="150" t="s">
        <v>28</v>
      </c>
      <c r="F6" s="88"/>
      <c r="G6" s="25"/>
      <c r="H6" s="24"/>
      <c r="I6" s="32">
        <f>H6*1.5%</f>
        <v>0</v>
      </c>
      <c r="J6" s="32">
        <f>H6-I6</f>
        <v>0</v>
      </c>
      <c r="K6"/>
      <c r="L6"/>
      <c r="M6"/>
    </row>
    <row r="7" spans="1:14" ht="16" thickBot="1">
      <c r="A7" s="67" t="s">
        <v>139</v>
      </c>
      <c r="B7" s="68">
        <v>17888.63</v>
      </c>
      <c r="C7" s="61" t="s">
        <v>19</v>
      </c>
      <c r="D7" s="151"/>
      <c r="E7" s="151"/>
      <c r="G7"/>
      <c r="H7"/>
      <c r="I7"/>
      <c r="J7"/>
      <c r="K7"/>
      <c r="L7"/>
      <c r="M7"/>
    </row>
    <row r="8" spans="1:14" ht="16" thickBot="1">
      <c r="A8" s="67" t="s">
        <v>140</v>
      </c>
      <c r="B8" s="68">
        <v>90.68</v>
      </c>
      <c r="C8" s="61" t="s">
        <v>19</v>
      </c>
      <c r="D8" s="61" t="s">
        <v>146</v>
      </c>
      <c r="E8" s="62" t="s">
        <v>50</v>
      </c>
      <c r="G8" s="23" t="s">
        <v>8</v>
      </c>
      <c r="H8" s="23" t="s">
        <v>12</v>
      </c>
      <c r="I8" s="23" t="s">
        <v>17</v>
      </c>
      <c r="J8" s="23" t="s">
        <v>10</v>
      </c>
      <c r="K8"/>
      <c r="L8"/>
      <c r="M8"/>
    </row>
    <row r="9" spans="1:14" ht="16" thickBot="1">
      <c r="A9" s="67" t="s">
        <v>141</v>
      </c>
      <c r="B9" s="68">
        <v>52.35</v>
      </c>
      <c r="C9" s="61" t="s">
        <v>19</v>
      </c>
      <c r="D9" s="61" t="s">
        <v>147</v>
      </c>
      <c r="E9" s="62" t="s">
        <v>50</v>
      </c>
      <c r="G9" s="25">
        <v>3177</v>
      </c>
      <c r="H9" s="24">
        <v>150453.68</v>
      </c>
      <c r="I9" s="32">
        <f>H9*1.5%</f>
        <v>2256.8051999999998</v>
      </c>
      <c r="J9" s="32">
        <f>H9-I9</f>
        <v>148196.87479999999</v>
      </c>
      <c r="K9"/>
      <c r="L9"/>
      <c r="M9"/>
    </row>
    <row r="10" spans="1:14" ht="16" thickBot="1">
      <c r="A10" s="8"/>
      <c r="B10" s="20"/>
      <c r="C10" s="10"/>
      <c r="D10" s="10"/>
      <c r="E10" s="7"/>
      <c r="G10"/>
      <c r="H10"/>
      <c r="I10"/>
      <c r="J10"/>
      <c r="K10"/>
      <c r="L10"/>
      <c r="M10"/>
    </row>
    <row r="11" spans="1:14" ht="16" thickBot="1">
      <c r="A11" s="8"/>
      <c r="B11" s="20"/>
      <c r="C11" s="9"/>
      <c r="D11" s="9"/>
      <c r="E11" s="7"/>
      <c r="G11" s="23" t="s">
        <v>8</v>
      </c>
      <c r="H11" s="23" t="s">
        <v>12</v>
      </c>
      <c r="I11" s="23" t="s">
        <v>9</v>
      </c>
      <c r="J11" s="23" t="s">
        <v>13</v>
      </c>
      <c r="K11" s="23" t="s">
        <v>14</v>
      </c>
      <c r="L11" s="23" t="s">
        <v>15</v>
      </c>
      <c r="M11" s="23" t="s">
        <v>11</v>
      </c>
      <c r="N11" s="23" t="s">
        <v>10</v>
      </c>
    </row>
    <row r="12" spans="1:14" ht="16" thickBot="1">
      <c r="A12" s="8"/>
      <c r="B12" s="20"/>
      <c r="C12" s="9"/>
      <c r="D12" s="9"/>
      <c r="E12" s="7"/>
      <c r="G12" s="25">
        <v>3177</v>
      </c>
      <c r="H12" s="24">
        <v>150453.68</v>
      </c>
      <c r="I12" s="135">
        <f>H12*4.8%</f>
        <v>7221.77664</v>
      </c>
      <c r="J12" s="135"/>
      <c r="K12" s="135"/>
      <c r="L12" s="135"/>
      <c r="M12" s="135"/>
      <c r="N12" s="125">
        <f>H12-I12-J12-K12-L12-M12</f>
        <v>143231.90336</v>
      </c>
    </row>
    <row r="13" spans="1:14" ht="15.5">
      <c r="A13" s="8"/>
      <c r="B13" s="20"/>
      <c r="C13" s="10"/>
      <c r="D13" s="10"/>
      <c r="E13" s="7"/>
      <c r="G13"/>
      <c r="H13"/>
      <c r="I13"/>
      <c r="J13"/>
      <c r="K13"/>
      <c r="L13"/>
      <c r="M13"/>
    </row>
    <row r="14" spans="1:14" ht="15.5">
      <c r="A14" s="8"/>
      <c r="B14" s="20"/>
      <c r="C14" s="9"/>
      <c r="D14" s="9"/>
      <c r="E14" s="7"/>
      <c r="G14"/>
      <c r="H14"/>
      <c r="I14"/>
      <c r="J14">
        <v>143231.9</v>
      </c>
      <c r="K14"/>
      <c r="L14"/>
      <c r="M14"/>
    </row>
    <row r="15" spans="1:14" ht="15.5">
      <c r="A15" s="8"/>
      <c r="B15" s="20"/>
      <c r="C15" s="9"/>
      <c r="D15" s="9"/>
      <c r="E15" s="7"/>
      <c r="G15" s="35">
        <v>15972</v>
      </c>
      <c r="H15" s="36"/>
      <c r="I15"/>
      <c r="J15"/>
      <c r="K15"/>
      <c r="L15"/>
      <c r="M15"/>
    </row>
    <row r="16" spans="1:14" ht="15.5">
      <c r="A16" s="8"/>
      <c r="B16" s="20"/>
      <c r="C16" s="9"/>
      <c r="D16" s="9"/>
      <c r="E16" s="7"/>
      <c r="G16" s="35">
        <v>2047</v>
      </c>
      <c r="H16"/>
      <c r="I16"/>
      <c r="J16"/>
      <c r="K16"/>
      <c r="L16"/>
      <c r="M16"/>
    </row>
    <row r="17" spans="1:13" ht="15.5">
      <c r="A17" s="8"/>
      <c r="B17" s="20"/>
      <c r="C17" s="10"/>
      <c r="D17" s="10"/>
      <c r="E17" s="7"/>
      <c r="G17"/>
      <c r="H17"/>
      <c r="I17"/>
      <c r="J17"/>
      <c r="K17"/>
      <c r="L17"/>
      <c r="M17"/>
    </row>
    <row r="18" spans="1:13" ht="15.5">
      <c r="A18" s="8"/>
      <c r="B18" s="20"/>
      <c r="C18" s="10"/>
      <c r="D18" s="10"/>
      <c r="E18" s="7"/>
      <c r="G18"/>
      <c r="H18"/>
      <c r="I18"/>
      <c r="J18"/>
      <c r="K18"/>
      <c r="L18"/>
      <c r="M18"/>
    </row>
    <row r="19" spans="1:13" ht="16">
      <c r="A19" s="39" t="s">
        <v>6</v>
      </c>
      <c r="B19" s="40">
        <f>SUM(B20:B32)</f>
        <v>143231.9</v>
      </c>
      <c r="C19" s="41" t="s">
        <v>1</v>
      </c>
      <c r="D19" s="42" t="s">
        <v>7</v>
      </c>
      <c r="E19" s="43" t="s">
        <v>2</v>
      </c>
      <c r="G19"/>
      <c r="H19"/>
      <c r="I19"/>
      <c r="J19"/>
      <c r="K19"/>
      <c r="L19"/>
      <c r="M19"/>
    </row>
    <row r="20" spans="1:13" ht="15.5">
      <c r="A20" s="67" t="s">
        <v>142</v>
      </c>
      <c r="B20" s="68">
        <v>143231.9</v>
      </c>
      <c r="C20" s="61" t="s">
        <v>19</v>
      </c>
      <c r="D20" s="61"/>
      <c r="E20" s="62" t="s">
        <v>81</v>
      </c>
      <c r="G20"/>
      <c r="H20"/>
      <c r="I20"/>
      <c r="J20"/>
      <c r="K20"/>
      <c r="L20"/>
      <c r="M20"/>
    </row>
    <row r="21" spans="1:13" ht="15.5">
      <c r="A21" s="8"/>
      <c r="B21" s="82"/>
      <c r="C21" s="9"/>
      <c r="D21" s="9"/>
      <c r="E21" s="7"/>
      <c r="G21"/>
      <c r="H21"/>
      <c r="I21"/>
      <c r="J21"/>
      <c r="K21"/>
      <c r="L21"/>
      <c r="M21"/>
    </row>
    <row r="22" spans="1:13" ht="15.5">
      <c r="A22" s="8"/>
      <c r="B22" s="20"/>
      <c r="C22" s="10"/>
      <c r="D22" s="10"/>
      <c r="E22" s="7"/>
      <c r="G22"/>
      <c r="H22"/>
      <c r="I22"/>
      <c r="J22"/>
      <c r="K22"/>
      <c r="L22"/>
      <c r="M22"/>
    </row>
    <row r="23" spans="1:13" ht="15.5">
      <c r="A23" s="8"/>
      <c r="B23" s="20"/>
      <c r="C23" s="9"/>
      <c r="D23" s="9"/>
      <c r="E23" s="7"/>
      <c r="G23"/>
      <c r="H23"/>
      <c r="I23"/>
      <c r="J23"/>
      <c r="K23"/>
      <c r="L23"/>
      <c r="M23"/>
    </row>
    <row r="24" spans="1:13" ht="15.5">
      <c r="A24" s="8"/>
      <c r="B24" s="20"/>
      <c r="C24" s="10"/>
      <c r="D24" s="10"/>
      <c r="E24" s="7"/>
      <c r="G24"/>
      <c r="H24"/>
      <c r="I24"/>
      <c r="J24"/>
      <c r="K24"/>
      <c r="L24"/>
      <c r="M24"/>
    </row>
    <row r="25" spans="1:13" ht="15.5">
      <c r="A25" s="8"/>
      <c r="B25" s="20"/>
      <c r="C25" s="10"/>
      <c r="D25" s="10"/>
      <c r="E25" s="7"/>
      <c r="G25"/>
      <c r="H25"/>
      <c r="I25"/>
      <c r="J25"/>
      <c r="K25"/>
      <c r="L25"/>
      <c r="M25"/>
    </row>
    <row r="26" spans="1:13" ht="15.5">
      <c r="A26" s="8"/>
      <c r="B26" s="20"/>
      <c r="C26" s="9"/>
      <c r="D26" s="9"/>
      <c r="E26" s="7"/>
      <c r="G26"/>
      <c r="H26"/>
      <c r="I26"/>
      <c r="J26"/>
      <c r="K26"/>
      <c r="L26"/>
      <c r="M26"/>
    </row>
    <row r="27" spans="1:13" ht="15.5">
      <c r="A27" s="8"/>
      <c r="B27" s="20"/>
      <c r="C27" s="9"/>
      <c r="D27" s="9"/>
      <c r="E27" s="7"/>
      <c r="G27"/>
      <c r="H27"/>
      <c r="I27"/>
      <c r="J27"/>
      <c r="K27"/>
      <c r="L27"/>
      <c r="M27"/>
    </row>
    <row r="28" spans="1:13" ht="15.5">
      <c r="A28" s="8"/>
      <c r="B28" s="20"/>
      <c r="C28" s="10"/>
      <c r="D28" s="10"/>
      <c r="E28" s="7"/>
      <c r="G28"/>
      <c r="H28"/>
      <c r="I28"/>
      <c r="J28"/>
      <c r="K28"/>
      <c r="L28"/>
      <c r="M28"/>
    </row>
    <row r="29" spans="1:13" ht="15.5">
      <c r="A29" s="8"/>
      <c r="B29" s="20"/>
      <c r="C29" s="9"/>
      <c r="D29" s="9"/>
      <c r="E29" s="7"/>
      <c r="G29"/>
      <c r="H29"/>
      <c r="I29"/>
      <c r="J29"/>
      <c r="K29"/>
      <c r="L29"/>
      <c r="M29"/>
    </row>
    <row r="30" spans="1:13" ht="15.5">
      <c r="A30" s="8"/>
      <c r="B30" s="20"/>
      <c r="C30" s="10"/>
      <c r="D30" s="10"/>
      <c r="E30" s="7"/>
      <c r="G30"/>
      <c r="H30"/>
      <c r="I30"/>
      <c r="J30"/>
      <c r="K30"/>
      <c r="L30"/>
      <c r="M30"/>
    </row>
    <row r="31" spans="1:13" ht="15.5">
      <c r="A31" s="8"/>
      <c r="B31" s="20"/>
      <c r="C31" s="9"/>
      <c r="D31" s="9"/>
      <c r="E31" s="7"/>
      <c r="G31"/>
      <c r="H31"/>
      <c r="I31"/>
      <c r="J31"/>
      <c r="K31"/>
      <c r="L31"/>
      <c r="M31"/>
    </row>
    <row r="32" spans="1:13" ht="15.5">
      <c r="A32" s="8"/>
      <c r="B32" s="20"/>
      <c r="C32" s="10"/>
      <c r="D32" s="10"/>
      <c r="E32" s="7"/>
      <c r="G32"/>
      <c r="H32"/>
      <c r="I32"/>
      <c r="J32"/>
      <c r="K32"/>
      <c r="L32"/>
      <c r="M32"/>
    </row>
    <row r="33" spans="1:16">
      <c r="A33" s="16" t="s">
        <v>4</v>
      </c>
      <c r="B33" s="21">
        <f>B3+B4-B19</f>
        <v>218171.03000000192</v>
      </c>
      <c r="E33" s="15"/>
      <c r="G33"/>
      <c r="H33"/>
      <c r="I33"/>
      <c r="J33"/>
      <c r="K33"/>
      <c r="L33"/>
      <c r="M33"/>
    </row>
    <row r="34" spans="1:16">
      <c r="G34"/>
      <c r="H34"/>
      <c r="I34"/>
      <c r="J34"/>
      <c r="K34"/>
      <c r="L34"/>
      <c r="M34"/>
      <c r="P34" s="52"/>
    </row>
    <row r="35" spans="1:16">
      <c r="G35"/>
      <c r="H35"/>
      <c r="I35"/>
      <c r="J35"/>
      <c r="K35"/>
      <c r="L35"/>
      <c r="M35"/>
      <c r="P35" s="52"/>
    </row>
    <row r="36" spans="1:16">
      <c r="G36"/>
      <c r="H36"/>
      <c r="I36"/>
      <c r="J36"/>
      <c r="K36"/>
      <c r="L36"/>
      <c r="M36"/>
    </row>
    <row r="37" spans="1:16">
      <c r="G37"/>
      <c r="H37"/>
      <c r="I37"/>
      <c r="J37"/>
      <c r="K37"/>
      <c r="L37"/>
      <c r="M37"/>
    </row>
    <row r="38" spans="1:16">
      <c r="G38"/>
      <c r="H38"/>
      <c r="I38"/>
      <c r="J38"/>
      <c r="K38"/>
      <c r="L38"/>
      <c r="M38"/>
    </row>
    <row r="39" spans="1:16">
      <c r="G39"/>
      <c r="H39"/>
      <c r="I39"/>
      <c r="J39"/>
      <c r="K39"/>
      <c r="L39"/>
      <c r="M39"/>
    </row>
    <row r="40" spans="1:16">
      <c r="G40" s="52"/>
      <c r="H40" s="52"/>
      <c r="I40" s="52"/>
      <c r="J40" s="52"/>
      <c r="K40" s="52"/>
      <c r="L40" s="52"/>
      <c r="M40" s="101"/>
      <c r="N40" s="101"/>
    </row>
    <row r="41" spans="1:16">
      <c r="G41"/>
      <c r="H41"/>
      <c r="I41"/>
      <c r="J41"/>
      <c r="K41"/>
      <c r="L41"/>
      <c r="M41"/>
    </row>
    <row r="42" spans="1:16">
      <c r="G42"/>
      <c r="H42"/>
      <c r="I42"/>
      <c r="J42"/>
      <c r="K42"/>
      <c r="L42"/>
      <c r="M42"/>
    </row>
    <row r="43" spans="1:16">
      <c r="G43"/>
      <c r="H43"/>
      <c r="I43"/>
      <c r="J43"/>
      <c r="K43"/>
      <c r="L43"/>
      <c r="M43"/>
    </row>
    <row r="44" spans="1:16">
      <c r="G44"/>
      <c r="H44"/>
      <c r="I44"/>
      <c r="J44"/>
      <c r="K44"/>
      <c r="L44"/>
      <c r="M44"/>
    </row>
    <row r="45" spans="1:16">
      <c r="G45"/>
      <c r="H45"/>
      <c r="I45"/>
      <c r="J45"/>
      <c r="K45"/>
      <c r="L45"/>
      <c r="M45"/>
    </row>
    <row r="46" spans="1:16">
      <c r="G46"/>
      <c r="H46"/>
      <c r="I46"/>
      <c r="J46"/>
      <c r="K46"/>
      <c r="L46"/>
      <c r="M46"/>
    </row>
    <row r="47" spans="1:16">
      <c r="G47"/>
      <c r="H47"/>
      <c r="I47"/>
      <c r="J47"/>
      <c r="K47"/>
      <c r="L47"/>
      <c r="M47"/>
    </row>
    <row r="48" spans="1:16">
      <c r="G48"/>
      <c r="H48"/>
      <c r="I48"/>
      <c r="J48"/>
      <c r="K48"/>
      <c r="L48"/>
      <c r="M48"/>
    </row>
    <row r="49" spans="7:13">
      <c r="G49"/>
      <c r="H49"/>
      <c r="I49"/>
      <c r="J49"/>
      <c r="K49"/>
      <c r="L49"/>
      <c r="M49"/>
    </row>
    <row r="50" spans="7:13">
      <c r="G50"/>
      <c r="H50"/>
      <c r="I50"/>
      <c r="J50"/>
      <c r="K50"/>
      <c r="L50"/>
      <c r="M50"/>
    </row>
    <row r="51" spans="7:13">
      <c r="G51"/>
      <c r="H51"/>
      <c r="I51"/>
      <c r="J51"/>
      <c r="K51"/>
      <c r="L51"/>
      <c r="M51"/>
    </row>
    <row r="52" spans="7:13">
      <c r="G52"/>
      <c r="H52"/>
      <c r="I52"/>
      <c r="J52"/>
      <c r="K52"/>
      <c r="L52"/>
      <c r="M52"/>
    </row>
    <row r="53" spans="7:13">
      <c r="G53"/>
      <c r="H53"/>
      <c r="I53"/>
      <c r="J53"/>
      <c r="K53"/>
      <c r="L53"/>
      <c r="M53"/>
    </row>
    <row r="54" spans="7:13">
      <c r="G54"/>
      <c r="H54"/>
      <c r="I54"/>
      <c r="J54"/>
      <c r="K54"/>
      <c r="L54"/>
      <c r="M54"/>
    </row>
    <row r="55" spans="7:13">
      <c r="G55"/>
      <c r="H55"/>
      <c r="I55"/>
      <c r="J55"/>
      <c r="K55"/>
      <c r="L55"/>
      <c r="M55"/>
    </row>
    <row r="56" spans="7:13">
      <c r="G56"/>
      <c r="H56"/>
      <c r="I56"/>
      <c r="J56"/>
      <c r="K56"/>
      <c r="L56"/>
      <c r="M56"/>
    </row>
    <row r="57" spans="7:13">
      <c r="G57"/>
      <c r="H57"/>
      <c r="I57"/>
      <c r="J57"/>
      <c r="K57"/>
      <c r="L57"/>
      <c r="M57"/>
    </row>
    <row r="58" spans="7:13">
      <c r="G58"/>
      <c r="H58"/>
      <c r="I58"/>
      <c r="J58"/>
      <c r="K58"/>
      <c r="L58"/>
      <c r="M58"/>
    </row>
    <row r="59" spans="7:13">
      <c r="G59"/>
      <c r="H59"/>
      <c r="I59"/>
      <c r="J59"/>
      <c r="K59"/>
      <c r="L59"/>
      <c r="M59"/>
    </row>
    <row r="60" spans="7:13">
      <c r="G60"/>
      <c r="H60"/>
      <c r="I60"/>
      <c r="J60"/>
      <c r="K60"/>
      <c r="L60"/>
      <c r="M60"/>
    </row>
    <row r="61" spans="7:13">
      <c r="G61"/>
      <c r="H61"/>
      <c r="I61"/>
      <c r="J61"/>
      <c r="K61"/>
      <c r="L61"/>
      <c r="M61"/>
    </row>
    <row r="62" spans="7:13">
      <c r="G62"/>
      <c r="H62"/>
      <c r="I62"/>
      <c r="J62"/>
      <c r="K62"/>
      <c r="L62"/>
      <c r="M62"/>
    </row>
    <row r="63" spans="7:13">
      <c r="G63"/>
      <c r="H63"/>
      <c r="I63"/>
      <c r="J63"/>
      <c r="K63"/>
      <c r="L63"/>
      <c r="M63"/>
    </row>
    <row r="64" spans="7:13">
      <c r="G64"/>
      <c r="H64"/>
      <c r="I64"/>
      <c r="J64"/>
      <c r="K64"/>
      <c r="L64"/>
      <c r="M64"/>
    </row>
    <row r="65" spans="7:13">
      <c r="G65"/>
      <c r="H65"/>
      <c r="I65"/>
      <c r="J65"/>
      <c r="K65"/>
      <c r="L65"/>
      <c r="M65"/>
    </row>
    <row r="66" spans="7:13">
      <c r="G66"/>
      <c r="H66"/>
      <c r="I66"/>
      <c r="J66"/>
      <c r="K66"/>
      <c r="L66"/>
      <c r="M66"/>
    </row>
    <row r="67" spans="7:13">
      <c r="G67"/>
      <c r="H67"/>
      <c r="I67"/>
      <c r="J67"/>
      <c r="K67"/>
      <c r="L67"/>
      <c r="M67"/>
    </row>
    <row r="68" spans="7:13">
      <c r="G68"/>
      <c r="H68"/>
      <c r="I68"/>
      <c r="J68"/>
      <c r="K68"/>
      <c r="L68"/>
      <c r="M68"/>
    </row>
    <row r="69" spans="7:13">
      <c r="G69"/>
      <c r="H69"/>
      <c r="I69"/>
      <c r="J69"/>
      <c r="K69"/>
      <c r="L69"/>
      <c r="M69"/>
    </row>
    <row r="70" spans="7:13">
      <c r="G70"/>
      <c r="H70"/>
      <c r="I70"/>
      <c r="J70"/>
      <c r="K70"/>
      <c r="L70"/>
      <c r="M70"/>
    </row>
    <row r="71" spans="7:13">
      <c r="G71"/>
      <c r="H71"/>
      <c r="I71"/>
      <c r="J71"/>
      <c r="K71"/>
      <c r="L71"/>
      <c r="M71"/>
    </row>
    <row r="72" spans="7:13">
      <c r="G72"/>
      <c r="H72"/>
      <c r="I72"/>
      <c r="J72"/>
      <c r="K72"/>
      <c r="L72"/>
      <c r="M72"/>
    </row>
    <row r="73" spans="7:13">
      <c r="G73"/>
      <c r="H73"/>
      <c r="I73"/>
      <c r="J73"/>
      <c r="K73"/>
      <c r="L73"/>
      <c r="M73"/>
    </row>
    <row r="74" spans="7:13">
      <c r="G74"/>
      <c r="H74"/>
      <c r="I74"/>
      <c r="J74"/>
      <c r="K74"/>
      <c r="L74"/>
      <c r="M74"/>
    </row>
    <row r="75" spans="7:13">
      <c r="G75"/>
      <c r="H75"/>
      <c r="I75"/>
      <c r="J75"/>
      <c r="K75"/>
      <c r="L75"/>
      <c r="M75"/>
    </row>
    <row r="76" spans="7:13">
      <c r="G76"/>
      <c r="H76"/>
      <c r="I76"/>
      <c r="J76"/>
      <c r="K76"/>
      <c r="L76"/>
      <c r="M76"/>
    </row>
    <row r="77" spans="7:13">
      <c r="G77"/>
      <c r="H77"/>
      <c r="I77"/>
      <c r="J77"/>
      <c r="K77"/>
      <c r="L77"/>
      <c r="M77"/>
    </row>
  </sheetData>
  <mergeCells count="3">
    <mergeCell ref="A1:E1"/>
    <mergeCell ref="D6:D7"/>
    <mergeCell ref="E6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F95A-6198-45BC-B88E-4CE76C8EB0AB}">
  <sheetPr>
    <tabColor rgb="FF00B050"/>
  </sheetPr>
  <dimension ref="A1:N31"/>
  <sheetViews>
    <sheetView workbookViewId="0">
      <selection activeCell="G5" sqref="G5"/>
    </sheetView>
  </sheetViews>
  <sheetFormatPr defaultRowHeight="14.5"/>
  <cols>
    <col min="1" max="1" width="86.81640625" bestFit="1" customWidth="1"/>
    <col min="2" max="2" width="15.90625" style="11" bestFit="1" customWidth="1"/>
    <col min="3" max="3" width="27.1796875" bestFit="1" customWidth="1"/>
    <col min="4" max="4" width="26.1796875" bestFit="1" customWidth="1"/>
    <col min="5" max="5" width="32.6328125" style="3" bestFit="1" customWidth="1"/>
    <col min="6" max="6" width="4.81640625" customWidth="1"/>
    <col min="7" max="7" width="14.36328125" bestFit="1" customWidth="1"/>
    <col min="8" max="8" width="16.54296875" bestFit="1" customWidth="1"/>
    <col min="9" max="9" width="13.90625" bestFit="1" customWidth="1"/>
    <col min="10" max="10" width="14.6328125" bestFit="1" customWidth="1"/>
    <col min="11" max="11" width="13.90625" bestFit="1" customWidth="1"/>
    <col min="12" max="12" width="13.81640625" bestFit="1" customWidth="1"/>
    <col min="13" max="13" width="15.1796875" bestFit="1" customWidth="1"/>
    <col min="14" max="14" width="16.3632812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C2" s="30"/>
      <c r="D2" s="87"/>
    </row>
    <row r="3" spans="1:14" ht="16" thickBot="1">
      <c r="A3" s="16" t="s">
        <v>5</v>
      </c>
      <c r="B3" s="17">
        <f>'17.07.26'!B33</f>
        <v>218171.03000000192</v>
      </c>
      <c r="E3" s="15"/>
    </row>
    <row r="4" spans="1:14" ht="16.5" thickBot="1">
      <c r="A4" s="39" t="s">
        <v>0</v>
      </c>
      <c r="B4" s="40">
        <f>SUM(B5:B14)</f>
        <v>31239.75</v>
      </c>
      <c r="C4" s="41" t="s">
        <v>1</v>
      </c>
      <c r="D4" s="44" t="s">
        <v>7</v>
      </c>
      <c r="E4" s="43" t="s">
        <v>2</v>
      </c>
      <c r="G4" s="23" t="s">
        <v>8</v>
      </c>
      <c r="H4" s="23" t="s">
        <v>12</v>
      </c>
      <c r="I4" s="23" t="s">
        <v>9</v>
      </c>
      <c r="J4" s="23" t="s">
        <v>13</v>
      </c>
      <c r="K4" s="23" t="s">
        <v>14</v>
      </c>
      <c r="L4" s="23" t="s">
        <v>15</v>
      </c>
      <c r="M4" s="23" t="s">
        <v>11</v>
      </c>
      <c r="N4" s="23" t="s">
        <v>10</v>
      </c>
    </row>
    <row r="5" spans="1:14" ht="16" thickBot="1">
      <c r="A5" s="67" t="s">
        <v>149</v>
      </c>
      <c r="B5" s="68">
        <v>31239.75</v>
      </c>
      <c r="C5" s="61" t="s">
        <v>19</v>
      </c>
      <c r="D5" s="61" t="s">
        <v>152</v>
      </c>
      <c r="E5" s="62" t="s">
        <v>160</v>
      </c>
      <c r="F5" s="94"/>
      <c r="G5" s="23">
        <v>116</v>
      </c>
      <c r="H5" s="24">
        <v>34500</v>
      </c>
      <c r="I5" s="86">
        <f>H5*4.8%</f>
        <v>1656</v>
      </c>
      <c r="J5" s="86">
        <f>H5*0.65%</f>
        <v>224.25000000000003</v>
      </c>
      <c r="K5" s="86">
        <f>H5*3%</f>
        <v>1035</v>
      </c>
      <c r="L5" s="86">
        <f>H5*1%</f>
        <v>345</v>
      </c>
      <c r="M5" s="86"/>
      <c r="N5" s="86">
        <f>H5-I5-J5-K5-L5-M5</f>
        <v>31239.75</v>
      </c>
    </row>
    <row r="6" spans="1:14" ht="16" thickBot="1">
      <c r="A6" s="8"/>
      <c r="B6" s="20"/>
      <c r="C6" s="9"/>
      <c r="D6" s="9"/>
      <c r="E6" s="7"/>
    </row>
    <row r="7" spans="1:14" ht="16" thickBot="1">
      <c r="A7" s="8"/>
      <c r="B7" s="20"/>
      <c r="C7" s="9"/>
      <c r="D7" s="9"/>
      <c r="E7" s="7"/>
      <c r="F7" s="26"/>
      <c r="G7" s="23" t="s">
        <v>8</v>
      </c>
      <c r="H7" s="23" t="s">
        <v>12</v>
      </c>
      <c r="I7" s="23" t="s">
        <v>9</v>
      </c>
      <c r="J7" s="23" t="s">
        <v>13</v>
      </c>
      <c r="K7" s="23" t="s">
        <v>14</v>
      </c>
      <c r="L7" s="23" t="s">
        <v>15</v>
      </c>
      <c r="M7" s="23" t="s">
        <v>11</v>
      </c>
      <c r="N7" s="23" t="s">
        <v>10</v>
      </c>
    </row>
    <row r="8" spans="1:14" ht="16" thickBot="1">
      <c r="A8" s="8"/>
      <c r="B8" s="20"/>
      <c r="C8" s="9"/>
      <c r="D8" s="9"/>
      <c r="E8" s="7"/>
      <c r="F8" s="52"/>
      <c r="G8" s="25"/>
      <c r="H8" s="86"/>
      <c r="I8" s="93">
        <f>H8*4.8%</f>
        <v>0</v>
      </c>
      <c r="J8" s="93">
        <f>H8*0.65%</f>
        <v>0</v>
      </c>
      <c r="K8" s="93">
        <f>H8*3%</f>
        <v>0</v>
      </c>
      <c r="L8" s="93">
        <f>H8*1%</f>
        <v>0</v>
      </c>
      <c r="M8" s="86"/>
      <c r="N8" s="86">
        <f>H8-I8-J8-K8-L8-M8</f>
        <v>0</v>
      </c>
    </row>
    <row r="9" spans="1:14" ht="15.5">
      <c r="A9" s="8"/>
      <c r="B9" s="20"/>
      <c r="C9" s="10"/>
      <c r="D9" s="10"/>
      <c r="E9" s="7"/>
      <c r="F9" s="52"/>
    </row>
    <row r="10" spans="1:14" ht="15.5">
      <c r="A10" s="8"/>
      <c r="B10" s="20"/>
      <c r="C10" s="10"/>
      <c r="D10" s="10"/>
      <c r="E10" s="7"/>
      <c r="F10" s="52"/>
    </row>
    <row r="11" spans="1:14" ht="15.5">
      <c r="A11" s="8"/>
      <c r="B11" s="20"/>
      <c r="C11" s="9"/>
      <c r="D11" s="9"/>
      <c r="E11" s="7"/>
      <c r="F11" s="52"/>
    </row>
    <row r="12" spans="1:14" ht="15.5">
      <c r="A12" s="8"/>
      <c r="B12" s="20"/>
      <c r="C12" s="9"/>
      <c r="D12" s="9"/>
      <c r="E12" s="7"/>
      <c r="F12" s="52"/>
    </row>
    <row r="13" spans="1:14" ht="16" thickBot="1">
      <c r="A13" s="8"/>
      <c r="B13" s="20"/>
      <c r="C13" s="10"/>
      <c r="D13" s="10"/>
      <c r="E13" s="7"/>
      <c r="F13" s="52"/>
    </row>
    <row r="14" spans="1:14" ht="16" thickBot="1">
      <c r="A14" s="8"/>
      <c r="B14" s="20"/>
      <c r="C14" s="9"/>
      <c r="D14" s="9"/>
      <c r="E14" s="7"/>
      <c r="F14" s="52"/>
      <c r="G14" s="23" t="s">
        <v>8</v>
      </c>
      <c r="H14" s="23" t="s">
        <v>12</v>
      </c>
      <c r="I14" s="23" t="s">
        <v>9</v>
      </c>
      <c r="J14" s="23" t="s">
        <v>13</v>
      </c>
      <c r="K14" s="23" t="s">
        <v>14</v>
      </c>
      <c r="L14" s="23" t="s">
        <v>15</v>
      </c>
      <c r="M14" s="23" t="s">
        <v>11</v>
      </c>
      <c r="N14" s="23" t="s">
        <v>10</v>
      </c>
    </row>
    <row r="15" spans="1:14" ht="16.5" thickBot="1">
      <c r="A15" s="39" t="s">
        <v>6</v>
      </c>
      <c r="B15" s="40">
        <f>SUM(B16:B28)</f>
        <v>18935.489999999998</v>
      </c>
      <c r="C15" s="41" t="s">
        <v>1</v>
      </c>
      <c r="D15" s="42" t="s">
        <v>7</v>
      </c>
      <c r="E15" s="43" t="s">
        <v>2</v>
      </c>
      <c r="F15" s="52"/>
      <c r="G15" s="25"/>
      <c r="H15" s="54"/>
      <c r="I15" s="54">
        <f t="shared" ref="I15:I21" si="0">H15*4.8%</f>
        <v>0</v>
      </c>
      <c r="J15" s="54">
        <f t="shared" ref="J15:J21" si="1">H15*0.65%</f>
        <v>0</v>
      </c>
      <c r="K15" s="54">
        <f t="shared" ref="K15:K21" si="2">H15*3%</f>
        <v>0</v>
      </c>
      <c r="L15" s="54">
        <f t="shared" ref="L15:L21" si="3">H15*1%</f>
        <v>0</v>
      </c>
      <c r="M15" s="54"/>
      <c r="N15" s="54">
        <f t="shared" ref="N15:N21" si="4">H15-I15-J15-K15-L15-M15</f>
        <v>0</v>
      </c>
    </row>
    <row r="16" spans="1:14" ht="16" thickBot="1">
      <c r="A16" s="67" t="s">
        <v>150</v>
      </c>
      <c r="B16" s="68">
        <v>18162.03</v>
      </c>
      <c r="C16" s="61" t="s">
        <v>19</v>
      </c>
      <c r="D16" s="61"/>
      <c r="E16" s="62" t="s">
        <v>81</v>
      </c>
      <c r="F16" s="52"/>
      <c r="G16" s="25"/>
      <c r="H16" s="54"/>
      <c r="I16" s="54">
        <f t="shared" si="0"/>
        <v>0</v>
      </c>
      <c r="J16" s="54">
        <f t="shared" si="1"/>
        <v>0</v>
      </c>
      <c r="K16" s="54">
        <f t="shared" si="2"/>
        <v>0</v>
      </c>
      <c r="L16" s="54">
        <f t="shared" si="3"/>
        <v>0</v>
      </c>
      <c r="M16" s="54"/>
      <c r="N16" s="54">
        <f t="shared" si="4"/>
        <v>0</v>
      </c>
    </row>
    <row r="17" spans="1:14" ht="16" thickBot="1">
      <c r="A17" s="67" t="s">
        <v>151</v>
      </c>
      <c r="B17" s="68">
        <v>773.46</v>
      </c>
      <c r="C17" s="61" t="s">
        <v>19</v>
      </c>
      <c r="D17" s="61" t="s">
        <v>159</v>
      </c>
      <c r="E17" s="62" t="s">
        <v>158</v>
      </c>
      <c r="F17" s="52"/>
      <c r="G17" s="25"/>
      <c r="H17" s="54"/>
      <c r="I17" s="54">
        <f t="shared" si="0"/>
        <v>0</v>
      </c>
      <c r="J17" s="54">
        <f t="shared" si="1"/>
        <v>0</v>
      </c>
      <c r="K17" s="54">
        <f t="shared" si="2"/>
        <v>0</v>
      </c>
      <c r="L17" s="54">
        <f t="shared" si="3"/>
        <v>0</v>
      </c>
      <c r="M17" s="54"/>
      <c r="N17" s="54">
        <f t="shared" si="4"/>
        <v>0</v>
      </c>
    </row>
    <row r="18" spans="1:14" ht="16" thickBot="1">
      <c r="A18" s="8"/>
      <c r="B18" s="82"/>
      <c r="C18" s="10"/>
      <c r="D18" s="10"/>
      <c r="E18" s="7"/>
      <c r="F18" s="52"/>
      <c r="G18" s="25"/>
      <c r="H18" s="54"/>
      <c r="I18" s="54">
        <f t="shared" si="0"/>
        <v>0</v>
      </c>
      <c r="J18" s="54">
        <f t="shared" si="1"/>
        <v>0</v>
      </c>
      <c r="K18" s="54">
        <f t="shared" si="2"/>
        <v>0</v>
      </c>
      <c r="L18" s="54">
        <f t="shared" si="3"/>
        <v>0</v>
      </c>
      <c r="M18" s="54"/>
      <c r="N18" s="54">
        <f t="shared" si="4"/>
        <v>0</v>
      </c>
    </row>
    <row r="19" spans="1:14" ht="16" thickBot="1">
      <c r="A19" s="8"/>
      <c r="B19" s="20"/>
      <c r="C19" s="9"/>
      <c r="D19" s="9"/>
      <c r="E19" s="7"/>
      <c r="F19" s="52"/>
      <c r="G19" s="25"/>
      <c r="H19" s="54"/>
      <c r="I19" s="54">
        <f t="shared" si="0"/>
        <v>0</v>
      </c>
      <c r="J19" s="54">
        <f t="shared" si="1"/>
        <v>0</v>
      </c>
      <c r="K19" s="54">
        <f t="shared" si="2"/>
        <v>0</v>
      </c>
      <c r="L19" s="54">
        <f t="shared" si="3"/>
        <v>0</v>
      </c>
      <c r="M19" s="54"/>
      <c r="N19" s="54">
        <f t="shared" si="4"/>
        <v>0</v>
      </c>
    </row>
    <row r="20" spans="1:14" ht="16" thickBot="1">
      <c r="A20" s="8"/>
      <c r="B20" s="20"/>
      <c r="C20" s="10"/>
      <c r="D20" s="10"/>
      <c r="E20" s="7"/>
      <c r="F20" s="52"/>
      <c r="G20" s="25"/>
      <c r="H20" s="54"/>
      <c r="I20" s="54">
        <f t="shared" si="0"/>
        <v>0</v>
      </c>
      <c r="J20" s="54">
        <f t="shared" si="1"/>
        <v>0</v>
      </c>
      <c r="K20" s="54">
        <f t="shared" si="2"/>
        <v>0</v>
      </c>
      <c r="L20" s="54">
        <f t="shared" si="3"/>
        <v>0</v>
      </c>
      <c r="M20" s="54"/>
      <c r="N20" s="54">
        <f t="shared" si="4"/>
        <v>0</v>
      </c>
    </row>
    <row r="21" spans="1:14" ht="16" thickBot="1">
      <c r="A21" s="8"/>
      <c r="B21" s="20"/>
      <c r="C21" s="10"/>
      <c r="D21" s="10"/>
      <c r="E21" s="7"/>
      <c r="F21" s="52"/>
      <c r="G21" s="25"/>
      <c r="H21" s="54"/>
      <c r="I21" s="54">
        <f t="shared" si="0"/>
        <v>0</v>
      </c>
      <c r="J21" s="54">
        <f t="shared" si="1"/>
        <v>0</v>
      </c>
      <c r="K21" s="54">
        <f t="shared" si="2"/>
        <v>0</v>
      </c>
      <c r="L21" s="54">
        <f t="shared" si="3"/>
        <v>0</v>
      </c>
      <c r="M21" s="54"/>
      <c r="N21" s="54">
        <f t="shared" si="4"/>
        <v>0</v>
      </c>
    </row>
    <row r="22" spans="1:14" ht="16" thickBot="1">
      <c r="A22" s="8"/>
      <c r="B22" s="20"/>
      <c r="C22" s="9"/>
      <c r="D22" s="9"/>
      <c r="E22" s="7"/>
      <c r="F22" s="52"/>
      <c r="G22" s="23" t="s">
        <v>16</v>
      </c>
      <c r="H22" s="55">
        <f>SUM(H15:H21)</f>
        <v>0</v>
      </c>
      <c r="I22" s="55">
        <f t="shared" ref="I22:N22" si="5">SUM(I15:I21)</f>
        <v>0</v>
      </c>
      <c r="J22" s="55">
        <f t="shared" si="5"/>
        <v>0</v>
      </c>
      <c r="K22" s="55">
        <f t="shared" si="5"/>
        <v>0</v>
      </c>
      <c r="L22" s="55">
        <f t="shared" si="5"/>
        <v>0</v>
      </c>
      <c r="M22" s="55">
        <f t="shared" si="5"/>
        <v>0</v>
      </c>
      <c r="N22" s="55">
        <f t="shared" si="5"/>
        <v>0</v>
      </c>
    </row>
    <row r="23" spans="1:14" ht="15.5">
      <c r="A23" s="8"/>
      <c r="B23" s="20"/>
      <c r="C23" s="9"/>
      <c r="D23" s="9"/>
      <c r="E23" s="7"/>
      <c r="F23" s="52"/>
    </row>
    <row r="24" spans="1:14" ht="15.5">
      <c r="A24" s="8"/>
      <c r="B24" s="20"/>
      <c r="C24" s="10"/>
      <c r="D24" s="10"/>
      <c r="E24" s="7"/>
      <c r="F24" s="52"/>
    </row>
    <row r="25" spans="1:14" ht="15.5">
      <c r="A25" s="8"/>
      <c r="B25" s="20"/>
      <c r="C25" s="9"/>
      <c r="D25" s="9"/>
      <c r="E25" s="7"/>
      <c r="F25" s="52"/>
    </row>
    <row r="26" spans="1:14" ht="15.5">
      <c r="A26" s="8"/>
      <c r="B26" s="20"/>
      <c r="C26" s="10"/>
      <c r="D26" s="10"/>
      <c r="E26" s="7"/>
      <c r="F26" s="52"/>
    </row>
    <row r="27" spans="1:14" ht="15.5">
      <c r="A27" s="8"/>
      <c r="B27" s="20"/>
      <c r="C27" s="9"/>
      <c r="D27" s="9"/>
      <c r="E27" s="7"/>
      <c r="F27" s="52"/>
    </row>
    <row r="28" spans="1:14" ht="15.5">
      <c r="A28" s="8"/>
      <c r="B28" s="20"/>
      <c r="C28" s="10"/>
      <c r="D28" s="10"/>
      <c r="E28" s="7"/>
      <c r="F28" s="52"/>
    </row>
    <row r="29" spans="1:14">
      <c r="A29" s="16" t="s">
        <v>4</v>
      </c>
      <c r="B29" s="21">
        <f>B3+B4-B15</f>
        <v>230475.29000000193</v>
      </c>
      <c r="E29" s="15"/>
      <c r="F29" s="52"/>
    </row>
    <row r="30" spans="1:14">
      <c r="F30" s="52"/>
    </row>
    <row r="31" spans="1:14">
      <c r="F31" s="52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5E68-D458-4444-87B6-92C3FC9EA12F}">
  <sheetPr>
    <tabColor rgb="FF00B050"/>
  </sheetPr>
  <dimension ref="A1:N47"/>
  <sheetViews>
    <sheetView workbookViewId="0">
      <selection activeCell="B34" sqref="B34"/>
    </sheetView>
  </sheetViews>
  <sheetFormatPr defaultRowHeight="14.5"/>
  <cols>
    <col min="1" max="1" width="80.81640625" bestFit="1" customWidth="1"/>
    <col min="2" max="2" width="18.81640625" style="11" bestFit="1" customWidth="1"/>
    <col min="3" max="3" width="27.1796875" bestFit="1" customWidth="1"/>
    <col min="4" max="4" width="26.90625" bestFit="1" customWidth="1"/>
    <col min="5" max="5" width="25.36328125" style="3" bestFit="1" customWidth="1"/>
    <col min="6" max="6" width="17.81640625" style="11" customWidth="1"/>
    <col min="7" max="7" width="21.81640625" bestFit="1" customWidth="1"/>
    <col min="8" max="8" width="16.54296875" bestFit="1" customWidth="1"/>
    <col min="9" max="9" width="14" style="22" bestFit="1" customWidth="1"/>
    <col min="10" max="10" width="15.453125" style="22" bestFit="1" customWidth="1"/>
    <col min="11" max="11" width="14" style="22" bestFit="1" customWidth="1"/>
    <col min="12" max="12" width="14.1796875" style="22" bestFit="1" customWidth="1"/>
    <col min="13" max="13" width="13.81640625" style="22" bestFit="1" customWidth="1"/>
    <col min="14" max="14" width="16.54296875" style="22" bestFit="1" customWidth="1"/>
    <col min="15" max="15" width="12" customWidth="1"/>
    <col min="16" max="16" width="15.453125" bestFit="1" customWidth="1"/>
  </cols>
  <sheetData>
    <row r="1" spans="1:14" ht="15.5">
      <c r="A1" s="143" t="s">
        <v>3</v>
      </c>
      <c r="B1" s="144"/>
      <c r="C1" s="144"/>
      <c r="D1" s="144"/>
      <c r="E1" s="144"/>
      <c r="G1" s="30"/>
      <c r="H1" s="28"/>
    </row>
    <row r="2" spans="1:14" ht="15.5">
      <c r="A2" s="1"/>
      <c r="B2" s="2"/>
      <c r="C2" s="30"/>
      <c r="D2" s="28"/>
    </row>
    <row r="3" spans="1:14" ht="16" thickBot="1">
      <c r="A3" s="16" t="s">
        <v>5</v>
      </c>
      <c r="B3" s="17">
        <f>'20.07.26'!B29</f>
        <v>230475.29000000193</v>
      </c>
      <c r="C3" s="30">
        <v>1469.14</v>
      </c>
      <c r="D3" s="45">
        <f>B5/C3-1</f>
        <v>-4.649658984167615E-2</v>
      </c>
      <c r="E3" s="15"/>
    </row>
    <row r="4" spans="1:14" ht="16.5" thickBot="1">
      <c r="A4" s="39" t="s">
        <v>0</v>
      </c>
      <c r="B4" s="40">
        <f>SUM(B5:B18)</f>
        <v>1400.83</v>
      </c>
      <c r="C4" s="41" t="s">
        <v>1</v>
      </c>
      <c r="D4" s="44" t="s">
        <v>7</v>
      </c>
      <c r="E4" s="43" t="s">
        <v>2</v>
      </c>
      <c r="F4"/>
      <c r="G4" s="23" t="s">
        <v>8</v>
      </c>
      <c r="H4" s="23" t="s">
        <v>12</v>
      </c>
      <c r="I4" s="23" t="s">
        <v>9</v>
      </c>
      <c r="J4" s="23" t="s">
        <v>13</v>
      </c>
      <c r="K4" s="23" t="s">
        <v>14</v>
      </c>
      <c r="L4" s="23" t="s">
        <v>15</v>
      </c>
      <c r="M4" s="23" t="s">
        <v>11</v>
      </c>
      <c r="N4" s="23" t="s">
        <v>10</v>
      </c>
    </row>
    <row r="5" spans="1:14" ht="16" thickBot="1">
      <c r="A5" s="67" t="s">
        <v>153</v>
      </c>
      <c r="B5" s="68">
        <v>1400.83</v>
      </c>
      <c r="C5" s="61" t="s">
        <v>19</v>
      </c>
      <c r="D5" s="61" t="s">
        <v>155</v>
      </c>
      <c r="E5" s="62" t="s">
        <v>154</v>
      </c>
      <c r="F5"/>
      <c r="G5" s="23">
        <v>3151</v>
      </c>
      <c r="H5" s="24">
        <v>1469.14</v>
      </c>
      <c r="I5" s="86"/>
      <c r="J5" s="93">
        <f>H5*0.65%</f>
        <v>9.5494100000000017</v>
      </c>
      <c r="K5" s="93">
        <f>H5*3%</f>
        <v>44.074200000000005</v>
      </c>
      <c r="L5" s="93">
        <f>H5*1%</f>
        <v>14.691400000000002</v>
      </c>
      <c r="M5" s="86"/>
      <c r="N5" s="86">
        <f>H5-I5-J5-K5-L5-M5</f>
        <v>1400.8249900000001</v>
      </c>
    </row>
    <row r="6" spans="1:14" ht="15.5">
      <c r="A6" s="8"/>
      <c r="B6" s="20"/>
      <c r="C6" s="9"/>
      <c r="D6" s="9"/>
      <c r="E6" s="7"/>
      <c r="F6"/>
    </row>
    <row r="7" spans="1:14" ht="15.5">
      <c r="A7" s="8"/>
      <c r="B7" s="20"/>
      <c r="C7" s="9"/>
      <c r="D7" s="9"/>
      <c r="E7" s="7"/>
      <c r="F7"/>
      <c r="I7"/>
      <c r="J7"/>
    </row>
    <row r="8" spans="1:14" ht="15.5">
      <c r="A8" s="8"/>
      <c r="B8" s="20"/>
      <c r="C8" s="9"/>
      <c r="D8" s="9"/>
      <c r="E8" s="7"/>
      <c r="F8"/>
      <c r="I8"/>
      <c r="J8"/>
    </row>
    <row r="9" spans="1:14" ht="15.5">
      <c r="A9" s="8"/>
      <c r="B9" s="20"/>
      <c r="C9" s="10"/>
      <c r="D9" s="10"/>
      <c r="E9" s="7"/>
      <c r="F9"/>
      <c r="I9"/>
      <c r="J9"/>
    </row>
    <row r="10" spans="1:14" ht="15.5">
      <c r="A10" s="8"/>
      <c r="B10" s="20"/>
      <c r="C10" s="10"/>
      <c r="D10" s="10"/>
      <c r="E10" s="7"/>
      <c r="F10"/>
      <c r="I10"/>
      <c r="J10"/>
    </row>
    <row r="11" spans="1:14" ht="15.5">
      <c r="A11" s="8"/>
      <c r="B11" s="20"/>
      <c r="C11" s="9"/>
      <c r="D11" s="9"/>
      <c r="E11" s="7"/>
      <c r="F11"/>
      <c r="I11"/>
      <c r="J11"/>
    </row>
    <row r="12" spans="1:14" ht="15.5">
      <c r="A12" s="8"/>
      <c r="B12" s="20"/>
      <c r="C12" s="9"/>
      <c r="D12" s="9"/>
      <c r="E12" s="7"/>
      <c r="F12"/>
    </row>
    <row r="13" spans="1:14" ht="15.5">
      <c r="A13" s="8"/>
      <c r="B13" s="20"/>
      <c r="C13" s="10"/>
      <c r="D13" s="10"/>
      <c r="E13" s="7"/>
      <c r="F13"/>
    </row>
    <row r="14" spans="1:14" ht="15.5">
      <c r="A14" s="8"/>
      <c r="B14" s="20"/>
      <c r="C14" s="9"/>
      <c r="D14" s="9"/>
      <c r="E14" s="7"/>
      <c r="F14"/>
    </row>
    <row r="15" spans="1:14" ht="15.5">
      <c r="A15" s="8"/>
      <c r="B15" s="20"/>
      <c r="C15" s="10"/>
      <c r="D15" s="10"/>
      <c r="E15" s="7"/>
      <c r="F15"/>
    </row>
    <row r="16" spans="1:14" ht="15.5">
      <c r="A16" s="110"/>
      <c r="B16" s="20"/>
      <c r="C16" s="9"/>
      <c r="D16" s="9"/>
      <c r="E16" s="7"/>
      <c r="F16"/>
    </row>
    <row r="17" spans="1:6" ht="15.5">
      <c r="A17" s="8"/>
      <c r="B17" s="20"/>
      <c r="C17" s="10"/>
      <c r="D17" s="10"/>
      <c r="E17" s="7"/>
      <c r="F17"/>
    </row>
    <row r="18" spans="1:6" ht="15.5">
      <c r="A18" s="8"/>
      <c r="B18" s="20"/>
      <c r="C18" s="10"/>
      <c r="D18" s="10"/>
      <c r="E18" s="7"/>
      <c r="F18"/>
    </row>
    <row r="19" spans="1:6" ht="16">
      <c r="A19" s="39" t="s">
        <v>6</v>
      </c>
      <c r="B19" s="40">
        <f>SUM(B20:B32)</f>
        <v>30466.29</v>
      </c>
      <c r="C19" s="41" t="s">
        <v>1</v>
      </c>
      <c r="D19" s="42" t="s">
        <v>7</v>
      </c>
      <c r="E19" s="43" t="s">
        <v>2</v>
      </c>
      <c r="F19"/>
    </row>
    <row r="20" spans="1:6" ht="15.5">
      <c r="A20" s="67" t="s">
        <v>183</v>
      </c>
      <c r="B20" s="68">
        <v>30466.29</v>
      </c>
      <c r="C20" s="61" t="s">
        <v>19</v>
      </c>
      <c r="D20" s="61"/>
      <c r="E20" s="62" t="s">
        <v>81</v>
      </c>
      <c r="F20"/>
    </row>
    <row r="21" spans="1:6" ht="15.5">
      <c r="A21" s="8"/>
      <c r="B21" s="82"/>
      <c r="C21" s="10"/>
      <c r="D21" s="10"/>
      <c r="E21" s="7"/>
      <c r="F21"/>
    </row>
    <row r="22" spans="1:6" ht="15.5">
      <c r="A22" s="8"/>
      <c r="B22" s="82"/>
      <c r="C22" s="10"/>
      <c r="D22" s="10"/>
      <c r="E22" s="7"/>
      <c r="F22"/>
    </row>
    <row r="23" spans="1:6" ht="15.5">
      <c r="A23" s="8"/>
      <c r="B23" s="20"/>
      <c r="C23" s="9"/>
      <c r="D23" s="9"/>
      <c r="E23" s="7"/>
      <c r="F23"/>
    </row>
    <row r="24" spans="1:6" ht="15.5">
      <c r="A24" s="8"/>
      <c r="B24" s="20"/>
      <c r="C24" s="10"/>
      <c r="D24" s="10"/>
      <c r="E24" s="7"/>
      <c r="F24"/>
    </row>
    <row r="25" spans="1:6" ht="15.5">
      <c r="A25" s="8"/>
      <c r="B25" s="20"/>
      <c r="C25" s="10"/>
      <c r="D25" s="10"/>
      <c r="E25" s="7"/>
      <c r="F25"/>
    </row>
    <row r="26" spans="1:6" ht="15.5">
      <c r="A26" s="8"/>
      <c r="B26" s="20"/>
      <c r="C26" s="9"/>
      <c r="D26" s="9"/>
      <c r="E26" s="7"/>
      <c r="F26"/>
    </row>
    <row r="27" spans="1:6" ht="15.5">
      <c r="A27" s="8"/>
      <c r="B27" s="20"/>
      <c r="C27" s="9"/>
      <c r="D27" s="9"/>
      <c r="E27" s="7"/>
      <c r="F27"/>
    </row>
    <row r="28" spans="1:6" ht="15.5">
      <c r="A28" s="8"/>
      <c r="B28" s="20"/>
      <c r="C28" s="10"/>
      <c r="D28" s="10"/>
      <c r="E28" s="7"/>
      <c r="F28"/>
    </row>
    <row r="29" spans="1:6" ht="15.5">
      <c r="A29" s="8"/>
      <c r="B29" s="20"/>
      <c r="C29" s="9"/>
      <c r="D29" s="9"/>
      <c r="E29" s="7"/>
      <c r="F29"/>
    </row>
    <row r="30" spans="1:6" ht="15.5">
      <c r="A30" s="8"/>
      <c r="B30" s="20"/>
      <c r="C30" s="10"/>
      <c r="D30" s="10"/>
      <c r="E30" s="7"/>
      <c r="F30"/>
    </row>
    <row r="31" spans="1:6" ht="15.5">
      <c r="A31" s="8"/>
      <c r="B31" s="20"/>
      <c r="C31" s="9"/>
      <c r="D31" s="9"/>
      <c r="E31" s="7"/>
    </row>
    <row r="32" spans="1:6" ht="15.5">
      <c r="A32" s="8"/>
      <c r="B32" s="20"/>
      <c r="C32" s="10"/>
      <c r="D32" s="10"/>
      <c r="E32" s="7"/>
    </row>
    <row r="33" spans="1:6">
      <c r="A33" s="16" t="s">
        <v>4</v>
      </c>
      <c r="B33" s="21">
        <f>B3+B4-B19</f>
        <v>201409.83000000191</v>
      </c>
      <c r="E33" s="15"/>
    </row>
    <row r="35" spans="1:6">
      <c r="B35"/>
      <c r="E35"/>
      <c r="F35" s="57"/>
    </row>
    <row r="36" spans="1:6">
      <c r="B36"/>
      <c r="E36"/>
    </row>
    <row r="37" spans="1:6">
      <c r="B37"/>
      <c r="E37"/>
    </row>
    <row r="38" spans="1:6">
      <c r="B38"/>
      <c r="E38"/>
    </row>
    <row r="39" spans="1:6">
      <c r="B39"/>
      <c r="E39"/>
    </row>
    <row r="40" spans="1:6">
      <c r="B40"/>
      <c r="E40"/>
    </row>
    <row r="41" spans="1:6">
      <c r="B41"/>
      <c r="E41"/>
    </row>
    <row r="42" spans="1:6">
      <c r="B42"/>
      <c r="E42"/>
    </row>
    <row r="43" spans="1:6">
      <c r="B43"/>
      <c r="E43"/>
    </row>
    <row r="44" spans="1:6">
      <c r="B44"/>
      <c r="E44"/>
    </row>
    <row r="45" spans="1:6">
      <c r="B45"/>
      <c r="E45"/>
    </row>
    <row r="46" spans="1:6">
      <c r="B46"/>
      <c r="E46"/>
    </row>
    <row r="47" spans="1:6">
      <c r="B47"/>
      <c r="E47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199A-4268-4792-B504-1058654E21DD}">
  <sheetPr>
    <tabColor rgb="FF00B050"/>
  </sheetPr>
  <dimension ref="A1:O42"/>
  <sheetViews>
    <sheetView workbookViewId="0">
      <selection activeCell="B35" sqref="B35"/>
    </sheetView>
  </sheetViews>
  <sheetFormatPr defaultRowHeight="14.5"/>
  <cols>
    <col min="1" max="1" width="86.81640625" bestFit="1" customWidth="1"/>
    <col min="2" max="2" width="18.1796875" style="11" bestFit="1" customWidth="1"/>
    <col min="3" max="3" width="27.1796875" bestFit="1" customWidth="1"/>
    <col min="4" max="4" width="25.90625" customWidth="1"/>
    <col min="5" max="5" width="25.36328125" style="3" bestFit="1" customWidth="1"/>
    <col min="6" max="6" width="8.36328125" customWidth="1"/>
    <col min="7" max="7" width="14.36328125" bestFit="1" customWidth="1"/>
    <col min="8" max="8" width="16.54296875" bestFit="1" customWidth="1"/>
    <col min="9" max="9" width="13.81640625" bestFit="1" customWidth="1"/>
    <col min="10" max="10" width="15.453125" bestFit="1" customWidth="1"/>
    <col min="11" max="13" width="13.81640625" bestFit="1" customWidth="1"/>
    <col min="14" max="14" width="15.5429687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C2" s="60"/>
      <c r="D2" s="69"/>
    </row>
    <row r="3" spans="1:14" ht="15.5">
      <c r="A3" s="16" t="s">
        <v>5</v>
      </c>
      <c r="B3" s="17">
        <f>'21.07.26'!B33</f>
        <v>201409.83000000191</v>
      </c>
      <c r="C3" s="30"/>
      <c r="D3" s="38"/>
      <c r="E3" s="15"/>
    </row>
    <row r="4" spans="1:14" ht="16.5" thickBot="1">
      <c r="A4" s="39" t="s">
        <v>0</v>
      </c>
      <c r="B4" s="40">
        <f>SUM(B5:B17)</f>
        <v>11458156.27</v>
      </c>
      <c r="C4" s="41" t="s">
        <v>1</v>
      </c>
      <c r="D4" s="44" t="s">
        <v>7</v>
      </c>
      <c r="E4" s="43" t="s">
        <v>2</v>
      </c>
    </row>
    <row r="5" spans="1:14" ht="16" thickBot="1">
      <c r="A5" s="67" t="s">
        <v>162</v>
      </c>
      <c r="B5" s="68">
        <v>70005.100000000006</v>
      </c>
      <c r="C5" s="61" t="s">
        <v>19</v>
      </c>
      <c r="D5" s="61" t="s">
        <v>167</v>
      </c>
      <c r="E5" s="62" t="s">
        <v>170</v>
      </c>
      <c r="G5" s="128" t="s">
        <v>8</v>
      </c>
      <c r="H5" s="128" t="s">
        <v>12</v>
      </c>
      <c r="I5" s="128" t="s">
        <v>11</v>
      </c>
      <c r="J5" s="128" t="s">
        <v>10</v>
      </c>
    </row>
    <row r="6" spans="1:14" ht="16" thickBot="1">
      <c r="A6" s="67" t="s">
        <v>163</v>
      </c>
      <c r="B6" s="68">
        <v>10800056.960000001</v>
      </c>
      <c r="C6" s="61" t="s">
        <v>19</v>
      </c>
      <c r="D6" s="61" t="s">
        <v>168</v>
      </c>
      <c r="E6" s="62" t="s">
        <v>28</v>
      </c>
      <c r="G6" s="128">
        <v>3152</v>
      </c>
      <c r="H6" s="129">
        <v>71433.78</v>
      </c>
      <c r="I6" s="129">
        <f>H6*2%</f>
        <v>1428.6756</v>
      </c>
      <c r="J6" s="129">
        <f>H6-I6</f>
        <v>70005.104399999997</v>
      </c>
    </row>
    <row r="7" spans="1:14" ht="15.5">
      <c r="A7" s="67" t="s">
        <v>164</v>
      </c>
      <c r="B7" s="68">
        <v>588094.21</v>
      </c>
      <c r="C7" s="61" t="s">
        <v>19</v>
      </c>
      <c r="D7" s="61" t="s">
        <v>169</v>
      </c>
      <c r="E7" s="62" t="s">
        <v>171</v>
      </c>
    </row>
    <row r="8" spans="1:14" ht="15.5">
      <c r="A8" s="8"/>
      <c r="B8" s="20"/>
      <c r="C8" s="9"/>
      <c r="D8" s="9"/>
      <c r="E8" s="7"/>
    </row>
    <row r="9" spans="1:14" ht="16" thickBot="1">
      <c r="A9" s="8"/>
      <c r="B9" s="20"/>
      <c r="C9" s="9"/>
      <c r="D9" s="9"/>
      <c r="E9" s="7"/>
    </row>
    <row r="10" spans="1:14" ht="16" thickBot="1">
      <c r="A10" s="8"/>
      <c r="B10" s="20"/>
      <c r="C10" s="10"/>
      <c r="D10" s="10"/>
      <c r="E10" s="7"/>
      <c r="G10" s="23" t="s">
        <v>8</v>
      </c>
      <c r="H10" s="56" t="s">
        <v>12</v>
      </c>
      <c r="I10" s="56" t="s">
        <v>9</v>
      </c>
      <c r="J10" s="56" t="s">
        <v>10</v>
      </c>
    </row>
    <row r="11" spans="1:14" ht="16" thickBot="1">
      <c r="A11" s="8"/>
      <c r="B11" s="20"/>
      <c r="C11" s="9"/>
      <c r="D11" s="9"/>
      <c r="E11" s="7"/>
      <c r="G11" s="25"/>
      <c r="H11" s="24"/>
      <c r="I11" s="32">
        <f>H11*4.8%</f>
        <v>0</v>
      </c>
      <c r="J11" s="32">
        <f>H11-I11</f>
        <v>0</v>
      </c>
    </row>
    <row r="12" spans="1:14" ht="15.5">
      <c r="A12" s="8"/>
      <c r="B12" s="20"/>
      <c r="C12" s="9"/>
      <c r="D12" s="9"/>
      <c r="E12" s="7"/>
    </row>
    <row r="13" spans="1:14" ht="15.5">
      <c r="A13" s="8"/>
      <c r="B13" s="20"/>
      <c r="C13" s="10"/>
      <c r="D13" s="10"/>
      <c r="E13" s="7"/>
      <c r="G13" s="48"/>
      <c r="H13" s="48"/>
      <c r="I13" s="48"/>
      <c r="J13" s="48"/>
      <c r="K13" s="48"/>
      <c r="L13" s="48"/>
      <c r="M13" s="48"/>
      <c r="N13" s="48"/>
    </row>
    <row r="14" spans="1:14" ht="15.5">
      <c r="A14" s="8"/>
      <c r="B14" s="20"/>
      <c r="C14" s="9"/>
      <c r="D14" s="9"/>
      <c r="E14" s="7"/>
      <c r="G14" s="53"/>
      <c r="H14" s="95"/>
      <c r="I14" s="95"/>
      <c r="J14" s="96"/>
      <c r="K14" s="95"/>
      <c r="L14" s="95"/>
      <c r="M14" s="95"/>
      <c r="N14" s="95"/>
    </row>
    <row r="15" spans="1:14" ht="16">
      <c r="A15" s="106"/>
      <c r="B15" s="27"/>
      <c r="C15" s="107"/>
      <c r="D15" s="108"/>
      <c r="E15" s="109"/>
    </row>
    <row r="16" spans="1:14" ht="16">
      <c r="A16" s="106"/>
      <c r="B16" s="27"/>
      <c r="C16" s="107"/>
      <c r="D16" s="108"/>
      <c r="E16" s="109"/>
      <c r="G16" s="48"/>
      <c r="H16" s="97"/>
      <c r="I16" s="97"/>
      <c r="J16" s="97"/>
    </row>
    <row r="17" spans="1:15" ht="15.5">
      <c r="A17" s="8"/>
      <c r="B17" s="20"/>
      <c r="C17" s="9"/>
      <c r="D17" s="9"/>
      <c r="E17" s="7"/>
      <c r="I17" s="98"/>
      <c r="J17" s="99"/>
    </row>
    <row r="18" spans="1:15" ht="16">
      <c r="A18" s="39" t="s">
        <v>6</v>
      </c>
      <c r="B18" s="40">
        <f>SUM(B19:B33)</f>
        <v>11459558.799999999</v>
      </c>
      <c r="C18" s="41" t="s">
        <v>1</v>
      </c>
      <c r="D18" s="42" t="s">
        <v>7</v>
      </c>
      <c r="E18" s="43" t="s">
        <v>2</v>
      </c>
    </row>
    <row r="19" spans="1:15" ht="15.5">
      <c r="A19" s="67" t="s">
        <v>165</v>
      </c>
      <c r="B19" s="68">
        <v>11459557.1</v>
      </c>
      <c r="C19" s="61" t="s">
        <v>19</v>
      </c>
      <c r="D19" s="61"/>
      <c r="E19" s="62" t="s">
        <v>81</v>
      </c>
    </row>
    <row r="20" spans="1:15" ht="15.5">
      <c r="A20" s="67" t="s">
        <v>166</v>
      </c>
      <c r="B20" s="68">
        <v>1.7</v>
      </c>
      <c r="C20" s="61" t="s">
        <v>19</v>
      </c>
      <c r="D20" s="61" t="s">
        <v>184</v>
      </c>
      <c r="E20" s="62" t="s">
        <v>21</v>
      </c>
    </row>
    <row r="21" spans="1:15" ht="15.5">
      <c r="A21" s="8"/>
      <c r="B21" s="20"/>
      <c r="C21" s="10"/>
      <c r="D21" s="10"/>
      <c r="E21" s="7"/>
    </row>
    <row r="22" spans="1:15" ht="15.5">
      <c r="A22" s="8"/>
      <c r="B22" s="20"/>
      <c r="C22" s="10"/>
      <c r="D22" s="10"/>
      <c r="E22" s="7"/>
      <c r="O22" s="66"/>
    </row>
    <row r="23" spans="1:15" ht="15.5">
      <c r="A23" s="8"/>
      <c r="B23" s="20"/>
      <c r="C23" s="9"/>
      <c r="D23" s="9"/>
      <c r="E23" s="7"/>
    </row>
    <row r="24" spans="1:15" ht="15.5">
      <c r="A24" s="8"/>
      <c r="B24" s="20"/>
      <c r="C24" s="9"/>
      <c r="D24" s="9"/>
      <c r="E24" s="7"/>
    </row>
    <row r="25" spans="1:15" ht="15.5">
      <c r="A25" s="8"/>
      <c r="B25" s="20"/>
      <c r="C25" s="10"/>
      <c r="D25" s="10"/>
      <c r="E25" s="7"/>
    </row>
    <row r="26" spans="1:15" ht="15.5">
      <c r="A26" s="8"/>
      <c r="B26" s="20"/>
      <c r="C26" s="9"/>
      <c r="D26" s="9"/>
      <c r="E26" s="7"/>
    </row>
    <row r="27" spans="1:15" ht="15.5">
      <c r="A27" s="8"/>
      <c r="B27" s="20"/>
      <c r="C27" s="9"/>
      <c r="D27" s="9"/>
      <c r="E27" s="7"/>
    </row>
    <row r="28" spans="1:15" ht="15.5">
      <c r="A28" s="8"/>
      <c r="B28" s="20"/>
      <c r="C28" s="9"/>
      <c r="D28" s="9"/>
      <c r="E28" s="7"/>
    </row>
    <row r="29" spans="1:15" ht="15.5">
      <c r="A29" s="8"/>
      <c r="B29" s="20"/>
      <c r="C29" s="10"/>
      <c r="D29" s="10"/>
      <c r="E29" s="7"/>
    </row>
    <row r="30" spans="1:15" ht="15.5">
      <c r="A30" s="8"/>
      <c r="B30" s="20"/>
      <c r="C30" s="9"/>
      <c r="D30" s="9"/>
      <c r="E30" s="7"/>
    </row>
    <row r="31" spans="1:15" ht="15.5">
      <c r="A31" s="8"/>
      <c r="B31" s="20"/>
      <c r="C31" s="10"/>
      <c r="D31" s="10"/>
      <c r="E31" s="7"/>
    </row>
    <row r="32" spans="1:15" ht="15.5">
      <c r="A32" s="8"/>
      <c r="B32" s="20"/>
      <c r="C32" s="9"/>
      <c r="D32" s="9"/>
      <c r="E32" s="7"/>
    </row>
    <row r="33" spans="1:14" ht="15.5">
      <c r="A33" s="8"/>
      <c r="B33" s="20"/>
      <c r="C33" s="10"/>
      <c r="D33" s="10"/>
      <c r="E33" s="7"/>
    </row>
    <row r="34" spans="1:14">
      <c r="A34" s="16" t="s">
        <v>4</v>
      </c>
      <c r="B34" s="21">
        <f>B3+B4-B18</f>
        <v>200007.30000000261</v>
      </c>
      <c r="E34" s="15"/>
    </row>
    <row r="42" spans="1:14">
      <c r="N42" s="26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F0EE-E43D-4A2D-A30E-B31C951D72B8}">
  <sheetPr>
    <tabColor rgb="FF00B050"/>
  </sheetPr>
  <dimension ref="A1:N63"/>
  <sheetViews>
    <sheetView zoomScaleNormal="100" workbookViewId="0">
      <selection activeCell="B3" sqref="B3"/>
    </sheetView>
  </sheetViews>
  <sheetFormatPr defaultRowHeight="14.5"/>
  <cols>
    <col min="1" max="1" width="88.90625" bestFit="1" customWidth="1"/>
    <col min="2" max="2" width="18.81640625" style="11" bestFit="1" customWidth="1"/>
    <col min="3" max="3" width="27.26953125" bestFit="1" customWidth="1"/>
    <col min="4" max="4" width="26.1796875" bestFit="1" customWidth="1"/>
    <col min="5" max="5" width="37.81640625" style="3" customWidth="1"/>
    <col min="6" max="6" width="8.6328125" customWidth="1"/>
    <col min="7" max="7" width="12" bestFit="1" customWidth="1"/>
    <col min="8" max="8" width="17.1796875" style="22" bestFit="1" customWidth="1"/>
    <col min="9" max="9" width="14.08984375" style="22" bestFit="1" customWidth="1"/>
    <col min="10" max="10" width="15.453125" style="22" bestFit="1" customWidth="1"/>
    <col min="11" max="13" width="13.81640625" style="22" bestFit="1" customWidth="1"/>
    <col min="14" max="14" width="15.453125" style="22" bestFit="1" customWidth="1"/>
  </cols>
  <sheetData>
    <row r="1" spans="1:14" ht="15.5">
      <c r="A1" s="143" t="s">
        <v>3</v>
      </c>
      <c r="B1" s="144"/>
      <c r="C1" s="144"/>
      <c r="D1" s="144"/>
      <c r="E1" s="144"/>
      <c r="H1"/>
      <c r="I1"/>
      <c r="J1"/>
      <c r="K1"/>
      <c r="L1"/>
      <c r="M1"/>
      <c r="N1"/>
    </row>
    <row r="2" spans="1:14" ht="15.5">
      <c r="A2" s="1"/>
      <c r="B2" s="2"/>
      <c r="C2" s="30"/>
      <c r="D2" s="76"/>
      <c r="H2"/>
      <c r="I2"/>
      <c r="J2"/>
      <c r="K2"/>
      <c r="L2"/>
      <c r="M2"/>
      <c r="N2"/>
    </row>
    <row r="3" spans="1:14" ht="15.5">
      <c r="A3" s="16" t="s">
        <v>5</v>
      </c>
      <c r="B3" s="17">
        <f>'22.07.26'!B34</f>
        <v>200007.30000000261</v>
      </c>
      <c r="C3" s="30"/>
      <c r="D3" s="38"/>
      <c r="E3" s="15"/>
      <c r="H3"/>
      <c r="I3"/>
      <c r="J3"/>
      <c r="K3"/>
      <c r="L3"/>
      <c r="M3"/>
      <c r="N3"/>
    </row>
    <row r="4" spans="1:14" ht="16.5" thickBot="1">
      <c r="A4" s="39" t="s">
        <v>0</v>
      </c>
      <c r="B4" s="40">
        <f>SUM(B5:B15)</f>
        <v>2018827.44</v>
      </c>
      <c r="C4" s="41" t="s">
        <v>1</v>
      </c>
      <c r="D4" s="44" t="s">
        <v>7</v>
      </c>
      <c r="E4" s="43" t="s">
        <v>2</v>
      </c>
      <c r="H4"/>
      <c r="I4"/>
      <c r="J4"/>
      <c r="K4"/>
      <c r="L4"/>
      <c r="M4"/>
      <c r="N4"/>
    </row>
    <row r="5" spans="1:14" ht="16" thickBot="1">
      <c r="A5" s="67" t="s">
        <v>172</v>
      </c>
      <c r="B5" s="68">
        <v>1996834.48</v>
      </c>
      <c r="C5" s="61" t="s">
        <v>19</v>
      </c>
      <c r="D5" s="61" t="s">
        <v>176</v>
      </c>
      <c r="E5" s="62" t="s">
        <v>77</v>
      </c>
      <c r="G5" s="23" t="s">
        <v>8</v>
      </c>
      <c r="H5" s="56" t="s">
        <v>12</v>
      </c>
      <c r="I5" s="56" t="s">
        <v>17</v>
      </c>
      <c r="J5" s="56" t="s">
        <v>10</v>
      </c>
      <c r="K5"/>
      <c r="L5"/>
      <c r="M5"/>
      <c r="N5"/>
    </row>
    <row r="6" spans="1:14" ht="16" thickBot="1">
      <c r="A6" s="67" t="s">
        <v>173</v>
      </c>
      <c r="B6" s="68">
        <v>21992.959999999999</v>
      </c>
      <c r="C6" s="61" t="s">
        <v>19</v>
      </c>
      <c r="D6" s="61"/>
      <c r="E6" s="62" t="s">
        <v>81</v>
      </c>
      <c r="G6" s="25">
        <v>117</v>
      </c>
      <c r="H6" s="24">
        <v>2027243.13</v>
      </c>
      <c r="I6" s="32">
        <f>H6*1.5%</f>
        <v>30408.646949999998</v>
      </c>
      <c r="J6" s="32">
        <f>H6-I6</f>
        <v>1996834.4830499999</v>
      </c>
      <c r="K6"/>
      <c r="L6"/>
      <c r="M6"/>
      <c r="N6"/>
    </row>
    <row r="7" spans="1:14" ht="15.5">
      <c r="A7" s="121" t="s">
        <v>174</v>
      </c>
      <c r="B7" s="130" t="s">
        <v>175</v>
      </c>
      <c r="C7" s="152" t="s">
        <v>185</v>
      </c>
      <c r="D7" s="153"/>
      <c r="E7" s="154"/>
      <c r="H7"/>
      <c r="I7"/>
      <c r="J7"/>
      <c r="K7"/>
      <c r="L7"/>
      <c r="M7"/>
      <c r="N7"/>
    </row>
    <row r="8" spans="1:14" ht="15.5">
      <c r="A8" s="8"/>
      <c r="B8" s="20"/>
      <c r="C8" s="9"/>
      <c r="D8" s="9"/>
      <c r="E8" s="7"/>
      <c r="H8"/>
      <c r="I8"/>
      <c r="J8"/>
      <c r="K8"/>
      <c r="L8"/>
      <c r="M8"/>
      <c r="N8"/>
    </row>
    <row r="9" spans="1:14" ht="15.5">
      <c r="A9" s="8"/>
      <c r="B9" s="20"/>
      <c r="C9" s="9"/>
      <c r="D9" s="9"/>
      <c r="E9" s="7"/>
      <c r="H9"/>
      <c r="I9"/>
      <c r="J9"/>
      <c r="K9"/>
      <c r="L9"/>
      <c r="M9"/>
      <c r="N9"/>
    </row>
    <row r="10" spans="1:14" ht="15.5">
      <c r="A10" s="8"/>
      <c r="B10" s="20"/>
      <c r="C10" s="9"/>
      <c r="D10" s="9"/>
      <c r="E10" s="7"/>
      <c r="H10"/>
      <c r="I10"/>
      <c r="J10"/>
      <c r="K10"/>
      <c r="L10"/>
      <c r="M10"/>
      <c r="N10"/>
    </row>
    <row r="11" spans="1:14" ht="15.5">
      <c r="A11" s="8"/>
      <c r="B11" s="20"/>
      <c r="C11" s="9"/>
      <c r="D11" s="9"/>
      <c r="E11" s="7"/>
      <c r="H11"/>
      <c r="I11"/>
      <c r="J11"/>
      <c r="K11"/>
      <c r="L11"/>
      <c r="M11"/>
      <c r="N11"/>
    </row>
    <row r="12" spans="1:14" ht="15.5">
      <c r="A12" s="8"/>
      <c r="B12" s="20"/>
      <c r="C12" s="9"/>
      <c r="D12" s="9"/>
      <c r="E12" s="7"/>
      <c r="H12"/>
      <c r="I12"/>
      <c r="J12"/>
      <c r="K12"/>
      <c r="L12"/>
      <c r="M12"/>
      <c r="N12"/>
    </row>
    <row r="13" spans="1:14" ht="15.5">
      <c r="A13" s="8"/>
      <c r="B13" s="20"/>
      <c r="C13" s="10"/>
      <c r="D13" s="10"/>
      <c r="E13" s="7"/>
      <c r="H13"/>
      <c r="I13"/>
      <c r="J13"/>
      <c r="K13"/>
      <c r="L13"/>
      <c r="M13"/>
      <c r="N13"/>
    </row>
    <row r="14" spans="1:14" ht="15.5">
      <c r="A14" s="8"/>
      <c r="B14" s="20"/>
      <c r="C14" s="9"/>
      <c r="D14" s="9"/>
      <c r="E14" s="7"/>
      <c r="H14"/>
      <c r="I14"/>
      <c r="J14"/>
      <c r="K14"/>
      <c r="L14"/>
      <c r="M14"/>
      <c r="N14"/>
    </row>
    <row r="15" spans="1:14" ht="15.5">
      <c r="A15" s="8"/>
      <c r="B15" s="20"/>
      <c r="C15" s="9"/>
      <c r="D15" s="9"/>
      <c r="E15" s="7"/>
      <c r="H15"/>
      <c r="I15"/>
      <c r="J15"/>
      <c r="K15"/>
      <c r="L15"/>
      <c r="M15"/>
      <c r="N15"/>
    </row>
    <row r="16" spans="1:14" ht="16">
      <c r="A16" s="39" t="s">
        <v>6</v>
      </c>
      <c r="B16" s="40">
        <f>SUM(B17:B29)</f>
        <v>21991.26</v>
      </c>
      <c r="C16" s="41" t="s">
        <v>1</v>
      </c>
      <c r="D16" s="42" t="s">
        <v>7</v>
      </c>
      <c r="E16" s="43" t="s">
        <v>2</v>
      </c>
      <c r="H16"/>
      <c r="I16"/>
      <c r="J16"/>
      <c r="K16"/>
      <c r="L16"/>
      <c r="M16"/>
      <c r="N16"/>
    </row>
    <row r="17" spans="1:14" ht="15.5">
      <c r="A17" s="67" t="s">
        <v>174</v>
      </c>
      <c r="B17" s="68">
        <v>21991.26</v>
      </c>
      <c r="C17" s="61" t="s">
        <v>19</v>
      </c>
      <c r="D17" s="61" t="s">
        <v>203</v>
      </c>
      <c r="E17" s="62" t="s">
        <v>157</v>
      </c>
      <c r="H17"/>
      <c r="I17"/>
      <c r="J17"/>
      <c r="K17"/>
      <c r="L17"/>
      <c r="M17"/>
      <c r="N17"/>
    </row>
    <row r="18" spans="1:14" ht="15.5">
      <c r="A18" s="8"/>
      <c r="B18" s="20"/>
      <c r="C18" s="9"/>
      <c r="D18" s="9"/>
      <c r="E18" s="7"/>
      <c r="H18"/>
      <c r="I18"/>
      <c r="J18"/>
      <c r="K18"/>
      <c r="L18"/>
      <c r="M18"/>
      <c r="N18"/>
    </row>
    <row r="19" spans="1:14" ht="15.5">
      <c r="A19" s="8"/>
      <c r="B19" s="20"/>
      <c r="C19" s="10"/>
      <c r="D19" s="10"/>
      <c r="E19" s="7"/>
      <c r="H19"/>
      <c r="I19"/>
      <c r="J19"/>
      <c r="K19"/>
      <c r="L19"/>
      <c r="M19"/>
      <c r="N19"/>
    </row>
    <row r="20" spans="1:14" ht="15.5">
      <c r="A20" s="8"/>
      <c r="B20" s="20"/>
      <c r="C20" s="9"/>
      <c r="D20" s="9"/>
      <c r="E20" s="7"/>
      <c r="H20"/>
      <c r="I20"/>
      <c r="J20"/>
      <c r="K20"/>
      <c r="L20"/>
      <c r="M20"/>
      <c r="N20"/>
    </row>
    <row r="21" spans="1:14" ht="15.5">
      <c r="A21" s="8"/>
      <c r="B21" s="20"/>
      <c r="C21" s="10"/>
      <c r="D21" s="10"/>
      <c r="E21" s="7"/>
      <c r="H21"/>
      <c r="I21"/>
      <c r="J21"/>
      <c r="K21"/>
      <c r="L21"/>
      <c r="M21"/>
      <c r="N21"/>
    </row>
    <row r="22" spans="1:14" ht="15.5">
      <c r="A22" s="8"/>
      <c r="B22" s="20"/>
      <c r="C22" s="10"/>
      <c r="D22" s="10"/>
      <c r="E22" s="7"/>
      <c r="H22"/>
      <c r="I22"/>
      <c r="J22"/>
      <c r="K22"/>
      <c r="L22"/>
      <c r="M22"/>
      <c r="N22"/>
    </row>
    <row r="23" spans="1:14" ht="15.5">
      <c r="A23" s="8"/>
      <c r="B23" s="20"/>
      <c r="C23" s="9"/>
      <c r="D23" s="9"/>
      <c r="E23" s="7"/>
      <c r="H23"/>
      <c r="I23"/>
      <c r="J23"/>
      <c r="K23"/>
      <c r="L23"/>
      <c r="M23"/>
      <c r="N23"/>
    </row>
    <row r="24" spans="1:14" ht="15.5">
      <c r="A24" s="8"/>
      <c r="B24" s="20"/>
      <c r="C24" s="9"/>
      <c r="D24" s="9"/>
      <c r="E24" s="7"/>
      <c r="H24"/>
      <c r="I24"/>
      <c r="J24"/>
      <c r="K24"/>
      <c r="L24"/>
      <c r="M24"/>
      <c r="N24"/>
    </row>
    <row r="25" spans="1:14" ht="15.5">
      <c r="A25" s="8"/>
      <c r="B25" s="20"/>
      <c r="C25" s="10"/>
      <c r="D25" s="10"/>
      <c r="E25" s="7"/>
      <c r="H25"/>
      <c r="I25"/>
      <c r="J25"/>
      <c r="K25"/>
      <c r="L25"/>
      <c r="M25"/>
      <c r="N25"/>
    </row>
    <row r="26" spans="1:14" ht="15.5">
      <c r="A26" s="8"/>
      <c r="B26" s="20"/>
      <c r="C26" s="9"/>
      <c r="D26" s="9"/>
      <c r="E26" s="7"/>
      <c r="H26"/>
      <c r="I26"/>
      <c r="J26"/>
      <c r="K26"/>
      <c r="L26"/>
      <c r="M26"/>
      <c r="N26"/>
    </row>
    <row r="27" spans="1:14" ht="15.5">
      <c r="A27" s="8"/>
      <c r="B27" s="20"/>
      <c r="C27" s="10"/>
      <c r="D27" s="10"/>
      <c r="E27" s="7"/>
      <c r="H27"/>
      <c r="I27"/>
      <c r="J27"/>
      <c r="K27"/>
      <c r="L27"/>
      <c r="M27"/>
      <c r="N27"/>
    </row>
    <row r="28" spans="1:14" ht="15.5">
      <c r="A28" s="8"/>
      <c r="B28" s="20"/>
      <c r="C28" s="9"/>
      <c r="D28" s="9"/>
      <c r="E28" s="7"/>
      <c r="H28"/>
      <c r="I28"/>
      <c r="J28"/>
      <c r="K28"/>
      <c r="L28"/>
      <c r="M28"/>
      <c r="N28"/>
    </row>
    <row r="29" spans="1:14" ht="15.5">
      <c r="A29" s="8"/>
      <c r="B29" s="20"/>
      <c r="C29" s="10"/>
      <c r="D29" s="10"/>
      <c r="E29" s="7"/>
      <c r="H29"/>
      <c r="I29"/>
      <c r="J29"/>
      <c r="K29"/>
      <c r="L29"/>
      <c r="M29"/>
      <c r="N29"/>
    </row>
    <row r="30" spans="1:14">
      <c r="A30" s="16" t="s">
        <v>4</v>
      </c>
      <c r="B30" s="21">
        <f>B3+B4-B16</f>
        <v>2196843.4800000028</v>
      </c>
      <c r="E30" s="15"/>
      <c r="H30"/>
      <c r="I30"/>
      <c r="J30"/>
      <c r="K30"/>
      <c r="L30"/>
      <c r="M30"/>
      <c r="N30"/>
    </row>
    <row r="31" spans="1:14">
      <c r="H31"/>
      <c r="I31"/>
      <c r="J31"/>
      <c r="K31"/>
      <c r="L31"/>
      <c r="M31"/>
      <c r="N31"/>
    </row>
    <row r="32" spans="1:14">
      <c r="H32"/>
      <c r="I32"/>
      <c r="J32"/>
      <c r="K32"/>
      <c r="L32"/>
      <c r="M32"/>
      <c r="N32"/>
    </row>
    <row r="33" spans="8:14">
      <c r="H33"/>
      <c r="I33"/>
      <c r="J33"/>
      <c r="K33"/>
      <c r="L33"/>
      <c r="M33"/>
      <c r="N33"/>
    </row>
    <row r="34" spans="8:14">
      <c r="H34"/>
      <c r="I34"/>
      <c r="J34"/>
      <c r="K34"/>
      <c r="L34"/>
      <c r="M34"/>
      <c r="N34"/>
    </row>
    <row r="35" spans="8:14">
      <c r="H35"/>
      <c r="I35"/>
      <c r="J35"/>
      <c r="K35"/>
      <c r="L35"/>
      <c r="M35"/>
      <c r="N35"/>
    </row>
    <row r="36" spans="8:14">
      <c r="H36"/>
      <c r="I36"/>
      <c r="J36"/>
      <c r="K36"/>
      <c r="L36"/>
      <c r="M36"/>
      <c r="N36"/>
    </row>
    <row r="37" spans="8:14">
      <c r="H37"/>
      <c r="I37"/>
      <c r="J37"/>
      <c r="K37"/>
      <c r="L37"/>
      <c r="M37"/>
      <c r="N37"/>
    </row>
    <row r="38" spans="8:14">
      <c r="H38"/>
      <c r="I38"/>
      <c r="J38"/>
      <c r="K38"/>
      <c r="L38"/>
      <c r="M38"/>
      <c r="N38"/>
    </row>
    <row r="39" spans="8:14">
      <c r="H39"/>
      <c r="I39"/>
      <c r="J39"/>
      <c r="K39"/>
      <c r="L39"/>
      <c r="M39"/>
      <c r="N39"/>
    </row>
    <row r="40" spans="8:14">
      <c r="H40"/>
      <c r="I40"/>
      <c r="J40"/>
      <c r="K40"/>
      <c r="L40"/>
      <c r="M40"/>
      <c r="N40"/>
    </row>
    <row r="41" spans="8:14">
      <c r="H41"/>
      <c r="I41"/>
      <c r="J41"/>
      <c r="K41"/>
      <c r="L41"/>
      <c r="M41"/>
      <c r="N41"/>
    </row>
    <row r="42" spans="8:14">
      <c r="H42"/>
      <c r="I42"/>
      <c r="J42"/>
      <c r="K42"/>
      <c r="L42"/>
      <c r="M42"/>
      <c r="N42"/>
    </row>
    <row r="43" spans="8:14">
      <c r="H43"/>
      <c r="I43"/>
      <c r="J43"/>
      <c r="K43"/>
      <c r="L43"/>
      <c r="M43"/>
      <c r="N43"/>
    </row>
    <row r="44" spans="8:14">
      <c r="H44"/>
      <c r="I44"/>
      <c r="J44"/>
      <c r="K44"/>
      <c r="L44"/>
      <c r="M44"/>
      <c r="N44"/>
    </row>
    <row r="45" spans="8:14">
      <c r="H45"/>
      <c r="I45"/>
      <c r="J45"/>
      <c r="K45"/>
      <c r="L45"/>
      <c r="M45"/>
      <c r="N45"/>
    </row>
    <row r="46" spans="8:14">
      <c r="H46"/>
      <c r="I46"/>
      <c r="J46"/>
      <c r="K46"/>
      <c r="L46"/>
      <c r="M46"/>
      <c r="N46"/>
    </row>
    <row r="47" spans="8:14">
      <c r="H47"/>
      <c r="I47"/>
      <c r="J47"/>
      <c r="K47"/>
      <c r="L47"/>
      <c r="M47"/>
      <c r="N47"/>
    </row>
    <row r="48" spans="8:14">
      <c r="H48"/>
      <c r="I48"/>
      <c r="J48"/>
      <c r="K48"/>
      <c r="L48"/>
      <c r="M48"/>
      <c r="N48"/>
    </row>
    <row r="49" spans="8:14">
      <c r="H49"/>
      <c r="I49"/>
      <c r="J49"/>
      <c r="K49"/>
      <c r="L49"/>
      <c r="M49"/>
      <c r="N49"/>
    </row>
    <row r="50" spans="8:14">
      <c r="H50"/>
      <c r="I50"/>
      <c r="J50"/>
      <c r="K50"/>
      <c r="L50"/>
      <c r="M50"/>
      <c r="N50"/>
    </row>
    <row r="51" spans="8:14">
      <c r="H51"/>
      <c r="I51"/>
      <c r="J51"/>
      <c r="K51"/>
      <c r="L51"/>
      <c r="M51"/>
      <c r="N51"/>
    </row>
    <row r="52" spans="8:14">
      <c r="H52"/>
      <c r="I52"/>
      <c r="J52"/>
      <c r="K52"/>
      <c r="L52"/>
      <c r="M52"/>
      <c r="N52"/>
    </row>
    <row r="53" spans="8:14">
      <c r="H53"/>
      <c r="I53"/>
      <c r="J53"/>
      <c r="K53"/>
      <c r="L53"/>
      <c r="M53"/>
      <c r="N53"/>
    </row>
    <row r="54" spans="8:14">
      <c r="H54"/>
      <c r="I54"/>
      <c r="J54"/>
      <c r="K54"/>
      <c r="L54"/>
      <c r="M54"/>
      <c r="N54"/>
    </row>
    <row r="55" spans="8:14">
      <c r="H55"/>
      <c r="I55"/>
      <c r="J55"/>
      <c r="K55"/>
      <c r="L55"/>
      <c r="M55"/>
      <c r="N55"/>
    </row>
    <row r="56" spans="8:14">
      <c r="H56"/>
      <c r="I56"/>
      <c r="J56"/>
      <c r="K56"/>
      <c r="L56"/>
      <c r="M56"/>
      <c r="N56"/>
    </row>
    <row r="57" spans="8:14">
      <c r="H57"/>
      <c r="I57"/>
      <c r="J57"/>
      <c r="K57"/>
      <c r="L57"/>
      <c r="M57"/>
      <c r="N57"/>
    </row>
    <row r="58" spans="8:14">
      <c r="H58"/>
      <c r="I58"/>
      <c r="J58"/>
      <c r="K58"/>
      <c r="L58"/>
      <c r="M58"/>
      <c r="N58"/>
    </row>
    <row r="59" spans="8:14">
      <c r="H59"/>
      <c r="I59"/>
      <c r="J59"/>
      <c r="K59"/>
      <c r="L59"/>
      <c r="M59"/>
      <c r="N59"/>
    </row>
    <row r="60" spans="8:14">
      <c r="H60"/>
      <c r="I60"/>
      <c r="J60"/>
      <c r="K60"/>
      <c r="L60"/>
      <c r="M60"/>
      <c r="N60"/>
    </row>
    <row r="61" spans="8:14">
      <c r="H61"/>
      <c r="I61"/>
      <c r="J61"/>
      <c r="K61"/>
      <c r="L61"/>
      <c r="M61"/>
      <c r="N61"/>
    </row>
    <row r="62" spans="8:14">
      <c r="H62"/>
      <c r="I62"/>
      <c r="J62"/>
      <c r="K62"/>
      <c r="L62"/>
      <c r="M62"/>
      <c r="N62"/>
    </row>
    <row r="63" spans="8:14">
      <c r="H63"/>
      <c r="I63"/>
      <c r="J63"/>
      <c r="K63"/>
      <c r="L63"/>
      <c r="M63"/>
      <c r="N63"/>
    </row>
  </sheetData>
  <mergeCells count="2">
    <mergeCell ref="A1:E1"/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6BCA-BC15-45CA-B8A7-53A8B3649D76}">
  <sheetPr>
    <tabColor rgb="FF00B050"/>
  </sheetPr>
  <dimension ref="A1:N43"/>
  <sheetViews>
    <sheetView workbookViewId="0">
      <selection activeCell="B7" sqref="B7"/>
    </sheetView>
  </sheetViews>
  <sheetFormatPr defaultRowHeight="14.5"/>
  <cols>
    <col min="1" max="1" width="84.453125" bestFit="1" customWidth="1"/>
    <col min="2" max="2" width="18.81640625" style="11" bestFit="1" customWidth="1"/>
    <col min="3" max="3" width="27" customWidth="1"/>
    <col min="4" max="4" width="26.1796875" bestFit="1" customWidth="1"/>
    <col min="5" max="5" width="26.08984375" style="3" bestFit="1" customWidth="1"/>
    <col min="6" max="6" width="8.36328125" customWidth="1"/>
    <col min="7" max="7" width="12.08984375" bestFit="1" customWidth="1"/>
    <col min="8" max="8" width="17.6328125" bestFit="1" customWidth="1"/>
    <col min="9" max="9" width="13.81640625" bestFit="1" customWidth="1"/>
    <col min="10" max="10" width="15.453125" bestFit="1" customWidth="1"/>
    <col min="11" max="12" width="13.81640625" bestFit="1" customWidth="1"/>
    <col min="13" max="13" width="17.90625" customWidth="1"/>
    <col min="14" max="14" width="14.6328125" bestFit="1" customWidth="1"/>
    <col min="15" max="15" width="10" bestFit="1" customWidth="1"/>
  </cols>
  <sheetData>
    <row r="1" spans="1:14" ht="16" thickBot="1">
      <c r="A1" s="143" t="s">
        <v>3</v>
      </c>
      <c r="B1" s="144"/>
      <c r="C1" s="144"/>
      <c r="D1" s="144"/>
      <c r="E1" s="144"/>
    </row>
    <row r="2" spans="1:14" ht="16" thickBot="1">
      <c r="A2" s="1"/>
      <c r="B2" s="2"/>
      <c r="C2" s="30">
        <v>9247.7000000000007</v>
      </c>
      <c r="D2" s="38">
        <f>B5/C2-1</f>
        <v>-1.9999567460017187E-2</v>
      </c>
      <c r="G2" s="23" t="s">
        <v>8</v>
      </c>
      <c r="H2" s="23" t="s">
        <v>12</v>
      </c>
      <c r="I2" s="72" t="s">
        <v>11</v>
      </c>
      <c r="J2" s="72" t="s">
        <v>10</v>
      </c>
    </row>
    <row r="3" spans="1:14" ht="16" thickBot="1">
      <c r="A3" s="16" t="s">
        <v>5</v>
      </c>
      <c r="B3" s="17">
        <f>'23.07.26'!B30</f>
        <v>2196843.4800000028</v>
      </c>
      <c r="E3" s="15"/>
      <c r="G3" s="25">
        <v>3191</v>
      </c>
      <c r="H3" s="86">
        <v>9247.7000000000007</v>
      </c>
      <c r="I3" s="93">
        <f>H3*2%</f>
        <v>184.95400000000001</v>
      </c>
      <c r="J3" s="86">
        <f>H3-I3</f>
        <v>9062.746000000001</v>
      </c>
    </row>
    <row r="4" spans="1:14" ht="16">
      <c r="A4" s="39" t="s">
        <v>0</v>
      </c>
      <c r="B4" s="40">
        <f>SUM(B5:B28)</f>
        <v>3990343.5800000005</v>
      </c>
      <c r="C4" s="41" t="s">
        <v>1</v>
      </c>
      <c r="D4" s="44" t="s">
        <v>7</v>
      </c>
      <c r="E4" s="43" t="s">
        <v>2</v>
      </c>
    </row>
    <row r="5" spans="1:14" ht="15.5">
      <c r="A5" s="67" t="s">
        <v>162</v>
      </c>
      <c r="B5" s="68">
        <v>9062.75</v>
      </c>
      <c r="C5" s="61" t="s">
        <v>19</v>
      </c>
      <c r="D5" s="61" t="s">
        <v>186</v>
      </c>
      <c r="E5" s="62" t="s">
        <v>187</v>
      </c>
    </row>
    <row r="6" spans="1:14" ht="15.5">
      <c r="A6" s="67" t="s">
        <v>177</v>
      </c>
      <c r="B6" s="68">
        <v>87526.93</v>
      </c>
      <c r="C6" s="61" t="s">
        <v>19</v>
      </c>
      <c r="D6" s="61" t="s">
        <v>188</v>
      </c>
      <c r="E6" s="62" t="s">
        <v>189</v>
      </c>
    </row>
    <row r="7" spans="1:14" ht="15.5">
      <c r="A7" s="67" t="s">
        <v>178</v>
      </c>
      <c r="B7" s="68">
        <v>131535.21</v>
      </c>
      <c r="C7" s="61" t="s">
        <v>19</v>
      </c>
      <c r="D7" s="61" t="s">
        <v>190</v>
      </c>
      <c r="E7" s="62" t="s">
        <v>192</v>
      </c>
    </row>
    <row r="8" spans="1:14" ht="15.5">
      <c r="A8" s="67" t="s">
        <v>179</v>
      </c>
      <c r="B8" s="68">
        <v>661934.04</v>
      </c>
      <c r="C8" s="61" t="s">
        <v>19</v>
      </c>
      <c r="D8" s="61" t="s">
        <v>193</v>
      </c>
      <c r="E8" s="62" t="s">
        <v>195</v>
      </c>
    </row>
    <row r="9" spans="1:14" ht="16" thickBot="1">
      <c r="A9" s="67" t="s">
        <v>180</v>
      </c>
      <c r="B9" s="68">
        <v>2583053.7200000002</v>
      </c>
      <c r="C9" s="61" t="s">
        <v>19</v>
      </c>
      <c r="D9" s="61" t="s">
        <v>191</v>
      </c>
      <c r="E9" s="62" t="s">
        <v>194</v>
      </c>
    </row>
    <row r="10" spans="1:14" ht="16" thickBot="1">
      <c r="A10" s="67" t="s">
        <v>181</v>
      </c>
      <c r="B10" s="68">
        <v>517230.93</v>
      </c>
      <c r="C10" s="61" t="s">
        <v>19</v>
      </c>
      <c r="D10" s="61" t="s">
        <v>196</v>
      </c>
      <c r="E10" s="62" t="s">
        <v>195</v>
      </c>
      <c r="G10" s="23" t="s">
        <v>8</v>
      </c>
      <c r="H10" s="23" t="s">
        <v>12</v>
      </c>
      <c r="I10" s="72" t="s">
        <v>9</v>
      </c>
      <c r="J10" s="72" t="s">
        <v>13</v>
      </c>
      <c r="K10" s="72" t="s">
        <v>14</v>
      </c>
      <c r="L10" s="72" t="s">
        <v>15</v>
      </c>
      <c r="M10" s="72" t="s">
        <v>11</v>
      </c>
      <c r="N10" s="72" t="s">
        <v>10</v>
      </c>
    </row>
    <row r="11" spans="1:14" ht="16" thickBot="1">
      <c r="A11" s="8"/>
      <c r="B11" s="20"/>
      <c r="C11" s="9"/>
      <c r="D11" s="9"/>
      <c r="E11" s="7"/>
      <c r="G11" s="25"/>
      <c r="H11" s="86"/>
      <c r="I11" s="86">
        <f>H11*4.8%</f>
        <v>0</v>
      </c>
      <c r="J11" s="86">
        <f>H11*0.65%</f>
        <v>0</v>
      </c>
      <c r="K11" s="86">
        <f>H11*3%</f>
        <v>0</v>
      </c>
      <c r="L11" s="86">
        <f>H11*1%</f>
        <v>0</v>
      </c>
      <c r="M11" s="86">
        <f>H11*5%</f>
        <v>0</v>
      </c>
      <c r="N11" s="86">
        <f>H11-I11-J11-K11-L11-M11</f>
        <v>0</v>
      </c>
    </row>
    <row r="12" spans="1:14" ht="16" thickBot="1">
      <c r="A12" s="8"/>
      <c r="B12" s="20"/>
      <c r="C12" s="9"/>
      <c r="D12" s="9"/>
      <c r="E12" s="7"/>
      <c r="G12" s="25"/>
      <c r="H12" s="86"/>
      <c r="I12" s="86">
        <f>H12*4.8%</f>
        <v>0</v>
      </c>
      <c r="J12" s="86">
        <f>H12*0.65%</f>
        <v>0</v>
      </c>
      <c r="K12" s="86">
        <f>H12*3%</f>
        <v>0</v>
      </c>
      <c r="L12" s="86">
        <f>H12*1%</f>
        <v>0</v>
      </c>
      <c r="M12" s="86"/>
      <c r="N12" s="86">
        <f>H12-I12-J12-K12-L12-M12</f>
        <v>0</v>
      </c>
    </row>
    <row r="13" spans="1:14" ht="16" thickBot="1">
      <c r="A13" s="8"/>
      <c r="B13" s="20"/>
      <c r="C13" s="10"/>
      <c r="D13" s="10"/>
      <c r="E13" s="7"/>
      <c r="G13" s="23" t="s">
        <v>16</v>
      </c>
      <c r="H13" s="33">
        <f t="shared" ref="H13:N13" si="0">SUM(H11:H12)</f>
        <v>0</v>
      </c>
      <c r="I13" s="37">
        <f t="shared" si="0"/>
        <v>0</v>
      </c>
      <c r="J13" s="37">
        <f t="shared" si="0"/>
        <v>0</v>
      </c>
      <c r="K13" s="37">
        <f t="shared" si="0"/>
        <v>0</v>
      </c>
      <c r="L13" s="37">
        <f t="shared" si="0"/>
        <v>0</v>
      </c>
      <c r="M13" s="37">
        <f t="shared" si="0"/>
        <v>0</v>
      </c>
      <c r="N13" s="37">
        <f t="shared" si="0"/>
        <v>0</v>
      </c>
    </row>
    <row r="14" spans="1:14" ht="16" thickBot="1">
      <c r="A14" s="8"/>
      <c r="B14" s="20"/>
      <c r="C14" s="9"/>
      <c r="D14" s="9"/>
      <c r="E14" s="7"/>
    </row>
    <row r="15" spans="1:14" ht="16" thickBot="1">
      <c r="A15" s="8"/>
      <c r="B15" s="20"/>
      <c r="C15" s="9"/>
      <c r="D15" s="9"/>
      <c r="E15" s="7"/>
      <c r="G15" s="23" t="s">
        <v>8</v>
      </c>
      <c r="H15" s="23" t="s">
        <v>12</v>
      </c>
      <c r="I15" s="23" t="s">
        <v>9</v>
      </c>
      <c r="J15" s="23" t="s">
        <v>13</v>
      </c>
      <c r="K15" s="23" t="s">
        <v>14</v>
      </c>
      <c r="L15" s="23" t="s">
        <v>15</v>
      </c>
      <c r="M15" s="23" t="s">
        <v>11</v>
      </c>
      <c r="N15" s="23" t="s">
        <v>10</v>
      </c>
    </row>
    <row r="16" spans="1:14" ht="16" thickBot="1">
      <c r="A16" s="8"/>
      <c r="B16" s="20"/>
      <c r="C16" s="9"/>
      <c r="D16" s="9"/>
      <c r="E16" s="7"/>
      <c r="G16" s="25"/>
      <c r="H16" s="86"/>
      <c r="I16" s="86">
        <f>H16*4.8%</f>
        <v>0</v>
      </c>
      <c r="J16" s="86">
        <f>H16*0.65%</f>
        <v>0</v>
      </c>
      <c r="K16" s="86">
        <f>H16*3%</f>
        <v>0</v>
      </c>
      <c r="L16" s="86">
        <f>H16*1%</f>
        <v>0</v>
      </c>
      <c r="M16" s="86">
        <f>H16*5%</f>
        <v>0</v>
      </c>
      <c r="N16" s="86">
        <f>H16-I16-J16-K16-L16-M16</f>
        <v>0</v>
      </c>
    </row>
    <row r="17" spans="1:14" ht="16" thickBot="1">
      <c r="A17" s="8"/>
      <c r="B17" s="20"/>
      <c r="C17" s="10"/>
      <c r="D17" s="10"/>
      <c r="E17" s="7"/>
      <c r="G17" s="25"/>
      <c r="H17" s="86"/>
      <c r="I17" s="86">
        <f>H17*4.8%</f>
        <v>0</v>
      </c>
      <c r="J17" s="86">
        <f>H17*0.65%</f>
        <v>0</v>
      </c>
      <c r="K17" s="86">
        <f>H17*3%</f>
        <v>0</v>
      </c>
      <c r="L17" s="86">
        <f>H17*1%</f>
        <v>0</v>
      </c>
      <c r="M17" s="86"/>
      <c r="N17" s="86">
        <f>H17-I17-J17-K17-L17-M17</f>
        <v>0</v>
      </c>
    </row>
    <row r="18" spans="1:14" ht="16" thickBot="1">
      <c r="A18" s="8"/>
      <c r="B18" s="20"/>
      <c r="C18" s="9"/>
      <c r="D18" s="9"/>
      <c r="E18" s="7"/>
      <c r="G18" s="23" t="s">
        <v>16</v>
      </c>
      <c r="H18" s="33">
        <f t="shared" ref="H18:N18" si="1">SUM(H16:H17)</f>
        <v>0</v>
      </c>
      <c r="I18" s="37">
        <f t="shared" si="1"/>
        <v>0</v>
      </c>
      <c r="J18" s="37">
        <f t="shared" si="1"/>
        <v>0</v>
      </c>
      <c r="K18" s="37">
        <f t="shared" si="1"/>
        <v>0</v>
      </c>
      <c r="L18" s="37">
        <f t="shared" si="1"/>
        <v>0</v>
      </c>
      <c r="M18" s="37">
        <f t="shared" si="1"/>
        <v>0</v>
      </c>
      <c r="N18" s="37">
        <f t="shared" si="1"/>
        <v>0</v>
      </c>
    </row>
    <row r="19" spans="1:14" ht="16" thickBot="1">
      <c r="A19" s="8"/>
      <c r="B19" s="20"/>
      <c r="C19" s="10"/>
      <c r="D19" s="10"/>
      <c r="E19" s="7"/>
    </row>
    <row r="20" spans="1:14" ht="16" thickBot="1">
      <c r="A20" s="8"/>
      <c r="B20" s="20"/>
      <c r="C20" s="10"/>
      <c r="D20" s="10"/>
      <c r="E20" s="7"/>
      <c r="G20" s="23" t="s">
        <v>8</v>
      </c>
      <c r="H20" s="23" t="s">
        <v>12</v>
      </c>
      <c r="I20" s="23" t="s">
        <v>9</v>
      </c>
      <c r="J20" s="23" t="s">
        <v>13</v>
      </c>
      <c r="K20" s="23" t="s">
        <v>14</v>
      </c>
      <c r="L20" s="23" t="s">
        <v>15</v>
      </c>
      <c r="M20" s="23" t="s">
        <v>11</v>
      </c>
      <c r="N20" s="23" t="s">
        <v>10</v>
      </c>
    </row>
    <row r="21" spans="1:14" ht="16" thickBot="1">
      <c r="A21" s="8"/>
      <c r="B21" s="20"/>
      <c r="C21" s="9"/>
      <c r="D21" s="9"/>
      <c r="E21" s="7"/>
      <c r="G21" s="25"/>
      <c r="H21" s="86"/>
      <c r="I21" s="86">
        <f>H21*4.8%</f>
        <v>0</v>
      </c>
      <c r="J21" s="86">
        <f>H21*0.65%</f>
        <v>0</v>
      </c>
      <c r="K21" s="86">
        <f>H21*3%</f>
        <v>0</v>
      </c>
      <c r="L21" s="86">
        <f>H21*1%</f>
        <v>0</v>
      </c>
      <c r="M21" s="86">
        <f>H21*5%</f>
        <v>0</v>
      </c>
      <c r="N21" s="86">
        <f>H21-I21-J21-K21-L21-M21</f>
        <v>0</v>
      </c>
    </row>
    <row r="22" spans="1:14" ht="16" thickBot="1">
      <c r="A22" s="8"/>
      <c r="B22" s="20"/>
      <c r="C22" s="9"/>
      <c r="D22" s="9"/>
      <c r="E22" s="7"/>
      <c r="G22" s="25"/>
      <c r="H22" s="86"/>
      <c r="I22" s="86">
        <f>H22*4.8%</f>
        <v>0</v>
      </c>
      <c r="J22" s="86">
        <f>H22*0.65%</f>
        <v>0</v>
      </c>
      <c r="K22" s="86">
        <f>H22*3%</f>
        <v>0</v>
      </c>
      <c r="L22" s="86">
        <f>H22*1%</f>
        <v>0</v>
      </c>
      <c r="M22" s="86">
        <f>H22*5%</f>
        <v>0</v>
      </c>
      <c r="N22" s="86">
        <f>H22-I22-J22-K22-L22-M22</f>
        <v>0</v>
      </c>
    </row>
    <row r="23" spans="1:14" ht="16" thickBot="1">
      <c r="A23" s="8"/>
      <c r="B23" s="20"/>
      <c r="C23" s="10"/>
      <c r="D23" s="10"/>
      <c r="E23" s="7"/>
      <c r="G23" s="23" t="s">
        <v>16</v>
      </c>
      <c r="H23" s="33">
        <f t="shared" ref="H23:N23" si="2">SUM(H21:H22)</f>
        <v>0</v>
      </c>
      <c r="I23" s="37">
        <f t="shared" si="2"/>
        <v>0</v>
      </c>
      <c r="J23" s="37">
        <f t="shared" si="2"/>
        <v>0</v>
      </c>
      <c r="K23" s="37">
        <f t="shared" si="2"/>
        <v>0</v>
      </c>
      <c r="L23" s="37">
        <f t="shared" si="2"/>
        <v>0</v>
      </c>
      <c r="M23" s="37">
        <f t="shared" si="2"/>
        <v>0</v>
      </c>
      <c r="N23" s="37">
        <f t="shared" si="2"/>
        <v>0</v>
      </c>
    </row>
    <row r="24" spans="1:14" ht="16" thickBot="1">
      <c r="A24" s="8"/>
      <c r="B24" s="20"/>
      <c r="C24" s="9"/>
      <c r="D24" s="9"/>
      <c r="E24" s="7"/>
    </row>
    <row r="25" spans="1:14" ht="16" thickBot="1">
      <c r="A25" s="8"/>
      <c r="B25" s="20"/>
      <c r="C25" s="10"/>
      <c r="D25" s="10"/>
      <c r="E25" s="7"/>
      <c r="G25" s="23" t="s">
        <v>8</v>
      </c>
      <c r="H25" s="23" t="s">
        <v>12</v>
      </c>
      <c r="I25" s="23" t="s">
        <v>9</v>
      </c>
      <c r="J25" s="23" t="s">
        <v>13</v>
      </c>
      <c r="K25" s="23" t="s">
        <v>14</v>
      </c>
      <c r="L25" s="23" t="s">
        <v>15</v>
      </c>
      <c r="M25" s="23" t="s">
        <v>11</v>
      </c>
      <c r="N25" s="23" t="s">
        <v>10</v>
      </c>
    </row>
    <row r="26" spans="1:14" ht="16" thickBot="1">
      <c r="A26" s="8"/>
      <c r="B26" s="20"/>
      <c r="C26" s="10"/>
      <c r="D26" s="10"/>
      <c r="E26" s="7"/>
      <c r="G26" s="25"/>
      <c r="H26" s="86"/>
      <c r="I26" s="86">
        <f>H26*4.8%</f>
        <v>0</v>
      </c>
      <c r="J26" s="86">
        <f>H26*0.65%</f>
        <v>0</v>
      </c>
      <c r="K26" s="86">
        <f>H26*3%</f>
        <v>0</v>
      </c>
      <c r="L26" s="86">
        <f>H26*1%</f>
        <v>0</v>
      </c>
      <c r="M26" s="86">
        <f>H26*5%</f>
        <v>0</v>
      </c>
      <c r="N26" s="86">
        <f>H26-I26-J26-K26-L26-M26</f>
        <v>0</v>
      </c>
    </row>
    <row r="27" spans="1:14" ht="16" thickBot="1">
      <c r="A27" s="8"/>
      <c r="B27" s="20"/>
      <c r="C27" s="10"/>
      <c r="D27" s="10"/>
      <c r="E27" s="7"/>
      <c r="G27" s="25"/>
      <c r="H27" s="86"/>
      <c r="I27" s="86">
        <f>H27*4.8%</f>
        <v>0</v>
      </c>
      <c r="J27" s="86">
        <f>H27*0.65%</f>
        <v>0</v>
      </c>
      <c r="K27" s="86">
        <f>H27*3%</f>
        <v>0</v>
      </c>
      <c r="L27" s="86">
        <f>H27*1%</f>
        <v>0</v>
      </c>
      <c r="M27" s="86">
        <f>H27*5%</f>
        <v>0</v>
      </c>
      <c r="N27" s="86">
        <f>H27-I27-J27-K27-L27-M27</f>
        <v>0</v>
      </c>
    </row>
    <row r="28" spans="1:14" ht="16" thickBot="1">
      <c r="A28" s="8"/>
      <c r="B28" s="20"/>
      <c r="C28" s="10"/>
      <c r="D28" s="10"/>
      <c r="E28" s="7"/>
      <c r="G28" s="23" t="s">
        <v>16</v>
      </c>
      <c r="H28" s="33">
        <f t="shared" ref="H28:N28" si="3">SUM(H26:H27)</f>
        <v>0</v>
      </c>
      <c r="I28" s="37">
        <f t="shared" si="3"/>
        <v>0</v>
      </c>
      <c r="J28" s="37">
        <f t="shared" si="3"/>
        <v>0</v>
      </c>
      <c r="K28" s="37">
        <f t="shared" si="3"/>
        <v>0</v>
      </c>
      <c r="L28" s="37">
        <f t="shared" si="3"/>
        <v>0</v>
      </c>
      <c r="M28" s="37">
        <f t="shared" si="3"/>
        <v>0</v>
      </c>
      <c r="N28" s="37">
        <f t="shared" si="3"/>
        <v>0</v>
      </c>
    </row>
    <row r="29" spans="1:14" ht="16.5" thickBot="1">
      <c r="A29" s="39" t="s">
        <v>6</v>
      </c>
      <c r="B29" s="40">
        <f>SUM(B30:B42)</f>
        <v>5890590.0800000001</v>
      </c>
      <c r="C29" s="41" t="s">
        <v>1</v>
      </c>
      <c r="D29" s="42" t="s">
        <v>7</v>
      </c>
      <c r="E29" s="43" t="s">
        <v>2</v>
      </c>
    </row>
    <row r="30" spans="1:14" ht="16" thickBot="1">
      <c r="A30" s="67" t="s">
        <v>198</v>
      </c>
      <c r="B30" s="68">
        <v>5890588.3799999999</v>
      </c>
      <c r="C30" s="61" t="s">
        <v>19</v>
      </c>
      <c r="D30" s="61"/>
      <c r="E30" s="62" t="s">
        <v>81</v>
      </c>
      <c r="G30" s="23" t="s">
        <v>8</v>
      </c>
      <c r="H30" s="23" t="s">
        <v>12</v>
      </c>
      <c r="I30" s="23" t="s">
        <v>9</v>
      </c>
      <c r="J30" s="23" t="s">
        <v>13</v>
      </c>
      <c r="K30" s="23" t="s">
        <v>14</v>
      </c>
      <c r="L30" s="23" t="s">
        <v>15</v>
      </c>
      <c r="M30" s="23" t="s">
        <v>11</v>
      </c>
      <c r="N30" s="23" t="s">
        <v>10</v>
      </c>
    </row>
    <row r="31" spans="1:14" ht="16" thickBot="1">
      <c r="A31" s="67" t="s">
        <v>197</v>
      </c>
      <c r="B31" s="68">
        <v>1.7</v>
      </c>
      <c r="C31" s="61" t="s">
        <v>19</v>
      </c>
      <c r="D31" s="61" t="s">
        <v>199</v>
      </c>
      <c r="E31" s="62" t="s">
        <v>21</v>
      </c>
      <c r="G31" s="25"/>
      <c r="H31" s="86"/>
      <c r="I31" s="86">
        <f>H31*4.8%</f>
        <v>0</v>
      </c>
      <c r="J31" s="86">
        <f>H31*0.65%</f>
        <v>0</v>
      </c>
      <c r="K31" s="86">
        <f>H31*3%</f>
        <v>0</v>
      </c>
      <c r="L31" s="86">
        <f>H31*1%</f>
        <v>0</v>
      </c>
      <c r="M31" s="86"/>
      <c r="N31" s="86">
        <f>H31-I31-J31-K31-L31-M31</f>
        <v>0</v>
      </c>
    </row>
    <row r="32" spans="1:14" ht="16" thickBot="1">
      <c r="A32" s="8"/>
      <c r="B32" s="20"/>
      <c r="C32" s="10"/>
      <c r="D32" s="10"/>
      <c r="E32" s="7"/>
    </row>
    <row r="33" spans="1:14" ht="16" thickBot="1">
      <c r="A33" s="8"/>
      <c r="B33" s="20"/>
      <c r="C33" s="9"/>
      <c r="D33" s="9"/>
      <c r="E33" s="7"/>
      <c r="G33" s="23" t="s">
        <v>8</v>
      </c>
      <c r="H33" s="23" t="s">
        <v>12</v>
      </c>
      <c r="I33" s="23" t="s">
        <v>9</v>
      </c>
      <c r="J33" s="23" t="s">
        <v>13</v>
      </c>
      <c r="K33" s="23" t="s">
        <v>14</v>
      </c>
      <c r="L33" s="23" t="s">
        <v>15</v>
      </c>
      <c r="M33" s="23" t="s">
        <v>11</v>
      </c>
      <c r="N33" s="23" t="s">
        <v>10</v>
      </c>
    </row>
    <row r="34" spans="1:14" ht="16" thickBot="1">
      <c r="A34" s="8"/>
      <c r="B34" s="20"/>
      <c r="C34" s="10"/>
      <c r="D34" s="10"/>
      <c r="E34" s="7"/>
      <c r="G34" s="25"/>
      <c r="H34" s="86"/>
      <c r="I34" s="86">
        <f>H34*4.8%</f>
        <v>0</v>
      </c>
      <c r="J34" s="86">
        <f>H34*0.65%</f>
        <v>0</v>
      </c>
      <c r="K34" s="86">
        <f>H34*3%</f>
        <v>0</v>
      </c>
      <c r="L34" s="86">
        <f>H34*1%</f>
        <v>0</v>
      </c>
      <c r="M34" s="86">
        <f>H34*5%</f>
        <v>0</v>
      </c>
      <c r="N34" s="86">
        <f>H34-I34-J34-K34-L34-M34</f>
        <v>0</v>
      </c>
    </row>
    <row r="35" spans="1:14" ht="16" thickBot="1">
      <c r="A35" s="8"/>
      <c r="B35" s="20"/>
      <c r="C35" s="10"/>
      <c r="D35" s="10"/>
      <c r="E35" s="7"/>
      <c r="G35" s="25"/>
      <c r="H35" s="86"/>
      <c r="I35" s="86">
        <f>H35*4.8%</f>
        <v>0</v>
      </c>
      <c r="J35" s="86">
        <f>H35*0.65%</f>
        <v>0</v>
      </c>
      <c r="K35" s="86">
        <f>H35*3%</f>
        <v>0</v>
      </c>
      <c r="L35" s="86">
        <f>H35*1%</f>
        <v>0</v>
      </c>
      <c r="M35" s="86"/>
      <c r="N35" s="86">
        <f>H35-I35-J35-K35-L35-M35</f>
        <v>0</v>
      </c>
    </row>
    <row r="36" spans="1:14" ht="16" thickBot="1">
      <c r="A36" s="8"/>
      <c r="B36" s="20"/>
      <c r="C36" s="9"/>
      <c r="D36" s="9"/>
      <c r="E36" s="7"/>
      <c r="G36" s="23" t="s">
        <v>16</v>
      </c>
      <c r="H36" s="33">
        <f t="shared" ref="H36:N36" si="4">SUM(H34:H35)</f>
        <v>0</v>
      </c>
      <c r="I36" s="37">
        <f t="shared" si="4"/>
        <v>0</v>
      </c>
      <c r="J36" s="37">
        <f t="shared" si="4"/>
        <v>0</v>
      </c>
      <c r="K36" s="37">
        <f t="shared" si="4"/>
        <v>0</v>
      </c>
      <c r="L36" s="37">
        <f t="shared" si="4"/>
        <v>0</v>
      </c>
      <c r="M36" s="37">
        <f t="shared" si="4"/>
        <v>0</v>
      </c>
      <c r="N36" s="37">
        <f t="shared" si="4"/>
        <v>0</v>
      </c>
    </row>
    <row r="37" spans="1:14" ht="16" thickBot="1">
      <c r="A37" s="8"/>
      <c r="B37" s="20"/>
      <c r="C37" s="9"/>
      <c r="D37" s="9"/>
      <c r="E37" s="7"/>
    </row>
    <row r="38" spans="1:14" ht="16" thickBot="1">
      <c r="A38" s="8"/>
      <c r="B38" s="20"/>
      <c r="C38" s="10"/>
      <c r="D38" s="10"/>
      <c r="E38" s="7"/>
      <c r="G38" s="23" t="s">
        <v>8</v>
      </c>
      <c r="H38" s="23" t="s">
        <v>12</v>
      </c>
      <c r="I38" s="23" t="s">
        <v>9</v>
      </c>
      <c r="J38" s="23" t="s">
        <v>13</v>
      </c>
      <c r="K38" s="23" t="s">
        <v>14</v>
      </c>
      <c r="L38" s="23" t="s">
        <v>15</v>
      </c>
      <c r="M38" s="23" t="s">
        <v>11</v>
      </c>
      <c r="N38" s="23" t="s">
        <v>10</v>
      </c>
    </row>
    <row r="39" spans="1:14" ht="16" thickBot="1">
      <c r="A39" s="8"/>
      <c r="B39" s="20"/>
      <c r="C39" s="9"/>
      <c r="D39" s="9"/>
      <c r="E39" s="7"/>
      <c r="G39" s="25"/>
      <c r="H39" s="86"/>
      <c r="I39" s="86">
        <f>H39*4.8%</f>
        <v>0</v>
      </c>
      <c r="J39" s="86">
        <f>H39*0.65%</f>
        <v>0</v>
      </c>
      <c r="K39" s="86">
        <f>H39*3%</f>
        <v>0</v>
      </c>
      <c r="L39" s="86">
        <f>H39*1%</f>
        <v>0</v>
      </c>
      <c r="M39" s="86">
        <f>H39*5%</f>
        <v>0</v>
      </c>
      <c r="N39" s="86">
        <f>H39-I39-J39-K39-L39-M39</f>
        <v>0</v>
      </c>
    </row>
    <row r="40" spans="1:14" ht="16" thickBot="1">
      <c r="A40" s="8"/>
      <c r="B40" s="20"/>
      <c r="C40" s="10"/>
      <c r="D40" s="10"/>
      <c r="E40" s="7"/>
      <c r="G40" s="25"/>
      <c r="H40" s="86"/>
      <c r="I40" s="86">
        <f>H40*4.8%</f>
        <v>0</v>
      </c>
      <c r="J40" s="86">
        <f>H40*0.65%</f>
        <v>0</v>
      </c>
      <c r="K40" s="86">
        <f>H40*3%</f>
        <v>0</v>
      </c>
      <c r="L40" s="86">
        <f>H40*1%</f>
        <v>0</v>
      </c>
      <c r="M40" s="86">
        <f>H40*5%</f>
        <v>0</v>
      </c>
      <c r="N40" s="86">
        <f>H40-I40-J40-K40-L40-M40</f>
        <v>0</v>
      </c>
    </row>
    <row r="41" spans="1:14" ht="16" thickBot="1">
      <c r="A41" s="8"/>
      <c r="B41" s="20"/>
      <c r="C41" s="9"/>
      <c r="D41" s="9"/>
      <c r="E41" s="7"/>
      <c r="G41" s="23" t="s">
        <v>16</v>
      </c>
      <c r="H41" s="33">
        <f t="shared" ref="H41:N41" si="5">SUM(H39:H40)</f>
        <v>0</v>
      </c>
      <c r="I41" s="37">
        <f t="shared" si="5"/>
        <v>0</v>
      </c>
      <c r="J41" s="37">
        <f t="shared" si="5"/>
        <v>0</v>
      </c>
      <c r="K41" s="37">
        <f t="shared" si="5"/>
        <v>0</v>
      </c>
      <c r="L41" s="37">
        <f t="shared" si="5"/>
        <v>0</v>
      </c>
      <c r="M41" s="37">
        <f t="shared" si="5"/>
        <v>0</v>
      </c>
      <c r="N41" s="37">
        <f t="shared" si="5"/>
        <v>0</v>
      </c>
    </row>
    <row r="42" spans="1:14" ht="15.5">
      <c r="A42" s="8"/>
      <c r="B42" s="20"/>
      <c r="C42" s="10"/>
      <c r="D42" s="10"/>
      <c r="E42" s="7"/>
    </row>
    <row r="43" spans="1:14">
      <c r="A43" s="16" t="s">
        <v>4</v>
      </c>
      <c r="B43" s="21">
        <f>B3+B4-B29</f>
        <v>296596.98000000324</v>
      </c>
      <c r="E43" s="15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8D89-F32D-46B7-9D98-A0F517B84F61}">
  <sheetPr>
    <tabColor rgb="FF00B050"/>
  </sheetPr>
  <dimension ref="A1:P48"/>
  <sheetViews>
    <sheetView topLeftCell="B17" zoomScaleNormal="100" workbookViewId="0">
      <selection activeCell="C20" sqref="C20:E20"/>
    </sheetView>
  </sheetViews>
  <sheetFormatPr defaultRowHeight="14.5"/>
  <cols>
    <col min="1" max="1" width="86" bestFit="1" customWidth="1"/>
    <col min="2" max="2" width="18.81640625" style="11" bestFit="1" customWidth="1"/>
    <col min="3" max="3" width="28.453125" bestFit="1" customWidth="1"/>
    <col min="4" max="4" width="26.1796875" bestFit="1" customWidth="1"/>
    <col min="5" max="5" width="28.54296875" style="3" bestFit="1" customWidth="1"/>
    <col min="6" max="6" width="8.36328125" customWidth="1"/>
    <col min="7" max="7" width="12" bestFit="1" customWidth="1"/>
    <col min="8" max="8" width="18.08984375" bestFit="1" customWidth="1"/>
    <col min="9" max="9" width="16.453125" bestFit="1" customWidth="1"/>
    <col min="10" max="10" width="15.90625" bestFit="1" customWidth="1"/>
    <col min="11" max="11" width="16.453125" bestFit="1" customWidth="1"/>
    <col min="12" max="12" width="15.453125" bestFit="1" customWidth="1"/>
    <col min="13" max="13" width="14.453125" bestFit="1" customWidth="1"/>
    <col min="14" max="14" width="18.08984375" bestFit="1" customWidth="1"/>
    <col min="15" max="15" width="14.54296875" bestFit="1" customWidth="1"/>
  </cols>
  <sheetData>
    <row r="1" spans="1:16" ht="15.5">
      <c r="A1" s="143" t="s">
        <v>3</v>
      </c>
      <c r="B1" s="144"/>
      <c r="C1" s="144"/>
      <c r="D1" s="144"/>
      <c r="E1" s="144"/>
    </row>
    <row r="2" spans="1:16" ht="15.5">
      <c r="A2" s="1"/>
      <c r="B2" s="2"/>
      <c r="C2" s="70"/>
      <c r="D2" s="90"/>
      <c r="E2" s="46"/>
    </row>
    <row r="3" spans="1:16" ht="16" thickBot="1">
      <c r="A3" s="16" t="s">
        <v>5</v>
      </c>
      <c r="B3" s="17">
        <f>'24.07.26'!B43</f>
        <v>296596.98000000324</v>
      </c>
      <c r="C3" s="30"/>
      <c r="D3" s="89"/>
      <c r="E3" s="15"/>
    </row>
    <row r="4" spans="1:16" ht="16.5" thickBot="1">
      <c r="A4" s="39" t="s">
        <v>0</v>
      </c>
      <c r="B4" s="40">
        <f>SUM(B5:B18)</f>
        <v>0</v>
      </c>
      <c r="C4" s="41" t="s">
        <v>1</v>
      </c>
      <c r="D4" s="44" t="s">
        <v>7</v>
      </c>
      <c r="E4" s="43" t="s">
        <v>2</v>
      </c>
      <c r="G4" s="23" t="s">
        <v>8</v>
      </c>
      <c r="H4" s="23" t="s">
        <v>12</v>
      </c>
      <c r="I4" s="72" t="s">
        <v>9</v>
      </c>
      <c r="J4" s="72" t="s">
        <v>13</v>
      </c>
      <c r="K4" s="72" t="s">
        <v>14</v>
      </c>
      <c r="L4" s="72" t="s">
        <v>15</v>
      </c>
      <c r="M4" s="72" t="s">
        <v>11</v>
      </c>
      <c r="N4" s="72" t="s">
        <v>10</v>
      </c>
    </row>
    <row r="5" spans="1:16" ht="16" thickBot="1">
      <c r="A5" s="8"/>
      <c r="B5" s="20"/>
      <c r="C5" s="9"/>
      <c r="D5" s="9"/>
      <c r="E5" s="7"/>
      <c r="G5" s="25"/>
      <c r="H5" s="54"/>
      <c r="I5" s="54">
        <f>H5*4.8%</f>
        <v>0</v>
      </c>
      <c r="J5" s="54">
        <f>H5*0.65%</f>
        <v>0</v>
      </c>
      <c r="K5" s="54">
        <f>H5*3%</f>
        <v>0</v>
      </c>
      <c r="L5" s="54">
        <f>H5*1%</f>
        <v>0</v>
      </c>
      <c r="M5" s="54"/>
      <c r="N5" s="54">
        <f>H5-I5-J5-K5-L5-M5</f>
        <v>0</v>
      </c>
      <c r="O5" s="11"/>
      <c r="P5" s="11"/>
    </row>
    <row r="6" spans="1:16" ht="16" thickBot="1">
      <c r="A6" s="8"/>
      <c r="B6" s="20"/>
      <c r="C6" s="9"/>
      <c r="D6" s="9"/>
      <c r="E6" s="7"/>
      <c r="G6" s="25"/>
      <c r="H6" s="54"/>
      <c r="I6" s="54">
        <f>H6*4.8%</f>
        <v>0</v>
      </c>
      <c r="J6" s="54">
        <f>H6*0.65%</f>
        <v>0</v>
      </c>
      <c r="K6" s="54">
        <f>H6*3%</f>
        <v>0</v>
      </c>
      <c r="L6" s="54">
        <f>H6*1%</f>
        <v>0</v>
      </c>
      <c r="M6" s="54"/>
      <c r="N6" s="54">
        <f>H6-I6-J6-K6-L6-M6</f>
        <v>0</v>
      </c>
      <c r="O6" s="11"/>
      <c r="P6" s="11"/>
    </row>
    <row r="7" spans="1:16" ht="16" thickBot="1">
      <c r="A7" s="8"/>
      <c r="B7" s="20"/>
      <c r="C7" s="9"/>
      <c r="D7" s="9"/>
      <c r="E7" s="7"/>
      <c r="G7" s="23" t="s">
        <v>16</v>
      </c>
      <c r="H7" s="58">
        <f t="shared" ref="H7:N7" si="0">SUM(H5:H6)</f>
        <v>0</v>
      </c>
      <c r="I7" s="58">
        <f t="shared" si="0"/>
        <v>0</v>
      </c>
      <c r="J7" s="58">
        <f t="shared" si="0"/>
        <v>0</v>
      </c>
      <c r="K7" s="58">
        <f t="shared" si="0"/>
        <v>0</v>
      </c>
      <c r="L7" s="58">
        <f t="shared" si="0"/>
        <v>0</v>
      </c>
      <c r="M7" s="58">
        <f t="shared" si="0"/>
        <v>0</v>
      </c>
      <c r="N7" s="58">
        <f t="shared" si="0"/>
        <v>0</v>
      </c>
      <c r="O7" s="11"/>
      <c r="P7" s="11"/>
    </row>
    <row r="8" spans="1:16" ht="16" thickBot="1">
      <c r="A8" s="8"/>
      <c r="B8" s="20"/>
      <c r="C8" s="9"/>
      <c r="D8" s="9"/>
      <c r="E8" s="7"/>
      <c r="G8" s="25"/>
      <c r="H8" s="32"/>
      <c r="I8" s="32"/>
      <c r="J8" s="32"/>
      <c r="K8" s="32"/>
      <c r="L8" s="32"/>
      <c r="M8" s="32"/>
      <c r="N8" s="32"/>
    </row>
    <row r="9" spans="1:16" ht="16" thickBot="1">
      <c r="A9" s="8"/>
      <c r="B9" s="20"/>
      <c r="C9" s="9"/>
      <c r="D9" s="9"/>
      <c r="E9" s="7"/>
      <c r="H9" s="57"/>
      <c r="I9" s="57"/>
      <c r="J9" s="57"/>
      <c r="K9" s="57"/>
      <c r="L9" s="57"/>
      <c r="M9" s="57"/>
      <c r="N9" s="57"/>
    </row>
    <row r="10" spans="1:16" ht="16" thickBot="1">
      <c r="A10" s="8"/>
      <c r="B10" s="20"/>
      <c r="C10" s="9"/>
      <c r="D10" s="9"/>
      <c r="E10" s="7"/>
      <c r="G10" s="23" t="s">
        <v>8</v>
      </c>
      <c r="H10" s="56" t="s">
        <v>12</v>
      </c>
      <c r="I10" s="56" t="s">
        <v>9</v>
      </c>
      <c r="J10" s="56" t="s">
        <v>13</v>
      </c>
      <c r="K10" s="56" t="s">
        <v>14</v>
      </c>
      <c r="L10" s="56" t="s">
        <v>15</v>
      </c>
      <c r="M10" s="56" t="s">
        <v>11</v>
      </c>
      <c r="N10" s="56" t="s">
        <v>10</v>
      </c>
    </row>
    <row r="11" spans="1:16" ht="16" thickBot="1">
      <c r="A11" s="8"/>
      <c r="B11" s="20"/>
      <c r="C11" s="9"/>
      <c r="D11" s="9"/>
      <c r="E11" s="7"/>
      <c r="G11" s="25"/>
      <c r="H11" s="113"/>
      <c r="I11" s="113">
        <f>H11*4.8%</f>
        <v>0</v>
      </c>
      <c r="J11" s="113">
        <f>H11*0.65%</f>
        <v>0</v>
      </c>
      <c r="K11" s="113">
        <f>H11*3%</f>
        <v>0</v>
      </c>
      <c r="L11" s="113">
        <f>H11*1%</f>
        <v>0</v>
      </c>
      <c r="M11" s="113"/>
      <c r="N11" s="113">
        <f>H11-I11-J11-K11-L11-M11</f>
        <v>0</v>
      </c>
    </row>
    <row r="12" spans="1:16" ht="16" thickBot="1">
      <c r="A12" s="8"/>
      <c r="B12" s="20"/>
      <c r="C12" s="9"/>
      <c r="D12" s="9"/>
      <c r="E12" s="7"/>
      <c r="G12" s="23" t="s">
        <v>16</v>
      </c>
      <c r="H12" s="58">
        <f t="shared" ref="H12:N12" si="1">SUM(H10:H11)</f>
        <v>0</v>
      </c>
      <c r="I12" s="58">
        <f t="shared" si="1"/>
        <v>0</v>
      </c>
      <c r="J12" s="58">
        <f t="shared" si="1"/>
        <v>0</v>
      </c>
      <c r="K12" s="58">
        <f t="shared" si="1"/>
        <v>0</v>
      </c>
      <c r="L12" s="58">
        <f t="shared" si="1"/>
        <v>0</v>
      </c>
      <c r="M12" s="58">
        <f t="shared" si="1"/>
        <v>0</v>
      </c>
      <c r="N12" s="58">
        <f t="shared" si="1"/>
        <v>0</v>
      </c>
    </row>
    <row r="13" spans="1:16" ht="16" thickBot="1">
      <c r="A13" s="8"/>
      <c r="B13" s="20"/>
      <c r="C13" s="9"/>
      <c r="D13" s="9"/>
      <c r="E13" s="7"/>
      <c r="H13" s="57"/>
      <c r="I13" s="57"/>
      <c r="J13" s="57"/>
      <c r="K13" s="57"/>
      <c r="L13" s="57"/>
      <c r="M13" s="57"/>
      <c r="N13" s="57"/>
    </row>
    <row r="14" spans="1:16" ht="16" thickBot="1">
      <c r="A14" s="8"/>
      <c r="B14" s="20"/>
      <c r="C14" s="9"/>
      <c r="D14" s="9"/>
      <c r="E14" s="7"/>
      <c r="F14" s="53"/>
      <c r="G14" s="23" t="s">
        <v>8</v>
      </c>
      <c r="H14" s="56" t="s">
        <v>12</v>
      </c>
      <c r="I14" s="56" t="s">
        <v>9</v>
      </c>
      <c r="J14" s="56" t="s">
        <v>13</v>
      </c>
      <c r="K14" s="56" t="s">
        <v>14</v>
      </c>
      <c r="L14" s="56" t="s">
        <v>15</v>
      </c>
      <c r="M14" s="56" t="s">
        <v>11</v>
      </c>
      <c r="N14" s="56" t="s">
        <v>10</v>
      </c>
    </row>
    <row r="15" spans="1:16" ht="16" thickBot="1">
      <c r="A15" s="8"/>
      <c r="B15" s="20"/>
      <c r="C15" s="9"/>
      <c r="D15" s="9"/>
      <c r="E15" s="7"/>
      <c r="F15" s="53"/>
      <c r="G15" s="25"/>
      <c r="H15" s="54"/>
      <c r="I15" s="54">
        <f>H15*4.8%</f>
        <v>0</v>
      </c>
      <c r="J15" s="54">
        <f>H15*0.65%</f>
        <v>0</v>
      </c>
      <c r="K15" s="54">
        <f>H15*3%</f>
        <v>0</v>
      </c>
      <c r="L15" s="54">
        <f>H15*1%</f>
        <v>0</v>
      </c>
      <c r="M15" s="54"/>
      <c r="N15" s="54">
        <f>H15-I15-J15-K15-L15-M15</f>
        <v>0</v>
      </c>
    </row>
    <row r="16" spans="1:16" ht="16" thickBot="1">
      <c r="A16" s="8"/>
      <c r="B16" s="20"/>
      <c r="C16" s="9"/>
      <c r="D16" s="9"/>
      <c r="E16" s="7"/>
      <c r="G16" s="25"/>
      <c r="H16" s="54"/>
      <c r="I16" s="54">
        <f>H16*4.8%</f>
        <v>0</v>
      </c>
      <c r="J16" s="54">
        <f>H16*0.65%</f>
        <v>0</v>
      </c>
      <c r="K16" s="54">
        <f>H16*3%</f>
        <v>0</v>
      </c>
      <c r="L16" s="54">
        <f>H16*1%</f>
        <v>0</v>
      </c>
      <c r="M16" s="54"/>
      <c r="N16" s="54">
        <f>H16-I16-J16-K16-L16-M16</f>
        <v>0</v>
      </c>
    </row>
    <row r="17" spans="1:15" ht="16" thickBot="1">
      <c r="A17" s="8"/>
      <c r="B17" s="20"/>
      <c r="C17" s="10"/>
      <c r="D17" s="10"/>
      <c r="E17" s="7"/>
      <c r="G17" s="23" t="s">
        <v>16</v>
      </c>
      <c r="H17" s="58">
        <f t="shared" ref="H17:N17" si="2">SUM(H15:H16)</f>
        <v>0</v>
      </c>
      <c r="I17" s="58">
        <f t="shared" si="2"/>
        <v>0</v>
      </c>
      <c r="J17" s="58">
        <f t="shared" si="2"/>
        <v>0</v>
      </c>
      <c r="K17" s="58">
        <f t="shared" si="2"/>
        <v>0</v>
      </c>
      <c r="L17" s="58">
        <f t="shared" si="2"/>
        <v>0</v>
      </c>
      <c r="M17" s="58">
        <f t="shared" si="2"/>
        <v>0</v>
      </c>
      <c r="N17" s="58">
        <f t="shared" si="2"/>
        <v>0</v>
      </c>
    </row>
    <row r="18" spans="1:15" ht="16" thickBot="1">
      <c r="A18" s="8"/>
      <c r="B18" s="20"/>
      <c r="C18" s="9"/>
      <c r="D18" s="9"/>
      <c r="E18" s="7"/>
      <c r="G18" s="25"/>
      <c r="H18" s="32"/>
      <c r="I18" s="32"/>
      <c r="J18" s="32"/>
      <c r="K18" s="32"/>
      <c r="L18" s="32"/>
      <c r="M18" s="32"/>
      <c r="N18" s="32"/>
    </row>
    <row r="19" spans="1:15" ht="16.5" thickBot="1">
      <c r="A19" s="39" t="s">
        <v>6</v>
      </c>
      <c r="B19" s="40">
        <f>SUM(B20:B32)</f>
        <v>96589.68</v>
      </c>
      <c r="C19" s="41" t="s">
        <v>1</v>
      </c>
      <c r="D19" s="42" t="s">
        <v>7</v>
      </c>
      <c r="E19" s="43" t="s">
        <v>2</v>
      </c>
      <c r="G19" s="23" t="s">
        <v>8</v>
      </c>
      <c r="H19" s="56" t="s">
        <v>12</v>
      </c>
      <c r="I19" s="56" t="s">
        <v>9</v>
      </c>
      <c r="J19" s="56" t="s">
        <v>13</v>
      </c>
      <c r="K19" s="56" t="s">
        <v>14</v>
      </c>
      <c r="L19" s="56" t="s">
        <v>15</v>
      </c>
      <c r="M19" s="56" t="s">
        <v>11</v>
      </c>
      <c r="N19" s="56" t="s">
        <v>10</v>
      </c>
    </row>
    <row r="20" spans="1:15" ht="16" thickBot="1">
      <c r="A20" s="67" t="s">
        <v>200</v>
      </c>
      <c r="B20" s="68">
        <v>96587.98</v>
      </c>
      <c r="C20" s="61" t="s">
        <v>19</v>
      </c>
      <c r="D20" s="61"/>
      <c r="E20" s="62" t="s">
        <v>81</v>
      </c>
      <c r="G20" s="25"/>
      <c r="H20" s="54"/>
      <c r="I20" s="54">
        <f>H20*4.8%</f>
        <v>0</v>
      </c>
      <c r="J20" s="54">
        <f>H20*0.65%</f>
        <v>0</v>
      </c>
      <c r="K20" s="54">
        <f>H20*3%</f>
        <v>0</v>
      </c>
      <c r="L20" s="54">
        <f>H20*1%</f>
        <v>0</v>
      </c>
      <c r="M20" s="54"/>
      <c r="N20" s="54">
        <f>H20-I20-J20-K20-L20-M20</f>
        <v>0</v>
      </c>
    </row>
    <row r="21" spans="1:15" ht="16" thickBot="1">
      <c r="A21" s="67" t="s">
        <v>201</v>
      </c>
      <c r="B21" s="68">
        <v>1.7</v>
      </c>
      <c r="C21" s="61" t="s">
        <v>19</v>
      </c>
      <c r="D21" s="61" t="s">
        <v>202</v>
      </c>
      <c r="E21" s="62" t="s">
        <v>21</v>
      </c>
      <c r="G21" s="25"/>
      <c r="H21" s="54"/>
      <c r="I21" s="54">
        <f>H21*4.8%</f>
        <v>0</v>
      </c>
      <c r="J21" s="54">
        <f>H21*0.65%</f>
        <v>0</v>
      </c>
      <c r="K21" s="54">
        <f>H21*3%</f>
        <v>0</v>
      </c>
      <c r="L21" s="54">
        <f>H21*1%</f>
        <v>0</v>
      </c>
      <c r="M21" s="54"/>
      <c r="N21" s="54">
        <f>H21-I21-J21-K21-L21-M21</f>
        <v>0</v>
      </c>
    </row>
    <row r="22" spans="1:15" ht="16" thickBot="1">
      <c r="A22" s="8"/>
      <c r="B22" s="20"/>
      <c r="C22" s="10"/>
      <c r="D22" s="10"/>
      <c r="E22" s="7"/>
      <c r="G22" s="23" t="s">
        <v>16</v>
      </c>
      <c r="H22" s="58">
        <f t="shared" ref="H22:N22" si="3">SUM(H20:H21)</f>
        <v>0</v>
      </c>
      <c r="I22" s="58">
        <f t="shared" si="3"/>
        <v>0</v>
      </c>
      <c r="J22" s="58">
        <f t="shared" si="3"/>
        <v>0</v>
      </c>
      <c r="K22" s="58">
        <f t="shared" si="3"/>
        <v>0</v>
      </c>
      <c r="L22" s="58">
        <f t="shared" si="3"/>
        <v>0</v>
      </c>
      <c r="M22" s="58">
        <f t="shared" si="3"/>
        <v>0</v>
      </c>
      <c r="N22" s="58">
        <f t="shared" si="3"/>
        <v>0</v>
      </c>
    </row>
    <row r="23" spans="1:15" ht="16" thickBot="1">
      <c r="A23" s="8"/>
      <c r="B23" s="20"/>
      <c r="C23" s="9"/>
      <c r="D23" s="9"/>
      <c r="E23" s="7"/>
      <c r="H23" s="57"/>
      <c r="I23" s="57"/>
      <c r="J23" s="57"/>
      <c r="K23" s="57"/>
      <c r="L23" s="57"/>
      <c r="M23" s="57"/>
      <c r="N23" s="57"/>
    </row>
    <row r="24" spans="1:15" ht="16" thickBot="1">
      <c r="A24" s="8"/>
      <c r="B24" s="20"/>
      <c r="C24" s="10"/>
      <c r="D24" s="10"/>
      <c r="E24" s="7"/>
      <c r="G24" s="23" t="s">
        <v>8</v>
      </c>
      <c r="H24" s="56" t="s">
        <v>12</v>
      </c>
      <c r="I24" s="56" t="s">
        <v>9</v>
      </c>
      <c r="J24" s="56" t="s">
        <v>13</v>
      </c>
      <c r="K24" s="56" t="s">
        <v>14</v>
      </c>
      <c r="L24" s="56" t="s">
        <v>15</v>
      </c>
      <c r="M24" s="56" t="s">
        <v>11</v>
      </c>
      <c r="N24" s="56" t="s">
        <v>10</v>
      </c>
    </row>
    <row r="25" spans="1:15" ht="16" thickBot="1">
      <c r="A25" s="8"/>
      <c r="B25" s="20"/>
      <c r="C25" s="10"/>
      <c r="D25" s="10"/>
      <c r="E25" s="7"/>
      <c r="G25" s="25"/>
      <c r="H25" s="54"/>
      <c r="I25" s="54">
        <f>H25*4.8%</f>
        <v>0</v>
      </c>
      <c r="J25" s="54">
        <f>H25*0.65%</f>
        <v>0</v>
      </c>
      <c r="K25" s="54">
        <f>H25*3%</f>
        <v>0</v>
      </c>
      <c r="L25" s="54">
        <f>H25*1%</f>
        <v>0</v>
      </c>
      <c r="M25" s="54"/>
      <c r="N25" s="54">
        <f>H25-I25-J25-K25-L25-M25</f>
        <v>0</v>
      </c>
    </row>
    <row r="26" spans="1:15" ht="16" thickBot="1">
      <c r="A26" s="8"/>
      <c r="B26" s="20"/>
      <c r="C26" s="9"/>
      <c r="D26" s="9"/>
      <c r="E26" s="7"/>
      <c r="G26" s="23" t="s">
        <v>16</v>
      </c>
      <c r="H26" s="58">
        <f t="shared" ref="H26:N26" si="4">SUM(H24:H25)</f>
        <v>0</v>
      </c>
      <c r="I26" s="58">
        <f t="shared" si="4"/>
        <v>0</v>
      </c>
      <c r="J26" s="58">
        <f t="shared" si="4"/>
        <v>0</v>
      </c>
      <c r="K26" s="58">
        <f t="shared" si="4"/>
        <v>0</v>
      </c>
      <c r="L26" s="58">
        <f t="shared" si="4"/>
        <v>0</v>
      </c>
      <c r="M26" s="58">
        <f t="shared" si="4"/>
        <v>0</v>
      </c>
      <c r="N26" s="58">
        <f t="shared" si="4"/>
        <v>0</v>
      </c>
    </row>
    <row r="27" spans="1:15" ht="16" thickBot="1">
      <c r="A27" s="8"/>
      <c r="B27" s="20"/>
      <c r="C27" s="9"/>
      <c r="D27" s="9"/>
      <c r="E27" s="7"/>
      <c r="H27" s="57"/>
      <c r="I27" s="57"/>
      <c r="J27" s="57"/>
      <c r="K27" s="57"/>
      <c r="L27" s="57"/>
      <c r="M27" s="57"/>
      <c r="N27" s="57"/>
    </row>
    <row r="28" spans="1:15" ht="16" thickBot="1">
      <c r="A28" s="8"/>
      <c r="B28" s="20"/>
      <c r="C28" s="10"/>
      <c r="D28" s="10"/>
      <c r="E28" s="7"/>
      <c r="G28" s="23" t="s">
        <v>8</v>
      </c>
      <c r="H28" s="56" t="s">
        <v>12</v>
      </c>
      <c r="I28" s="56" t="s">
        <v>9</v>
      </c>
      <c r="J28" s="56" t="s">
        <v>13</v>
      </c>
      <c r="K28" s="56" t="s">
        <v>14</v>
      </c>
      <c r="L28" s="56" t="s">
        <v>15</v>
      </c>
      <c r="M28" s="56" t="s">
        <v>11</v>
      </c>
      <c r="N28" s="56" t="s">
        <v>10</v>
      </c>
    </row>
    <row r="29" spans="1:15" ht="16" thickBot="1">
      <c r="A29" s="8"/>
      <c r="B29" s="20"/>
      <c r="C29" s="9"/>
      <c r="D29" s="9"/>
      <c r="E29" s="7"/>
      <c r="G29" s="25"/>
      <c r="H29" s="54"/>
      <c r="I29" s="54">
        <f>H29*4.8%</f>
        <v>0</v>
      </c>
      <c r="J29" s="54">
        <f>H29*0.65%</f>
        <v>0</v>
      </c>
      <c r="K29" s="54">
        <f>H29*3%</f>
        <v>0</v>
      </c>
      <c r="L29" s="54">
        <f>H29*1%</f>
        <v>0</v>
      </c>
      <c r="M29" s="54"/>
      <c r="N29" s="54">
        <f>H29-I29-J29-K29-L29-M29</f>
        <v>0</v>
      </c>
      <c r="O29" s="26">
        <f>H29*5%</f>
        <v>0</v>
      </c>
    </row>
    <row r="30" spans="1:15" ht="16" thickBot="1">
      <c r="A30" s="8"/>
      <c r="B30" s="20"/>
      <c r="C30" s="10"/>
      <c r="D30" s="10"/>
      <c r="E30" s="7"/>
      <c r="G30" s="25"/>
      <c r="H30" s="54"/>
      <c r="I30" s="54">
        <f>H30*4.8%</f>
        <v>0</v>
      </c>
      <c r="J30" s="54">
        <f>H30*0.65%</f>
        <v>0</v>
      </c>
      <c r="K30" s="54">
        <f>H30*3%</f>
        <v>0</v>
      </c>
      <c r="L30" s="54">
        <f>H30*1%</f>
        <v>0</v>
      </c>
      <c r="M30" s="54"/>
      <c r="N30" s="54">
        <f>H30-I30-J30-K30-L30-M30</f>
        <v>0</v>
      </c>
    </row>
    <row r="31" spans="1:15" ht="16" thickBot="1">
      <c r="A31" s="8"/>
      <c r="B31" s="20"/>
      <c r="C31" s="9"/>
      <c r="D31" s="9"/>
      <c r="E31" s="7"/>
      <c r="G31" s="23" t="s">
        <v>16</v>
      </c>
      <c r="H31" s="58">
        <f t="shared" ref="H31:N31" si="5">SUM(H29:H30)</f>
        <v>0</v>
      </c>
      <c r="I31" s="58">
        <f t="shared" si="5"/>
        <v>0</v>
      </c>
      <c r="J31" s="58">
        <f t="shared" si="5"/>
        <v>0</v>
      </c>
      <c r="K31" s="58">
        <f t="shared" si="5"/>
        <v>0</v>
      </c>
      <c r="L31" s="58">
        <f t="shared" si="5"/>
        <v>0</v>
      </c>
      <c r="M31" s="58">
        <f t="shared" si="5"/>
        <v>0</v>
      </c>
      <c r="N31" s="58">
        <f t="shared" si="5"/>
        <v>0</v>
      </c>
    </row>
    <row r="32" spans="1:15" ht="16" thickBot="1">
      <c r="A32" s="8"/>
      <c r="B32" s="20"/>
      <c r="C32" s="10"/>
      <c r="D32" s="10"/>
      <c r="E32" s="7"/>
      <c r="H32" s="57"/>
      <c r="I32" s="57"/>
      <c r="J32" s="57"/>
      <c r="K32" s="57"/>
      <c r="L32" s="57"/>
      <c r="M32" s="57"/>
      <c r="N32" s="57"/>
    </row>
    <row r="33" spans="1:14" ht="15" thickBot="1">
      <c r="A33" s="16" t="s">
        <v>4</v>
      </c>
      <c r="B33" s="21">
        <f>B3+B4-B19</f>
        <v>200007.30000000325</v>
      </c>
      <c r="E33" s="15"/>
      <c r="G33" s="23" t="s">
        <v>8</v>
      </c>
      <c r="H33" s="56" t="s">
        <v>12</v>
      </c>
      <c r="I33" s="56" t="s">
        <v>9</v>
      </c>
      <c r="J33" s="56" t="s">
        <v>13</v>
      </c>
      <c r="K33" s="56" t="s">
        <v>14</v>
      </c>
      <c r="L33" s="56" t="s">
        <v>15</v>
      </c>
      <c r="M33" s="56" t="s">
        <v>11</v>
      </c>
      <c r="N33" s="56" t="s">
        <v>10</v>
      </c>
    </row>
    <row r="34" spans="1:14" ht="15" thickBot="1">
      <c r="G34" s="25"/>
      <c r="H34" s="54"/>
      <c r="I34" s="54"/>
      <c r="J34" s="54"/>
      <c r="K34" s="54"/>
      <c r="L34" s="54"/>
      <c r="M34" s="54"/>
      <c r="N34" s="54">
        <f>H34-I34-J34-K34-L34-M34</f>
        <v>0</v>
      </c>
    </row>
    <row r="35" spans="1:14" ht="15" thickBot="1">
      <c r="G35" s="23" t="s">
        <v>16</v>
      </c>
      <c r="H35" s="58">
        <f t="shared" ref="H35:N35" si="6">SUM(H33:H34)</f>
        <v>0</v>
      </c>
      <c r="I35" s="58">
        <f t="shared" si="6"/>
        <v>0</v>
      </c>
      <c r="J35" s="58">
        <f t="shared" si="6"/>
        <v>0</v>
      </c>
      <c r="K35" s="58">
        <f t="shared" si="6"/>
        <v>0</v>
      </c>
      <c r="L35" s="58">
        <f t="shared" si="6"/>
        <v>0</v>
      </c>
      <c r="M35" s="58">
        <f t="shared" si="6"/>
        <v>0</v>
      </c>
      <c r="N35" s="58">
        <f t="shared" si="6"/>
        <v>0</v>
      </c>
    </row>
    <row r="36" spans="1:14" ht="15" thickBot="1">
      <c r="G36" s="46"/>
      <c r="H36" s="57"/>
      <c r="I36" s="57"/>
      <c r="J36" s="57"/>
      <c r="K36" s="57"/>
      <c r="L36" s="57"/>
      <c r="M36" s="57"/>
      <c r="N36" s="57"/>
    </row>
    <row r="37" spans="1:14" ht="15" thickBot="1">
      <c r="G37" s="23" t="s">
        <v>8</v>
      </c>
      <c r="H37" s="56" t="s">
        <v>12</v>
      </c>
      <c r="I37" s="56" t="s">
        <v>9</v>
      </c>
      <c r="J37" s="56" t="s">
        <v>13</v>
      </c>
      <c r="K37" s="56" t="s">
        <v>14</v>
      </c>
      <c r="L37" s="56" t="s">
        <v>15</v>
      </c>
      <c r="M37" s="56" t="s">
        <v>11</v>
      </c>
      <c r="N37" s="56" t="s">
        <v>10</v>
      </c>
    </row>
    <row r="38" spans="1:14" ht="15" thickBot="1">
      <c r="G38" s="25"/>
      <c r="H38" s="54"/>
      <c r="I38" s="54"/>
      <c r="J38" s="54"/>
      <c r="K38" s="54"/>
      <c r="L38" s="54"/>
      <c r="M38" s="54"/>
      <c r="N38" s="54">
        <f>H38-I38-J38-K38-L38-M38</f>
        <v>0</v>
      </c>
    </row>
    <row r="39" spans="1:14" ht="15" thickBot="1">
      <c r="G39" s="23" t="s">
        <v>16</v>
      </c>
      <c r="H39" s="58">
        <f t="shared" ref="H39:N39" si="7">SUM(H37:H38)</f>
        <v>0</v>
      </c>
      <c r="I39" s="58">
        <f t="shared" si="7"/>
        <v>0</v>
      </c>
      <c r="J39" s="58">
        <f t="shared" si="7"/>
        <v>0</v>
      </c>
      <c r="K39" s="58">
        <f t="shared" si="7"/>
        <v>0</v>
      </c>
      <c r="L39" s="58">
        <f t="shared" si="7"/>
        <v>0</v>
      </c>
      <c r="M39" s="58">
        <f t="shared" si="7"/>
        <v>0</v>
      </c>
      <c r="N39" s="58">
        <f t="shared" si="7"/>
        <v>0</v>
      </c>
    </row>
    <row r="40" spans="1:14" ht="15" thickBot="1">
      <c r="H40" s="57"/>
      <c r="I40" s="57"/>
      <c r="J40" s="57"/>
      <c r="K40" s="57"/>
      <c r="L40" s="57"/>
      <c r="M40" s="57"/>
      <c r="N40" s="57"/>
    </row>
    <row r="41" spans="1:14" ht="15" thickBot="1">
      <c r="G41" s="23" t="s">
        <v>8</v>
      </c>
      <c r="H41" s="56" t="s">
        <v>12</v>
      </c>
      <c r="I41" s="56" t="s">
        <v>9</v>
      </c>
      <c r="J41" s="56" t="s">
        <v>13</v>
      </c>
      <c r="K41" s="56" t="s">
        <v>14</v>
      </c>
      <c r="L41" s="56" t="s">
        <v>15</v>
      </c>
      <c r="M41" s="56" t="s">
        <v>11</v>
      </c>
      <c r="N41" s="56" t="s">
        <v>10</v>
      </c>
    </row>
    <row r="42" spans="1:14" ht="15" thickBot="1">
      <c r="G42" s="25"/>
      <c r="H42" s="54"/>
      <c r="I42" s="54">
        <f>H42*4.8%</f>
        <v>0</v>
      </c>
      <c r="J42" s="54">
        <f>H42*0.65%</f>
        <v>0</v>
      </c>
      <c r="K42" s="54">
        <f>H42*3%</f>
        <v>0</v>
      </c>
      <c r="L42" s="54">
        <f>H42*1%</f>
        <v>0</v>
      </c>
      <c r="M42" s="54"/>
      <c r="N42" s="54">
        <f>H42-I42-J42-K42-L42-M42</f>
        <v>0</v>
      </c>
    </row>
    <row r="43" spans="1:14" ht="15" thickBot="1">
      <c r="G43" s="23" t="s">
        <v>16</v>
      </c>
      <c r="H43" s="58">
        <f t="shared" ref="H43:N43" si="8">SUM(H41:H42)</f>
        <v>0</v>
      </c>
      <c r="I43" s="58">
        <f t="shared" si="8"/>
        <v>0</v>
      </c>
      <c r="J43" s="58">
        <f t="shared" si="8"/>
        <v>0</v>
      </c>
      <c r="K43" s="58">
        <f t="shared" si="8"/>
        <v>0</v>
      </c>
      <c r="L43" s="58">
        <f t="shared" si="8"/>
        <v>0</v>
      </c>
      <c r="M43" s="58">
        <f t="shared" si="8"/>
        <v>0</v>
      </c>
      <c r="N43" s="58">
        <f t="shared" si="8"/>
        <v>0</v>
      </c>
    </row>
    <row r="44" spans="1:14" ht="15" thickBot="1">
      <c r="H44" s="57"/>
      <c r="I44" s="57"/>
      <c r="J44" s="57"/>
      <c r="K44" s="57"/>
      <c r="L44" s="57"/>
      <c r="M44" s="57"/>
      <c r="N44" s="57"/>
    </row>
    <row r="45" spans="1:14" ht="15" thickBot="1">
      <c r="G45" s="23" t="s">
        <v>8</v>
      </c>
      <c r="H45" s="56" t="s">
        <v>12</v>
      </c>
      <c r="I45" s="56" t="s">
        <v>9</v>
      </c>
      <c r="J45" s="56" t="s">
        <v>13</v>
      </c>
      <c r="K45" s="56" t="s">
        <v>14</v>
      </c>
      <c r="L45" s="56" t="s">
        <v>15</v>
      </c>
      <c r="M45" s="56" t="s">
        <v>11</v>
      </c>
      <c r="N45" s="56" t="s">
        <v>10</v>
      </c>
    </row>
    <row r="46" spans="1:14" ht="15" thickBot="1">
      <c r="G46" s="25"/>
      <c r="H46" s="54"/>
      <c r="I46" s="54">
        <f>H46*4.8%</f>
        <v>0</v>
      </c>
      <c r="J46" s="54">
        <f>H46*0.65%</f>
        <v>0</v>
      </c>
      <c r="K46" s="54">
        <f>H46*3%</f>
        <v>0</v>
      </c>
      <c r="L46" s="54">
        <f>H46*1%</f>
        <v>0</v>
      </c>
      <c r="M46" s="54"/>
      <c r="N46" s="54">
        <f>H46-I46-J46-K46-L46-M46</f>
        <v>0</v>
      </c>
    </row>
    <row r="47" spans="1:14" ht="15" thickBot="1">
      <c r="G47" s="25"/>
      <c r="H47" s="54"/>
      <c r="I47" s="54">
        <f>H47*4.8%</f>
        <v>0</v>
      </c>
      <c r="J47" s="54">
        <f>H47*0.65%</f>
        <v>0</v>
      </c>
      <c r="K47" s="54">
        <f>H47*3%</f>
        <v>0</v>
      </c>
      <c r="L47" s="54">
        <f>H47*1%</f>
        <v>0</v>
      </c>
      <c r="M47" s="54"/>
      <c r="N47" s="54">
        <f>H47-I47-J47-K47-L47-M47</f>
        <v>0</v>
      </c>
    </row>
    <row r="48" spans="1:14" ht="15" thickBot="1">
      <c r="G48" s="23" t="s">
        <v>16</v>
      </c>
      <c r="H48" s="58">
        <f t="shared" ref="H48:N48" si="9">SUM(H46:H47)</f>
        <v>0</v>
      </c>
      <c r="I48" s="58">
        <f t="shared" si="9"/>
        <v>0</v>
      </c>
      <c r="J48" s="58">
        <f t="shared" si="9"/>
        <v>0</v>
      </c>
      <c r="K48" s="58">
        <f t="shared" si="9"/>
        <v>0</v>
      </c>
      <c r="L48" s="58">
        <f t="shared" si="9"/>
        <v>0</v>
      </c>
      <c r="M48" s="58">
        <f t="shared" si="9"/>
        <v>0</v>
      </c>
      <c r="N48" s="58">
        <f t="shared" si="9"/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0DB1-D777-4F38-B50B-E4B123C14BDA}">
  <sheetPr>
    <tabColor rgb="FF00B050"/>
  </sheetPr>
  <dimension ref="A1:N75"/>
  <sheetViews>
    <sheetView zoomScaleNormal="100" workbookViewId="0">
      <selection activeCell="C6" sqref="C6"/>
    </sheetView>
  </sheetViews>
  <sheetFormatPr defaultRowHeight="14.5"/>
  <cols>
    <col min="1" max="1" width="74.81640625" customWidth="1"/>
    <col min="2" max="2" width="18.81640625" style="11" bestFit="1" customWidth="1"/>
    <col min="3" max="3" width="18.1796875" bestFit="1" customWidth="1"/>
    <col min="4" max="4" width="27.81640625" bestFit="1" customWidth="1"/>
    <col min="5" max="5" width="23.36328125" style="3" bestFit="1" customWidth="1"/>
    <col min="6" max="6" width="8.36328125" customWidth="1"/>
    <col min="7" max="7" width="12" bestFit="1" customWidth="1"/>
    <col min="8" max="8" width="16.81640625" bestFit="1" customWidth="1"/>
    <col min="9" max="9" width="15.1796875" bestFit="1" customWidth="1"/>
    <col min="10" max="10" width="15.54296875" bestFit="1" customWidth="1"/>
    <col min="11" max="11" width="14.08984375" bestFit="1" customWidth="1"/>
    <col min="12" max="12" width="14" bestFit="1" customWidth="1"/>
    <col min="13" max="13" width="14.36328125" bestFit="1" customWidth="1"/>
    <col min="14" max="14" width="17.36328125" bestFit="1" customWidth="1"/>
    <col min="15" max="15" width="14.5429687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E2" s="46"/>
    </row>
    <row r="3" spans="1:14" ht="16" thickBot="1">
      <c r="A3" s="16" t="s">
        <v>5</v>
      </c>
      <c r="B3" s="17">
        <f>'27.07.26'!B33</f>
        <v>200007.30000000325</v>
      </c>
      <c r="C3" s="30"/>
      <c r="D3" s="38"/>
      <c r="E3" s="15"/>
    </row>
    <row r="4" spans="1:14" ht="16.5" thickBot="1">
      <c r="A4" s="39" t="s">
        <v>0</v>
      </c>
      <c r="B4" s="40">
        <f>SUM(B5:B54)</f>
        <v>5509954.4900000002</v>
      </c>
      <c r="C4" s="41" t="s">
        <v>1</v>
      </c>
      <c r="D4" s="81" t="s">
        <v>7</v>
      </c>
      <c r="E4" s="43" t="s">
        <v>2</v>
      </c>
      <c r="G4" s="23" t="s">
        <v>8</v>
      </c>
      <c r="H4" s="23" t="s">
        <v>12</v>
      </c>
      <c r="I4" s="72" t="s">
        <v>9</v>
      </c>
      <c r="J4" s="72" t="s">
        <v>13</v>
      </c>
      <c r="K4" s="72" t="s">
        <v>14</v>
      </c>
      <c r="L4" s="72" t="s">
        <v>15</v>
      </c>
      <c r="M4" s="72" t="s">
        <v>11</v>
      </c>
      <c r="N4" s="72" t="s">
        <v>10</v>
      </c>
    </row>
    <row r="5" spans="1:14" ht="16" thickBot="1">
      <c r="A5" s="67" t="s">
        <v>205</v>
      </c>
      <c r="B5" s="68">
        <v>3321.69</v>
      </c>
      <c r="C5" s="136" t="s">
        <v>19</v>
      </c>
      <c r="D5" s="61" t="s">
        <v>208</v>
      </c>
      <c r="E5" s="62" t="s">
        <v>127</v>
      </c>
      <c r="G5" s="25"/>
      <c r="H5" s="32"/>
      <c r="I5" s="32">
        <f>H5*4.8%</f>
        <v>0</v>
      </c>
      <c r="J5" s="32">
        <f>H5*0.65%</f>
        <v>0</v>
      </c>
      <c r="K5" s="32">
        <f>H5*3%</f>
        <v>0</v>
      </c>
      <c r="L5" s="32">
        <f>H5*1%</f>
        <v>0</v>
      </c>
      <c r="M5" s="32">
        <f>H5*5%</f>
        <v>0</v>
      </c>
      <c r="N5" s="32">
        <f>H5-I5-J5-K5-L5-M5</f>
        <v>0</v>
      </c>
    </row>
    <row r="6" spans="1:14" ht="16" thickBot="1">
      <c r="A6" s="67" t="s">
        <v>206</v>
      </c>
      <c r="B6" s="68">
        <v>3249770.04</v>
      </c>
      <c r="C6" s="136" t="s">
        <v>19</v>
      </c>
      <c r="D6" s="61" t="s">
        <v>209</v>
      </c>
      <c r="E6" s="62" t="s">
        <v>189</v>
      </c>
      <c r="G6" s="25"/>
      <c r="H6" s="32"/>
      <c r="I6" s="32">
        <f>H6*4.8%</f>
        <v>0</v>
      </c>
      <c r="J6" s="32">
        <f>H6*0.65%</f>
        <v>0</v>
      </c>
      <c r="K6" s="32">
        <f>H6*3%</f>
        <v>0</v>
      </c>
      <c r="L6" s="32">
        <f>H6*1%</f>
        <v>0</v>
      </c>
      <c r="M6" s="32">
        <f>H6*5%</f>
        <v>0</v>
      </c>
      <c r="N6" s="32">
        <f>H6-I6-J6-K6-L6-M6</f>
        <v>0</v>
      </c>
    </row>
    <row r="7" spans="1:14" ht="16" thickBot="1">
      <c r="A7" s="67" t="s">
        <v>207</v>
      </c>
      <c r="B7" s="68">
        <v>2256862.7599999998</v>
      </c>
      <c r="C7" s="136" t="s">
        <v>19</v>
      </c>
      <c r="D7" s="61" t="s">
        <v>210</v>
      </c>
      <c r="E7" s="62" t="s">
        <v>189</v>
      </c>
      <c r="G7" s="25"/>
      <c r="H7" s="32"/>
      <c r="I7" s="32">
        <f>H7*4.8%</f>
        <v>0</v>
      </c>
      <c r="J7" s="32">
        <f>H7*0.65%</f>
        <v>0</v>
      </c>
      <c r="K7" s="32">
        <f>H7*3%</f>
        <v>0</v>
      </c>
      <c r="L7" s="32">
        <f>H7*1%</f>
        <v>0</v>
      </c>
      <c r="M7" s="32">
        <f>H7*5%</f>
        <v>0</v>
      </c>
      <c r="N7" s="32">
        <f>H7-I7-J7-K7-L7-M7</f>
        <v>0</v>
      </c>
    </row>
    <row r="8" spans="1:14" ht="16" thickBot="1">
      <c r="A8" s="8"/>
      <c r="B8" s="20"/>
      <c r="C8" s="9"/>
      <c r="D8" s="9"/>
      <c r="E8" s="7"/>
      <c r="G8" s="23" t="s">
        <v>16</v>
      </c>
      <c r="H8" s="58">
        <f t="shared" ref="H8:N8" si="0">SUM(H5:H7)</f>
        <v>0</v>
      </c>
      <c r="I8" s="58">
        <f t="shared" si="0"/>
        <v>0</v>
      </c>
      <c r="J8" s="58">
        <f t="shared" si="0"/>
        <v>0</v>
      </c>
      <c r="K8" s="58">
        <f t="shared" si="0"/>
        <v>0</v>
      </c>
      <c r="L8" s="58">
        <f t="shared" si="0"/>
        <v>0</v>
      </c>
      <c r="M8" s="58">
        <f t="shared" si="0"/>
        <v>0</v>
      </c>
      <c r="N8" s="58">
        <f t="shared" si="0"/>
        <v>0</v>
      </c>
    </row>
    <row r="9" spans="1:14" ht="16" thickBot="1">
      <c r="A9" s="8"/>
      <c r="B9" s="20"/>
      <c r="C9" s="9"/>
      <c r="D9" s="9"/>
      <c r="E9" s="7"/>
      <c r="G9" s="53"/>
      <c r="H9" s="99"/>
      <c r="I9" s="99"/>
      <c r="J9" s="99"/>
      <c r="K9" s="99"/>
      <c r="L9" s="99"/>
      <c r="M9" s="99"/>
      <c r="N9" s="99"/>
    </row>
    <row r="10" spans="1:14" ht="16" thickBot="1">
      <c r="A10" s="8"/>
      <c r="B10" s="20"/>
      <c r="C10" s="9"/>
      <c r="D10" s="9"/>
      <c r="E10" s="7"/>
      <c r="G10" s="23" t="s">
        <v>8</v>
      </c>
      <c r="H10" s="23" t="s">
        <v>12</v>
      </c>
      <c r="I10" s="72" t="s">
        <v>9</v>
      </c>
      <c r="J10" s="72" t="s">
        <v>13</v>
      </c>
      <c r="K10" s="72" t="s">
        <v>14</v>
      </c>
      <c r="L10" s="72" t="s">
        <v>15</v>
      </c>
      <c r="M10" s="72" t="s">
        <v>11</v>
      </c>
      <c r="N10" s="72" t="s">
        <v>10</v>
      </c>
    </row>
    <row r="11" spans="1:14" ht="16" thickBot="1">
      <c r="A11" s="8"/>
      <c r="B11" s="20"/>
      <c r="C11" s="9"/>
      <c r="D11" s="9"/>
      <c r="E11" s="7"/>
      <c r="G11" s="25"/>
      <c r="H11" s="32"/>
      <c r="I11" s="32">
        <f>H11*4.8%</f>
        <v>0</v>
      </c>
      <c r="J11" s="32">
        <f>H11*0.65%</f>
        <v>0</v>
      </c>
      <c r="K11" s="32">
        <f>H11*3%</f>
        <v>0</v>
      </c>
      <c r="L11" s="32">
        <f>H11*1%</f>
        <v>0</v>
      </c>
      <c r="M11" s="32">
        <f>H11*5%</f>
        <v>0</v>
      </c>
      <c r="N11" s="32">
        <f>H11-I11-J11-K11-L11-M11</f>
        <v>0</v>
      </c>
    </row>
    <row r="12" spans="1:14" ht="16" thickBot="1">
      <c r="A12" s="8"/>
      <c r="B12" s="20"/>
      <c r="C12" s="9"/>
      <c r="D12" s="9"/>
      <c r="E12" s="7"/>
      <c r="G12" s="25"/>
      <c r="H12" s="32"/>
      <c r="I12" s="32">
        <f>H12*4.8%</f>
        <v>0</v>
      </c>
      <c r="J12" s="32">
        <f>H12*0.65%</f>
        <v>0</v>
      </c>
      <c r="K12" s="32">
        <f>H12*3%</f>
        <v>0</v>
      </c>
      <c r="L12" s="32">
        <f>H12*1%</f>
        <v>0</v>
      </c>
      <c r="M12" s="32">
        <f>H12*5%</f>
        <v>0</v>
      </c>
      <c r="N12" s="32">
        <f>H12-I12-J12-K12-L12-M12</f>
        <v>0</v>
      </c>
    </row>
    <row r="13" spans="1:14" ht="16" thickBot="1">
      <c r="A13" s="8"/>
      <c r="B13" s="20"/>
      <c r="C13" s="9"/>
      <c r="D13" s="9"/>
      <c r="E13" s="7"/>
      <c r="G13" s="25"/>
      <c r="H13" s="32"/>
      <c r="I13" s="32">
        <f>H13*4.8%</f>
        <v>0</v>
      </c>
      <c r="J13" s="32">
        <f>H13*0.65%</f>
        <v>0</v>
      </c>
      <c r="K13" s="32">
        <f>H13*3%</f>
        <v>0</v>
      </c>
      <c r="L13" s="32">
        <f>H13*1%</f>
        <v>0</v>
      </c>
      <c r="M13" s="32">
        <f>H13*5%</f>
        <v>0</v>
      </c>
      <c r="N13" s="32">
        <f>H13-I13-J13-K13-L13-M13</f>
        <v>0</v>
      </c>
    </row>
    <row r="14" spans="1:14" ht="16" thickBot="1">
      <c r="A14" s="8"/>
      <c r="B14" s="20"/>
      <c r="C14" s="9"/>
      <c r="D14" s="9"/>
      <c r="E14" s="7"/>
      <c r="G14" s="25"/>
      <c r="H14" s="32"/>
      <c r="I14" s="32">
        <f>H14*4.8%</f>
        <v>0</v>
      </c>
      <c r="J14" s="32">
        <f>H14*0.65%</f>
        <v>0</v>
      </c>
      <c r="K14" s="32">
        <f>H14*3%</f>
        <v>0</v>
      </c>
      <c r="L14" s="32">
        <f>H14*1%</f>
        <v>0</v>
      </c>
      <c r="M14" s="32">
        <f>H14*5%</f>
        <v>0</v>
      </c>
      <c r="N14" s="32">
        <f>H14-I14-J14-K14-L14-M14</f>
        <v>0</v>
      </c>
    </row>
    <row r="15" spans="1:14" ht="16" thickBot="1">
      <c r="A15" s="8"/>
      <c r="B15" s="20"/>
      <c r="C15" s="9"/>
      <c r="D15" s="9"/>
      <c r="E15" s="7"/>
      <c r="G15" s="23" t="s">
        <v>16</v>
      </c>
      <c r="H15" s="58">
        <f t="shared" ref="H15:N15" si="1">SUM(H11:H14)</f>
        <v>0</v>
      </c>
      <c r="I15" s="58">
        <f t="shared" si="1"/>
        <v>0</v>
      </c>
      <c r="J15" s="58">
        <f t="shared" si="1"/>
        <v>0</v>
      </c>
      <c r="K15" s="58">
        <f t="shared" si="1"/>
        <v>0</v>
      </c>
      <c r="L15" s="58">
        <f t="shared" si="1"/>
        <v>0</v>
      </c>
      <c r="M15" s="58">
        <f t="shared" si="1"/>
        <v>0</v>
      </c>
      <c r="N15" s="58">
        <f t="shared" si="1"/>
        <v>0</v>
      </c>
    </row>
    <row r="16" spans="1:14" ht="16" thickBot="1">
      <c r="A16" s="8"/>
      <c r="B16" s="20"/>
      <c r="C16" s="9"/>
      <c r="D16" s="9"/>
      <c r="E16" s="7"/>
      <c r="G16" s="53"/>
      <c r="H16" s="99"/>
      <c r="I16" s="99"/>
      <c r="J16" s="99"/>
      <c r="K16" s="99"/>
      <c r="L16" s="99"/>
      <c r="M16" s="99"/>
      <c r="N16" s="99"/>
    </row>
    <row r="17" spans="1:14" ht="16" thickBot="1">
      <c r="A17" s="8"/>
      <c r="B17" s="20"/>
      <c r="C17" s="9"/>
      <c r="D17" s="9"/>
      <c r="E17" s="7"/>
      <c r="G17" s="23" t="s">
        <v>8</v>
      </c>
      <c r="H17" s="23" t="s">
        <v>12</v>
      </c>
      <c r="I17" s="72" t="s">
        <v>9</v>
      </c>
      <c r="J17" s="72" t="s">
        <v>13</v>
      </c>
      <c r="K17" s="72" t="s">
        <v>14</v>
      </c>
      <c r="L17" s="72" t="s">
        <v>15</v>
      </c>
      <c r="M17" s="72" t="s">
        <v>11</v>
      </c>
      <c r="N17" s="72" t="s">
        <v>10</v>
      </c>
    </row>
    <row r="18" spans="1:14" ht="16" thickBot="1">
      <c r="A18" s="8"/>
      <c r="B18" s="82"/>
      <c r="C18" s="9"/>
      <c r="D18" s="9"/>
      <c r="E18" s="7"/>
      <c r="G18" s="25"/>
      <c r="H18" s="113"/>
      <c r="I18" s="113">
        <f>H18*1.5%</f>
        <v>0</v>
      </c>
      <c r="J18" s="113"/>
      <c r="K18" s="113"/>
      <c r="L18" s="113"/>
      <c r="M18" s="113"/>
      <c r="N18" s="113">
        <f>H18-I18-J18-K18-L18-M18</f>
        <v>0</v>
      </c>
    </row>
    <row r="19" spans="1:14" ht="16" thickBot="1">
      <c r="A19" s="8"/>
      <c r="B19" s="82"/>
      <c r="C19" s="9"/>
      <c r="D19" s="9"/>
      <c r="E19" s="7"/>
      <c r="G19" s="23" t="s">
        <v>16</v>
      </c>
      <c r="H19" s="58">
        <f>SUM(H17:H18)</f>
        <v>0</v>
      </c>
      <c r="I19" s="58">
        <f>SUM(I17:I18)</f>
        <v>0</v>
      </c>
      <c r="J19" s="58">
        <f t="shared" ref="J19:M19" si="2">SUM(J17:J18)</f>
        <v>0</v>
      </c>
      <c r="K19" s="58">
        <f t="shared" si="2"/>
        <v>0</v>
      </c>
      <c r="L19" s="58">
        <f t="shared" si="2"/>
        <v>0</v>
      </c>
      <c r="M19" s="58">
        <f t="shared" si="2"/>
        <v>0</v>
      </c>
      <c r="N19" s="58">
        <f>SUM(N17:N18)</f>
        <v>0</v>
      </c>
    </row>
    <row r="20" spans="1:14" ht="16" thickBot="1">
      <c r="A20" s="8"/>
      <c r="B20" s="82"/>
      <c r="C20" s="9"/>
      <c r="D20" s="9"/>
      <c r="E20" s="7"/>
      <c r="I20" s="99"/>
      <c r="J20" s="99"/>
      <c r="K20" s="99"/>
      <c r="L20" s="99"/>
      <c r="M20" s="99"/>
      <c r="N20" s="99"/>
    </row>
    <row r="21" spans="1:14" ht="16" thickBot="1">
      <c r="A21" s="8"/>
      <c r="B21" s="82"/>
      <c r="C21" s="9"/>
      <c r="D21" s="9"/>
      <c r="E21" s="7"/>
      <c r="G21" s="23" t="s">
        <v>8</v>
      </c>
      <c r="H21" s="23" t="s">
        <v>12</v>
      </c>
      <c r="I21" s="72" t="s">
        <v>9</v>
      </c>
      <c r="J21" s="72" t="s">
        <v>13</v>
      </c>
      <c r="K21" s="72" t="s">
        <v>14</v>
      </c>
      <c r="L21" s="72" t="s">
        <v>15</v>
      </c>
      <c r="M21" s="72" t="s">
        <v>11</v>
      </c>
      <c r="N21" s="72" t="s">
        <v>10</v>
      </c>
    </row>
    <row r="22" spans="1:14" ht="16" thickBot="1">
      <c r="A22" s="8"/>
      <c r="B22" s="82"/>
      <c r="C22" s="9"/>
      <c r="D22" s="9"/>
      <c r="E22" s="7"/>
      <c r="G22" s="25"/>
      <c r="H22" s="56"/>
      <c r="I22" s="113">
        <f>H22*4.8%</f>
        <v>0</v>
      </c>
      <c r="J22" s="113"/>
      <c r="K22" s="113"/>
      <c r="L22" s="113"/>
      <c r="M22" s="113"/>
      <c r="N22" s="113">
        <f>H22-I22-J22-K22-L22-M22</f>
        <v>0</v>
      </c>
    </row>
    <row r="23" spans="1:14" ht="16" thickBot="1">
      <c r="A23" s="8"/>
      <c r="B23" s="82"/>
      <c r="C23" s="9"/>
      <c r="D23" s="9"/>
      <c r="E23" s="7"/>
      <c r="G23" s="23" t="s">
        <v>16</v>
      </c>
      <c r="H23" s="56">
        <f>SUM(H21:H22)</f>
        <v>0</v>
      </c>
      <c r="I23" s="58">
        <f>SUM(I21:I22)</f>
        <v>0</v>
      </c>
      <c r="J23" s="58">
        <f t="shared" ref="J23:M23" si="3">SUM(J21:J22)</f>
        <v>0</v>
      </c>
      <c r="K23" s="58">
        <f t="shared" si="3"/>
        <v>0</v>
      </c>
      <c r="L23" s="58">
        <f t="shared" si="3"/>
        <v>0</v>
      </c>
      <c r="M23" s="58">
        <f t="shared" si="3"/>
        <v>0</v>
      </c>
      <c r="N23" s="58">
        <f>SUM(N21:N22)</f>
        <v>0</v>
      </c>
    </row>
    <row r="24" spans="1:14" ht="15.5">
      <c r="A24" s="8"/>
      <c r="B24" s="82"/>
      <c r="C24" s="9"/>
      <c r="D24" s="9"/>
      <c r="E24" s="7"/>
      <c r="G24" s="53"/>
      <c r="H24" s="99"/>
      <c r="I24" s="57"/>
      <c r="J24" s="57"/>
      <c r="K24" s="57"/>
      <c r="L24" s="57"/>
      <c r="M24" s="57"/>
      <c r="N24" s="57"/>
    </row>
    <row r="25" spans="1:14" ht="16" thickBot="1">
      <c r="A25" s="8"/>
      <c r="B25" s="82"/>
      <c r="C25" s="9"/>
      <c r="D25" s="9"/>
      <c r="E25" s="7"/>
      <c r="G25" s="53"/>
      <c r="H25" s="99"/>
      <c r="I25" s="99"/>
      <c r="J25" s="99"/>
      <c r="K25" s="99"/>
      <c r="L25" s="99"/>
      <c r="M25" s="99"/>
      <c r="N25" s="99"/>
    </row>
    <row r="26" spans="1:14" ht="16" thickBot="1">
      <c r="A26" s="8"/>
      <c r="B26" s="82"/>
      <c r="C26" s="9"/>
      <c r="D26" s="9"/>
      <c r="E26" s="7"/>
      <c r="G26" s="23" t="s">
        <v>8</v>
      </c>
      <c r="H26" s="23" t="s">
        <v>12</v>
      </c>
      <c r="I26" s="72" t="s">
        <v>9</v>
      </c>
      <c r="J26" s="72" t="s">
        <v>13</v>
      </c>
      <c r="K26" s="72" t="s">
        <v>14</v>
      </c>
      <c r="L26" s="72" t="s">
        <v>15</v>
      </c>
      <c r="M26" s="72" t="s">
        <v>11</v>
      </c>
      <c r="N26" s="72" t="s">
        <v>10</v>
      </c>
    </row>
    <row r="27" spans="1:14" ht="16" thickBot="1">
      <c r="A27" s="8"/>
      <c r="B27" s="82"/>
      <c r="C27" s="9"/>
      <c r="D27" s="9"/>
      <c r="E27" s="7"/>
      <c r="G27" s="25"/>
      <c r="H27" s="32"/>
      <c r="I27" s="32">
        <f>H27*4.8%</f>
        <v>0</v>
      </c>
      <c r="J27" s="32">
        <f>H27*0.65%</f>
        <v>0</v>
      </c>
      <c r="K27" s="32">
        <f>H27*3%</f>
        <v>0</v>
      </c>
      <c r="L27" s="32">
        <f>H27*1%</f>
        <v>0</v>
      </c>
      <c r="M27" s="32">
        <v>0</v>
      </c>
      <c r="N27" s="32">
        <f>H27-I27-J27-K27-L27-M27</f>
        <v>0</v>
      </c>
    </row>
    <row r="28" spans="1:14" ht="16" thickBot="1">
      <c r="A28" s="8"/>
      <c r="B28" s="82"/>
      <c r="C28" s="9"/>
      <c r="D28" s="9"/>
      <c r="E28" s="7"/>
      <c r="G28" s="25"/>
      <c r="H28" s="32"/>
      <c r="I28" s="32">
        <f>H28*4.8%</f>
        <v>0</v>
      </c>
      <c r="J28" s="32">
        <f>H28*0.65%</f>
        <v>0</v>
      </c>
      <c r="K28" s="32">
        <f>H28*3%</f>
        <v>0</v>
      </c>
      <c r="L28" s="32">
        <f>H28*1%</f>
        <v>0</v>
      </c>
      <c r="M28" s="32">
        <v>0</v>
      </c>
      <c r="N28" s="32">
        <f>H28-I28-J28-K28-L28-M28</f>
        <v>0</v>
      </c>
    </row>
    <row r="29" spans="1:14" ht="16" thickBot="1">
      <c r="A29" s="8"/>
      <c r="B29" s="82"/>
      <c r="C29" s="9"/>
      <c r="D29" s="9"/>
      <c r="E29" s="7"/>
      <c r="G29" s="23" t="s">
        <v>16</v>
      </c>
      <c r="H29" s="58">
        <f t="shared" ref="H29:N29" si="4">SUM(H27:H28)</f>
        <v>0</v>
      </c>
      <c r="I29" s="58">
        <f t="shared" si="4"/>
        <v>0</v>
      </c>
      <c r="J29" s="58">
        <f t="shared" si="4"/>
        <v>0</v>
      </c>
      <c r="K29" s="58">
        <f t="shared" si="4"/>
        <v>0</v>
      </c>
      <c r="L29" s="58">
        <f t="shared" si="4"/>
        <v>0</v>
      </c>
      <c r="M29" s="58">
        <f t="shared" si="4"/>
        <v>0</v>
      </c>
      <c r="N29" s="58">
        <f t="shared" si="4"/>
        <v>0</v>
      </c>
    </row>
    <row r="30" spans="1:14" ht="16" thickBot="1">
      <c r="A30" s="8"/>
      <c r="B30" s="82"/>
      <c r="C30" s="9"/>
      <c r="D30" s="9"/>
      <c r="E30" s="7"/>
    </row>
    <row r="31" spans="1:14" ht="16" thickBot="1">
      <c r="A31" s="8"/>
      <c r="B31" s="82"/>
      <c r="C31" s="9"/>
      <c r="D31" s="9"/>
      <c r="E31" s="7"/>
      <c r="G31" s="23" t="s">
        <v>8</v>
      </c>
      <c r="H31" s="23" t="s">
        <v>12</v>
      </c>
      <c r="I31" s="72" t="s">
        <v>9</v>
      </c>
      <c r="J31" s="72" t="s">
        <v>13</v>
      </c>
      <c r="K31" s="72" t="s">
        <v>14</v>
      </c>
      <c r="L31" s="72" t="s">
        <v>15</v>
      </c>
      <c r="M31" s="72" t="s">
        <v>11</v>
      </c>
      <c r="N31" s="72" t="s">
        <v>10</v>
      </c>
    </row>
    <row r="32" spans="1:14" ht="16" thickBot="1">
      <c r="A32" s="8"/>
      <c r="B32" s="82"/>
      <c r="C32" s="9"/>
      <c r="D32" s="9"/>
      <c r="E32" s="7"/>
      <c r="G32" s="25"/>
      <c r="H32" s="32"/>
      <c r="I32" s="32">
        <f>H32*4.8%</f>
        <v>0</v>
      </c>
      <c r="J32" s="32">
        <f>H32*0.65%</f>
        <v>0</v>
      </c>
      <c r="K32" s="32">
        <f>H32*3%</f>
        <v>0</v>
      </c>
      <c r="L32" s="32">
        <f>H32*1%</f>
        <v>0</v>
      </c>
      <c r="M32" s="32">
        <v>0</v>
      </c>
      <c r="N32" s="32">
        <f>H32-I32-J32-K32-L32-M32</f>
        <v>0</v>
      </c>
    </row>
    <row r="33" spans="1:14" ht="16" thickBot="1">
      <c r="A33" s="8"/>
      <c r="B33" s="82"/>
      <c r="C33" s="9"/>
      <c r="D33" s="9"/>
      <c r="E33" s="7"/>
      <c r="G33" s="53"/>
      <c r="H33" s="99"/>
      <c r="I33" s="99"/>
      <c r="J33" s="99"/>
      <c r="K33" s="99"/>
      <c r="L33" s="99"/>
      <c r="M33" s="99"/>
      <c r="N33" s="99"/>
    </row>
    <row r="34" spans="1:14" ht="16" thickBot="1">
      <c r="A34" s="8"/>
      <c r="B34" s="82"/>
      <c r="C34" s="9"/>
      <c r="D34" s="9"/>
      <c r="E34" s="7"/>
      <c r="G34" s="23" t="s">
        <v>8</v>
      </c>
      <c r="H34" s="23" t="s">
        <v>12</v>
      </c>
      <c r="I34" s="72" t="s">
        <v>9</v>
      </c>
      <c r="J34" s="72" t="s">
        <v>13</v>
      </c>
      <c r="K34" s="72" t="s">
        <v>14</v>
      </c>
      <c r="L34" s="72" t="s">
        <v>15</v>
      </c>
      <c r="M34" s="72" t="s">
        <v>11</v>
      </c>
      <c r="N34" s="72" t="s">
        <v>10</v>
      </c>
    </row>
    <row r="35" spans="1:14" ht="16" thickBot="1">
      <c r="A35" s="8"/>
      <c r="B35" s="82"/>
      <c r="C35" s="9"/>
      <c r="D35" s="9"/>
      <c r="E35" s="7"/>
      <c r="G35" s="25"/>
      <c r="H35" s="32"/>
      <c r="I35" s="32">
        <f>H35*4.8%</f>
        <v>0</v>
      </c>
      <c r="J35" s="32">
        <f>H35*0.65%</f>
        <v>0</v>
      </c>
      <c r="K35" s="32">
        <f>H35*3%</f>
        <v>0</v>
      </c>
      <c r="L35" s="32">
        <f>H35*1%</f>
        <v>0</v>
      </c>
      <c r="M35" s="32"/>
      <c r="N35" s="32">
        <f>H35-I35-J35-K35-L35-M35</f>
        <v>0</v>
      </c>
    </row>
    <row r="36" spans="1:14" ht="16" thickBot="1">
      <c r="A36" s="8"/>
      <c r="B36" s="82"/>
      <c r="C36" s="9"/>
      <c r="D36" s="9"/>
      <c r="E36" s="7"/>
      <c r="G36" s="53"/>
      <c r="H36" s="99"/>
      <c r="I36" s="99"/>
      <c r="J36" s="99"/>
      <c r="K36" s="99"/>
      <c r="L36" s="99"/>
      <c r="M36" s="99"/>
      <c r="N36" s="99"/>
    </row>
    <row r="37" spans="1:14" ht="16" thickBot="1">
      <c r="A37" s="8"/>
      <c r="B37" s="82"/>
      <c r="C37" s="9"/>
      <c r="D37" s="9"/>
      <c r="E37" s="7"/>
      <c r="G37" s="23" t="s">
        <v>8</v>
      </c>
      <c r="H37" s="23" t="s">
        <v>12</v>
      </c>
      <c r="I37" s="72" t="s">
        <v>9</v>
      </c>
      <c r="J37" s="72" t="s">
        <v>13</v>
      </c>
      <c r="K37" s="72" t="s">
        <v>14</v>
      </c>
      <c r="L37" s="72" t="s">
        <v>15</v>
      </c>
      <c r="M37" s="72" t="s">
        <v>11</v>
      </c>
      <c r="N37" s="72" t="s">
        <v>10</v>
      </c>
    </row>
    <row r="38" spans="1:14" ht="16" thickBot="1">
      <c r="A38" s="8"/>
      <c r="B38" s="82"/>
      <c r="C38" s="9"/>
      <c r="D38" s="9"/>
      <c r="E38" s="7"/>
      <c r="G38" s="25"/>
      <c r="H38" s="32"/>
      <c r="I38" s="32">
        <f>H38*4.8%</f>
        <v>0</v>
      </c>
      <c r="J38" s="32">
        <f>H38*0.65%</f>
        <v>0</v>
      </c>
      <c r="K38" s="32">
        <f>H38*3%</f>
        <v>0</v>
      </c>
      <c r="L38" s="32">
        <f>H38*1%</f>
        <v>0</v>
      </c>
      <c r="M38" s="32"/>
      <c r="N38" s="32">
        <f>H38-I38-J38-K38-L38-M38</f>
        <v>0</v>
      </c>
    </row>
    <row r="39" spans="1:14" ht="16" thickBot="1">
      <c r="A39" s="8"/>
      <c r="B39" s="82"/>
      <c r="C39" s="9"/>
      <c r="D39" s="9"/>
      <c r="E39" s="7"/>
      <c r="G39" s="53"/>
      <c r="H39" s="99"/>
      <c r="I39" s="99"/>
      <c r="J39" s="99"/>
      <c r="K39" s="99"/>
      <c r="L39" s="99"/>
      <c r="M39" s="99"/>
      <c r="N39" s="99"/>
    </row>
    <row r="40" spans="1:14" ht="16" thickBot="1">
      <c r="A40" s="8"/>
      <c r="B40" s="82"/>
      <c r="C40" s="9"/>
      <c r="D40" s="9"/>
      <c r="E40" s="7"/>
      <c r="G40" s="23" t="s">
        <v>8</v>
      </c>
      <c r="H40" s="23" t="s">
        <v>12</v>
      </c>
      <c r="I40" s="72" t="s">
        <v>9</v>
      </c>
      <c r="J40" s="72" t="s">
        <v>13</v>
      </c>
      <c r="K40" s="72" t="s">
        <v>14</v>
      </c>
      <c r="L40" s="72" t="s">
        <v>15</v>
      </c>
      <c r="M40" s="72" t="s">
        <v>11</v>
      </c>
      <c r="N40" s="72" t="s">
        <v>10</v>
      </c>
    </row>
    <row r="41" spans="1:14" ht="16" thickBot="1">
      <c r="A41" s="8"/>
      <c r="B41" s="82"/>
      <c r="C41" s="9"/>
      <c r="D41" s="9"/>
      <c r="E41" s="7"/>
      <c r="G41" s="25"/>
      <c r="H41" s="32"/>
      <c r="I41" s="32">
        <f>H41*4.8%</f>
        <v>0</v>
      </c>
      <c r="J41" s="32">
        <f>H41*0.65%</f>
        <v>0</v>
      </c>
      <c r="K41" s="32">
        <f>H41*3%</f>
        <v>0</v>
      </c>
      <c r="L41" s="32">
        <f>H41*1%</f>
        <v>0</v>
      </c>
      <c r="M41" s="32"/>
      <c r="N41" s="32">
        <f>H41-I41-J41-K41-L41-M41</f>
        <v>0</v>
      </c>
    </row>
    <row r="42" spans="1:14" ht="15.5">
      <c r="A42" s="8"/>
      <c r="B42" s="82"/>
      <c r="C42" s="9"/>
      <c r="D42" s="9"/>
      <c r="E42" s="7"/>
      <c r="G42" s="53"/>
      <c r="H42" s="99"/>
      <c r="I42" s="99"/>
      <c r="J42" s="99"/>
      <c r="K42" s="99"/>
      <c r="L42" s="99"/>
      <c r="M42" s="99"/>
      <c r="N42" s="99"/>
    </row>
    <row r="43" spans="1:14" ht="15.5">
      <c r="A43" s="8"/>
      <c r="B43" s="82"/>
      <c r="C43" s="9"/>
      <c r="D43" s="9"/>
      <c r="E43" s="7"/>
      <c r="G43" s="53"/>
      <c r="H43" s="99"/>
      <c r="I43" s="99"/>
      <c r="J43" s="99"/>
      <c r="K43" s="99"/>
      <c r="L43" s="99"/>
      <c r="M43" s="99"/>
      <c r="N43" s="99"/>
    </row>
    <row r="44" spans="1:14" ht="15.5">
      <c r="A44" s="8"/>
      <c r="B44" s="82"/>
      <c r="C44" s="9"/>
      <c r="D44" s="9"/>
      <c r="E44" s="7"/>
      <c r="G44" s="53"/>
      <c r="H44" s="99"/>
      <c r="I44" s="99"/>
      <c r="J44" s="99"/>
      <c r="K44" s="99"/>
      <c r="L44" s="99"/>
      <c r="M44" s="99"/>
      <c r="N44" s="99"/>
    </row>
    <row r="45" spans="1:14" ht="15.5">
      <c r="A45" s="8"/>
      <c r="B45" s="82"/>
      <c r="C45" s="9"/>
      <c r="D45" s="9"/>
      <c r="E45" s="7"/>
      <c r="G45" s="53"/>
      <c r="H45" s="99"/>
      <c r="I45" s="99"/>
      <c r="J45" s="99"/>
      <c r="K45" s="99"/>
      <c r="L45" s="99"/>
      <c r="M45" s="99"/>
      <c r="N45" s="99"/>
    </row>
    <row r="46" spans="1:14" ht="15.5">
      <c r="A46" s="8"/>
      <c r="B46" s="82"/>
      <c r="C46" s="9"/>
      <c r="D46" s="9"/>
      <c r="E46" s="7"/>
      <c r="G46" s="53"/>
      <c r="H46" s="99"/>
      <c r="I46" s="99"/>
      <c r="J46" s="99"/>
      <c r="K46" s="99"/>
      <c r="L46" s="99"/>
      <c r="M46" s="99"/>
      <c r="N46" s="99"/>
    </row>
    <row r="47" spans="1:14" ht="15.5">
      <c r="A47" s="8"/>
      <c r="B47" s="82"/>
      <c r="C47" s="9"/>
      <c r="D47" s="9"/>
      <c r="E47" s="7"/>
      <c r="G47" s="53"/>
      <c r="H47" s="99"/>
      <c r="I47" s="99"/>
      <c r="J47" s="99"/>
      <c r="K47" s="99"/>
      <c r="L47" s="99"/>
      <c r="M47" s="99"/>
      <c r="N47" s="99"/>
    </row>
    <row r="48" spans="1:14" ht="15.5">
      <c r="A48" s="8"/>
      <c r="B48" s="82"/>
      <c r="C48" s="9"/>
      <c r="D48" s="9"/>
      <c r="E48" s="7"/>
      <c r="G48" s="53"/>
      <c r="H48" s="99"/>
      <c r="I48" s="99"/>
      <c r="J48" s="99"/>
      <c r="K48" s="99"/>
      <c r="L48" s="99"/>
      <c r="M48" s="99"/>
      <c r="N48" s="99"/>
    </row>
    <row r="49" spans="1:14" ht="15.5">
      <c r="A49" s="8"/>
      <c r="B49" s="82"/>
      <c r="C49" s="9"/>
      <c r="D49" s="9"/>
      <c r="E49" s="7"/>
    </row>
    <row r="50" spans="1:14" ht="15.5">
      <c r="A50" s="8"/>
      <c r="B50" s="82"/>
      <c r="C50" s="9"/>
      <c r="D50" s="9"/>
      <c r="E50" s="7"/>
    </row>
    <row r="51" spans="1:14" ht="16" thickBot="1">
      <c r="A51" s="8"/>
      <c r="B51" s="82"/>
      <c r="C51" s="9"/>
      <c r="D51" s="9"/>
      <c r="E51" s="7"/>
    </row>
    <row r="52" spans="1:14" ht="16" thickBot="1">
      <c r="A52" s="8"/>
      <c r="B52" s="20"/>
      <c r="C52" s="10"/>
      <c r="D52" s="10"/>
      <c r="E52" s="7"/>
      <c r="G52" s="23" t="s">
        <v>8</v>
      </c>
      <c r="H52" s="23" t="s">
        <v>12</v>
      </c>
      <c r="I52" s="23" t="s">
        <v>17</v>
      </c>
      <c r="J52" s="23" t="s">
        <v>10</v>
      </c>
    </row>
    <row r="53" spans="1:14" ht="16" thickBot="1">
      <c r="A53" s="8"/>
      <c r="B53" s="20"/>
      <c r="C53" s="9"/>
      <c r="D53" s="9"/>
      <c r="E53" s="7"/>
      <c r="G53" s="23">
        <v>86</v>
      </c>
      <c r="H53" s="78">
        <v>3913939.6</v>
      </c>
      <c r="I53" s="34">
        <f>H53*1.5%</f>
        <v>58709.093999999997</v>
      </c>
      <c r="J53" s="34">
        <f>H53-I53</f>
        <v>3855230.5060000001</v>
      </c>
      <c r="N53" s="11"/>
    </row>
    <row r="54" spans="1:14" ht="15.5">
      <c r="A54" s="8"/>
      <c r="B54" s="20"/>
      <c r="C54" s="9"/>
      <c r="D54" s="9"/>
      <c r="E54" s="7"/>
    </row>
    <row r="55" spans="1:14" ht="16">
      <c r="A55" s="39" t="s">
        <v>6</v>
      </c>
      <c r="B55" s="40">
        <f>SUM(B56:B68)</f>
        <v>0</v>
      </c>
      <c r="C55" s="41" t="s">
        <v>1</v>
      </c>
      <c r="D55" s="42" t="s">
        <v>7</v>
      </c>
      <c r="E55" s="43" t="s">
        <v>2</v>
      </c>
    </row>
    <row r="56" spans="1:14" ht="15.5">
      <c r="A56" s="8"/>
      <c r="B56" s="82"/>
      <c r="C56" s="10"/>
      <c r="D56" s="10"/>
      <c r="E56" s="7"/>
      <c r="N56" s="45"/>
    </row>
    <row r="57" spans="1:14" ht="15.5">
      <c r="A57" s="8"/>
      <c r="B57" s="82"/>
      <c r="C57" s="9"/>
      <c r="D57" s="9"/>
      <c r="E57" s="7"/>
    </row>
    <row r="58" spans="1:14" ht="15.5">
      <c r="A58" s="8"/>
      <c r="B58" s="20"/>
      <c r="C58" s="10"/>
      <c r="D58" s="10"/>
      <c r="E58" s="7"/>
    </row>
    <row r="59" spans="1:14" ht="15.5">
      <c r="A59" s="8"/>
      <c r="B59" s="20"/>
      <c r="C59" s="10"/>
      <c r="D59" s="10"/>
      <c r="E59" s="7"/>
    </row>
    <row r="60" spans="1:14" ht="15.5">
      <c r="A60" s="8"/>
      <c r="B60" s="20"/>
      <c r="C60" s="10"/>
      <c r="D60" s="10"/>
      <c r="E60" s="7"/>
    </row>
    <row r="61" spans="1:14" ht="15.5">
      <c r="A61" s="8"/>
      <c r="B61" s="20"/>
      <c r="C61" s="10"/>
      <c r="D61" s="10"/>
      <c r="E61" s="7"/>
    </row>
    <row r="62" spans="1:14" ht="15.5">
      <c r="A62" s="8"/>
      <c r="B62" s="20"/>
      <c r="C62" s="9"/>
      <c r="D62" s="9"/>
      <c r="E62" s="7"/>
    </row>
    <row r="63" spans="1:14" ht="15.5">
      <c r="A63" s="8"/>
      <c r="B63" s="20"/>
      <c r="C63" s="9"/>
      <c r="D63" s="9"/>
      <c r="E63" s="7"/>
    </row>
    <row r="64" spans="1:14" ht="15.5">
      <c r="A64" s="8"/>
      <c r="B64" s="20"/>
      <c r="C64" s="10"/>
      <c r="D64" s="10"/>
      <c r="E64" s="7"/>
    </row>
    <row r="65" spans="1:7" ht="15.5">
      <c r="A65" s="8"/>
      <c r="B65" s="20"/>
      <c r="C65" s="9"/>
      <c r="D65" s="9"/>
      <c r="E65" s="7"/>
    </row>
    <row r="66" spans="1:7" ht="15.5">
      <c r="A66" s="8"/>
      <c r="B66" s="20"/>
      <c r="C66" s="10"/>
      <c r="D66" s="10"/>
      <c r="E66" s="7"/>
    </row>
    <row r="67" spans="1:7" ht="15.5">
      <c r="A67" s="8"/>
      <c r="B67" s="20"/>
      <c r="C67" s="9"/>
      <c r="D67" s="9"/>
      <c r="E67" s="7"/>
    </row>
    <row r="68" spans="1:7" ht="15.5">
      <c r="A68" s="8"/>
      <c r="B68" s="82"/>
      <c r="C68" s="10"/>
      <c r="D68" s="10"/>
      <c r="E68" s="7"/>
    </row>
    <row r="69" spans="1:7">
      <c r="A69" s="16" t="s">
        <v>4</v>
      </c>
      <c r="B69" s="21">
        <f>B3+B4-B55</f>
        <v>5709961.7900000038</v>
      </c>
      <c r="E69" s="15"/>
    </row>
    <row r="73" spans="1:7">
      <c r="G73" s="47"/>
    </row>
    <row r="75" spans="1:7">
      <c r="G75" s="46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A882-49C9-4A57-9568-6D5684DBC6E1}">
  <sheetPr>
    <tabColor rgb="FF00B050"/>
  </sheetPr>
  <dimension ref="A1:P98"/>
  <sheetViews>
    <sheetView zoomScaleNormal="100" workbookViewId="0">
      <pane ySplit="4" topLeftCell="A5" activePane="bottomLeft" state="frozen"/>
      <selection pane="bottomLeft" activeCell="A11" sqref="A11"/>
    </sheetView>
  </sheetViews>
  <sheetFormatPr defaultRowHeight="14.5"/>
  <cols>
    <col min="1" max="1" width="82.7265625" bestFit="1" customWidth="1"/>
    <col min="2" max="2" width="18.81640625" style="11" bestFit="1" customWidth="1"/>
    <col min="3" max="3" width="50.08984375" style="53" bestFit="1" customWidth="1"/>
    <col min="4" max="4" width="27.81640625" bestFit="1" customWidth="1"/>
    <col min="5" max="5" width="27.81640625" style="3" bestFit="1" customWidth="1"/>
    <col min="6" max="6" width="8.36328125" customWidth="1"/>
    <col min="7" max="7" width="16.26953125" bestFit="1" customWidth="1"/>
    <col min="8" max="8" width="16.81640625" bestFit="1" customWidth="1"/>
    <col min="9" max="9" width="17.36328125" bestFit="1" customWidth="1"/>
    <col min="10" max="10" width="15.36328125" bestFit="1" customWidth="1"/>
    <col min="11" max="11" width="15.26953125" bestFit="1" customWidth="1"/>
    <col min="12" max="12" width="13.81640625" bestFit="1" customWidth="1"/>
    <col min="13" max="13" width="14.08984375" bestFit="1" customWidth="1"/>
    <col min="14" max="14" width="16.1796875" bestFit="1" customWidth="1"/>
    <col min="15" max="15" width="31.26953125" bestFit="1" customWidth="1"/>
    <col min="16" max="16" width="23.26953125" bestFit="1" customWidth="1"/>
  </cols>
  <sheetData>
    <row r="1" spans="1:16" ht="15.5">
      <c r="A1" s="143" t="s">
        <v>3</v>
      </c>
      <c r="B1" s="144"/>
      <c r="C1" s="144"/>
      <c r="D1" s="144"/>
      <c r="E1" s="144"/>
    </row>
    <row r="2" spans="1:16" ht="15.5">
      <c r="A2" s="1"/>
      <c r="B2" s="2"/>
      <c r="C2" s="138" t="s">
        <v>73</v>
      </c>
      <c r="D2" s="105">
        <v>46232</v>
      </c>
      <c r="E2" s="46"/>
    </row>
    <row r="3" spans="1:16" ht="16" thickBot="1">
      <c r="A3" s="16" t="s">
        <v>5</v>
      </c>
      <c r="B3" s="17">
        <f>'28.07.26'!B69</f>
        <v>5709961.7900000038</v>
      </c>
      <c r="C3" s="104"/>
      <c r="D3" s="38"/>
      <c r="E3" s="15"/>
    </row>
    <row r="4" spans="1:16" ht="16.5" thickBot="1">
      <c r="A4" s="39" t="s">
        <v>0</v>
      </c>
      <c r="B4" s="40">
        <f>SUM(B5:B49)</f>
        <v>69479550.220000014</v>
      </c>
      <c r="C4" s="41" t="s">
        <v>1</v>
      </c>
      <c r="D4" s="81" t="s">
        <v>7</v>
      </c>
      <c r="E4" s="43" t="s">
        <v>2</v>
      </c>
      <c r="G4" s="23" t="s">
        <v>8</v>
      </c>
      <c r="H4" s="23" t="s">
        <v>12</v>
      </c>
      <c r="I4" s="72" t="s">
        <v>9</v>
      </c>
      <c r="J4" s="72" t="s">
        <v>13</v>
      </c>
      <c r="K4" s="72" t="s">
        <v>14</v>
      </c>
      <c r="L4" s="72" t="s">
        <v>15</v>
      </c>
      <c r="M4" s="72" t="s">
        <v>11</v>
      </c>
      <c r="N4" s="72" t="s">
        <v>10</v>
      </c>
      <c r="O4" s="158" t="s">
        <v>314</v>
      </c>
      <c r="P4" s="158" t="s">
        <v>300</v>
      </c>
    </row>
    <row r="5" spans="1:16" ht="16" thickBot="1">
      <c r="A5" s="67" t="s">
        <v>211</v>
      </c>
      <c r="B5" s="68">
        <v>695976.44</v>
      </c>
      <c r="C5" s="139" t="s">
        <v>19</v>
      </c>
      <c r="D5" s="61" t="s">
        <v>254</v>
      </c>
      <c r="E5" s="62" t="s">
        <v>298</v>
      </c>
      <c r="G5" s="123">
        <v>42</v>
      </c>
      <c r="H5" s="124">
        <v>1319024.8</v>
      </c>
      <c r="I5" s="124">
        <f>H5*4.8%</f>
        <v>63313.190400000007</v>
      </c>
      <c r="J5" s="124">
        <f>H5*0.65%</f>
        <v>8573.6612000000005</v>
      </c>
      <c r="K5" s="124">
        <f>H5*3%</f>
        <v>39570.743999999999</v>
      </c>
      <c r="L5" s="124">
        <f>H5*1%</f>
        <v>13190.248000000001</v>
      </c>
      <c r="M5" s="124"/>
      <c r="N5" s="124">
        <f>H5-I5-J5-K5-L5-M5</f>
        <v>1194376.9564000003</v>
      </c>
      <c r="O5" s="124"/>
      <c r="P5" s="124"/>
    </row>
    <row r="6" spans="1:16" ht="16" thickBot="1">
      <c r="A6" s="67" t="s">
        <v>212</v>
      </c>
      <c r="B6" s="68">
        <v>263453.53000000003</v>
      </c>
      <c r="C6" s="139" t="s">
        <v>19</v>
      </c>
      <c r="D6" s="61" t="s">
        <v>255</v>
      </c>
      <c r="E6" s="62" t="s">
        <v>299</v>
      </c>
      <c r="G6" s="123">
        <v>113</v>
      </c>
      <c r="H6" s="124">
        <v>6689782.7400000002</v>
      </c>
      <c r="I6" s="124">
        <f>H6*4.8%</f>
        <v>321109.57152</v>
      </c>
      <c r="J6" s="124">
        <f>H6*0.65%</f>
        <v>43483.587810000005</v>
      </c>
      <c r="K6" s="124">
        <f>H6*3%</f>
        <v>200693.4822</v>
      </c>
      <c r="L6" s="124">
        <f>H6*1%</f>
        <v>66897.827400000009</v>
      </c>
      <c r="M6" s="124"/>
      <c r="N6" s="124">
        <f>H6-I6-J6-K6-L6-M6</f>
        <v>6057598.2710699998</v>
      </c>
      <c r="O6" s="124"/>
      <c r="P6" s="124"/>
    </row>
    <row r="7" spans="1:16" ht="16" thickBot="1">
      <c r="A7" s="67" t="s">
        <v>213</v>
      </c>
      <c r="B7" s="68">
        <v>3956976.29</v>
      </c>
      <c r="C7" s="139" t="s">
        <v>19</v>
      </c>
      <c r="D7" s="61" t="s">
        <v>256</v>
      </c>
      <c r="E7" s="62" t="s">
        <v>128</v>
      </c>
      <c r="G7" s="23" t="s">
        <v>16</v>
      </c>
      <c r="H7" s="58">
        <f>SUM(H5:H6)</f>
        <v>8008807.54</v>
      </c>
      <c r="I7" s="58">
        <f t="shared" ref="I7:N7" si="0">SUM(I5:I6)</f>
        <v>384422.76192000002</v>
      </c>
      <c r="J7" s="58">
        <f t="shared" si="0"/>
        <v>52057.249010000007</v>
      </c>
      <c r="K7" s="58">
        <f t="shared" si="0"/>
        <v>240264.2262</v>
      </c>
      <c r="L7" s="58">
        <f t="shared" si="0"/>
        <v>80088.075400000016</v>
      </c>
      <c r="M7" s="58">
        <f t="shared" si="0"/>
        <v>0</v>
      </c>
      <c r="N7" s="58">
        <f t="shared" si="0"/>
        <v>7251975.2274700003</v>
      </c>
      <c r="O7" s="58">
        <v>101524.15</v>
      </c>
      <c r="P7" s="58">
        <f>N7-O7</f>
        <v>7150451.0774699999</v>
      </c>
    </row>
    <row r="8" spans="1:16" ht="15.5">
      <c r="A8" s="67" t="s">
        <v>214</v>
      </c>
      <c r="B8" s="68">
        <v>6035808.4299999997</v>
      </c>
      <c r="C8" s="139" t="s">
        <v>19</v>
      </c>
      <c r="D8" s="61" t="s">
        <v>257</v>
      </c>
      <c r="E8" s="62" t="s">
        <v>160</v>
      </c>
      <c r="G8" s="53"/>
      <c r="H8" s="99"/>
      <c r="I8" s="99"/>
      <c r="J8" s="99"/>
      <c r="K8" s="99"/>
      <c r="L8" s="99"/>
      <c r="M8" s="99"/>
      <c r="N8" s="99"/>
      <c r="O8" s="53"/>
    </row>
    <row r="9" spans="1:16" ht="15.5">
      <c r="A9" s="67" t="s">
        <v>215</v>
      </c>
      <c r="B9" s="68">
        <v>1127689.75</v>
      </c>
      <c r="C9" s="139" t="s">
        <v>19</v>
      </c>
      <c r="D9" s="61" t="s">
        <v>258</v>
      </c>
      <c r="E9" s="62" t="s">
        <v>160</v>
      </c>
      <c r="G9" s="140"/>
      <c r="H9" s="141"/>
      <c r="I9" s="99"/>
      <c r="J9" s="99"/>
      <c r="K9" s="99">
        <v>101524.15747000001</v>
      </c>
      <c r="L9" s="99"/>
      <c r="M9" s="99"/>
      <c r="N9" s="99">
        <v>7150451.0700000003</v>
      </c>
    </row>
    <row r="10" spans="1:16" ht="15.5">
      <c r="A10" s="67" t="s">
        <v>214</v>
      </c>
      <c r="B10" s="68">
        <v>11905176.710000001</v>
      </c>
      <c r="C10" s="139" t="s">
        <v>19</v>
      </c>
      <c r="D10" s="61" t="s">
        <v>259</v>
      </c>
      <c r="E10" s="62" t="s">
        <v>160</v>
      </c>
      <c r="G10" s="53"/>
      <c r="H10" s="99"/>
      <c r="I10" s="99"/>
      <c r="J10" s="99"/>
      <c r="K10" s="99"/>
      <c r="L10" s="99"/>
      <c r="M10" s="99"/>
      <c r="N10" s="99"/>
    </row>
    <row r="11" spans="1:16" ht="16" thickBot="1">
      <c r="A11" s="67" t="s">
        <v>216</v>
      </c>
      <c r="B11" s="68">
        <v>5543.32</v>
      </c>
      <c r="C11" s="139" t="s">
        <v>19</v>
      </c>
      <c r="D11" s="61" t="s">
        <v>260</v>
      </c>
      <c r="E11" s="62" t="s">
        <v>160</v>
      </c>
      <c r="G11" s="53"/>
      <c r="H11" s="99"/>
      <c r="I11" s="99"/>
      <c r="J11" s="99"/>
      <c r="K11" s="99"/>
      <c r="L11" s="99"/>
      <c r="M11" s="99"/>
      <c r="N11" s="99">
        <f>N7-N9</f>
        <v>101524.15746999998</v>
      </c>
    </row>
    <row r="12" spans="1:16" ht="16" thickBot="1">
      <c r="A12" s="67" t="s">
        <v>217</v>
      </c>
      <c r="B12" s="68">
        <v>698631.38</v>
      </c>
      <c r="C12" s="139" t="s">
        <v>19</v>
      </c>
      <c r="D12" s="61" t="s">
        <v>261</v>
      </c>
      <c r="E12" s="62" t="s">
        <v>160</v>
      </c>
      <c r="G12" s="23" t="s">
        <v>8</v>
      </c>
      <c r="H12" s="23" t="s">
        <v>12</v>
      </c>
      <c r="I12" s="72" t="s">
        <v>9</v>
      </c>
      <c r="J12" s="72" t="s">
        <v>13</v>
      </c>
      <c r="K12" s="72" t="s">
        <v>14</v>
      </c>
      <c r="L12" s="72" t="s">
        <v>15</v>
      </c>
      <c r="M12" s="72" t="s">
        <v>11</v>
      </c>
      <c r="N12" s="72" t="s">
        <v>10</v>
      </c>
    </row>
    <row r="13" spans="1:16" ht="16" thickBot="1">
      <c r="A13" s="67" t="s">
        <v>215</v>
      </c>
      <c r="B13" s="68">
        <v>27.16</v>
      </c>
      <c r="C13" s="139" t="s">
        <v>19</v>
      </c>
      <c r="D13" s="61" t="s">
        <v>262</v>
      </c>
      <c r="E13" s="62" t="s">
        <v>160</v>
      </c>
      <c r="G13" s="123">
        <v>122</v>
      </c>
      <c r="H13" s="124">
        <v>30</v>
      </c>
      <c r="I13" s="124">
        <f>H13*4.8%</f>
        <v>1.44</v>
      </c>
      <c r="J13" s="124">
        <f>H13*0.65%</f>
        <v>0.19500000000000001</v>
      </c>
      <c r="K13" s="124">
        <f>H13*3%</f>
        <v>0.89999999999999991</v>
      </c>
      <c r="L13" s="124">
        <f>H13*1%</f>
        <v>0.3</v>
      </c>
      <c r="M13" s="124"/>
      <c r="N13" s="124">
        <f>H13-I13-J13-K13-L13-M13</f>
        <v>27.164999999999999</v>
      </c>
    </row>
    <row r="14" spans="1:16" ht="16" thickBot="1">
      <c r="A14" s="67" t="s">
        <v>218</v>
      </c>
      <c r="B14" s="68">
        <v>296574.59999999998</v>
      </c>
      <c r="C14" s="139" t="s">
        <v>19</v>
      </c>
      <c r="D14" s="61" t="s">
        <v>263</v>
      </c>
      <c r="E14" s="62" t="s">
        <v>308</v>
      </c>
      <c r="G14" s="53"/>
      <c r="H14" s="99"/>
      <c r="I14" s="99"/>
      <c r="J14" s="99"/>
      <c r="K14" s="99"/>
      <c r="L14" s="99"/>
      <c r="M14" s="99"/>
      <c r="N14" s="137"/>
    </row>
    <row r="15" spans="1:16" ht="16" thickBot="1">
      <c r="A15" s="67" t="s">
        <v>217</v>
      </c>
      <c r="B15" s="68">
        <v>428700.95</v>
      </c>
      <c r="C15" s="139" t="s">
        <v>19</v>
      </c>
      <c r="D15" s="61" t="s">
        <v>264</v>
      </c>
      <c r="E15" s="62" t="s">
        <v>308</v>
      </c>
      <c r="G15" s="23" t="s">
        <v>8</v>
      </c>
      <c r="H15" s="23" t="s">
        <v>12</v>
      </c>
      <c r="I15" s="72" t="s">
        <v>9</v>
      </c>
      <c r="J15" s="72" t="s">
        <v>13</v>
      </c>
      <c r="K15" s="72" t="s">
        <v>14</v>
      </c>
      <c r="L15" s="72" t="s">
        <v>15</v>
      </c>
      <c r="M15" s="72" t="s">
        <v>11</v>
      </c>
      <c r="N15" s="72" t="s">
        <v>10</v>
      </c>
    </row>
    <row r="16" spans="1:16" ht="16" thickBot="1">
      <c r="A16" s="67" t="s">
        <v>215</v>
      </c>
      <c r="B16" s="68">
        <v>34830.33</v>
      </c>
      <c r="C16" s="139" t="s">
        <v>19</v>
      </c>
      <c r="D16" s="61" t="s">
        <v>265</v>
      </c>
      <c r="E16" s="62" t="s">
        <v>160</v>
      </c>
      <c r="G16" s="123">
        <v>126</v>
      </c>
      <c r="H16" s="124">
        <v>38106.97</v>
      </c>
      <c r="I16" s="124">
        <f>H16*4.8%</f>
        <v>1829.1345600000002</v>
      </c>
      <c r="J16" s="124">
        <f>H16*0.65%</f>
        <v>247.69530500000002</v>
      </c>
      <c r="K16" s="124">
        <f>H16*3%</f>
        <v>1143.2091</v>
      </c>
      <c r="L16" s="124">
        <f>H16*1%</f>
        <v>381.06970000000001</v>
      </c>
      <c r="M16" s="124"/>
      <c r="N16" s="124">
        <f>H16-I16-J16-K16-L16-M16</f>
        <v>34505.861335000001</v>
      </c>
    </row>
    <row r="17" spans="1:14" ht="16" thickBot="1">
      <c r="A17" s="67" t="s">
        <v>219</v>
      </c>
      <c r="B17" s="68">
        <v>2956262.65</v>
      </c>
      <c r="C17" s="139" t="s">
        <v>19</v>
      </c>
      <c r="D17" s="61" t="s">
        <v>266</v>
      </c>
      <c r="E17" s="62" t="s">
        <v>48</v>
      </c>
      <c r="G17" s="123">
        <v>3173</v>
      </c>
      <c r="H17" s="124">
        <v>388.72</v>
      </c>
      <c r="I17" s="124">
        <f>H17*4.8%</f>
        <v>18.658560000000001</v>
      </c>
      <c r="J17" s="124">
        <f>H17*0.65%</f>
        <v>2.5266800000000003</v>
      </c>
      <c r="K17" s="124">
        <f>H17*3%</f>
        <v>11.6616</v>
      </c>
      <c r="L17" s="124">
        <f>H17*1%</f>
        <v>3.8872000000000004</v>
      </c>
      <c r="M17" s="124">
        <v>27.52</v>
      </c>
      <c r="N17" s="124">
        <f>H17-I17-J17-K17-L17-M17</f>
        <v>324.46596</v>
      </c>
    </row>
    <row r="18" spans="1:14" ht="16" thickBot="1">
      <c r="A18" s="67" t="s">
        <v>220</v>
      </c>
      <c r="B18" s="68">
        <v>2346959.58</v>
      </c>
      <c r="C18" s="139" t="s">
        <v>19</v>
      </c>
      <c r="D18" s="61" t="s">
        <v>267</v>
      </c>
      <c r="E18" s="62" t="s">
        <v>48</v>
      </c>
      <c r="G18" s="23" t="s">
        <v>16</v>
      </c>
      <c r="H18" s="58">
        <f>SUM(H16:H17)</f>
        <v>38495.69</v>
      </c>
      <c r="I18" s="58">
        <f t="shared" ref="I18" si="1">SUM(I16:I17)</f>
        <v>1847.7931200000003</v>
      </c>
      <c r="J18" s="58">
        <f t="shared" ref="J18" si="2">SUM(J16:J17)</f>
        <v>250.22198500000002</v>
      </c>
      <c r="K18" s="58">
        <f t="shared" ref="K18" si="3">SUM(K16:K17)</f>
        <v>1154.8706999999999</v>
      </c>
      <c r="L18" s="58">
        <f t="shared" ref="L18" si="4">SUM(L16:L17)</f>
        <v>384.95690000000002</v>
      </c>
      <c r="M18" s="58">
        <f t="shared" ref="M18" si="5">SUM(M16:M17)</f>
        <v>27.52</v>
      </c>
      <c r="N18" s="58">
        <f t="shared" ref="N18" si="6">SUM(N16:N17)</f>
        <v>34830.327295000003</v>
      </c>
    </row>
    <row r="19" spans="1:14" ht="16" thickBot="1">
      <c r="A19" s="67" t="s">
        <v>221</v>
      </c>
      <c r="B19" s="68">
        <v>1016519.88</v>
      </c>
      <c r="C19" s="139" t="s">
        <v>19</v>
      </c>
      <c r="D19" s="61" t="s">
        <v>268</v>
      </c>
      <c r="E19" s="62" t="s">
        <v>48</v>
      </c>
    </row>
    <row r="20" spans="1:14" ht="16" thickBot="1">
      <c r="A20" s="67" t="s">
        <v>222</v>
      </c>
      <c r="B20" s="68">
        <v>1489735.19</v>
      </c>
      <c r="C20" s="139" t="s">
        <v>19</v>
      </c>
      <c r="D20" s="61" t="s">
        <v>269</v>
      </c>
      <c r="E20" s="62" t="s">
        <v>48</v>
      </c>
      <c r="G20" s="23" t="s">
        <v>8</v>
      </c>
      <c r="H20" s="23" t="s">
        <v>12</v>
      </c>
      <c r="I20" s="72" t="s">
        <v>9</v>
      </c>
      <c r="J20" s="72" t="s">
        <v>13</v>
      </c>
      <c r="K20" s="72" t="s">
        <v>14</v>
      </c>
      <c r="L20" s="72" t="s">
        <v>15</v>
      </c>
      <c r="M20" s="72" t="s">
        <v>11</v>
      </c>
      <c r="N20" s="72" t="s">
        <v>10</v>
      </c>
    </row>
    <row r="21" spans="1:14" ht="16" thickBot="1">
      <c r="A21" s="67" t="s">
        <v>223</v>
      </c>
      <c r="B21" s="68">
        <v>1524077.16</v>
      </c>
      <c r="C21" s="139" t="s">
        <v>19</v>
      </c>
      <c r="D21" s="61" t="s">
        <v>270</v>
      </c>
      <c r="E21" s="62" t="s">
        <v>48</v>
      </c>
      <c r="G21" s="123">
        <v>121</v>
      </c>
      <c r="H21" s="124">
        <v>6647019.7800000003</v>
      </c>
      <c r="I21" s="124">
        <f>H21*4.8%</f>
        <v>319056.94944</v>
      </c>
      <c r="J21" s="124">
        <f>H21*0.65%</f>
        <v>43205.628570000008</v>
      </c>
      <c r="K21" s="124">
        <f>H21*3%</f>
        <v>199410.59340000001</v>
      </c>
      <c r="L21" s="124">
        <f>H21*1%</f>
        <v>66470.197800000009</v>
      </c>
      <c r="M21" s="124">
        <v>2519.9435000000003</v>
      </c>
      <c r="N21" s="124">
        <f>H21-I21-J21-K21-L21-M21</f>
        <v>6016356.467290001</v>
      </c>
    </row>
    <row r="22" spans="1:14" ht="16" thickBot="1">
      <c r="A22" s="67" t="s">
        <v>224</v>
      </c>
      <c r="B22" s="68">
        <v>743338.42</v>
      </c>
      <c r="C22" s="139" t="s">
        <v>19</v>
      </c>
      <c r="D22" s="61" t="s">
        <v>271</v>
      </c>
      <c r="E22" s="62" t="s">
        <v>48</v>
      </c>
      <c r="G22" s="123">
        <v>3169</v>
      </c>
      <c r="H22" s="124">
        <v>22737.53</v>
      </c>
      <c r="I22" s="124">
        <f>H22*4.8%</f>
        <v>1091.4014399999999</v>
      </c>
      <c r="J22" s="124">
        <f>H22*0.65%</f>
        <v>147.79394500000001</v>
      </c>
      <c r="K22" s="124">
        <f>H22*3%</f>
        <v>682.12589999999989</v>
      </c>
      <c r="L22" s="124">
        <f>H22*1%</f>
        <v>227.37529999999998</v>
      </c>
      <c r="M22" s="124">
        <f>H22*5%</f>
        <v>1136.8765000000001</v>
      </c>
      <c r="N22" s="124">
        <f>H22-I22-J22-K22-L22-M22</f>
        <v>19451.956914999999</v>
      </c>
    </row>
    <row r="23" spans="1:14" ht="16" thickBot="1">
      <c r="A23" s="67" t="s">
        <v>225</v>
      </c>
      <c r="B23" s="68">
        <v>857939.17</v>
      </c>
      <c r="C23" s="139" t="s">
        <v>19</v>
      </c>
      <c r="D23" s="61" t="s">
        <v>272</v>
      </c>
      <c r="E23" s="62" t="s">
        <v>48</v>
      </c>
      <c r="G23" s="23" t="s">
        <v>16</v>
      </c>
      <c r="H23" s="58">
        <f>SUM(H21:H22)</f>
        <v>6669757.3100000005</v>
      </c>
      <c r="I23" s="58">
        <f t="shared" ref="I23" si="7">SUM(I21:I22)</f>
        <v>320148.35087999998</v>
      </c>
      <c r="J23" s="58">
        <f t="shared" ref="J23" si="8">SUM(J21:J22)</f>
        <v>43353.422515000006</v>
      </c>
      <c r="K23" s="58">
        <f t="shared" ref="K23" si="9">SUM(K21:K22)</f>
        <v>200092.71930000003</v>
      </c>
      <c r="L23" s="58">
        <f t="shared" ref="L23" si="10">SUM(L21:L22)</f>
        <v>66697.573100000009</v>
      </c>
      <c r="M23" s="58">
        <f t="shared" ref="M23" si="11">SUM(M21:M22)</f>
        <v>3656.8200000000006</v>
      </c>
      <c r="N23" s="58">
        <f t="shared" ref="N23" si="12">SUM(N21:N22)</f>
        <v>6035808.4242050014</v>
      </c>
    </row>
    <row r="24" spans="1:14" ht="16" thickBot="1">
      <c r="A24" s="67" t="s">
        <v>226</v>
      </c>
      <c r="B24" s="68">
        <v>1353481.93</v>
      </c>
      <c r="C24" s="139" t="s">
        <v>19</v>
      </c>
      <c r="D24" s="61" t="s">
        <v>273</v>
      </c>
      <c r="E24" s="62" t="s">
        <v>48</v>
      </c>
      <c r="G24" s="53"/>
      <c r="H24" s="99"/>
      <c r="I24" s="99"/>
      <c r="J24" s="99"/>
      <c r="K24" s="99"/>
      <c r="L24" s="99"/>
      <c r="M24" s="99"/>
      <c r="N24" s="99"/>
    </row>
    <row r="25" spans="1:14" ht="16" thickBot="1">
      <c r="A25" s="67" t="s">
        <v>227</v>
      </c>
      <c r="B25" s="68">
        <v>744748.57</v>
      </c>
      <c r="C25" s="139" t="s">
        <v>19</v>
      </c>
      <c r="D25" s="61" t="s">
        <v>274</v>
      </c>
      <c r="E25" s="62" t="s">
        <v>48</v>
      </c>
      <c r="G25" s="23" t="s">
        <v>8</v>
      </c>
      <c r="H25" s="23" t="s">
        <v>12</v>
      </c>
      <c r="I25" s="72" t="s">
        <v>9</v>
      </c>
      <c r="J25" s="72" t="s">
        <v>13</v>
      </c>
      <c r="K25" s="72" t="s">
        <v>14</v>
      </c>
      <c r="L25" s="72" t="s">
        <v>15</v>
      </c>
      <c r="M25" s="72" t="s">
        <v>11</v>
      </c>
      <c r="N25" s="72" t="s">
        <v>10</v>
      </c>
    </row>
    <row r="26" spans="1:14" ht="16" thickBot="1">
      <c r="A26" s="67" t="s">
        <v>228</v>
      </c>
      <c r="B26" s="68">
        <v>1363498.24</v>
      </c>
      <c r="C26" s="139" t="s">
        <v>19</v>
      </c>
      <c r="D26" s="61" t="s">
        <v>275</v>
      </c>
      <c r="E26" s="62" t="s">
        <v>48</v>
      </c>
      <c r="G26" s="123">
        <v>120</v>
      </c>
      <c r="H26" s="124">
        <v>13126597.109999999</v>
      </c>
      <c r="I26" s="124">
        <f>H26*4.8%</f>
        <v>630076.66128</v>
      </c>
      <c r="J26" s="124">
        <f>H26*0.65%</f>
        <v>85322.881215000001</v>
      </c>
      <c r="K26" s="124">
        <f>H26*3%</f>
        <v>393797.91329999996</v>
      </c>
      <c r="L26" s="124">
        <f>H26*1%</f>
        <v>131265.9711</v>
      </c>
      <c r="M26" s="124">
        <v>1966.4059999999997</v>
      </c>
      <c r="N26" s="124">
        <f>H26-I26-J26-K26-L26-M26</f>
        <v>11884167.277104998</v>
      </c>
    </row>
    <row r="27" spans="1:14" ht="16" thickBot="1">
      <c r="A27" s="67" t="s">
        <v>229</v>
      </c>
      <c r="B27" s="68">
        <v>1096674.71</v>
      </c>
      <c r="C27" s="139" t="s">
        <v>19</v>
      </c>
      <c r="D27" s="61" t="s">
        <v>276</v>
      </c>
      <c r="E27" s="62" t="s">
        <v>48</v>
      </c>
      <c r="G27" s="123">
        <v>3168</v>
      </c>
      <c r="H27" s="124">
        <v>24558.080000000002</v>
      </c>
      <c r="I27" s="124">
        <f>H27*4.8%</f>
        <v>1178.7878400000002</v>
      </c>
      <c r="J27" s="124">
        <f>H27*0.65%</f>
        <v>159.62752000000003</v>
      </c>
      <c r="K27" s="124">
        <f>H27*3%</f>
        <v>736.74239999999998</v>
      </c>
      <c r="L27" s="124">
        <f>H27*1%</f>
        <v>245.58080000000001</v>
      </c>
      <c r="M27" s="124">
        <f>H27*5%</f>
        <v>1227.9040000000002</v>
      </c>
      <c r="N27" s="124">
        <f>H27-I27-J27-K27-L27-M27</f>
        <v>21009.437440000002</v>
      </c>
    </row>
    <row r="28" spans="1:14" ht="16" thickBot="1">
      <c r="A28" s="67" t="s">
        <v>230</v>
      </c>
      <c r="B28" s="68">
        <v>1237479.3899999999</v>
      </c>
      <c r="C28" s="139" t="s">
        <v>19</v>
      </c>
      <c r="D28" s="61" t="s">
        <v>277</v>
      </c>
      <c r="E28" s="62" t="s">
        <v>48</v>
      </c>
      <c r="G28" s="23" t="s">
        <v>16</v>
      </c>
      <c r="H28" s="58">
        <f>SUM(H26:H27)</f>
        <v>13151155.189999999</v>
      </c>
      <c r="I28" s="58">
        <f t="shared" ref="I28:N28" si="13">SUM(I26:I27)</f>
        <v>631255.44912</v>
      </c>
      <c r="J28" s="58">
        <f t="shared" si="13"/>
        <v>85482.508734999996</v>
      </c>
      <c r="K28" s="58">
        <f t="shared" si="13"/>
        <v>394534.65569999994</v>
      </c>
      <c r="L28" s="58">
        <f t="shared" si="13"/>
        <v>131511.55189999999</v>
      </c>
      <c r="M28" s="58">
        <f t="shared" si="13"/>
        <v>3194.31</v>
      </c>
      <c r="N28" s="58">
        <f t="shared" si="13"/>
        <v>11905176.714544998</v>
      </c>
    </row>
    <row r="29" spans="1:14" ht="16" thickBot="1">
      <c r="A29" s="67" t="s">
        <v>231</v>
      </c>
      <c r="B29" s="68">
        <v>726951.42</v>
      </c>
      <c r="C29" s="139" t="s">
        <v>19</v>
      </c>
      <c r="D29" s="61" t="s">
        <v>278</v>
      </c>
      <c r="E29" s="62" t="s">
        <v>48</v>
      </c>
      <c r="G29" s="53"/>
      <c r="H29" s="99"/>
      <c r="I29" s="99"/>
      <c r="J29" s="99"/>
      <c r="K29" s="99"/>
      <c r="L29" s="99"/>
      <c r="M29" s="99"/>
      <c r="N29" s="99"/>
    </row>
    <row r="30" spans="1:14" ht="16" thickBot="1">
      <c r="A30" s="67" t="s">
        <v>232</v>
      </c>
      <c r="B30" s="68">
        <v>899341.36</v>
      </c>
      <c r="C30" s="139" t="s">
        <v>19</v>
      </c>
      <c r="D30" s="61" t="s">
        <v>279</v>
      </c>
      <c r="E30" s="62" t="s">
        <v>48</v>
      </c>
      <c r="G30" s="23" t="s">
        <v>8</v>
      </c>
      <c r="H30" s="23" t="s">
        <v>12</v>
      </c>
      <c r="I30" s="72" t="s">
        <v>9</v>
      </c>
      <c r="J30" s="72" t="s">
        <v>13</v>
      </c>
      <c r="K30" s="72" t="s">
        <v>14</v>
      </c>
      <c r="L30" s="72" t="s">
        <v>15</v>
      </c>
      <c r="M30" s="72" t="s">
        <v>11</v>
      </c>
      <c r="N30" s="72" t="s">
        <v>10</v>
      </c>
    </row>
    <row r="31" spans="1:14" ht="16" thickBot="1">
      <c r="A31" s="67" t="s">
        <v>233</v>
      </c>
      <c r="B31" s="68">
        <v>997810.15</v>
      </c>
      <c r="C31" s="139" t="s">
        <v>19</v>
      </c>
      <c r="D31" s="61" t="s">
        <v>280</v>
      </c>
      <c r="E31" s="62" t="s">
        <v>48</v>
      </c>
      <c r="G31" s="123">
        <v>125</v>
      </c>
      <c r="H31" s="124">
        <v>5670</v>
      </c>
      <c r="I31" s="124">
        <f>H31*4.8%</f>
        <v>272.16000000000003</v>
      </c>
      <c r="J31" s="124">
        <f>H31*0.65%</f>
        <v>36.855000000000004</v>
      </c>
      <c r="K31" s="124">
        <f>H31*3%</f>
        <v>170.1</v>
      </c>
      <c r="L31" s="124">
        <f>H31*1%</f>
        <v>56.7</v>
      </c>
      <c r="M31" s="124">
        <v>1.5</v>
      </c>
      <c r="N31" s="124">
        <f>H31-I31-J31-K31-L31-M31</f>
        <v>5132.6850000000004</v>
      </c>
    </row>
    <row r="32" spans="1:14" ht="16" thickBot="1">
      <c r="A32" s="67" t="s">
        <v>234</v>
      </c>
      <c r="B32" s="68">
        <v>401883.56</v>
      </c>
      <c r="C32" s="139" t="s">
        <v>19</v>
      </c>
      <c r="D32" s="61" t="s">
        <v>281</v>
      </c>
      <c r="E32" s="62" t="s">
        <v>48</v>
      </c>
      <c r="G32" s="123">
        <v>3172</v>
      </c>
      <c r="H32" s="124">
        <v>480</v>
      </c>
      <c r="I32" s="124">
        <f>H32*4.8%</f>
        <v>23.04</v>
      </c>
      <c r="J32" s="124">
        <f>H32*0.65%</f>
        <v>3.12</v>
      </c>
      <c r="K32" s="124">
        <f>H32*3%</f>
        <v>14.399999999999999</v>
      </c>
      <c r="L32" s="124">
        <f>H32*1%</f>
        <v>4.8</v>
      </c>
      <c r="M32" s="124">
        <f>H32*5%</f>
        <v>24</v>
      </c>
      <c r="N32" s="124">
        <f>H32-I32-J32-K32-L32-M32</f>
        <v>410.64</v>
      </c>
    </row>
    <row r="33" spans="1:14" ht="16" thickBot="1">
      <c r="A33" s="67" t="s">
        <v>235</v>
      </c>
      <c r="B33" s="68">
        <v>694364.4</v>
      </c>
      <c r="C33" s="139" t="s">
        <v>19</v>
      </c>
      <c r="D33" s="61" t="s">
        <v>282</v>
      </c>
      <c r="E33" s="62" t="s">
        <v>48</v>
      </c>
      <c r="G33" s="23" t="s">
        <v>16</v>
      </c>
      <c r="H33" s="58">
        <f>SUM(H31:H32)</f>
        <v>6150</v>
      </c>
      <c r="I33" s="58">
        <f t="shared" ref="I33:N33" si="14">SUM(I31:I32)</f>
        <v>295.20000000000005</v>
      </c>
      <c r="J33" s="58">
        <f t="shared" si="14"/>
        <v>39.975000000000001</v>
      </c>
      <c r="K33" s="58">
        <f t="shared" si="14"/>
        <v>184.5</v>
      </c>
      <c r="L33" s="58">
        <f t="shared" si="14"/>
        <v>61.5</v>
      </c>
      <c r="M33" s="58">
        <f t="shared" si="14"/>
        <v>25.5</v>
      </c>
      <c r="N33" s="58">
        <f t="shared" si="14"/>
        <v>5543.3250000000007</v>
      </c>
    </row>
    <row r="34" spans="1:14" ht="16" thickBot="1">
      <c r="A34" s="67" t="s">
        <v>236</v>
      </c>
      <c r="B34" s="68">
        <v>926854.2</v>
      </c>
      <c r="C34" s="139" t="s">
        <v>19</v>
      </c>
      <c r="D34" s="61" t="s">
        <v>283</v>
      </c>
      <c r="E34" s="62" t="s">
        <v>48</v>
      </c>
      <c r="G34" s="53"/>
      <c r="H34" s="99"/>
      <c r="I34" s="99"/>
      <c r="J34" s="99"/>
      <c r="K34" s="99"/>
      <c r="L34" s="99"/>
      <c r="M34" s="99"/>
      <c r="N34" s="99"/>
    </row>
    <row r="35" spans="1:14" ht="16" thickBot="1">
      <c r="A35" s="67" t="s">
        <v>237</v>
      </c>
      <c r="B35" s="68">
        <v>1277586.0900000001</v>
      </c>
      <c r="C35" s="139" t="s">
        <v>19</v>
      </c>
      <c r="D35" s="61" t="s">
        <v>284</v>
      </c>
      <c r="E35" s="62" t="s">
        <v>48</v>
      </c>
      <c r="G35" s="23" t="s">
        <v>8</v>
      </c>
      <c r="H35" s="23" t="s">
        <v>12</v>
      </c>
      <c r="I35" s="72" t="s">
        <v>9</v>
      </c>
      <c r="J35" s="72" t="s">
        <v>13</v>
      </c>
      <c r="K35" s="72" t="s">
        <v>14</v>
      </c>
      <c r="L35" s="72" t="s">
        <v>15</v>
      </c>
      <c r="M35" s="72" t="s">
        <v>11</v>
      </c>
      <c r="N35" s="72" t="s">
        <v>10</v>
      </c>
    </row>
    <row r="36" spans="1:14" ht="16" thickBot="1">
      <c r="A36" s="67" t="s">
        <v>238</v>
      </c>
      <c r="B36" s="68">
        <v>573693.51</v>
      </c>
      <c r="C36" s="139" t="s">
        <v>19</v>
      </c>
      <c r="D36" s="61" t="s">
        <v>285</v>
      </c>
      <c r="E36" s="62" t="s">
        <v>48</v>
      </c>
      <c r="G36" s="123">
        <v>124</v>
      </c>
      <c r="H36" s="124">
        <v>729542.22</v>
      </c>
      <c r="I36" s="124">
        <f>H36*4.8%</f>
        <v>35018.026559999998</v>
      </c>
      <c r="J36" s="124">
        <f>H36*0.65%</f>
        <v>4742.0244300000004</v>
      </c>
      <c r="K36" s="124">
        <f>H36*3%</f>
        <v>21886.266599999999</v>
      </c>
      <c r="L36" s="124">
        <f>H36*1%</f>
        <v>7295.4222</v>
      </c>
      <c r="M36" s="124">
        <v>1168.4969999999998</v>
      </c>
      <c r="N36" s="124">
        <f>H36-I36-J36-K36-L36-M36</f>
        <v>659431.98320999998</v>
      </c>
    </row>
    <row r="37" spans="1:14" ht="16" thickBot="1">
      <c r="A37" s="67" t="s">
        <v>239</v>
      </c>
      <c r="B37" s="68">
        <v>621045.16</v>
      </c>
      <c r="C37" s="139" t="s">
        <v>19</v>
      </c>
      <c r="D37" s="61" t="s">
        <v>286</v>
      </c>
      <c r="E37" s="62" t="s">
        <v>48</v>
      </c>
      <c r="G37" s="123">
        <v>3171</v>
      </c>
      <c r="H37" s="124">
        <v>45820.46</v>
      </c>
      <c r="I37" s="124">
        <f>H37*4.8%</f>
        <v>2199.3820799999999</v>
      </c>
      <c r="J37" s="124">
        <f>H37*0.65%</f>
        <v>297.83299</v>
      </c>
      <c r="K37" s="124">
        <f>H37*3%</f>
        <v>1374.6137999999999</v>
      </c>
      <c r="L37" s="124">
        <f>H37*1%</f>
        <v>458.20460000000003</v>
      </c>
      <c r="M37" s="124">
        <f>H37*5%</f>
        <v>2291.0230000000001</v>
      </c>
      <c r="N37" s="124">
        <f>H37-I37-J37-K37-L37-M37</f>
        <v>39199.403529999996</v>
      </c>
    </row>
    <row r="38" spans="1:14" ht="16" thickBot="1">
      <c r="A38" s="67" t="s">
        <v>240</v>
      </c>
      <c r="B38" s="68">
        <v>1352517.53</v>
      </c>
      <c r="C38" s="139" t="s">
        <v>19</v>
      </c>
      <c r="D38" s="61" t="s">
        <v>287</v>
      </c>
      <c r="E38" s="62" t="s">
        <v>48</v>
      </c>
      <c r="G38" s="23" t="s">
        <v>16</v>
      </c>
      <c r="H38" s="58">
        <f>SUM(H36:H37)</f>
        <v>775362.67999999993</v>
      </c>
      <c r="I38" s="58">
        <f t="shared" ref="I38:N38" si="15">SUM(I36:I37)</f>
        <v>37217.408640000001</v>
      </c>
      <c r="J38" s="58">
        <f t="shared" si="15"/>
        <v>5039.8574200000003</v>
      </c>
      <c r="K38" s="58">
        <f t="shared" si="15"/>
        <v>23260.880399999998</v>
      </c>
      <c r="L38" s="58">
        <f t="shared" si="15"/>
        <v>7753.6268</v>
      </c>
      <c r="M38" s="58">
        <f t="shared" si="15"/>
        <v>3459.52</v>
      </c>
      <c r="N38" s="58">
        <f t="shared" si="15"/>
        <v>698631.38673999999</v>
      </c>
    </row>
    <row r="39" spans="1:14" ht="16" thickBot="1">
      <c r="A39" s="67" t="s">
        <v>241</v>
      </c>
      <c r="B39" s="68">
        <v>2370089.29</v>
      </c>
      <c r="C39" s="139" t="s">
        <v>19</v>
      </c>
      <c r="D39" s="61" t="s">
        <v>288</v>
      </c>
      <c r="E39" s="62" t="s">
        <v>48</v>
      </c>
      <c r="G39" s="53"/>
      <c r="H39" s="99"/>
      <c r="I39" s="99"/>
      <c r="J39" s="99"/>
      <c r="K39" s="99"/>
      <c r="L39" s="99"/>
      <c r="M39" s="99"/>
      <c r="N39" s="99"/>
    </row>
    <row r="40" spans="1:14" ht="16" thickBot="1">
      <c r="A40" s="67" t="s">
        <v>242</v>
      </c>
      <c r="B40" s="68">
        <v>953200.7</v>
      </c>
      <c r="C40" s="139" t="s">
        <v>19</v>
      </c>
      <c r="D40" s="61" t="s">
        <v>289</v>
      </c>
      <c r="E40" s="62" t="s">
        <v>48</v>
      </c>
      <c r="G40" s="23" t="s">
        <v>8</v>
      </c>
      <c r="H40" s="23" t="s">
        <v>12</v>
      </c>
      <c r="I40" s="72" t="s">
        <v>9</v>
      </c>
      <c r="J40" s="72" t="s">
        <v>13</v>
      </c>
      <c r="K40" s="72" t="s">
        <v>14</v>
      </c>
      <c r="L40" s="72" t="s">
        <v>15</v>
      </c>
      <c r="M40" s="72" t="s">
        <v>11</v>
      </c>
      <c r="N40" s="72" t="s">
        <v>10</v>
      </c>
    </row>
    <row r="41" spans="1:14" ht="16" thickBot="1">
      <c r="A41" s="67" t="s">
        <v>243</v>
      </c>
      <c r="B41" s="68">
        <v>2265851.2000000002</v>
      </c>
      <c r="C41" s="139" t="s">
        <v>19</v>
      </c>
      <c r="D41" s="61" t="s">
        <v>290</v>
      </c>
      <c r="E41" s="62" t="s">
        <v>48</v>
      </c>
      <c r="G41" s="123">
        <v>123</v>
      </c>
      <c r="H41" s="124">
        <v>1229035.6000000001</v>
      </c>
      <c r="I41" s="124">
        <f>H41*4.8%</f>
        <v>58993.708800000008</v>
      </c>
      <c r="J41" s="124">
        <f>H41*0.65%</f>
        <v>7988.7314000000015</v>
      </c>
      <c r="K41" s="124">
        <f>H41*3%</f>
        <v>36871.067999999999</v>
      </c>
      <c r="L41" s="124">
        <f>H41*1%</f>
        <v>12290.356000000002</v>
      </c>
      <c r="M41" s="124">
        <v>571.06849999999997</v>
      </c>
      <c r="N41" s="124">
        <f>H41-I41-J41-K41-L41-M41</f>
        <v>1112320.6673000003</v>
      </c>
    </row>
    <row r="42" spans="1:14" ht="16" thickBot="1">
      <c r="A42" s="67" t="s">
        <v>244</v>
      </c>
      <c r="B42" s="68">
        <v>732671.39</v>
      </c>
      <c r="C42" s="139" t="s">
        <v>19</v>
      </c>
      <c r="D42" s="61" t="s">
        <v>291</v>
      </c>
      <c r="E42" s="62" t="s">
        <v>48</v>
      </c>
      <c r="G42" s="123">
        <v>3170</v>
      </c>
      <c r="H42" s="124">
        <v>17965.03</v>
      </c>
      <c r="I42" s="124">
        <f>H42*4.8%</f>
        <v>862.32143999999994</v>
      </c>
      <c r="J42" s="124">
        <f>H42*0.65%</f>
        <v>116.772695</v>
      </c>
      <c r="K42" s="124">
        <f>H42*3%</f>
        <v>538.95089999999993</v>
      </c>
      <c r="L42" s="124">
        <f>H42*1%</f>
        <v>179.65029999999999</v>
      </c>
      <c r="M42" s="124">
        <f>H42*5%</f>
        <v>898.25149999999996</v>
      </c>
      <c r="N42" s="124">
        <f>H42-I42-J42-K42-L42-M42</f>
        <v>15369.083165</v>
      </c>
    </row>
    <row r="43" spans="1:14" ht="16" thickBot="1">
      <c r="A43" s="67" t="s">
        <v>245</v>
      </c>
      <c r="B43" s="68">
        <v>1532243.97</v>
      </c>
      <c r="C43" s="139" t="s">
        <v>19</v>
      </c>
      <c r="D43" s="61" t="s">
        <v>292</v>
      </c>
      <c r="E43" s="62" t="s">
        <v>48</v>
      </c>
      <c r="G43" s="23" t="s">
        <v>16</v>
      </c>
      <c r="H43" s="58">
        <f>SUM(H41:H42)</f>
        <v>1247000.6300000001</v>
      </c>
      <c r="I43" s="58">
        <f t="shared" ref="I43:N43" si="16">SUM(I41:I42)</f>
        <v>59856.030240000007</v>
      </c>
      <c r="J43" s="58">
        <f t="shared" si="16"/>
        <v>8105.5040950000011</v>
      </c>
      <c r="K43" s="58">
        <f t="shared" si="16"/>
        <v>37410.018900000003</v>
      </c>
      <c r="L43" s="58">
        <f t="shared" si="16"/>
        <v>12470.006300000001</v>
      </c>
      <c r="M43" s="58">
        <f t="shared" si="16"/>
        <v>1469.32</v>
      </c>
      <c r="N43" s="58">
        <f t="shared" si="16"/>
        <v>1127689.7504650003</v>
      </c>
    </row>
    <row r="44" spans="1:14" ht="16" thickBot="1">
      <c r="A44" s="67" t="s">
        <v>246</v>
      </c>
      <c r="B44" s="68">
        <v>2141382.63</v>
      </c>
      <c r="C44" s="139" t="s">
        <v>19</v>
      </c>
      <c r="D44" s="61" t="s">
        <v>293</v>
      </c>
      <c r="E44" s="62" t="s">
        <v>48</v>
      </c>
      <c r="G44" s="53"/>
      <c r="H44" s="99"/>
      <c r="I44" s="99"/>
      <c r="J44" s="99"/>
      <c r="K44" s="99"/>
      <c r="L44" s="99"/>
      <c r="M44" s="99"/>
      <c r="N44" s="99"/>
    </row>
    <row r="45" spans="1:14" ht="16" thickBot="1">
      <c r="A45" s="67" t="s">
        <v>247</v>
      </c>
      <c r="B45" s="68">
        <v>689596.31</v>
      </c>
      <c r="C45" s="139" t="s">
        <v>19</v>
      </c>
      <c r="D45" s="61" t="s">
        <v>294</v>
      </c>
      <c r="E45" s="62" t="s">
        <v>48</v>
      </c>
      <c r="G45" s="23" t="s">
        <v>8</v>
      </c>
      <c r="H45" s="23" t="s">
        <v>12</v>
      </c>
      <c r="I45" s="72" t="s">
        <v>9</v>
      </c>
      <c r="J45" s="72" t="s">
        <v>13</v>
      </c>
      <c r="K45" s="72" t="s">
        <v>14</v>
      </c>
      <c r="L45" s="72" t="s">
        <v>15</v>
      </c>
      <c r="M45" s="72" t="s">
        <v>11</v>
      </c>
      <c r="N45" s="72" t="s">
        <v>10</v>
      </c>
    </row>
    <row r="46" spans="1:14" ht="16" thickBot="1">
      <c r="A46" s="67" t="s">
        <v>248</v>
      </c>
      <c r="B46" s="68">
        <v>765584.93</v>
      </c>
      <c r="C46" s="139" t="s">
        <v>19</v>
      </c>
      <c r="D46" s="61" t="s">
        <v>295</v>
      </c>
      <c r="E46" s="62" t="s">
        <v>48</v>
      </c>
      <c r="G46" s="123">
        <v>44</v>
      </c>
      <c r="H46" s="124">
        <v>296574.59999999998</v>
      </c>
      <c r="I46" s="124"/>
      <c r="J46" s="124"/>
      <c r="K46" s="124"/>
      <c r="L46" s="124"/>
      <c r="M46" s="124"/>
      <c r="N46" s="124">
        <f>H46-I46-J46-K46-L46-M46</f>
        <v>296574.59999999998</v>
      </c>
    </row>
    <row r="47" spans="1:14" ht="16" thickBot="1">
      <c r="A47" s="67" t="s">
        <v>249</v>
      </c>
      <c r="B47" s="68">
        <v>226327.57</v>
      </c>
      <c r="C47" s="139" t="s">
        <v>19</v>
      </c>
      <c r="D47" s="61" t="s">
        <v>296</v>
      </c>
      <c r="E47" s="62" t="s">
        <v>48</v>
      </c>
      <c r="G47" s="53"/>
      <c r="H47" s="99"/>
      <c r="I47" s="99"/>
      <c r="J47" s="99"/>
      <c r="K47" s="99"/>
      <c r="L47" s="99"/>
      <c r="M47" s="99"/>
      <c r="N47" s="99"/>
    </row>
    <row r="48" spans="1:14" ht="16" thickBot="1">
      <c r="A48" s="67" t="s">
        <v>250</v>
      </c>
      <c r="B48" s="68">
        <v>7150451.0700000003</v>
      </c>
      <c r="C48" s="139" t="s">
        <v>19</v>
      </c>
      <c r="D48" s="131" t="s">
        <v>297</v>
      </c>
      <c r="E48" s="117" t="s">
        <v>301</v>
      </c>
      <c r="G48" s="23" t="s">
        <v>8</v>
      </c>
      <c r="H48" s="23" t="s">
        <v>12</v>
      </c>
      <c r="I48" s="72" t="s">
        <v>9</v>
      </c>
      <c r="J48" s="72" t="s">
        <v>13</v>
      </c>
      <c r="K48" s="72" t="s">
        <v>14</v>
      </c>
      <c r="L48" s="72" t="s">
        <v>15</v>
      </c>
      <c r="M48" s="72" t="s">
        <v>11</v>
      </c>
      <c r="N48" s="72" t="s">
        <v>10</v>
      </c>
    </row>
    <row r="49" spans="1:14" ht="16" thickBot="1">
      <c r="A49" s="8"/>
      <c r="B49" s="20"/>
      <c r="C49" s="9"/>
      <c r="D49" s="9"/>
      <c r="E49" s="7"/>
      <c r="G49" s="123">
        <v>45</v>
      </c>
      <c r="H49" s="124">
        <v>475145.32</v>
      </c>
      <c r="I49" s="124">
        <f>H49*4.8%</f>
        <v>22806.97536</v>
      </c>
      <c r="J49" s="124">
        <f>H49*0.65%</f>
        <v>3088.4445800000003</v>
      </c>
      <c r="K49" s="124">
        <f>H49*3%</f>
        <v>14254.3596</v>
      </c>
      <c r="L49" s="124">
        <f>H49*1%</f>
        <v>4751.4531999999999</v>
      </c>
      <c r="M49" s="124">
        <v>1543.1372599999886</v>
      </c>
      <c r="N49" s="124">
        <f>H49-I49-J49-K49-L49-M49</f>
        <v>428700.95</v>
      </c>
    </row>
    <row r="50" spans="1:14" ht="16">
      <c r="A50" s="39" t="s">
        <v>6</v>
      </c>
      <c r="B50" s="40">
        <f>SUM(B51:B63)</f>
        <v>5509954.4900000002</v>
      </c>
      <c r="C50" s="41" t="s">
        <v>1</v>
      </c>
      <c r="D50" s="42" t="s">
        <v>7</v>
      </c>
      <c r="E50" s="43" t="s">
        <v>2</v>
      </c>
      <c r="G50" s="53"/>
      <c r="H50" s="99"/>
      <c r="I50" s="99"/>
      <c r="J50" s="99"/>
      <c r="K50" s="99"/>
      <c r="L50" s="99"/>
      <c r="M50" s="99"/>
      <c r="N50" s="99"/>
    </row>
    <row r="51" spans="1:14" ht="15.5">
      <c r="A51" s="67" t="s">
        <v>252</v>
      </c>
      <c r="B51" s="68">
        <v>5509952.79</v>
      </c>
      <c r="C51" s="61" t="s">
        <v>19</v>
      </c>
      <c r="D51" s="61"/>
      <c r="E51" s="62" t="s">
        <v>81</v>
      </c>
      <c r="G51" s="53"/>
      <c r="H51" s="99"/>
      <c r="I51" s="99"/>
      <c r="J51" s="99"/>
      <c r="K51" s="99"/>
      <c r="L51" s="99"/>
      <c r="M51" s="99"/>
      <c r="N51" s="99"/>
    </row>
    <row r="52" spans="1:14" ht="15.5">
      <c r="A52" s="67" t="s">
        <v>251</v>
      </c>
      <c r="B52" s="68">
        <v>1.7</v>
      </c>
      <c r="C52" s="139" t="s">
        <v>19</v>
      </c>
      <c r="D52" s="61" t="s">
        <v>253</v>
      </c>
      <c r="E52" s="62" t="s">
        <v>21</v>
      </c>
      <c r="G52" s="53"/>
      <c r="H52" s="99"/>
      <c r="I52" s="99"/>
      <c r="J52" s="99"/>
      <c r="K52" s="99"/>
      <c r="L52" s="99"/>
      <c r="M52" s="99"/>
      <c r="N52" s="99"/>
    </row>
    <row r="53" spans="1:14" ht="15.5">
      <c r="A53" s="8"/>
      <c r="B53" s="20"/>
      <c r="C53" s="83"/>
      <c r="D53" s="10"/>
      <c r="E53" s="7"/>
      <c r="G53" s="53"/>
      <c r="H53" s="99"/>
      <c r="I53" s="99"/>
      <c r="J53" s="99"/>
      <c r="K53" s="99"/>
      <c r="L53" s="99"/>
      <c r="M53" s="99"/>
      <c r="N53" s="99"/>
    </row>
    <row r="54" spans="1:14" ht="15.5">
      <c r="A54" s="8"/>
      <c r="B54" s="20"/>
      <c r="C54" s="9"/>
      <c r="D54" s="9"/>
      <c r="E54" s="7"/>
      <c r="G54" s="53"/>
      <c r="H54" s="99"/>
      <c r="I54" s="99"/>
      <c r="J54" s="99"/>
      <c r="K54" s="99"/>
      <c r="L54" s="99"/>
      <c r="M54" s="99"/>
      <c r="N54" s="99"/>
    </row>
    <row r="55" spans="1:14" ht="15.5">
      <c r="A55" s="8"/>
      <c r="B55" s="20"/>
      <c r="C55" s="83"/>
      <c r="D55" s="10"/>
      <c r="E55" s="7"/>
      <c r="G55" s="53"/>
      <c r="H55" s="99"/>
      <c r="I55" s="99"/>
      <c r="J55" s="99"/>
      <c r="K55" s="99"/>
      <c r="L55" s="99"/>
      <c r="M55" s="99"/>
      <c r="N55" s="99"/>
    </row>
    <row r="56" spans="1:14" ht="15.5">
      <c r="A56" s="8"/>
      <c r="B56" s="20"/>
      <c r="C56" s="83"/>
      <c r="D56" s="10"/>
      <c r="E56" s="7"/>
      <c r="G56" s="53"/>
      <c r="H56" s="99"/>
      <c r="I56" s="99"/>
      <c r="J56" s="99"/>
      <c r="K56" s="99"/>
      <c r="L56" s="99"/>
      <c r="M56" s="99"/>
      <c r="N56" s="99"/>
    </row>
    <row r="57" spans="1:14" ht="15.5">
      <c r="A57" s="8"/>
      <c r="B57" s="20"/>
      <c r="C57" s="9"/>
      <c r="D57" s="9"/>
      <c r="E57" s="7"/>
      <c r="G57" s="53"/>
      <c r="H57" s="99"/>
      <c r="I57" s="99"/>
      <c r="J57" s="99"/>
      <c r="K57" s="99"/>
      <c r="L57" s="99"/>
      <c r="M57" s="99"/>
      <c r="N57" s="99"/>
    </row>
    <row r="58" spans="1:14" ht="15.5">
      <c r="A58" s="8"/>
      <c r="B58" s="20"/>
      <c r="C58" s="9"/>
      <c r="D58" s="9"/>
      <c r="E58" s="7"/>
      <c r="G58" s="53"/>
      <c r="H58" s="99"/>
      <c r="I58" s="99"/>
      <c r="J58" s="99"/>
      <c r="K58" s="99"/>
      <c r="L58" s="99"/>
      <c r="M58" s="99"/>
      <c r="N58" s="99"/>
    </row>
    <row r="59" spans="1:14" ht="15.5">
      <c r="A59" s="8"/>
      <c r="B59" s="20"/>
      <c r="C59" s="83"/>
      <c r="D59" s="10"/>
      <c r="E59" s="7"/>
      <c r="G59" s="53"/>
      <c r="H59" s="99"/>
      <c r="I59" s="99"/>
      <c r="J59" s="99"/>
      <c r="K59" s="99"/>
      <c r="L59" s="99"/>
      <c r="M59" s="99"/>
      <c r="N59" s="99"/>
    </row>
    <row r="60" spans="1:14" ht="15.5">
      <c r="A60" s="8"/>
      <c r="B60" s="20"/>
      <c r="C60" s="9"/>
      <c r="D60" s="9"/>
      <c r="E60" s="7"/>
      <c r="G60" s="53"/>
      <c r="H60" s="99"/>
      <c r="I60" s="99"/>
      <c r="J60" s="99"/>
      <c r="K60" s="99"/>
      <c r="L60" s="99"/>
      <c r="M60" s="99"/>
      <c r="N60" s="99"/>
    </row>
    <row r="61" spans="1:14" ht="15.5">
      <c r="A61" s="8"/>
      <c r="B61" s="20"/>
      <c r="C61" s="83"/>
      <c r="D61" s="10"/>
      <c r="E61" s="7"/>
      <c r="G61" s="53"/>
      <c r="H61" s="99"/>
      <c r="I61" s="99"/>
      <c r="J61" s="99"/>
      <c r="K61" s="99"/>
      <c r="L61" s="99"/>
      <c r="M61" s="99"/>
      <c r="N61" s="99"/>
    </row>
    <row r="62" spans="1:14" ht="15.5">
      <c r="A62" s="8"/>
      <c r="B62" s="20"/>
      <c r="C62" s="9"/>
      <c r="D62" s="9"/>
      <c r="E62" s="7"/>
      <c r="G62" s="53"/>
      <c r="H62" s="99"/>
      <c r="I62" s="99"/>
      <c r="J62" s="99"/>
      <c r="K62" s="99"/>
      <c r="L62" s="99"/>
      <c r="M62" s="99"/>
      <c r="N62" s="99"/>
    </row>
    <row r="63" spans="1:14" ht="15.5">
      <c r="A63" s="8"/>
      <c r="B63" s="82"/>
      <c r="C63" s="83"/>
      <c r="D63" s="10"/>
      <c r="E63" s="7"/>
      <c r="G63" s="53"/>
      <c r="H63" s="99"/>
      <c r="I63" s="99"/>
      <c r="J63" s="99"/>
      <c r="K63" s="99"/>
      <c r="L63" s="99"/>
      <c r="M63" s="99"/>
      <c r="N63" s="99"/>
    </row>
    <row r="64" spans="1:14">
      <c r="A64" s="16" t="s">
        <v>4</v>
      </c>
      <c r="B64" s="21">
        <f>B3+B4-B50</f>
        <v>69679557.520000026</v>
      </c>
      <c r="E64" s="15"/>
      <c r="G64" s="53"/>
      <c r="H64" s="99"/>
      <c r="I64" s="99"/>
      <c r="J64" s="99"/>
      <c r="K64" s="99"/>
      <c r="L64" s="99"/>
      <c r="M64" s="99"/>
      <c r="N64" s="99"/>
    </row>
    <row r="65" spans="6:14">
      <c r="G65" s="53"/>
      <c r="H65" s="99"/>
      <c r="I65" s="99"/>
      <c r="J65" s="99"/>
      <c r="K65" s="99"/>
      <c r="L65" s="99"/>
      <c r="M65" s="99"/>
      <c r="N65" s="99"/>
    </row>
    <row r="66" spans="6:14">
      <c r="G66" s="53"/>
      <c r="H66" s="99"/>
      <c r="I66" s="99"/>
      <c r="J66" s="99"/>
      <c r="K66" s="99"/>
      <c r="L66" s="99"/>
      <c r="M66" s="99"/>
      <c r="N66" s="99"/>
    </row>
    <row r="67" spans="6:14">
      <c r="G67" s="53"/>
      <c r="H67" s="99"/>
      <c r="I67" s="99"/>
      <c r="J67" s="99"/>
      <c r="K67" s="99"/>
      <c r="L67" s="99"/>
      <c r="M67" s="99"/>
      <c r="N67" s="99"/>
    </row>
    <row r="68" spans="6:14">
      <c r="G68" s="53"/>
      <c r="H68" s="99"/>
      <c r="I68" s="99"/>
      <c r="J68" s="99"/>
      <c r="K68" s="99"/>
      <c r="L68" s="99"/>
      <c r="M68" s="99"/>
      <c r="N68" s="99"/>
    </row>
    <row r="69" spans="6:14">
      <c r="G69" s="53"/>
      <c r="H69" s="99"/>
      <c r="I69" s="99"/>
      <c r="J69" s="99"/>
      <c r="K69" s="99"/>
      <c r="L69" s="99"/>
      <c r="M69" s="99"/>
      <c r="N69" s="99"/>
    </row>
    <row r="70" spans="6:14">
      <c r="G70" s="53"/>
      <c r="H70" s="99"/>
      <c r="I70" s="99"/>
      <c r="J70" s="99"/>
      <c r="K70" s="99"/>
      <c r="L70" s="99"/>
      <c r="M70" s="99"/>
      <c r="N70" s="99"/>
    </row>
    <row r="71" spans="6:14">
      <c r="G71" s="53"/>
      <c r="H71" s="99"/>
      <c r="I71" s="99"/>
      <c r="J71" s="99"/>
      <c r="K71" s="99"/>
      <c r="L71" s="99"/>
      <c r="M71" s="99"/>
      <c r="N71" s="99"/>
    </row>
    <row r="74" spans="6:14" ht="15" thickBot="1"/>
    <row r="75" spans="6:14" ht="15" thickBot="1">
      <c r="F75" s="100"/>
      <c r="G75" s="23" t="s">
        <v>8</v>
      </c>
      <c r="H75" s="23" t="s">
        <v>12</v>
      </c>
      <c r="I75" s="23" t="s">
        <v>17</v>
      </c>
      <c r="J75" s="23" t="s">
        <v>10</v>
      </c>
    </row>
    <row r="76" spans="6:14" ht="15" thickBot="1">
      <c r="G76" s="23">
        <v>86</v>
      </c>
      <c r="H76" s="78">
        <v>3913939.6</v>
      </c>
      <c r="I76" s="34">
        <f>H76*1.5%</f>
        <v>58709.093999999997</v>
      </c>
      <c r="J76" s="34">
        <f>H76-I76</f>
        <v>3855230.5060000001</v>
      </c>
      <c r="N76" s="11"/>
    </row>
    <row r="79" spans="6:14">
      <c r="N79" s="45"/>
    </row>
    <row r="96" spans="7:7">
      <c r="G96" s="47"/>
    </row>
    <row r="98" spans="7:7">
      <c r="G98" s="46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03FE-B693-4D4E-A2E6-D760FA06147B}">
  <sheetPr>
    <tabColor rgb="FF00B050"/>
  </sheetPr>
  <dimension ref="A1:N60"/>
  <sheetViews>
    <sheetView zoomScaleNormal="100" workbookViewId="0">
      <pane ySplit="4" topLeftCell="A5" activePane="bottomLeft" state="frozen"/>
      <selection activeCell="A5" sqref="A5:E17"/>
      <selection pane="bottomLeft" activeCell="C13" sqref="C13:E13"/>
    </sheetView>
  </sheetViews>
  <sheetFormatPr defaultRowHeight="14.5"/>
  <cols>
    <col min="1" max="1" width="82.81640625" bestFit="1" customWidth="1"/>
    <col min="2" max="2" width="18.81640625" style="11" bestFit="1" customWidth="1"/>
    <col min="3" max="3" width="28.81640625" customWidth="1"/>
    <col min="4" max="4" width="27.81640625" bestFit="1" customWidth="1"/>
    <col min="5" max="5" width="27.81640625" style="3" bestFit="1" customWidth="1"/>
    <col min="6" max="6" width="8.36328125" customWidth="1"/>
    <col min="7" max="7" width="12" bestFit="1" customWidth="1"/>
    <col min="8" max="8" width="16.81640625" bestFit="1" customWidth="1"/>
    <col min="9" max="9" width="14.08984375" bestFit="1" customWidth="1"/>
    <col min="10" max="10" width="15.36328125" bestFit="1" customWidth="1"/>
    <col min="11" max="12" width="13.81640625" bestFit="1" customWidth="1"/>
    <col min="13" max="13" width="14.08984375" bestFit="1" customWidth="1"/>
    <col min="14" max="14" width="16.1796875" bestFit="1" customWidth="1"/>
    <col min="15" max="15" width="14.5429687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C2" s="70"/>
      <c r="D2" s="77"/>
      <c r="E2" s="46"/>
    </row>
    <row r="3" spans="1:14" ht="16" thickBot="1">
      <c r="A3" s="16" t="s">
        <v>5</v>
      </c>
      <c r="B3" s="17">
        <f>'29.07.26'!B64</f>
        <v>69679557.520000026</v>
      </c>
      <c r="C3" s="30"/>
      <c r="D3" s="38"/>
      <c r="E3" s="15"/>
    </row>
    <row r="4" spans="1:14" ht="16.5" thickBot="1">
      <c r="A4" s="39" t="s">
        <v>0</v>
      </c>
      <c r="B4" s="40">
        <f>SUM(B5:B11)</f>
        <v>0</v>
      </c>
      <c r="C4" s="41" t="s">
        <v>1</v>
      </c>
      <c r="D4" s="44" t="s">
        <v>7</v>
      </c>
      <c r="E4" s="43" t="s">
        <v>2</v>
      </c>
      <c r="G4" s="23" t="s">
        <v>8</v>
      </c>
      <c r="H4" s="23" t="s">
        <v>12</v>
      </c>
      <c r="I4" s="72" t="s">
        <v>9</v>
      </c>
      <c r="J4" s="72" t="s">
        <v>13</v>
      </c>
      <c r="K4" s="72" t="s">
        <v>14</v>
      </c>
      <c r="L4" s="72" t="s">
        <v>15</v>
      </c>
      <c r="M4" s="72" t="s">
        <v>11</v>
      </c>
      <c r="N4" s="72" t="s">
        <v>10</v>
      </c>
    </row>
    <row r="5" spans="1:14" ht="16" thickBot="1">
      <c r="A5" s="8"/>
      <c r="B5" s="82"/>
      <c r="C5" s="9"/>
      <c r="D5" s="9"/>
      <c r="E5" s="7"/>
      <c r="G5" s="25"/>
      <c r="H5" s="24"/>
      <c r="I5" s="24">
        <f>H5*4.8%</f>
        <v>0</v>
      </c>
      <c r="J5" s="24">
        <f>H5*0.65%</f>
        <v>0</v>
      </c>
      <c r="K5" s="24">
        <f>H5*3%</f>
        <v>0</v>
      </c>
      <c r="L5" s="24">
        <f>H5*1%</f>
        <v>0</v>
      </c>
      <c r="M5" s="24"/>
      <c r="N5" s="24">
        <f>H5-I5-J5-K5-L5-M5</f>
        <v>0</v>
      </c>
    </row>
    <row r="6" spans="1:14" ht="15.5">
      <c r="A6" s="8"/>
      <c r="B6" s="82"/>
      <c r="C6" s="9"/>
      <c r="D6" s="9"/>
      <c r="E6" s="7"/>
      <c r="G6" s="53"/>
      <c r="H6" s="11"/>
      <c r="I6" s="11"/>
      <c r="J6" s="11"/>
      <c r="K6" s="11"/>
      <c r="L6" s="11"/>
      <c r="M6" s="11"/>
      <c r="N6" s="11"/>
    </row>
    <row r="7" spans="1:14" ht="15.5">
      <c r="A7" s="8"/>
      <c r="B7" s="82"/>
      <c r="C7" s="10"/>
      <c r="D7" s="10"/>
      <c r="E7" s="7"/>
      <c r="G7" s="53"/>
      <c r="H7" s="11"/>
      <c r="I7" s="11"/>
      <c r="J7" s="11"/>
      <c r="K7" s="11"/>
      <c r="L7" s="11"/>
      <c r="M7" s="11"/>
      <c r="N7" s="11"/>
    </row>
    <row r="8" spans="1:14" ht="15.5">
      <c r="A8" s="8"/>
      <c r="B8" s="82"/>
      <c r="C8" s="9"/>
      <c r="D8" s="9"/>
      <c r="E8" s="7"/>
      <c r="G8" s="53"/>
      <c r="H8" s="11"/>
      <c r="I8" s="11"/>
      <c r="J8" s="11"/>
      <c r="K8" s="11"/>
      <c r="L8" s="11"/>
      <c r="M8" s="11"/>
      <c r="N8" s="11"/>
    </row>
    <row r="9" spans="1:14" ht="15.5">
      <c r="A9" s="8"/>
      <c r="B9" s="82"/>
      <c r="C9" s="10"/>
      <c r="D9" s="10"/>
      <c r="E9" s="7"/>
      <c r="G9" s="53"/>
      <c r="H9" s="11"/>
      <c r="I9" s="11"/>
      <c r="J9" s="11"/>
      <c r="K9" s="11"/>
      <c r="L9" s="11"/>
      <c r="M9" s="11"/>
      <c r="N9" s="11"/>
    </row>
    <row r="10" spans="1:14" ht="15.5">
      <c r="A10" s="8"/>
      <c r="B10" s="82"/>
      <c r="C10" s="9"/>
      <c r="D10" s="9"/>
      <c r="E10" s="7"/>
      <c r="G10" s="53"/>
      <c r="H10" s="11"/>
      <c r="I10" s="11"/>
      <c r="J10" s="11"/>
      <c r="K10" s="11"/>
      <c r="L10" s="11"/>
      <c r="M10" s="11"/>
      <c r="N10" s="11"/>
    </row>
    <row r="11" spans="1:14" ht="15.5">
      <c r="A11" s="8"/>
      <c r="B11" s="82"/>
      <c r="C11" s="9"/>
      <c r="D11" s="9"/>
      <c r="E11" s="7"/>
      <c r="G11" s="53"/>
      <c r="H11" s="11"/>
      <c r="I11" s="11"/>
      <c r="J11" s="11"/>
      <c r="K11" s="11"/>
      <c r="L11" s="11"/>
      <c r="M11" s="11"/>
      <c r="N11" s="11"/>
    </row>
    <row r="12" spans="1:14" ht="16">
      <c r="A12" s="39" t="s">
        <v>6</v>
      </c>
      <c r="B12" s="40">
        <f>SUM(B13:B25)</f>
        <v>69588088.169999987</v>
      </c>
      <c r="C12" s="41" t="s">
        <v>1</v>
      </c>
      <c r="D12" s="42" t="s">
        <v>7</v>
      </c>
      <c r="E12" s="43" t="s">
        <v>2</v>
      </c>
      <c r="G12" s="53"/>
      <c r="H12" s="11"/>
      <c r="I12" s="11"/>
      <c r="J12" s="11"/>
      <c r="K12" s="11"/>
      <c r="L12" s="11"/>
      <c r="M12" s="11"/>
      <c r="N12" s="11"/>
    </row>
    <row r="13" spans="1:14" ht="15.5">
      <c r="A13" s="67" t="s">
        <v>302</v>
      </c>
      <c r="B13" s="68">
        <v>69479548.519999996</v>
      </c>
      <c r="C13" s="61" t="s">
        <v>19</v>
      </c>
      <c r="D13" s="61"/>
      <c r="E13" s="62" t="s">
        <v>81</v>
      </c>
      <c r="G13" s="53"/>
      <c r="H13" s="11"/>
      <c r="I13" s="11"/>
      <c r="J13" s="11"/>
      <c r="K13" s="11"/>
      <c r="L13" s="11"/>
      <c r="M13" s="11"/>
      <c r="N13" s="11"/>
    </row>
    <row r="14" spans="1:14" ht="15.5">
      <c r="A14" s="67" t="s">
        <v>303</v>
      </c>
      <c r="B14" s="68">
        <v>3132.85</v>
      </c>
      <c r="C14" s="139" t="s">
        <v>19</v>
      </c>
      <c r="D14" s="112"/>
      <c r="E14" s="142" t="s">
        <v>25</v>
      </c>
      <c r="G14" s="53"/>
      <c r="H14" s="11"/>
      <c r="I14" s="11"/>
      <c r="J14" s="11"/>
      <c r="K14" s="11"/>
      <c r="L14" s="11"/>
      <c r="M14" s="11"/>
      <c r="N14" s="11"/>
    </row>
    <row r="15" spans="1:14" ht="15.5">
      <c r="A15" s="67" t="s">
        <v>304</v>
      </c>
      <c r="B15" s="68">
        <v>89510.13</v>
      </c>
      <c r="C15" s="139" t="s">
        <v>19</v>
      </c>
      <c r="D15" s="112"/>
      <c r="E15" s="142" t="s">
        <v>25</v>
      </c>
      <c r="G15" s="53"/>
      <c r="H15" s="11"/>
      <c r="I15" s="11"/>
      <c r="J15" s="11"/>
      <c r="K15" s="11"/>
      <c r="L15" s="11"/>
      <c r="M15" s="11"/>
      <c r="N15" s="11"/>
    </row>
    <row r="16" spans="1:14" ht="15.5">
      <c r="A16" s="67" t="s">
        <v>305</v>
      </c>
      <c r="B16" s="68">
        <v>15894.97</v>
      </c>
      <c r="C16" s="139" t="s">
        <v>19</v>
      </c>
      <c r="D16" s="112"/>
      <c r="E16" s="142" t="s">
        <v>25</v>
      </c>
      <c r="G16" s="53"/>
      <c r="H16" s="11"/>
      <c r="I16" s="11"/>
      <c r="J16" s="11"/>
      <c r="K16" s="11"/>
      <c r="L16" s="11"/>
      <c r="M16" s="11"/>
      <c r="N16" s="11"/>
    </row>
    <row r="17" spans="1:14" ht="15.5">
      <c r="A17" s="67" t="s">
        <v>306</v>
      </c>
      <c r="B17" s="68">
        <v>1.7</v>
      </c>
      <c r="C17" s="139" t="s">
        <v>19</v>
      </c>
      <c r="D17" s="61" t="s">
        <v>307</v>
      </c>
      <c r="E17" s="62" t="s">
        <v>21</v>
      </c>
      <c r="G17" s="53"/>
      <c r="H17" s="11"/>
      <c r="I17" s="11"/>
      <c r="J17" s="11"/>
      <c r="K17" s="11"/>
      <c r="L17" s="11"/>
      <c r="M17" s="11"/>
      <c r="N17" s="11"/>
    </row>
    <row r="18" spans="1:14" ht="15.5">
      <c r="A18" s="8"/>
      <c r="B18" s="82"/>
      <c r="C18" s="10"/>
      <c r="D18" s="10"/>
      <c r="E18" s="7"/>
      <c r="G18" s="53"/>
      <c r="H18" s="11"/>
      <c r="I18" s="11"/>
      <c r="J18" s="11"/>
      <c r="K18" s="11"/>
      <c r="L18" s="11"/>
      <c r="M18" s="11"/>
      <c r="N18" s="11"/>
    </row>
    <row r="19" spans="1:14" ht="15.5">
      <c r="A19" s="8"/>
      <c r="B19" s="82"/>
      <c r="C19" s="9"/>
      <c r="D19" s="9"/>
      <c r="E19" s="7"/>
      <c r="G19" s="53"/>
      <c r="H19" s="11"/>
      <c r="I19" s="11"/>
      <c r="J19" s="11"/>
      <c r="K19" s="11"/>
      <c r="L19" s="11"/>
      <c r="M19" s="11"/>
      <c r="N19" s="11"/>
    </row>
    <row r="20" spans="1:14" ht="15.5">
      <c r="A20" s="8"/>
      <c r="B20" s="82"/>
      <c r="C20" s="9"/>
      <c r="D20" s="9"/>
      <c r="E20" s="7"/>
      <c r="G20" s="53"/>
      <c r="H20" s="11"/>
      <c r="I20" s="11"/>
      <c r="J20" s="11"/>
      <c r="K20" s="11"/>
      <c r="L20" s="11"/>
      <c r="M20" s="11"/>
      <c r="N20" s="11"/>
    </row>
    <row r="21" spans="1:14" ht="15.5">
      <c r="A21" s="8"/>
      <c r="B21" s="82"/>
      <c r="C21" s="10"/>
      <c r="D21" s="10"/>
      <c r="E21" s="7"/>
      <c r="G21" s="53"/>
      <c r="H21" s="11"/>
      <c r="I21" s="11"/>
      <c r="J21" s="11"/>
      <c r="K21" s="11"/>
      <c r="L21" s="11"/>
      <c r="M21" s="11"/>
      <c r="N21" s="11"/>
    </row>
    <row r="22" spans="1:14" ht="15.5">
      <c r="A22" s="8"/>
      <c r="B22" s="82"/>
      <c r="C22" s="9"/>
      <c r="D22" s="9"/>
      <c r="E22" s="7"/>
      <c r="G22" s="53"/>
      <c r="H22" s="11"/>
      <c r="I22" s="11"/>
      <c r="J22" s="11"/>
      <c r="K22" s="11"/>
      <c r="L22" s="11"/>
      <c r="M22" s="11"/>
      <c r="N22" s="11"/>
    </row>
    <row r="23" spans="1:14" ht="15.5">
      <c r="A23" s="8"/>
      <c r="B23" s="82"/>
      <c r="C23" s="10"/>
      <c r="D23" s="10"/>
      <c r="E23" s="7"/>
      <c r="G23" s="53"/>
      <c r="H23" s="11"/>
      <c r="I23" s="11"/>
      <c r="J23" s="11"/>
      <c r="K23" s="11"/>
      <c r="L23" s="11"/>
      <c r="M23" s="11"/>
      <c r="N23" s="11"/>
    </row>
    <row r="24" spans="1:14" ht="15.5">
      <c r="A24" s="8"/>
      <c r="B24" s="82"/>
      <c r="C24" s="9"/>
      <c r="D24" s="9"/>
      <c r="E24" s="7"/>
      <c r="G24" s="53"/>
      <c r="H24" s="11"/>
      <c r="I24" s="11"/>
      <c r="J24" s="11"/>
      <c r="K24" s="11"/>
      <c r="L24" s="11"/>
      <c r="M24" s="11"/>
      <c r="N24" s="11"/>
    </row>
    <row r="25" spans="1:14" ht="15.5">
      <c r="A25" s="8"/>
      <c r="B25" s="82"/>
      <c r="C25" s="10"/>
      <c r="D25" s="10"/>
      <c r="E25" s="7"/>
      <c r="G25" s="53"/>
      <c r="H25" s="11"/>
      <c r="I25" s="11"/>
      <c r="J25" s="11"/>
      <c r="K25" s="11"/>
      <c r="L25" s="11"/>
      <c r="M25" s="11"/>
      <c r="N25" s="11"/>
    </row>
    <row r="26" spans="1:14">
      <c r="A26" s="16" t="s">
        <v>4</v>
      </c>
      <c r="B26" s="21">
        <f>B3+B4-B12</f>
        <v>91469.350000038743</v>
      </c>
      <c r="E26" s="15"/>
      <c r="G26" s="53"/>
      <c r="H26" s="11"/>
      <c r="I26" s="11"/>
      <c r="J26" s="11"/>
      <c r="K26" s="11"/>
      <c r="L26" s="11"/>
      <c r="M26" s="11"/>
      <c r="N26" s="11"/>
    </row>
    <row r="27" spans="1:14">
      <c r="G27" s="53"/>
      <c r="H27" s="11"/>
      <c r="I27" s="11"/>
      <c r="J27" s="11"/>
      <c r="K27" s="11"/>
      <c r="L27" s="11"/>
      <c r="M27" s="11"/>
      <c r="N27" s="11"/>
    </row>
    <row r="28" spans="1:14">
      <c r="G28" s="53"/>
      <c r="H28" s="11"/>
      <c r="I28" s="11"/>
      <c r="J28" s="11"/>
      <c r="K28" s="11"/>
      <c r="L28" s="11"/>
      <c r="M28" s="11"/>
      <c r="N28" s="11"/>
    </row>
    <row r="29" spans="1:14">
      <c r="G29" s="53"/>
      <c r="H29" s="11"/>
      <c r="I29" s="11"/>
      <c r="J29" s="11"/>
      <c r="K29" s="11"/>
      <c r="L29" s="11"/>
      <c r="M29" s="11"/>
      <c r="N29" s="11"/>
    </row>
    <row r="30" spans="1:14">
      <c r="G30" s="53"/>
      <c r="H30" s="11"/>
      <c r="I30" s="11"/>
      <c r="J30" s="11"/>
      <c r="K30" s="11"/>
      <c r="L30" s="11"/>
      <c r="M30" s="11"/>
      <c r="N30" s="11"/>
    </row>
    <row r="31" spans="1:14">
      <c r="G31" s="53"/>
      <c r="H31" s="11"/>
      <c r="I31" s="11"/>
      <c r="J31" s="11"/>
      <c r="K31" s="11"/>
      <c r="L31" s="11"/>
      <c r="M31" s="11"/>
      <c r="N31" s="11"/>
    </row>
    <row r="32" spans="1:14">
      <c r="G32" s="53"/>
      <c r="H32" s="11"/>
      <c r="I32" s="11"/>
      <c r="J32" s="11"/>
      <c r="K32" s="11"/>
      <c r="L32" s="11"/>
      <c r="M32" s="11"/>
      <c r="N32" s="11"/>
    </row>
    <row r="33" spans="6:14">
      <c r="G33" s="53"/>
      <c r="H33" s="11"/>
      <c r="I33" s="11"/>
      <c r="J33" s="11"/>
      <c r="K33" s="11"/>
      <c r="L33" s="11"/>
      <c r="M33" s="11"/>
      <c r="N33" s="11"/>
    </row>
    <row r="36" spans="6:14" ht="15" thickBot="1"/>
    <row r="37" spans="6:14" ht="15" thickBot="1">
      <c r="F37" s="100"/>
      <c r="G37" s="23" t="s">
        <v>8</v>
      </c>
      <c r="H37" s="23" t="s">
        <v>12</v>
      </c>
      <c r="I37" s="23" t="s">
        <v>17</v>
      </c>
      <c r="J37" s="23" t="s">
        <v>10</v>
      </c>
    </row>
    <row r="38" spans="6:14" ht="15" thickBot="1">
      <c r="G38" s="23">
        <v>86</v>
      </c>
      <c r="H38" s="78">
        <v>3913939.6</v>
      </c>
      <c r="I38" s="34">
        <f>H38*1.5%</f>
        <v>58709.093999999997</v>
      </c>
      <c r="J38" s="34">
        <f>H38-I38</f>
        <v>3855230.5060000001</v>
      </c>
      <c r="N38" s="11"/>
    </row>
    <row r="41" spans="6:14">
      <c r="N41" s="45"/>
    </row>
    <row r="58" spans="7:7">
      <c r="G58" s="47"/>
    </row>
    <row r="60" spans="7:7">
      <c r="G60" s="46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73D5-C33C-4CD9-9210-77C4B125B6EC}">
  <sheetPr>
    <tabColor rgb="FF00B050"/>
  </sheetPr>
  <dimension ref="A1:N60"/>
  <sheetViews>
    <sheetView tabSelected="1" zoomScaleNormal="100" workbookViewId="0">
      <selection activeCell="A5" sqref="A5:C5"/>
    </sheetView>
  </sheetViews>
  <sheetFormatPr defaultRowHeight="14.5"/>
  <cols>
    <col min="1" max="1" width="86.81640625" bestFit="1" customWidth="1"/>
    <col min="2" max="2" width="18.81640625" style="11" bestFit="1" customWidth="1"/>
    <col min="3" max="3" width="28.81640625" customWidth="1"/>
    <col min="4" max="4" width="27.81640625" bestFit="1" customWidth="1"/>
    <col min="5" max="5" width="27.81640625" style="3" bestFit="1" customWidth="1"/>
    <col min="6" max="6" width="8.36328125" customWidth="1"/>
    <col min="7" max="7" width="12" bestFit="1" customWidth="1"/>
    <col min="8" max="8" width="16.81640625" bestFit="1" customWidth="1"/>
    <col min="9" max="9" width="14.08984375" bestFit="1" customWidth="1"/>
    <col min="10" max="10" width="15.36328125" bestFit="1" customWidth="1"/>
    <col min="11" max="12" width="13.81640625" bestFit="1" customWidth="1"/>
    <col min="13" max="13" width="14.08984375" bestFit="1" customWidth="1"/>
    <col min="14" max="14" width="16.1796875" bestFit="1" customWidth="1"/>
    <col min="15" max="15" width="14.5429687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C2" s="70"/>
      <c r="D2" s="77"/>
      <c r="E2" s="46"/>
    </row>
    <row r="3" spans="1:14" ht="16" thickBot="1">
      <c r="A3" s="16" t="s">
        <v>5</v>
      </c>
      <c r="B3" s="17">
        <f>'30.07.26'!B26</f>
        <v>91469.350000038743</v>
      </c>
      <c r="C3" s="30"/>
      <c r="D3" s="38"/>
      <c r="E3" s="15"/>
    </row>
    <row r="4" spans="1:14" ht="16.5" thickBot="1">
      <c r="A4" s="39" t="s">
        <v>0</v>
      </c>
      <c r="B4" s="40">
        <f>SUM(B5:B11)</f>
        <v>123966.59999999999</v>
      </c>
      <c r="C4" s="41" t="s">
        <v>1</v>
      </c>
      <c r="D4" s="44" t="s">
        <v>7</v>
      </c>
      <c r="E4" s="43" t="s">
        <v>2</v>
      </c>
      <c r="G4" s="23" t="s">
        <v>8</v>
      </c>
      <c r="H4" s="23" t="s">
        <v>12</v>
      </c>
      <c r="I4" s="23" t="s">
        <v>17</v>
      </c>
      <c r="J4" s="23" t="s">
        <v>10</v>
      </c>
      <c r="K4" s="11"/>
      <c r="L4" s="11"/>
      <c r="M4" s="11"/>
    </row>
    <row r="5" spans="1:14" ht="16" thickBot="1">
      <c r="A5" s="67" t="s">
        <v>309</v>
      </c>
      <c r="B5" s="68">
        <v>108539.65</v>
      </c>
      <c r="C5" s="61" t="s">
        <v>19</v>
      </c>
      <c r="D5" s="61"/>
      <c r="E5" s="62" t="s">
        <v>81</v>
      </c>
      <c r="G5" s="23">
        <v>115</v>
      </c>
      <c r="H5" s="78">
        <v>15661.88</v>
      </c>
      <c r="I5" s="34">
        <f>H5*1.5%</f>
        <v>234.92819999999998</v>
      </c>
      <c r="J5" s="34">
        <f>H5-I5</f>
        <v>15426.951799999999</v>
      </c>
      <c r="K5" s="11"/>
      <c r="L5" s="11"/>
      <c r="M5" s="11"/>
    </row>
    <row r="6" spans="1:14" ht="15.5">
      <c r="A6" s="67" t="s">
        <v>310</v>
      </c>
      <c r="B6" s="68">
        <v>15426.95</v>
      </c>
      <c r="C6" s="139" t="s">
        <v>19</v>
      </c>
      <c r="D6" s="61" t="s">
        <v>311</v>
      </c>
      <c r="E6" s="62" t="s">
        <v>312</v>
      </c>
      <c r="G6" s="53"/>
      <c r="H6" s="11"/>
      <c r="I6" s="11"/>
      <c r="J6" s="11"/>
      <c r="K6" s="11"/>
      <c r="L6" s="11"/>
      <c r="M6" s="11"/>
      <c r="N6" s="11"/>
    </row>
    <row r="7" spans="1:14" ht="15.5">
      <c r="A7" s="8"/>
      <c r="B7" s="82"/>
      <c r="C7" s="10"/>
      <c r="D7" s="10"/>
      <c r="E7" s="7"/>
      <c r="K7" s="11"/>
      <c r="L7" s="11"/>
      <c r="M7" s="11"/>
      <c r="N7" s="11"/>
    </row>
    <row r="8" spans="1:14" ht="15.5">
      <c r="A8" s="8"/>
      <c r="B8" s="82"/>
      <c r="C8" s="9"/>
      <c r="D8" s="9"/>
      <c r="E8" s="7"/>
      <c r="K8" s="11"/>
      <c r="L8" s="11"/>
      <c r="M8" s="11"/>
      <c r="N8" s="11"/>
    </row>
    <row r="9" spans="1:14" ht="15.5">
      <c r="A9" s="8"/>
      <c r="B9" s="82"/>
      <c r="C9" s="10"/>
      <c r="D9" s="10"/>
      <c r="E9" s="7"/>
      <c r="G9" s="53"/>
      <c r="H9" s="11"/>
      <c r="I9" s="11"/>
      <c r="J9" s="11"/>
      <c r="K9" s="11"/>
      <c r="L9" s="11"/>
      <c r="M9" s="11"/>
      <c r="N9" s="11"/>
    </row>
    <row r="10" spans="1:14" ht="15.5">
      <c r="A10" s="8"/>
      <c r="B10" s="82"/>
      <c r="C10" s="9"/>
      <c r="D10" s="9"/>
      <c r="E10" s="7"/>
      <c r="G10" s="53"/>
      <c r="H10" s="11"/>
      <c r="I10" s="11"/>
      <c r="J10" s="11"/>
      <c r="K10" s="11"/>
      <c r="L10" s="11"/>
      <c r="M10" s="11"/>
      <c r="N10" s="11"/>
    </row>
    <row r="11" spans="1:14" ht="15.5">
      <c r="A11" s="8"/>
      <c r="B11" s="82"/>
      <c r="C11" s="9"/>
      <c r="D11" s="9"/>
      <c r="E11" s="7"/>
      <c r="G11" s="53"/>
      <c r="H11" s="11"/>
      <c r="I11" s="11"/>
      <c r="J11" s="11"/>
      <c r="K11" s="11"/>
      <c r="L11" s="11"/>
      <c r="M11" s="11"/>
      <c r="N11" s="11"/>
    </row>
    <row r="12" spans="1:14" ht="16">
      <c r="A12" s="39" t="s">
        <v>6</v>
      </c>
      <c r="B12" s="40">
        <f>SUM(B13:B25)</f>
        <v>0</v>
      </c>
      <c r="C12" s="41" t="s">
        <v>1</v>
      </c>
      <c r="D12" s="42" t="s">
        <v>7</v>
      </c>
      <c r="E12" s="43" t="s">
        <v>2</v>
      </c>
      <c r="G12" s="53"/>
      <c r="H12" s="11"/>
      <c r="I12" s="11"/>
      <c r="J12" s="11"/>
      <c r="K12" s="11"/>
      <c r="L12" s="11"/>
      <c r="M12" s="11"/>
      <c r="N12" s="11"/>
    </row>
    <row r="13" spans="1:14" ht="15.5">
      <c r="A13" s="8"/>
      <c r="B13" s="82"/>
      <c r="C13" s="9"/>
      <c r="D13" s="9"/>
      <c r="E13" s="7"/>
      <c r="G13" s="53"/>
      <c r="H13" s="11"/>
      <c r="I13" s="11"/>
      <c r="J13" s="11"/>
      <c r="K13" s="11"/>
      <c r="L13" s="11"/>
      <c r="M13" s="11"/>
      <c r="N13" s="11"/>
    </row>
    <row r="14" spans="1:14" ht="15.5">
      <c r="A14" s="8"/>
      <c r="B14" s="82"/>
      <c r="C14" s="9"/>
      <c r="D14" s="9"/>
      <c r="E14" s="7"/>
      <c r="G14" s="53"/>
      <c r="H14" s="11"/>
      <c r="I14" s="11"/>
      <c r="J14" s="11"/>
      <c r="K14" s="11"/>
      <c r="L14" s="11"/>
      <c r="M14" s="11"/>
      <c r="N14" s="11"/>
    </row>
    <row r="15" spans="1:14" ht="15.5">
      <c r="A15" s="8"/>
      <c r="B15" s="82"/>
      <c r="C15" s="10"/>
      <c r="D15" s="10"/>
      <c r="E15" s="7"/>
      <c r="G15" s="53"/>
      <c r="H15" s="11"/>
      <c r="I15" s="11"/>
      <c r="J15" s="11"/>
      <c r="K15" s="11"/>
      <c r="L15" s="11"/>
      <c r="M15" s="11"/>
      <c r="N15" s="11"/>
    </row>
    <row r="16" spans="1:14" ht="15.5">
      <c r="A16" s="8"/>
      <c r="B16" s="82"/>
      <c r="C16" s="9"/>
      <c r="D16" s="9"/>
      <c r="E16" s="7"/>
      <c r="G16" s="53"/>
      <c r="H16" s="11"/>
      <c r="I16" s="11"/>
      <c r="J16" s="11"/>
      <c r="K16" s="11"/>
      <c r="L16" s="11"/>
      <c r="M16" s="11"/>
      <c r="N16" s="11"/>
    </row>
    <row r="17" spans="1:14" ht="15.5">
      <c r="A17" s="8"/>
      <c r="B17" s="82"/>
      <c r="C17" s="10"/>
      <c r="D17" s="10"/>
      <c r="E17" s="7"/>
      <c r="G17" s="53"/>
      <c r="H17" s="11"/>
      <c r="I17" s="11"/>
      <c r="J17" s="11"/>
      <c r="K17" s="11"/>
      <c r="L17" s="11"/>
      <c r="M17" s="11"/>
      <c r="N17" s="11"/>
    </row>
    <row r="18" spans="1:14" ht="15.5">
      <c r="A18" s="8"/>
      <c r="B18" s="82"/>
      <c r="C18" s="10"/>
      <c r="D18" s="10"/>
      <c r="E18" s="7"/>
      <c r="G18" s="53"/>
      <c r="H18" s="11"/>
      <c r="I18" s="11"/>
      <c r="J18" s="11"/>
      <c r="K18" s="11"/>
      <c r="L18" s="11"/>
      <c r="M18" s="11"/>
      <c r="N18" s="11"/>
    </row>
    <row r="19" spans="1:14" ht="15.5">
      <c r="A19" s="8"/>
      <c r="B19" s="82"/>
      <c r="C19" s="9"/>
      <c r="D19" s="9"/>
      <c r="E19" s="7"/>
      <c r="G19" s="53"/>
      <c r="H19" s="11"/>
      <c r="I19" s="11"/>
      <c r="J19" s="11"/>
      <c r="K19" s="11"/>
      <c r="L19" s="11"/>
      <c r="M19" s="11"/>
      <c r="N19" s="11"/>
    </row>
    <row r="20" spans="1:14" ht="15.5">
      <c r="A20" s="8"/>
      <c r="B20" s="82"/>
      <c r="C20" s="9"/>
      <c r="D20" s="9"/>
      <c r="E20" s="7"/>
      <c r="G20" s="53"/>
      <c r="H20" s="11"/>
      <c r="I20" s="11"/>
      <c r="J20" s="11"/>
      <c r="K20" s="11"/>
      <c r="L20" s="11"/>
      <c r="M20" s="11"/>
      <c r="N20" s="11"/>
    </row>
    <row r="21" spans="1:14" ht="15.5">
      <c r="A21" s="8"/>
      <c r="B21" s="82"/>
      <c r="C21" s="10"/>
      <c r="D21" s="10"/>
      <c r="E21" s="7"/>
      <c r="G21" s="53"/>
      <c r="H21" s="11"/>
      <c r="I21" s="11"/>
      <c r="J21" s="11"/>
      <c r="K21" s="11"/>
      <c r="L21" s="11"/>
      <c r="M21" s="11"/>
      <c r="N21" s="11"/>
    </row>
    <row r="22" spans="1:14" ht="15.5">
      <c r="A22" s="8"/>
      <c r="B22" s="82"/>
      <c r="C22" s="9"/>
      <c r="D22" s="9"/>
      <c r="E22" s="7"/>
      <c r="G22" s="53"/>
      <c r="H22" s="11"/>
      <c r="I22" s="11"/>
      <c r="J22" s="11"/>
      <c r="K22" s="11"/>
      <c r="L22" s="11"/>
      <c r="M22" s="11"/>
      <c r="N22" s="11"/>
    </row>
    <row r="23" spans="1:14" ht="15.5">
      <c r="A23" s="8"/>
      <c r="B23" s="82"/>
      <c r="C23" s="10"/>
      <c r="D23" s="10"/>
      <c r="E23" s="7"/>
      <c r="G23" s="53"/>
      <c r="H23" s="11"/>
      <c r="I23" s="11"/>
      <c r="J23" s="11"/>
      <c r="K23" s="11"/>
      <c r="L23" s="11"/>
      <c r="M23" s="11"/>
      <c r="N23" s="11"/>
    </row>
    <row r="24" spans="1:14" ht="15.5">
      <c r="A24" s="8"/>
      <c r="B24" s="82"/>
      <c r="C24" s="9"/>
      <c r="D24" s="9"/>
      <c r="E24" s="7"/>
      <c r="G24" s="53"/>
      <c r="H24" s="11"/>
      <c r="I24" s="11"/>
      <c r="J24" s="11"/>
      <c r="K24" s="11"/>
      <c r="L24" s="11"/>
      <c r="M24" s="11"/>
      <c r="N24" s="11"/>
    </row>
    <row r="25" spans="1:14" ht="15.5">
      <c r="A25" s="8"/>
      <c r="B25" s="82"/>
      <c r="C25" s="10"/>
      <c r="D25" s="10"/>
      <c r="E25" s="7"/>
      <c r="G25" s="53"/>
      <c r="H25" s="11"/>
      <c r="I25" s="11"/>
      <c r="J25" s="11"/>
      <c r="K25" s="11"/>
      <c r="L25" s="11"/>
      <c r="M25" s="11"/>
      <c r="N25" s="11"/>
    </row>
    <row r="26" spans="1:14">
      <c r="A26" s="16" t="s">
        <v>4</v>
      </c>
      <c r="B26" s="21">
        <f>B3+B4-B12</f>
        <v>215435.95000003872</v>
      </c>
      <c r="E26" s="15"/>
      <c r="G26" s="53"/>
      <c r="H26" s="11"/>
      <c r="I26" s="11"/>
      <c r="J26" s="11"/>
      <c r="K26" s="11"/>
      <c r="L26" s="11"/>
      <c r="M26" s="11"/>
      <c r="N26" s="11"/>
    </row>
    <row r="27" spans="1:14">
      <c r="G27" s="53"/>
      <c r="H27" s="11"/>
      <c r="I27" s="11"/>
      <c r="J27" s="11"/>
      <c r="K27" s="11"/>
      <c r="L27" s="11"/>
      <c r="M27" s="11"/>
      <c r="N27" s="11"/>
    </row>
    <row r="28" spans="1:14">
      <c r="G28" s="53"/>
      <c r="H28" s="11"/>
      <c r="I28" s="11"/>
      <c r="J28" s="11"/>
      <c r="K28" s="11"/>
      <c r="L28" s="11"/>
      <c r="M28" s="11"/>
      <c r="N28" s="11"/>
    </row>
    <row r="29" spans="1:14">
      <c r="G29" s="53"/>
      <c r="H29" s="11"/>
      <c r="I29" s="11"/>
      <c r="J29" s="11"/>
      <c r="K29" s="11"/>
      <c r="L29" s="11"/>
      <c r="M29" s="11"/>
      <c r="N29" s="11"/>
    </row>
    <row r="30" spans="1:14">
      <c r="G30" s="53"/>
      <c r="H30" s="11"/>
      <c r="I30" s="11"/>
      <c r="J30" s="11"/>
      <c r="K30" s="11"/>
      <c r="L30" s="11"/>
      <c r="M30" s="11"/>
      <c r="N30" s="11"/>
    </row>
    <row r="31" spans="1:14">
      <c r="G31" s="53"/>
      <c r="H31" s="11"/>
      <c r="I31" s="11"/>
      <c r="J31" s="11"/>
      <c r="K31" s="11"/>
      <c r="L31" s="11"/>
      <c r="M31" s="11"/>
      <c r="N31" s="11"/>
    </row>
    <row r="32" spans="1:14">
      <c r="G32" s="53"/>
      <c r="H32" s="11"/>
      <c r="I32" s="11"/>
      <c r="J32" s="11"/>
      <c r="K32" s="11"/>
      <c r="L32" s="11"/>
      <c r="M32" s="11"/>
      <c r="N32" s="11"/>
    </row>
    <row r="33" spans="7:14">
      <c r="G33" s="53"/>
      <c r="H33" s="11"/>
      <c r="I33" s="11"/>
      <c r="J33" s="11"/>
      <c r="K33" s="11"/>
      <c r="L33" s="11"/>
      <c r="M33" s="11"/>
      <c r="N33" s="11"/>
    </row>
    <row r="38" spans="7:14">
      <c r="N38" s="11"/>
    </row>
    <row r="41" spans="7:14">
      <c r="N41" s="45"/>
    </row>
    <row r="58" spans="7:7">
      <c r="G58" s="47"/>
    </row>
    <row r="60" spans="7:7">
      <c r="G60" s="46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D49F-EE33-4895-9032-027F516AE1D7}">
  <dimension ref="A1:N70"/>
  <sheetViews>
    <sheetView zoomScaleNormal="100" workbookViewId="0">
      <pane ySplit="4" topLeftCell="A15" activePane="bottomLeft" state="frozen"/>
      <selection activeCell="A20" activeCellId="2" sqref="G7:N8 A5:E15 A20:E27"/>
      <selection pane="bottomLeft" activeCell="A20" activeCellId="2" sqref="G7:N8 A5:E15 A20:E27"/>
    </sheetView>
  </sheetViews>
  <sheetFormatPr defaultRowHeight="14.5"/>
  <cols>
    <col min="1" max="1" width="81.1796875" bestFit="1" customWidth="1"/>
    <col min="2" max="2" width="18.81640625" style="11" bestFit="1" customWidth="1"/>
    <col min="3" max="3" width="15.1796875" bestFit="1" customWidth="1"/>
    <col min="4" max="4" width="26.1796875" bestFit="1" customWidth="1"/>
    <col min="5" max="5" width="25.36328125" style="3" bestFit="1" customWidth="1"/>
    <col min="6" max="6" width="8.36328125" customWidth="1"/>
    <col min="7" max="7" width="12" bestFit="1" customWidth="1"/>
    <col min="8" max="8" width="16.81640625" bestFit="1" customWidth="1"/>
    <col min="9" max="9" width="14.08984375" bestFit="1" customWidth="1"/>
    <col min="10" max="10" width="15.36328125" bestFit="1" customWidth="1"/>
    <col min="11" max="12" width="13.81640625" bestFit="1" customWidth="1"/>
    <col min="13" max="13" width="14.08984375" bestFit="1" customWidth="1"/>
    <col min="14" max="14" width="16.1796875" bestFit="1" customWidth="1"/>
    <col min="15" max="15" width="14.54296875" bestFit="1" customWidth="1"/>
  </cols>
  <sheetData>
    <row r="1" spans="1:14" ht="15.5">
      <c r="A1" s="143" t="s">
        <v>3</v>
      </c>
      <c r="B1" s="144"/>
      <c r="C1" s="144"/>
      <c r="D1" s="144"/>
      <c r="E1" s="144"/>
    </row>
    <row r="2" spans="1:14" ht="15.5">
      <c r="A2" s="1"/>
      <c r="B2" s="2"/>
      <c r="C2" s="70"/>
      <c r="D2" s="69"/>
      <c r="E2" s="46"/>
    </row>
    <row r="3" spans="1:14" ht="16" thickBot="1">
      <c r="A3" s="16" t="s">
        <v>5</v>
      </c>
      <c r="B3" s="17">
        <f>'27.07.26'!B33</f>
        <v>200007.30000000325</v>
      </c>
      <c r="C3" s="30"/>
      <c r="D3" s="38"/>
      <c r="E3" s="15"/>
    </row>
    <row r="4" spans="1:14" ht="16.5" thickBot="1">
      <c r="A4" s="39" t="s">
        <v>0</v>
      </c>
      <c r="B4" s="40">
        <f>SUM(B5:B55)</f>
        <v>16501794.830000002</v>
      </c>
      <c r="C4" s="41" t="s">
        <v>1</v>
      </c>
      <c r="D4" s="44" t="s">
        <v>7</v>
      </c>
      <c r="E4" s="43" t="s">
        <v>2</v>
      </c>
      <c r="G4" s="23" t="s">
        <v>8</v>
      </c>
      <c r="H4" s="23" t="s">
        <v>12</v>
      </c>
      <c r="I4" s="23" t="s">
        <v>51</v>
      </c>
      <c r="J4" s="23" t="s">
        <v>10</v>
      </c>
      <c r="K4" s="53"/>
      <c r="L4" s="53"/>
      <c r="M4" s="53"/>
      <c r="N4" s="53"/>
    </row>
    <row r="5" spans="1:14" ht="16" thickBot="1">
      <c r="A5" s="80"/>
      <c r="B5" s="20"/>
      <c r="C5" s="9"/>
      <c r="D5" s="9"/>
      <c r="E5" s="7"/>
      <c r="G5" s="23">
        <v>2765</v>
      </c>
      <c r="H5" s="34">
        <v>6762.8</v>
      </c>
      <c r="I5" s="34">
        <f>H5*5%</f>
        <v>338.14000000000004</v>
      </c>
      <c r="J5" s="34">
        <f>H5-I5</f>
        <v>6424.66</v>
      </c>
      <c r="K5" s="53"/>
      <c r="L5" s="53"/>
      <c r="M5" s="53"/>
      <c r="N5" s="53"/>
    </row>
    <row r="6" spans="1:14" ht="16" thickBot="1">
      <c r="A6" s="8"/>
      <c r="B6" s="20"/>
      <c r="C6" s="9"/>
      <c r="D6" s="9"/>
      <c r="E6" s="7"/>
      <c r="G6" s="53"/>
      <c r="H6" s="53"/>
      <c r="I6" s="53"/>
      <c r="J6" s="53"/>
      <c r="K6" s="53"/>
      <c r="L6" s="53"/>
      <c r="M6" s="53"/>
      <c r="N6" s="53"/>
    </row>
    <row r="7" spans="1:14" ht="16" thickBot="1">
      <c r="A7" s="8"/>
      <c r="B7" s="20"/>
      <c r="C7" s="9"/>
      <c r="D7" s="9"/>
      <c r="E7" s="7"/>
      <c r="G7" s="23"/>
      <c r="H7" s="23"/>
      <c r="I7" s="23"/>
      <c r="J7" s="23"/>
      <c r="K7" s="23"/>
      <c r="L7" s="23"/>
      <c r="M7" s="23"/>
      <c r="N7" s="23"/>
    </row>
    <row r="8" spans="1:14" ht="16" thickBot="1">
      <c r="A8" s="8"/>
      <c r="B8" s="20"/>
      <c r="C8" s="9"/>
      <c r="D8" s="9"/>
      <c r="E8" s="7"/>
      <c r="G8" s="25"/>
      <c r="H8" s="32"/>
      <c r="I8" s="32"/>
      <c r="J8" s="32"/>
      <c r="K8" s="32"/>
      <c r="L8" s="32"/>
      <c r="M8" s="32"/>
      <c r="N8" s="32"/>
    </row>
    <row r="9" spans="1:14" ht="15.5">
      <c r="A9" s="8"/>
      <c r="B9" s="20"/>
      <c r="C9" s="9"/>
      <c r="D9" s="9"/>
      <c r="E9" s="7"/>
    </row>
    <row r="10" spans="1:14" ht="15.5">
      <c r="A10" s="8"/>
      <c r="B10" s="20"/>
      <c r="C10" s="9"/>
      <c r="D10" s="9"/>
      <c r="E10" s="7"/>
      <c r="N10" s="11"/>
    </row>
    <row r="11" spans="1:14" ht="15.5">
      <c r="A11" s="8"/>
      <c r="B11" s="20"/>
      <c r="C11" s="9"/>
      <c r="D11" s="9"/>
      <c r="E11" s="7"/>
    </row>
    <row r="12" spans="1:14" ht="15.5">
      <c r="A12" s="8"/>
      <c r="B12" s="20"/>
      <c r="C12" s="9"/>
      <c r="D12" s="9"/>
      <c r="E12" s="7"/>
    </row>
    <row r="13" spans="1:14" ht="15.5">
      <c r="A13" s="8"/>
      <c r="B13" s="20"/>
      <c r="C13" s="9"/>
      <c r="D13" s="9"/>
      <c r="E13" s="7"/>
      <c r="N13" s="45"/>
    </row>
    <row r="14" spans="1:14" ht="15.5">
      <c r="A14" s="8"/>
      <c r="B14" s="20"/>
      <c r="C14" s="9"/>
      <c r="D14" s="9"/>
      <c r="E14" s="7"/>
    </row>
    <row r="15" spans="1:14" ht="15.5">
      <c r="A15" s="8"/>
      <c r="B15" s="20"/>
      <c r="C15" s="9"/>
      <c r="D15" s="9"/>
      <c r="E15" s="7"/>
    </row>
    <row r="16" spans="1:14" ht="15.5">
      <c r="A16" s="67" t="s">
        <v>55</v>
      </c>
      <c r="B16" s="68">
        <v>1233893.17</v>
      </c>
      <c r="C16" s="61" t="s">
        <v>19</v>
      </c>
      <c r="D16" s="61" t="s">
        <v>30</v>
      </c>
      <c r="E16" s="62" t="s">
        <v>48</v>
      </c>
    </row>
    <row r="17" spans="1:7" ht="15.5">
      <c r="A17" s="67" t="s">
        <v>56</v>
      </c>
      <c r="B17" s="68">
        <v>952157.16</v>
      </c>
      <c r="C17" s="61" t="s">
        <v>19</v>
      </c>
      <c r="D17" s="61" t="s">
        <v>31</v>
      </c>
      <c r="E17" s="62" t="s">
        <v>48</v>
      </c>
    </row>
    <row r="18" spans="1:7" ht="15.5">
      <c r="A18" s="67" t="s">
        <v>57</v>
      </c>
      <c r="B18" s="68">
        <v>1305547.93</v>
      </c>
      <c r="C18" s="61" t="s">
        <v>19</v>
      </c>
      <c r="D18" s="61" t="s">
        <v>32</v>
      </c>
      <c r="E18" s="62" t="s">
        <v>48</v>
      </c>
    </row>
    <row r="19" spans="1:7" ht="15.5">
      <c r="A19" s="67" t="s">
        <v>58</v>
      </c>
      <c r="B19" s="68">
        <v>684450.52</v>
      </c>
      <c r="C19" s="61" t="s">
        <v>19</v>
      </c>
      <c r="D19" s="61" t="s">
        <v>33</v>
      </c>
      <c r="E19" s="62" t="s">
        <v>48</v>
      </c>
    </row>
    <row r="20" spans="1:7" ht="15.5">
      <c r="A20" s="8"/>
      <c r="B20" s="20"/>
      <c r="C20" s="9"/>
      <c r="D20" s="9"/>
      <c r="E20" s="7"/>
    </row>
    <row r="21" spans="1:7" ht="15.5">
      <c r="A21" s="8"/>
      <c r="B21" s="20"/>
      <c r="C21" s="9"/>
      <c r="D21" s="9"/>
      <c r="E21" s="7"/>
    </row>
    <row r="22" spans="1:7" ht="15.5">
      <c r="A22" s="8"/>
      <c r="B22" s="20"/>
      <c r="C22" s="9"/>
      <c r="D22" s="9"/>
      <c r="E22" s="7"/>
    </row>
    <row r="23" spans="1:7" ht="15.5">
      <c r="A23" s="8"/>
      <c r="B23" s="20"/>
      <c r="C23" s="9"/>
      <c r="D23" s="9"/>
      <c r="E23" s="7"/>
    </row>
    <row r="24" spans="1:7" ht="15.5">
      <c r="A24" s="8"/>
      <c r="B24" s="20"/>
      <c r="C24" s="9"/>
      <c r="D24" s="9"/>
      <c r="E24" s="7"/>
    </row>
    <row r="25" spans="1:7" ht="15.5">
      <c r="A25" s="8"/>
      <c r="B25" s="20"/>
      <c r="C25" s="9"/>
      <c r="D25" s="9"/>
      <c r="E25" s="7"/>
    </row>
    <row r="26" spans="1:7" ht="15.5">
      <c r="A26" s="8"/>
      <c r="B26" s="20"/>
      <c r="C26" s="9"/>
      <c r="D26" s="9"/>
      <c r="E26" s="7"/>
    </row>
    <row r="27" spans="1:7" ht="15.5">
      <c r="A27" s="8"/>
      <c r="B27" s="20"/>
      <c r="C27" s="9"/>
      <c r="D27" s="9"/>
      <c r="E27" s="7"/>
    </row>
    <row r="28" spans="1:7" ht="15.5">
      <c r="A28" s="67" t="s">
        <v>59</v>
      </c>
      <c r="B28" s="68">
        <v>550006.18000000005</v>
      </c>
      <c r="C28" s="61" t="s">
        <v>19</v>
      </c>
      <c r="D28" s="61" t="s">
        <v>34</v>
      </c>
      <c r="E28" s="62" t="s">
        <v>48</v>
      </c>
    </row>
    <row r="29" spans="1:7" ht="15.5">
      <c r="A29" s="67" t="s">
        <v>60</v>
      </c>
      <c r="B29" s="68">
        <v>1207312.98</v>
      </c>
      <c r="C29" s="61" t="s">
        <v>19</v>
      </c>
      <c r="D29" s="61" t="s">
        <v>35</v>
      </c>
      <c r="E29" s="62" t="s">
        <v>48</v>
      </c>
      <c r="F29" t="s">
        <v>49</v>
      </c>
    </row>
    <row r="30" spans="1:7" ht="15.5">
      <c r="A30" s="67" t="s">
        <v>61</v>
      </c>
      <c r="B30" s="68">
        <v>1978239.04</v>
      </c>
      <c r="C30" s="61" t="s">
        <v>19</v>
      </c>
      <c r="D30" s="61" t="s">
        <v>36</v>
      </c>
      <c r="E30" s="62" t="s">
        <v>48</v>
      </c>
      <c r="G30" s="47"/>
    </row>
    <row r="31" spans="1:7" ht="15.5">
      <c r="A31" s="67" t="s">
        <v>62</v>
      </c>
      <c r="B31" s="68">
        <v>2051430.41</v>
      </c>
      <c r="C31" s="61" t="s">
        <v>19</v>
      </c>
      <c r="D31" s="61" t="s">
        <v>37</v>
      </c>
      <c r="E31" s="62" t="s">
        <v>48</v>
      </c>
    </row>
    <row r="32" spans="1:7" ht="15.5">
      <c r="A32" s="67" t="s">
        <v>63</v>
      </c>
      <c r="B32" s="68">
        <v>864125.47</v>
      </c>
      <c r="C32" s="61" t="s">
        <v>19</v>
      </c>
      <c r="D32" s="61" t="s">
        <v>38</v>
      </c>
      <c r="E32" s="62" t="s">
        <v>48</v>
      </c>
      <c r="G32" s="46"/>
    </row>
    <row r="33" spans="1:8" ht="15.5">
      <c r="A33" s="67" t="s">
        <v>64</v>
      </c>
      <c r="B33" s="68">
        <v>2175383.21</v>
      </c>
      <c r="C33" s="61" t="s">
        <v>19</v>
      </c>
      <c r="D33" s="61" t="s">
        <v>39</v>
      </c>
      <c r="E33" s="62" t="s">
        <v>48</v>
      </c>
    </row>
    <row r="34" spans="1:8" ht="15.5">
      <c r="A34" s="67" t="s">
        <v>65</v>
      </c>
      <c r="B34" s="68">
        <v>669720.28</v>
      </c>
      <c r="C34" s="61" t="s">
        <v>19</v>
      </c>
      <c r="D34" s="61" t="s">
        <v>40</v>
      </c>
      <c r="E34" s="62" t="s">
        <v>48</v>
      </c>
    </row>
    <row r="35" spans="1:8" ht="15.5">
      <c r="A35" s="67" t="s">
        <v>66</v>
      </c>
      <c r="B35" s="68">
        <v>1284245.32</v>
      </c>
      <c r="C35" s="61" t="s">
        <v>19</v>
      </c>
      <c r="D35" s="61" t="s">
        <v>41</v>
      </c>
      <c r="E35" s="62" t="s">
        <v>48</v>
      </c>
    </row>
    <row r="36" spans="1:8" ht="15.5">
      <c r="A36" s="67" t="s">
        <v>67</v>
      </c>
      <c r="B36" s="68">
        <v>586933.32999999996</v>
      </c>
      <c r="C36" s="61" t="s">
        <v>19</v>
      </c>
      <c r="D36" s="61" t="s">
        <v>42</v>
      </c>
      <c r="E36" s="62" t="s">
        <v>48</v>
      </c>
      <c r="F36" s="79" t="s">
        <v>52</v>
      </c>
      <c r="G36" s="79" t="s">
        <v>53</v>
      </c>
    </row>
    <row r="37" spans="1:8" ht="15.5">
      <c r="A37" s="67" t="s">
        <v>68</v>
      </c>
      <c r="B37" s="68">
        <v>767588.98</v>
      </c>
      <c r="C37" s="61" t="s">
        <v>19</v>
      </c>
      <c r="D37" s="61" t="s">
        <v>43</v>
      </c>
      <c r="E37" s="62" t="s">
        <v>48</v>
      </c>
      <c r="F37" s="79" t="s">
        <v>52</v>
      </c>
      <c r="G37" s="79" t="s">
        <v>53</v>
      </c>
    </row>
    <row r="38" spans="1:8" ht="15.5">
      <c r="A38" s="67" t="s">
        <v>69</v>
      </c>
      <c r="B38" s="68">
        <v>184291.82</v>
      </c>
      <c r="C38" s="61" t="s">
        <v>19</v>
      </c>
      <c r="D38" s="61" t="s">
        <v>44</v>
      </c>
      <c r="E38" s="62" t="s">
        <v>48</v>
      </c>
      <c r="F38" s="79" t="s">
        <v>52</v>
      </c>
      <c r="G38" s="79" t="s">
        <v>53</v>
      </c>
      <c r="H38" t="s">
        <v>54</v>
      </c>
    </row>
    <row r="39" spans="1:8" ht="15.5">
      <c r="A39" s="67" t="s">
        <v>29</v>
      </c>
      <c r="B39" s="68">
        <v>43.46</v>
      </c>
      <c r="C39" s="61" t="s">
        <v>19</v>
      </c>
      <c r="D39" s="61" t="s">
        <v>45</v>
      </c>
      <c r="E39" s="62" t="s">
        <v>50</v>
      </c>
    </row>
    <row r="40" spans="1:8" ht="15.5">
      <c r="A40" s="67" t="s">
        <v>29</v>
      </c>
      <c r="B40" s="68">
        <v>0.91</v>
      </c>
      <c r="C40" s="61" t="s">
        <v>19</v>
      </c>
      <c r="D40" s="61" t="s">
        <v>46</v>
      </c>
      <c r="E40" s="62" t="s">
        <v>50</v>
      </c>
    </row>
    <row r="41" spans="1:8" ht="15.5">
      <c r="A41" s="67" t="s">
        <v>27</v>
      </c>
      <c r="B41" s="68">
        <v>6424.66</v>
      </c>
      <c r="C41" s="61" t="s">
        <v>19</v>
      </c>
      <c r="D41" s="61" t="s">
        <v>47</v>
      </c>
      <c r="E41" s="62" t="s">
        <v>28</v>
      </c>
    </row>
    <row r="42" spans="1:8" ht="15.5">
      <c r="A42" s="8"/>
      <c r="B42" s="20"/>
      <c r="C42" s="9"/>
      <c r="D42" s="9"/>
      <c r="E42" s="7"/>
    </row>
    <row r="43" spans="1:8" ht="15.5">
      <c r="A43" s="8"/>
      <c r="B43" s="20"/>
      <c r="C43" s="9"/>
      <c r="D43" s="9"/>
      <c r="E43" s="7"/>
    </row>
    <row r="44" spans="1:8" ht="15.5">
      <c r="A44" s="8"/>
      <c r="B44" s="20"/>
      <c r="C44" s="9"/>
      <c r="D44" s="9"/>
      <c r="E44" s="7"/>
    </row>
    <row r="45" spans="1:8" ht="15.5">
      <c r="A45" s="8"/>
      <c r="B45" s="20"/>
      <c r="C45" s="9"/>
      <c r="D45" s="9"/>
      <c r="E45" s="7"/>
    </row>
    <row r="46" spans="1:8" ht="15.5">
      <c r="A46" s="8"/>
      <c r="B46" s="20"/>
      <c r="C46" s="9"/>
      <c r="D46" s="9"/>
      <c r="E46" s="7"/>
    </row>
    <row r="47" spans="1:8" ht="15.5">
      <c r="A47" s="8"/>
      <c r="B47" s="20"/>
      <c r="C47" s="9"/>
      <c r="D47" s="9"/>
      <c r="E47" s="7"/>
    </row>
    <row r="48" spans="1:8" ht="15.5">
      <c r="A48" s="8"/>
      <c r="B48" s="20"/>
      <c r="C48" s="9"/>
      <c r="D48" s="9"/>
      <c r="E48" s="7"/>
    </row>
    <row r="49" spans="1:5" ht="15.5">
      <c r="A49" s="8"/>
      <c r="B49" s="20"/>
      <c r="C49" s="9"/>
      <c r="D49" s="9"/>
      <c r="E49" s="7"/>
    </row>
    <row r="50" spans="1:5" ht="15.5">
      <c r="A50" s="8"/>
      <c r="B50" s="20"/>
      <c r="C50" s="9"/>
      <c r="D50" s="9"/>
      <c r="E50" s="7"/>
    </row>
    <row r="51" spans="1:5" ht="15.5">
      <c r="A51" s="8"/>
      <c r="B51" s="20"/>
      <c r="C51" s="9"/>
      <c r="D51" s="9"/>
      <c r="E51" s="7"/>
    </row>
    <row r="52" spans="1:5" ht="15.5">
      <c r="A52" s="8"/>
      <c r="B52" s="20"/>
      <c r="C52" s="9"/>
      <c r="D52" s="9"/>
      <c r="E52" s="7"/>
    </row>
    <row r="53" spans="1:5" ht="15.5">
      <c r="A53" s="8"/>
      <c r="B53" s="20"/>
      <c r="C53" s="9"/>
      <c r="D53" s="9"/>
      <c r="E53" s="7"/>
    </row>
    <row r="54" spans="1:5" ht="15.5">
      <c r="A54" s="8"/>
      <c r="B54" s="20"/>
      <c r="C54" s="9"/>
      <c r="D54" s="9"/>
      <c r="E54" s="7"/>
    </row>
    <row r="55" spans="1:5" ht="15.5">
      <c r="A55" s="8"/>
      <c r="B55" s="20"/>
      <c r="C55" s="9"/>
      <c r="D55" s="9"/>
      <c r="E55" s="7"/>
    </row>
    <row r="56" spans="1:5" ht="16">
      <c r="A56" s="39" t="s">
        <v>6</v>
      </c>
      <c r="B56" s="40">
        <f>SUM(B57:B69)</f>
        <v>37943611.190000005</v>
      </c>
      <c r="C56" s="41" t="s">
        <v>1</v>
      </c>
      <c r="D56" s="42" t="s">
        <v>7</v>
      </c>
      <c r="E56" s="43" t="s">
        <v>2</v>
      </c>
    </row>
    <row r="57" spans="1:5" ht="15.5">
      <c r="A57" s="67" t="s">
        <v>70</v>
      </c>
      <c r="B57" s="68">
        <v>37943609.490000002</v>
      </c>
      <c r="C57" s="61" t="s">
        <v>19</v>
      </c>
      <c r="D57" s="61"/>
      <c r="E57" s="62" t="s">
        <v>25</v>
      </c>
    </row>
    <row r="58" spans="1:5" ht="15.5">
      <c r="A58" s="67" t="s">
        <v>71</v>
      </c>
      <c r="B58" s="68">
        <v>1.7</v>
      </c>
      <c r="C58" s="61" t="s">
        <v>19</v>
      </c>
      <c r="D58" s="61" t="s">
        <v>72</v>
      </c>
      <c r="E58" s="62" t="s">
        <v>21</v>
      </c>
    </row>
    <row r="59" spans="1:5" ht="15.5">
      <c r="A59" s="8"/>
      <c r="B59" s="20"/>
      <c r="C59" s="9"/>
      <c r="D59" s="9"/>
      <c r="E59" s="7"/>
    </row>
    <row r="60" spans="1:5" ht="15.5">
      <c r="A60" s="8"/>
      <c r="B60" s="20"/>
      <c r="C60" s="9"/>
      <c r="D60" s="9"/>
      <c r="E60" s="7"/>
    </row>
    <row r="61" spans="1:5" ht="15.5">
      <c r="A61" s="8"/>
      <c r="B61" s="20"/>
      <c r="C61" s="9"/>
      <c r="D61" s="9"/>
      <c r="E61" s="7"/>
    </row>
    <row r="62" spans="1:5" ht="15.5">
      <c r="A62" s="8"/>
      <c r="B62" s="20"/>
      <c r="C62" s="9"/>
      <c r="D62" s="9"/>
      <c r="E62" s="7"/>
    </row>
    <row r="63" spans="1:5" ht="15.5">
      <c r="A63" s="8"/>
      <c r="B63" s="20"/>
      <c r="C63" s="9"/>
      <c r="D63" s="9"/>
      <c r="E63" s="7"/>
    </row>
    <row r="64" spans="1:5" ht="15.5">
      <c r="A64" s="8"/>
      <c r="B64" s="20"/>
      <c r="C64" s="9"/>
      <c r="D64" s="9"/>
      <c r="E64" s="7"/>
    </row>
    <row r="65" spans="1:5" ht="15.5">
      <c r="A65" s="8"/>
      <c r="B65" s="20"/>
      <c r="C65" s="10"/>
      <c r="D65" s="10"/>
      <c r="E65" s="7"/>
    </row>
    <row r="66" spans="1:5" ht="15.5">
      <c r="A66" s="8"/>
      <c r="B66" s="20"/>
      <c r="C66" s="9"/>
      <c r="D66" s="9"/>
      <c r="E66" s="7"/>
    </row>
    <row r="67" spans="1:5" ht="15.5">
      <c r="A67" s="8"/>
      <c r="B67" s="20"/>
      <c r="C67" s="10"/>
      <c r="D67" s="10"/>
      <c r="E67" s="7"/>
    </row>
    <row r="68" spans="1:5" ht="15.5">
      <c r="A68" s="8"/>
      <c r="B68" s="20"/>
      <c r="C68" s="9"/>
      <c r="D68" s="9"/>
      <c r="E68" s="7"/>
    </row>
    <row r="69" spans="1:5" ht="15.5">
      <c r="A69" s="8"/>
      <c r="B69" s="20"/>
      <c r="C69" s="10"/>
      <c r="D69" s="10"/>
      <c r="E69" s="7"/>
    </row>
    <row r="70" spans="1:5">
      <c r="A70" s="16" t="s">
        <v>4</v>
      </c>
      <c r="B70" s="21">
        <f>B3+B4-B56</f>
        <v>-21241809.060000002</v>
      </c>
      <c r="E70" s="15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D0CB-34C3-4FB7-8B0D-BA1E70D03E29}">
  <dimension ref="A1:D33"/>
  <sheetViews>
    <sheetView workbookViewId="0">
      <selection activeCell="B3" sqref="B3"/>
    </sheetView>
  </sheetViews>
  <sheetFormatPr defaultRowHeight="14.5"/>
  <cols>
    <col min="1" max="1" width="76.6328125" customWidth="1"/>
    <col min="2" max="2" width="40.90625" style="11" bestFit="1" customWidth="1"/>
    <col min="3" max="3" width="37.6328125" customWidth="1"/>
    <col min="4" max="4" width="42.81640625" style="3" customWidth="1"/>
    <col min="5" max="5" width="29.36328125" bestFit="1" customWidth="1"/>
    <col min="6" max="6" width="14.36328125" bestFit="1" customWidth="1"/>
    <col min="7" max="7" width="16.54296875" bestFit="1" customWidth="1"/>
    <col min="8" max="8" width="13.36328125" bestFit="1" customWidth="1"/>
    <col min="9" max="11" width="12.08984375" bestFit="1" customWidth="1"/>
    <col min="12" max="13" width="15.08984375" bestFit="1" customWidth="1"/>
  </cols>
  <sheetData>
    <row r="1" spans="1:4" ht="15.5">
      <c r="A1" s="143" t="s">
        <v>3</v>
      </c>
      <c r="B1" s="144"/>
      <c r="C1" s="144"/>
      <c r="D1" s="144"/>
    </row>
    <row r="2" spans="1:4" ht="15.5">
      <c r="A2" s="1"/>
      <c r="B2" s="2"/>
    </row>
    <row r="3" spans="1:4" ht="15.5">
      <c r="A3" s="16" t="s">
        <v>5</v>
      </c>
      <c r="B3" s="17" t="e">
        <f>#REF!</f>
        <v>#REF!</v>
      </c>
      <c r="D3" s="15"/>
    </row>
    <row r="4" spans="1:4" ht="15.5">
      <c r="A4" s="4" t="s">
        <v>0</v>
      </c>
      <c r="B4" s="18">
        <f>SUM(B5:B18)</f>
        <v>0</v>
      </c>
      <c r="C4" s="5" t="s">
        <v>1</v>
      </c>
      <c r="D4" s="6" t="s">
        <v>2</v>
      </c>
    </row>
    <row r="5" spans="1:4" ht="15.5">
      <c r="A5" s="12"/>
      <c r="B5" s="19"/>
      <c r="C5" s="13"/>
      <c r="D5" s="14"/>
    </row>
    <row r="6" spans="1:4" ht="15.5">
      <c r="A6" s="12"/>
      <c r="B6" s="19"/>
      <c r="C6" s="13"/>
      <c r="D6" s="14"/>
    </row>
    <row r="7" spans="1:4" ht="15.5">
      <c r="A7" s="12"/>
      <c r="B7" s="19"/>
      <c r="C7" s="13"/>
      <c r="D7" s="14"/>
    </row>
    <row r="8" spans="1:4" ht="15.5">
      <c r="A8" s="12"/>
      <c r="B8" s="19"/>
      <c r="C8" s="13"/>
      <c r="D8" s="14"/>
    </row>
    <row r="9" spans="1:4" ht="15.5">
      <c r="A9" s="12"/>
      <c r="B9" s="19"/>
      <c r="C9" s="13"/>
      <c r="D9" s="14"/>
    </row>
    <row r="10" spans="1:4" ht="15.5">
      <c r="A10" s="8"/>
      <c r="B10" s="20"/>
      <c r="C10" s="9"/>
      <c r="D10" s="7"/>
    </row>
    <row r="11" spans="1:4" ht="15.5">
      <c r="A11" s="8"/>
      <c r="B11" s="20"/>
      <c r="C11" s="9"/>
      <c r="D11" s="7"/>
    </row>
    <row r="12" spans="1:4" ht="15.5">
      <c r="A12" s="8"/>
      <c r="B12" s="20"/>
      <c r="C12" s="9"/>
      <c r="D12" s="7"/>
    </row>
    <row r="13" spans="1:4" ht="15.5">
      <c r="A13" s="8"/>
      <c r="B13" s="20"/>
      <c r="C13" s="9"/>
      <c r="D13" s="7"/>
    </row>
    <row r="14" spans="1:4" ht="15.5">
      <c r="A14" s="8"/>
      <c r="B14" s="20"/>
      <c r="C14" s="9"/>
      <c r="D14" s="7"/>
    </row>
    <row r="15" spans="1:4" ht="15.5">
      <c r="A15" s="8"/>
      <c r="B15" s="20"/>
      <c r="C15" s="9"/>
      <c r="D15" s="7"/>
    </row>
    <row r="16" spans="1:4" ht="15.5">
      <c r="A16" s="8"/>
      <c r="B16" s="20"/>
      <c r="C16" s="9"/>
      <c r="D16" s="7"/>
    </row>
    <row r="17" spans="1:4" ht="15.5">
      <c r="A17" s="8"/>
      <c r="B17" s="20"/>
      <c r="C17" s="9"/>
      <c r="D17" s="7"/>
    </row>
    <row r="18" spans="1:4" ht="15.5">
      <c r="A18" s="8"/>
      <c r="B18" s="20"/>
      <c r="C18" s="10"/>
      <c r="D18" s="7"/>
    </row>
    <row r="19" spans="1:4" ht="15.5">
      <c r="A19" s="4" t="s">
        <v>6</v>
      </c>
      <c r="B19" s="18">
        <f>SUM(B20:B32)</f>
        <v>0</v>
      </c>
      <c r="C19" s="5" t="s">
        <v>1</v>
      </c>
      <c r="D19" s="6" t="s">
        <v>2</v>
      </c>
    </row>
    <row r="20" spans="1:4" ht="15.5">
      <c r="A20" s="8"/>
      <c r="B20" s="20"/>
      <c r="C20" s="10"/>
      <c r="D20" s="7"/>
    </row>
    <row r="21" spans="1:4" ht="15.5">
      <c r="A21" s="8"/>
      <c r="B21" s="20"/>
      <c r="C21" s="10"/>
      <c r="D21" s="7"/>
    </row>
    <row r="22" spans="1:4" ht="15.5">
      <c r="A22" s="8"/>
      <c r="B22" s="20"/>
      <c r="C22" s="10"/>
      <c r="D22" s="7"/>
    </row>
    <row r="23" spans="1:4" ht="15.5">
      <c r="A23" s="8"/>
      <c r="B23" s="20"/>
      <c r="C23" s="10"/>
      <c r="D23" s="7"/>
    </row>
    <row r="24" spans="1:4" ht="15.5">
      <c r="A24" s="8"/>
      <c r="B24" s="20"/>
      <c r="C24" s="10"/>
      <c r="D24" s="7"/>
    </row>
    <row r="25" spans="1:4" ht="15.5">
      <c r="A25" s="8"/>
      <c r="B25" s="20"/>
      <c r="C25" s="10"/>
      <c r="D25" s="7"/>
    </row>
    <row r="26" spans="1:4" ht="15.5">
      <c r="A26" s="8"/>
      <c r="B26" s="20"/>
      <c r="C26" s="10"/>
      <c r="D26" s="7"/>
    </row>
    <row r="27" spans="1:4" ht="15.5">
      <c r="A27" s="8"/>
      <c r="B27" s="20"/>
      <c r="C27" s="10"/>
      <c r="D27" s="7"/>
    </row>
    <row r="28" spans="1:4" ht="15.5">
      <c r="A28" s="8"/>
      <c r="B28" s="20"/>
      <c r="C28" s="10"/>
      <c r="D28" s="7"/>
    </row>
    <row r="29" spans="1:4" ht="15.5">
      <c r="A29" s="8"/>
      <c r="B29" s="20"/>
      <c r="C29" s="10"/>
      <c r="D29" s="7"/>
    </row>
    <row r="30" spans="1:4" ht="15.5">
      <c r="A30" s="8"/>
      <c r="B30" s="20"/>
      <c r="C30" s="10"/>
      <c r="D30" s="7"/>
    </row>
    <row r="31" spans="1:4" ht="15.5">
      <c r="A31" s="8"/>
      <c r="B31" s="20"/>
      <c r="C31" s="10"/>
      <c r="D31" s="7"/>
    </row>
    <row r="32" spans="1:4" ht="15.5">
      <c r="A32" s="8"/>
      <c r="B32" s="20"/>
      <c r="C32" s="10"/>
      <c r="D32" s="7"/>
    </row>
    <row r="33" spans="1:4">
      <c r="A33" s="16" t="s">
        <v>4</v>
      </c>
      <c r="B33" s="21" t="e">
        <f>B3+B4-B19</f>
        <v>#REF!</v>
      </c>
      <c r="D33" s="15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B1AF-604D-452A-8FF2-055A3D6FD907}">
  <dimension ref="A1:D33"/>
  <sheetViews>
    <sheetView workbookViewId="0">
      <selection activeCell="B3" sqref="B3"/>
    </sheetView>
  </sheetViews>
  <sheetFormatPr defaultRowHeight="14.5"/>
  <cols>
    <col min="1" max="1" width="76.6328125" customWidth="1"/>
    <col min="2" max="2" width="40.90625" style="11" bestFit="1" customWidth="1"/>
    <col min="3" max="3" width="37.6328125" customWidth="1"/>
    <col min="4" max="4" width="42.81640625" style="3" customWidth="1"/>
    <col min="5" max="5" width="29.36328125" bestFit="1" customWidth="1"/>
    <col min="6" max="6" width="14.36328125" bestFit="1" customWidth="1"/>
    <col min="7" max="7" width="16.54296875" bestFit="1" customWidth="1"/>
    <col min="8" max="8" width="13.36328125" bestFit="1" customWidth="1"/>
    <col min="9" max="11" width="12.08984375" bestFit="1" customWidth="1"/>
    <col min="12" max="13" width="15.08984375" bestFit="1" customWidth="1"/>
  </cols>
  <sheetData>
    <row r="1" spans="1:4" ht="15.5">
      <c r="A1" s="143" t="s">
        <v>3</v>
      </c>
      <c r="B1" s="144"/>
      <c r="C1" s="144"/>
      <c r="D1" s="144"/>
    </row>
    <row r="2" spans="1:4" ht="15.5">
      <c r="A2" s="1"/>
      <c r="B2" s="2"/>
    </row>
    <row r="3" spans="1:4" ht="15.5">
      <c r="A3" s="16" t="s">
        <v>5</v>
      </c>
      <c r="B3" s="17" t="e">
        <f>'Penultimo dia '!B33</f>
        <v>#REF!</v>
      </c>
      <c r="D3" s="15"/>
    </row>
    <row r="4" spans="1:4" ht="15.5">
      <c r="A4" s="4" t="s">
        <v>0</v>
      </c>
      <c r="B4" s="18">
        <f>SUM(B5:B18)</f>
        <v>0</v>
      </c>
      <c r="C4" s="5" t="s">
        <v>1</v>
      </c>
      <c r="D4" s="6" t="s">
        <v>2</v>
      </c>
    </row>
    <row r="5" spans="1:4" ht="15.5">
      <c r="A5" s="12"/>
      <c r="B5" s="19"/>
      <c r="C5" s="13"/>
      <c r="D5" s="14"/>
    </row>
    <row r="6" spans="1:4" ht="15.5">
      <c r="A6" s="12"/>
      <c r="B6" s="19"/>
      <c r="C6" s="13"/>
      <c r="D6" s="14"/>
    </row>
    <row r="7" spans="1:4" ht="15.5">
      <c r="A7" s="12"/>
      <c r="B7" s="19"/>
      <c r="C7" s="13"/>
      <c r="D7" s="14"/>
    </row>
    <row r="8" spans="1:4" ht="15.5">
      <c r="A8" s="12"/>
      <c r="B8" s="19"/>
      <c r="C8" s="13"/>
      <c r="D8" s="14"/>
    </row>
    <row r="9" spans="1:4" ht="15.5">
      <c r="A9" s="12"/>
      <c r="B9" s="19"/>
      <c r="C9" s="13"/>
      <c r="D9" s="14"/>
    </row>
    <row r="10" spans="1:4" ht="15.5">
      <c r="A10" s="8"/>
      <c r="B10" s="20"/>
      <c r="C10" s="9"/>
      <c r="D10" s="7"/>
    </row>
    <row r="11" spans="1:4" ht="15.5">
      <c r="A11" s="8"/>
      <c r="B11" s="20"/>
      <c r="C11" s="9"/>
      <c r="D11" s="7"/>
    </row>
    <row r="12" spans="1:4" ht="15.5">
      <c r="A12" s="8"/>
      <c r="B12" s="20"/>
      <c r="C12" s="9"/>
      <c r="D12" s="7"/>
    </row>
    <row r="13" spans="1:4" ht="15.5">
      <c r="A13" s="8"/>
      <c r="B13" s="20"/>
      <c r="C13" s="9"/>
      <c r="D13" s="7"/>
    </row>
    <row r="14" spans="1:4" ht="15.5">
      <c r="A14" s="8"/>
      <c r="B14" s="20"/>
      <c r="C14" s="9"/>
      <c r="D14" s="7"/>
    </row>
    <row r="15" spans="1:4" ht="15.5">
      <c r="A15" s="8"/>
      <c r="B15" s="20"/>
      <c r="C15" s="9"/>
      <c r="D15" s="7"/>
    </row>
    <row r="16" spans="1:4" ht="15.5">
      <c r="A16" s="8"/>
      <c r="B16" s="20"/>
      <c r="C16" s="9"/>
      <c r="D16" s="7"/>
    </row>
    <row r="17" spans="1:4" ht="15.5">
      <c r="A17" s="8"/>
      <c r="B17" s="20"/>
      <c r="C17" s="9"/>
      <c r="D17" s="7"/>
    </row>
    <row r="18" spans="1:4" ht="15.5">
      <c r="A18" s="8"/>
      <c r="B18" s="20"/>
      <c r="C18" s="10"/>
      <c r="D18" s="7"/>
    </row>
    <row r="19" spans="1:4" ht="15.5">
      <c r="A19" s="4" t="s">
        <v>6</v>
      </c>
      <c r="B19" s="18">
        <f>SUM(B20:B32)</f>
        <v>0</v>
      </c>
      <c r="C19" s="5" t="s">
        <v>1</v>
      </c>
      <c r="D19" s="6" t="s">
        <v>2</v>
      </c>
    </row>
    <row r="20" spans="1:4" ht="15.5">
      <c r="A20" s="8"/>
      <c r="B20" s="20"/>
      <c r="C20" s="10"/>
      <c r="D20" s="7"/>
    </row>
    <row r="21" spans="1:4" ht="15.5">
      <c r="A21" s="8"/>
      <c r="B21" s="20"/>
      <c r="C21" s="10"/>
      <c r="D21" s="7"/>
    </row>
    <row r="22" spans="1:4" ht="15.5">
      <c r="A22" s="8"/>
      <c r="B22" s="20"/>
      <c r="C22" s="10"/>
      <c r="D22" s="7"/>
    </row>
    <row r="23" spans="1:4" ht="15.5">
      <c r="A23" s="8"/>
      <c r="B23" s="20"/>
      <c r="C23" s="10"/>
      <c r="D23" s="7"/>
    </row>
    <row r="24" spans="1:4" ht="15.5">
      <c r="A24" s="8"/>
      <c r="B24" s="20"/>
      <c r="C24" s="10"/>
      <c r="D24" s="7"/>
    </row>
    <row r="25" spans="1:4" ht="15.5">
      <c r="A25" s="8"/>
      <c r="B25" s="20"/>
      <c r="C25" s="10"/>
      <c r="D25" s="7"/>
    </row>
    <row r="26" spans="1:4" ht="15.5">
      <c r="A26" s="8"/>
      <c r="B26" s="20"/>
      <c r="C26" s="10"/>
      <c r="D26" s="7"/>
    </row>
    <row r="27" spans="1:4" ht="15.5">
      <c r="A27" s="8"/>
      <c r="B27" s="20"/>
      <c r="C27" s="10"/>
      <c r="D27" s="7"/>
    </row>
    <row r="28" spans="1:4" ht="15.5">
      <c r="A28" s="8"/>
      <c r="B28" s="20"/>
      <c r="C28" s="10"/>
      <c r="D28" s="7"/>
    </row>
    <row r="29" spans="1:4" ht="15.5">
      <c r="A29" s="8"/>
      <c r="B29" s="20"/>
      <c r="C29" s="10"/>
      <c r="D29" s="7"/>
    </row>
    <row r="30" spans="1:4" ht="15.5">
      <c r="A30" s="8"/>
      <c r="B30" s="20"/>
      <c r="C30" s="10"/>
      <c r="D30" s="7"/>
    </row>
    <row r="31" spans="1:4" ht="15.5">
      <c r="A31" s="8"/>
      <c r="B31" s="20"/>
      <c r="C31" s="10"/>
      <c r="D31" s="7"/>
    </row>
    <row r="32" spans="1:4" ht="15.5">
      <c r="A32" s="8"/>
      <c r="B32" s="20"/>
      <c r="C32" s="10"/>
      <c r="D32" s="7"/>
    </row>
    <row r="33" spans="1:4">
      <c r="A33" s="16" t="s">
        <v>4</v>
      </c>
      <c r="B33" s="21" t="e">
        <f>B3+B4-B19</f>
        <v>#REF!</v>
      </c>
      <c r="D33" s="15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4EF061E07E9846B03CB135CC44A76B" ma:contentTypeVersion="21" ma:contentTypeDescription="Criar um novo documento." ma:contentTypeScope="" ma:versionID="44d47543a9e74e1e7dca3f58286da6ed">
  <xsd:schema xmlns:xsd="http://www.w3.org/2001/XMLSchema" xmlns:xs="http://www.w3.org/2001/XMLSchema" xmlns:p="http://schemas.microsoft.com/office/2006/metadata/properties" xmlns:ns2="7ed91297-fd6c-4f0d-9129-feb9cbd1c01a" xmlns:ns3="f1e14f21-6b02-41fd-827a-e5136e71e7e8" targetNamespace="http://schemas.microsoft.com/office/2006/metadata/properties" ma:root="true" ma:fieldsID="dd5f5d5cd940c94ff89d71724ba0c90b" ns2:_="" ns3:_="">
    <xsd:import namespace="7ed91297-fd6c-4f0d-9129-feb9cbd1c01a"/>
    <xsd:import namespace="f1e14f21-6b02-41fd-827a-e5136e71e7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91297-fd6c-4f0d-9129-feb9cbd1c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Location" ma:index="13" nillable="true" ma:displayName="Location" ma:hidden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19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a07ed397-ddfa-4e13-9ba3-daa1d70016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14f21-6b02-41fd-827a-e5136e71e7e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Partilhado Com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bb254990-de88-4cee-a7e5-23507a2e99ef}" ma:internalName="TaxCatchAll" ma:readOnly="false" ma:showField="CatchAllData" ma:web="f1e14f21-6b02-41fd-827a-e5136e71e7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d91297-fd6c-4f0d-9129-feb9cbd1c01a">
      <Terms xmlns="http://schemas.microsoft.com/office/infopath/2007/PartnerControls"/>
    </lcf76f155ced4ddcb4097134ff3c332f>
    <TaxCatchAll xmlns="f1e14f21-6b02-41fd-827a-e5136e71e7e8" xsi:nil="true"/>
  </documentManagement>
</p:properties>
</file>

<file path=customXml/itemProps1.xml><?xml version="1.0" encoding="utf-8"?>
<ds:datastoreItem xmlns:ds="http://schemas.openxmlformats.org/officeDocument/2006/customXml" ds:itemID="{14F5B451-AC10-4F8B-9ED4-1CA893D01B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d91297-fd6c-4f0d-9129-feb9cbd1c01a"/>
    <ds:schemaRef ds:uri="f1e14f21-6b02-41fd-827a-e5136e71e7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E2301D-580C-46A2-A395-553939FF67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69926A-8459-436E-A9B0-F237F0812C6D}">
  <ds:schemaRefs>
    <ds:schemaRef ds:uri="http://schemas.microsoft.com/office/2006/metadata/properties"/>
    <ds:schemaRef ds:uri="http://purl.org/dc/elements/1.1/"/>
    <ds:schemaRef ds:uri="7ed91297-fd6c-4f0d-9129-feb9cbd1c01a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f1e14f21-6b02-41fd-827a-e5136e71e7e8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510e9cc9-ac6f-42b1-bf24-968858a22d9f}" enabled="1" method="Standard" siteId="{ffc0be44-315f-4479-b12f-56afe6ededd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01.07.26</vt:lpstr>
      <vt:lpstr>02.07.26</vt:lpstr>
      <vt:lpstr>03.07.26</vt:lpstr>
      <vt:lpstr>06.07.26</vt:lpstr>
      <vt:lpstr>07.07.26</vt:lpstr>
      <vt:lpstr>08.07.26</vt:lpstr>
      <vt:lpstr>09.07.26</vt:lpstr>
      <vt:lpstr>10.07.26</vt:lpstr>
      <vt:lpstr>13.07.26</vt:lpstr>
      <vt:lpstr>14.07.26</vt:lpstr>
      <vt:lpstr>15.07.26</vt:lpstr>
      <vt:lpstr>16.06.26</vt:lpstr>
      <vt:lpstr>17.07.26</vt:lpstr>
      <vt:lpstr>20.07.26</vt:lpstr>
      <vt:lpstr>21.07.26</vt:lpstr>
      <vt:lpstr>22.07.26</vt:lpstr>
      <vt:lpstr>23.07.26</vt:lpstr>
      <vt:lpstr>24.07.26</vt:lpstr>
      <vt:lpstr>27.07.26</vt:lpstr>
      <vt:lpstr>28.07.26</vt:lpstr>
      <vt:lpstr>29.07.26</vt:lpstr>
      <vt:lpstr>30.07.26</vt:lpstr>
      <vt:lpstr>31.07.26</vt:lpstr>
      <vt:lpstr>27.02.26</vt:lpstr>
      <vt:lpstr>Penultimo dia </vt:lpstr>
      <vt:lpstr>Ultimo dia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Cardoso Santa Cruz</dc:creator>
  <cp:keywords/>
  <dc:description/>
  <cp:lastModifiedBy>Danilo Cardoso Santa Cruz</cp:lastModifiedBy>
  <cp:revision/>
  <dcterms:created xsi:type="dcterms:W3CDTF">2021-12-03T12:48:21Z</dcterms:created>
  <dcterms:modified xsi:type="dcterms:W3CDTF">2026-08-03T19:19:28Z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0e9cc9-ac6f-42b1-bf24-968858a22d9f_Enabled">
    <vt:lpwstr>true</vt:lpwstr>
  </property>
  <property fmtid="{D5CDD505-2E9C-101B-9397-08002B2CF9AE}" pid="3" name="MSIP_Label_510e9cc9-ac6f-42b1-bf24-968858a22d9f_SetDate">
    <vt:lpwstr>2021-12-03T12:48:22Z</vt:lpwstr>
  </property>
  <property fmtid="{D5CDD505-2E9C-101B-9397-08002B2CF9AE}" pid="4" name="MSIP_Label_510e9cc9-ac6f-42b1-bf24-968858a22d9f_Method">
    <vt:lpwstr>Standard</vt:lpwstr>
  </property>
  <property fmtid="{D5CDD505-2E9C-101B-9397-08002B2CF9AE}" pid="5" name="MSIP_Label_510e9cc9-ac6f-42b1-bf24-968858a22d9f_Name">
    <vt:lpwstr>Classificação interna</vt:lpwstr>
  </property>
  <property fmtid="{D5CDD505-2E9C-101B-9397-08002B2CF9AE}" pid="6" name="MSIP_Label_510e9cc9-ac6f-42b1-bf24-968858a22d9f_SiteId">
    <vt:lpwstr>ffc0be44-315f-4479-b12f-56afe6ededd6</vt:lpwstr>
  </property>
  <property fmtid="{D5CDD505-2E9C-101B-9397-08002B2CF9AE}" pid="7" name="MSIP_Label_510e9cc9-ac6f-42b1-bf24-968858a22d9f_ActionId">
    <vt:lpwstr>63a6d5f2-a149-4276-98b5-0000e794f70f</vt:lpwstr>
  </property>
  <property fmtid="{D5CDD505-2E9C-101B-9397-08002B2CF9AE}" pid="8" name="MSIP_Label_510e9cc9-ac6f-42b1-bf24-968858a22d9f_ContentBits">
    <vt:lpwstr>1</vt:lpwstr>
  </property>
  <property fmtid="{D5CDD505-2E9C-101B-9397-08002B2CF9AE}" pid="9" name="ContentTypeId">
    <vt:lpwstr>0x010100914EF061E07E9846B03CB135CC44A76B</vt:lpwstr>
  </property>
  <property fmtid="{D5CDD505-2E9C-101B-9397-08002B2CF9AE}" pid="10" name="MediaServiceImageTags">
    <vt:lpwstr/>
  </property>
</Properties>
</file>