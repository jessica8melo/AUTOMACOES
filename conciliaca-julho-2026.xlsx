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7.26" sheetId="1" r:id="rId5"/>
    <sheet state="visible" name="02.07.26" sheetId="2" r:id="rId6"/>
    <sheet state="visible" name="03.07.26" sheetId="3" r:id="rId7"/>
    <sheet state="visible" name="06.07.26" sheetId="4" r:id="rId8"/>
    <sheet state="visible" name="07.07.26" sheetId="5" r:id="rId9"/>
    <sheet state="visible" name="08.07.26" sheetId="6" r:id="rId10"/>
    <sheet state="hidden" name="Modelo DICOS" sheetId="7" r:id="rId11"/>
    <sheet state="visible" name="09.07.26" sheetId="8" r:id="rId12"/>
    <sheet state="visible" name="10.07.26" sheetId="9" r:id="rId13"/>
    <sheet state="visible" name="13.07.26" sheetId="10" r:id="rId14"/>
    <sheet state="visible" name="14.07.26" sheetId="11" r:id="rId15"/>
    <sheet state="visible" name="15.07.26" sheetId="12" r:id="rId16"/>
    <sheet state="visible" name="16.07.26" sheetId="13" r:id="rId17"/>
    <sheet state="visible" name="17.07.26" sheetId="14" r:id="rId18"/>
    <sheet state="visible" name="20.07.26" sheetId="15" r:id="rId19"/>
    <sheet state="visible" name="21.07.26" sheetId="16" r:id="rId20"/>
    <sheet state="visible" name="22.07.26" sheetId="17" r:id="rId21"/>
    <sheet state="hidden" name="Planilha24" sheetId="18" r:id="rId22"/>
    <sheet state="hidden" name="Planilha23" sheetId="19" r:id="rId23"/>
    <sheet state="visible" name="23.07.26" sheetId="20" r:id="rId24"/>
    <sheet state="visible" name="24.07.26" sheetId="21" r:id="rId25"/>
    <sheet state="visible" name="27.07.26" sheetId="22" r:id="rId26"/>
    <sheet state="visible" name="28.07.26" sheetId="23" r:id="rId27"/>
    <sheet state="visible" name="29.07.26" sheetId="24" r:id="rId28"/>
    <sheet state="visible" name="30.07.26" sheetId="25" r:id="rId29"/>
    <sheet state="visible" name="31.07.26" sheetId="26" r:id="rId30"/>
    <sheet state="hidden" name="Planilha3" sheetId="27" r:id="rId31"/>
    <sheet state="hidden" name="MODELO GIRO AMORT." sheetId="28" r:id="rId32"/>
    <sheet state="hidden" name="MODELO IOF A RECOLHER" sheetId="29" r:id="rId33"/>
    <sheet state="hidden" name="Estorno GL 1109" sheetId="30" r:id="rId34"/>
    <sheet state="hidden" name="Estorno GL 1309" sheetId="31" r:id="rId35"/>
  </sheets>
  <definedNames>
    <definedName hidden="1" localSheetId="0" name="_xlnm._FilterDatabase">'01.07.26'!$A$1:$E$38</definedName>
    <definedName hidden="1" localSheetId="2" name="_xlnm._FilterDatabase">'03.07.26'!$A$1:$E$65</definedName>
    <definedName hidden="1" localSheetId="4" name="_xlnm._FilterDatabase">'07.07.26'!$A$1:$O$1</definedName>
    <definedName hidden="1" localSheetId="5" name="_xlnm._FilterDatabase">'08.07.26'!$A$1:$H$14</definedName>
    <definedName hidden="1" localSheetId="7" name="_xlnm._FilterDatabase">'09.07.26'!$A$1:$E$84</definedName>
    <definedName hidden="1" localSheetId="8" name="_xlnm._FilterDatabase">'10.07.26'!$A$1:$C$78</definedName>
    <definedName hidden="1" localSheetId="9" name="_xlnm._FilterDatabase">'13.07.26'!$A$1:$C$61</definedName>
    <definedName hidden="1" localSheetId="10" name="_xlnm._FilterDatabase">'14.07.26'!$A$1:$C$69</definedName>
    <definedName hidden="1" localSheetId="11" name="_xlnm._FilterDatabase">'15.07.26'!$A$1:$E$66</definedName>
    <definedName hidden="1" localSheetId="14" name="_xlnm._FilterDatabase">'20.07.26'!$A$1:$E$136</definedName>
    <definedName hidden="1" localSheetId="16" name="_xlnm._FilterDatabase">'22.07.26'!$A$1:$E$111</definedName>
    <definedName hidden="1" localSheetId="19" name="_xlnm._FilterDatabase">'23.07.26'!$A$1:$C$51</definedName>
    <definedName hidden="1" localSheetId="21" name="_xlnm._FilterDatabase">'27.07.26'!$A$1:$C$51</definedName>
    <definedName hidden="1" localSheetId="22" name="_xlnm._FilterDatabase">'28.07.26'!$A$1:$C$65</definedName>
    <definedName hidden="1" localSheetId="23" name="_xlnm._FilterDatabase">'29.07.26'!$A$1:$C$64</definedName>
    <definedName hidden="1" localSheetId="24" name="_xlnm._FilterDatabase">'30.07.26'!$A$1:$C$64</definedName>
    <definedName hidden="1" localSheetId="25" name="_xlnm._FilterDatabase">'31.07.26'!$A$1:$C$64</definedName>
    <definedName hidden="1" localSheetId="29" name="_xlnm._FilterDatabase">'Estorno GL 1109'!$A$1:$V$347</definedName>
    <definedName hidden="1" localSheetId="30" name="_xlnm._FilterDatabase">'Estorno GL 1309'!$A$1:$V$1</definedName>
  </definedNames>
  <calcPr/>
  <pivotCaches>
    <pivotCache cacheId="0" r:id="rId36"/>
  </pivotCaches>
</workbook>
</file>

<file path=xl/sharedStrings.xml><?xml version="1.0" encoding="utf-8"?>
<sst xmlns="http://schemas.openxmlformats.org/spreadsheetml/2006/main" count="8302" uniqueCount="1170">
  <si>
    <t>Linha</t>
  </si>
  <si>
    <t>Tipo</t>
  </si>
  <si>
    <t>Código</t>
  </si>
  <si>
    <t>Data Transação</t>
  </si>
  <si>
    <t xml:space="preserve">Quantia  </t>
  </si>
  <si>
    <t>Status</t>
  </si>
  <si>
    <t>Justificativas - Não reconciliadas</t>
  </si>
  <si>
    <t>OB</t>
  </si>
  <si>
    <t xml:space="preserve">VALOR </t>
  </si>
  <si>
    <t>Recebimento Div.</t>
  </si>
  <si>
    <t>2000/2058</t>
  </si>
  <si>
    <t>OK</t>
  </si>
  <si>
    <t>6534/2058</t>
  </si>
  <si>
    <t>extra/2058</t>
  </si>
  <si>
    <t>EXTRA M./2058</t>
  </si>
  <si>
    <t>205393/2058</t>
  </si>
  <si>
    <t>Recebimento</t>
  </si>
  <si>
    <t>Contas a receber</t>
  </si>
  <si>
    <t>Contas a Receber</t>
  </si>
  <si>
    <t>ok</t>
  </si>
  <si>
    <t>Pagamento</t>
  </si>
  <si>
    <t>Extra/2058</t>
  </si>
  <si>
    <t>Pagamento Rapido: ID=6815845</t>
  </si>
  <si>
    <t>Pagamento Rapido: ID=6816625</t>
  </si>
  <si>
    <t>Pagamento Rapido: ID=6817021</t>
  </si>
  <si>
    <t>Pagamento Rapido: ID=6817023</t>
  </si>
  <si>
    <t>Pagamento Rapido: ID=6817184</t>
  </si>
  <si>
    <t>Pagamento Rapido: ID=6818988</t>
  </si>
  <si>
    <t>Pagamento Rapido: ID=6818987</t>
  </si>
  <si>
    <t>Pagamento Rapido: ID=6818741</t>
  </si>
  <si>
    <t>Pagamento Rapido: ID=6817185</t>
  </si>
  <si>
    <t>Pagamento Rapido: ID=6816621</t>
  </si>
  <si>
    <t>Pagamento Rapido: ID=6818990</t>
  </si>
  <si>
    <t>TED devolvida</t>
  </si>
  <si>
    <t>Pagamento Rapido: ID=6817189</t>
  </si>
  <si>
    <t>Pagamento Rapido: ID=6818742</t>
  </si>
  <si>
    <t>Pagamento Rapido: ID=6816642</t>
  </si>
  <si>
    <t>Pagamento Rapido: ID=6818991</t>
  </si>
  <si>
    <t>Pagamento Rapido: ID=6818524</t>
  </si>
  <si>
    <t>Pagamento Rapido: ID=6818525</t>
  </si>
  <si>
    <t>Pagamento Rapido: ID=6816652</t>
  </si>
  <si>
    <t>Pagamento Rapido: ID=6818995</t>
  </si>
  <si>
    <t>Pagamento Rapido: ID=6818989</t>
  </si>
  <si>
    <t>Pagamento Rapido: ID=6818538</t>
  </si>
  <si>
    <t>Pagamento Rapido: ID=6816653</t>
  </si>
  <si>
    <t>Pagamento Rapido: ID=6818996</t>
  </si>
  <si>
    <t>Pagamento Rapido: ID=6816654</t>
  </si>
  <si>
    <t>Pagamento Div.</t>
  </si>
  <si>
    <t>Não reconciliado</t>
  </si>
  <si>
    <t>2053/2058</t>
  </si>
  <si>
    <t>CDA</t>
  </si>
  <si>
    <t>Pagamento Rapido: ID=6819600</t>
  </si>
  <si>
    <t>DESPESAS</t>
  </si>
  <si>
    <t>RESPONSABILIDADE</t>
  </si>
  <si>
    <t>VALOR</t>
  </si>
  <si>
    <t xml:space="preserve">SITUAÇÃO </t>
  </si>
  <si>
    <t>Estorno de débito</t>
  </si>
  <si>
    <t>TRANSP TAXI E MANUTENCAO</t>
  </si>
  <si>
    <t>Eduardo Silva Mattos/VOETUR</t>
  </si>
  <si>
    <t>TREINAMENTO</t>
  </si>
  <si>
    <t xml:space="preserve">LOCAÇÃO </t>
  </si>
  <si>
    <t xml:space="preserve">HOSPEDAGEM </t>
  </si>
  <si>
    <t>SERVICOS TECNICOS ESPECIALIZADOS: AUDITORIA EXTERNA</t>
  </si>
  <si>
    <t>CONTABILIDADE</t>
  </si>
  <si>
    <t>ALUGUEL GERENCIAL</t>
  </si>
  <si>
    <t xml:space="preserve">CONCILIAÇÃO </t>
  </si>
  <si>
    <t>TAXA CONDOMINIAL</t>
  </si>
  <si>
    <t>CONDOMINIO CRBB SALVADOR</t>
  </si>
  <si>
    <t>DATA CENTER CIDADE DIGITAL</t>
  </si>
  <si>
    <t>COLOCATION DF - CONV BB</t>
  </si>
  <si>
    <t>CUSTO DE TI - BBTS</t>
  </si>
  <si>
    <t>DATACENTER -INFRA TI-PVV</t>
  </si>
  <si>
    <t>AJUSTES MANUAL (ALUGUEL E CONDOMINIO)</t>
  </si>
  <si>
    <t>PG-ALUGUEL/CONDOMINIO- SP</t>
  </si>
  <si>
    <t>VERBO DIVINO (SP)</t>
  </si>
  <si>
    <t xml:space="preserve"> COLOCATION SP - CONV BB</t>
  </si>
  <si>
    <t xml:space="preserve">BENEFICIOS CEDIDOS </t>
  </si>
  <si>
    <t xml:space="preserve">TOTAL GERAL </t>
  </si>
  <si>
    <t>TOTAL CONCILIADO</t>
  </si>
  <si>
    <t>DIF A CONCILIAR</t>
  </si>
  <si>
    <t>6624/2058</t>
  </si>
  <si>
    <t>Pagamento Rapido: ID=6819607</t>
  </si>
  <si>
    <t>Data da  Transação</t>
  </si>
  <si>
    <t>Quantia</t>
  </si>
  <si>
    <t>OBSERVAÇÕES</t>
  </si>
  <si>
    <t>Estorno</t>
  </si>
  <si>
    <t>Devolução de valor da linha 171</t>
  </si>
  <si>
    <t>Pagamento Rapido: ID=6555124</t>
  </si>
  <si>
    <t>Pagamento Rapido: ID=6558250</t>
  </si>
  <si>
    <t>Planilha A 147271680</t>
  </si>
  <si>
    <t>Pagamento Rapido: ID=6561225</t>
  </si>
  <si>
    <t>Pagamento Rapido: ID=6562319</t>
  </si>
  <si>
    <t>Desocniliado na linha 78 -Reversão a pedido do contas a pagar</t>
  </si>
  <si>
    <t>Pagamento Rapido: ID=6562892</t>
  </si>
  <si>
    <t>Jefferson/voetur</t>
  </si>
  <si>
    <t>DEBITO CDA</t>
  </si>
  <si>
    <t>Pagamento Rapido: ID=6564662</t>
  </si>
  <si>
    <t>Pagamento Rapido: ID=6575230</t>
  </si>
  <si>
    <t>Reconciliado na linha 78</t>
  </si>
  <si>
    <t>DIRCO / ELBB</t>
  </si>
  <si>
    <t>JEFFERSON/VOETUR</t>
  </si>
  <si>
    <t>Outras Despesas Admiistrativas</t>
  </si>
  <si>
    <t>VLR RESSARCIDO</t>
  </si>
  <si>
    <t>ALUGUEL CRBB SALVADOR</t>
  </si>
  <si>
    <t>N/A</t>
  </si>
  <si>
    <t>REEMB ALUG DATA CENTER BRA</t>
  </si>
  <si>
    <t>AJUSTES MANUAL (RESSARC. V.DIVINO)</t>
  </si>
  <si>
    <t>AJUSTES MANUAL - Reversão RESSARCIMENTO ALUGUEL GERENCIAL</t>
  </si>
  <si>
    <t>RESSARCIMENTO DE VLR.</t>
  </si>
  <si>
    <t>ADRIANA CORDEIRO (CONTAS A PAGAR)</t>
  </si>
  <si>
    <t>COm devolução de valor da linha 7</t>
  </si>
  <si>
    <t>Ressarcimento cedidos</t>
  </si>
  <si>
    <t>TED Devolvida</t>
  </si>
  <si>
    <t>ok, conciliado com a linha 8</t>
  </si>
  <si>
    <t>ok, conciliado com a linha 1</t>
  </si>
  <si>
    <t>Pagamento Rapido: ID=6819035</t>
  </si>
  <si>
    <t>Pagamento Rapido: ID=6819893</t>
  </si>
  <si>
    <t>Pagamento Rapido: ID=6821460</t>
  </si>
  <si>
    <t>Externo COM ALINHA 84</t>
  </si>
  <si>
    <t>Pagamento Rapido: ID=6822126</t>
  </si>
  <si>
    <t>Pagamento Rapido: ID=6821211</t>
  </si>
  <si>
    <t>Pagamento Rapido: ID=6821212</t>
  </si>
  <si>
    <t>Pagamento Rapido: ID=6821309</t>
  </si>
  <si>
    <t>Pagamento Rapido: ID=6821311</t>
  </si>
  <si>
    <t>Pagamento Rapido: ID=6821312</t>
  </si>
  <si>
    <t>Pagamento Rapido: ID=6821313</t>
  </si>
  <si>
    <t>Pagamento Rapido: ID=6821334</t>
  </si>
  <si>
    <t>Pagamento Rapido: ID=6821337</t>
  </si>
  <si>
    <t>K</t>
  </si>
  <si>
    <t>Pagamento Rapido: ID=6821338</t>
  </si>
  <si>
    <t>Pagamento Rapido: ID=6821339</t>
  </si>
  <si>
    <t>Pagamento Rapido: ID=6822117</t>
  </si>
  <si>
    <t>Pagamento Rapido: ID=6821835</t>
  </si>
  <si>
    <t>Pagamento Rapido: ID=6824842</t>
  </si>
  <si>
    <t>Externo coma  linha 5</t>
  </si>
  <si>
    <t>Pagamento Rapido: ID=6821853</t>
  </si>
  <si>
    <t>Pagamento Rapido: ID=6822120</t>
  </si>
  <si>
    <t>Pagamento Rapido: ID=6822129</t>
  </si>
  <si>
    <t>Pagamento Rapido: ID=6822130</t>
  </si>
  <si>
    <t>Pagamento Rapido: ID=6824435</t>
  </si>
  <si>
    <t>oko</t>
  </si>
  <si>
    <t>Pagamento Rapido: ID=6822382</t>
  </si>
  <si>
    <t>Pagamento Rapido: ID=6822387</t>
  </si>
  <si>
    <t>Pagamento Rapido: ID=6822868</t>
  </si>
  <si>
    <t>Pagamento Rapido: ID=6822654</t>
  </si>
  <si>
    <t>PIX</t>
  </si>
  <si>
    <t>Pagamento Rapido: ID=6822942</t>
  </si>
  <si>
    <t>Pagamento Rapido: ID=6823051</t>
  </si>
  <si>
    <t>Pagamento Rapido: ID=6823207</t>
  </si>
  <si>
    <t>Pagamento Rapido: ID=6824809</t>
  </si>
  <si>
    <t>Pagamento Rapido: ID=6824398</t>
  </si>
  <si>
    <t>Pagamento Rapido: ID=6824416</t>
  </si>
  <si>
    <t>Pagamento Rapido: ID=6825557</t>
  </si>
  <si>
    <t>Nome do Lote</t>
  </si>
  <si>
    <t>Soma de Quantia Original</t>
  </si>
  <si>
    <t>Pagamento Rapido: ID=6622449</t>
  </si>
  <si>
    <t>Total geral</t>
  </si>
  <si>
    <t>Selecionar Registro</t>
  </si>
  <si>
    <t>Número</t>
  </si>
  <si>
    <t>Cód. Moeda Original</t>
  </si>
  <si>
    <t>Quantia Original</t>
  </si>
  <si>
    <t>Quantia na moeda da conta</t>
  </si>
  <si>
    <t>Quantia Compensada da Moeda da Conta</t>
  </si>
  <si>
    <t>Data de Compensação da Moeda da Conta</t>
  </si>
  <si>
    <t>Data do  Valor</t>
  </si>
  <si>
    <t>Data GL</t>
  </si>
  <si>
    <t>Data da Transação</t>
  </si>
  <si>
    <t>PSON</t>
  </si>
  <si>
    <t>Nome do Agente</t>
  </si>
  <si>
    <t>Número do Fluxo de Caixa Depósito</t>
  </si>
  <si>
    <t>Tipo de Referência</t>
  </si>
  <si>
    <t>Nr. Referência</t>
  </si>
  <si>
    <t>BRL</t>
  </si>
  <si>
    <t>ALESSANDRO DA CRUZ SANTOS,</t>
  </si>
  <si>
    <t>ALVARO HIGO QUEIROZ MATOS,</t>
  </si>
  <si>
    <t>ALYSSON COELHO DE FARIAS DOS SANTOS,</t>
  </si>
  <si>
    <t>ANDERSON LEMOS DOS SANTOS,</t>
  </si>
  <si>
    <t>ANDERSON VELOSO GUIMARAES,</t>
  </si>
  <si>
    <t>ANSELMO LAUTENSCHLAGER JUNIOR,</t>
  </si>
  <si>
    <t>ANTONIO LOPES TOMAZ,</t>
  </si>
  <si>
    <t>AURIO DOS SANTOS,</t>
  </si>
  <si>
    <t>CAIO HERING BEZERRA DA CUNHA,</t>
  </si>
  <si>
    <t>CARLOS ALBERTO BRONDANI,</t>
  </si>
  <si>
    <t>CESAR HIRSCHMANN PIEPER,</t>
  </si>
  <si>
    <t>CLAUDIO PASCOAL CRUZ,</t>
  </si>
  <si>
    <t>CLEMILTON VIEIRA GOMES,</t>
  </si>
  <si>
    <t>COSME PEDROSA MATOS,</t>
  </si>
  <si>
    <t>DANIEL BARBOSA DE MOURA,</t>
  </si>
  <si>
    <t>DANIEL BRELAZ DA SILVA,</t>
  </si>
  <si>
    <t>DANIEL FRANCISCO MATOS DE ALMEIDA,</t>
  </si>
  <si>
    <t>DANILO GOMES DA CONCEICAO,</t>
  </si>
  <si>
    <t>DELCIO  BREDA,</t>
  </si>
  <si>
    <t>DIOGO VIEIRA CAIXETA,</t>
  </si>
  <si>
    <t>DOUGLAS DE CASTRO ALMEIDA,</t>
  </si>
  <si>
    <t>EDUARDO MASSAYUKI FUZYI,</t>
  </si>
  <si>
    <t>ELIANE CONFESSOR DO AMARAL PASSOS,</t>
  </si>
  <si>
    <t>ELIZEU CARVALHO DE MESQUITA,</t>
  </si>
  <si>
    <t>ESMON DE OLIVEIRA CARDOSO,</t>
  </si>
  <si>
    <t>FERNANDA BARBOSA DE SOUSA,</t>
  </si>
  <si>
    <t>FERNANDO DA SILVA,</t>
  </si>
  <si>
    <t>FOSTER HIROYUKI VATANABE,</t>
  </si>
  <si>
    <t>FRANCISCO DAS CHAGAS DE MORAIS CUNHA,</t>
  </si>
  <si>
    <t>FRANCISCO LUIZLEY ARAUJO CRUZ,</t>
  </si>
  <si>
    <t>GLAUBER NILSON ALVES DE OLIVEIRA,</t>
  </si>
  <si>
    <t>GUSTAVO JULIANO TREIS,</t>
  </si>
  <si>
    <t>HERBERT ALEXANDRE DI PACE,</t>
  </si>
  <si>
    <t>IGOR BEZERRA MANCIOLA,</t>
  </si>
  <si>
    <t>IVANILDO SARMENTO BASILIO,</t>
  </si>
  <si>
    <t>JEAN JACKSON PRIMAVERA DE MATOS,</t>
  </si>
  <si>
    <t>JENNEFER FERREIRA DE SOUZA,</t>
  </si>
  <si>
    <t>JEREMIAS ANTONIO DE FREITAS NETO,</t>
  </si>
  <si>
    <t>JOAO RICARDO NOGUEIRA DE ALMEIDA,</t>
  </si>
  <si>
    <t>JOEL ALAN PEDROSO,</t>
  </si>
  <si>
    <t>JONAS GOMES DE LIMA JUNIOR</t>
  </si>
  <si>
    <t>JOSADAQUE  LOPES,</t>
  </si>
  <si>
    <t>JOVENILSON MOREIRA DA SILVA,</t>
  </si>
  <si>
    <t>JULIANNE CRISTINE LEANDRO CANQUERINO MARQUES,</t>
  </si>
  <si>
    <t>JULIO CEZAR DA SILVA,</t>
  </si>
  <si>
    <t>KESLEY RANGEL SANTOS DE SOUSA,</t>
  </si>
  <si>
    <t>LAURO MARCHIORO DOS SANTOS,</t>
  </si>
  <si>
    <t>LEANDRO DIAS COSTA</t>
  </si>
  <si>
    <t>LEONARDO DE SENA MAIA,</t>
  </si>
  <si>
    <t>LEVI MORENO SALVADOR,</t>
  </si>
  <si>
    <t>LOURIVAL DA CONCEICAO PEREIRA JUNIOR,</t>
  </si>
  <si>
    <t>LUCAS APARECIDO SARTORELLI,</t>
  </si>
  <si>
    <t>LUCAS MARTINS NASCIMENTO,</t>
  </si>
  <si>
    <t>MANUELA MELISSA SANTANA VIEIRA,</t>
  </si>
  <si>
    <t>MARCELO FARIAS REBELO,</t>
  </si>
  <si>
    <t>MARCIO HENRIQUE PEREIRA GARCIA,</t>
  </si>
  <si>
    <t>MARCO ANTONIO FARJANI,</t>
  </si>
  <si>
    <t>MARCO VENICIO DE SOUZA,</t>
  </si>
  <si>
    <t>MARCOS FIGUEIRA PINTO,</t>
  </si>
  <si>
    <t>MARCOS PEREIRA DIAS,</t>
  </si>
  <si>
    <t>MARIA APARECIDA DOS SANTOS,</t>
  </si>
  <si>
    <t>MIGUEL ALEXANDRE ROKITZKI SILVEIRA,</t>
  </si>
  <si>
    <t>MURILO ALBERTO DE SOUZA AGUIAR,</t>
  </si>
  <si>
    <t>NEY MACHADO MAIA,</t>
  </si>
  <si>
    <t>OLEGARIO LOPES CARVALHO E SILVA,</t>
  </si>
  <si>
    <t>OSMAR NOGUEIRA JUNIOR,</t>
  </si>
  <si>
    <t>OTAVIO MARANGON DANTAS DE MORAIS</t>
  </si>
  <si>
    <t>PATRICIO  LOFY,</t>
  </si>
  <si>
    <t>RAIMUNDO FERREIRA CARVALHO FILHO,</t>
  </si>
  <si>
    <t>RAIMUNDO GEORGE FERREIRA CASTRO,</t>
  </si>
  <si>
    <t>RAIMUNDO NONATO FILHO</t>
  </si>
  <si>
    <t>RENATO BASTOS FERREIRA,</t>
  </si>
  <si>
    <t>RENATO GOMES DOS SANTOS</t>
  </si>
  <si>
    <t>RICARDO  PLOVAS,</t>
  </si>
  <si>
    <t>RINALDO JAMMYSON CORDOVIL MODESTO,</t>
  </si>
  <si>
    <t>RODRIGO FLEURY DE PAULA,</t>
  </si>
  <si>
    <t>ROGERIO NUNES SILVA,</t>
  </si>
  <si>
    <t>SARA PINHEIRO COSTA,</t>
  </si>
  <si>
    <t>SHARLENE SA PAULINO DA SILVA NASCIMENTO,</t>
  </si>
  <si>
    <t>SOLANGE SILVA ROMAO FRANCA,</t>
  </si>
  <si>
    <t>TANIA DOS SANTOS LIMA CUNHA,</t>
  </si>
  <si>
    <t>VALDENIR CALDAS DE MELO,</t>
  </si>
  <si>
    <t>VALDIR SPATAFORA TALARICO,</t>
  </si>
  <si>
    <t>VICTOR NERES DE SOUSA DOS SANTOS,</t>
  </si>
  <si>
    <t>WANILDO JOSE SILVA PEREIRA,</t>
  </si>
  <si>
    <t>WARLEY ALVES SILVA,</t>
  </si>
  <si>
    <t>WENDELL DA SILVA MOTA,</t>
  </si>
  <si>
    <t>WILLIAM DE ABREU SILVA,</t>
  </si>
  <si>
    <t>WILLIAN DE SOUZA PAIVA,</t>
  </si>
  <si>
    <t>WINICIUS ALVES MARTINS,</t>
  </si>
  <si>
    <t>ZAYRA ALMEIDA CANDIDO,</t>
  </si>
  <si>
    <t>ALVO TERCEIRIZACAO EM SERVICOS ESPECIALIZADOS LTDA - EPP</t>
  </si>
  <si>
    <t>PROCOMP INDUSTRIA ELETRONICA LTDA</t>
  </si>
  <si>
    <t>STRIX ASSESSORIA E PLANEJAMENTO RURAL LTDA - ME</t>
  </si>
  <si>
    <t>TRANSPORTADORA TURISTICA SUZANO LTDA</t>
  </si>
  <si>
    <t>VERITAS ASSESSORIA CONTABIL SS LTDA ME</t>
  </si>
  <si>
    <t>ABILIO CARLOS OLIVEIRA SIQUEIRA,</t>
  </si>
  <si>
    <t>ADAO ANTONIO CAVALCANTE LOPES,</t>
  </si>
  <si>
    <t>ADRIANA RIBEIRO DO NASCIMENTO,</t>
  </si>
  <si>
    <t>ADRIANO MARCIAL MOREIRA,</t>
  </si>
  <si>
    <t>ADRIANO SILVA DA COSTA,</t>
  </si>
  <si>
    <t>ADSON LOPES DE OLIVEIRA,</t>
  </si>
  <si>
    <t>AFONSO VIDAL SANTOS DA SILVA,</t>
  </si>
  <si>
    <t>AGNALDO RODRIGUES DA SILVA JUNIOR,</t>
  </si>
  <si>
    <t>ALAN LOMEU LAIA,</t>
  </si>
  <si>
    <t>ALCERY LEMOS BITENCOURT,</t>
  </si>
  <si>
    <t>ALDAIR LEAL CHAVES,</t>
  </si>
  <si>
    <t>ALEX BARBOSA DE ALMEIDA,</t>
  </si>
  <si>
    <t>ALEX SANDRO DE ALMEIDA RODRIGUES PINTO,</t>
  </si>
  <si>
    <t>ALEX SANDRO MARTINS FREITAS,</t>
  </si>
  <si>
    <t>ALEXANDRE  LOURENCO,</t>
  </si>
  <si>
    <t>ALEXANDRE  MACHADO,</t>
  </si>
  <si>
    <t>ALEXANDRE ANDRADE DOS SANTOS,</t>
  </si>
  <si>
    <t>ALEXANDRE BENTO DE OLIVEIRA,</t>
  </si>
  <si>
    <t>ALEXANDRE BERNARDO CHIARENTIN,</t>
  </si>
  <si>
    <t>ALEXANDRE CESAR FRAGOSO CORREIA,</t>
  </si>
  <si>
    <t>ALEXANDRE DE FREITAS MARTINS,</t>
  </si>
  <si>
    <t>ALEXANDRE MAGALHAES SOARES,</t>
  </si>
  <si>
    <t>ALEXANDRE PIANETTI HOFFMEISTER,</t>
  </si>
  <si>
    <t>ALEXANDRE TEIXEIRA DA ROSA,</t>
  </si>
  <si>
    <t>ALEXANDRO DO CARMO SOARES,</t>
  </si>
  <si>
    <t>ALEXSANDRO AMANCIO DE SOUZA FERREIRA,</t>
  </si>
  <si>
    <t>ALEXSANDRO MAGNO DE ALMEIDA,</t>
  </si>
  <si>
    <t>ALEXSANDRO SANTOS DO NASCIMENTO,</t>
  </si>
  <si>
    <t>ALINE BATISTA MENDES,</t>
  </si>
  <si>
    <t>ALMIR BENEDITO RINALDI,</t>
  </si>
  <si>
    <t>ALYSON SANTANA VARELA,</t>
  </si>
  <si>
    <t>AMILTON ANGELO DE LIMA,</t>
  </si>
  <si>
    <t>ANA PAULA FERREIRA MARCO,</t>
  </si>
  <si>
    <t>ANDERSON APARECIDO DE SOUZA,</t>
  </si>
  <si>
    <t>ANDERSON CARLOS MENEZES,</t>
  </si>
  <si>
    <t>ANDERSON CLAYTON NASCIMENTO SILVA,</t>
  </si>
  <si>
    <t>ANDERSON DE SOUZA BOPSIN,</t>
  </si>
  <si>
    <t>ANDERSON LUIZ DE OLIVEIRA,</t>
  </si>
  <si>
    <t>Pagamento Rapido: ID=6825071</t>
  </si>
  <si>
    <t>ANDRE COSTA PURIFICACAO,</t>
  </si>
  <si>
    <t>ANDRE LUIZ BENTO DE MORAIS,</t>
  </si>
  <si>
    <t>ANDRE LUIZ NUNES,</t>
  </si>
  <si>
    <t>Pagamento Rapido: ID=6825081</t>
  </si>
  <si>
    <t>ANDRE LUIZ PIRES DE OLIVEIRA,</t>
  </si>
  <si>
    <t>ANDRE MARCIO DA SILVA,</t>
  </si>
  <si>
    <t>Pagamento Rapido: ID=6826330</t>
  </si>
  <si>
    <t>ANDREA KARINA MELO LINS DE PONTES,</t>
  </si>
  <si>
    <t>ANGELO GIOVANI OLIVEIRA GUIDA,</t>
  </si>
  <si>
    <t>ANTONIO CARLOS DA SILVA,</t>
  </si>
  <si>
    <t>ANTONIO CARLOS MACHADO,</t>
  </si>
  <si>
    <t>ANTONIO CARLOS RAMOS FREITAS JUNIOR,</t>
  </si>
  <si>
    <t>ANTONIO CARLOS SANTOS,</t>
  </si>
  <si>
    <t>ANTONIO JESUS DA SILVA,</t>
  </si>
  <si>
    <t>ANTONIO JUNIOR AZEVEDO,</t>
  </si>
  <si>
    <t>ANTONIO PEREIRA URTIGA,</t>
  </si>
  <si>
    <t>ANTONIO TELMO SOUZA OLIVEIRA JUNIOR</t>
  </si>
  <si>
    <t>ARISTON BARBOSA CHAGAS,</t>
  </si>
  <si>
    <t>ATAIDE TENORIO DE ALBUQUERQUE FILHO,</t>
  </si>
  <si>
    <t>AURELIANO SOBREIRA DE ALENCAR,</t>
  </si>
  <si>
    <t>BAYRON TEODORO DE MELO,</t>
  </si>
  <si>
    <t>BENEDITO LIMA PEREIRA,</t>
  </si>
  <si>
    <t>BRENNO BADARO MIRANDA,</t>
  </si>
  <si>
    <t>BRUNO ANTONIO DO VALE,</t>
  </si>
  <si>
    <t>BRUNO GUIMARAES DA SILVA,</t>
  </si>
  <si>
    <t>BRUNO LEONARDO DE JESUS VICTORIO DA SILVA,</t>
  </si>
  <si>
    <t>CAMILLA AZEVEDO CARNEIRO LEAO,</t>
  </si>
  <si>
    <t>CARLOS ALESSANDRO DE ASSIS,</t>
  </si>
  <si>
    <t>CARLOS CRISTIANO DOS REIS DANTAS,</t>
  </si>
  <si>
    <t>CARLOS EDUARDO APOLINARIO SILVA,</t>
  </si>
  <si>
    <t>CARLOS EDUARDO DE FREITAS SANT ANA,</t>
  </si>
  <si>
    <t>CARLOS KAYSER DUARTE DE MIRANDA,</t>
  </si>
  <si>
    <t>CARMEM MARLI STAHNKE,</t>
  </si>
  <si>
    <t>CARTEGEANES  NASCIMENTO,</t>
  </si>
  <si>
    <t>CASSIO ANSOLIN PESSUTTO,</t>
  </si>
  <si>
    <t>CESAR AUGUSTO ENGLER,</t>
  </si>
  <si>
    <t>CESAR CARLOS ARAUJO PINTO,</t>
  </si>
  <si>
    <t>CHRISTIAN DE OLIVEIRA MOURA,</t>
  </si>
  <si>
    <t>CICERO RAMOM BATISTA RIBAS,</t>
  </si>
  <si>
    <t>CLAUDIO HENRIQUE MOURA CARVALHAL,</t>
  </si>
  <si>
    <t>CLAYTON LIMA MESQUITA,</t>
  </si>
  <si>
    <t>CLEBER AUGUSTO DOS SANTOS SOUZA,</t>
  </si>
  <si>
    <t>CLEBERTH CARVALHO CRUZ DA ROCHA,</t>
  </si>
  <si>
    <t>CLENE LEOPOLDINO CANTIL,</t>
  </si>
  <si>
    <t>CLESSIO ALVES MENENGUCI</t>
  </si>
  <si>
    <t>CLEY CLEVERTON FERREIRA CASTRO,</t>
  </si>
  <si>
    <t>CLOVES BATISTA SILVA JUNIOR,</t>
  </si>
  <si>
    <t>CORNELIO PEREIRA LEME,</t>
  </si>
  <si>
    <t>CRISTIAN  GUIMARAES,</t>
  </si>
  <si>
    <t>CRISTIANO COSTA DO NASCIMENTO,</t>
  </si>
  <si>
    <t>CRISTIANO MARSENA NOBRE,</t>
  </si>
  <si>
    <t>CRISTINO NUNES SIRQUEIRA,</t>
  </si>
  <si>
    <t>DANIEL DA SILVA LONGHI,</t>
  </si>
  <si>
    <t>DANIELLE DO CARMO SILVANO SAMORA,</t>
  </si>
  <si>
    <t>DANILO GUILHERME DOS SANTOS ANDRADE,</t>
  </si>
  <si>
    <t>DARLAN D AVILA CRESCENCIO,</t>
  </si>
  <si>
    <t>DAVI LEONARDO SILVA,</t>
  </si>
  <si>
    <t>DENILSON ROBERTO LIMA AREA LEAO,</t>
  </si>
  <si>
    <t>DENIS  OCANHA,</t>
  </si>
  <si>
    <t>DENIS AURELIO CORREA DOS SANTOS,</t>
  </si>
  <si>
    <t>DEOGENES JOSE DE VALOIS COUTINHO,</t>
  </si>
  <si>
    <t>DIEGO ARMBRUST XAVIER DA MATA,</t>
  </si>
  <si>
    <t>DIEGO DE LIMA AVILA,</t>
  </si>
  <si>
    <t>DIEGO FERREIRA DE ASSIS,</t>
  </si>
  <si>
    <t>DIOGO PEREIRA FONSECA,</t>
  </si>
  <si>
    <t>DIRAILTON CONSTANTINO DE ALMEIDA,</t>
  </si>
  <si>
    <t>DURVAL GUIMARAES CHAVES JUNIOR,</t>
  </si>
  <si>
    <t>DURVAL SILVERIO DOS SANTOS,</t>
  </si>
  <si>
    <t>DYEGO RICHARDO LOPES MOREIRA DA SILVA,</t>
  </si>
  <si>
    <t>EDDER CARLOS TAVARES GONCALVES,</t>
  </si>
  <si>
    <t>EDENILSON DOS SANTOS SOUSA,</t>
  </si>
  <si>
    <t>EDER LINS PEREIRA,</t>
  </si>
  <si>
    <t>EDER OLIVEIRA ALMEIDA BRITO,</t>
  </si>
  <si>
    <t>EDER SARDINHA ALVES,</t>
  </si>
  <si>
    <t>EDMAR DE JESUS SANTOS,</t>
  </si>
  <si>
    <t>EDSON HENRIQUE VIVES JUNIOR,</t>
  </si>
  <si>
    <t>EDUARDO ALVARES GOMES,</t>
  </si>
  <si>
    <t>EDUARDO DA SILVA PINTO,</t>
  </si>
  <si>
    <t>EDUARDO ELIAS DA SILVA,</t>
  </si>
  <si>
    <t>EDUARDO JOSE DA SILVA JUNIOR,</t>
  </si>
  <si>
    <t>EDUARDO JOSE DE ARAUJO,</t>
  </si>
  <si>
    <t>EDUARDO MACHADO TOLEDO,</t>
  </si>
  <si>
    <t>EDUARDO RIBEIRO DE FARIA,</t>
  </si>
  <si>
    <t>ELI ANDERSON PEREIRA VIEIRA,</t>
  </si>
  <si>
    <t>ELILDO SILVINO DOS SANTOS,</t>
  </si>
  <si>
    <t>ELILSON MENEZES MARTINS,</t>
  </si>
  <si>
    <t>ELISABETE BEZERRA DE AZEVEDO,</t>
  </si>
  <si>
    <t>ELISEU SANTOS ASSIS,</t>
  </si>
  <si>
    <t>ELNA MARIA LEAO LEMOS,</t>
  </si>
  <si>
    <t>ELTON PEREIRA DA ROCHA,</t>
  </si>
  <si>
    <t>ELVIS OLIVEIRA SA,</t>
  </si>
  <si>
    <t>EMANUEL BEZERRA ELOY,</t>
  </si>
  <si>
    <t>EMERSON  FERNANDES,</t>
  </si>
  <si>
    <t>ERICO DIOGO LIMA DA SILVA,</t>
  </si>
  <si>
    <t>ERICO FABIO CIRNE,</t>
  </si>
  <si>
    <t>ERIK SAMUEL VAZ CAMPOS,</t>
  </si>
  <si>
    <t>ERIVALDO MATIAS FONTES,</t>
  </si>
  <si>
    <t>EUNADALES BRANDAO DIAS,</t>
  </si>
  <si>
    <t>EVANDRO DA SILVA SOUZA,</t>
  </si>
  <si>
    <t>EVERALDO SOARES DE LIMA,</t>
  </si>
  <si>
    <t>EVERSON PASSOS DA ROCHA,</t>
  </si>
  <si>
    <t>EVERTON VIEIRA ABREU,</t>
  </si>
  <si>
    <t>FABIO  CARRILHO,</t>
  </si>
  <si>
    <t>FABIO APOLINARIO COSTA,</t>
  </si>
  <si>
    <t>FABIO MACELO FERNANDES DE SOUSA,</t>
  </si>
  <si>
    <t>FABIO PASSOS BRITO,</t>
  </si>
  <si>
    <t>FABIO QUEIROZ LOPES,</t>
  </si>
  <si>
    <t>FARLEI COSME GOMES DOS SANTOS,</t>
  </si>
  <si>
    <t>FELIPE COQUEIRO DE OLIVEIRA,</t>
  </si>
  <si>
    <t>FERNANDA ALMEIDA CARVALHO,</t>
  </si>
  <si>
    <t>FERNANDO FERREIRA SOARES,</t>
  </si>
  <si>
    <t>FERNANDO GUEDES DE OLIVEIRA,</t>
  </si>
  <si>
    <t>FERNANDO LIMA TENORIO DA SILVA,</t>
  </si>
  <si>
    <t>FILIPE RENATO VIGATTO,</t>
  </si>
  <si>
    <t>FLAUDEMIR  LEOPOLDO,</t>
  </si>
  <si>
    <t>FLAVIO  CARVALHO,</t>
  </si>
  <si>
    <t>FLORISVALDO SOARES SANTANA,</t>
  </si>
  <si>
    <t>FRANCIS ALBERT DANTAS DE SOUSA,</t>
  </si>
  <si>
    <t>FRANCISCO ALEX DE LIMA,</t>
  </si>
  <si>
    <t>FRANCISCO CARLOS ROMERO RUSSO,</t>
  </si>
  <si>
    <t>FRANCISCO DE ASSIS ARAUJO SUZART,</t>
  </si>
  <si>
    <t>FRANCISCO FERNANDES DA SILVA,</t>
  </si>
  <si>
    <t>FRANCISCO FLEURY RATEIRO JUNIOR,</t>
  </si>
  <si>
    <t>Pagamento Rapido: ID=6825465</t>
  </si>
  <si>
    <t>FRANCISCO FRANCIER ANGELO DE SOUZA,</t>
  </si>
  <si>
    <t>FRANCISCO JOSE DE MOURA ALVES,</t>
  </si>
  <si>
    <t>FRANCISCO NUNES DE BARROS,</t>
  </si>
  <si>
    <t>FRANKLIN LINDENBERG OLIVEIRA FREITAS,</t>
  </si>
  <si>
    <t>GENIVAL  LIMA,</t>
  </si>
  <si>
    <t>GERALDO ANTONIO PEIXOTO JUNIOR,</t>
  </si>
  <si>
    <t>GERALDO EUSTAQUIO MARQUES,</t>
  </si>
  <si>
    <t>GILBERTO DA MOTA CARVALHO,</t>
  </si>
  <si>
    <t>GILBERTO OLIVEIRA SANTOS JUNIOR,</t>
  </si>
  <si>
    <t>GILCEMAR  TRABACH,</t>
  </si>
  <si>
    <t>GILMAR FERREIRA PINA,</t>
  </si>
  <si>
    <t>Pagamento Rapido: ID=6825466</t>
  </si>
  <si>
    <t>GILMAR ROCHA RODRIGUES,</t>
  </si>
  <si>
    <t>GILSON  MURAKAMI,</t>
  </si>
  <si>
    <t>GILSON MENDES SILVA,</t>
  </si>
  <si>
    <t>Pagamento Rapido: ID=6825470</t>
  </si>
  <si>
    <t>GILSON MUNIZ BARRETO JUNIOR,</t>
  </si>
  <si>
    <t>GILTON CARNEIRO PONTE,</t>
  </si>
  <si>
    <t>GIOVANE BRUNEL PAES,</t>
  </si>
  <si>
    <t>GIOVANI DE LIMA TEIXEIRA</t>
  </si>
  <si>
    <t>GLEIDSON DOS SANTOS MARQUES,</t>
  </si>
  <si>
    <t>Pagamento Rapido: ID=6825468</t>
  </si>
  <si>
    <t>GRAZIANI DE OLIVEIRA ARAUJO,</t>
  </si>
  <si>
    <t>GUIDO RUFINO PIRES,</t>
  </si>
  <si>
    <t>GUILHERME PEREIRA RODRIGUES</t>
  </si>
  <si>
    <t>GUSTAVO  HEINEN,</t>
  </si>
  <si>
    <t>GUSTAVO   RIPP</t>
  </si>
  <si>
    <t>HAUSBLENO MOREIRA PORTO,</t>
  </si>
  <si>
    <t>Pagamento Rapido: ID=6825476</t>
  </si>
  <si>
    <t>HEDMICIO DOS SANTOS,</t>
  </si>
  <si>
    <t>HELIO DANTAS YANO,</t>
  </si>
  <si>
    <t>HELIO WAGNER TEIXEIRA SIQUEIRA,</t>
  </si>
  <si>
    <t>Pagamento Rapido: ID=6825477</t>
  </si>
  <si>
    <t>HENRIQUE  SALVADOR,</t>
  </si>
  <si>
    <t>HENRY BARROS PALHANO,</t>
  </si>
  <si>
    <t>Pagamento Rapido: ID=6826536</t>
  </si>
  <si>
    <t>HERCULIS COLLACHITI CORBI,</t>
  </si>
  <si>
    <t>HERYCK HENRIQUE DA SILVA,</t>
  </si>
  <si>
    <t>HILTON DA PAZ LEONARDO PEREIRA,</t>
  </si>
  <si>
    <t>HUBERLEIDSON BARROS NOGUEIRA,</t>
  </si>
  <si>
    <t>HUMBERTO BERNARDI DE CAMPOS,</t>
  </si>
  <si>
    <t>HUMBERTO PEREIRA DE LIMA,</t>
  </si>
  <si>
    <t>INALDO DE CARVALHO SILVA,</t>
  </si>
  <si>
    <t>ISAAC AUGUSTO DA SILVA FERNANDES,</t>
  </si>
  <si>
    <t>ISAAC JOSE BASTOS DE SOUZA,</t>
  </si>
  <si>
    <t>ITELMAR DE OLIVEIRA REIS,</t>
  </si>
  <si>
    <t>IVANILDE DOS SANTOS MOTA,</t>
  </si>
  <si>
    <t>IVO MELO DE JESUS,</t>
  </si>
  <si>
    <t>JADER CRISTHIAN RICARDO CRUZ,</t>
  </si>
  <si>
    <t>JADSON AZEVEDO MOREIRA,</t>
  </si>
  <si>
    <t>JAMERSON BARBOSA DA SILVA,</t>
  </si>
  <si>
    <t>JAMIL FRANCISCO DE ARRUDA,</t>
  </si>
  <si>
    <t>JANAINA FERREIRA DINIZ,</t>
  </si>
  <si>
    <t>JANDERSON SOUSA BORGES,</t>
  </si>
  <si>
    <t>JANILSON SILVA DE OLIVEIRA,</t>
  </si>
  <si>
    <t>JEAN  WALTRICK,</t>
  </si>
  <si>
    <t>JEAN CARLOS GAZZONI,</t>
  </si>
  <si>
    <t>JEAN CLEBER ALENCAR LOUREIRO,</t>
  </si>
  <si>
    <t>JEAN FRANCO DA SILVA,</t>
  </si>
  <si>
    <t>JEFERSON JUNQUEIRA MIRANDA,</t>
  </si>
  <si>
    <t>JEFFERSON CUNHA SILVA,</t>
  </si>
  <si>
    <t>JOAO BATISTA RAIMUNDO JUNIOR,</t>
  </si>
  <si>
    <t>JOAO DAMASCENO DE SOUZA NETO,</t>
  </si>
  <si>
    <t>JOAO DARLIS SAMPAIO SANTOS,</t>
  </si>
  <si>
    <t>JOAQUIM FERREIRA CAMPOS NETO,</t>
  </si>
  <si>
    <t>JOEL TOMAZ DE AMORIM FILHO,</t>
  </si>
  <si>
    <t>JOELSON PEREIRA NOBRE,</t>
  </si>
  <si>
    <t>JONES MARCOS EMILIANO,</t>
  </si>
  <si>
    <t>JORGE JOSE DE MORAIS SOARES,</t>
  </si>
  <si>
    <t>JORGE SA DE OLIVEIRA,</t>
  </si>
  <si>
    <t>JOSAFA ALVES DE BARROS,</t>
  </si>
  <si>
    <t>JOSE AGENALDO VIDAL,</t>
  </si>
  <si>
    <t>JOSE AILTON DE SOUSA PEREIRA,</t>
  </si>
  <si>
    <t>JOSE ANTONIO CABRAL,</t>
  </si>
  <si>
    <t>JOSE ARTUR ALVES DE SIQUEIRA,</t>
  </si>
  <si>
    <t>JOSE CARLOS DOS SANTOS JUNIOR,</t>
  </si>
  <si>
    <t>JOSE CARLOS SANTOS MENDES,</t>
  </si>
  <si>
    <t>JOSE EDUARDO ALEXANDRE BELO,</t>
  </si>
  <si>
    <t>JOSE FERNANDES MUNIZ,</t>
  </si>
  <si>
    <t>JOSE FRANCISCO COSTA,</t>
  </si>
  <si>
    <t>JOSE GERALDO FAZION BARTALINI,</t>
  </si>
  <si>
    <t>JOSE KENNED DE OLIVEIRA,</t>
  </si>
  <si>
    <t>JOSE LAUDIMIRO GOMES MOURA,</t>
  </si>
  <si>
    <t>JOSE LEVI SOUSA MELO,</t>
  </si>
  <si>
    <t>JOSE NILTO MARROCOS DA SILVA,</t>
  </si>
  <si>
    <t>JOSE RAIMUNDO GARCEZ,</t>
  </si>
  <si>
    <t>JOSE REGINALDO RUFFA ARRABA,</t>
  </si>
  <si>
    <t>JOSE REINALDO DE OLIVEIRA,</t>
  </si>
  <si>
    <t>JOSE RICARDO RODRIGUES DA MOTA,</t>
  </si>
  <si>
    <t>JOSE ROBERTO CHRESTENZEN,</t>
  </si>
  <si>
    <t>JOSE RODRIGUES NETO,</t>
  </si>
  <si>
    <t>JOSE VITORIO DE OLIVEIRA,</t>
  </si>
  <si>
    <t>JOSEAS GOMES HERCULANO JUNIOR,</t>
  </si>
  <si>
    <t>JOSEVAN MARQUES DE BRITO,</t>
  </si>
  <si>
    <t>JOSIMARY LINHARES ASSUNCAO,</t>
  </si>
  <si>
    <t>JUNIOR CESAR TOMAZ</t>
  </si>
  <si>
    <t>KAYKY ALEXANDRE RODRIGUES VIEIRA,</t>
  </si>
  <si>
    <t>KEVYN YUDI CARDOSO TAKAHASHI,</t>
  </si>
  <si>
    <t>KLEITON JOSE GOMES MOREIRA BEVILAQUA,</t>
  </si>
  <si>
    <t>LAMEQUE PINHEIRO MONTEIRO,</t>
  </si>
  <si>
    <t>LEANDRO GERTRUDES ESTEVES,</t>
  </si>
  <si>
    <t>LEANDRO MOLIN NOGUEIRA</t>
  </si>
  <si>
    <t>LEONAM SILVA LIMA,</t>
  </si>
  <si>
    <t>LEONARDO BRAVIM LAURO,</t>
  </si>
  <si>
    <t>LEONARDO MACHADO BAPTISTA,</t>
  </si>
  <si>
    <t>LIDIANE RIBEIRO ALVES,</t>
  </si>
  <si>
    <t>LUCAS ARRUDA NETO,</t>
  </si>
  <si>
    <t>LUCAS DANIEL DOS RAMOS,</t>
  </si>
  <si>
    <t>LUCAS FERREIRA SUSSTRUNK,</t>
  </si>
  <si>
    <t>LUCAS GOMES DO CARMO,</t>
  </si>
  <si>
    <t>LUCAS ROBERTO SIXEL PEREIRA,</t>
  </si>
  <si>
    <t>LUCIANO ALVES PEREIRA,</t>
  </si>
  <si>
    <t>LUCIANO DOMINGOS SANTOS DE SOUSA,</t>
  </si>
  <si>
    <t>LUCIANO DOS SANTOS SILVA,</t>
  </si>
  <si>
    <t>LUCIANO MARTINS MOREIRA,</t>
  </si>
  <si>
    <t>LUCIO FLAVIO ALVES DA SILVA,</t>
  </si>
  <si>
    <t>LUCIVAL BRITO LIMA,</t>
  </si>
  <si>
    <t>LUIS FERNANDO SILVEIRA ALVES,</t>
  </si>
  <si>
    <t>LUIS HENRIQUE POHREN RIBEIRO,</t>
  </si>
  <si>
    <t>LUIZ ALBERTO SICHIERI,</t>
  </si>
  <si>
    <t>LUIZ AUGUSTO DA COSTA,</t>
  </si>
  <si>
    <t>LUIZ CARLOS JOSE DOS SANTOS,</t>
  </si>
  <si>
    <t>LUIZ GOMES FERNANDES,</t>
  </si>
  <si>
    <t>LUIZ GUSTAVO MOREIRA DOS REIS,</t>
  </si>
  <si>
    <t>LUIZ HENRIQUE RESENDE MACIEL,</t>
  </si>
  <si>
    <t>MACIO REGIS CAMPOS SILVA,</t>
  </si>
  <si>
    <t>MAERCIO MAMEDES DA SILVA,</t>
  </si>
  <si>
    <t>MAGNO TARQUINIO MODESTO,</t>
  </si>
  <si>
    <t>MAILTON CARLOS DA SILVA,</t>
  </si>
  <si>
    <t>MAIRON FERREIRA MACHADO,</t>
  </si>
  <si>
    <t>MARCELLO PEREIRA COSTA,</t>
  </si>
  <si>
    <t>MARCELO CAIMI LOPES ORNELLAS,</t>
  </si>
  <si>
    <t>MARCELO JUNIOR DOS SANTOS,</t>
  </si>
  <si>
    <t>MARCELO ROCHA DA SILVA,</t>
  </si>
  <si>
    <t>MARCELO YUDI GOYA,</t>
  </si>
  <si>
    <t>MARCIO  FERREIRA,</t>
  </si>
  <si>
    <t>MARCO AURELIO DA SILVA BERSOT,</t>
  </si>
  <si>
    <t>MARCOS ANTONIO DOS SANTOS PAIXAO,</t>
  </si>
  <si>
    <t>MARCOS DE SOUZA MAIA,</t>
  </si>
  <si>
    <t>MARCOS EVANDRO DE ALMEIDA SERRADEIRA,</t>
  </si>
  <si>
    <t>MARCOS JOSE BARBOZA DA PAZ JUNIOR,</t>
  </si>
  <si>
    <t>MARCOS LEVI NOGUEIRA FERNANDES,</t>
  </si>
  <si>
    <t>MARCOS ROBERTO PADOVAN,</t>
  </si>
  <si>
    <t>MARCOS VICTOR PEIXOTO,</t>
  </si>
  <si>
    <t>MARCOS VINICIO CONSTANTINO DA CONCEICAO,</t>
  </si>
  <si>
    <t>MARGARETH PINTO VIEIRA,</t>
  </si>
  <si>
    <t>MARILDO MEIRELES DE SA MOUSINHO,</t>
  </si>
  <si>
    <t>MARIO CARVALHO SOUSA,</t>
  </si>
  <si>
    <t>MARLON JOSE BARBOSA DOS PASSOS,</t>
  </si>
  <si>
    <t>MATHEUS ANDRADE DE LIMA,</t>
  </si>
  <si>
    <t>MAURI LUIS RIETH,</t>
  </si>
  <si>
    <t>MAURICIO DA SILVA MENDES,</t>
  </si>
  <si>
    <t>MAURICIO TOMOHISSA SUZUKI,</t>
  </si>
  <si>
    <t>MAURO DA FONTOURA,</t>
  </si>
  <si>
    <t>MAVERSON SALAS DE MORAES,</t>
  </si>
  <si>
    <t>MAXWELL BARBOZA CORDEIRO DE FREITAS,</t>
  </si>
  <si>
    <t>MICHEL CARNIEL FONTOURA,</t>
  </si>
  <si>
    <t>MOISES FERNANDO MONTENEGRO DAIUBE DOS SANTOS,</t>
  </si>
  <si>
    <t>NAILTON COSTA ASSIS,</t>
  </si>
  <si>
    <t>NELMA SILVA DE SOUZA,</t>
  </si>
  <si>
    <t>NERONI BRITO CAMPOS,</t>
  </si>
  <si>
    <t>NILTON DA SILVA AMARAL,</t>
  </si>
  <si>
    <t>NOEL MODESTO MAGALHAES,</t>
  </si>
  <si>
    <t>OBERVAL ALVES FREITAS,</t>
  </si>
  <si>
    <t>OLAVO SOARES DA CONCEICAO,</t>
  </si>
  <si>
    <t>OLIVIO PAZ DE OLIVEIRA JUNIOR,</t>
  </si>
  <si>
    <t>OSMANI ALVES FREITAS,</t>
  </si>
  <si>
    <t>OSVALDO LUIZ GONCALVES DE SOUZA,</t>
  </si>
  <si>
    <t>OVIDIO GABRIEL DE OLIVEIRA,</t>
  </si>
  <si>
    <t>PABLO MIGUEL FIGUEIREDO,</t>
  </si>
  <si>
    <t>PATRICIA DA SILVA BARROS,</t>
  </si>
  <si>
    <t>PAULO ALDEBARA SANTANA DOS ANJOS,</t>
  </si>
  <si>
    <t>PAULO CESAR OLIVATO,</t>
  </si>
  <si>
    <t>PAULO DANIEL BARCELOS MATOS,</t>
  </si>
  <si>
    <t>PAULO LIMA BITTENCOURT,</t>
  </si>
  <si>
    <t>PAULO ROBERTO DOS SANTOS MORAES,</t>
  </si>
  <si>
    <t>PAULO VIEIRA OLIVEIRA,</t>
  </si>
  <si>
    <t>PAULO VINICIUS DA SILVA SANTOS,</t>
  </si>
  <si>
    <t>PEDRO IVO DE SOUSA,</t>
  </si>
  <si>
    <t>PEDRO MEIRA DA SILVA,</t>
  </si>
  <si>
    <t>PEDRO STEFANO SOUTO SILVA,</t>
  </si>
  <si>
    <t>PRISCILA TAVARES SOUTO MAIOR,</t>
  </si>
  <si>
    <t>RAFAEL BUROK DE SOUZA,</t>
  </si>
  <si>
    <t>RAFAEL CARLOTA DA SILVA,</t>
  </si>
  <si>
    <t>RAFAEL DE OLIVEIRA MOREIRA,</t>
  </si>
  <si>
    <t>RAFAEL GRIMALDI SALLES,</t>
  </si>
  <si>
    <t>RAFAEL LOUSADA SILVA,</t>
  </si>
  <si>
    <t>RAIFE OLIVEIRA DOS SANTOS,</t>
  </si>
  <si>
    <t>RAIMUNDO JOSE ANDRADE DE MACEDO,</t>
  </si>
  <si>
    <t>REGINALDO  MIRANDA,</t>
  </si>
  <si>
    <t>RENATO ALEXANDRE DA SILVA,</t>
  </si>
  <si>
    <t>RENATO BROZZIO FERRUGINE,</t>
  </si>
  <si>
    <t>REYNALDO CELIO BEZERRA MORAES,</t>
  </si>
  <si>
    <t>RICARDO  HIPOLITO,</t>
  </si>
  <si>
    <t>RICARDO ALMEIDA ALVES,</t>
  </si>
  <si>
    <t>RICARDO APARECIDO DE OLIVEIRA MESQUITA,</t>
  </si>
  <si>
    <t>RICARDO DE OLIVEIRA MACHADO,</t>
  </si>
  <si>
    <t>RICARDO DOS SANTOS VIEIRA,</t>
  </si>
  <si>
    <t>RICARDO JOSE SANTA BARBARA FERNANDES,</t>
  </si>
  <si>
    <t>RICARDO LOPES DE JESUS PALMEIRA,</t>
  </si>
  <si>
    <t>RICARDO SOARES DA SILVA,</t>
  </si>
  <si>
    <t>RINALDO DE SENA BIANCO,</t>
  </si>
  <si>
    <t>ROBERTO DA COSTA MOLCAN,</t>
  </si>
  <si>
    <t>ROBERTO DE SOUZA MATHEUS,</t>
  </si>
  <si>
    <t>ROBERTO FERNANDO SOARES DOS SANTOS,</t>
  </si>
  <si>
    <t>ROBERTO THOME CAMPELO LIMA,</t>
  </si>
  <si>
    <t>ROBSON DA SILVA RODRIGUES,</t>
  </si>
  <si>
    <t>ROBSON ISAAC MOREIRA SANTOS,</t>
  </si>
  <si>
    <t>RODRIGO DUARTE PEREIRA,</t>
  </si>
  <si>
    <t>RODRIGO GALVAO DE ALMEIDA,</t>
  </si>
  <si>
    <t>ROGERIO ALBERTO DA SILVA,</t>
  </si>
  <si>
    <t>ROGERIO ANDRADE E SILVA,</t>
  </si>
  <si>
    <t>ROGERIO CESAR ALVES DO NASCIMENTO,</t>
  </si>
  <si>
    <t>ROGERIO DE ORNELAS FREITAS,</t>
  </si>
  <si>
    <t>ROMOS PEREIRA PINTO,</t>
  </si>
  <si>
    <t>RONALDO DE SOUZA ANUNCIACAO,</t>
  </si>
  <si>
    <t>RONALDO LUIZ DOS SANTOS,</t>
  </si>
  <si>
    <t>RONANDO GONCALVES DA SILVA,</t>
  </si>
  <si>
    <t>RONIEDSON DA SILVA MARTINS,</t>
  </si>
  <si>
    <t>RONNY CASARIN DA ROCHA BRAGA,</t>
  </si>
  <si>
    <t>SANDRO RICARDO GONCALO COELHO,</t>
  </si>
  <si>
    <t>SEBASTIAO DELMAR ALBUQUERQUE LEITE,</t>
  </si>
  <si>
    <t>SERGIO AUGUSTO DE AZEVEDO RODRIGUES,</t>
  </si>
  <si>
    <t>SERGIO LIBRELON MACHADO,</t>
  </si>
  <si>
    <t>SERGIO RICARDO ARAUJO,</t>
  </si>
  <si>
    <t>SERGIO VIEIRA DOS SANTOS,</t>
  </si>
  <si>
    <t>SILVIO FERNANDO BEDIN,</t>
  </si>
  <si>
    <t>SIMONE  VAILATTI,</t>
  </si>
  <si>
    <t>STEFAN OGINO FIGUEIREDO,</t>
  </si>
  <si>
    <t>STELIO MAURO SANTOS DE ALMEIDA,</t>
  </si>
  <si>
    <t>TATHIANA SCHMELZER SOARES,</t>
  </si>
  <si>
    <t>THALES ALBERTO CAMBUI,</t>
  </si>
  <si>
    <t>THIAGO BARBOSA DA SILVA,</t>
  </si>
  <si>
    <t>THIAGO CLEMENTE NOVAES,</t>
  </si>
  <si>
    <t>THIAGO RODRIGO CONTRO DE CAMARGO,</t>
  </si>
  <si>
    <t>UBIRAJARA  GONZAGA,</t>
  </si>
  <si>
    <t>VAGNER LUIS MACHADO SOARES,</t>
  </si>
  <si>
    <t>VALDECY CANDIDO COSTA JUNIOR,</t>
  </si>
  <si>
    <t>VALDEREZ HONORIO MARINHO,</t>
  </si>
  <si>
    <t>VALMIR LIRA DO NASCIMENTO,</t>
  </si>
  <si>
    <t>VALQUIR JESUS DE OLIVEIRA,</t>
  </si>
  <si>
    <t>VANDERLEI DOURADO MAIA,</t>
  </si>
  <si>
    <t>VICTOR MURILO TRINDADE BELLINI,</t>
  </si>
  <si>
    <t>VITOR GOMES DE LIMA,</t>
  </si>
  <si>
    <t>WALDEMAR MARTINS DOS SANTOS,</t>
  </si>
  <si>
    <t>WALDEMIR FERREIRA CASTRO,</t>
  </si>
  <si>
    <t>WALDOMIRO ALEXANDRE DOS SANTOS,</t>
  </si>
  <si>
    <t>WALLACE DE FRANCA GOMES,</t>
  </si>
  <si>
    <t>WANDER FAVACHO BRAGA,</t>
  </si>
  <si>
    <t>WANDERSON ROSA DA SILVA,</t>
  </si>
  <si>
    <t>WEDERSON DA SILVA DE JESUS,</t>
  </si>
  <si>
    <t>WELINGTON DE LIMA COSTA,</t>
  </si>
  <si>
    <t>WELLINGTON CARLOS DA CONCEICAO SILVA,</t>
  </si>
  <si>
    <t>WELLINGTON FELIX DE ARAUJO,</t>
  </si>
  <si>
    <t>WELLINGTON ROOSELVERT ANTES GONCALVES,</t>
  </si>
  <si>
    <t>WELLINGTON TELES DOS SANTOS,</t>
  </si>
  <si>
    <t>WELSON DA SILVA RODRIGUES,</t>
  </si>
  <si>
    <t>WELTON GOMES SILVA,</t>
  </si>
  <si>
    <t>WILIAN ROSANTE LIMA,</t>
  </si>
  <si>
    <t>WILLIAM ROBERTO MARCUCCI,</t>
  </si>
  <si>
    <t>WILLYAN  POLETO,</t>
  </si>
  <si>
    <t>WILSON DE OLIVEIRA LIMA,</t>
  </si>
  <si>
    <t>WILSON RICARDO GARCIA,</t>
  </si>
  <si>
    <t>WINNETOU BEZERRA SALES,</t>
  </si>
  <si>
    <t>WOLGRAND FELIPE DE SOUSA,</t>
  </si>
  <si>
    <t>YURI BRUNO DE OLIVEIRA FARIA,</t>
  </si>
  <si>
    <t>YURI SILVA BULHOES,</t>
  </si>
  <si>
    <t>AGE DESENVOLVIMENTO DE SISTEMAS LTDA</t>
  </si>
  <si>
    <t>ALARMTEK TECNOLOGIA AUTODEFESA LTDA</t>
  </si>
  <si>
    <t>BL NESHER TRANSPORTES E LOGISTICA LTDA - ME</t>
  </si>
  <si>
    <t>CONTMAX CONTABILIDADE LTDA - EPP</t>
  </si>
  <si>
    <t>ESPACO Y ENGENHARIA EMPREENDIMENTOS SA</t>
  </si>
  <si>
    <t>EXPRESSO CANTUARIA LTDA - EPP</t>
  </si>
  <si>
    <t>GRUPO ELITEC DO BRASIL COMERCIO E SERVICOS DE SISTEMAS DE SEGURANCA LTDA ME</t>
  </si>
  <si>
    <t>INTERMODAL BRASIL LOGISTICA LTDA</t>
  </si>
  <si>
    <t>IRENALDO DE MELO CELANI</t>
  </si>
  <si>
    <t>MICROPAN ASSISTENCIA TECNICA LTDA ME</t>
  </si>
  <si>
    <t>NATAL TECNOLOGIA E SEGURANCA LTDA</t>
  </si>
  <si>
    <t>POSTEC COMERCIO E SERVICO EM TECNOLOGIA LTDA - EPP</t>
  </si>
  <si>
    <t>PREXX COMERCIO E IMPORTAÇÃO LTDA</t>
  </si>
  <si>
    <t>ROBERTO MOTTA COCCIOLI</t>
  </si>
  <si>
    <t>SCOLTT COMERCIO E SERVICOS LTDA</t>
  </si>
  <si>
    <t>SUCESSO PRESTACAO DE SERVICOS TERCEIRIZADOS LTDA - ME</t>
  </si>
  <si>
    <t>TORKS TRANSPORTES LTDA - ME</t>
  </si>
  <si>
    <t>TRANSBRITTO EXPRESS LTDA</t>
  </si>
  <si>
    <t>TRANSPORTADORA CEL E MAR LTDA ME</t>
  </si>
  <si>
    <t>CONSELHO REGIONAL DOS TECNICOS INDUSTRIAIS DA PRIMEIRA REGIAO</t>
  </si>
  <si>
    <t>CONSELHO REGIONAL DOS TECNICOS INDUSTRIAIS DO ESTADO DE SAO PAULO</t>
  </si>
  <si>
    <t>CONSELHO REGIONAL DOS TECNICOS INDUSTRIAIS DO ESTADO DO RIO DE JANEIRO</t>
  </si>
  <si>
    <t>SEC DE ESTADO DA FAZENDA RON</t>
  </si>
  <si>
    <t>CONSELHO REGIONAL DOS TECNICOS INDUSTRIAIS DA TERCEIRA REGIAO</t>
  </si>
  <si>
    <t>COPEL DISTRIBUICAO S A</t>
  </si>
  <si>
    <t>REF. LINHA 23</t>
  </si>
  <si>
    <t>Pagamento Rapido: ID=6825472</t>
  </si>
  <si>
    <t>Pagamento Rapido: ID=6826316</t>
  </si>
  <si>
    <t>Pagamento Rapido: ID=6826845</t>
  </si>
  <si>
    <t>DJO</t>
  </si>
  <si>
    <t>Pagamento Rapido: ID=6826533</t>
  </si>
  <si>
    <t>k</t>
  </si>
  <si>
    <t>Pagamento Rapido: ID=6825485</t>
  </si>
  <si>
    <t>Pagamento Rapido: ID=6826712</t>
  </si>
  <si>
    <t>Pagamento Rapido: ID=6826839</t>
  </si>
  <si>
    <t>Pagamento Rapido: ID=6827017</t>
  </si>
  <si>
    <t>Pagamento Rapido: ID=6827020</t>
  </si>
  <si>
    <t>Pagamento Rapido: ID=6827021</t>
  </si>
  <si>
    <t>Pagamento Rapido: ID=6827022</t>
  </si>
  <si>
    <t>EXTRA/2058</t>
  </si>
  <si>
    <t>ORPAG</t>
  </si>
  <si>
    <t>Pagamento Rapido: ID=6825500</t>
  </si>
  <si>
    <t>Pagamento Rapido: ID=6825556</t>
  </si>
  <si>
    <t>Pagamento Rapido: ID=6825555</t>
  </si>
  <si>
    <t>Data do Valor</t>
  </si>
  <si>
    <t>Quantia Reconciliada</t>
  </si>
  <si>
    <t>Encargos</t>
  </si>
  <si>
    <t>Flex. Desc.</t>
  </si>
  <si>
    <t>Reconciliado</t>
  </si>
  <si>
    <t>.</t>
  </si>
  <si>
    <t>Externo</t>
  </si>
  <si>
    <t>205393/205826</t>
  </si>
  <si>
    <t>200000/205826</t>
  </si>
  <si>
    <t>CONTAS A PAGAR</t>
  </si>
  <si>
    <t>R$ 69.000,25 Conciliado com a 
devolução do fornecedor na linha 2 do dia 21/08.</t>
  </si>
  <si>
    <t>Atividade: JUROS EMPRESTIMO BB</t>
  </si>
  <si>
    <t>CAP. GIRO AMORTIZAÇÃO</t>
  </si>
  <si>
    <t>Pagamento Rapido: ID=6541123</t>
  </si>
  <si>
    <t>OB SEM SAÍDA NO BANCO</t>
  </si>
  <si>
    <t>Pagamento Rapido: ID=6541216</t>
  </si>
  <si>
    <t>Pagamento Rapido: ID=6541219</t>
  </si>
  <si>
    <t>Pagamento Rapido: ID=6543236</t>
  </si>
  <si>
    <t>Atividade: IOF A RECOLHER</t>
  </si>
  <si>
    <t>COBRANÇA IOF</t>
  </si>
  <si>
    <t>Unidade Operacional</t>
  </si>
  <si>
    <t>Estado</t>
  </si>
  <si>
    <t>Nr. do Recebimento</t>
  </si>
  <si>
    <t>Data do Recebimento</t>
  </si>
  <si>
    <t>Moeda</t>
  </si>
  <si>
    <t>Quantia de Recebimento</t>
  </si>
  <si>
    <t>Qtia. Líquida</t>
  </si>
  <si>
    <t>Quantia Não aplicada</t>
  </si>
  <si>
    <t>Quantia Não Identificada</t>
  </si>
  <si>
    <t>Nome do Cliente</t>
  </si>
  <si>
    <t>Data de Correspondência</t>
  </si>
  <si>
    <t>Data do Depósito</t>
  </si>
  <si>
    <t>Método de Recebimento</t>
  </si>
  <si>
    <t>Conta Bancária para Remessa</t>
  </si>
  <si>
    <t>Encargos Bancários</t>
  </si>
  <si>
    <t>Encargo Bancário-padrão</t>
  </si>
  <si>
    <t>Limite da Tolerância</t>
  </si>
  <si>
    <t>[ ]</t>
  </si>
  <si>
    <t>( )</t>
  </si>
  <si>
    <t>OU_BBTS</t>
  </si>
  <si>
    <t>Aplicado</t>
  </si>
  <si>
    <t>10-SET-24001001205826/157</t>
  </si>
  <si>
    <t>Diversos</t>
  </si>
  <si>
    <t>Estorno de lançamento duplicado.</t>
  </si>
  <si>
    <t>BB ELETRONICO</t>
  </si>
  <si>
    <t>Remetido</t>
  </si>
  <si>
    <t>10-SET-24001001205826/158</t>
  </si>
  <si>
    <t>10-SET-24001001205826/159</t>
  </si>
  <si>
    <t>12-SET-24001001205826/100</t>
  </si>
  <si>
    <t>10-SET-24001001205826/160</t>
  </si>
  <si>
    <t>Compensado</t>
  </si>
  <si>
    <t>12-SET-24001001205826/101</t>
  </si>
  <si>
    <t>10-SET-24001001205826/161</t>
  </si>
  <si>
    <t>10-SET-24001001205826/162</t>
  </si>
  <si>
    <t>12-SET-24001001205826/102</t>
  </si>
  <si>
    <t>10-SET-24001001205826/163</t>
  </si>
  <si>
    <t>12-SET-24001001205826/103</t>
  </si>
  <si>
    <t>10-SET-24001001205826/164</t>
  </si>
  <si>
    <t>12-SET-24001001205826/104</t>
  </si>
  <si>
    <t>10-SET-24001001205826/165</t>
  </si>
  <si>
    <t>12-SET-24001001205826/105</t>
  </si>
  <si>
    <t>10-SET-24001001205826/166</t>
  </si>
  <si>
    <t>10-SET-24001001205826/167</t>
  </si>
  <si>
    <t>12-SET-24001001205826/106</t>
  </si>
  <si>
    <t>10-SET-24001001205826/168</t>
  </si>
  <si>
    <t>12-SET-24001001205826/107</t>
  </si>
  <si>
    <t>10-SET-24001001205826/169</t>
  </si>
  <si>
    <t>12-SET-24001001205826/108</t>
  </si>
  <si>
    <t>10-SET-24001001205826/170</t>
  </si>
  <si>
    <t>12-SET-24001001205826/109</t>
  </si>
  <si>
    <t>10-SET-24001001205826/171</t>
  </si>
  <si>
    <t>12-SET-24001001205826/110</t>
  </si>
  <si>
    <t>10-SET-24001001205826/172</t>
  </si>
  <si>
    <t>12-SET-24001001205826/111</t>
  </si>
  <si>
    <t>10-SET-24001001205826/173</t>
  </si>
  <si>
    <t>12-SET-24001001205826/112</t>
  </si>
  <si>
    <t>10-SET-24001001205826/174</t>
  </si>
  <si>
    <t>12-SET-24001001205826/78</t>
  </si>
  <si>
    <t>10-SET-24001001205826/175</t>
  </si>
  <si>
    <t>12-SET-24001001205826/79</t>
  </si>
  <si>
    <t>10-SET-24001001205826/176</t>
  </si>
  <si>
    <t>12-SET-24001001205826/80</t>
  </si>
  <si>
    <t>10-SET-24001001205826/177</t>
  </si>
  <si>
    <t>12-SET-24001001205826/81</t>
  </si>
  <si>
    <t>10-SET-24001001205826/178</t>
  </si>
  <si>
    <t>12-SET-24001001205826/82</t>
  </si>
  <si>
    <t>10-SET-24001001205826/179</t>
  </si>
  <si>
    <t>12-SET-24001001205826/83</t>
  </si>
  <si>
    <t>10-SET-24001001205826/180</t>
  </si>
  <si>
    <t>12-SET-24001001205826/84</t>
  </si>
  <si>
    <t>10-SET-24001001205826/181</t>
  </si>
  <si>
    <t>12-SET-24001001205826/85</t>
  </si>
  <si>
    <t>10-SET-24001001205826/182</t>
  </si>
  <si>
    <t>12-SET-24001001205826/86</t>
  </si>
  <si>
    <t>10-SET-24001001205826/183</t>
  </si>
  <si>
    <t>12-SET-24001001205826/87</t>
  </si>
  <si>
    <t>10-SET-24001001205826/184</t>
  </si>
  <si>
    <t>12-SET-24001001205826/88</t>
  </si>
  <si>
    <t>10-SET-24001001205826/185</t>
  </si>
  <si>
    <t>12-SET-24001001205826/89</t>
  </si>
  <si>
    <t>10-SET-24001001205826/186</t>
  </si>
  <si>
    <t>12-SET-24001001205826/90</t>
  </si>
  <si>
    <t>10-SET-24001001205826/187</t>
  </si>
  <si>
    <t>12-SET-24001001205826/91</t>
  </si>
  <si>
    <t>10-SET-24001001205826/188</t>
  </si>
  <si>
    <t>12-SET-24001001205826/92</t>
  </si>
  <si>
    <t>10-SET-24001001205826/189</t>
  </si>
  <si>
    <t>12-SET-24001001205826/93</t>
  </si>
  <si>
    <t>12-SET-24001001205826/94</t>
  </si>
  <si>
    <t>10-SET-24001001205826/190</t>
  </si>
  <si>
    <t>12-SET-24001001205826/95</t>
  </si>
  <si>
    <t>10-SET-24001001205826/191</t>
  </si>
  <si>
    <t>12-SET-24001001205826/96</t>
  </si>
  <si>
    <t>10-SET-24001001205826/192</t>
  </si>
  <si>
    <t>12-SET-24001001205826/97</t>
  </si>
  <si>
    <t>10-SET-24001001205826/193</t>
  </si>
  <si>
    <t>12-SET-24001001205826/98</t>
  </si>
  <si>
    <t>10-SET-24001001205826/194</t>
  </si>
  <si>
    <t>12-SET-24001001205826/99</t>
  </si>
  <si>
    <t>10-SET-24001001205826/195</t>
  </si>
  <si>
    <t xml:space="preserve">NF </t>
  </si>
  <si>
    <t>10-SET-24001001205826/196</t>
  </si>
  <si>
    <t>10-SET-24001001205826/197</t>
  </si>
  <si>
    <t>10-SET-24001001205826/198</t>
  </si>
  <si>
    <t>10-SET-24001001205826/199</t>
  </si>
  <si>
    <t>10-SET-24001001205826/200</t>
  </si>
  <si>
    <t>10-SET-24001001205826/201</t>
  </si>
  <si>
    <t>10-SET-24001001205826/202</t>
  </si>
  <si>
    <t>10-SET-24001001205826/203</t>
  </si>
  <si>
    <t>10-SET-24001001205826/204</t>
  </si>
  <si>
    <t>10-SET-24001001205826/205</t>
  </si>
  <si>
    <t>10-SET-24001001205826/206</t>
  </si>
  <si>
    <t>10-SET-24001001205826/207</t>
  </si>
  <si>
    <t>10-SET-24001001205826/208</t>
  </si>
  <si>
    <t>10-SET-24001001205826/209</t>
  </si>
  <si>
    <t>10-SET-24001001205826/210</t>
  </si>
  <si>
    <t>10-SET-24001001205826/211</t>
  </si>
  <si>
    <t>10-SET-24001001205826/212</t>
  </si>
  <si>
    <t>10-SET-24001001205826/213</t>
  </si>
  <si>
    <t>10-SET-24001001205826/214</t>
  </si>
  <si>
    <t>10-SET-24001001205826/215</t>
  </si>
  <si>
    <t>10-SET-24001001205826/216</t>
  </si>
  <si>
    <t>10-SET-24001001205826/217</t>
  </si>
  <si>
    <t>10-SET-24001001205826/218</t>
  </si>
  <si>
    <t>10-SET-24001001205826/219</t>
  </si>
  <si>
    <t>10-SET-24001001205826/220</t>
  </si>
  <si>
    <t>10-SET-24001001205826/221</t>
  </si>
  <si>
    <t>10-SET-24001001205826/222</t>
  </si>
  <si>
    <t>10-SET-24001001205826/223</t>
  </si>
  <si>
    <t>10-SET-24001001205826/224</t>
  </si>
  <si>
    <t>10-SET-24001001205826/225</t>
  </si>
  <si>
    <t>10-SET-24001001205826/226</t>
  </si>
  <si>
    <t>10-SET-24001001205826/227</t>
  </si>
  <si>
    <t>10-SET-24001001205826/228</t>
  </si>
  <si>
    <t>10-SET-24001001205826/229</t>
  </si>
  <si>
    <t>10-SET-24001001205826/230</t>
  </si>
  <si>
    <t>10-SET-24001001205826/231</t>
  </si>
  <si>
    <t>10-SET-24001001205826/232</t>
  </si>
  <si>
    <t>10-SET-24001001205826/233</t>
  </si>
  <si>
    <t>10-SET-24001001205826/234</t>
  </si>
  <si>
    <t>10-SET-24001001205826/235</t>
  </si>
  <si>
    <t>10-SET-24001001205826/236</t>
  </si>
  <si>
    <t>10-SET-24001001205826/237</t>
  </si>
  <si>
    <t>10-SET-24001001205826/238</t>
  </si>
  <si>
    <t>10-SET-24001001205826/239</t>
  </si>
  <si>
    <t>10-SET-24001001205826/240</t>
  </si>
  <si>
    <t>10-SET-24001001205826/241</t>
  </si>
  <si>
    <t>10-SET-24001001205826/242</t>
  </si>
  <si>
    <t>10-SET-24001001205826/243</t>
  </si>
  <si>
    <t>10-SET-24001001205826/244</t>
  </si>
  <si>
    <t>10-SET-24001001205826/245</t>
  </si>
  <si>
    <t>10-SET-24001001205826/246</t>
  </si>
  <si>
    <t>10-SET-24001001205826/247</t>
  </si>
  <si>
    <t>10-SET-24001001205826/248</t>
  </si>
  <si>
    <t>10-SET-24001001205826/249</t>
  </si>
  <si>
    <t>10-SET-24001001205826/250</t>
  </si>
  <si>
    <t>10-SET-24001001205826/251</t>
  </si>
  <si>
    <t>10-SET-24001001205826/252</t>
  </si>
  <si>
    <t>10-SET-24001001205826/253</t>
  </si>
  <si>
    <t>10-SET-24001001205826/254</t>
  </si>
  <si>
    <t>10-SET-24001001205826/255</t>
  </si>
  <si>
    <t>10-SET-24001001205826/256</t>
  </si>
  <si>
    <t>10-SET-24001001205826/257</t>
  </si>
  <si>
    <t>10-SET-24001001205826/258</t>
  </si>
  <si>
    <t>10-SET-24001001205826/259</t>
  </si>
  <si>
    <t>10-SET-24001001205826/260</t>
  </si>
  <si>
    <t>10-SET-24001001205826/261</t>
  </si>
  <si>
    <t>10-SET-24001001205826/262</t>
  </si>
  <si>
    <t>10-SET-24001001205826/263</t>
  </si>
  <si>
    <t>10-SET-24001001205826/264</t>
  </si>
  <si>
    <t>10-SET-24001001205826/265</t>
  </si>
  <si>
    <t>10-SET-24001001205826/266</t>
  </si>
  <si>
    <t>10-SET-24001001205826/267</t>
  </si>
  <si>
    <t>10-SET-24001001205826/268</t>
  </si>
  <si>
    <t>10-SET-24001001205826/269</t>
  </si>
  <si>
    <t>10-SET-24001001205826/270</t>
  </si>
  <si>
    <t>10-SET-24001001205826/271</t>
  </si>
  <si>
    <t>10-SET-24001001205826/272</t>
  </si>
  <si>
    <t>10-SET-24001001205826/273</t>
  </si>
  <si>
    <t>10-SET-24001001205826/274</t>
  </si>
  <si>
    <t>10-SET-24001001205826/275</t>
  </si>
  <si>
    <t>10-SET-24001001205826/276</t>
  </si>
  <si>
    <t>10-SET-24001001205826/277</t>
  </si>
  <si>
    <t>10-SET-24001001205826/278</t>
  </si>
  <si>
    <t>10-SET-24001001205826/279</t>
  </si>
  <si>
    <t>10-SET-24001001205826/280</t>
  </si>
  <si>
    <t>10-SET-24001001205826/281</t>
  </si>
  <si>
    <t>10-SET-24001001205826/282</t>
  </si>
  <si>
    <t>10-SET-24001001205826/283</t>
  </si>
  <si>
    <t>10-SET-24001001205826/284</t>
  </si>
  <si>
    <t>10-SET-24001001205826/285</t>
  </si>
  <si>
    <t>10-SET-24001001205826/286</t>
  </si>
  <si>
    <t>10-SET-24001001205826/287</t>
  </si>
  <si>
    <t>10-SET-24001001205826/288</t>
  </si>
  <si>
    <t>10-SET-24001001205826/289</t>
  </si>
  <si>
    <t>10-SET-24001001205826/290</t>
  </si>
  <si>
    <t>10-SET-24001001205826/291</t>
  </si>
  <si>
    <t>10-SET-24001001205826/292</t>
  </si>
  <si>
    <t>10-SET-24001001205826/293</t>
  </si>
  <si>
    <t>10-SET-24001001205826/294</t>
  </si>
  <si>
    <t>10-SET-24001001205826/295</t>
  </si>
  <si>
    <t>10-SET-24001001205826/296</t>
  </si>
  <si>
    <t>10-SET-24001001205826/297</t>
  </si>
  <si>
    <t>10-SET-24001001205826/298</t>
  </si>
  <si>
    <t>10-SET-24001001205826/299</t>
  </si>
  <si>
    <t>10-SET-24001001205826/300</t>
  </si>
  <si>
    <t>10-SET-24001001205826/301</t>
  </si>
  <si>
    <t>10-SET-24001001205826/302</t>
  </si>
  <si>
    <t>10-SET-24001001205826/303</t>
  </si>
  <si>
    <t>10-SET-24001001205826/304</t>
  </si>
  <si>
    <t>10-SET-24001001205826/305</t>
  </si>
  <si>
    <t>10-SET-24001001205826/306</t>
  </si>
  <si>
    <t>10-SET-24001001205826/307</t>
  </si>
  <si>
    <t>10-SET-24001001205826/308</t>
  </si>
  <si>
    <t>10-SET-24001001205826/309</t>
  </si>
  <si>
    <t>10-SET-24001001205826/310</t>
  </si>
  <si>
    <t>10-SET-24001001205826/311</t>
  </si>
  <si>
    <t>10-SET-24001001205826/312</t>
  </si>
  <si>
    <t>10-SET-24001001205826/313</t>
  </si>
  <si>
    <t>10-SET-24001001205826/314</t>
  </si>
  <si>
    <t>10-SET-24001001205826/315</t>
  </si>
  <si>
    <t>10-SET-24001001205826/316</t>
  </si>
  <si>
    <t>10-SET-24001001205826/317</t>
  </si>
  <si>
    <t>10-SET-24001001205826/318</t>
  </si>
  <si>
    <t>10-SET-24001001205826/319</t>
  </si>
  <si>
    <t>10-SET-24001001205826/320</t>
  </si>
  <si>
    <t>10-SET-24001001205826/321</t>
  </si>
  <si>
    <t>10-SET-24001001205826/322</t>
  </si>
  <si>
    <t>10-SET-24001001205826/323</t>
  </si>
  <si>
    <t>10-SET-24001001205826/324</t>
  </si>
  <si>
    <t>10-SET-24001001205826/325</t>
  </si>
  <si>
    <t>10-SET-24001001205826/326</t>
  </si>
  <si>
    <t>10-SET-24001001205826/327</t>
  </si>
  <si>
    <t>10-SET-24001001205826/328</t>
  </si>
  <si>
    <t>10-SET-24001001205826/329</t>
  </si>
  <si>
    <t>10-SET-24001001205826/330</t>
  </si>
  <si>
    <t>10-SET-24001001205826/331</t>
  </si>
  <si>
    <t>10-SET-24001001205826/332</t>
  </si>
  <si>
    <t>10-SET-24001001205826/333</t>
  </si>
  <si>
    <t>10-SET-24001001205826/334</t>
  </si>
  <si>
    <t>10-SET-24001001205826/335</t>
  </si>
  <si>
    <t>10-SET-24001001205826/336</t>
  </si>
  <si>
    <t>10-SET-24001001205826/337</t>
  </si>
  <si>
    <t>10-SET-24001001205826/338</t>
  </si>
  <si>
    <t>10-SET-24001001205826/339</t>
  </si>
  <si>
    <t>10-SET-24001001205826/340</t>
  </si>
  <si>
    <t>10-SET-24001001205826/341</t>
  </si>
  <si>
    <t>10-SET-24001001205826/342</t>
  </si>
  <si>
    <t>10-SET-24001001205826/343</t>
  </si>
  <si>
    <t>10-SET-24001001205826/344</t>
  </si>
  <si>
    <t>10-SET-24001001205826/345</t>
  </si>
  <si>
    <t>10-SET-24001001205826/346</t>
  </si>
  <si>
    <t>10-SET-24001001205826/347</t>
  </si>
  <si>
    <t>10-SET-24001001205826/348</t>
  </si>
  <si>
    <t>10-SET-24001001205826/349</t>
  </si>
  <si>
    <t>10-SET-24001001205826/350</t>
  </si>
  <si>
    <t>10-SET-24001001205826/351</t>
  </si>
  <si>
    <t>10-SET-24001001205826/352</t>
  </si>
  <si>
    <t>10-SET-24001001205826/353</t>
  </si>
  <si>
    <t>10-SET-24001001205826/354</t>
  </si>
  <si>
    <t>10-SET-24001001205826/355</t>
  </si>
  <si>
    <t>10-SET-24001001205826/356</t>
  </si>
  <si>
    <t>10-SET-24001001205826/357</t>
  </si>
  <si>
    <t>10-SET-24001001205826/358</t>
  </si>
  <si>
    <t>10-SET-24001001205826/359</t>
  </si>
  <si>
    <t>10-SET-24001001205826/360</t>
  </si>
  <si>
    <t>10-SET-24001001205826/361</t>
  </si>
  <si>
    <t>10-SET-24001001205826/362</t>
  </si>
  <si>
    <t>10-SET-24001001205826/363</t>
  </si>
  <si>
    <t>10-SET-24001001205826/364</t>
  </si>
  <si>
    <t>10-SET-24001001205826/365</t>
  </si>
  <si>
    <t>10-SET-24001001205826/366</t>
  </si>
  <si>
    <t>10-SET-24001001205826/367</t>
  </si>
  <si>
    <t>10-SET-24001001205826/368</t>
  </si>
  <si>
    <t>10-SET-24001001205826/369</t>
  </si>
  <si>
    <t>10-SET-24001001205826/370</t>
  </si>
  <si>
    <t>10-SET-24001001205826/371</t>
  </si>
  <si>
    <t>10-SET-24001001205826/372</t>
  </si>
  <si>
    <t>10-SET-24001001205826/373</t>
  </si>
  <si>
    <t>10-SET-24001001205826/374</t>
  </si>
  <si>
    <t>10-SET-24001001205826/375</t>
  </si>
  <si>
    <t>10-SET-24001001205826/376</t>
  </si>
  <si>
    <t>10-SET-24001001205826/377</t>
  </si>
  <si>
    <t>10-SET-24001001205826/378</t>
  </si>
  <si>
    <t>10-SET-24001001205826/379</t>
  </si>
  <si>
    <t>10-SET-24001001205826/380</t>
  </si>
  <si>
    <t>10-SET-24001001205826/381</t>
  </si>
  <si>
    <t>10-SET-24001001205826/382</t>
  </si>
  <si>
    <t>10-SET-24001001205826/383</t>
  </si>
  <si>
    <t>10-SET-24001001205826/384</t>
  </si>
  <si>
    <t>10-SET-24001001205826/385</t>
  </si>
  <si>
    <t>10-SET-24001001205826/386</t>
  </si>
  <si>
    <t>10-SET-24001001205826/387</t>
  </si>
  <si>
    <t>10-SET-24001001205826/388</t>
  </si>
  <si>
    <t>10-SET-24001001205826/389</t>
  </si>
  <si>
    <t>10-SET-24001001205826/390</t>
  </si>
  <si>
    <t>10-SET-24001001205826/391</t>
  </si>
  <si>
    <t>10-SET-24001001205826/392</t>
  </si>
  <si>
    <t>10-SET-24001001205826/393</t>
  </si>
  <si>
    <t>10-SET-24001001205826/394</t>
  </si>
  <si>
    <t>10-SET-24001001205826/395</t>
  </si>
  <si>
    <t>10-SET-24001001205826/396</t>
  </si>
  <si>
    <t>10-SET-24001001205826/397</t>
  </si>
  <si>
    <t>10-SET-24001001205826/398</t>
  </si>
  <si>
    <t>10-SET-24001001205826/399</t>
  </si>
  <si>
    <t>10-SET-24001001205826/400</t>
  </si>
  <si>
    <t>10-SET-24001001205826/401</t>
  </si>
  <si>
    <t>10-SET-24001001205826/402</t>
  </si>
  <si>
    <t>10-SET-24001001205826/403</t>
  </si>
  <si>
    <t>10-SET-24001001205826/404</t>
  </si>
  <si>
    <t>10-SET-24001001205826/405</t>
  </si>
  <si>
    <t>10-SET-24001001205826/406</t>
  </si>
  <si>
    <t>10-SET-24001001205826/407</t>
  </si>
  <si>
    <t>10-SET-24001001205826/408</t>
  </si>
  <si>
    <t>10-SET-24001001205826/409</t>
  </si>
  <si>
    <t>10-SET-24001001205826/410</t>
  </si>
  <si>
    <t>10-SET-24001001205826/411</t>
  </si>
  <si>
    <t>10-SET-24001001205826/412</t>
  </si>
  <si>
    <t>10-SET-24001001205826/413</t>
  </si>
  <si>
    <t>10-SET-24001001205826/414</t>
  </si>
  <si>
    <t>10-SET-24001001205826/415</t>
  </si>
  <si>
    <t>10-SET-24001001205826/416</t>
  </si>
  <si>
    <t>10-SET-24001001205826/417</t>
  </si>
  <si>
    <t>10-SET-24001001205826/418</t>
  </si>
  <si>
    <t>10-SET-24001001205826/419</t>
  </si>
  <si>
    <t>10-SET-24001001205826/420</t>
  </si>
  <si>
    <t>10-SET-24001001205826/421</t>
  </si>
  <si>
    <t>10-SET-24001001205826/422</t>
  </si>
  <si>
    <t>10-SET-24001001205826/423</t>
  </si>
  <si>
    <t>10-SET-24001001205826/424</t>
  </si>
  <si>
    <t>10-SET-24001001205826/425</t>
  </si>
  <si>
    <t>10-SET-24001001205826/426</t>
  </si>
  <si>
    <t>10-SET-24001001205826/427</t>
  </si>
  <si>
    <t>10-SET-24001001205826/428</t>
  </si>
  <si>
    <t>10-SET-24001001205826/429</t>
  </si>
  <si>
    <t>10-SET-24001001205826/430</t>
  </si>
  <si>
    <t>10-SET-24001001205826/431</t>
  </si>
  <si>
    <t>10-SET-24001001205826/432</t>
  </si>
  <si>
    <t>10-SET-24001001205826/433</t>
  </si>
  <si>
    <t>10-SET-24001001205826/434</t>
  </si>
  <si>
    <t>10-SET-24001001205826/435</t>
  </si>
  <si>
    <t>10-SET-24001001205826/436</t>
  </si>
  <si>
    <t>10-SET-24001001205826/437</t>
  </si>
  <si>
    <t>10-SET-24001001205826/438</t>
  </si>
  <si>
    <t>10-SET-24001001205826/439</t>
  </si>
  <si>
    <t>10-SET-24001001205826/440</t>
  </si>
  <si>
    <t>10-SET-24001001205826/441</t>
  </si>
  <si>
    <t>10-SET-24001001205826/442</t>
  </si>
  <si>
    <t>10-SET-24001001205826/443</t>
  </si>
  <si>
    <t>10-SET-24001001205826/444</t>
  </si>
  <si>
    <t>10-SET-24001001205826/445</t>
  </si>
  <si>
    <t>10-SET-24001001205826/446</t>
  </si>
  <si>
    <t>10-SET-24001001205826/447</t>
  </si>
  <si>
    <t>10-SET-24001001205826/448</t>
  </si>
  <si>
    <t>10-SET-24001001205826/449</t>
  </si>
  <si>
    <t>10-SET-24001001205826/450</t>
  </si>
  <si>
    <t>10-SET-24001001205826/451</t>
  </si>
  <si>
    <t>10-SET-24001001205826/452</t>
  </si>
  <si>
    <t>10-SET-24001001205826/453</t>
  </si>
  <si>
    <t>10-SET-24001001205826/454</t>
  </si>
  <si>
    <t>10-SET-24001001205826/455</t>
  </si>
  <si>
    <t>10-SET-24001001205826/456</t>
  </si>
  <si>
    <t>10-SET-24001001205826/457</t>
  </si>
  <si>
    <t>10-SET-24001001205826/458</t>
  </si>
  <si>
    <t>10-SET-24001001205826/459</t>
  </si>
  <si>
    <t>10-SET-24001001205826/460</t>
  </si>
  <si>
    <t>10-SET-24001001205826/461</t>
  </si>
  <si>
    <t>10-SET-24001001205826/462</t>
  </si>
  <si>
    <t>10-SET-24001001205826/463</t>
  </si>
  <si>
    <t>10-SET-24001001205826/464</t>
  </si>
  <si>
    <t>10-SET-24001001205826/465</t>
  </si>
  <si>
    <t>10-SET-24001001205826/466</t>
  </si>
  <si>
    <t>10-SET-24001001205826/467</t>
  </si>
  <si>
    <t>10-SET-24001001205826/468</t>
  </si>
  <si>
    <t>10-SET-24001001205826/469</t>
  </si>
  <si>
    <t>10-SET-24001001205826/470</t>
  </si>
  <si>
    <t>10-SET-24001001205826/471</t>
  </si>
  <si>
    <t>10-SET-24001001205826/472</t>
  </si>
  <si>
    <t>10-SET-24001001205826/473</t>
  </si>
  <si>
    <t>10-SET-24001001205826/474</t>
  </si>
  <si>
    <t>10-SET-24001001205826/475</t>
  </si>
  <si>
    <t>10-SET-24001001205826/476</t>
  </si>
  <si>
    <t>10-SET-24001001205826/477</t>
  </si>
  <si>
    <t>10-SET-24001001205826/478</t>
  </si>
  <si>
    <t>10-SET-24001001205826/479</t>
  </si>
  <si>
    <t>10-SET-24001001205826/480</t>
  </si>
  <si>
    <t>10-SET-24001001205826/481</t>
  </si>
  <si>
    <t>10-SET-24001001205826/482</t>
  </si>
  <si>
    <t>10-SET-24001001205826/483</t>
  </si>
  <si>
    <t>10-SET-24001001205826/484</t>
  </si>
  <si>
    <t>10-SET-24001001205826/485</t>
  </si>
  <si>
    <t>10-SET-24001001205826/486</t>
  </si>
  <si>
    <t>10-SET-24001001205826/487</t>
  </si>
  <si>
    <t>10-SET-24001001205826/488</t>
  </si>
  <si>
    <t>10-SET-24001001205826/489</t>
  </si>
  <si>
    <t>10-SET-24001001205826/490</t>
  </si>
  <si>
    <t>10-SET-24001001205826/491</t>
  </si>
  <si>
    <t>10-SET-24001001205826/492</t>
  </si>
  <si>
    <t>10-SET-24001001205826/493</t>
  </si>
  <si>
    <t>10-SET-24001001205826/494</t>
  </si>
  <si>
    <t>10-SET-24001001205826/495</t>
  </si>
  <si>
    <t>10-SET-24001001205826/496</t>
  </si>
  <si>
    <t>10-SET-24001001205826/497</t>
  </si>
  <si>
    <t>10-SET-24001001205826/498</t>
  </si>
  <si>
    <t>10-SET-24001001205826/499</t>
  </si>
  <si>
    <t>10-SET-24001001205826/500</t>
  </si>
  <si>
    <t>10-SET-24001001205826/501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</si>
</sst>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&quot;R$&quot;\ #,##0.00"/>
    <numFmt numFmtId="166" formatCode="&quot;R$&quot;\ #,##0.00;[Red]\-&quot;R$&quot;\ #,##0.00"/>
    <numFmt numFmtId="167" formatCode="_-* #,##0.00_-;\-* #,##0.00_-;_-* &quot;-&quot;??_-;_-@"/>
  </numFmts>
  <fonts count="25">
    <font>
      <sz val="11.0"/>
      <color theme="1"/>
      <name val="Aptos Narrow"/>
      <scheme val="minor"/>
    </font>
    <font>
      <b/>
      <sz val="11.0"/>
      <color rgb="FFFFFF0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rgb="FF000000"/>
      <name val="Aptos Narrow"/>
      <scheme val="minor"/>
    </font>
    <font>
      <b/>
      <sz val="11.0"/>
      <color rgb="FF000000"/>
      <name val="Aptos Narrow"/>
    </font>
    <font>
      <sz val="11.0"/>
      <color rgb="FF000000"/>
      <name val="Aptos Narrow"/>
    </font>
    <font>
      <color theme="1"/>
      <name val="Aptos Narrow"/>
      <scheme val="minor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b/>
      <sz val="11.0"/>
      <color theme="1"/>
      <name val="Calibri"/>
    </font>
    <font>
      <sz val="11.0"/>
      <color theme="0"/>
      <name val="Aptos Narrow"/>
    </font>
    <font>
      <strike/>
      <sz val="11.0"/>
      <color theme="1"/>
      <name val="Aptos Narrow"/>
    </font>
    <font>
      <b/>
      <sz val="11.0"/>
      <color theme="0"/>
      <name val="Aptos Narrow"/>
    </font>
    <font>
      <b/>
      <sz val="11.0"/>
      <color theme="0"/>
      <name val="Calibri"/>
    </font>
    <font>
      <b/>
      <sz val="11.0"/>
      <color rgb="FFFF0000"/>
      <name val="Calibri"/>
    </font>
    <font>
      <strike/>
      <sz val="11.0"/>
      <color rgb="FF000000"/>
      <name val="Aptos Narrow"/>
    </font>
    <font>
      <b/>
      <sz val="11.0"/>
      <color rgb="FF92D050"/>
      <name val="Aptos Narrow"/>
    </font>
    <font>
      <b/>
      <sz val="11.0"/>
      <color rgb="FFD76DCC"/>
      <name val="Aptos Narrow"/>
    </font>
    <font>
      <b/>
      <sz val="11.0"/>
      <color rgb="FF66FF99"/>
      <name val="Aptos Narrow"/>
    </font>
    <font>
      <b/>
      <sz val="11.0"/>
      <color rgb="FFFF0000"/>
      <name val="Aptos Narrow"/>
    </font>
    <font>
      <sz val="12.0"/>
      <color rgb="FF000000"/>
      <name val="Aptos Narrow"/>
    </font>
  </fonts>
  <fills count="4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8F29"/>
        <bgColor rgb="FFFF8F29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ECFF"/>
        <bgColor rgb="FFCCECFF"/>
      </patternFill>
    </fill>
    <fill>
      <patternFill patternType="solid">
        <fgColor rgb="FFE49EDD"/>
        <bgColor rgb="FFE49EDD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CC"/>
        <bgColor rgb="FF0000CC"/>
      </patternFill>
    </fill>
    <fill>
      <patternFill patternType="solid">
        <fgColor rgb="FFFF3399"/>
        <bgColor rgb="FFFF3399"/>
      </patternFill>
    </fill>
    <fill>
      <patternFill patternType="solid">
        <fgColor theme="4"/>
        <bgColor theme="4"/>
      </patternFill>
    </fill>
    <fill>
      <patternFill patternType="solid">
        <fgColor rgb="FF4D94D8"/>
        <bgColor rgb="FF4D94D8"/>
      </patternFill>
    </fill>
    <fill>
      <patternFill patternType="solid">
        <fgColor rgb="FF0C3612"/>
        <bgColor rgb="FF0C3612"/>
      </patternFill>
    </fill>
    <fill>
      <patternFill patternType="solid">
        <fgColor rgb="FF501549"/>
        <bgColor rgb="FF501549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rgb="FFDBE9F7"/>
        <bgColor rgb="FFDBE9F7"/>
      </patternFill>
    </fill>
    <fill>
      <patternFill patternType="solid">
        <fgColor rgb="FF00FFFF"/>
        <bgColor rgb="FF00FFFF"/>
      </patternFill>
    </fill>
    <fill>
      <patternFill patternType="solid">
        <fgColor rgb="FFF5C6AC"/>
        <bgColor rgb="FFF5C6AC"/>
      </patternFill>
    </fill>
    <fill>
      <patternFill patternType="solid">
        <fgColor rgb="FFC1F1C8"/>
        <bgColor rgb="FFC1F1C8"/>
      </patternFill>
    </fill>
    <fill>
      <patternFill patternType="solid">
        <fgColor rgb="FF66FF33"/>
        <bgColor rgb="FF66FF33"/>
      </patternFill>
    </fill>
    <fill>
      <patternFill patternType="solid">
        <fgColor rgb="FFBD5115"/>
        <bgColor rgb="FFBD5115"/>
      </patternFill>
    </fill>
    <fill>
      <patternFill patternType="solid">
        <fgColor rgb="FF660033"/>
        <bgColor rgb="FF660033"/>
      </patternFill>
    </fill>
    <fill>
      <patternFill patternType="solid">
        <fgColor rgb="FF60CBF3"/>
        <bgColor rgb="FF60CBF3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rgb="FFA5A5A5"/>
      </patternFill>
    </fill>
    <fill>
      <patternFill patternType="solid">
        <fgColor rgb="FFB3E5A1"/>
        <bgColor rgb="FFB3E5A1"/>
      </patternFill>
    </fill>
    <fill>
      <patternFill patternType="solid">
        <fgColor rgb="FFFF99FF"/>
        <bgColor rgb="FFFF99FF"/>
      </patternFill>
    </fill>
    <fill>
      <patternFill patternType="solid">
        <fgColor rgb="FFFF9999"/>
        <bgColor rgb="FFFF9999"/>
      </patternFill>
    </fill>
    <fill>
      <patternFill patternType="solid">
        <fgColor theme="8"/>
        <bgColor theme="8"/>
      </patternFill>
    </fill>
    <fill>
      <patternFill patternType="solid">
        <fgColor rgb="FF66FF99"/>
        <bgColor rgb="FF66FF99"/>
      </patternFill>
    </fill>
    <fill>
      <patternFill patternType="solid">
        <fgColor rgb="FF00B0F0"/>
        <bgColor rgb="FF00B0F0"/>
      </patternFill>
    </fill>
    <fill>
      <patternFill patternType="solid">
        <fgColor rgb="FFD76DCC"/>
        <bgColor rgb="FFD76DCC"/>
      </patternFill>
    </fill>
    <fill>
      <patternFill patternType="solid">
        <fgColor theme="9"/>
        <bgColor theme="9"/>
      </patternFill>
    </fill>
  </fills>
  <borders count="22">
    <border/>
    <border>
      <left/>
      <right/>
      <top/>
      <bottom/>
    </border>
    <border>
      <left/>
      <right/>
      <top/>
      <bottom style="thick">
        <color rgb="FF000000"/>
      </bottom>
    </border>
    <border>
      <bottom style="medium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vertical="center"/>
    </xf>
    <xf borderId="1" fillId="2" fontId="1" numFmtId="1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2" xfId="0" applyAlignment="1" applyBorder="1" applyFont="1" applyNumberFormat="1">
      <alignment horizontal="left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14" xfId="0" applyAlignment="1" applyBorder="1" applyFont="1" applyNumberFormat="1">
      <alignment horizontal="left" vertical="center"/>
    </xf>
    <xf borderId="1" fillId="2" fontId="1" numFmtId="14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2" fillId="2" fontId="1" numFmtId="164" xfId="0" applyAlignment="1" applyBorder="1" applyFont="1" applyNumberForma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15" xfId="0" applyFont="1" applyNumberFormat="1"/>
    <xf borderId="0" fillId="0" fontId="6" numFmtId="164" xfId="0" applyFont="1" applyNumberFormat="1"/>
    <xf borderId="0" fillId="0" fontId="5" numFmtId="15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1" fillId="0" fontId="6" numFmtId="0" xfId="0" applyAlignment="1" applyBorder="1" applyFont="1">
      <alignment horizontal="left"/>
    </xf>
    <xf borderId="0" fillId="0" fontId="3" numFmtId="164" xfId="0" applyAlignment="1" applyFont="1" applyNumberFormat="1">
      <alignment horizontal="center"/>
    </xf>
    <xf borderId="1" fillId="0" fontId="6" numFmtId="0" xfId="0" applyBorder="1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center"/>
    </xf>
    <xf borderId="1" fillId="0" fontId="5" numFmtId="164" xfId="0" applyBorder="1" applyFont="1" applyNumberFormat="1"/>
    <xf borderId="1" fillId="0" fontId="6" numFmtId="164" xfId="0" applyBorder="1" applyFont="1" applyNumberFormat="1"/>
    <xf borderId="3" fillId="0" fontId="6" numFmtId="0" xfId="0" applyBorder="1" applyFont="1"/>
    <xf borderId="3" fillId="0" fontId="6" numFmtId="15" xfId="0" applyBorder="1" applyFont="1" applyNumberFormat="1"/>
    <xf borderId="3" fillId="0" fontId="6" numFmtId="164" xfId="0" applyBorder="1" applyFont="1" applyNumberFormat="1"/>
    <xf borderId="1" fillId="0" fontId="5" numFmtId="0" xfId="0" applyAlignment="1" applyBorder="1" applyFont="1">
      <alignment horizontal="center"/>
    </xf>
    <xf borderId="0" fillId="0" fontId="6" numFmtId="0" xfId="0" applyFont="1"/>
    <xf borderId="1" fillId="0" fontId="5" numFmtId="15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3" numFmtId="14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  <xf borderId="3" fillId="0" fontId="5" numFmtId="15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3" fillId="0" fontId="5" numFmtId="164" xfId="0" applyAlignment="1" applyBorder="1" applyFont="1" applyNumberFormat="1">
      <alignment horizontal="center"/>
    </xf>
    <xf borderId="1" fillId="0" fontId="6" numFmtId="4" xfId="0" applyBorder="1" applyFont="1" applyNumberFormat="1"/>
    <xf borderId="7" fillId="0" fontId="3" numFmtId="0" xfId="0" applyAlignment="1" applyBorder="1" applyFont="1">
      <alignment horizontal="center"/>
    </xf>
    <xf borderId="1" fillId="0" fontId="3" numFmtId="14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1" fillId="0" fontId="6" numFmtId="15" xfId="0" applyBorder="1" applyFont="1" applyNumberFormat="1"/>
    <xf borderId="0" fillId="0" fontId="7" numFmtId="0" xfId="0" applyFont="1"/>
    <xf borderId="0" fillId="0" fontId="2" numFmtId="164" xfId="0" applyFont="1" applyNumberFormat="1"/>
    <xf borderId="1" fillId="3" fontId="2" numFmtId="0" xfId="0" applyBorder="1" applyFill="1" applyFont="1"/>
    <xf borderId="1" fillId="0" fontId="5" numFmtId="0" xfId="0" applyBorder="1" applyFont="1"/>
    <xf borderId="1" fillId="0" fontId="5" numFmtId="4" xfId="0" applyBorder="1" applyFont="1" applyNumberFormat="1"/>
    <xf borderId="0" fillId="0" fontId="2" numFmtId="4" xfId="0" applyFont="1" applyNumberFormat="1"/>
    <xf borderId="0" fillId="0" fontId="6" numFmtId="4" xfId="0" applyFont="1" applyNumberFormat="1"/>
    <xf borderId="1" fillId="0" fontId="2" numFmtId="0" xfId="0" applyBorder="1" applyFont="1"/>
    <xf borderId="7" fillId="0" fontId="5" numFmtId="0" xfId="0" applyAlignment="1" applyBorder="1" applyFont="1">
      <alignment horizontal="center"/>
    </xf>
    <xf borderId="1" fillId="0" fontId="5" numFmtId="14" xfId="0" applyAlignment="1" applyBorder="1" applyFont="1" applyNumberFormat="1">
      <alignment horizontal="center"/>
    </xf>
    <xf borderId="8" fillId="0" fontId="5" numFmtId="0" xfId="0" applyAlignment="1" applyBorder="1" applyFont="1">
      <alignment horizontal="center"/>
    </xf>
    <xf borderId="1" fillId="4" fontId="2" numFmtId="0" xfId="0" applyBorder="1" applyFill="1" applyFont="1"/>
    <xf borderId="1" fillId="0" fontId="6" numFmtId="0" xfId="0" applyAlignment="1" applyBorder="1" applyFont="1">
      <alignment horizontal="center"/>
    </xf>
    <xf borderId="1" fillId="4" fontId="2" numFmtId="1" xfId="0" applyBorder="1" applyFont="1" applyNumberFormat="1"/>
    <xf borderId="1" fillId="4" fontId="2" numFmtId="2" xfId="0" applyAlignment="1" applyBorder="1" applyFont="1" applyNumberFormat="1">
      <alignment horizontal="left"/>
    </xf>
    <xf borderId="1" fillId="4" fontId="2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center"/>
    </xf>
    <xf borderId="10" fillId="0" fontId="5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0" fillId="0" fontId="5" numFmtId="14" xfId="0" applyAlignment="1" applyBorder="1" applyFont="1" applyNumberFormat="1">
      <alignment horizontal="center"/>
    </xf>
    <xf borderId="10" fillId="0" fontId="5" numFmtId="164" xfId="0" applyAlignment="1" applyBorder="1" applyFont="1" applyNumberFormat="1">
      <alignment horizontal="center"/>
    </xf>
    <xf borderId="11" fillId="0" fontId="5" numFmtId="0" xfId="0" applyAlignment="1" applyBorder="1" applyFont="1">
      <alignment horizontal="center"/>
    </xf>
    <xf borderId="1" fillId="4" fontId="1" numFmtId="0" xfId="0" applyBorder="1" applyFont="1"/>
    <xf borderId="0" fillId="0" fontId="2" numFmtId="0" xfId="0" applyAlignment="1" applyFont="1">
      <alignment horizontal="center"/>
    </xf>
    <xf borderId="1" fillId="4" fontId="2" numFmtId="164" xfId="0" applyBorder="1" applyFont="1" applyNumberFormat="1"/>
    <xf borderId="0" fillId="0" fontId="3" numFmtId="0" xfId="0" applyFont="1"/>
    <xf borderId="1" fillId="4" fontId="2" numFmtId="0" xfId="0" applyAlignment="1" applyBorder="1" applyFont="1">
      <alignment horizontal="left"/>
    </xf>
    <xf borderId="1" fillId="4" fontId="3" numFmtId="0" xfId="0" applyBorder="1" applyFont="1"/>
    <xf borderId="0" fillId="0" fontId="2" numFmtId="1" xfId="0" applyFont="1" applyNumberFormat="1"/>
    <xf borderId="0" fillId="0" fontId="2" numFmtId="2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5" numFmtId="0" xfId="0" applyFont="1"/>
    <xf borderId="0" fillId="0" fontId="5" numFmtId="15" xfId="0" applyFont="1" applyNumberFormat="1"/>
    <xf borderId="0" fillId="0" fontId="5" numFmtId="164" xfId="0" applyFont="1" applyNumberFormat="1"/>
    <xf borderId="12" fillId="0" fontId="8" numFmtId="0" xfId="0" applyAlignment="1" applyBorder="1" applyFont="1">
      <alignment horizontal="center"/>
    </xf>
    <xf borderId="12" fillId="0" fontId="8" numFmtId="164" xfId="0" applyAlignment="1" applyBorder="1" applyFont="1" applyNumberFormat="1">
      <alignment horizontal="center"/>
    </xf>
    <xf borderId="12" fillId="5" fontId="9" numFmtId="0" xfId="0" applyAlignment="1" applyBorder="1" applyFill="1" applyFont="1">
      <alignment horizontal="center"/>
    </xf>
    <xf borderId="13" fillId="0" fontId="5" numFmtId="0" xfId="0" applyBorder="1" applyFont="1"/>
    <xf borderId="13" fillId="0" fontId="5" numFmtId="15" xfId="0" applyBorder="1" applyFont="1" applyNumberFormat="1"/>
    <xf borderId="13" fillId="0" fontId="5" numFmtId="164" xfId="0" applyBorder="1" applyFont="1" applyNumberFormat="1"/>
    <xf borderId="13" fillId="0" fontId="5" numFmtId="0" xfId="0" applyAlignment="1" applyBorder="1" applyFont="1">
      <alignment horizontal="center"/>
    </xf>
    <xf borderId="12" fillId="0" fontId="8" numFmtId="0" xfId="0" applyBorder="1" applyFont="1"/>
    <xf borderId="12" fillId="6" fontId="10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0" fillId="0" fontId="11" numFmtId="0" xfId="0" applyFont="1"/>
    <xf borderId="1" fillId="0" fontId="5" numFmtId="15" xfId="0" applyBorder="1" applyFont="1" applyNumberFormat="1"/>
    <xf borderId="12" fillId="7" fontId="10" numFmtId="0" xfId="0" applyAlignment="1" applyBorder="1" applyFill="1" applyFont="1">
      <alignment horizontal="center"/>
    </xf>
    <xf borderId="12" fillId="8" fontId="12" numFmtId="0" xfId="0" applyAlignment="1" applyBorder="1" applyFill="1" applyFont="1">
      <alignment horizontal="center"/>
    </xf>
    <xf borderId="12" fillId="8" fontId="10" numFmtId="0" xfId="0" applyAlignment="1" applyBorder="1" applyFont="1">
      <alignment horizontal="center"/>
    </xf>
    <xf borderId="12" fillId="0" fontId="8" numFmtId="164" xfId="0" applyAlignment="1" applyBorder="1" applyFont="1" applyNumberForma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2" fillId="10" fontId="8" numFmtId="0" xfId="0" applyAlignment="1" applyBorder="1" applyFill="1" applyFont="1">
      <alignment horizontal="center"/>
    </xf>
    <xf borderId="0" fillId="0" fontId="8" numFmtId="0" xfId="0" applyFont="1"/>
    <xf borderId="12" fillId="0" fontId="11" numFmtId="0" xfId="0" applyAlignment="1" applyBorder="1" applyFont="1">
      <alignment horizontal="center"/>
    </xf>
    <xf borderId="12" fillId="0" fontId="11" numFmtId="164" xfId="0" applyBorder="1" applyFont="1" applyNumberFormat="1"/>
    <xf borderId="1" fillId="0" fontId="11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" fillId="11" fontId="13" numFmtId="0" xfId="0" applyAlignment="1" applyBorder="1" applyFill="1" applyFont="1">
      <alignment horizontal="center" vertical="center"/>
    </xf>
    <xf borderId="14" fillId="12" fontId="1" numFmtId="0" xfId="0" applyAlignment="1" applyBorder="1" applyFill="1" applyFont="1">
      <alignment horizontal="center" vertical="center"/>
    </xf>
    <xf borderId="15" fillId="12" fontId="1" numFmtId="0" xfId="0" applyAlignment="1" applyBorder="1" applyFont="1">
      <alignment horizontal="center" vertical="center"/>
    </xf>
    <xf borderId="15" fillId="12" fontId="1" numFmtId="164" xfId="0" applyAlignment="1" applyBorder="1" applyFont="1" applyNumberFormat="1">
      <alignment horizontal="center" vertical="center"/>
    </xf>
    <xf borderId="15" fillId="12" fontId="1" numFmtId="165" xfId="0" applyAlignment="1" applyBorder="1" applyFont="1" applyNumberFormat="1">
      <alignment horizontal="center" vertical="center"/>
    </xf>
    <xf borderId="16" fillId="12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12" fontId="1" numFmtId="164" xfId="0" applyAlignment="1" applyBorder="1" applyFont="1" applyNumberFormat="1">
      <alignment horizontal="center" vertical="center"/>
    </xf>
    <xf borderId="0" fillId="0" fontId="2" numFmtId="14" xfId="0" applyFont="1" applyNumberFormat="1"/>
    <xf borderId="1" fillId="3" fontId="2" numFmtId="0" xfId="0" applyAlignment="1" applyBorder="1" applyFont="1">
      <alignment horizontal="left"/>
    </xf>
    <xf borderId="1" fillId="3" fontId="2" numFmtId="164" xfId="0" applyBorder="1" applyFont="1" applyNumberFormat="1"/>
    <xf borderId="1" fillId="13" fontId="2" numFmtId="0" xfId="0" applyAlignment="1" applyBorder="1" applyFill="1" applyFont="1">
      <alignment horizontal="left"/>
    </xf>
    <xf borderId="1" fillId="13" fontId="2" numFmtId="164" xfId="0" applyBorder="1" applyFont="1" applyNumberFormat="1"/>
    <xf borderId="1" fillId="14" fontId="14" numFmtId="0" xfId="0" applyAlignment="1" applyBorder="1" applyFill="1" applyFont="1">
      <alignment horizontal="left"/>
    </xf>
    <xf borderId="1" fillId="14" fontId="14" numFmtId="164" xfId="0" applyBorder="1" applyFont="1" applyNumberFormat="1"/>
    <xf borderId="1" fillId="15" fontId="2" numFmtId="0" xfId="0" applyAlignment="1" applyBorder="1" applyFill="1" applyFont="1">
      <alignment horizontal="left"/>
    </xf>
    <xf borderId="1" fillId="15" fontId="2" numFmtId="164" xfId="0" applyBorder="1" applyFont="1" applyNumberFormat="1"/>
    <xf borderId="1" fillId="16" fontId="14" numFmtId="0" xfId="0" applyAlignment="1" applyBorder="1" applyFill="1" applyFont="1">
      <alignment horizontal="left"/>
    </xf>
    <xf borderId="1" fillId="16" fontId="14" numFmtId="164" xfId="0" applyBorder="1" applyFont="1" applyNumberFormat="1"/>
    <xf borderId="1" fillId="17" fontId="14" numFmtId="0" xfId="0" applyAlignment="1" applyBorder="1" applyFill="1" applyFont="1">
      <alignment horizontal="left"/>
    </xf>
    <xf borderId="1" fillId="17" fontId="14" numFmtId="164" xfId="0" applyBorder="1" applyFont="1" applyNumberFormat="1"/>
    <xf borderId="13" fillId="18" fontId="2" numFmtId="0" xfId="0" applyBorder="1" applyFill="1" applyFont="1"/>
    <xf borderId="13" fillId="18" fontId="2" numFmtId="14" xfId="0" applyBorder="1" applyFont="1" applyNumberFormat="1"/>
    <xf borderId="13" fillId="18" fontId="2" numFmtId="164" xfId="0" applyBorder="1" applyFont="1" applyNumberFormat="1"/>
    <xf borderId="1" fillId="19" fontId="2" numFmtId="0" xfId="0" applyAlignment="1" applyBorder="1" applyFill="1" applyFont="1">
      <alignment horizontal="left"/>
    </xf>
    <xf borderId="1" fillId="19" fontId="2" numFmtId="164" xfId="0" applyBorder="1" applyFont="1" applyNumberFormat="1"/>
    <xf borderId="1" fillId="20" fontId="2" numFmtId="0" xfId="0" applyBorder="1" applyFill="1" applyFont="1"/>
    <xf borderId="1" fillId="20" fontId="2" numFmtId="14" xfId="0" applyBorder="1" applyFont="1" applyNumberFormat="1"/>
    <xf borderId="1" fillId="20" fontId="2" numFmtId="164" xfId="0" applyBorder="1" applyFont="1" applyNumberFormat="1"/>
    <xf borderId="1" fillId="21" fontId="2" numFmtId="0" xfId="0" applyAlignment="1" applyBorder="1" applyFill="1" applyFont="1">
      <alignment horizontal="left"/>
    </xf>
    <xf borderId="1" fillId="21" fontId="2" numFmtId="164" xfId="0" applyBorder="1" applyFont="1" applyNumberFormat="1"/>
    <xf borderId="1" fillId="22" fontId="2" numFmtId="0" xfId="0" applyAlignment="1" applyBorder="1" applyFill="1" applyFont="1">
      <alignment horizontal="left"/>
    </xf>
    <xf borderId="1" fillId="22" fontId="2" numFmtId="164" xfId="0" applyBorder="1" applyFont="1" applyNumberFormat="1"/>
    <xf borderId="1" fillId="23" fontId="2" numFmtId="0" xfId="0" applyAlignment="1" applyBorder="1" applyFill="1" applyFont="1">
      <alignment horizontal="left"/>
    </xf>
    <xf borderId="1" fillId="23" fontId="2" numFmtId="164" xfId="0" applyBorder="1" applyFont="1" applyNumberFormat="1"/>
    <xf borderId="1" fillId="14" fontId="14" numFmtId="0" xfId="0" applyBorder="1" applyFont="1"/>
    <xf borderId="1" fillId="14" fontId="14" numFmtId="14" xfId="0" applyBorder="1" applyFont="1" applyNumberFormat="1"/>
    <xf borderId="1" fillId="18" fontId="2" numFmtId="0" xfId="0" applyBorder="1" applyFont="1"/>
    <xf borderId="1" fillId="24" fontId="2" numFmtId="0" xfId="0" applyAlignment="1" applyBorder="1" applyFill="1" applyFont="1">
      <alignment horizontal="left"/>
    </xf>
    <xf borderId="1" fillId="24" fontId="2" numFmtId="164" xfId="0" applyBorder="1" applyFont="1" applyNumberFormat="1"/>
    <xf borderId="1" fillId="22" fontId="2" numFmtId="0" xfId="0" applyBorder="1" applyFont="1"/>
    <xf borderId="1" fillId="22" fontId="2" numFmtId="14" xfId="0" applyBorder="1" applyFont="1" applyNumberFormat="1"/>
    <xf borderId="1" fillId="7" fontId="2" numFmtId="0" xfId="0" applyAlignment="1" applyBorder="1" applyFont="1">
      <alignment horizontal="left"/>
    </xf>
    <xf borderId="1" fillId="7" fontId="2" numFmtId="164" xfId="0" applyBorder="1" applyFont="1" applyNumberFormat="1"/>
    <xf borderId="1" fillId="25" fontId="2" numFmtId="0" xfId="0" applyBorder="1" applyFill="1" applyFont="1"/>
    <xf borderId="1" fillId="25" fontId="2" numFmtId="14" xfId="0" applyBorder="1" applyFont="1" applyNumberFormat="1"/>
    <xf borderId="1" fillId="25" fontId="2" numFmtId="164" xfId="0" applyBorder="1" applyFont="1" applyNumberFormat="1"/>
    <xf borderId="1" fillId="25" fontId="2" numFmtId="0" xfId="0" applyAlignment="1" applyBorder="1" applyFont="1">
      <alignment horizontal="left"/>
    </xf>
    <xf borderId="1" fillId="26" fontId="14" numFmtId="0" xfId="0" applyAlignment="1" applyBorder="1" applyFill="1" applyFont="1">
      <alignment horizontal="left"/>
    </xf>
    <xf borderId="1" fillId="26" fontId="14" numFmtId="164" xfId="0" applyBorder="1" applyFont="1" applyNumberFormat="1"/>
    <xf borderId="1" fillId="23" fontId="2" numFmtId="0" xfId="0" applyBorder="1" applyFont="1"/>
    <xf borderId="1" fillId="23" fontId="2" numFmtId="14" xfId="0" applyBorder="1" applyFont="1" applyNumberFormat="1"/>
    <xf borderId="1" fillId="11" fontId="2" numFmtId="0" xfId="0" applyAlignment="1" applyBorder="1" applyFont="1">
      <alignment horizontal="left"/>
    </xf>
    <xf borderId="1" fillId="11" fontId="2" numFmtId="164" xfId="0" applyBorder="1" applyFont="1" applyNumberFormat="1"/>
    <xf borderId="1" fillId="11" fontId="2" numFmtId="0" xfId="0" applyBorder="1" applyFont="1"/>
    <xf borderId="1" fillId="11" fontId="2" numFmtId="14" xfId="0" applyBorder="1" applyFont="1" applyNumberFormat="1"/>
    <xf borderId="1" fillId="27" fontId="2" numFmtId="0" xfId="0" applyAlignment="1" applyBorder="1" applyFill="1" applyFont="1">
      <alignment horizontal="left"/>
    </xf>
    <xf borderId="1" fillId="27" fontId="2" numFmtId="164" xfId="0" applyBorder="1" applyFont="1" applyNumberFormat="1"/>
    <xf borderId="1" fillId="13" fontId="2" numFmtId="0" xfId="0" applyBorder="1" applyFont="1"/>
    <xf borderId="1" fillId="13" fontId="2" numFmtId="14" xfId="0" applyBorder="1" applyFont="1" applyNumberFormat="1"/>
    <xf borderId="1" fillId="20" fontId="2" numFmtId="0" xfId="0" applyAlignment="1" applyBorder="1" applyFont="1">
      <alignment horizontal="left"/>
    </xf>
    <xf borderId="0" fillId="0" fontId="15" numFmtId="0" xfId="0" applyAlignment="1" applyFont="1">
      <alignment horizontal="left"/>
    </xf>
    <xf borderId="0" fillId="0" fontId="15" numFmtId="164" xfId="0" applyFont="1" applyNumberFormat="1"/>
    <xf borderId="1" fillId="28" fontId="14" numFmtId="0" xfId="0" applyBorder="1" applyFill="1" applyFont="1"/>
    <xf borderId="1" fillId="28" fontId="14" numFmtId="164" xfId="0" applyBorder="1" applyFont="1" applyNumberFormat="1"/>
    <xf borderId="1" fillId="3" fontId="2" numFmtId="14" xfId="0" applyBorder="1" applyFont="1" applyNumberFormat="1"/>
    <xf borderId="1" fillId="29" fontId="15" numFmtId="0" xfId="0" applyBorder="1" applyFill="1" applyFont="1"/>
    <xf borderId="1" fillId="29" fontId="15" numFmtId="164" xfId="0" applyBorder="1" applyFont="1" applyNumberFormat="1"/>
    <xf borderId="1" fillId="18" fontId="2" numFmtId="164" xfId="0" applyBorder="1" applyFont="1" applyNumberFormat="1"/>
    <xf borderId="1" fillId="28" fontId="14" numFmtId="14" xfId="0" applyBorder="1" applyFont="1" applyNumberFormat="1"/>
    <xf borderId="1" fillId="28" fontId="16" numFmtId="0" xfId="0" applyAlignment="1" applyBorder="1" applyFont="1">
      <alignment horizontal="center" vertical="center"/>
    </xf>
    <xf borderId="1" fillId="28" fontId="17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1" fillId="15" fontId="2" numFmtId="0" xfId="0" applyBorder="1" applyFont="1"/>
    <xf borderId="1" fillId="15" fontId="2" numFmtId="14" xfId="0" applyBorder="1" applyFont="1" applyNumberFormat="1"/>
    <xf borderId="12" fillId="6" fontId="8" numFmtId="0" xfId="0" applyBorder="1" applyFont="1"/>
    <xf borderId="12" fillId="6" fontId="8" numFmtId="0" xfId="0" applyAlignment="1" applyBorder="1" applyFont="1">
      <alignment horizontal="center"/>
    </xf>
    <xf borderId="12" fillId="6" fontId="8" numFmtId="166" xfId="0" applyBorder="1" applyFont="1" applyNumberFormat="1"/>
    <xf borderId="1" fillId="26" fontId="14" numFmtId="0" xfId="0" applyBorder="1" applyFont="1"/>
    <xf borderId="1" fillId="26" fontId="14" numFmtId="14" xfId="0" applyBorder="1" applyFont="1" applyNumberFormat="1"/>
    <xf borderId="12" fillId="7" fontId="8" numFmtId="0" xfId="0" applyBorder="1" applyFont="1"/>
    <xf borderId="12" fillId="7" fontId="8" numFmtId="0" xfId="0" applyAlignment="1" applyBorder="1" applyFont="1">
      <alignment horizontal="center"/>
    </xf>
    <xf borderId="12" fillId="7" fontId="2" numFmtId="164" xfId="0" applyBorder="1" applyFont="1" applyNumberFormat="1"/>
    <xf borderId="12" fillId="8" fontId="12" numFmtId="0" xfId="0" applyBorder="1" applyFont="1"/>
    <xf borderId="12" fillId="8" fontId="12" numFmtId="166" xfId="0" applyBorder="1" applyFont="1" applyNumberFormat="1"/>
    <xf borderId="12" fillId="8" fontId="8" numFmtId="0" xfId="0" applyBorder="1" applyFont="1"/>
    <xf borderId="12" fillId="8" fontId="8" numFmtId="0" xfId="0" applyAlignment="1" applyBorder="1" applyFont="1">
      <alignment horizontal="center"/>
    </xf>
    <xf borderId="12" fillId="8" fontId="8" numFmtId="166" xfId="0" applyBorder="1" applyFont="1" applyNumberFormat="1"/>
    <xf borderId="1" fillId="21" fontId="2" numFmtId="0" xfId="0" applyBorder="1" applyFont="1"/>
    <xf borderId="1" fillId="21" fontId="2" numFmtId="14" xfId="0" applyBorder="1" applyFont="1" applyNumberFormat="1"/>
    <xf borderId="1" fillId="17" fontId="14" numFmtId="0" xfId="0" applyBorder="1" applyFont="1"/>
    <xf borderId="1" fillId="17" fontId="14" numFmtId="14" xfId="0" applyBorder="1" applyFont="1" applyNumberFormat="1"/>
    <xf borderId="12" fillId="9" fontId="8" numFmtId="0" xfId="0" applyBorder="1" applyFont="1"/>
    <xf borderId="12" fillId="9" fontId="8" numFmtId="0" xfId="0" applyAlignment="1" applyBorder="1" applyFont="1">
      <alignment horizontal="center"/>
    </xf>
    <xf borderId="12" fillId="9" fontId="8" numFmtId="166" xfId="0" applyBorder="1" applyFont="1" applyNumberFormat="1"/>
    <xf borderId="12" fillId="10" fontId="8" numFmtId="0" xfId="0" applyBorder="1" applyFont="1"/>
    <xf borderId="12" fillId="10" fontId="8" numFmtId="166" xfId="0" applyBorder="1" applyFont="1" applyNumberFormat="1"/>
    <xf borderId="12" fillId="29" fontId="8" numFmtId="166" xfId="0" applyBorder="1" applyFont="1" applyNumberFormat="1"/>
    <xf borderId="1" fillId="11" fontId="1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9" fontId="18" numFmtId="166" xfId="0" applyAlignment="1" applyBorder="1" applyFont="1" applyNumberFormat="1">
      <alignment horizontal="center" vertical="center"/>
    </xf>
    <xf borderId="1" fillId="29" fontId="18" numFmtId="0" xfId="0" applyAlignment="1" applyBorder="1" applyFont="1">
      <alignment horizontal="center" vertical="center"/>
    </xf>
    <xf borderId="0" fillId="0" fontId="2" numFmtId="166" xfId="0" applyFont="1" applyNumberFormat="1"/>
    <xf borderId="0" fillId="0" fontId="2" numFmtId="167" xfId="0" applyFont="1" applyNumberFormat="1"/>
    <xf borderId="1" fillId="19" fontId="2" numFmtId="0" xfId="0" applyBorder="1" applyFont="1"/>
    <xf borderId="1" fillId="19" fontId="2" numFmtId="14" xfId="0" applyBorder="1" applyFont="1" applyNumberFormat="1"/>
    <xf borderId="1" fillId="16" fontId="14" numFmtId="0" xfId="0" applyBorder="1" applyFont="1"/>
    <xf borderId="1" fillId="16" fontId="14" numFmtId="14" xfId="0" applyBorder="1" applyFont="1" applyNumberFormat="1"/>
    <xf borderId="1" fillId="24" fontId="2" numFmtId="0" xfId="0" applyBorder="1" applyFont="1"/>
    <xf borderId="1" fillId="24" fontId="2" numFmtId="14" xfId="0" applyBorder="1" applyFont="1" applyNumberFormat="1"/>
    <xf borderId="1" fillId="7" fontId="2" numFmtId="0" xfId="0" applyBorder="1" applyFont="1"/>
    <xf borderId="1" fillId="7" fontId="2" numFmtId="14" xfId="0" applyBorder="1" applyFont="1" applyNumberFormat="1"/>
    <xf borderId="1" fillId="27" fontId="2" numFmtId="0" xfId="0" applyBorder="1" applyFont="1"/>
    <xf borderId="1" fillId="27" fontId="2" numFmtId="14" xfId="0" applyBorder="1" applyFont="1" applyNumberFormat="1"/>
    <xf borderId="1" fillId="29" fontId="2" numFmtId="0" xfId="0" applyBorder="1" applyFont="1"/>
    <xf borderId="0" fillId="0" fontId="19" numFmtId="0" xfId="0" applyAlignment="1" applyFont="1">
      <alignment horizontal="left"/>
    </xf>
    <xf borderId="0" fillId="0" fontId="19" numFmtId="164" xfId="0" applyFont="1" applyNumberFormat="1"/>
    <xf borderId="0" fillId="0" fontId="6" numFmtId="0" xfId="0" applyAlignment="1" applyFont="1">
      <alignment horizontal="left"/>
    </xf>
    <xf borderId="1" fillId="0" fontId="19" numFmtId="0" xfId="0" applyAlignment="1" applyBorder="1" applyFont="1">
      <alignment horizontal="left"/>
    </xf>
    <xf borderId="1" fillId="0" fontId="19" numFmtId="164" xfId="0" applyBorder="1" applyFont="1" applyNumberFormat="1"/>
    <xf borderId="1" fillId="4" fontId="14" numFmtId="0" xfId="0" applyBorder="1" applyFont="1"/>
    <xf borderId="1" fillId="0" fontId="19" numFmtId="0" xfId="0" applyBorder="1" applyFont="1"/>
    <xf borderId="0" fillId="0" fontId="6" numFmtId="14" xfId="0" applyFont="1" applyNumberFormat="1"/>
    <xf borderId="3" fillId="0" fontId="6" numFmtId="14" xfId="0" applyBorder="1" applyFont="1" applyNumberFormat="1"/>
    <xf borderId="1" fillId="0" fontId="6" numFmtId="14" xfId="0" applyBorder="1" applyFont="1" applyNumberFormat="1"/>
    <xf borderId="1" fillId="4" fontId="3" numFmtId="1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left"/>
    </xf>
    <xf borderId="1" fillId="4" fontId="2" numFmtId="164" xfId="0" applyAlignment="1" applyBorder="1" applyFont="1" applyNumberFormat="1">
      <alignment horizontal="left"/>
    </xf>
    <xf borderId="0" fillId="0" fontId="6" numFmtId="167" xfId="0" applyFont="1" applyNumberFormat="1"/>
    <xf borderId="0" fillId="0" fontId="5" numFmtId="0" xfId="0" applyAlignment="1" applyFont="1">
      <alignment horizontal="left"/>
    </xf>
    <xf borderId="0" fillId="0" fontId="2" numFmtId="15" xfId="0" applyFont="1" applyNumberFormat="1"/>
    <xf borderId="1" fillId="4" fontId="16" numFmtId="0" xfId="0" applyAlignment="1" applyBorder="1" applyFont="1">
      <alignment horizontal="center"/>
    </xf>
    <xf borderId="1" fillId="4" fontId="3" numFmtId="164" xfId="0" applyAlignment="1" applyBorder="1" applyFont="1" applyNumberFormat="1">
      <alignment horizontal="left"/>
    </xf>
    <xf borderId="1" fillId="4" fontId="20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4" fontId="21" numFmtId="0" xfId="0" applyAlignment="1" applyBorder="1" applyFont="1">
      <alignment horizontal="center"/>
    </xf>
    <xf borderId="1" fillId="4" fontId="22" numFmtId="0" xfId="0" applyAlignment="1" applyBorder="1" applyFont="1">
      <alignment horizontal="center"/>
    </xf>
    <xf borderId="1" fillId="4" fontId="23" numFmtId="0" xfId="0" applyAlignment="1" applyBorder="1" applyFont="1">
      <alignment horizontal="center"/>
    </xf>
    <xf borderId="0" fillId="0" fontId="3" numFmtId="164" xfId="0" applyAlignment="1" applyFont="1" applyNumberFormat="1">
      <alignment horizontal="left"/>
    </xf>
    <xf borderId="17" fillId="30" fontId="24" numFmtId="166" xfId="0" applyAlignment="1" applyBorder="1" applyFill="1" applyFont="1" applyNumberFormat="1">
      <alignment horizontal="right" vertical="center"/>
    </xf>
    <xf borderId="0" fillId="0" fontId="7" numFmtId="4" xfId="0" applyFont="1" applyNumberFormat="1"/>
    <xf borderId="0" fillId="0" fontId="6" numFmtId="2" xfId="0" applyFont="1" applyNumberFormat="1"/>
    <xf borderId="1" fillId="0" fontId="2" numFmtId="0" xfId="0" applyAlignment="1" applyBorder="1" applyFont="1">
      <alignment horizontal="left"/>
    </xf>
    <xf borderId="1" fillId="0" fontId="2" numFmtId="164" xfId="0" applyBorder="1" applyFont="1" applyNumberFormat="1"/>
    <xf borderId="3" fillId="0" fontId="2" numFmtId="0" xfId="0" applyBorder="1" applyFont="1"/>
    <xf borderId="3" fillId="0" fontId="2" numFmtId="15" xfId="0" applyBorder="1" applyFont="1" applyNumberFormat="1"/>
    <xf borderId="3" fillId="0" fontId="2" numFmtId="164" xfId="0" applyBorder="1" applyFont="1" applyNumberFormat="1"/>
    <xf borderId="1" fillId="0" fontId="2" numFmtId="15" xfId="0" applyBorder="1" applyFont="1" applyNumberFormat="1"/>
    <xf borderId="1" fillId="8" fontId="2" numFmtId="0" xfId="0" applyBorder="1" applyFont="1"/>
    <xf borderId="0" fillId="0" fontId="6" numFmtId="0" xfId="0" applyAlignment="1" applyFont="1">
      <alignment horizontal="center" vertical="center"/>
    </xf>
    <xf borderId="18" fillId="0" fontId="2" numFmtId="0" xfId="0" applyBorder="1" applyFont="1"/>
    <xf borderId="0" fillId="0" fontId="3" numFmtId="0" xfId="0" applyAlignment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/>
    </xf>
    <xf borderId="1" fillId="10" fontId="2" numFmtId="164" xfId="0" applyBorder="1" applyFont="1" applyNumberFormat="1"/>
    <xf borderId="20" fillId="0" fontId="2" numFmtId="0" xfId="0" applyBorder="1" applyFont="1"/>
    <xf borderId="3" fillId="0" fontId="2" numFmtId="14" xfId="0" applyBorder="1" applyFont="1" applyNumberFormat="1"/>
    <xf borderId="3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" fillId="31" fontId="2" numFmtId="0" xfId="0" applyAlignment="1" applyBorder="1" applyFill="1" applyFont="1">
      <alignment horizontal="center"/>
    </xf>
    <xf borderId="1" fillId="31" fontId="2" numFmtId="164" xfId="0" applyBorder="1" applyFont="1" applyNumberFormat="1"/>
    <xf borderId="1" fillId="29" fontId="2" numFmtId="164" xfId="0" applyBorder="1" applyFont="1" applyNumberFormat="1"/>
    <xf borderId="1" fillId="32" fontId="2" numFmtId="0" xfId="0" applyBorder="1" applyFill="1" applyFont="1"/>
    <xf borderId="1" fillId="32" fontId="2" numFmtId="14" xfId="0" applyBorder="1" applyFont="1" applyNumberFormat="1"/>
    <xf borderId="1" fillId="32" fontId="2" numFmtId="164" xfId="0" applyBorder="1" applyFont="1" applyNumberFormat="1"/>
    <xf borderId="1" fillId="32" fontId="3" numFmtId="0" xfId="0" applyAlignment="1" applyBorder="1" applyFont="1">
      <alignment horizontal="center" vertical="center"/>
    </xf>
    <xf borderId="1" fillId="33" fontId="2" numFmtId="0" xfId="0" applyAlignment="1" applyBorder="1" applyFill="1" applyFont="1">
      <alignment horizontal="center"/>
    </xf>
    <xf borderId="1" fillId="33" fontId="2" numFmtId="164" xfId="0" applyBorder="1" applyFont="1" applyNumberFormat="1"/>
    <xf borderId="1" fillId="34" fontId="2" numFmtId="0" xfId="0" applyBorder="1" applyFill="1" applyFont="1"/>
    <xf borderId="1" fillId="34" fontId="2" numFmtId="14" xfId="0" applyBorder="1" applyFont="1" applyNumberFormat="1"/>
    <xf borderId="1" fillId="34" fontId="2" numFmtId="164" xfId="0" applyBorder="1" applyFont="1" applyNumberFormat="1"/>
    <xf borderId="1" fillId="34" fontId="3" numFmtId="0" xfId="0" applyAlignment="1" applyBorder="1" applyFont="1">
      <alignment horizontal="center" vertical="center"/>
    </xf>
    <xf borderId="1" fillId="34" fontId="2" numFmtId="0" xfId="0" applyAlignment="1" applyBorder="1" applyFont="1">
      <alignment horizontal="center"/>
    </xf>
    <xf borderId="1" fillId="10" fontId="2" numFmtId="0" xfId="0" applyBorder="1" applyFont="1"/>
    <xf borderId="1" fillId="10" fontId="2" numFmtId="14" xfId="0" applyBorder="1" applyFont="1" applyNumberFormat="1"/>
    <xf borderId="1" fillId="10" fontId="3" numFmtId="0" xfId="0" applyAlignment="1" applyBorder="1" applyFont="1">
      <alignment horizontal="center" vertical="center"/>
    </xf>
    <xf borderId="1" fillId="24" fontId="2" numFmtId="0" xfId="0" applyAlignment="1" applyBorder="1" applyFont="1">
      <alignment horizontal="center"/>
    </xf>
    <xf borderId="1" fillId="35" fontId="2" numFmtId="0" xfId="0" applyAlignment="1" applyBorder="1" applyFill="1" applyFont="1">
      <alignment horizontal="center"/>
    </xf>
    <xf borderId="1" fillId="35" fontId="2" numFmtId="164" xfId="0" applyBorder="1" applyFont="1" applyNumberFormat="1"/>
    <xf borderId="1" fillId="31" fontId="2" numFmtId="0" xfId="0" applyBorder="1" applyFont="1"/>
    <xf borderId="1" fillId="31" fontId="2" numFmtId="14" xfId="0" applyBorder="1" applyFont="1" applyNumberFormat="1"/>
    <xf borderId="1" fillId="31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1" fillId="29" fontId="3" numFmtId="0" xfId="0" applyAlignment="1" applyBorder="1" applyFont="1">
      <alignment horizontal="left" shrinkToFit="0" vertical="center" wrapText="1"/>
    </xf>
    <xf borderId="1" fillId="13" fontId="2" numFmtId="0" xfId="0" applyAlignment="1" applyBorder="1" applyFont="1">
      <alignment horizontal="center"/>
    </xf>
    <xf borderId="1" fillId="33" fontId="2" numFmtId="0" xfId="0" applyBorder="1" applyFont="1"/>
    <xf borderId="1" fillId="33" fontId="2" numFmtId="14" xfId="0" applyBorder="1" applyFont="1" applyNumberFormat="1"/>
    <xf borderId="1" fillId="33" fontId="3" numFmtId="0" xfId="0" applyAlignment="1" applyBorder="1" applyFont="1">
      <alignment horizontal="center" vertical="center"/>
    </xf>
    <xf borderId="1" fillId="36" fontId="2" numFmtId="0" xfId="0" applyAlignment="1" applyBorder="1" applyFill="1" applyFont="1">
      <alignment horizontal="center"/>
    </xf>
    <xf borderId="1" fillId="36" fontId="2" numFmtId="164" xfId="0" applyBorder="1" applyFont="1" applyNumberFormat="1"/>
    <xf borderId="1" fillId="21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9" fillId="0" fontId="3" numFmtId="0" xfId="0" applyAlignment="1" applyBorder="1" applyFont="1">
      <alignment horizontal="center"/>
    </xf>
    <xf borderId="1" fillId="37" fontId="2" numFmtId="0" xfId="0" applyAlignment="1" applyBorder="1" applyFill="1" applyFont="1">
      <alignment horizontal="center"/>
    </xf>
    <xf borderId="1" fillId="37" fontId="2" numFmtId="164" xfId="0" applyBorder="1" applyFont="1" applyNumberFormat="1"/>
    <xf borderId="1" fillId="38" fontId="2" numFmtId="0" xfId="0" applyAlignment="1" applyBorder="1" applyFill="1" applyFont="1">
      <alignment horizontal="center"/>
    </xf>
    <xf borderId="1" fillId="38" fontId="2" numFmtId="164" xfId="0" applyBorder="1" applyFont="1" applyNumberFormat="1"/>
    <xf borderId="3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/>
    </xf>
    <xf borderId="1" fillId="11" fontId="2" numFmtId="0" xfId="0" applyAlignment="1" applyBorder="1" applyFont="1">
      <alignment horizontal="center"/>
    </xf>
    <xf borderId="1" fillId="37" fontId="2" numFmtId="0" xfId="0" applyBorder="1" applyFont="1"/>
    <xf borderId="1" fillId="37" fontId="2" numFmtId="14" xfId="0" applyBorder="1" applyFont="1" applyNumberFormat="1"/>
    <xf borderId="1" fillId="37" fontId="3" numFmtId="0" xfId="0" applyAlignment="1" applyBorder="1" applyFont="1">
      <alignment horizontal="center"/>
    </xf>
    <xf borderId="1" fillId="13" fontId="3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0" fillId="0" fontId="15" numFmtId="0" xfId="0" applyFont="1"/>
    <xf borderId="1" fillId="11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32" fontId="2" numFmtId="4" xfId="0" applyAlignment="1" applyBorder="1" applyFont="1" applyNumberFormat="1">
      <alignment horizontal="center"/>
    </xf>
    <xf borderId="1" fillId="32" fontId="3" numFmtId="0" xfId="0" applyAlignment="1" applyBorder="1" applyFont="1">
      <alignment horizontal="center"/>
    </xf>
    <xf borderId="1" fillId="31" fontId="3" numFmtId="0" xfId="0" applyAlignment="1" applyBorder="1" applyFont="1">
      <alignment horizontal="center"/>
    </xf>
    <xf borderId="1" fillId="38" fontId="2" numFmtId="0" xfId="0" applyBorder="1" applyFont="1"/>
    <xf borderId="1" fillId="38" fontId="2" numFmtId="14" xfId="0" applyBorder="1" applyFont="1" applyNumberFormat="1"/>
    <xf borderId="1" fillId="38" fontId="3" numFmtId="0" xfId="0" applyAlignment="1" applyBorder="1" applyFont="1">
      <alignment horizontal="center"/>
    </xf>
    <xf borderId="1" fillId="39" fontId="2" numFmtId="0" xfId="0" applyBorder="1" applyFill="1" applyFont="1"/>
    <xf borderId="1" fillId="39" fontId="2" numFmtId="14" xfId="0" applyBorder="1" applyFont="1" applyNumberFormat="1"/>
    <xf borderId="1" fillId="39" fontId="2" numFmtId="4" xfId="0" applyBorder="1" applyFont="1" applyNumberFormat="1"/>
    <xf borderId="1" fillId="11" fontId="2" numFmtId="4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579" sheet="Planilha23"/>
  </cacheSource>
  <cacheFields>
    <cacheField name="Selecionar Registro" numFmtId="0">
      <sharedItems containsString="0" containsBlank="1">
        <m/>
      </sharedItems>
    </cacheField>
    <cacheField name="Tipo" numFmtId="0">
      <sharedItems>
        <s v="Pagamento"/>
      </sharedItems>
    </cacheField>
    <cacheField name="Número" numFmtId="0">
      <sharedItems containsSemiMixedTypes="0" containsString="0" containsNumber="1" containsInteger="1">
        <n v="3.30421415E8"/>
        <n v="3.30421416E8"/>
        <n v="3.30421417E8"/>
        <n v="3.30421418E8"/>
        <n v="3.30421419E8"/>
        <n v="3.3042142E8"/>
        <n v="3.30421421E8"/>
        <n v="3.30421422E8"/>
        <n v="3.30421423E8"/>
        <n v="3.30421424E8"/>
        <n v="3.30421425E8"/>
        <n v="3.30421426E8"/>
        <n v="3.30421427E8"/>
        <n v="3.30421428E8"/>
        <n v="3.30421429E8"/>
        <n v="3.3042143E8"/>
        <n v="3.30421431E8"/>
        <n v="3.30421432E8"/>
        <n v="3.30421433E8"/>
        <n v="3.30421434E8"/>
        <n v="3.30421435E8"/>
        <n v="3.30421436E8"/>
        <n v="3.30421437E8"/>
        <n v="3.30421438E8"/>
        <n v="3.30421439E8"/>
        <n v="3.3042144E8"/>
        <n v="3.30421441E8"/>
        <n v="3.30421442E8"/>
        <n v="3.30421443E8"/>
        <n v="3.30421444E8"/>
        <n v="3.30421445E8"/>
        <n v="3.30421447E8"/>
        <n v="3.30421448E8"/>
        <n v="3.30421449E8"/>
        <n v="3.3042145E8"/>
        <n v="3.30421451E8"/>
        <n v="3.30421452E8"/>
        <n v="3.30421453E8"/>
        <n v="3.30421454E8"/>
        <n v="3.30421455E8"/>
        <n v="3.30421456E8"/>
        <n v="3.30421457E8"/>
        <n v="3.30421458E8"/>
        <n v="3.30421459E8"/>
        <n v="3.3042146E8"/>
        <n v="3.30421461E8"/>
        <n v="3.30421462E8"/>
        <n v="3.30421463E8"/>
        <n v="3.30421464E8"/>
        <n v="3.30421465E8"/>
        <n v="3.30421466E8"/>
        <n v="3.30421467E8"/>
        <n v="3.30421468E8"/>
        <n v="3.30421469E8"/>
        <n v="3.3042147E8"/>
        <n v="3.30421471E8"/>
        <n v="3.30421472E8"/>
        <n v="3.30421473E8"/>
        <n v="3.30421474E8"/>
        <n v="3.30421475E8"/>
        <n v="3.30421476E8"/>
        <n v="3.30421477E8"/>
        <n v="3.30421478E8"/>
        <n v="3.30421479E8"/>
        <n v="3.3042148E8"/>
        <n v="3.30421481E8"/>
        <n v="3.30421482E8"/>
        <n v="3.30421483E8"/>
        <n v="3.30421484E8"/>
        <n v="3.30421485E8"/>
        <n v="3.30421486E8"/>
        <n v="3.30421487E8"/>
        <n v="3.30421488E8"/>
        <n v="3.30421489E8"/>
        <n v="3.3042149E8"/>
        <n v="3.30421491E8"/>
        <n v="3.30421492E8"/>
        <n v="3.30421493E8"/>
        <n v="3.30421494E8"/>
        <n v="3.30421495E8"/>
        <n v="3.30421496E8"/>
        <n v="3.30421497E8"/>
        <n v="3.30421498E8"/>
        <n v="3.30421499E8"/>
        <n v="3.304215E8"/>
        <n v="3.30421501E8"/>
        <n v="3.30421502E8"/>
        <n v="3.30421503E8"/>
        <n v="3.30421504E8"/>
        <n v="3.30421505E8"/>
        <n v="3.30421506E8"/>
        <n v="3.30421507E8"/>
        <n v="3.30421509E8"/>
        <n v="3.30421511E8"/>
        <n v="3.30421512E8"/>
        <n v="3.30421513E8"/>
        <n v="3.30421514E8"/>
        <n v="3.30421515E8"/>
        <n v="3.30421516E8"/>
        <n v="3.30421517E8"/>
        <n v="3.30421518E8"/>
        <n v="3.30421519E8"/>
        <n v="3.3042152E8"/>
        <n v="3.30421521E8"/>
        <n v="3.30421522E8"/>
        <n v="3.30421523E8"/>
        <n v="3.30421524E8"/>
        <n v="3.30421525E8"/>
        <n v="3.30421526E8"/>
        <n v="3.30421527E8"/>
        <n v="3.30421528E8"/>
        <n v="3.30421529E8"/>
        <n v="3.3042153E8"/>
        <n v="3.30421531E8"/>
        <n v="3.30421532E8"/>
        <n v="3.30421533E8"/>
        <n v="3.30421534E8"/>
        <n v="3.30421535E8"/>
        <n v="3.30421536E8"/>
        <n v="3.30421537E8"/>
        <n v="3.30421538E8"/>
        <n v="3.30421539E8"/>
        <n v="3.3042154E8"/>
        <n v="3.30421541E8"/>
        <n v="3.30421542E8"/>
        <n v="3.30421543E8"/>
        <n v="3.30421544E8"/>
        <n v="3.30421545E8"/>
        <n v="3.30421546E8"/>
        <n v="3.30421547E8"/>
        <n v="3.30421548E8"/>
        <n v="3.30421549E8"/>
        <n v="3.3042155E8"/>
        <n v="3.30421551E8"/>
        <n v="3.30421552E8"/>
        <n v="3.30421553E8"/>
        <n v="3.30421554E8"/>
        <n v="3.30421555E8"/>
        <n v="3.30421556E8"/>
        <n v="3.30421557E8"/>
        <n v="3.30421558E8"/>
        <n v="3.30421559E8"/>
        <n v="3.3042156E8"/>
        <n v="3.30421561E8"/>
        <n v="3.30421562E8"/>
        <n v="3.30421563E8"/>
        <n v="3.30421564E8"/>
        <n v="3.30421565E8"/>
        <n v="3.30421566E8"/>
        <n v="3.30421567E8"/>
        <n v="3.30421568E8"/>
        <n v="3.30421569E8"/>
        <n v="3.3042157E8"/>
        <n v="3.30421571E8"/>
        <n v="3.30421572E8"/>
        <n v="3.30421573E8"/>
        <n v="3.30421574E8"/>
        <n v="3.30421575E8"/>
        <n v="3.30421576E8"/>
        <n v="3.30421577E8"/>
        <n v="3.30421578E8"/>
        <n v="3.30421579E8"/>
        <n v="3.3042158E8"/>
        <n v="3.30421581E8"/>
        <n v="3.30421582E8"/>
        <n v="3.30421583E8"/>
        <n v="3.30421584E8"/>
        <n v="3.30421585E8"/>
        <n v="3.30421586E8"/>
        <n v="3.30421587E8"/>
        <n v="3.30421588E8"/>
        <n v="3.30421589E8"/>
        <n v="3.3042159E8"/>
        <n v="3.30421591E8"/>
        <n v="3.30421592E8"/>
        <n v="3.30421593E8"/>
        <n v="3.30421594E8"/>
        <n v="3.30421595E8"/>
        <n v="3.30421596E8"/>
        <n v="3.30421597E8"/>
        <n v="3.30421598E8"/>
        <n v="3.30421599E8"/>
        <n v="3.304216E8"/>
        <n v="3.30421601E8"/>
        <n v="3.30421602E8"/>
        <n v="3.30421603E8"/>
        <n v="3.30421604E8"/>
        <n v="3.30421605E8"/>
        <n v="3.30421606E8"/>
        <n v="3.30421607E8"/>
        <n v="3.30421608E8"/>
        <n v="3.30421609E8"/>
        <n v="3.3042161E8"/>
        <n v="3.30421611E8"/>
        <n v="3.30421612E8"/>
        <n v="3.30421613E8"/>
        <n v="3.30421614E8"/>
        <n v="3.30421615E8"/>
        <n v="3.30421616E8"/>
        <n v="3.30421617E8"/>
        <n v="3.30421618E8"/>
        <n v="3.30421619E8"/>
        <n v="3.3042162E8"/>
        <n v="3.30421621E8"/>
        <n v="3.30421622E8"/>
        <n v="3.30421623E8"/>
        <n v="3.30421624E8"/>
        <n v="3.30421625E8"/>
        <n v="3.30421626E8"/>
        <n v="3.30421627E8"/>
        <n v="3.30421628E8"/>
        <n v="3.30421629E8"/>
        <n v="3.3042163E8"/>
        <n v="3.30421631E8"/>
        <n v="3.30421632E8"/>
        <n v="3.30421634E8"/>
        <n v="3.30421635E8"/>
        <n v="3.30421636E8"/>
        <n v="3.30421637E8"/>
        <n v="3.30421638E8"/>
        <n v="3.30421639E8"/>
        <n v="3.3042164E8"/>
        <n v="3.30421641E8"/>
        <n v="3.30421642E8"/>
        <n v="3.30421643E8"/>
        <n v="3.30421644E8"/>
        <n v="3.30421645E8"/>
        <n v="3.30421646E8"/>
        <n v="3.30421647E8"/>
        <n v="3.30421648E8"/>
        <n v="3.30421649E8"/>
        <n v="3.3042165E8"/>
        <n v="3.30421651E8"/>
        <n v="3.30421652E8"/>
        <n v="3.30421653E8"/>
        <n v="3.30421654E8"/>
        <n v="3.30421655E8"/>
        <n v="3.30421656E8"/>
        <n v="3.30421657E8"/>
        <n v="3.30421658E8"/>
        <n v="3.30421659E8"/>
        <n v="3.3042166E8"/>
        <n v="3.30421661E8"/>
        <n v="3.30421662E8"/>
        <n v="3.30421663E8"/>
        <n v="3.30421664E8"/>
        <n v="3.30421665E8"/>
        <n v="3.30421666E8"/>
        <n v="3.30421667E8"/>
        <n v="3.30421668E8"/>
        <n v="3.30421669E8"/>
        <n v="3.3042167E8"/>
        <n v="3.30421671E8"/>
        <n v="3.30421672E8"/>
        <n v="3.30421673E8"/>
        <n v="3.30421674E8"/>
        <n v="3.30421675E8"/>
        <n v="3.30421676E8"/>
        <n v="3.30421677E8"/>
        <n v="3.30421678E8"/>
        <n v="3.30421679E8"/>
        <n v="3.3042168E8"/>
        <n v="3.30421681E8"/>
        <n v="3.30421682E8"/>
        <n v="3.30421683E8"/>
        <n v="3.30421684E8"/>
        <n v="3.30421685E8"/>
        <n v="3.30421686E8"/>
        <n v="3.30421687E8"/>
        <n v="3.30421688E8"/>
        <n v="3.30421689E8"/>
        <n v="3.3042169E8"/>
        <n v="3.30421691E8"/>
        <n v="3.30421692E8"/>
        <n v="3.30421693E8"/>
        <n v="3.30421694E8"/>
        <n v="3.30421695E8"/>
        <n v="3.30421696E8"/>
        <n v="3.30421697E8"/>
        <n v="3.30421698E8"/>
        <n v="3.30421699E8"/>
        <n v="3.304217E8"/>
        <n v="3.30421701E8"/>
        <n v="3.30421702E8"/>
        <n v="3.30421703E8"/>
        <n v="3.30421704E8"/>
        <n v="3.30421705E8"/>
        <n v="3.30421706E8"/>
        <n v="3.30421707E8"/>
        <n v="3.30421708E8"/>
        <n v="3.30421709E8"/>
        <n v="3.3042171E8"/>
        <n v="3.30421711E8"/>
        <n v="3.30421712E8"/>
        <n v="3.30421713E8"/>
        <n v="3.30421714E8"/>
        <n v="3.30421715E8"/>
        <n v="3.30421716E8"/>
        <n v="3.30421717E8"/>
        <n v="3.30421718E8"/>
        <n v="3.30421719E8"/>
        <n v="3.3042172E8"/>
        <n v="3.30421721E8"/>
        <n v="3.30421722E8"/>
        <n v="3.30421723E8"/>
        <n v="3.30421724E8"/>
        <n v="3.30421725E8"/>
        <n v="3.30421726E8"/>
        <n v="3.30421727E8"/>
        <n v="3.30421728E8"/>
        <n v="3.30421729E8"/>
        <n v="3.3042173E8"/>
        <n v="3.30421731E8"/>
        <n v="3.30421732E8"/>
        <n v="3.30421733E8"/>
        <n v="3.30421734E8"/>
        <n v="3.30421735E8"/>
        <n v="3.30421736E8"/>
        <n v="3.30421737E8"/>
        <n v="3.30421738E8"/>
        <n v="3.30421739E8"/>
        <n v="3.3042174E8"/>
        <n v="3.30421741E8"/>
        <n v="3.30421742E8"/>
        <n v="3.30421743E8"/>
        <n v="3.30421744E8"/>
        <n v="3.30421745E8"/>
        <n v="3.30421746E8"/>
        <n v="3.30421747E8"/>
        <n v="3.30421748E8"/>
        <n v="3.30421749E8"/>
        <n v="3.3042175E8"/>
        <n v="3.30421751E8"/>
        <n v="3.30421752E8"/>
        <n v="3.30421753E8"/>
        <n v="3.30421754E8"/>
        <n v="3.30421755E8"/>
        <n v="3.30421756E8"/>
        <n v="3.30421757E8"/>
        <n v="3.30421758E8"/>
        <n v="3.30421759E8"/>
        <n v="3.3042176E8"/>
        <n v="3.30421761E8"/>
        <n v="3.30421762E8"/>
        <n v="3.30421763E8"/>
        <n v="3.30421764E8"/>
        <n v="3.30421765E8"/>
        <n v="3.30421766E8"/>
        <n v="3.30421767E8"/>
        <n v="3.30421768E8"/>
        <n v="3.30421769E8"/>
        <n v="3.3042177E8"/>
        <n v="3.30421771E8"/>
        <n v="3.30421772E8"/>
        <n v="3.30421773E8"/>
        <n v="3.30421774E8"/>
        <n v="3.30421775E8"/>
        <n v="3.30421776E8"/>
        <n v="3.30421777E8"/>
        <n v="3.30421778E8"/>
        <n v="3.30421779E8"/>
        <n v="3.3042178E8"/>
        <n v="3.30421781E8"/>
        <n v="3.30421782E8"/>
        <n v="3.30421783E8"/>
        <n v="3.30421784E8"/>
        <n v="3.30421785E8"/>
        <n v="3.30421786E8"/>
        <n v="3.30421787E8"/>
        <n v="3.30421788E8"/>
        <n v="3.30421789E8"/>
        <n v="3.3042179E8"/>
        <n v="3.30421791E8"/>
        <n v="3.30421792E8"/>
        <n v="3.30421793E8"/>
        <n v="3.30421794E8"/>
        <n v="3.30421795E8"/>
        <n v="3.30421796E8"/>
        <n v="3.30421797E8"/>
        <n v="3.30421798E8"/>
        <n v="3.30421799E8"/>
        <n v="3.304218E8"/>
        <n v="3.30421801E8"/>
        <n v="3.30421802E8"/>
        <n v="3.30421803E8"/>
        <n v="3.30421804E8"/>
        <n v="3.30421805E8"/>
        <n v="3.30421806E8"/>
        <n v="3.30421807E8"/>
        <n v="3.30421808E8"/>
        <n v="3.30421809E8"/>
        <n v="3.3042181E8"/>
        <n v="3.30421811E8"/>
        <n v="3.30421812E8"/>
        <n v="3.30421813E8"/>
        <n v="3.30421814E8"/>
        <n v="3.30421815E8"/>
        <n v="3.30421816E8"/>
        <n v="3.30421818E8"/>
        <n v="3.30421819E8"/>
        <n v="3.3042182E8"/>
        <n v="3.30421821E8"/>
        <n v="3.30421822E8"/>
        <n v="3.30421823E8"/>
        <n v="3.30421824E8"/>
        <n v="3.30421825E8"/>
        <n v="3.30421826E8"/>
        <n v="3.30421827E8"/>
        <n v="3.30421828E8"/>
        <n v="3.30421829E8"/>
        <n v="3.3042183E8"/>
        <n v="3.30421831E8"/>
        <n v="3.30421832E8"/>
        <n v="3.30421833E8"/>
        <n v="3.30421834E8"/>
        <n v="3.30421835E8"/>
        <n v="3.30421836E8"/>
        <n v="3.30421837E8"/>
        <n v="3.30421838E8"/>
        <n v="3.30421839E8"/>
        <n v="3.3042184E8"/>
        <n v="3.30421841E8"/>
        <n v="3.30421842E8"/>
        <n v="3.30421843E8"/>
        <n v="3.30421844E8"/>
        <n v="3.30421845E8"/>
        <n v="3.30421846E8"/>
        <n v="3.30421847E8"/>
        <n v="3.30421848E8"/>
        <n v="3.30421849E8"/>
        <n v="3.3042185E8"/>
        <n v="3.30421851E8"/>
        <n v="3.30421852E8"/>
        <n v="3.30421853E8"/>
        <n v="3.30421854E8"/>
        <n v="3.30421855E8"/>
        <n v="3.30421856E8"/>
        <n v="3.30421857E8"/>
        <n v="3.30421858E8"/>
        <n v="3.30421859E8"/>
        <n v="3.3042186E8"/>
        <n v="3.30421861E8"/>
        <n v="3.30421862E8"/>
        <n v="3.30421863E8"/>
        <n v="3.30421864E8"/>
        <n v="3.30421865E8"/>
        <n v="3.30421866E8"/>
        <n v="3.30421867E8"/>
        <n v="3.30421868E8"/>
        <n v="3.30421869E8"/>
        <n v="3.3042187E8"/>
        <n v="3.30421871E8"/>
        <n v="3.30421872E8"/>
        <n v="3.30421873E8"/>
        <n v="3.30421874E8"/>
        <n v="3.30421875E8"/>
        <n v="3.30421876E8"/>
        <n v="3.30421877E8"/>
        <n v="3.30421878E8"/>
        <n v="3.30421879E8"/>
        <n v="3.3042188E8"/>
        <n v="3.30421881E8"/>
        <n v="3.30421882E8"/>
        <n v="3.30421883E8"/>
        <n v="3.30421884E8"/>
        <n v="3.30421885E8"/>
        <n v="3.30421886E8"/>
        <n v="3.30421887E8"/>
        <n v="3.30421888E8"/>
        <n v="3.30421889E8"/>
        <n v="3.3042189E8"/>
        <n v="3.30421891E8"/>
        <n v="3.30421892E8"/>
        <n v="3.30421893E8"/>
        <n v="3.30421894E8"/>
        <n v="3.30421895E8"/>
        <n v="3.30421896E8"/>
        <n v="3.30421897E8"/>
        <n v="3.30421898E8"/>
        <n v="3.30421899E8"/>
        <n v="3.304219E8"/>
        <n v="3.30421901E8"/>
        <n v="3.30421902E8"/>
        <n v="3.30421903E8"/>
        <n v="3.30421904E8"/>
        <n v="3.30421905E8"/>
        <n v="3.30421906E8"/>
        <n v="3.30421907E8"/>
        <n v="3.30421908E8"/>
        <n v="3.30421909E8"/>
        <n v="3.30421911E8"/>
        <n v="3.30421912E8"/>
        <n v="3.30421913E8"/>
        <n v="3.30421914E8"/>
        <n v="3.30421915E8"/>
        <n v="3.30421916E8"/>
        <n v="3.30421917E8"/>
        <n v="3.30421918E8"/>
        <n v="3.30421919E8"/>
        <n v="3.3042192E8"/>
        <n v="3.30421921E8"/>
        <n v="3.30421922E8"/>
        <n v="3.30421923E8"/>
        <n v="3.30421924E8"/>
        <n v="3.30421925E8"/>
        <n v="3.30421926E8"/>
        <n v="3.30421927E8"/>
        <n v="3.30421928E8"/>
        <n v="3.30421929E8"/>
        <n v="3.3042193E8"/>
        <n v="3.30421931E8"/>
        <n v="3.30421932E8"/>
        <n v="3.30421933E8"/>
        <n v="3.30421934E8"/>
        <n v="3.30421935E8"/>
        <n v="3.30421936E8"/>
        <n v="3.30421937E8"/>
        <n v="3.30421938E8"/>
        <n v="3.30421939E8"/>
        <n v="3.3042194E8"/>
        <n v="3.30421941E8"/>
        <n v="3.30421942E8"/>
        <n v="3.30421943E8"/>
        <n v="3.30421944E8"/>
        <n v="3.30421945E8"/>
        <n v="3.30421946E8"/>
        <n v="3.30421947E8"/>
        <n v="3.30421948E8"/>
        <n v="3.30421949E8"/>
        <n v="3.3042195E8"/>
        <n v="3.30421951E8"/>
        <n v="3.30421952E8"/>
        <n v="3.30421953E8"/>
        <n v="3.30421954E8"/>
        <n v="3.30421955E8"/>
        <n v="3.30421956E8"/>
        <n v="3.30421957E8"/>
        <n v="3.30421958E8"/>
        <n v="3.30421959E8"/>
        <n v="3.3042196E8"/>
        <n v="3.30421961E8"/>
        <n v="3.30421962E8"/>
        <n v="3.30421963E8"/>
        <n v="3.30421964E8"/>
        <n v="3.30421965E8"/>
        <n v="3.30421966E8"/>
        <n v="3.30421967E8"/>
        <n v="3.30421968E8"/>
        <n v="3.30421969E8"/>
        <n v="3.3042197E8"/>
        <n v="3.30421971E8"/>
        <n v="3.30421972E8"/>
        <n v="3.30421973E8"/>
        <n v="3.30421974E8"/>
        <n v="3.30421975E8"/>
        <n v="3.30421976E8"/>
        <n v="3.30421977E8"/>
        <n v="3.30421978E8"/>
        <n v="3.30421979E8"/>
        <n v="3.3042198E8"/>
        <n v="3.30421981E8"/>
        <n v="3.30421982E8"/>
        <n v="3.30421983E8"/>
        <n v="3.30421984E8"/>
        <n v="3.30421985E8"/>
        <n v="3.30421986E8"/>
        <n v="3.30421987E8"/>
        <n v="3.30421988E8"/>
        <n v="3.30421989E8"/>
        <n v="9.10037152E8"/>
        <n v="9.10037156E8"/>
        <n v="9.10037157E8"/>
        <n v="9.10037159E8"/>
        <n v="9.1003716E8"/>
        <n v="9.10037176E8"/>
        <n v="9.10037179E8"/>
        <n v="9.10037181E8"/>
        <n v="9.10037183E8"/>
      </sharedItems>
    </cacheField>
    <cacheField name="Cód. Moeda Original" numFmtId="0">
      <sharedItems>
        <s v="BRL"/>
      </sharedItems>
    </cacheField>
    <cacheField name="Quantia Original" numFmtId="0">
      <sharedItems containsSemiMixedTypes="0" containsString="0" containsNumber="1">
        <n v="87.0"/>
        <n v="1304.52"/>
        <n v="455.24"/>
        <n v="91.59"/>
        <n v="82.75"/>
        <n v="1050.0"/>
        <n v="127.0"/>
        <n v="965.66"/>
        <n v="500.0"/>
        <n v="192.87"/>
        <n v="60.0"/>
        <n v="18.39"/>
        <n v="94.58"/>
        <n v="465.14"/>
        <n v="1641.78"/>
        <n v="474.26"/>
        <n v="1448.94"/>
        <n v="69.58"/>
        <n v="66.6"/>
        <n v="60.75"/>
        <n v="64.79"/>
        <n v="25.8"/>
        <n v="35.0"/>
        <n v="161.73"/>
        <n v="31.2"/>
        <n v="13.3"/>
        <n v="389.0"/>
        <n v="1820.99"/>
        <n v="984.05"/>
        <n v="1560.0"/>
        <n v="1215.79"/>
        <n v="823.88"/>
        <n v="820.0"/>
        <n v="102.0"/>
        <n v="20.0"/>
        <n v="400.0"/>
        <n v="601.3"/>
        <n v="100.0"/>
        <n v="253.17"/>
        <n v="1164.52"/>
        <n v="65.1"/>
        <n v="27.99"/>
        <n v="200.0"/>
        <n v="201.3"/>
        <n v="200.44"/>
        <n v="57.0"/>
        <n v="294.22"/>
        <n v="15.52"/>
        <n v="350.0"/>
        <n v="420.99"/>
        <n v="31.28"/>
        <n v="18.8"/>
        <n v="147.0"/>
        <n v="103.36"/>
        <n v="19.2"/>
        <n v="13.45"/>
        <n v="88.6"/>
        <n v="937.0"/>
        <n v="450.65"/>
        <n v="300.0"/>
        <n v="518.57"/>
        <n v="360.0"/>
        <n v="66.15"/>
        <n v="86.92"/>
        <n v="172.99"/>
        <n v="39.0"/>
        <n v="86.51"/>
        <n v="2020.99"/>
        <n v="432.26"/>
        <n v="1443.89"/>
        <n v="55.66"/>
        <n v="332.4"/>
        <n v="43.88"/>
        <n v="3159.82"/>
        <n v="2887796.78"/>
        <n v="792.62"/>
        <n v="2327.16"/>
        <n v="3560.32"/>
        <n v="1672.98"/>
        <n v="1493.92"/>
        <n v="89.37"/>
        <n v="1398.52"/>
        <n v="1511.97"/>
        <n v="651.56"/>
        <n v="50.56"/>
        <n v="2818.74"/>
        <n v="1255.42"/>
        <n v="1207.72"/>
        <n v="1706.85"/>
        <n v="873.81"/>
        <n v="1505.92"/>
        <n v="130.0"/>
        <n v="3158.19"/>
        <n v="699.26"/>
        <n v="174.55"/>
        <n v="1350.82"/>
        <n v="826.11"/>
        <n v="78.0"/>
        <n v="729.15"/>
        <n v="140.0"/>
        <n v="1565.64"/>
        <n v="44.97"/>
        <n v="137.6"/>
        <n v="1165.86"/>
        <n v="2501.16"/>
        <n v="451.95"/>
        <n v="1243.63"/>
        <n v="921.61"/>
        <n v="556.16"/>
        <n v="120.0"/>
        <n v="1082.62"/>
        <n v="51.86"/>
        <n v="1761.07"/>
        <n v="237.29"/>
        <n v="52.35"/>
        <n v="460.8"/>
        <n v="1351.95"/>
        <n v="782.82"/>
        <n v="1404.63"/>
        <n v="1112.31"/>
        <n v="2583.46"/>
        <n v="969.21"/>
        <n v="1825.89"/>
        <n v="2514.26"/>
        <n v="3224.92"/>
        <n v="621.81"/>
        <n v="229.2"/>
        <n v="17.93"/>
        <n v="460.76"/>
        <n v="60.01"/>
        <n v="1842.49"/>
        <n v="1064.61"/>
        <n v="1543.92"/>
        <n v="1189.96"/>
        <n v="110.84"/>
        <n v="1350.96"/>
        <n v="190.0"/>
        <n v="514.47"/>
        <n v="82.24"/>
        <n v="108.1"/>
        <n v="49.0"/>
        <n v="281.99"/>
        <n v="98.0"/>
        <n v="307.8"/>
        <n v="317.65"/>
        <n v="132.49"/>
        <n v="101.45"/>
        <n v="12.0"/>
        <n v="130.01"/>
        <n v="1402.32"/>
        <n v="299.8"/>
        <n v="195.39"/>
        <n v="413.06"/>
        <n v="2375.78"/>
        <n v="524.52"/>
        <n v="3859.1"/>
        <n v="3402.02"/>
        <n v="550.0"/>
        <n v="111.48"/>
        <n v="2021.9"/>
        <n v="270.0"/>
        <n v="84.89"/>
        <n v="1548.37"/>
        <n v="660.46"/>
        <n v="1518.0"/>
        <n v="3854.26"/>
        <n v="74.16"/>
        <n v="36.69"/>
        <n v="3157.17"/>
        <n v="1812.22"/>
        <n v="144.46"/>
        <n v="48.75"/>
        <n v="1410.82"/>
        <n v="2475.31"/>
        <n v="25.99"/>
        <n v="173.15"/>
        <n v="935.0"/>
        <n v="86.66"/>
        <n v="66.89"/>
        <n v="84.37"/>
        <n v="728.47"/>
        <n v="30.0"/>
        <n v="320.34"/>
        <n v="708.56"/>
        <n v="3263.36"/>
        <n v="365.4"/>
        <n v="2537.5"/>
        <n v="607.0"/>
        <n v="143.2"/>
        <n v="1530.34"/>
        <n v="2138.12"/>
        <n v="34.95"/>
        <n v="4719.44"/>
        <n v="650.85"/>
        <n v="138.79"/>
        <n v="122.2"/>
        <n v="174.95"/>
        <n v="2153.95"/>
        <n v="805.2"/>
        <n v="53.67"/>
        <n v="975.28"/>
        <n v="9150.0"/>
        <n v="695551.99"/>
        <n v="6931.41"/>
        <n v="15900.0"/>
        <n v="6829.56"/>
        <n v="1202191.44"/>
        <n v="6648.17"/>
        <n v="3371.46"/>
        <n v="70557.39"/>
        <n v="2295.0"/>
        <n v="8795.38"/>
        <n v="542.1"/>
        <n v="1163.85"/>
        <n v="11850.0"/>
        <n v="9738.71"/>
        <n v="295.73"/>
        <n v="14908.42"/>
        <n v="85406.54"/>
        <n v="32513.2"/>
        <n v="176333.18"/>
        <n v="2676.93"/>
        <n v="892.31"/>
        <n v="594.87"/>
        <n v="1189.76"/>
        <n v="444.4"/>
        <n v="594.88"/>
        <n v="521.66"/>
      </sharedItems>
    </cacheField>
    <cacheField name="Quantia na moeda da conta" numFmtId="0">
      <sharedItems containsSemiMixedTypes="0" containsString="0" containsNumber="1">
        <n v="87.0"/>
        <n v="1304.52"/>
        <n v="455.24"/>
        <n v="91.59"/>
        <n v="82.75"/>
        <n v="1050.0"/>
        <n v="127.0"/>
        <n v="965.66"/>
        <n v="500.0"/>
        <n v="192.87"/>
        <n v="60.0"/>
        <n v="18.39"/>
        <n v="94.58"/>
        <n v="465.14"/>
        <n v="1641.78"/>
        <n v="474.26"/>
        <n v="1448.94"/>
        <n v="69.58"/>
        <n v="66.6"/>
        <n v="60.75"/>
        <n v="64.79"/>
        <n v="25.8"/>
        <n v="35.0"/>
        <n v="161.73"/>
        <n v="31.2"/>
        <n v="13.3"/>
        <n v="389.0"/>
        <n v="1820.99"/>
        <n v="984.05"/>
        <n v="1560.0"/>
        <n v="1215.79"/>
        <n v="823.88"/>
        <n v="820.0"/>
        <n v="102.0"/>
        <n v="20.0"/>
        <n v="400.0"/>
        <n v="601.3"/>
        <n v="100.0"/>
        <n v="253.17"/>
        <n v="1164.52"/>
        <n v="65.1"/>
        <n v="27.99"/>
        <n v="200.0"/>
        <n v="201.3"/>
        <n v="200.44"/>
        <n v="57.0"/>
        <n v="294.22"/>
        <n v="15.52"/>
        <n v="350.0"/>
        <n v="420.99"/>
        <n v="31.28"/>
        <n v="18.8"/>
        <n v="147.0"/>
        <n v="103.36"/>
        <n v="19.2"/>
        <n v="13.45"/>
        <n v="88.6"/>
        <n v="937.0"/>
        <n v="450.65"/>
        <n v="300.0"/>
        <n v="518.57"/>
        <n v="360.0"/>
        <n v="66.15"/>
        <n v="86.92"/>
        <n v="172.99"/>
        <n v="39.0"/>
        <n v="86.51"/>
        <n v="2020.99"/>
        <n v="432.26"/>
        <n v="1443.89"/>
        <n v="55.66"/>
        <n v="332.4"/>
        <n v="43.88"/>
        <n v="3159.82"/>
        <n v="2887796.78"/>
        <n v="792.62"/>
        <n v="2327.16"/>
        <n v="3560.32"/>
        <n v="1672.98"/>
        <n v="1493.92"/>
        <n v="89.37"/>
        <n v="1398.52"/>
        <n v="1511.97"/>
        <n v="651.56"/>
        <n v="50.56"/>
        <n v="2818.74"/>
        <n v="1255.42"/>
        <n v="1207.72"/>
        <n v="1706.85"/>
        <n v="873.81"/>
        <n v="1505.92"/>
        <n v="130.0"/>
        <n v="3158.19"/>
        <n v="699.26"/>
        <n v="174.55"/>
        <n v="1350.82"/>
        <n v="826.11"/>
        <n v="78.0"/>
        <n v="729.15"/>
        <n v="140.0"/>
        <n v="1565.64"/>
        <n v="44.97"/>
        <n v="137.6"/>
        <n v="1165.86"/>
        <n v="2501.16"/>
        <n v="451.95"/>
        <n v="1243.63"/>
        <n v="921.61"/>
        <n v="556.16"/>
        <n v="120.0"/>
        <n v="1082.62"/>
        <n v="51.86"/>
        <n v="1761.07"/>
        <n v="237.29"/>
        <n v="52.35"/>
        <n v="460.8"/>
        <n v="1351.95"/>
        <n v="782.82"/>
        <n v="1404.63"/>
        <n v="1112.31"/>
        <n v="2583.46"/>
        <n v="969.21"/>
        <n v="1825.89"/>
        <n v="2514.26"/>
        <n v="3224.92"/>
        <n v="621.81"/>
        <n v="229.2"/>
        <n v="17.93"/>
        <n v="460.76"/>
        <n v="60.01"/>
        <n v="1842.49"/>
        <n v="1064.61"/>
        <n v="1543.92"/>
        <n v="1189.96"/>
        <n v="110.84"/>
        <n v="1350.96"/>
        <n v="190.0"/>
        <n v="514.47"/>
        <n v="82.24"/>
        <n v="108.1"/>
        <n v="49.0"/>
        <n v="281.99"/>
        <n v="98.0"/>
        <n v="307.8"/>
        <n v="317.65"/>
        <n v="132.49"/>
        <n v="101.45"/>
        <n v="12.0"/>
        <n v="130.01"/>
        <n v="1402.32"/>
        <n v="299.8"/>
        <n v="195.39"/>
        <n v="413.06"/>
        <n v="2375.78"/>
        <n v="524.52"/>
        <n v="3859.1"/>
        <n v="3402.02"/>
        <n v="550.0"/>
        <n v="111.48"/>
        <n v="2021.9"/>
        <n v="270.0"/>
        <n v="84.89"/>
        <n v="1548.37"/>
        <n v="660.46"/>
        <n v="1518.0"/>
        <n v="3854.26"/>
        <n v="74.16"/>
        <n v="36.69"/>
        <n v="3157.17"/>
        <n v="1812.22"/>
        <n v="144.46"/>
        <n v="48.75"/>
        <n v="1410.82"/>
        <n v="2475.31"/>
        <n v="25.99"/>
        <n v="173.15"/>
        <n v="935.0"/>
        <n v="86.66"/>
        <n v="66.89"/>
        <n v="84.37"/>
        <n v="728.47"/>
        <n v="30.0"/>
        <n v="320.34"/>
        <n v="708.56"/>
        <n v="3263.36"/>
        <n v="365.4"/>
        <n v="2537.5"/>
        <n v="607.0"/>
        <n v="143.2"/>
        <n v="1530.34"/>
        <n v="2138.12"/>
        <n v="34.95"/>
        <n v="4719.44"/>
        <n v="650.85"/>
        <n v="138.79"/>
        <n v="122.2"/>
        <n v="174.95"/>
        <n v="2153.95"/>
        <n v="805.2"/>
        <n v="53.67"/>
        <n v="975.28"/>
        <n v="9150.0"/>
        <n v="695551.99"/>
        <n v="6931.41"/>
        <n v="15900.0"/>
        <n v="6829.56"/>
        <n v="1202191.44"/>
        <n v="6648.17"/>
        <n v="3371.46"/>
        <n v="70557.39"/>
        <n v="2295.0"/>
        <n v="8795.38"/>
        <n v="542.1"/>
        <n v="1163.85"/>
        <n v="11850.0"/>
        <n v="9738.71"/>
        <n v="295.73"/>
        <n v="14908.42"/>
        <n v="85406.54"/>
        <n v="32513.2"/>
        <n v="176333.18"/>
        <n v="2676.93"/>
        <n v="892.31"/>
        <n v="594.87"/>
        <n v="1189.76"/>
        <n v="444.4"/>
        <n v="594.88"/>
        <n v="521.66"/>
      </sharedItems>
    </cacheField>
    <cacheField name="Quantia Compensada da Moeda da Conta" numFmtId="0">
      <sharedItems containsString="0" containsBlank="1">
        <m/>
      </sharedItems>
    </cacheField>
    <cacheField name="Data de Compensação da Moeda da Conta" numFmtId="0">
      <sharedItems containsString="0" containsBlank="1">
        <m/>
      </sharedItems>
    </cacheField>
    <cacheField name="Data do  Valor" numFmtId="0">
      <sharedItems containsString="0" containsBlank="1">
        <m/>
      </sharedItems>
    </cacheField>
    <cacheField name="Data GL" numFmtId="15">
      <sharedItems containsSemiMixedTypes="0" containsDate="1" containsString="0">
        <d v="2025-01-27T00:00:00Z"/>
      </sharedItems>
    </cacheField>
    <cacheField name="Data da Transação" numFmtId="15">
      <sharedItems containsSemiMixedTypes="0" containsDate="1" containsString="0">
        <d v="2025-01-27T00:00:00Z"/>
      </sharedItems>
    </cacheField>
    <cacheField name="selecionar registro2" numFmtId="0">
      <sharedItems containsString="0" containsBlank="1">
        <m/>
      </sharedItems>
    </cacheField>
    <cacheField name="tipo2" numFmtId="0">
      <sharedItems>
        <s v="Pagamento"/>
      </sharedItems>
    </cacheField>
    <cacheField name="número2" numFmtId="0">
      <sharedItems containsSemiMixedTypes="0" containsString="0" containsNumber="1" containsInteger="1">
        <n v="3.30421415E8"/>
        <n v="3.30421416E8"/>
        <n v="3.30421417E8"/>
        <n v="3.30421418E8"/>
        <n v="3.30421419E8"/>
        <n v="3.3042142E8"/>
        <n v="3.30421421E8"/>
        <n v="3.30421422E8"/>
        <n v="3.30421423E8"/>
        <n v="3.30421424E8"/>
        <n v="3.30421425E8"/>
        <n v="3.30421426E8"/>
        <n v="3.30421427E8"/>
        <n v="3.30421428E8"/>
        <n v="3.30421429E8"/>
        <n v="3.3042143E8"/>
        <n v="3.30421431E8"/>
        <n v="3.30421432E8"/>
        <n v="3.30421433E8"/>
        <n v="3.30421434E8"/>
        <n v="3.30421435E8"/>
        <n v="3.30421436E8"/>
        <n v="3.30421437E8"/>
        <n v="3.30421438E8"/>
        <n v="3.30421439E8"/>
        <n v="3.3042144E8"/>
        <n v="3.30421441E8"/>
        <n v="3.30421442E8"/>
        <n v="3.30421443E8"/>
        <n v="3.30421444E8"/>
        <n v="3.30421445E8"/>
        <n v="3.30421447E8"/>
        <n v="3.30421448E8"/>
        <n v="3.30421449E8"/>
        <n v="3.3042145E8"/>
        <n v="3.30421451E8"/>
        <n v="3.30421452E8"/>
        <n v="3.30421453E8"/>
        <n v="3.30421454E8"/>
        <n v="3.30421455E8"/>
        <n v="3.30421456E8"/>
        <n v="3.30421457E8"/>
        <n v="3.30421458E8"/>
        <n v="3.30421459E8"/>
        <n v="3.3042146E8"/>
        <n v="3.30421461E8"/>
        <n v="3.30421462E8"/>
        <n v="3.30421463E8"/>
        <n v="3.30421464E8"/>
        <n v="3.30421465E8"/>
        <n v="3.30421466E8"/>
        <n v="3.30421467E8"/>
        <n v="3.30421468E8"/>
        <n v="3.30421469E8"/>
        <n v="3.3042147E8"/>
        <n v="3.30421471E8"/>
        <n v="3.30421472E8"/>
        <n v="3.30421473E8"/>
        <n v="3.30421474E8"/>
        <n v="3.30421475E8"/>
        <n v="3.30421476E8"/>
        <n v="3.30421477E8"/>
        <n v="3.30421478E8"/>
        <n v="3.30421479E8"/>
        <n v="3.3042148E8"/>
        <n v="3.30421481E8"/>
        <n v="3.30421482E8"/>
        <n v="3.30421483E8"/>
        <n v="3.30421484E8"/>
        <n v="3.30421485E8"/>
        <n v="3.30421486E8"/>
        <n v="3.30421487E8"/>
        <n v="3.30421488E8"/>
        <n v="3.30421489E8"/>
        <n v="3.3042149E8"/>
        <n v="3.30421491E8"/>
        <n v="3.30421492E8"/>
        <n v="3.30421493E8"/>
        <n v="3.30421494E8"/>
        <n v="3.30421495E8"/>
        <n v="3.30421496E8"/>
        <n v="3.30421497E8"/>
        <n v="3.30421498E8"/>
        <n v="3.30421499E8"/>
        <n v="3.304215E8"/>
        <n v="3.30421501E8"/>
        <n v="3.30421502E8"/>
        <n v="3.30421503E8"/>
        <n v="3.30421504E8"/>
        <n v="3.30421505E8"/>
        <n v="3.30421506E8"/>
        <n v="3.30421507E8"/>
        <n v="3.30421509E8"/>
        <n v="3.30421511E8"/>
        <n v="3.30421512E8"/>
        <n v="3.30421513E8"/>
        <n v="3.30421514E8"/>
        <n v="3.30421515E8"/>
        <n v="3.30421516E8"/>
        <n v="3.30421517E8"/>
        <n v="3.30421518E8"/>
        <n v="3.30421519E8"/>
        <n v="3.3042152E8"/>
        <n v="3.30421521E8"/>
        <n v="3.30421522E8"/>
        <n v="3.30421523E8"/>
        <n v="3.30421524E8"/>
        <n v="3.30421525E8"/>
        <n v="3.30421526E8"/>
        <n v="3.30421527E8"/>
        <n v="3.30421528E8"/>
        <n v="3.30421529E8"/>
        <n v="3.3042153E8"/>
        <n v="3.30421531E8"/>
        <n v="3.30421532E8"/>
        <n v="3.30421533E8"/>
        <n v="3.30421534E8"/>
        <n v="3.30421535E8"/>
        <n v="3.30421536E8"/>
        <n v="3.30421537E8"/>
        <n v="3.30421538E8"/>
        <n v="3.30421539E8"/>
        <n v="3.3042154E8"/>
        <n v="3.30421541E8"/>
        <n v="3.30421542E8"/>
        <n v="3.30421543E8"/>
        <n v="3.30421544E8"/>
        <n v="3.30421545E8"/>
        <n v="3.30421546E8"/>
        <n v="3.30421547E8"/>
        <n v="3.30421548E8"/>
        <n v="3.30421549E8"/>
        <n v="3.3042155E8"/>
        <n v="3.30421551E8"/>
        <n v="3.30421552E8"/>
        <n v="3.30421553E8"/>
        <n v="3.30421554E8"/>
        <n v="3.30421555E8"/>
        <n v="3.30421556E8"/>
        <n v="3.30421557E8"/>
        <n v="3.30421558E8"/>
        <n v="3.30421559E8"/>
        <n v="3.3042156E8"/>
        <n v="3.30421561E8"/>
        <n v="3.30421562E8"/>
        <n v="3.30421563E8"/>
        <n v="3.30421564E8"/>
        <n v="3.30421565E8"/>
        <n v="3.30421566E8"/>
        <n v="3.30421567E8"/>
        <n v="3.30421568E8"/>
        <n v="3.30421569E8"/>
        <n v="3.3042157E8"/>
        <n v="3.30421571E8"/>
        <n v="3.30421572E8"/>
        <n v="3.30421573E8"/>
        <n v="3.30421574E8"/>
        <n v="3.30421575E8"/>
        <n v="3.30421576E8"/>
        <n v="3.30421577E8"/>
        <n v="3.30421578E8"/>
        <n v="3.30421579E8"/>
        <n v="3.3042158E8"/>
        <n v="3.30421581E8"/>
        <n v="3.30421582E8"/>
        <n v="3.30421583E8"/>
        <n v="3.30421584E8"/>
        <n v="3.30421585E8"/>
        <n v="3.30421586E8"/>
        <n v="3.30421587E8"/>
        <n v="3.30421588E8"/>
        <n v="3.30421589E8"/>
        <n v="3.3042159E8"/>
        <n v="3.30421591E8"/>
        <n v="3.30421592E8"/>
        <n v="3.30421593E8"/>
        <n v="3.30421594E8"/>
        <n v="3.30421595E8"/>
        <n v="3.30421596E8"/>
        <n v="3.30421597E8"/>
        <n v="3.30421598E8"/>
        <n v="3.30421599E8"/>
        <n v="3.304216E8"/>
        <n v="3.30421601E8"/>
        <n v="3.30421602E8"/>
        <n v="3.30421603E8"/>
        <n v="3.30421604E8"/>
        <n v="3.30421605E8"/>
        <n v="3.30421606E8"/>
        <n v="3.30421607E8"/>
        <n v="3.30421608E8"/>
        <n v="3.30421609E8"/>
        <n v="3.3042161E8"/>
        <n v="3.30421611E8"/>
        <n v="3.30421612E8"/>
        <n v="3.30421613E8"/>
        <n v="3.30421614E8"/>
        <n v="3.30421615E8"/>
        <n v="3.30421616E8"/>
        <n v="3.30421617E8"/>
        <n v="3.30421618E8"/>
        <n v="3.30421619E8"/>
        <n v="3.3042162E8"/>
        <n v="3.30421621E8"/>
        <n v="3.30421622E8"/>
        <n v="3.30421623E8"/>
        <n v="3.30421624E8"/>
        <n v="3.30421625E8"/>
        <n v="3.30421626E8"/>
        <n v="3.30421627E8"/>
        <n v="3.30421628E8"/>
        <n v="3.30421629E8"/>
        <n v="3.3042163E8"/>
        <n v="3.30421631E8"/>
        <n v="3.30421632E8"/>
        <n v="3.30421634E8"/>
        <n v="3.30421635E8"/>
        <n v="3.30421636E8"/>
        <n v="3.30421637E8"/>
        <n v="3.30421638E8"/>
        <n v="3.30421639E8"/>
        <n v="3.3042164E8"/>
        <n v="3.30421641E8"/>
        <n v="3.30421642E8"/>
        <n v="3.30421643E8"/>
        <n v="3.30421644E8"/>
        <n v="3.30421645E8"/>
        <n v="3.30421646E8"/>
        <n v="3.30421647E8"/>
        <n v="3.30421648E8"/>
        <n v="3.30421649E8"/>
        <n v="3.3042165E8"/>
        <n v="3.30421651E8"/>
        <n v="3.30421652E8"/>
        <n v="3.30421653E8"/>
        <n v="3.30421654E8"/>
        <n v="3.30421655E8"/>
        <n v="3.30421656E8"/>
        <n v="3.30421657E8"/>
        <n v="3.30421658E8"/>
        <n v="3.30421659E8"/>
        <n v="3.3042166E8"/>
        <n v="3.30421661E8"/>
        <n v="3.30421662E8"/>
        <n v="3.30421663E8"/>
        <n v="3.30421664E8"/>
        <n v="3.30421665E8"/>
        <n v="3.30421666E8"/>
        <n v="3.30421667E8"/>
        <n v="3.30421668E8"/>
        <n v="3.30421669E8"/>
        <n v="3.3042167E8"/>
        <n v="3.30421671E8"/>
        <n v="3.30421672E8"/>
        <n v="3.30421673E8"/>
        <n v="3.30421674E8"/>
        <n v="3.30421675E8"/>
        <n v="3.30421676E8"/>
        <n v="3.30421677E8"/>
        <n v="3.30421678E8"/>
        <n v="3.30421679E8"/>
        <n v="3.3042168E8"/>
        <n v="3.30421681E8"/>
        <n v="3.30421682E8"/>
        <n v="3.30421683E8"/>
        <n v="3.30421684E8"/>
        <n v="3.30421685E8"/>
        <n v="3.30421686E8"/>
        <n v="3.30421687E8"/>
        <n v="3.30421688E8"/>
        <n v="3.30421689E8"/>
        <n v="3.3042169E8"/>
        <n v="3.30421691E8"/>
        <n v="3.30421692E8"/>
        <n v="3.30421693E8"/>
        <n v="3.30421694E8"/>
        <n v="3.30421695E8"/>
        <n v="3.30421696E8"/>
        <n v="3.30421697E8"/>
        <n v="3.30421698E8"/>
        <n v="3.30421699E8"/>
        <n v="3.304217E8"/>
        <n v="3.30421701E8"/>
        <n v="3.30421702E8"/>
        <n v="3.30421703E8"/>
        <n v="3.30421704E8"/>
        <n v="3.30421705E8"/>
        <n v="3.30421706E8"/>
        <n v="3.30421707E8"/>
        <n v="3.30421708E8"/>
        <n v="3.30421709E8"/>
        <n v="3.3042171E8"/>
        <n v="3.30421711E8"/>
        <n v="3.30421712E8"/>
        <n v="3.30421713E8"/>
        <n v="3.30421714E8"/>
        <n v="3.30421715E8"/>
        <n v="3.30421716E8"/>
        <n v="3.30421717E8"/>
        <n v="3.30421718E8"/>
        <n v="3.30421719E8"/>
        <n v="3.3042172E8"/>
        <n v="3.30421721E8"/>
        <n v="3.30421722E8"/>
        <n v="3.30421723E8"/>
        <n v="3.30421724E8"/>
        <n v="3.30421725E8"/>
        <n v="3.30421726E8"/>
        <n v="3.30421727E8"/>
        <n v="3.30421728E8"/>
        <n v="3.30421729E8"/>
        <n v="3.3042173E8"/>
        <n v="3.30421731E8"/>
        <n v="3.30421732E8"/>
        <n v="3.30421733E8"/>
        <n v="3.30421734E8"/>
        <n v="3.30421735E8"/>
        <n v="3.30421736E8"/>
        <n v="3.30421737E8"/>
        <n v="3.30421738E8"/>
        <n v="3.30421739E8"/>
        <n v="3.3042174E8"/>
        <n v="3.30421741E8"/>
        <n v="3.30421742E8"/>
        <n v="3.30421743E8"/>
        <n v="3.30421744E8"/>
        <n v="3.30421745E8"/>
        <n v="3.30421746E8"/>
        <n v="3.30421747E8"/>
        <n v="3.30421748E8"/>
        <n v="3.30421749E8"/>
        <n v="3.3042175E8"/>
        <n v="3.30421751E8"/>
        <n v="3.30421752E8"/>
        <n v="3.30421753E8"/>
        <n v="3.30421754E8"/>
        <n v="3.30421755E8"/>
        <n v="3.30421756E8"/>
        <n v="3.30421757E8"/>
        <n v="3.30421758E8"/>
        <n v="3.30421759E8"/>
        <n v="3.3042176E8"/>
        <n v="3.30421761E8"/>
        <n v="3.30421762E8"/>
        <n v="3.30421763E8"/>
        <n v="3.30421764E8"/>
        <n v="3.30421765E8"/>
        <n v="3.30421766E8"/>
        <n v="3.30421767E8"/>
        <n v="3.30421768E8"/>
        <n v="3.30421769E8"/>
        <n v="3.3042177E8"/>
        <n v="3.30421771E8"/>
        <n v="3.30421772E8"/>
        <n v="3.30421773E8"/>
        <n v="3.30421774E8"/>
        <n v="3.30421775E8"/>
        <n v="3.30421776E8"/>
        <n v="3.30421777E8"/>
        <n v="3.30421778E8"/>
        <n v="3.30421779E8"/>
        <n v="3.3042178E8"/>
        <n v="3.30421781E8"/>
        <n v="3.30421782E8"/>
        <n v="3.30421783E8"/>
        <n v="3.30421784E8"/>
        <n v="3.30421785E8"/>
        <n v="3.30421786E8"/>
        <n v="3.30421787E8"/>
        <n v="3.30421788E8"/>
        <n v="3.30421789E8"/>
        <n v="3.3042179E8"/>
        <n v="3.30421791E8"/>
        <n v="3.30421792E8"/>
        <n v="3.30421793E8"/>
        <n v="3.30421794E8"/>
        <n v="3.30421795E8"/>
        <n v="3.30421796E8"/>
        <n v="3.30421797E8"/>
        <n v="3.30421798E8"/>
        <n v="3.30421799E8"/>
        <n v="3.304218E8"/>
        <n v="3.30421801E8"/>
        <n v="3.30421802E8"/>
        <n v="3.30421803E8"/>
        <n v="3.30421804E8"/>
        <n v="3.30421805E8"/>
        <n v="3.30421806E8"/>
        <n v="3.30421807E8"/>
        <n v="3.30421808E8"/>
        <n v="3.30421809E8"/>
        <n v="3.3042181E8"/>
        <n v="3.30421811E8"/>
        <n v="3.30421812E8"/>
        <n v="3.30421813E8"/>
        <n v="3.30421814E8"/>
        <n v="3.30421815E8"/>
        <n v="3.30421816E8"/>
        <n v="3.30421818E8"/>
        <n v="3.30421819E8"/>
        <n v="3.3042182E8"/>
        <n v="3.30421821E8"/>
        <n v="3.30421822E8"/>
        <n v="3.30421823E8"/>
        <n v="3.30421824E8"/>
        <n v="3.30421825E8"/>
        <n v="3.30421826E8"/>
        <n v="3.30421827E8"/>
        <n v="3.30421828E8"/>
        <n v="3.30421829E8"/>
        <n v="3.3042183E8"/>
        <n v="3.30421831E8"/>
        <n v="3.30421832E8"/>
        <n v="3.30421833E8"/>
        <n v="3.30421834E8"/>
        <n v="3.30421835E8"/>
        <n v="3.30421836E8"/>
        <n v="3.30421837E8"/>
        <n v="3.30421838E8"/>
        <n v="3.30421839E8"/>
        <n v="3.3042184E8"/>
        <n v="3.30421841E8"/>
        <n v="3.30421842E8"/>
        <n v="3.30421843E8"/>
        <n v="3.30421844E8"/>
        <n v="3.30421845E8"/>
        <n v="3.30421846E8"/>
        <n v="3.30421847E8"/>
        <n v="3.30421848E8"/>
        <n v="3.30421849E8"/>
        <n v="3.3042185E8"/>
        <n v="3.30421851E8"/>
        <n v="3.30421852E8"/>
        <n v="3.30421853E8"/>
        <n v="3.30421854E8"/>
        <n v="3.30421855E8"/>
        <n v="3.30421856E8"/>
        <n v="3.30421857E8"/>
        <n v="3.30421858E8"/>
        <n v="3.30421859E8"/>
        <n v="3.3042186E8"/>
        <n v="3.30421861E8"/>
        <n v="3.30421862E8"/>
        <n v="3.30421863E8"/>
        <n v="3.30421864E8"/>
        <n v="3.30421865E8"/>
        <n v="3.30421866E8"/>
        <n v="3.30421867E8"/>
        <n v="3.30421868E8"/>
        <n v="3.30421869E8"/>
        <n v="3.3042187E8"/>
        <n v="3.30421871E8"/>
        <n v="3.30421872E8"/>
        <n v="3.30421873E8"/>
        <n v="3.30421874E8"/>
        <n v="3.30421875E8"/>
        <n v="3.30421876E8"/>
        <n v="3.30421877E8"/>
        <n v="3.30421878E8"/>
        <n v="3.30421879E8"/>
        <n v="3.3042188E8"/>
        <n v="3.30421881E8"/>
        <n v="3.30421882E8"/>
        <n v="3.30421883E8"/>
        <n v="3.30421884E8"/>
        <n v="3.30421885E8"/>
        <n v="3.30421886E8"/>
        <n v="3.30421887E8"/>
        <n v="3.30421888E8"/>
        <n v="3.30421889E8"/>
        <n v="3.3042189E8"/>
        <n v="3.30421891E8"/>
        <n v="3.30421892E8"/>
        <n v="3.30421893E8"/>
        <n v="3.30421894E8"/>
        <n v="3.30421895E8"/>
        <n v="3.30421896E8"/>
        <n v="3.30421897E8"/>
        <n v="3.30421898E8"/>
        <n v="3.30421899E8"/>
        <n v="3.304219E8"/>
        <n v="3.30421901E8"/>
        <n v="3.30421902E8"/>
        <n v="3.30421903E8"/>
        <n v="3.30421904E8"/>
        <n v="3.30421905E8"/>
        <n v="3.30421906E8"/>
        <n v="3.30421907E8"/>
        <n v="3.30421908E8"/>
        <n v="3.30421909E8"/>
        <n v="3.30421911E8"/>
        <n v="3.30421912E8"/>
        <n v="3.30421913E8"/>
        <n v="3.30421914E8"/>
        <n v="3.30421915E8"/>
        <n v="3.30421916E8"/>
        <n v="3.30421917E8"/>
        <n v="3.30421918E8"/>
        <n v="3.30421919E8"/>
        <n v="3.3042192E8"/>
        <n v="3.30421921E8"/>
        <n v="3.30421922E8"/>
        <n v="3.30421923E8"/>
        <n v="3.30421924E8"/>
        <n v="3.30421925E8"/>
        <n v="3.30421926E8"/>
        <n v="3.30421927E8"/>
        <n v="3.30421928E8"/>
        <n v="3.30421929E8"/>
        <n v="3.3042193E8"/>
        <n v="3.30421931E8"/>
        <n v="3.30421932E8"/>
        <n v="3.30421933E8"/>
        <n v="3.30421934E8"/>
        <n v="3.30421935E8"/>
        <n v="3.30421936E8"/>
        <n v="3.30421937E8"/>
        <n v="3.30421938E8"/>
        <n v="3.30421939E8"/>
        <n v="3.3042194E8"/>
        <n v="3.30421941E8"/>
        <n v="3.30421942E8"/>
        <n v="3.30421943E8"/>
        <n v="3.30421944E8"/>
        <n v="3.30421945E8"/>
        <n v="3.30421946E8"/>
        <n v="3.30421947E8"/>
        <n v="3.30421948E8"/>
        <n v="3.30421949E8"/>
        <n v="3.3042195E8"/>
        <n v="3.30421951E8"/>
        <n v="3.30421952E8"/>
        <n v="3.30421953E8"/>
        <n v="3.30421954E8"/>
        <n v="3.30421955E8"/>
        <n v="3.30421956E8"/>
        <n v="3.30421957E8"/>
        <n v="3.30421958E8"/>
        <n v="3.30421959E8"/>
        <n v="3.3042196E8"/>
        <n v="3.30421961E8"/>
        <n v="3.30421962E8"/>
        <n v="3.30421963E8"/>
        <n v="3.30421964E8"/>
        <n v="3.30421965E8"/>
        <n v="3.30421966E8"/>
        <n v="3.30421967E8"/>
        <n v="3.30421968E8"/>
        <n v="3.30421969E8"/>
        <n v="3.3042197E8"/>
        <n v="3.30421971E8"/>
        <n v="3.30421972E8"/>
        <n v="3.30421973E8"/>
        <n v="3.30421974E8"/>
        <n v="3.30421975E8"/>
        <n v="3.30421976E8"/>
        <n v="3.30421977E8"/>
        <n v="3.30421978E8"/>
        <n v="3.30421979E8"/>
        <n v="3.3042198E8"/>
        <n v="3.30421981E8"/>
        <n v="3.30421982E8"/>
        <n v="3.30421983E8"/>
        <n v="3.30421984E8"/>
        <n v="3.30421985E8"/>
        <n v="3.30421986E8"/>
        <n v="3.30421987E8"/>
        <n v="3.30421988E8"/>
        <n v="3.30421989E8"/>
        <n v="9.10037152E8"/>
        <n v="9.10037156E8"/>
        <n v="9.10037157E8"/>
        <n v="9.10037159E8"/>
        <n v="9.1003716E8"/>
        <n v="9.10037176E8"/>
        <n v="9.10037179E8"/>
        <n v="9.10037181E8"/>
        <n v="9.10037183E8"/>
      </sharedItems>
    </cacheField>
    <cacheField name="Nome do Lote">
      <sharedItems containsMixedTypes="1" containsNumber="1" containsInteger="1">
        <n v="170297.0"/>
        <n v="170282.0"/>
        <n v="170288.0"/>
        <n v="170311.0"/>
        <n v="170283.0"/>
        <n v="170285.0"/>
        <s v="Pagamento Rapido: ID=6622449"/>
        <n v="170319.0"/>
      </sharedItems>
    </cacheField>
    <cacheField name="PSON" numFmtId="0">
      <sharedItems containsString="0" containsBlank="1">
        <m/>
      </sharedItems>
    </cacheField>
    <cacheField name="Nome do Agente" numFmtId="0">
      <sharedItems>
        <s v="ALESSANDRO DA CRUZ SANTOS,"/>
        <s v="ALVARO HIGO QUEIROZ MATOS,"/>
        <s v="ALYSSON COELHO DE FARIAS DOS SANTOS,"/>
        <s v="ANDERSON LEMOS DOS SANTOS,"/>
        <s v="ANDERSON VELOSO GUIMARAES,"/>
        <s v="ANSELMO LAUTENSCHLAGER JUNIOR,"/>
        <s v="ANTONIO LOPES TOMAZ,"/>
        <s v="AURIO DOS SANTOS,"/>
        <s v="CAIO HERING BEZERRA DA CUNHA,"/>
        <s v="CARLOS ALBERTO BRONDANI,"/>
        <s v="CESAR HIRSCHMANN PIEPER,"/>
        <s v="CLAUDIO PASCOAL CRUZ,"/>
        <s v="CLEMILTON VIEIRA GOMES,"/>
        <s v="COSME PEDROSA MATOS,"/>
        <s v="DANIEL BARBOSA DE MOURA,"/>
        <s v="DANIEL BRELAZ DA SILVA,"/>
        <s v="DANIEL FRANCISCO MATOS DE ALMEIDA,"/>
        <s v="DANILO GOMES DA CONCEICAO,"/>
        <s v="DELCIO  BREDA,"/>
        <s v="DIOGO VIEIRA CAIXETA,"/>
        <s v="DOUGLAS DE CASTRO ALMEIDA,"/>
        <s v="EDUARDO MASSAYUKI FUZYI,"/>
        <s v="ELIANE CONFESSOR DO AMARAL PASSOS,"/>
        <s v="ELIZEU CARVALHO DE MESQUITA,"/>
        <s v="ESMON DE OLIVEIRA CARDOSO,"/>
        <s v="FERNANDA BARBOSA DE SOUSA,"/>
        <s v="FERNANDO DA SILVA,"/>
        <s v="FOSTER HIROYUKI VATANABE,"/>
        <s v="FRANCISCO DAS CHAGAS DE MORAIS CUNHA,"/>
        <s v="FRANCISCO LUIZLEY ARAUJO CRUZ,"/>
        <s v="GLAUBER NILSON ALVES DE OLIVEIRA,"/>
        <s v="GUSTAVO JULIANO TREIS,"/>
        <s v="HERBERT ALEXANDRE DI PACE,"/>
        <s v="IGOR BEZERRA MANCIOLA,"/>
        <s v="IVANILDO SARMENTO BASILIO,"/>
        <s v="JEAN JACKSON PRIMAVERA DE MATOS,"/>
        <s v="JENNEFER FERREIRA DE SOUZA,"/>
        <s v="JEREMIAS ANTONIO DE FREITAS NETO,"/>
        <s v="JOAO RICARDO NOGUEIRA DE ALMEIDA,"/>
        <s v="JOEL ALAN PEDROSO,"/>
        <s v="JONAS GOMES DE LIMA JUNIOR"/>
        <s v="JOSADAQUE  LOPES,"/>
        <s v="JOVENILSON MOREIRA DA SILVA,"/>
        <s v="JULIANNE CRISTINE LEANDRO CANQUERINO MARQUES,"/>
        <s v="JULIO CEZAR DA SILVA,"/>
        <s v="KESLEY RANGEL SANTOS DE SOUSA,"/>
        <s v="LAURO MARCHIORO DOS SANTOS,"/>
        <s v="LEANDRO DIAS COSTA"/>
        <s v="LEONARDO DE SENA MAIA,"/>
        <s v="LEVI MORENO SALVADOR,"/>
        <s v="LOURIVAL DA CONCEICAO PEREIRA JUNIOR,"/>
        <s v="LUCAS APARECIDO SARTORELLI,"/>
        <s v="LUCAS MARTINS NASCIMENTO,"/>
        <s v="MANUELA MELISSA SANTANA VIEIRA,"/>
        <s v="MARCELO FARIAS REBELO,"/>
        <s v="MARCIO HENRIQUE PEREIRA GARCIA,"/>
        <s v="MARCO ANTONIO FARJANI,"/>
        <s v="MARCO VENICIO DE SOUZA,"/>
        <s v="MARCOS FIGUEIRA PINTO,"/>
        <s v="MARCOS PEREIRA DIAS,"/>
        <s v="MARIA APARECIDA DOS SANTOS,"/>
        <s v="MIGUEL ALEXANDRE ROKITZKI SILVEIRA,"/>
        <s v="MURILO ALBERTO DE SOUZA AGUIAR,"/>
        <s v="NEY MACHADO MAIA,"/>
        <s v="OLEGARIO LOPES CARVALHO E SILVA,"/>
        <s v="OSMAR NOGUEIRA JUNIOR,"/>
        <s v="OTAVIO MARANGON DANTAS DE MORAIS"/>
        <s v="PATRICIO  LOFY,"/>
        <s v="RAIMUNDO FERREIRA CARVALHO FILHO,"/>
        <s v="RAIMUNDO GEORGE FERREIRA CASTRO,"/>
        <s v="RAIMUNDO NONATO FILHO"/>
        <s v="RENATO BASTOS FERREIRA,"/>
        <s v="RENATO GOMES DOS SANTOS"/>
        <s v="RICARDO  PLOVAS,"/>
        <s v="RINALDO JAMMYSON CORDOVIL MODESTO,"/>
        <s v="RODRIGO FLEURY DE PAULA,"/>
        <s v="ROGERIO NUNES SILVA,"/>
        <s v="SARA PINHEIRO COSTA,"/>
        <s v="SHARLENE SA PAULINO DA SILVA NASCIMENTO,"/>
        <s v="SOLANGE SILVA ROMAO FRANCA,"/>
        <s v="TANIA DOS SANTOS LIMA CUNHA,"/>
        <s v="VALDENIR CALDAS DE MELO,"/>
        <s v="VALDIR SPATAFORA TALARICO,"/>
        <s v="VICTOR NERES DE SOUSA DOS SANTOS,"/>
        <s v="WANILDO JOSE SILVA PEREIRA,"/>
        <s v="WARLEY ALVES SILVA,"/>
        <s v="WENDELL DA SILVA MOTA,"/>
        <s v="WILLIAM DE ABREU SILVA,"/>
        <s v="WILLIAN DE SOUZA PAIVA,"/>
        <s v="WINICIUS ALVES MARTINS,"/>
        <s v="ZAYRA ALMEIDA CANDIDO,"/>
        <s v="ALVO TERCEIRIZACAO EM SERVICOS ESPECIALIZADOS LTDA - EPP"/>
        <s v="PROCOMP INDUSTRIA ELETRONICA LTDA"/>
        <s v="STRIX ASSESSORIA E PLANEJAMENTO RURAL LTDA - ME"/>
        <s v="TRANSPORTADORA TURISTICA SUZANO LTDA"/>
        <s v="VERITAS ASSESSORIA CONTABIL SS LTDA ME"/>
        <s v="ABILIO CARLOS OLIVEIRA SIQUEIRA,"/>
        <s v="ADAO ANTONIO CAVALCANTE LOPES,"/>
        <s v="ADRIANA RIBEIRO DO NASCIMENTO,"/>
        <s v="ADRIANO MARCIAL MOREIRA,"/>
        <s v="ADRIANO SILVA DA COSTA,"/>
        <s v="ADSON LOPES DE OLIVEIRA,"/>
        <s v="AFONSO VIDAL SANTOS DA SILVA,"/>
        <s v="AGNALDO RODRIGUES DA SILVA JUNIOR,"/>
        <s v="ALAN LOMEU LAIA,"/>
        <s v="ALCERY LEMOS BITENCOURT,"/>
        <s v="ALDAIR LEAL CHAVES,"/>
        <s v="ALEX BARBOSA DE ALMEIDA,"/>
        <s v="ALEX SANDRO DE ALMEIDA RODRIGUES PINTO,"/>
        <s v="ALEX SANDRO MARTINS FREITAS,"/>
        <s v="ALEXANDRE  LOURENCO,"/>
        <s v="ALEXANDRE  MACHADO,"/>
        <s v="ALEXANDRE ANDRADE DOS SANTOS,"/>
        <s v="ALEXANDRE BENTO DE OLIVEIRA,"/>
        <s v="ALEXANDRE BERNARDO CHIARENTIN,"/>
        <s v="ALEXANDRE CESAR FRAGOSO CORREIA,"/>
        <s v="ALEXANDRE DE FREITAS MARTINS,"/>
        <s v="ALEXANDRE MAGALHAES SOARES,"/>
        <s v="ALEXANDRE PIANETTI HOFFMEISTER,"/>
        <s v="ALEXANDRE TEIXEIRA DA ROSA,"/>
        <s v="ALEXANDRO DO CARMO SOARES,"/>
        <s v="ALEXSANDRO AMANCIO DE SOUZA FERREIRA,"/>
        <s v="ALEXSANDRO MAGNO DE ALMEIDA,"/>
        <s v="ALEXSANDRO SANTOS DO NASCIMENTO,"/>
        <s v="ALINE BATISTA MENDES,"/>
        <s v="ALMIR BENEDITO RINALDI,"/>
        <s v="ALYSON SANTANA VARELA,"/>
        <s v="AMILTON ANGELO DE LIMA,"/>
        <s v="ANA PAULA FERREIRA MARCO,"/>
        <s v="ANDERSON APARECIDO DE SOUZA,"/>
        <s v="ANDERSON CARLOS MENEZES,"/>
        <s v="ANDERSON CLAYTON NASCIMENTO SILVA,"/>
        <s v="ANDERSON DE SOUZA BOPSIN,"/>
        <s v="ANDERSON LUIZ DE OLIVEIRA,"/>
        <s v="ANDRE COSTA PURIFICACAO,"/>
        <s v="ANDRE LUIZ BENTO DE MORAIS,"/>
        <s v="ANDRE LUIZ NUNES,"/>
        <s v="ANDRE LUIZ PIRES DE OLIVEIRA,"/>
        <s v="ANDRE MARCIO DA SILVA,"/>
        <s v="ANDREA KARINA MELO LINS DE PONTES,"/>
        <s v="ANGELO GIOVANI OLIVEIRA GUIDA,"/>
        <s v="ANTONIO CARLOS DA SILVA,"/>
        <s v="ANTONIO CARLOS MACHADO,"/>
        <s v="ANTONIO CARLOS RAMOS FREITAS JUNIOR,"/>
        <s v="ANTONIO CARLOS SANTOS,"/>
        <s v="ANTONIO JESUS DA SILVA,"/>
        <s v="ANTONIO JUNIOR AZEVEDO,"/>
        <s v="ANTONIO PEREIRA URTIGA,"/>
        <s v="ANTONIO TELMO SOUZA OLIVEIRA JUNIOR"/>
        <s v="ARISTON BARBOSA CHAGAS,"/>
        <s v="ATAIDE TENORIO DE ALBUQUERQUE FILHO,"/>
        <s v="AURELIANO SOBREIRA DE ALENCAR,"/>
        <s v="BAYRON TEODORO DE MELO,"/>
        <s v="BENEDITO LIMA PEREIRA,"/>
        <s v="BRENNO BADARO MIRANDA,"/>
        <s v="BRUNO ANTONIO DO VALE,"/>
        <s v="BRUNO GUIMARAES DA SILVA,"/>
        <s v="BRUNO LEONARDO DE JESUS VICTORIO DA SILVA,"/>
        <s v="CAMILLA AZEVEDO CARNEIRO LEAO,"/>
        <s v="CARLOS ALESSANDRO DE ASSIS,"/>
        <s v="CARLOS CRISTIANO DOS REIS DANTAS,"/>
        <s v="CARLOS EDUARDO APOLINARIO SILVA,"/>
        <s v="CARLOS EDUARDO DE FREITAS SANT ANA,"/>
        <s v="CARLOS KAYSER DUARTE DE MIRANDA,"/>
        <s v="CARMEM MARLI STAHNKE,"/>
        <s v="CARTEGEANES  NASCIMENTO,"/>
        <s v="CASSIO ANSOLIN PESSUTTO,"/>
        <s v="CESAR AUGUSTO ENGLER,"/>
        <s v="CESAR CARLOS ARAUJO PINTO,"/>
        <s v="CHRISTIAN DE OLIVEIRA MOURA,"/>
        <s v="CICERO RAMOM BATISTA RIBAS,"/>
        <s v="CLAUDIO HENRIQUE MOURA CARVALHAL,"/>
        <s v="CLAYTON LIMA MESQUITA,"/>
        <s v="CLEBER AUGUSTO DOS SANTOS SOUZA,"/>
        <s v="CLEBERTH CARVALHO CRUZ DA ROCHA,"/>
        <s v="CLENE LEOPOLDINO CANTIL,"/>
        <s v="CLESSIO ALVES MENENGUCI"/>
        <s v="CLEY CLEVERTON FERREIRA CASTRO,"/>
        <s v="CLOVES BATISTA SILVA JUNIOR,"/>
        <s v="CORNELIO PEREIRA LEME,"/>
        <s v="CRISTIAN  GUIMARAES,"/>
        <s v="CRISTIANO COSTA DO NASCIMENTO,"/>
        <s v="CRISTIANO MARSENA NOBRE,"/>
        <s v="CRISTINO NUNES SIRQUEIRA,"/>
        <s v="DANIEL DA SILVA LONGHI,"/>
        <s v="DANIELLE DO CARMO SILVANO SAMORA,"/>
        <s v="DANILO GUILHERME DOS SANTOS ANDRADE,"/>
        <s v="DARLAN D AVILA CRESCENCIO,"/>
        <s v="DAVI LEONARDO SILVA,"/>
        <s v="DENILSON ROBERTO LIMA AREA LEAO,"/>
        <s v="DENIS  OCANHA,"/>
        <s v="DENIS AURELIO CORREA DOS SANTOS,"/>
        <s v="DEOGENES JOSE DE VALOIS COUTINHO,"/>
        <s v="DIEGO ARMBRUST XAVIER DA MATA,"/>
        <s v="DIEGO DE LIMA AVILA,"/>
        <s v="DIEGO FERREIRA DE ASSIS,"/>
        <s v="DIOGO PEREIRA FONSECA,"/>
        <s v="DIRAILTON CONSTANTINO DE ALMEIDA,"/>
        <s v="DURVAL GUIMARAES CHAVES JUNIOR,"/>
        <s v="DURVAL SILVERIO DOS SANTOS,"/>
        <s v="DYEGO RICHARDO LOPES MOREIRA DA SILVA,"/>
        <s v="EDDER CARLOS TAVARES GONCALVES,"/>
        <s v="EDENILSON DOS SANTOS SOUSA,"/>
        <s v="EDER LINS PEREIRA,"/>
        <s v="EDER OLIVEIRA ALMEIDA BRITO,"/>
        <s v="EDER SARDINHA ALVES,"/>
        <s v="EDMAR DE JESUS SANTOS,"/>
        <s v="EDSON HENRIQUE VIVES JUNIOR,"/>
        <s v="EDUARDO ALVARES GOMES,"/>
        <s v="EDUARDO DA SILVA PINTO,"/>
        <s v="EDUARDO ELIAS DA SILVA,"/>
        <s v="EDUARDO JOSE DA SILVA JUNIOR,"/>
        <s v="EDUARDO JOSE DE ARAUJO,"/>
        <s v="EDUARDO MACHADO TOLEDO,"/>
        <s v="EDUARDO RIBEIRO DE FARIA,"/>
        <s v="ELI ANDERSON PEREIRA VIEIRA,"/>
        <s v="ELILDO SILVINO DOS SANTOS,"/>
        <s v="ELILSON MENEZES MARTINS,"/>
        <s v="ELISABETE BEZERRA DE AZEVEDO,"/>
        <s v="ELISEU SANTOS ASSIS,"/>
        <s v="ELNA MARIA LEAO LEMOS,"/>
        <s v="ELTON PEREIRA DA ROCHA,"/>
        <s v="ELVIS OLIVEIRA SA,"/>
        <s v="EMANUEL BEZERRA ELOY,"/>
        <s v="EMERSON  FERNANDES,"/>
        <s v="ERICO DIOGO LIMA DA SILVA,"/>
        <s v="ERICO FABIO CIRNE,"/>
        <s v="ERIK SAMUEL VAZ CAMPOS,"/>
        <s v="ERIVALDO MATIAS FONTES,"/>
        <s v="EUNADALES BRANDAO DIAS,"/>
        <s v="EVANDRO DA SILVA SOUZA,"/>
        <s v="EVERALDO SOARES DE LIMA,"/>
        <s v="EVERSON PASSOS DA ROCHA,"/>
        <s v="EVERTON VIEIRA ABREU,"/>
        <s v="FABIO  CARRILHO,"/>
        <s v="FABIO APOLINARIO COSTA,"/>
        <s v="FABIO MACELO FERNANDES DE SOUSA,"/>
        <s v="FABIO PASSOS BRITO,"/>
        <s v="FABIO QUEIROZ LOPES,"/>
        <s v="FARLEI COSME GOMES DOS SANTOS,"/>
        <s v="FELIPE COQUEIRO DE OLIVEIRA,"/>
        <s v="FERNANDA ALMEIDA CARVALHO,"/>
        <s v="FERNANDO FERREIRA SOARES,"/>
        <s v="FERNANDO GUEDES DE OLIVEIRA,"/>
        <s v="FERNANDO LIMA TENORIO DA SILVA,"/>
        <s v="FILIPE RENATO VIGATTO,"/>
        <s v="FLAUDEMIR  LEOPOLDO,"/>
        <s v="FLAVIO  CARVALHO,"/>
        <s v="FLORISVALDO SOARES SANTANA,"/>
        <s v="FRANCIS ALBERT DANTAS DE SOUSA,"/>
        <s v="FRANCISCO ALEX DE LIMA,"/>
        <s v="FRANCISCO CARLOS ROMERO RUSSO,"/>
        <s v="FRANCISCO DE ASSIS ARAUJO SUZART,"/>
        <s v="FRANCISCO FERNANDES DA SILVA,"/>
        <s v="FRANCISCO FLEURY RATEIRO JUNIOR,"/>
        <s v="FRANCISCO FRANCIER ANGELO DE SOUZA,"/>
        <s v="FRANCISCO JOSE DE MOURA ALVES,"/>
        <s v="FRANCISCO NUNES DE BARROS,"/>
        <s v="FRANKLIN LINDENBERG OLIVEIRA FREITAS,"/>
        <s v="GENIVAL  LIMA,"/>
        <s v="GERALDO ANTONIO PEIXOTO JUNIOR,"/>
        <s v="GERALDO EUSTAQUIO MARQUES,"/>
        <s v="GILBERTO DA MOTA CARVALHO,"/>
        <s v="GILBERTO OLIVEIRA SANTOS JUNIOR,"/>
        <s v="GILCEMAR  TRABACH,"/>
        <s v="GILMAR FERREIRA PINA,"/>
        <s v="GILMAR ROCHA RODRIGUES,"/>
        <s v="GILSON  MURAKAMI,"/>
        <s v="GILSON MENDES SILVA,"/>
        <s v="GILSON MUNIZ BARRETO JUNIOR,"/>
        <s v="GILTON CARNEIRO PONTE,"/>
        <s v="GIOVANE BRUNEL PAES,"/>
        <s v="GIOVANI DE LIMA TEIXEIRA"/>
        <s v="GLEIDSON DOS SANTOS MARQUES,"/>
        <s v="GRAZIANI DE OLIVEIRA ARAUJO,"/>
        <s v="GUIDO RUFINO PIRES,"/>
        <s v="GUILHERME PEREIRA RODRIGUES"/>
        <s v="GUSTAVO  HEINEN,"/>
        <s v="GUSTAVO   RIPP"/>
        <s v="HAUSBLENO MOREIRA PORTO,"/>
        <s v="HEDMICIO DOS SANTOS,"/>
        <s v="HELIO DANTAS YANO,"/>
        <s v="HELIO WAGNER TEIXEIRA SIQUEIRA,"/>
        <s v="HENRIQUE  SALVADOR,"/>
        <s v="HENRY BARROS PALHANO,"/>
        <s v="HERCULIS COLLACHITI CORBI,"/>
        <s v="HERYCK HENRIQUE DA SILVA,"/>
        <s v="HILTON DA PAZ LEONARDO PEREIRA,"/>
        <s v="HUBERLEIDSON BARROS NOGUEIRA,"/>
        <s v="HUMBERTO BERNARDI DE CAMPOS,"/>
        <s v="HUMBERTO PEREIRA DE LIMA,"/>
        <s v="INALDO DE CARVALHO SILVA,"/>
        <s v="ISAAC AUGUSTO DA SILVA FERNANDES,"/>
        <s v="ISAAC JOSE BASTOS DE SOUZA,"/>
        <s v="ITELMAR DE OLIVEIRA REIS,"/>
        <s v="IVANILDE DOS SANTOS MOTA,"/>
        <s v="IVO MELO DE JESUS,"/>
        <s v="JADER CRISTHIAN RICARDO CRUZ,"/>
        <s v="JADSON AZEVEDO MOREIRA,"/>
        <s v="JAMERSON BARBOSA DA SILVA,"/>
        <s v="JAMIL FRANCISCO DE ARRUDA,"/>
        <s v="JANAINA FERREIRA DINIZ,"/>
        <s v="JANDERSON SOUSA BORGES,"/>
        <s v="JANILSON SILVA DE OLIVEIRA,"/>
        <s v="JEAN  WALTRICK,"/>
        <s v="JEAN CARLOS GAZZONI,"/>
        <s v="JEAN CLEBER ALENCAR LOUREIRO,"/>
        <s v="JEAN FRANCO DA SILVA,"/>
        <s v="JEFERSON JUNQUEIRA MIRANDA,"/>
        <s v="JEFFERSON CUNHA SILVA,"/>
        <s v="JOAO BATISTA RAIMUNDO JUNIOR,"/>
        <s v="JOAO DAMASCENO DE SOUZA NETO,"/>
        <s v="JOAO DARLIS SAMPAIO SANTOS,"/>
        <s v="JOAQUIM FERREIRA CAMPOS NETO,"/>
        <s v="JOEL TOMAZ DE AMORIM FILHO,"/>
        <s v="JOELSON PEREIRA NOBRE,"/>
        <s v="JONES MARCOS EMILIANO,"/>
        <s v="JORGE JOSE DE MORAIS SOARES,"/>
        <s v="JORGE SA DE OLIVEIRA,"/>
        <s v="JOSAFA ALVES DE BARROS,"/>
        <s v="JOSE AGENALDO VIDAL,"/>
        <s v="JOSE AILTON DE SOUSA PEREIRA,"/>
        <s v="JOSE ANTONIO CABRAL,"/>
        <s v="JOSE ARTUR ALVES DE SIQUEIRA,"/>
        <s v="JOSE CARLOS DOS SANTOS JUNIOR,"/>
        <s v="JOSE CARLOS SANTOS MENDES,"/>
        <s v="JOSE EDUARDO ALEXANDRE BELO,"/>
        <s v="JOSE FERNANDES MUNIZ,"/>
        <s v="JOSE FRANCISCO COSTA,"/>
        <s v="JOSE GERALDO FAZION BARTALINI,"/>
        <s v="JOSE KENNED DE OLIVEIRA,"/>
        <s v="JOSE LAUDIMIRO GOMES MOURA,"/>
        <s v="JOSE LEVI SOUSA MELO,"/>
        <s v="JOSE NILTO MARROCOS DA SILVA,"/>
        <s v="JOSE RAIMUNDO GARCEZ,"/>
        <s v="JOSE REGINALDO RUFFA ARRABA,"/>
        <s v="JOSE REINALDO DE OLIVEIRA,"/>
        <s v="JOSE RICARDO RODRIGUES DA MOTA,"/>
        <s v="JOSE ROBERTO CHRESTENZEN,"/>
        <s v="JOSE RODRIGUES NETO,"/>
        <s v="JOSE VITORIO DE OLIVEIRA,"/>
        <s v="JOSEAS GOMES HERCULANO JUNIOR,"/>
        <s v="JOSEVAN MARQUES DE BRITO,"/>
        <s v="JOSIMARY LINHARES ASSUNCAO,"/>
        <s v="JUNIOR CESAR TOMAZ"/>
        <s v="KAYKY ALEXANDRE RODRIGUES VIEIRA,"/>
        <s v="KEVYN YUDI CARDOSO TAKAHASHI,"/>
        <s v="KLEITON JOSE GOMES MOREIRA BEVILAQUA,"/>
        <s v="LAMEQUE PINHEIRO MONTEIRO,"/>
        <s v="LEANDRO GERTRUDES ESTEVES,"/>
        <s v="LEANDRO MOLIN NOGUEIRA"/>
        <s v="LEONAM SILVA LIMA,"/>
        <s v="LEONARDO BRAVIM LAURO,"/>
        <s v="LEONARDO MACHADO BAPTISTA,"/>
        <s v="LIDIANE RIBEIRO ALVES,"/>
        <s v="LUCAS ARRUDA NETO,"/>
        <s v="LUCAS DANIEL DOS RAMOS,"/>
        <s v="LUCAS FERREIRA SUSSTRUNK,"/>
        <s v="LUCAS GOMES DO CARMO,"/>
        <s v="LUCAS ROBERTO SIXEL PEREIRA,"/>
        <s v="LUCIANO ALVES PEREIRA,"/>
        <s v="LUCIANO DOMINGOS SANTOS DE SOUSA,"/>
        <s v="LUCIANO DOS SANTOS SILVA,"/>
        <s v="LUCIANO MARTINS MOREIRA,"/>
        <s v="LUCIO FLAVIO ALVES DA SILVA,"/>
        <s v="LUCIVAL BRITO LIMA,"/>
        <s v="LUIS FERNANDO SILVEIRA ALVES,"/>
        <s v="LUIS HENRIQUE POHREN RIBEIRO,"/>
        <s v="LUIZ ALBERTO SICHIERI,"/>
        <s v="LUIZ AUGUSTO DA COSTA,"/>
        <s v="LUIZ CARLOS JOSE DOS SANTOS,"/>
        <s v="LUIZ GOMES FERNANDES,"/>
        <s v="LUIZ GUSTAVO MOREIRA DOS REIS,"/>
        <s v="LUIZ HENRIQUE RESENDE MACIEL,"/>
        <s v="MACIO REGIS CAMPOS SILVA,"/>
        <s v="MAERCIO MAMEDES DA SILVA,"/>
        <s v="MAGNO TARQUINIO MODESTO,"/>
        <s v="MAILTON CARLOS DA SILVA,"/>
        <s v="MAIRON FERREIRA MACHADO,"/>
        <s v="MARCELLO PEREIRA COSTA,"/>
        <s v="MARCELO CAIMI LOPES ORNELLAS,"/>
        <s v="MARCELO JUNIOR DOS SANTOS,"/>
        <s v="MARCELO ROCHA DA SILVA,"/>
        <s v="MARCELO YUDI GOYA,"/>
        <s v="MARCIO  FERREIRA,"/>
        <s v="MARCO AURELIO DA SILVA BERSOT,"/>
        <s v="MARCOS ANTONIO DOS SANTOS PAIXAO,"/>
        <s v="MARCOS DE SOUZA MAIA,"/>
        <s v="MARCOS EVANDRO DE ALMEIDA SERRADEIRA,"/>
        <s v="MARCOS JOSE BARBOZA DA PAZ JUNIOR,"/>
        <s v="MARCOS LEVI NOGUEIRA FERNANDES,"/>
        <s v="MARCOS ROBERTO PADOVAN,"/>
        <s v="MARCOS VICTOR PEIXOTO,"/>
        <s v="MARCOS VINICIO CONSTANTINO DA CONCEICAO,"/>
        <s v="MARGARETH PINTO VIEIRA,"/>
        <s v="MARILDO MEIRELES DE SA MOUSINHO,"/>
        <s v="MARIO CARVALHO SOUSA,"/>
        <s v="MARLON JOSE BARBOSA DOS PASSOS,"/>
        <s v="MATHEUS ANDRADE DE LIMA,"/>
        <s v="MAURI LUIS RIETH,"/>
        <s v="MAURICIO DA SILVA MENDES,"/>
        <s v="MAURICIO TOMOHISSA SUZUKI,"/>
        <s v="MAURO DA FONTOURA,"/>
        <s v="MAVERSON SALAS DE MORAES,"/>
        <s v="MAXWELL BARBOZA CORDEIRO DE FREITAS,"/>
        <s v="MICHEL CARNIEL FONTOURA,"/>
        <s v="MOISES FERNANDO MONTENEGRO DAIUBE DOS SANTOS,"/>
        <s v="NAILTON COSTA ASSIS,"/>
        <s v="NELMA SILVA DE SOUZA,"/>
        <s v="NERONI BRITO CAMPOS,"/>
        <s v="NILTON DA SILVA AMARAL,"/>
        <s v="NOEL MODESTO MAGALHAES,"/>
        <s v="OBERVAL ALVES FREITAS,"/>
        <s v="OLAVO SOARES DA CONCEICAO,"/>
        <s v="OLIVIO PAZ DE OLIVEIRA JUNIOR,"/>
        <s v="OSMANI ALVES FREITAS,"/>
        <s v="OSVALDO LUIZ GONCALVES DE SOUZA,"/>
        <s v="OVIDIO GABRIEL DE OLIVEIRA,"/>
        <s v="PABLO MIGUEL FIGUEIREDO,"/>
        <s v="PATRICIA DA SILVA BARROS,"/>
        <s v="PAULO ALDEBARA SANTANA DOS ANJOS,"/>
        <s v="PAULO CESAR OLIVATO,"/>
        <s v="PAULO DANIEL BARCELOS MATOS,"/>
        <s v="PAULO LIMA BITTENCOURT,"/>
        <s v="PAULO ROBERTO DOS SANTOS MORAES,"/>
        <s v="PAULO VIEIRA OLIVEIRA,"/>
        <s v="PAULO VINICIUS DA SILVA SANTOS,"/>
        <s v="PEDRO IVO DE SOUSA,"/>
        <s v="PEDRO MEIRA DA SILVA,"/>
        <s v="PEDRO STEFANO SOUTO SILVA,"/>
        <s v="PRISCILA TAVARES SOUTO MAIOR,"/>
        <s v="RAFAEL BUROK DE SOUZA,"/>
        <s v="RAFAEL CARLOTA DA SILVA,"/>
        <s v="RAFAEL DE OLIVEIRA MOREIRA,"/>
        <s v="RAFAEL GRIMALDI SALLES,"/>
        <s v="RAFAEL LOUSADA SILVA,"/>
        <s v="RAIFE OLIVEIRA DOS SANTOS,"/>
        <s v="RAIMUNDO JOSE ANDRADE DE MACEDO,"/>
        <s v="REGINALDO  MIRANDA,"/>
        <s v="RENATO ALEXANDRE DA SILVA,"/>
        <s v="RENATO BROZZIO FERRUGINE,"/>
        <s v="REYNALDO CELIO BEZERRA MORAES,"/>
        <s v="RICARDO  HIPOLITO,"/>
        <s v="RICARDO ALMEIDA ALVES,"/>
        <s v="RICARDO APARECIDO DE OLIVEIRA MESQUITA,"/>
        <s v="RICARDO DE OLIVEIRA MACHADO,"/>
        <s v="RICARDO DOS SANTOS VIEIRA,"/>
        <s v="RICARDO JOSE SANTA BARBARA FERNANDES,"/>
        <s v="RICARDO LOPES DE JESUS PALMEIRA,"/>
        <s v="RICARDO SOARES DA SILVA,"/>
        <s v="RINALDO DE SENA BIANCO,"/>
        <s v="ROBERTO DA COSTA MOLCAN,"/>
        <s v="ROBERTO DE SOUZA MATHEUS,"/>
        <s v="ROBERTO FERNANDO SOARES DOS SANTOS,"/>
        <s v="ROBERTO THOME CAMPELO LIMA,"/>
        <s v="ROBSON DA SILVA RODRIGUES,"/>
        <s v="ROBSON ISAAC MOREIRA SANTOS,"/>
        <s v="RODRIGO DUARTE PEREIRA,"/>
        <s v="RODRIGO GALVAO DE ALMEIDA,"/>
        <s v="ROGERIO ALBERTO DA SILVA,"/>
        <s v="ROGERIO ANDRADE E SILVA,"/>
        <s v="ROGERIO CESAR ALVES DO NASCIMENTO,"/>
        <s v="ROGERIO DE ORNELAS FREITAS,"/>
        <s v="ROMOS PEREIRA PINTO,"/>
        <s v="RONALDO DE SOUZA ANUNCIACAO,"/>
        <s v="RONALDO LUIZ DOS SANTOS,"/>
        <s v="RONANDO GONCALVES DA SILVA,"/>
        <s v="RONIEDSON DA SILVA MARTINS,"/>
        <s v="RONNY CASARIN DA ROCHA BRAGA,"/>
        <s v="SANDRO RICARDO GONCALO COELHO,"/>
        <s v="SEBASTIAO DELMAR ALBUQUERQUE LEITE,"/>
        <s v="SERGIO AUGUSTO DE AZEVEDO RODRIGUES,"/>
        <s v="SERGIO LIBRELON MACHADO,"/>
        <s v="SERGIO RICARDO ARAUJO,"/>
        <s v="SERGIO VIEIRA DOS SANTOS,"/>
        <s v="SILVIO FERNANDO BEDIN,"/>
        <s v="SIMONE  VAILATTI,"/>
        <s v="STEFAN OGINO FIGUEIREDO,"/>
        <s v="STELIO MAURO SANTOS DE ALMEIDA,"/>
        <s v="TATHIANA SCHMELZER SOARES,"/>
        <s v="THALES ALBERTO CAMBUI,"/>
        <s v="THIAGO BARBOSA DA SILVA,"/>
        <s v="THIAGO CLEMENTE NOVAES,"/>
        <s v="THIAGO RODRIGO CONTRO DE CAMARGO,"/>
        <s v="UBIRAJARA  GONZAGA,"/>
        <s v="VAGNER LUIS MACHADO SOARES,"/>
        <s v="VALDECY CANDIDO COSTA JUNIOR,"/>
        <s v="VALDEREZ HONORIO MARINHO,"/>
        <s v="VALMIR LIRA DO NASCIMENTO,"/>
        <s v="VALQUIR JESUS DE OLIVEIRA,"/>
        <s v="VANDERLEI DOURADO MAIA,"/>
        <s v="VICTOR MURILO TRINDADE BELLINI,"/>
        <s v="VITOR GOMES DE LIMA,"/>
        <s v="WALDEMAR MARTINS DOS SANTOS,"/>
        <s v="WALDEMIR FERREIRA CASTRO,"/>
        <s v="WALDOMIRO ALEXANDRE DOS SANTOS,"/>
        <s v="WALLACE DE FRANCA GOMES,"/>
        <s v="WANDER FAVACHO BRAGA,"/>
        <s v="WANDERSON ROSA DA SILVA,"/>
        <s v="WEDERSON DA SILVA DE JESUS,"/>
        <s v="WELINGTON DE LIMA COSTA,"/>
        <s v="WELLINGTON CARLOS DA CONCEICAO SILVA,"/>
        <s v="WELLINGTON FELIX DE ARAUJO,"/>
        <s v="WELLINGTON ROOSELVERT ANTES GONCALVES,"/>
        <s v="WELLINGTON TELES DOS SANTOS,"/>
        <s v="WELSON DA SILVA RODRIGUES,"/>
        <s v="WELTON GOMES SILVA,"/>
        <s v="WILIAN ROSANTE LIMA,"/>
        <s v="WILLIAM ROBERTO MARCUCCI,"/>
        <s v="WILLYAN  POLETO,"/>
        <s v="WILSON DE OLIVEIRA LIMA,"/>
        <s v="WILSON RICARDO GARCIA,"/>
        <s v="WINNETOU BEZERRA SALES,"/>
        <s v="WOLGRAND FELIPE DE SOUSA,"/>
        <s v="YURI BRUNO DE OLIVEIRA FARIA,"/>
        <s v="YURI SILVA BULHOES,"/>
        <s v="AGE DESENVOLVIMENTO DE SISTEMAS LTDA"/>
        <s v="ALARMTEK TECNOLOGIA AUTODEFESA LTDA"/>
        <s v="BL NESHER TRANSPORTES E LOGISTICA LTDA - ME"/>
        <s v="CONTMAX CONTABILIDADE LTDA - EPP"/>
        <s v="ESPACO Y ENGENHARIA EMPREENDIMENTOS SA"/>
        <s v="EXPRESSO CANTUARIA LTDA - EPP"/>
        <s v="GRUPO ELITEC DO BRASIL COMERCIO E SERVICOS DE SISTEMAS DE SEGURANCA LTDA ME"/>
        <s v="INTERMODAL BRASIL LOGISTICA LTDA"/>
        <s v="IRENALDO DE MELO CELANI"/>
        <s v="MICROPAN ASSISTENCIA TECNICA LTDA ME"/>
        <s v="NATAL TECNOLOGIA E SEGURANCA LTDA"/>
        <s v="POSTEC COMERCIO E SERVICO EM TECNOLOGIA LTDA - EPP"/>
        <s v="PREXX COMERCIO E IMPORTAÇÃO LTDA"/>
        <s v="ROBERTO MOTTA COCCIOLI"/>
        <s v="SCOLTT COMERCIO E SERVICOS LTDA"/>
        <s v="SUCESSO PRESTACAO DE SERVICOS TERCEIRIZADOS LTDA - ME"/>
        <s v="TORKS TRANSPORTES LTDA - ME"/>
        <s v="TRANSBRITTO EXPRESS LTDA"/>
        <s v="TRANSPORTADORA CEL E MAR LTDA ME"/>
        <s v="CONSELHO REGIONAL DOS TECNICOS INDUSTRIAIS DA PRIMEIRA REGIAO"/>
        <s v="CONSELHO REGIONAL DOS TECNICOS INDUSTRIAIS DO ESTADO DE SAO PAULO"/>
        <s v="CONSELHO REGIONAL DOS TECNICOS INDUSTRIAIS DO ESTADO DO RIO DE JANEIRO"/>
        <s v="SEC DE ESTADO DA FAZENDA RON"/>
        <s v="CONSELHO REGIONAL DOS TECNICOS INDUSTRIAIS DA TERCEIRA REGIAO"/>
        <s v="COPEL DISTRIBUICAO S A"/>
      </sharedItems>
    </cacheField>
    <cacheField name="Número do Fluxo de Caixa Depósito" numFmtId="0">
      <sharedItems containsString="0" containsBlank="1" containsNumber="1" containsInteger="1">
        <n v="170297.0"/>
        <n v="170282.0"/>
        <n v="170288.0"/>
        <n v="170311.0"/>
        <n v="170283.0"/>
        <n v="170285.0"/>
        <m/>
        <n v="170319.0"/>
      </sharedItems>
    </cacheField>
    <cacheField name="Tipo de Referência" numFmtId="0">
      <sharedItems containsString="0" containsBlank="1">
        <m/>
      </sharedItems>
    </cacheField>
    <cacheField name="Nr. Referência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lanilha24" cacheId="0" dataCaption="" compact="0" compactData="0">
  <location ref="A3:B12" firstHeaderRow="0" firstDataRow="1" firstDataCol="0"/>
  <pivotFields>
    <pivotField name="Selecionar Registro" compact="0" outline="0" multipleItemSelectionAllowed="1" showAll="0">
      <items>
        <item x="0"/>
        <item t="default"/>
      </items>
    </pivotField>
    <pivotField name="Tipo" compact="0" outline="0" multipleItemSelectionAllowed="1" showAll="0">
      <items>
        <item x="0"/>
        <item t="default"/>
      </items>
    </pivotField>
    <pivotField name="Núme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Cód. Moeda Original" compact="0" outline="0" multipleItemSelectionAllowed="1" showAll="0">
      <items>
        <item x="0"/>
        <item t="default"/>
      </items>
    </pivotField>
    <pivotField name="Quantia Origin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Quantia na moeda da co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Quantia Compensada da Moeda da Conta" compact="0" outline="0" multipleItemSelectionAllowed="1" showAll="0">
      <items>
        <item x="0"/>
        <item t="default"/>
      </items>
    </pivotField>
    <pivotField name="Data de Compensação da Moeda da Conta" compact="0" outline="0" multipleItemSelectionAllowed="1" showAll="0">
      <items>
        <item x="0"/>
        <item t="default"/>
      </items>
    </pivotField>
    <pivotField name="Data do  Valor" compact="0" outline="0" multipleItemSelectionAllowed="1" showAll="0">
      <items>
        <item x="0"/>
        <item t="default"/>
      </items>
    </pivotField>
    <pivotField name="Data GL" compact="0" numFmtId="15" outline="0" multipleItemSelectionAllowed="1" showAll="0">
      <items>
        <item x="0"/>
        <item t="default"/>
      </items>
    </pivotField>
    <pivotField name="Data da Transação" compact="0" numFmtId="15" outline="0" multipleItemSelectionAllowed="1" showAll="0">
      <items>
        <item x="0"/>
        <item t="default"/>
      </items>
    </pivotField>
    <pivotField name="selecionar registro2" compact="0" outline="0" multipleItemSelectionAllowed="1" showAll="0">
      <items>
        <item x="0"/>
        <item t="default"/>
      </items>
    </pivotField>
    <pivotField name="tipo2" compact="0" outline="0" multipleItemSelectionAllowed="1" showAll="0">
      <items>
        <item x="0"/>
        <item t="default"/>
      </items>
    </pivotField>
    <pivotField name="número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Nome do Lote" axis="axisRow" compact="0" outline="0" multipleItemSelectionAllowed="1" showAll="0" sortType="ascending">
      <items>
        <item x="1"/>
        <item x="4"/>
        <item x="5"/>
        <item x="2"/>
        <item x="0"/>
        <item x="3"/>
        <item x="7"/>
        <item x="6"/>
        <item t="default"/>
      </items>
    </pivotField>
    <pivotField name="PSON" compact="0" outline="0" multipleItemSelectionAllowed="1" showAll="0">
      <items>
        <item x="0"/>
        <item t="default"/>
      </items>
    </pivotField>
    <pivotField name="Nome do A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Número do Fluxo de Caixa Depósi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po de Referência" compact="0" outline="0" multipleItemSelectionAllowed="1" showAll="0">
      <items>
        <item x="0"/>
        <item t="default"/>
      </items>
    </pivotField>
    <pivotField name="Nr. Referência" compact="0" outline="0" multipleItemSelectionAllowed="1" showAll="0">
      <items>
        <item x="0"/>
        <item t="default"/>
      </items>
    </pivotField>
  </pivotFields>
  <rowFields>
    <field x="14"/>
  </rowFields>
  <dataFields>
    <dataField name="Soma de Quantia Original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5.75"/>
    <col customWidth="1" min="3" max="3" width="7.75"/>
    <col customWidth="1" min="4" max="4" width="10.13"/>
    <col customWidth="1" min="5" max="5" width="15.5"/>
    <col customWidth="1" min="6" max="6" width="14.75"/>
    <col customWidth="1" min="7" max="7" width="27.5"/>
    <col customWidth="1" min="8" max="8" width="3.75"/>
    <col customWidth="1" min="9" max="9" width="4.25"/>
    <col customWidth="1" min="10" max="10" width="27.38"/>
    <col customWidth="1" min="11" max="11" width="15.5"/>
    <col customWidth="1" min="12" max="26" width="8.63"/>
  </cols>
  <sheetData>
    <row r="1" ht="13.5" customHeight="1">
      <c r="A1" s="2" t="s">
        <v>0</v>
      </c>
      <c r="B1" s="3" t="s">
        <v>1</v>
      </c>
      <c r="C1" s="5" t="s">
        <v>2</v>
      </c>
      <c r="D1" s="7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5">
        <v>1.0</v>
      </c>
      <c r="B2" s="15" t="s">
        <v>9</v>
      </c>
      <c r="C2" s="15">
        <v>2130870.0</v>
      </c>
      <c r="D2" s="18">
        <v>46204.0</v>
      </c>
      <c r="E2" s="20">
        <v>1857511.7</v>
      </c>
      <c r="F2" s="15" t="s">
        <v>12</v>
      </c>
      <c r="G2" s="15" t="s">
        <v>11</v>
      </c>
      <c r="H2" s="14"/>
      <c r="I2" s="14"/>
      <c r="J2" s="26">
        <v>183039.0</v>
      </c>
      <c r="K2" s="28">
        <v>4284.82</v>
      </c>
    </row>
    <row r="3" ht="13.5" customHeight="1">
      <c r="A3" s="15">
        <v>2.0</v>
      </c>
      <c r="B3" s="15" t="s">
        <v>9</v>
      </c>
      <c r="C3" s="15">
        <v>2130870.0</v>
      </c>
      <c r="D3" s="18">
        <v>46204.0</v>
      </c>
      <c r="E3" s="20">
        <v>10181.65</v>
      </c>
      <c r="F3" s="15" t="s">
        <v>15</v>
      </c>
      <c r="G3" s="15" t="s">
        <v>11</v>
      </c>
      <c r="H3" s="14"/>
      <c r="I3" s="14"/>
      <c r="J3" s="26">
        <v>183041.0</v>
      </c>
      <c r="K3" s="28">
        <v>1857511.7</v>
      </c>
    </row>
    <row r="4" ht="13.5" customHeight="1">
      <c r="A4" s="33">
        <v>3.0</v>
      </c>
      <c r="B4" s="33" t="s">
        <v>9</v>
      </c>
      <c r="C4" s="33">
        <v>2150983.0</v>
      </c>
      <c r="D4" s="35">
        <v>46204.0</v>
      </c>
      <c r="E4" s="36">
        <v>486.26</v>
      </c>
      <c r="F4" s="33"/>
      <c r="G4" s="33" t="s">
        <v>11</v>
      </c>
      <c r="H4" s="14"/>
      <c r="I4" s="14"/>
      <c r="J4" s="26">
        <v>183049.0</v>
      </c>
      <c r="K4" s="28">
        <v>1800.0</v>
      </c>
    </row>
    <row r="5" ht="13.5" customHeight="1">
      <c r="A5" s="15">
        <v>4.0</v>
      </c>
      <c r="B5" s="15" t="s">
        <v>9</v>
      </c>
      <c r="C5" s="15">
        <v>2060855.0</v>
      </c>
      <c r="D5" s="18">
        <v>46204.0</v>
      </c>
      <c r="E5" s="20">
        <v>1900000.0</v>
      </c>
      <c r="F5" s="15" t="s">
        <v>13</v>
      </c>
      <c r="G5" s="15" t="s">
        <v>11</v>
      </c>
      <c r="H5" s="14"/>
      <c r="I5" s="14"/>
      <c r="J5" s="26">
        <v>183062.0</v>
      </c>
      <c r="K5" s="28">
        <v>6000.0</v>
      </c>
    </row>
    <row r="6" ht="13.5" customHeight="1">
      <c r="A6" s="33">
        <v>5.0</v>
      </c>
      <c r="B6" s="33" t="s">
        <v>16</v>
      </c>
      <c r="C6" s="33">
        <v>2090976.0</v>
      </c>
      <c r="D6" s="35">
        <v>46204.0</v>
      </c>
      <c r="E6" s="36">
        <v>37396.55</v>
      </c>
      <c r="F6" s="33" t="s">
        <v>17</v>
      </c>
      <c r="G6" s="33" t="s">
        <v>19</v>
      </c>
      <c r="H6" s="14"/>
      <c r="I6" s="14"/>
      <c r="J6" s="26">
        <v>183068.0</v>
      </c>
      <c r="K6" s="28">
        <v>60118.72999999998</v>
      </c>
    </row>
    <row r="7" ht="13.5" customHeight="1">
      <c r="A7" s="15">
        <v>6.0</v>
      </c>
      <c r="B7" s="15" t="s">
        <v>16</v>
      </c>
      <c r="C7" s="15">
        <v>2090821.0</v>
      </c>
      <c r="D7" s="18">
        <v>46204.0</v>
      </c>
      <c r="E7" s="20">
        <v>551.64</v>
      </c>
      <c r="F7" s="15" t="s">
        <v>17</v>
      </c>
      <c r="G7" s="15" t="s">
        <v>11</v>
      </c>
      <c r="H7" s="14"/>
      <c r="I7" s="14"/>
      <c r="J7" s="26">
        <v>183069.0</v>
      </c>
      <c r="K7" s="28">
        <v>1838713.3699999996</v>
      </c>
    </row>
    <row r="8" ht="13.5" customHeight="1">
      <c r="A8" s="40">
        <v>7.0</v>
      </c>
      <c r="B8" s="40" t="s">
        <v>16</v>
      </c>
      <c r="C8" s="40">
        <v>2090821.0</v>
      </c>
      <c r="D8" s="42">
        <v>46204.0</v>
      </c>
      <c r="E8" s="44">
        <v>309.17</v>
      </c>
      <c r="F8" s="15" t="s">
        <v>17</v>
      </c>
      <c r="G8" s="15" t="s">
        <v>11</v>
      </c>
      <c r="H8" s="14"/>
      <c r="I8" s="14"/>
      <c r="J8" s="26">
        <v>183072.0</v>
      </c>
      <c r="K8" s="28">
        <v>2700.0</v>
      </c>
    </row>
    <row r="9" ht="13.5" customHeight="1">
      <c r="A9" s="15">
        <v>9.0</v>
      </c>
      <c r="B9" s="15" t="s">
        <v>20</v>
      </c>
      <c r="C9" s="15">
        <v>1170470.0</v>
      </c>
      <c r="D9" s="18">
        <v>46204.0</v>
      </c>
      <c r="E9" s="20">
        <v>1.7</v>
      </c>
      <c r="F9" s="15"/>
      <c r="G9" s="15" t="s">
        <v>11</v>
      </c>
      <c r="H9" s="14"/>
      <c r="I9" s="14"/>
      <c r="J9" s="26">
        <v>183076.0</v>
      </c>
      <c r="K9" s="28">
        <v>600.0</v>
      </c>
    </row>
    <row r="10" ht="13.5" customHeight="1">
      <c r="A10" s="33">
        <v>10.0</v>
      </c>
      <c r="B10" s="33" t="s">
        <v>20</v>
      </c>
      <c r="C10" s="33">
        <v>1040211.0</v>
      </c>
      <c r="D10" s="35">
        <v>46204.0</v>
      </c>
      <c r="E10" s="36">
        <v>1684805.32</v>
      </c>
      <c r="F10" s="33"/>
      <c r="G10" s="33" t="s">
        <v>11</v>
      </c>
      <c r="H10" s="14"/>
      <c r="I10" s="14"/>
      <c r="J10" s="26" t="s">
        <v>31</v>
      </c>
      <c r="K10" s="28">
        <v>5870.11</v>
      </c>
      <c r="L10" s="52" t="s">
        <v>33</v>
      </c>
    </row>
    <row r="11" ht="13.5" customHeight="1">
      <c r="A11" s="33">
        <v>12.0</v>
      </c>
      <c r="B11" s="33" t="s">
        <v>20</v>
      </c>
      <c r="C11" s="33">
        <v>1040211.0</v>
      </c>
      <c r="D11" s="35">
        <v>46204.0</v>
      </c>
      <c r="E11" s="36">
        <v>1857511.7</v>
      </c>
      <c r="F11" s="33"/>
      <c r="G11" s="33" t="s">
        <v>11</v>
      </c>
      <c r="H11" s="14"/>
      <c r="I11" s="14"/>
      <c r="J11" s="53" t="s">
        <v>36</v>
      </c>
      <c r="K11" s="54">
        <v>10708.74</v>
      </c>
    </row>
    <row r="12" ht="13.5" customHeight="1">
      <c r="A12" s="33">
        <v>17.0</v>
      </c>
      <c r="B12" s="33" t="s">
        <v>20</v>
      </c>
      <c r="C12" s="33">
        <v>1200393.0</v>
      </c>
      <c r="D12" s="35">
        <v>46204.0</v>
      </c>
      <c r="E12" s="36">
        <v>7583.98</v>
      </c>
      <c r="F12" s="33"/>
      <c r="G12" s="33" t="s">
        <v>11</v>
      </c>
      <c r="H12" s="14"/>
      <c r="I12" s="14"/>
      <c r="J12" s="53" t="s">
        <v>40</v>
      </c>
      <c r="K12" s="28">
        <v>5125.68</v>
      </c>
    </row>
    <row r="13" ht="13.5" customHeight="1">
      <c r="A13" s="33">
        <v>18.0</v>
      </c>
      <c r="B13" s="33" t="s">
        <v>20</v>
      </c>
      <c r="C13" s="33">
        <v>1040211.0</v>
      </c>
      <c r="D13" s="35">
        <v>46204.0</v>
      </c>
      <c r="E13" s="36">
        <v>53134.75</v>
      </c>
      <c r="F13" s="33"/>
      <c r="G13" s="33" t="s">
        <v>11</v>
      </c>
      <c r="H13" s="14"/>
      <c r="I13" s="14"/>
      <c r="J13" s="53" t="s">
        <v>44</v>
      </c>
      <c r="K13" s="28">
        <v>43271.1</v>
      </c>
    </row>
    <row r="14" ht="13.5" customHeight="1">
      <c r="A14" s="33">
        <v>19.0</v>
      </c>
      <c r="B14" s="33" t="s">
        <v>20</v>
      </c>
      <c r="C14" s="33">
        <v>1200393.0</v>
      </c>
      <c r="D14" s="35">
        <v>46204.0</v>
      </c>
      <c r="E14" s="36">
        <v>7050.57</v>
      </c>
      <c r="F14" s="33"/>
      <c r="G14" s="33" t="s">
        <v>11</v>
      </c>
      <c r="H14" s="14"/>
      <c r="I14" s="14"/>
      <c r="J14" s="53" t="s">
        <v>46</v>
      </c>
      <c r="K14" s="28">
        <v>809.88</v>
      </c>
    </row>
    <row r="15" ht="13.5" customHeight="1">
      <c r="A15" s="33">
        <v>20.0</v>
      </c>
      <c r="B15" s="33" t="s">
        <v>20</v>
      </c>
      <c r="C15" s="33">
        <v>1200393.0</v>
      </c>
      <c r="D15" s="35">
        <v>46204.0</v>
      </c>
      <c r="E15" s="36">
        <v>146857.48</v>
      </c>
      <c r="F15" s="33"/>
      <c r="G15" s="33" t="s">
        <v>11</v>
      </c>
      <c r="H15" s="14"/>
      <c r="I15" s="14"/>
      <c r="J15" s="14"/>
      <c r="K15" s="14"/>
    </row>
    <row r="16" ht="13.5" customHeight="1">
      <c r="A16" s="33">
        <v>21.0</v>
      </c>
      <c r="B16" s="33" t="s">
        <v>20</v>
      </c>
      <c r="C16" s="33">
        <v>1040211.0</v>
      </c>
      <c r="D16" s="35">
        <v>46204.0</v>
      </c>
      <c r="E16" s="36">
        <v>6000.0</v>
      </c>
      <c r="F16" s="33"/>
      <c r="G16" s="33" t="s">
        <v>11</v>
      </c>
      <c r="H16" s="14"/>
      <c r="I16" s="14"/>
      <c r="J16" s="14"/>
      <c r="K16" s="14"/>
    </row>
    <row r="17" ht="13.5" customHeight="1">
      <c r="A17" s="33">
        <v>23.0</v>
      </c>
      <c r="B17" s="33" t="s">
        <v>20</v>
      </c>
      <c r="C17" s="33">
        <v>1200393.0</v>
      </c>
      <c r="D17" s="35">
        <v>46204.0</v>
      </c>
      <c r="E17" s="36">
        <v>6356.37</v>
      </c>
      <c r="F17" s="33"/>
      <c r="G17" s="33" t="s">
        <v>11</v>
      </c>
      <c r="H17" s="14"/>
      <c r="I17" s="14"/>
      <c r="J17" s="14"/>
      <c r="K17" s="14"/>
    </row>
    <row r="18" ht="13.5" customHeight="1">
      <c r="A18" s="33">
        <v>25.0</v>
      </c>
      <c r="B18" s="33" t="s">
        <v>20</v>
      </c>
      <c r="C18" s="33">
        <v>1040109.0</v>
      </c>
      <c r="D18" s="35">
        <v>46204.0</v>
      </c>
      <c r="E18" s="36">
        <v>29.52</v>
      </c>
      <c r="F18" s="33"/>
      <c r="G18" s="33" t="s">
        <v>11</v>
      </c>
      <c r="H18" s="14"/>
      <c r="I18" s="14"/>
      <c r="J18" s="14"/>
      <c r="K18" s="14"/>
    </row>
    <row r="19" ht="13.5" customHeight="1">
      <c r="A19" s="33">
        <v>26.0</v>
      </c>
      <c r="B19" s="33" t="s">
        <v>20</v>
      </c>
      <c r="C19" s="33">
        <v>1040109.0</v>
      </c>
      <c r="D19" s="35">
        <v>46204.0</v>
      </c>
      <c r="E19" s="36">
        <v>435.34</v>
      </c>
      <c r="F19" s="33"/>
      <c r="G19" s="33" t="s">
        <v>11</v>
      </c>
      <c r="H19" s="14"/>
      <c r="I19" s="14"/>
      <c r="J19" s="14"/>
      <c r="K19" s="14"/>
    </row>
    <row r="20" ht="13.5" customHeight="1">
      <c r="A20" s="33">
        <v>29.0</v>
      </c>
      <c r="B20" s="33" t="s">
        <v>20</v>
      </c>
      <c r="C20" s="33">
        <v>1040362.0</v>
      </c>
      <c r="D20" s="35">
        <v>46204.0</v>
      </c>
      <c r="E20" s="36">
        <v>1348.22</v>
      </c>
      <c r="F20" s="33"/>
      <c r="G20" s="33" t="s">
        <v>11</v>
      </c>
      <c r="H20" s="14"/>
      <c r="I20" s="14"/>
      <c r="J20" s="14"/>
      <c r="K20" s="14"/>
    </row>
    <row r="21" ht="13.5" customHeight="1">
      <c r="A21" s="33">
        <v>30.0</v>
      </c>
      <c r="B21" s="33" t="s">
        <v>20</v>
      </c>
      <c r="C21" s="33">
        <v>1040362.0</v>
      </c>
      <c r="D21" s="35">
        <v>46204.0</v>
      </c>
      <c r="E21" s="36">
        <v>2471.74</v>
      </c>
      <c r="F21" s="33"/>
      <c r="G21" s="33" t="s">
        <v>11</v>
      </c>
      <c r="H21" s="14"/>
      <c r="I21" s="14"/>
      <c r="J21" s="14"/>
      <c r="K21" s="14"/>
    </row>
    <row r="22" ht="13.5" customHeight="1">
      <c r="A22" s="33">
        <v>38.0</v>
      </c>
      <c r="B22" s="33" t="s">
        <v>20</v>
      </c>
      <c r="C22" s="33">
        <v>1040363.0</v>
      </c>
      <c r="D22" s="35">
        <v>46204.0</v>
      </c>
      <c r="E22" s="36">
        <v>300.0</v>
      </c>
      <c r="F22" s="33"/>
      <c r="G22" s="33" t="s">
        <v>11</v>
      </c>
      <c r="H22" s="14"/>
      <c r="I22" s="14"/>
      <c r="J22" s="14"/>
      <c r="K22" s="14"/>
    </row>
    <row r="23" ht="13.5" customHeight="1">
      <c r="A23" s="33">
        <v>39.0</v>
      </c>
      <c r="B23" s="33" t="s">
        <v>20</v>
      </c>
      <c r="C23" s="33">
        <v>1040363.0</v>
      </c>
      <c r="D23" s="35">
        <v>46204.0</v>
      </c>
      <c r="E23" s="36">
        <v>300.0</v>
      </c>
      <c r="F23" s="33"/>
      <c r="G23" s="33" t="s">
        <v>11</v>
      </c>
      <c r="H23" s="14"/>
      <c r="I23" s="14"/>
      <c r="J23" s="14"/>
      <c r="K23" s="14"/>
    </row>
    <row r="24" ht="13.5" customHeight="1">
      <c r="A24" s="33">
        <v>40.0</v>
      </c>
      <c r="B24" s="33" t="s">
        <v>20</v>
      </c>
      <c r="C24" s="33">
        <v>1040363.0</v>
      </c>
      <c r="D24" s="35">
        <v>46204.0</v>
      </c>
      <c r="E24" s="36">
        <v>300.0</v>
      </c>
      <c r="F24" s="33"/>
      <c r="G24" s="33" t="s">
        <v>11</v>
      </c>
      <c r="H24" s="14"/>
      <c r="I24" s="14"/>
      <c r="J24" s="14"/>
      <c r="K24" s="14"/>
    </row>
    <row r="25" ht="13.5" customHeight="1">
      <c r="A25" s="33">
        <v>41.0</v>
      </c>
      <c r="B25" s="33" t="s">
        <v>20</v>
      </c>
      <c r="C25" s="33">
        <v>1040363.0</v>
      </c>
      <c r="D25" s="35">
        <v>46204.0</v>
      </c>
      <c r="E25" s="36">
        <v>300.0</v>
      </c>
      <c r="F25" s="33"/>
      <c r="G25" s="33" t="s">
        <v>11</v>
      </c>
      <c r="H25" s="14"/>
      <c r="I25" s="14"/>
      <c r="J25" s="14"/>
      <c r="K25" s="14"/>
    </row>
    <row r="26" ht="13.5" customHeight="1">
      <c r="A26" s="33">
        <v>42.0</v>
      </c>
      <c r="B26" s="33" t="s">
        <v>20</v>
      </c>
      <c r="C26" s="33">
        <v>1040363.0</v>
      </c>
      <c r="D26" s="35">
        <v>46204.0</v>
      </c>
      <c r="E26" s="36">
        <v>300.0</v>
      </c>
      <c r="F26" s="33"/>
      <c r="G26" s="33" t="s">
        <v>11</v>
      </c>
      <c r="H26" s="14"/>
      <c r="I26" s="14"/>
      <c r="J26" s="14"/>
      <c r="K26" s="14"/>
    </row>
    <row r="27" ht="13.5" customHeight="1">
      <c r="A27" s="33">
        <v>43.0</v>
      </c>
      <c r="B27" s="33" t="s">
        <v>20</v>
      </c>
      <c r="C27" s="33">
        <v>1040363.0</v>
      </c>
      <c r="D27" s="35">
        <v>46204.0</v>
      </c>
      <c r="E27" s="36">
        <v>300.0</v>
      </c>
      <c r="F27" s="33"/>
      <c r="G27" s="33" t="s">
        <v>11</v>
      </c>
      <c r="H27" s="14"/>
      <c r="I27" s="14"/>
      <c r="J27" s="14"/>
      <c r="K27" s="14"/>
    </row>
    <row r="28" ht="13.5" customHeight="1">
      <c r="A28" s="33">
        <v>44.0</v>
      </c>
      <c r="B28" s="33" t="s">
        <v>20</v>
      </c>
      <c r="C28" s="33">
        <v>1040363.0</v>
      </c>
      <c r="D28" s="35">
        <v>46204.0</v>
      </c>
      <c r="E28" s="36">
        <v>300.0</v>
      </c>
      <c r="F28" s="33"/>
      <c r="G28" s="33" t="s">
        <v>11</v>
      </c>
      <c r="H28" s="14"/>
      <c r="I28" s="14"/>
      <c r="J28" s="14"/>
      <c r="K28" s="14"/>
    </row>
    <row r="29" ht="13.5" customHeight="1">
      <c r="A29" s="33">
        <v>46.0</v>
      </c>
      <c r="B29" s="33" t="s">
        <v>20</v>
      </c>
      <c r="C29" s="33">
        <v>1040363.0</v>
      </c>
      <c r="D29" s="35">
        <v>46204.0</v>
      </c>
      <c r="E29" s="36">
        <v>300.0</v>
      </c>
      <c r="F29" s="33"/>
      <c r="G29" s="33" t="s">
        <v>11</v>
      </c>
      <c r="H29" s="14"/>
      <c r="I29" s="14"/>
      <c r="J29" s="14"/>
      <c r="K29" s="14"/>
    </row>
    <row r="30" ht="13.5" customHeight="1">
      <c r="A30" s="33">
        <v>47.0</v>
      </c>
      <c r="B30" s="33" t="s">
        <v>20</v>
      </c>
      <c r="C30" s="33">
        <v>1040363.0</v>
      </c>
      <c r="D30" s="35">
        <v>46204.0</v>
      </c>
      <c r="E30" s="36">
        <v>300.0</v>
      </c>
      <c r="F30" s="33"/>
      <c r="G30" s="33" t="s">
        <v>11</v>
      </c>
      <c r="H30" s="14"/>
      <c r="I30" s="14"/>
      <c r="J30" s="14"/>
      <c r="K30" s="14"/>
    </row>
    <row r="31" ht="13.5" customHeight="1">
      <c r="A31" s="33">
        <v>48.0</v>
      </c>
      <c r="B31" s="33" t="s">
        <v>20</v>
      </c>
      <c r="C31" s="33">
        <v>1040363.0</v>
      </c>
      <c r="D31" s="35">
        <v>46204.0</v>
      </c>
      <c r="E31" s="36">
        <v>300.0</v>
      </c>
      <c r="F31" s="33"/>
      <c r="G31" s="33" t="s">
        <v>11</v>
      </c>
      <c r="H31" s="14"/>
      <c r="I31" s="14"/>
      <c r="J31" s="14"/>
      <c r="K31" s="14"/>
    </row>
    <row r="32" ht="13.5" customHeight="1">
      <c r="A32" s="33">
        <v>49.0</v>
      </c>
      <c r="B32" s="33" t="s">
        <v>20</v>
      </c>
      <c r="C32" s="33">
        <v>1040363.0</v>
      </c>
      <c r="D32" s="35">
        <v>46204.0</v>
      </c>
      <c r="E32" s="36">
        <v>300.0</v>
      </c>
      <c r="F32" s="33"/>
      <c r="G32" s="33" t="s">
        <v>11</v>
      </c>
      <c r="H32" s="14"/>
      <c r="I32" s="14"/>
      <c r="J32" s="14"/>
      <c r="K32" s="14"/>
    </row>
    <row r="33" ht="13.5" customHeight="1">
      <c r="A33" s="33">
        <v>50.0</v>
      </c>
      <c r="B33" s="33" t="s">
        <v>20</v>
      </c>
      <c r="C33" s="33">
        <v>1040363.0</v>
      </c>
      <c r="D33" s="35">
        <v>46204.0</v>
      </c>
      <c r="E33" s="36">
        <v>300.0</v>
      </c>
      <c r="F33" s="33"/>
      <c r="G33" s="33" t="s">
        <v>11</v>
      </c>
      <c r="H33" s="14"/>
      <c r="I33" s="14"/>
      <c r="J33" s="14"/>
      <c r="K33" s="14"/>
    </row>
    <row r="34" ht="13.5" customHeight="1">
      <c r="A34" s="33">
        <v>51.0</v>
      </c>
      <c r="B34" s="33" t="s">
        <v>20</v>
      </c>
      <c r="C34" s="33">
        <v>1040363.0</v>
      </c>
      <c r="D34" s="35">
        <v>46204.0</v>
      </c>
      <c r="E34" s="36">
        <v>300.0</v>
      </c>
      <c r="F34" s="33"/>
      <c r="G34" s="33" t="s">
        <v>11</v>
      </c>
      <c r="H34" s="14"/>
      <c r="I34" s="14"/>
      <c r="J34" s="14"/>
      <c r="K34" s="14"/>
    </row>
    <row r="35" ht="13.5" customHeight="1">
      <c r="A35" s="33">
        <v>53.0</v>
      </c>
      <c r="B35" s="33" t="s">
        <v>20</v>
      </c>
      <c r="C35" s="33">
        <v>1040363.0</v>
      </c>
      <c r="D35" s="35">
        <v>46204.0</v>
      </c>
      <c r="E35" s="36">
        <v>300.0</v>
      </c>
      <c r="F35" s="33"/>
      <c r="G35" s="33" t="s">
        <v>11</v>
      </c>
      <c r="H35" s="14"/>
      <c r="I35" s="14"/>
      <c r="J35" s="14"/>
      <c r="K35" s="14"/>
    </row>
    <row r="36" ht="13.5" customHeight="1">
      <c r="A36" s="33">
        <v>54.0</v>
      </c>
      <c r="B36" s="33" t="s">
        <v>20</v>
      </c>
      <c r="C36" s="33">
        <v>1040363.0</v>
      </c>
      <c r="D36" s="35">
        <v>46204.0</v>
      </c>
      <c r="E36" s="36">
        <v>300.0</v>
      </c>
      <c r="F36" s="33"/>
      <c r="G36" s="33" t="s">
        <v>11</v>
      </c>
      <c r="H36" s="14"/>
      <c r="I36" s="14"/>
      <c r="J36" s="14"/>
      <c r="K36" s="14"/>
    </row>
    <row r="37" ht="13.5" customHeight="1">
      <c r="A37" s="33">
        <v>70.0</v>
      </c>
      <c r="B37" s="33" t="s">
        <v>47</v>
      </c>
      <c r="C37" s="33">
        <v>1040328.0</v>
      </c>
      <c r="D37" s="35">
        <v>46204.0</v>
      </c>
      <c r="E37" s="36">
        <v>3051.51</v>
      </c>
      <c r="F37" s="33"/>
      <c r="G37" s="33" t="s">
        <v>19</v>
      </c>
      <c r="H37" s="14"/>
      <c r="I37" s="14"/>
      <c r="J37" s="14"/>
      <c r="K37" s="14"/>
    </row>
    <row r="38" ht="13.5" customHeight="1">
      <c r="A38" s="15">
        <v>71.0</v>
      </c>
      <c r="B38" s="15" t="s">
        <v>47</v>
      </c>
      <c r="C38" s="15">
        <v>1040328.0</v>
      </c>
      <c r="D38" s="18">
        <v>46204.0</v>
      </c>
      <c r="E38" s="20">
        <v>15.5</v>
      </c>
      <c r="F38" s="15"/>
      <c r="G38" s="15" t="s">
        <v>11</v>
      </c>
      <c r="H38" s="14"/>
      <c r="I38" s="14"/>
      <c r="J38" s="23"/>
      <c r="K38" s="23"/>
    </row>
    <row r="39" ht="13.5" customHeight="1">
      <c r="A39" s="33">
        <v>72.0</v>
      </c>
      <c r="B39" s="33" t="s">
        <v>47</v>
      </c>
      <c r="C39" s="33">
        <v>1040328.0</v>
      </c>
      <c r="D39" s="35">
        <v>46204.0</v>
      </c>
      <c r="E39" s="36">
        <v>10708.74</v>
      </c>
      <c r="F39" s="33"/>
      <c r="G39" s="33" t="s">
        <v>11</v>
      </c>
      <c r="H39" s="23"/>
      <c r="I39" s="23"/>
      <c r="J39" s="23"/>
      <c r="K39" s="23"/>
      <c r="L39" s="61"/>
    </row>
    <row r="40" ht="13.5" customHeight="1">
      <c r="A40" s="33">
        <v>73.0</v>
      </c>
      <c r="B40" s="33" t="s">
        <v>47</v>
      </c>
      <c r="C40" s="33">
        <v>1040328.0</v>
      </c>
      <c r="D40" s="35">
        <v>46204.0</v>
      </c>
      <c r="E40" s="36">
        <v>49206.66</v>
      </c>
      <c r="F40" s="33"/>
      <c r="G40" s="33" t="s">
        <v>11</v>
      </c>
      <c r="H40" s="23"/>
      <c r="I40" s="23"/>
      <c r="J40" s="23"/>
      <c r="K40" s="23"/>
      <c r="L40" s="61"/>
    </row>
    <row r="41" ht="13.5" customHeight="1">
      <c r="A41" s="53"/>
      <c r="B41" s="53"/>
      <c r="C41" s="53"/>
      <c r="D41" s="23"/>
      <c r="E41" s="29"/>
      <c r="F41" s="33"/>
      <c r="G41" s="62"/>
      <c r="H41" s="23"/>
      <c r="I41" s="23"/>
      <c r="J41" s="23"/>
      <c r="K41" s="23"/>
      <c r="L41" s="61"/>
    </row>
    <row r="42" ht="13.5" customHeight="1">
      <c r="A42" s="53"/>
      <c r="B42" s="53"/>
      <c r="C42" s="53"/>
      <c r="D42" s="23"/>
      <c r="E42" s="29"/>
      <c r="F42" s="33"/>
      <c r="G42" s="62"/>
      <c r="H42" s="23"/>
      <c r="I42" s="23"/>
      <c r="J42" s="23"/>
      <c r="K42" s="23"/>
      <c r="L42" s="61"/>
    </row>
    <row r="43" ht="13.5" customHeight="1">
      <c r="A43" s="53"/>
      <c r="B43" s="53"/>
      <c r="C43" s="53"/>
      <c r="D43" s="23"/>
      <c r="E43" s="29"/>
      <c r="F43" s="33"/>
      <c r="G43" s="62"/>
      <c r="H43" s="23"/>
      <c r="I43" s="23"/>
      <c r="J43" s="23"/>
      <c r="K43" s="23"/>
      <c r="L43" s="61"/>
    </row>
    <row r="44" ht="13.5" customHeight="1">
      <c r="A44" s="53"/>
      <c r="B44" s="53"/>
      <c r="C44" s="53"/>
      <c r="D44" s="23"/>
      <c r="E44" s="29"/>
      <c r="F44" s="33"/>
      <c r="G44" s="62"/>
      <c r="H44" s="23"/>
      <c r="I44" s="23"/>
      <c r="J44" s="23"/>
      <c r="K44" s="23"/>
      <c r="L44" s="61"/>
    </row>
    <row r="45" ht="13.5" customHeight="1">
      <c r="A45" s="73"/>
      <c r="B45" s="73"/>
      <c r="C45" s="73"/>
      <c r="D45" s="61"/>
      <c r="E45" s="75"/>
      <c r="F45" s="69"/>
      <c r="G45" s="65"/>
      <c r="H45" s="61"/>
      <c r="I45" s="61"/>
      <c r="J45" s="61"/>
      <c r="K45" s="61"/>
      <c r="L45" s="61"/>
    </row>
    <row r="46" ht="13.5" customHeight="1">
      <c r="A46" s="73"/>
      <c r="B46" s="73"/>
      <c r="C46" s="73"/>
      <c r="D46" s="61"/>
      <c r="E46" s="75"/>
      <c r="F46" s="69"/>
      <c r="G46" s="65"/>
      <c r="H46" s="61"/>
      <c r="I46" s="61"/>
      <c r="J46" s="61"/>
      <c r="K46" s="61"/>
      <c r="L46" s="61"/>
    </row>
    <row r="47" ht="13.5" customHeight="1">
      <c r="A47" s="73"/>
      <c r="B47" s="73"/>
      <c r="C47" s="73"/>
      <c r="D47" s="61"/>
      <c r="E47" s="75"/>
      <c r="F47" s="69"/>
      <c r="G47" s="65"/>
      <c r="H47" s="61"/>
      <c r="I47" s="61"/>
      <c r="J47" s="61"/>
      <c r="K47" s="61"/>
      <c r="L47" s="61"/>
    </row>
    <row r="48" ht="13.5" customHeight="1">
      <c r="A48" s="73"/>
      <c r="B48" s="73"/>
      <c r="C48" s="73"/>
      <c r="D48" s="61"/>
      <c r="E48" s="75"/>
      <c r="F48" s="69"/>
      <c r="G48" s="65"/>
      <c r="H48" s="61"/>
      <c r="I48" s="61"/>
      <c r="J48" s="61"/>
      <c r="K48" s="61"/>
      <c r="L48" s="61"/>
    </row>
    <row r="49" ht="13.5" customHeight="1">
      <c r="A49" s="73"/>
      <c r="B49" s="73"/>
      <c r="C49" s="73"/>
      <c r="D49" s="61"/>
      <c r="E49" s="75"/>
      <c r="F49" s="69"/>
      <c r="G49" s="65"/>
      <c r="H49" s="61"/>
      <c r="I49" s="61"/>
      <c r="J49" s="61"/>
      <c r="K49" s="61"/>
      <c r="L49" s="61"/>
    </row>
    <row r="50" ht="13.5" customHeight="1">
      <c r="A50" s="73"/>
      <c r="B50" s="73"/>
      <c r="C50" s="73"/>
      <c r="D50" s="61"/>
      <c r="E50" s="75"/>
      <c r="F50" s="69"/>
      <c r="G50" s="65"/>
      <c r="H50" s="61"/>
      <c r="I50" s="61"/>
      <c r="J50" s="61"/>
      <c r="K50" s="61"/>
      <c r="L50" s="61"/>
    </row>
    <row r="51" ht="13.5" customHeight="1">
      <c r="A51" s="73"/>
      <c r="B51" s="73"/>
      <c r="C51" s="73"/>
      <c r="D51" s="61"/>
      <c r="E51" s="75"/>
      <c r="F51" s="69"/>
      <c r="G51" s="65"/>
      <c r="H51" s="61"/>
      <c r="I51" s="61"/>
      <c r="J51" s="61"/>
      <c r="K51" s="61"/>
      <c r="L51" s="61"/>
    </row>
    <row r="52" ht="13.5" customHeight="1">
      <c r="A52" s="73"/>
      <c r="B52" s="73"/>
      <c r="C52" s="73"/>
      <c r="D52" s="61"/>
      <c r="E52" s="75"/>
      <c r="F52" s="69"/>
      <c r="G52" s="65"/>
      <c r="H52" s="61"/>
      <c r="I52" s="61"/>
      <c r="J52" s="61"/>
      <c r="K52" s="61"/>
      <c r="L52" s="61"/>
    </row>
    <row r="53" ht="13.5" customHeight="1">
      <c r="A53" s="73"/>
      <c r="B53" s="73"/>
      <c r="C53" s="73"/>
      <c r="D53" s="61"/>
      <c r="E53" s="75"/>
      <c r="F53" s="69"/>
      <c r="G53" s="65"/>
      <c r="H53" s="61"/>
      <c r="I53" s="61"/>
      <c r="J53" s="61"/>
      <c r="K53" s="61"/>
      <c r="L53" s="61"/>
    </row>
    <row r="54" ht="13.5" customHeight="1">
      <c r="A54" s="73"/>
      <c r="B54" s="73"/>
      <c r="C54" s="73"/>
      <c r="D54" s="61"/>
      <c r="E54" s="75"/>
      <c r="F54" s="69"/>
      <c r="G54" s="65"/>
      <c r="H54" s="61"/>
      <c r="I54" s="61"/>
      <c r="J54" s="61"/>
      <c r="K54" s="61"/>
      <c r="L54" s="61"/>
    </row>
    <row r="55" ht="13.5" customHeight="1">
      <c r="A55" s="73"/>
      <c r="B55" s="73"/>
      <c r="C55" s="73"/>
      <c r="D55" s="61"/>
      <c r="E55" s="75"/>
      <c r="F55" s="69"/>
      <c r="G55" s="65"/>
      <c r="H55" s="61"/>
      <c r="I55" s="61"/>
      <c r="J55" s="61"/>
      <c r="K55" s="61"/>
      <c r="L55" s="61"/>
    </row>
    <row r="56" ht="13.5" customHeight="1">
      <c r="A56" s="73"/>
      <c r="B56" s="73"/>
      <c r="C56" s="73"/>
      <c r="D56" s="61"/>
      <c r="E56" s="75"/>
      <c r="F56" s="69"/>
      <c r="G56" s="65"/>
      <c r="H56" s="61"/>
      <c r="I56" s="61"/>
      <c r="J56" s="61"/>
      <c r="K56" s="61"/>
      <c r="L56" s="61"/>
    </row>
    <row r="57" ht="13.5" customHeight="1">
      <c r="A57" s="73"/>
      <c r="B57" s="73"/>
      <c r="C57" s="73"/>
      <c r="D57" s="61"/>
      <c r="E57" s="75"/>
      <c r="F57" s="69"/>
      <c r="G57" s="65"/>
      <c r="H57" s="61"/>
      <c r="I57" s="61"/>
      <c r="J57" s="61"/>
      <c r="K57" s="61"/>
      <c r="L57" s="61"/>
    </row>
    <row r="58" ht="13.5" customHeight="1">
      <c r="A58" s="73"/>
      <c r="B58" s="73"/>
      <c r="C58" s="73"/>
      <c r="D58" s="61"/>
      <c r="E58" s="75"/>
      <c r="F58" s="69"/>
      <c r="G58" s="65"/>
      <c r="H58" s="61"/>
      <c r="I58" s="61"/>
      <c r="J58" s="61"/>
      <c r="K58" s="61"/>
      <c r="L58" s="61"/>
    </row>
    <row r="59" ht="13.5" customHeight="1">
      <c r="A59" s="73"/>
      <c r="B59" s="73"/>
      <c r="C59" s="73"/>
      <c r="D59" s="61"/>
      <c r="E59" s="75"/>
      <c r="F59" s="69"/>
      <c r="G59" s="65"/>
      <c r="H59" s="61"/>
      <c r="I59" s="61"/>
      <c r="J59" s="61"/>
      <c r="K59" s="61"/>
      <c r="L59" s="61"/>
    </row>
    <row r="60" ht="13.5" customHeight="1">
      <c r="A60" s="73"/>
      <c r="B60" s="73"/>
      <c r="C60" s="73"/>
      <c r="D60" s="61"/>
      <c r="E60" s="75"/>
      <c r="F60" s="69"/>
      <c r="G60" s="65"/>
      <c r="H60" s="61"/>
      <c r="I60" s="61"/>
      <c r="J60" s="61"/>
      <c r="K60" s="61"/>
      <c r="L60" s="61"/>
    </row>
    <row r="61" ht="13.5" customHeight="1">
      <c r="A61" s="73"/>
      <c r="B61" s="73"/>
      <c r="C61" s="73"/>
      <c r="D61" s="61"/>
      <c r="E61" s="75"/>
      <c r="F61" s="69"/>
      <c r="G61" s="65"/>
      <c r="H61" s="61"/>
      <c r="I61" s="61"/>
      <c r="J61" s="61"/>
      <c r="K61" s="61"/>
      <c r="L61" s="61"/>
    </row>
    <row r="62" ht="13.5" customHeight="1">
      <c r="A62" s="73"/>
      <c r="B62" s="73"/>
      <c r="C62" s="73"/>
      <c r="D62" s="61"/>
      <c r="E62" s="75"/>
      <c r="F62" s="69"/>
      <c r="G62" s="65"/>
      <c r="H62" s="61"/>
      <c r="I62" s="61"/>
      <c r="J62" s="61"/>
      <c r="K62" s="61"/>
      <c r="L62" s="61"/>
    </row>
    <row r="63" ht="13.5" customHeight="1">
      <c r="A63" s="73"/>
      <c r="B63" s="73"/>
      <c r="C63" s="73"/>
      <c r="D63" s="61"/>
      <c r="E63" s="75"/>
      <c r="F63" s="69"/>
      <c r="G63" s="65"/>
      <c r="H63" s="61"/>
      <c r="I63" s="61"/>
      <c r="J63" s="61"/>
      <c r="K63" s="61"/>
      <c r="L63" s="61"/>
    </row>
    <row r="64" ht="13.5" customHeight="1">
      <c r="A64" s="73"/>
      <c r="B64" s="73"/>
      <c r="C64" s="73"/>
      <c r="D64" s="61"/>
      <c r="E64" s="75"/>
      <c r="F64" s="69"/>
      <c r="G64" s="65"/>
      <c r="H64" s="61"/>
      <c r="I64" s="61"/>
      <c r="J64" s="61"/>
      <c r="K64" s="61"/>
      <c r="L64" s="61"/>
    </row>
    <row r="65" ht="13.5" customHeight="1">
      <c r="A65" s="73"/>
      <c r="B65" s="73"/>
      <c r="C65" s="73"/>
      <c r="D65" s="61"/>
      <c r="E65" s="75"/>
      <c r="F65" s="69"/>
      <c r="G65" s="65"/>
      <c r="H65" s="61"/>
      <c r="I65" s="61"/>
      <c r="J65" s="61"/>
      <c r="K65" s="61"/>
      <c r="L65" s="61"/>
    </row>
    <row r="66" ht="13.5" customHeight="1">
      <c r="A66" s="73"/>
      <c r="B66" s="73"/>
      <c r="C66" s="73"/>
      <c r="D66" s="61"/>
      <c r="E66" s="75"/>
      <c r="F66" s="69"/>
      <c r="G66" s="65"/>
      <c r="H66" s="61"/>
      <c r="I66" s="61"/>
      <c r="J66" s="61"/>
      <c r="K66" s="61"/>
      <c r="L66" s="61"/>
    </row>
    <row r="67" ht="13.5" customHeight="1">
      <c r="A67" s="73"/>
      <c r="B67" s="73"/>
      <c r="C67" s="73"/>
      <c r="D67" s="61"/>
      <c r="E67" s="75"/>
      <c r="F67" s="69"/>
      <c r="G67" s="65"/>
      <c r="H67" s="61"/>
      <c r="I67" s="61"/>
      <c r="J67" s="61"/>
      <c r="K67" s="61"/>
      <c r="L67" s="61"/>
    </row>
    <row r="68" ht="13.5" customHeight="1">
      <c r="A68" s="73"/>
      <c r="B68" s="73"/>
      <c r="C68" s="73"/>
      <c r="D68" s="61"/>
      <c r="E68" s="75"/>
      <c r="F68" s="69"/>
      <c r="G68" s="65"/>
      <c r="H68" s="61"/>
      <c r="I68" s="61"/>
      <c r="J68" s="61"/>
      <c r="K68" s="61"/>
      <c r="L68" s="61"/>
    </row>
    <row r="69" ht="13.5" customHeight="1">
      <c r="A69" s="73"/>
      <c r="B69" s="73"/>
      <c r="C69" s="73"/>
      <c r="D69" s="61"/>
      <c r="E69" s="75"/>
      <c r="F69" s="69"/>
      <c r="G69" s="65"/>
      <c r="H69" s="61"/>
      <c r="I69" s="61"/>
      <c r="J69" s="61"/>
      <c r="K69" s="61"/>
      <c r="L69" s="61"/>
    </row>
    <row r="70" ht="13.5" customHeight="1">
      <c r="A70" s="73"/>
      <c r="B70" s="73"/>
      <c r="C70" s="73"/>
      <c r="D70" s="61"/>
      <c r="E70" s="75"/>
      <c r="F70" s="69"/>
      <c r="G70" s="65"/>
      <c r="H70" s="61"/>
      <c r="I70" s="61"/>
      <c r="J70" s="61"/>
      <c r="K70" s="61"/>
      <c r="L70" s="61"/>
    </row>
    <row r="71" ht="13.5" customHeight="1">
      <c r="A71" s="73"/>
      <c r="B71" s="73"/>
      <c r="C71" s="73"/>
      <c r="D71" s="61"/>
      <c r="E71" s="75"/>
      <c r="F71" s="69"/>
      <c r="G71" s="65"/>
      <c r="H71" s="61"/>
      <c r="I71" s="61"/>
      <c r="J71" s="61"/>
      <c r="K71" s="61"/>
      <c r="L71" s="61"/>
    </row>
    <row r="72" ht="13.5" customHeight="1">
      <c r="A72" s="73"/>
      <c r="B72" s="73"/>
      <c r="C72" s="73"/>
      <c r="D72" s="61"/>
      <c r="E72" s="75"/>
      <c r="F72" s="69"/>
      <c r="G72" s="65"/>
      <c r="H72" s="61"/>
      <c r="I72" s="61"/>
      <c r="J72" s="61"/>
      <c r="K72" s="61"/>
      <c r="L72" s="61"/>
    </row>
    <row r="73" ht="13.5" customHeight="1">
      <c r="A73" s="73"/>
      <c r="B73" s="73"/>
      <c r="C73" s="73"/>
      <c r="D73" s="61"/>
      <c r="E73" s="75"/>
      <c r="F73" s="69"/>
      <c r="G73" s="65"/>
      <c r="H73" s="61"/>
      <c r="I73" s="61"/>
      <c r="J73" s="61"/>
      <c r="K73" s="61"/>
      <c r="L73" s="61"/>
    </row>
    <row r="74" ht="13.5" customHeight="1">
      <c r="A74" s="73"/>
      <c r="B74" s="73"/>
      <c r="C74" s="73"/>
      <c r="D74" s="61"/>
      <c r="E74" s="75"/>
      <c r="F74" s="69"/>
      <c r="G74" s="65"/>
      <c r="H74" s="61"/>
      <c r="I74" s="61"/>
      <c r="J74" s="61"/>
      <c r="K74" s="61"/>
      <c r="L74" s="61"/>
    </row>
    <row r="75" ht="13.5" customHeight="1">
      <c r="A75" s="73"/>
      <c r="B75" s="73"/>
      <c r="C75" s="73"/>
      <c r="D75" s="61"/>
      <c r="E75" s="75"/>
      <c r="F75" s="69"/>
      <c r="G75" s="65"/>
      <c r="H75" s="61"/>
      <c r="I75" s="61"/>
      <c r="J75" s="61"/>
      <c r="K75" s="61"/>
      <c r="L75" s="61"/>
    </row>
    <row r="76" ht="13.5" customHeight="1">
      <c r="A76" s="73"/>
      <c r="B76" s="73"/>
      <c r="C76" s="73"/>
      <c r="D76" s="61"/>
      <c r="E76" s="75"/>
      <c r="F76" s="69"/>
      <c r="G76" s="65"/>
      <c r="H76" s="61"/>
      <c r="I76" s="61"/>
      <c r="J76" s="61"/>
      <c r="K76" s="61"/>
      <c r="L76" s="61"/>
    </row>
    <row r="77" ht="13.5" customHeight="1">
      <c r="A77" s="78"/>
      <c r="B77" s="78"/>
      <c r="C77" s="78"/>
      <c r="D77" s="61"/>
      <c r="E77" s="75"/>
      <c r="F77" s="69"/>
      <c r="G77" s="65"/>
      <c r="H77" s="61"/>
      <c r="I77" s="61"/>
      <c r="J77" s="61"/>
      <c r="K77" s="61"/>
      <c r="L77" s="61"/>
    </row>
    <row r="78" ht="13.5" customHeight="1">
      <c r="A78" s="61"/>
      <c r="B78" s="61"/>
      <c r="C78" s="61"/>
      <c r="D78" s="61"/>
      <c r="E78" s="75"/>
      <c r="F78" s="69"/>
      <c r="G78" s="65"/>
      <c r="H78" s="61"/>
      <c r="I78" s="61"/>
      <c r="J78" s="61"/>
      <c r="K78" s="61"/>
      <c r="L78" s="61"/>
    </row>
    <row r="79" ht="13.5" customHeight="1">
      <c r="A79" s="61"/>
      <c r="B79" s="61"/>
      <c r="C79" s="61"/>
      <c r="D79" s="61"/>
      <c r="E79" s="75"/>
      <c r="F79" s="69"/>
      <c r="G79" s="65"/>
      <c r="H79" s="61"/>
      <c r="I79" s="61"/>
      <c r="J79" s="61"/>
      <c r="K79" s="61"/>
      <c r="L79" s="61"/>
    </row>
    <row r="80" ht="13.5" customHeight="1">
      <c r="A80" s="61"/>
      <c r="B80" s="61"/>
      <c r="C80" s="61"/>
      <c r="D80" s="61"/>
      <c r="E80" s="75"/>
      <c r="F80" s="69"/>
      <c r="G80" s="65"/>
      <c r="H80" s="61"/>
      <c r="I80" s="61"/>
      <c r="J80" s="61"/>
      <c r="K80" s="61"/>
      <c r="L80" s="61"/>
    </row>
    <row r="81" ht="13.5" customHeight="1">
      <c r="A81" s="61"/>
      <c r="B81" s="61"/>
      <c r="C81" s="61"/>
      <c r="D81" s="61"/>
      <c r="E81" s="75"/>
      <c r="F81" s="69"/>
      <c r="G81" s="65"/>
      <c r="H81" s="61"/>
      <c r="I81" s="61"/>
      <c r="J81" s="61"/>
      <c r="K81" s="61"/>
      <c r="L81" s="61"/>
    </row>
    <row r="82" ht="13.5" customHeight="1">
      <c r="A82" s="61"/>
      <c r="B82" s="61"/>
      <c r="C82" s="61"/>
      <c r="D82" s="61"/>
      <c r="E82" s="75"/>
      <c r="F82" s="69"/>
      <c r="G82" s="65"/>
      <c r="H82" s="61"/>
      <c r="I82" s="61"/>
      <c r="J82" s="61"/>
      <c r="K82" s="61"/>
      <c r="L82" s="61"/>
    </row>
    <row r="83" ht="13.5" customHeight="1">
      <c r="A83" s="61"/>
      <c r="B83" s="61"/>
      <c r="C83" s="61"/>
      <c r="D83" s="61"/>
      <c r="E83" s="75"/>
      <c r="F83" s="69"/>
      <c r="G83" s="65"/>
      <c r="H83" s="61"/>
      <c r="I83" s="61"/>
      <c r="J83" s="61"/>
      <c r="K83" s="61"/>
      <c r="L83" s="61"/>
    </row>
    <row r="84" ht="13.5" customHeight="1">
      <c r="A84" s="61"/>
      <c r="B84" s="61"/>
      <c r="C84" s="61"/>
      <c r="D84" s="61"/>
      <c r="E84" s="75"/>
      <c r="F84" s="69"/>
      <c r="G84" s="65"/>
      <c r="H84" s="61"/>
      <c r="I84" s="61"/>
      <c r="J84" s="61"/>
      <c r="K84" s="61"/>
      <c r="L84" s="61"/>
    </row>
    <row r="85" ht="13.5" customHeight="1">
      <c r="A85" s="61"/>
      <c r="B85" s="61"/>
      <c r="C85" s="61"/>
      <c r="D85" s="61"/>
      <c r="E85" s="75"/>
      <c r="F85" s="69"/>
      <c r="G85" s="65"/>
      <c r="H85" s="61"/>
      <c r="I85" s="61"/>
      <c r="J85" s="61"/>
      <c r="K85" s="61"/>
      <c r="L85" s="61"/>
    </row>
    <row r="86" ht="13.5" customHeight="1">
      <c r="A86" s="61"/>
      <c r="B86" s="61"/>
      <c r="C86" s="61"/>
      <c r="D86" s="61"/>
      <c r="E86" s="75"/>
      <c r="F86" s="69"/>
      <c r="G86" s="65"/>
      <c r="H86" s="61"/>
      <c r="I86" s="61"/>
      <c r="J86" s="61"/>
      <c r="K86" s="61"/>
      <c r="L86" s="61"/>
    </row>
    <row r="87" ht="13.5" customHeight="1">
      <c r="A87" s="61"/>
      <c r="B87" s="61"/>
      <c r="C87" s="61"/>
      <c r="D87" s="61"/>
      <c r="E87" s="75"/>
      <c r="F87" s="69"/>
      <c r="G87" s="65"/>
      <c r="H87" s="61"/>
      <c r="I87" s="61"/>
      <c r="J87" s="61"/>
      <c r="K87" s="61"/>
      <c r="L87" s="61"/>
    </row>
    <row r="88" ht="13.5" customHeight="1">
      <c r="A88" s="61"/>
      <c r="B88" s="61"/>
      <c r="C88" s="61"/>
      <c r="D88" s="61"/>
      <c r="E88" s="75"/>
      <c r="F88" s="69"/>
      <c r="G88" s="65"/>
      <c r="H88" s="61"/>
      <c r="I88" s="61"/>
      <c r="J88" s="61"/>
      <c r="K88" s="61"/>
      <c r="L88" s="61"/>
    </row>
    <row r="89" ht="13.5" customHeight="1">
      <c r="A89" s="61"/>
      <c r="B89" s="61"/>
      <c r="C89" s="61"/>
      <c r="D89" s="61"/>
      <c r="E89" s="75"/>
      <c r="F89" s="69"/>
      <c r="G89" s="65"/>
      <c r="H89" s="61"/>
      <c r="I89" s="61"/>
      <c r="J89" s="61"/>
      <c r="K89" s="61"/>
      <c r="L89" s="61"/>
    </row>
    <row r="90" ht="13.5" customHeight="1">
      <c r="A90" s="61"/>
      <c r="B90" s="61"/>
      <c r="C90" s="61"/>
      <c r="D90" s="61"/>
      <c r="E90" s="75"/>
      <c r="F90" s="69"/>
      <c r="G90" s="65"/>
      <c r="H90" s="61"/>
      <c r="I90" s="61"/>
      <c r="J90" s="61"/>
      <c r="K90" s="61"/>
      <c r="L90" s="61"/>
    </row>
    <row r="91" ht="13.5" customHeight="1">
      <c r="A91" s="61"/>
      <c r="B91" s="61"/>
      <c r="C91" s="61"/>
      <c r="D91" s="61"/>
      <c r="E91" s="75"/>
      <c r="F91" s="69"/>
      <c r="G91" s="65"/>
      <c r="H91" s="61"/>
      <c r="I91" s="61"/>
      <c r="J91" s="61"/>
      <c r="K91" s="61"/>
      <c r="L91" s="61"/>
    </row>
    <row r="92" ht="13.5" customHeight="1">
      <c r="A92" s="61"/>
      <c r="B92" s="61"/>
      <c r="C92" s="61"/>
      <c r="D92" s="61"/>
      <c r="E92" s="75"/>
      <c r="F92" s="69"/>
      <c r="G92" s="65"/>
      <c r="H92" s="61"/>
      <c r="I92" s="61"/>
      <c r="J92" s="61"/>
      <c r="K92" s="61"/>
      <c r="L92" s="61"/>
    </row>
    <row r="93" ht="13.5" customHeight="1">
      <c r="A93" s="61"/>
      <c r="B93" s="61"/>
      <c r="C93" s="61"/>
      <c r="D93" s="61"/>
      <c r="E93" s="75"/>
      <c r="F93" s="69"/>
      <c r="G93" s="65"/>
      <c r="H93" s="61"/>
      <c r="I93" s="61"/>
      <c r="J93" s="61"/>
      <c r="K93" s="61"/>
      <c r="L93" s="61"/>
    </row>
    <row r="94" ht="13.5" customHeight="1">
      <c r="A94" s="61"/>
      <c r="B94" s="61"/>
      <c r="C94" s="61"/>
      <c r="D94" s="61"/>
      <c r="E94" s="75"/>
      <c r="F94" s="69"/>
      <c r="G94" s="65"/>
      <c r="H94" s="61"/>
      <c r="I94" s="61"/>
      <c r="J94" s="61"/>
      <c r="K94" s="61"/>
      <c r="L94" s="61"/>
    </row>
    <row r="95" ht="13.5" customHeight="1">
      <c r="A95" s="61"/>
      <c r="B95" s="61"/>
      <c r="C95" s="61"/>
      <c r="D95" s="61"/>
      <c r="E95" s="75"/>
      <c r="F95" s="69"/>
      <c r="G95" s="65"/>
      <c r="H95" s="61"/>
      <c r="I95" s="61"/>
      <c r="J95" s="61"/>
      <c r="K95" s="61"/>
      <c r="L95" s="61"/>
    </row>
    <row r="96" ht="13.5" customHeight="1">
      <c r="A96" s="61"/>
      <c r="B96" s="61"/>
      <c r="C96" s="61"/>
      <c r="D96" s="61"/>
      <c r="E96" s="75"/>
      <c r="F96" s="69"/>
      <c r="G96" s="65"/>
      <c r="H96" s="61"/>
      <c r="I96" s="61"/>
      <c r="J96" s="61"/>
      <c r="K96" s="61"/>
      <c r="L96" s="61"/>
    </row>
    <row r="97" ht="13.5" customHeight="1">
      <c r="A97" s="61"/>
      <c r="B97" s="61"/>
      <c r="C97" s="61"/>
      <c r="D97" s="61"/>
      <c r="E97" s="75"/>
      <c r="F97" s="69"/>
      <c r="G97" s="65"/>
      <c r="H97" s="61"/>
      <c r="I97" s="61"/>
      <c r="J97" s="61"/>
      <c r="K97" s="61"/>
      <c r="L97" s="61"/>
    </row>
    <row r="98" ht="13.5" customHeight="1">
      <c r="A98" s="61"/>
      <c r="B98" s="61"/>
      <c r="C98" s="61"/>
      <c r="D98" s="61"/>
      <c r="E98" s="75"/>
      <c r="F98" s="69"/>
      <c r="G98" s="65"/>
      <c r="H98" s="61"/>
      <c r="I98" s="61"/>
      <c r="J98" s="61"/>
      <c r="K98" s="61"/>
      <c r="L98" s="61"/>
    </row>
    <row r="99" ht="13.5" customHeight="1">
      <c r="A99" s="61"/>
      <c r="B99" s="61"/>
      <c r="C99" s="61"/>
      <c r="D99" s="61"/>
      <c r="E99" s="75"/>
      <c r="F99" s="69"/>
      <c r="G99" s="65"/>
      <c r="H99" s="61"/>
      <c r="I99" s="61"/>
      <c r="J99" s="61"/>
      <c r="K99" s="61"/>
      <c r="L99" s="61"/>
    </row>
    <row r="100" ht="13.5" customHeight="1">
      <c r="A100" s="61"/>
      <c r="B100" s="61"/>
      <c r="C100" s="61"/>
      <c r="D100" s="61"/>
      <c r="E100" s="75"/>
      <c r="F100" s="69"/>
      <c r="G100" s="65"/>
      <c r="H100" s="61"/>
      <c r="I100" s="61"/>
      <c r="J100" s="61"/>
      <c r="K100" s="61"/>
      <c r="L100" s="61"/>
    </row>
    <row r="101" ht="13.5" customHeight="1">
      <c r="A101" s="61"/>
      <c r="B101" s="61"/>
      <c r="C101" s="61"/>
      <c r="D101" s="61"/>
      <c r="E101" s="75"/>
      <c r="F101" s="69"/>
      <c r="G101" s="65"/>
      <c r="H101" s="61"/>
      <c r="I101" s="61"/>
      <c r="J101" s="61"/>
      <c r="K101" s="61"/>
      <c r="L101" s="61"/>
    </row>
    <row r="102" ht="13.5" customHeight="1">
      <c r="A102" s="61"/>
      <c r="B102" s="61"/>
      <c r="C102" s="61"/>
      <c r="D102" s="61"/>
      <c r="E102" s="75"/>
      <c r="F102" s="69"/>
      <c r="G102" s="65"/>
      <c r="H102" s="61"/>
      <c r="I102" s="61"/>
      <c r="J102" s="61"/>
      <c r="K102" s="61"/>
      <c r="L102" s="61"/>
    </row>
    <row r="103" ht="13.5" customHeight="1">
      <c r="A103" s="61"/>
      <c r="B103" s="61"/>
      <c r="C103" s="61"/>
      <c r="D103" s="61"/>
      <c r="E103" s="75"/>
      <c r="F103" s="69"/>
      <c r="G103" s="65"/>
      <c r="H103" s="61"/>
      <c r="I103" s="61"/>
      <c r="J103" s="61"/>
      <c r="K103" s="61"/>
      <c r="L103" s="61"/>
    </row>
    <row r="104" ht="13.5" customHeight="1">
      <c r="A104" s="61"/>
      <c r="B104" s="61"/>
      <c r="C104" s="61"/>
      <c r="D104" s="61"/>
      <c r="E104" s="75"/>
      <c r="F104" s="69"/>
      <c r="G104" s="65"/>
      <c r="H104" s="61"/>
      <c r="I104" s="61"/>
      <c r="J104" s="61"/>
      <c r="K104" s="61"/>
      <c r="L104" s="61"/>
    </row>
    <row r="105" ht="13.5" customHeight="1">
      <c r="A105" s="61"/>
      <c r="B105" s="61"/>
      <c r="C105" s="61"/>
      <c r="D105" s="61"/>
      <c r="E105" s="75"/>
      <c r="F105" s="69"/>
      <c r="G105" s="65"/>
      <c r="H105" s="61"/>
      <c r="I105" s="61"/>
      <c r="J105" s="61"/>
      <c r="K105" s="61"/>
      <c r="L105" s="61"/>
    </row>
    <row r="106" ht="13.5" customHeight="1">
      <c r="A106" s="61"/>
      <c r="B106" s="61"/>
      <c r="C106" s="61"/>
      <c r="D106" s="61"/>
      <c r="E106" s="75"/>
      <c r="F106" s="69"/>
      <c r="G106" s="65"/>
      <c r="H106" s="61"/>
      <c r="I106" s="61"/>
      <c r="J106" s="61"/>
      <c r="K106" s="61"/>
      <c r="L106" s="61"/>
    </row>
    <row r="107" ht="13.5" customHeight="1">
      <c r="A107" s="61"/>
      <c r="B107" s="61"/>
      <c r="C107" s="61"/>
      <c r="D107" s="61"/>
      <c r="E107" s="75"/>
      <c r="F107" s="69"/>
      <c r="G107" s="65"/>
      <c r="H107" s="61"/>
      <c r="I107" s="61"/>
      <c r="J107" s="61"/>
      <c r="K107" s="61"/>
      <c r="L107" s="61"/>
    </row>
    <row r="108" ht="13.5" customHeight="1">
      <c r="A108" s="61"/>
      <c r="B108" s="61"/>
      <c r="C108" s="61"/>
      <c r="D108" s="61"/>
      <c r="E108" s="75"/>
      <c r="F108" s="69"/>
      <c r="G108" s="65"/>
      <c r="H108" s="61"/>
      <c r="I108" s="61"/>
      <c r="J108" s="61"/>
      <c r="K108" s="61"/>
      <c r="L108" s="61"/>
    </row>
    <row r="109" ht="13.5" customHeight="1">
      <c r="A109" s="61"/>
      <c r="B109" s="61"/>
      <c r="C109" s="61"/>
      <c r="D109" s="61"/>
      <c r="E109" s="75"/>
      <c r="F109" s="69"/>
      <c r="G109" s="65"/>
      <c r="H109" s="61"/>
      <c r="I109" s="61"/>
      <c r="J109" s="61"/>
      <c r="K109" s="61"/>
      <c r="L109" s="61"/>
    </row>
    <row r="110" ht="13.5" customHeight="1">
      <c r="A110" s="61"/>
      <c r="B110" s="61"/>
      <c r="C110" s="61"/>
      <c r="D110" s="61"/>
      <c r="E110" s="75"/>
      <c r="F110" s="69"/>
      <c r="G110" s="65"/>
      <c r="H110" s="61"/>
      <c r="I110" s="61"/>
      <c r="J110" s="61"/>
      <c r="K110" s="61"/>
      <c r="L110" s="61"/>
    </row>
    <row r="111" ht="13.5" customHeight="1">
      <c r="A111" s="61"/>
      <c r="B111" s="61"/>
      <c r="C111" s="61"/>
      <c r="D111" s="61"/>
      <c r="E111" s="75"/>
      <c r="F111" s="69"/>
      <c r="G111" s="65"/>
      <c r="H111" s="61"/>
      <c r="I111" s="61"/>
      <c r="J111" s="61"/>
      <c r="K111" s="61"/>
      <c r="L111" s="61"/>
    </row>
    <row r="112" ht="13.5" customHeight="1">
      <c r="A112" s="61"/>
      <c r="B112" s="61"/>
      <c r="C112" s="61"/>
      <c r="D112" s="61"/>
      <c r="E112" s="75"/>
      <c r="F112" s="69"/>
      <c r="G112" s="65"/>
      <c r="H112" s="61"/>
      <c r="I112" s="61"/>
      <c r="J112" s="61"/>
      <c r="K112" s="61"/>
      <c r="L112" s="61"/>
    </row>
    <row r="113" ht="13.5" customHeight="1">
      <c r="A113" s="61"/>
      <c r="B113" s="61"/>
      <c r="C113" s="61"/>
      <c r="D113" s="61"/>
      <c r="E113" s="75"/>
      <c r="F113" s="69"/>
      <c r="G113" s="65"/>
      <c r="H113" s="61"/>
      <c r="I113" s="61"/>
      <c r="J113" s="61"/>
      <c r="K113" s="61"/>
      <c r="L113" s="61"/>
    </row>
    <row r="114" ht="13.5" customHeight="1">
      <c r="A114" s="61"/>
      <c r="B114" s="61"/>
      <c r="C114" s="61"/>
      <c r="D114" s="61"/>
      <c r="E114" s="75"/>
      <c r="F114" s="69"/>
      <c r="G114" s="65"/>
      <c r="H114" s="61"/>
      <c r="I114" s="61"/>
      <c r="J114" s="61"/>
      <c r="K114" s="61"/>
      <c r="L114" s="61"/>
    </row>
    <row r="115" ht="13.5" customHeight="1">
      <c r="A115" s="61"/>
      <c r="B115" s="61"/>
      <c r="C115" s="61"/>
      <c r="D115" s="61"/>
      <c r="E115" s="75"/>
      <c r="F115" s="69"/>
      <c r="G115" s="65"/>
      <c r="H115" s="61"/>
      <c r="I115" s="61"/>
      <c r="J115" s="61"/>
      <c r="K115" s="61"/>
      <c r="L115" s="61"/>
    </row>
    <row r="116" ht="13.5" customHeight="1">
      <c r="A116" s="61"/>
      <c r="B116" s="61"/>
      <c r="C116" s="61"/>
      <c r="D116" s="61"/>
      <c r="E116" s="75"/>
      <c r="F116" s="69"/>
      <c r="G116" s="65"/>
      <c r="H116" s="61"/>
      <c r="I116" s="61"/>
      <c r="J116" s="61"/>
      <c r="K116" s="61"/>
      <c r="L116" s="61"/>
    </row>
    <row r="117" ht="13.5" customHeight="1">
      <c r="A117" s="61"/>
      <c r="B117" s="61"/>
      <c r="C117" s="61"/>
      <c r="D117" s="61"/>
      <c r="E117" s="75"/>
      <c r="F117" s="69"/>
      <c r="G117" s="65"/>
      <c r="H117" s="61"/>
      <c r="I117" s="61"/>
      <c r="J117" s="61"/>
      <c r="K117" s="61"/>
      <c r="L117" s="61"/>
    </row>
    <row r="118" ht="13.5" customHeight="1">
      <c r="A118" s="61"/>
      <c r="B118" s="61"/>
      <c r="C118" s="61"/>
      <c r="D118" s="61"/>
      <c r="E118" s="75"/>
      <c r="F118" s="69"/>
      <c r="G118" s="65"/>
      <c r="H118" s="61"/>
      <c r="I118" s="61"/>
      <c r="J118" s="61"/>
      <c r="K118" s="61"/>
      <c r="L118" s="61"/>
    </row>
    <row r="119" ht="13.5" customHeight="1">
      <c r="A119" s="61"/>
      <c r="B119" s="61"/>
      <c r="C119" s="61"/>
      <c r="D119" s="61"/>
      <c r="E119" s="75"/>
      <c r="F119" s="69"/>
      <c r="G119" s="65"/>
      <c r="H119" s="61"/>
      <c r="I119" s="61"/>
      <c r="J119" s="61"/>
      <c r="K119" s="61"/>
      <c r="L119" s="61"/>
    </row>
    <row r="120" ht="13.5" customHeight="1">
      <c r="A120" s="61"/>
      <c r="B120" s="61"/>
      <c r="C120" s="61"/>
      <c r="D120" s="61"/>
      <c r="E120" s="75"/>
      <c r="F120" s="69"/>
      <c r="G120" s="65"/>
      <c r="H120" s="61"/>
      <c r="I120" s="61"/>
      <c r="J120" s="61"/>
      <c r="K120" s="61"/>
      <c r="L120" s="61"/>
    </row>
    <row r="121" ht="13.5" customHeight="1">
      <c r="A121" s="61"/>
      <c r="B121" s="61"/>
      <c r="C121" s="61"/>
      <c r="D121" s="61"/>
      <c r="E121" s="75"/>
      <c r="F121" s="69"/>
      <c r="G121" s="65"/>
      <c r="H121" s="61"/>
      <c r="I121" s="61"/>
      <c r="J121" s="61"/>
      <c r="K121" s="61"/>
      <c r="L121" s="61"/>
    </row>
    <row r="122" ht="13.5" customHeight="1">
      <c r="A122" s="61"/>
      <c r="B122" s="61"/>
      <c r="C122" s="61"/>
      <c r="D122" s="61"/>
      <c r="E122" s="75"/>
      <c r="F122" s="69"/>
      <c r="G122" s="65"/>
      <c r="H122" s="61"/>
      <c r="I122" s="61"/>
      <c r="J122" s="61"/>
      <c r="K122" s="61"/>
      <c r="L122" s="61"/>
    </row>
    <row r="123" ht="13.5" customHeight="1">
      <c r="A123" s="61"/>
      <c r="B123" s="61"/>
      <c r="C123" s="61"/>
      <c r="D123" s="61"/>
      <c r="E123" s="75"/>
      <c r="F123" s="69"/>
      <c r="G123" s="65"/>
      <c r="H123" s="61"/>
      <c r="I123" s="61"/>
      <c r="J123" s="61"/>
      <c r="K123" s="61"/>
      <c r="L123" s="61"/>
    </row>
    <row r="124" ht="13.5" customHeight="1">
      <c r="A124" s="61"/>
      <c r="B124" s="61"/>
      <c r="C124" s="61"/>
      <c r="D124" s="61"/>
      <c r="E124" s="75"/>
      <c r="F124" s="69"/>
      <c r="G124" s="65"/>
      <c r="H124" s="61"/>
      <c r="I124" s="61"/>
      <c r="J124" s="61"/>
      <c r="K124" s="61"/>
      <c r="L124" s="61"/>
    </row>
    <row r="125" ht="13.5" customHeight="1">
      <c r="A125" s="61"/>
      <c r="B125" s="61"/>
      <c r="C125" s="61"/>
      <c r="D125" s="61"/>
      <c r="E125" s="75"/>
      <c r="F125" s="69"/>
      <c r="G125" s="65"/>
      <c r="H125" s="61"/>
      <c r="I125" s="61"/>
      <c r="J125" s="61"/>
      <c r="K125" s="61"/>
      <c r="L125" s="61"/>
    </row>
    <row r="126" ht="13.5" customHeight="1">
      <c r="A126" s="61"/>
      <c r="B126" s="61"/>
      <c r="C126" s="61"/>
      <c r="D126" s="61"/>
      <c r="E126" s="75"/>
      <c r="F126" s="69"/>
      <c r="G126" s="65"/>
      <c r="H126" s="61"/>
      <c r="I126" s="61"/>
      <c r="J126" s="61"/>
      <c r="K126" s="61"/>
      <c r="L126" s="61"/>
    </row>
    <row r="127" ht="13.5" customHeight="1">
      <c r="A127" s="61"/>
      <c r="B127" s="61"/>
      <c r="C127" s="61"/>
      <c r="D127" s="61"/>
      <c r="E127" s="75"/>
      <c r="F127" s="69"/>
      <c r="G127" s="65"/>
      <c r="H127" s="61"/>
      <c r="I127" s="61"/>
      <c r="J127" s="61"/>
      <c r="K127" s="61"/>
      <c r="L127" s="61"/>
    </row>
    <row r="128" ht="13.5" customHeight="1">
      <c r="A128" s="61"/>
      <c r="B128" s="61"/>
      <c r="C128" s="61"/>
      <c r="D128" s="61"/>
      <c r="E128" s="75"/>
      <c r="F128" s="69"/>
      <c r="G128" s="65"/>
      <c r="H128" s="61"/>
      <c r="I128" s="61"/>
      <c r="J128" s="61"/>
      <c r="K128" s="61"/>
      <c r="L128" s="61"/>
    </row>
    <row r="129" ht="13.5" customHeight="1">
      <c r="A129" s="61"/>
      <c r="B129" s="61"/>
      <c r="C129" s="61"/>
      <c r="D129" s="61"/>
      <c r="E129" s="75"/>
      <c r="F129" s="69"/>
      <c r="G129" s="65"/>
      <c r="H129" s="61"/>
      <c r="I129" s="61"/>
      <c r="J129" s="61"/>
      <c r="K129" s="61"/>
      <c r="L129" s="61"/>
    </row>
    <row r="130" ht="13.5" customHeight="1">
      <c r="A130" s="61"/>
      <c r="B130" s="61"/>
      <c r="C130" s="61"/>
      <c r="D130" s="61"/>
      <c r="E130" s="75"/>
      <c r="F130" s="69"/>
      <c r="G130" s="65"/>
      <c r="H130" s="61"/>
      <c r="I130" s="61"/>
      <c r="J130" s="61"/>
      <c r="K130" s="61"/>
      <c r="L130" s="61"/>
    </row>
    <row r="131" ht="13.5" customHeight="1">
      <c r="A131" s="61"/>
      <c r="B131" s="61"/>
      <c r="C131" s="61"/>
      <c r="D131" s="61"/>
      <c r="E131" s="75"/>
      <c r="F131" s="69"/>
      <c r="G131" s="65"/>
      <c r="H131" s="61"/>
      <c r="I131" s="61"/>
      <c r="J131" s="61"/>
      <c r="K131" s="61"/>
      <c r="L131" s="61"/>
    </row>
    <row r="132" ht="13.5" customHeight="1">
      <c r="A132" s="61"/>
      <c r="B132" s="61"/>
      <c r="C132" s="61"/>
      <c r="D132" s="61"/>
      <c r="E132" s="75"/>
      <c r="F132" s="69"/>
      <c r="G132" s="65"/>
      <c r="H132" s="61"/>
      <c r="I132" s="61"/>
      <c r="J132" s="61"/>
      <c r="K132" s="61"/>
      <c r="L132" s="61"/>
    </row>
    <row r="133" ht="13.5" customHeight="1">
      <c r="A133" s="61"/>
      <c r="B133" s="61"/>
      <c r="C133" s="61"/>
      <c r="D133" s="61"/>
      <c r="E133" s="75"/>
      <c r="F133" s="69"/>
      <c r="G133" s="65"/>
      <c r="H133" s="61"/>
      <c r="I133" s="61"/>
      <c r="J133" s="61"/>
      <c r="K133" s="61"/>
      <c r="L133" s="61"/>
    </row>
    <row r="134" ht="13.5" customHeight="1">
      <c r="A134" s="61"/>
      <c r="B134" s="61"/>
      <c r="C134" s="61"/>
      <c r="D134" s="61"/>
      <c r="E134" s="75"/>
      <c r="F134" s="69"/>
      <c r="G134" s="65"/>
      <c r="H134" s="61"/>
      <c r="I134" s="61"/>
      <c r="J134" s="61"/>
      <c r="K134" s="61"/>
      <c r="L134" s="61"/>
    </row>
    <row r="135" ht="13.5" customHeight="1">
      <c r="A135" s="61"/>
      <c r="B135" s="61"/>
      <c r="C135" s="61"/>
      <c r="D135" s="61"/>
      <c r="E135" s="75"/>
      <c r="F135" s="69"/>
      <c r="G135" s="65"/>
      <c r="H135" s="61"/>
      <c r="I135" s="61"/>
      <c r="J135" s="61"/>
      <c r="K135" s="61"/>
      <c r="L135" s="61"/>
    </row>
    <row r="136" ht="13.5" customHeight="1">
      <c r="A136" s="61"/>
      <c r="B136" s="61"/>
      <c r="C136" s="61"/>
      <c r="D136" s="61"/>
      <c r="E136" s="75"/>
      <c r="F136" s="69"/>
      <c r="G136" s="65"/>
      <c r="H136" s="61"/>
      <c r="I136" s="61"/>
      <c r="J136" s="61"/>
      <c r="K136" s="61"/>
      <c r="L136" s="61"/>
    </row>
    <row r="137" ht="13.5" customHeight="1">
      <c r="A137" s="61"/>
      <c r="B137" s="61"/>
      <c r="C137" s="61"/>
      <c r="D137" s="61"/>
      <c r="E137" s="75"/>
      <c r="F137" s="69"/>
      <c r="G137" s="65"/>
      <c r="H137" s="61"/>
      <c r="I137" s="61"/>
      <c r="J137" s="61"/>
      <c r="K137" s="61"/>
      <c r="L137" s="61"/>
    </row>
    <row r="138" ht="13.5" customHeight="1">
      <c r="A138" s="61"/>
      <c r="B138" s="61"/>
      <c r="C138" s="61"/>
      <c r="D138" s="61"/>
      <c r="E138" s="75"/>
      <c r="F138" s="69"/>
      <c r="G138" s="65"/>
      <c r="H138" s="61"/>
      <c r="I138" s="61"/>
      <c r="J138" s="61"/>
      <c r="K138" s="61"/>
      <c r="L138" s="61"/>
    </row>
    <row r="139" ht="13.5" customHeight="1">
      <c r="A139" s="61"/>
      <c r="B139" s="61"/>
      <c r="C139" s="61"/>
      <c r="D139" s="61"/>
      <c r="E139" s="75"/>
      <c r="F139" s="69"/>
      <c r="G139" s="65"/>
      <c r="H139" s="61"/>
      <c r="I139" s="61"/>
      <c r="J139" s="61"/>
      <c r="K139" s="61"/>
      <c r="L139" s="61"/>
    </row>
    <row r="140" ht="13.5" customHeight="1">
      <c r="A140" s="61"/>
      <c r="B140" s="61"/>
      <c r="C140" s="61"/>
      <c r="D140" s="61"/>
      <c r="E140" s="75"/>
      <c r="F140" s="69"/>
      <c r="G140" s="65"/>
      <c r="H140" s="61"/>
      <c r="I140" s="61"/>
      <c r="J140" s="61"/>
      <c r="K140" s="61"/>
      <c r="L140" s="61"/>
    </row>
    <row r="141" ht="13.5" customHeight="1">
      <c r="A141" s="61"/>
      <c r="B141" s="61"/>
      <c r="C141" s="61"/>
      <c r="D141" s="61"/>
      <c r="E141" s="75"/>
      <c r="F141" s="69"/>
      <c r="G141" s="65"/>
      <c r="H141" s="61"/>
      <c r="I141" s="61"/>
      <c r="J141" s="61"/>
      <c r="K141" s="61"/>
      <c r="L141" s="61"/>
    </row>
    <row r="142" ht="13.5" customHeight="1">
      <c r="A142" s="61"/>
      <c r="B142" s="61"/>
      <c r="C142" s="61"/>
      <c r="D142" s="61"/>
      <c r="E142" s="75"/>
      <c r="F142" s="69"/>
      <c r="G142" s="65"/>
      <c r="H142" s="61"/>
      <c r="I142" s="61"/>
      <c r="J142" s="61"/>
      <c r="K142" s="61"/>
      <c r="L142" s="61"/>
    </row>
    <row r="143" ht="13.5" customHeight="1">
      <c r="A143" s="61"/>
      <c r="B143" s="61"/>
      <c r="C143" s="61"/>
      <c r="D143" s="61"/>
      <c r="E143" s="75"/>
      <c r="F143" s="69"/>
      <c r="G143" s="65"/>
      <c r="H143" s="61"/>
      <c r="I143" s="61"/>
      <c r="J143" s="61"/>
      <c r="K143" s="61"/>
      <c r="L143" s="61"/>
    </row>
    <row r="144" ht="13.5" customHeight="1">
      <c r="A144" s="61"/>
      <c r="B144" s="61"/>
      <c r="C144" s="61"/>
      <c r="D144" s="61"/>
      <c r="E144" s="75"/>
      <c r="F144" s="69"/>
      <c r="G144" s="65"/>
      <c r="H144" s="61"/>
      <c r="I144" s="61"/>
      <c r="J144" s="61"/>
      <c r="K144" s="61"/>
      <c r="L144" s="61"/>
    </row>
    <row r="145" ht="13.5" customHeight="1">
      <c r="A145" s="61"/>
      <c r="B145" s="61"/>
      <c r="C145" s="61"/>
      <c r="D145" s="61"/>
      <c r="E145" s="75"/>
      <c r="F145" s="69"/>
      <c r="G145" s="65"/>
      <c r="H145" s="61"/>
      <c r="I145" s="61"/>
      <c r="J145" s="61"/>
      <c r="K145" s="61"/>
      <c r="L145" s="61"/>
    </row>
    <row r="146" ht="13.5" customHeight="1">
      <c r="A146" s="61"/>
      <c r="B146" s="61"/>
      <c r="C146" s="61"/>
      <c r="D146" s="61"/>
      <c r="E146" s="75"/>
      <c r="F146" s="69"/>
      <c r="G146" s="65"/>
      <c r="H146" s="61"/>
      <c r="I146" s="61"/>
      <c r="J146" s="61"/>
      <c r="K146" s="61"/>
      <c r="L146" s="61"/>
    </row>
    <row r="147" ht="13.5" customHeight="1">
      <c r="A147" s="61"/>
      <c r="B147" s="61"/>
      <c r="C147" s="61"/>
      <c r="D147" s="61"/>
      <c r="E147" s="75"/>
      <c r="F147" s="69"/>
      <c r="G147" s="65"/>
      <c r="H147" s="61"/>
      <c r="I147" s="61"/>
      <c r="J147" s="61"/>
      <c r="K147" s="61"/>
      <c r="L147" s="61"/>
    </row>
    <row r="148" ht="13.5" customHeight="1">
      <c r="A148" s="61"/>
      <c r="B148" s="61"/>
      <c r="C148" s="61"/>
      <c r="D148" s="61"/>
      <c r="E148" s="75"/>
      <c r="F148" s="69"/>
      <c r="G148" s="65"/>
      <c r="H148" s="61"/>
      <c r="I148" s="61"/>
      <c r="J148" s="61"/>
      <c r="K148" s="61"/>
      <c r="L148" s="61"/>
    </row>
    <row r="149" ht="13.5" customHeight="1">
      <c r="A149" s="61"/>
      <c r="B149" s="61"/>
      <c r="C149" s="61"/>
      <c r="D149" s="61"/>
      <c r="E149" s="75"/>
      <c r="F149" s="69"/>
      <c r="G149" s="65"/>
      <c r="H149" s="61"/>
      <c r="I149" s="61"/>
      <c r="J149" s="61"/>
      <c r="K149" s="61"/>
      <c r="L149" s="61"/>
    </row>
    <row r="150" ht="13.5" customHeight="1">
      <c r="A150" s="61"/>
      <c r="B150" s="61"/>
      <c r="C150" s="61"/>
      <c r="D150" s="61"/>
      <c r="E150" s="75"/>
      <c r="F150" s="69"/>
      <c r="G150" s="65"/>
      <c r="H150" s="61"/>
      <c r="I150" s="61"/>
      <c r="J150" s="61"/>
      <c r="K150" s="61"/>
      <c r="L150" s="61"/>
    </row>
    <row r="151" ht="13.5" customHeight="1">
      <c r="E151" s="51"/>
      <c r="F151" s="69"/>
      <c r="G151" s="65"/>
      <c r="H151" s="61"/>
      <c r="I151" s="61"/>
      <c r="L151" s="61"/>
    </row>
    <row r="152" ht="13.5" customHeight="1">
      <c r="E152" s="51"/>
      <c r="F152" s="12"/>
      <c r="G152" s="74"/>
    </row>
    <row r="153" ht="13.5" customHeight="1">
      <c r="E153" s="51"/>
      <c r="F153" s="12"/>
      <c r="G153" s="74"/>
    </row>
    <row r="154" ht="13.5" customHeight="1">
      <c r="E154" s="51"/>
      <c r="F154" s="12"/>
      <c r="G154" s="74"/>
    </row>
    <row r="155" ht="13.5" customHeight="1">
      <c r="E155" s="51"/>
      <c r="F155" s="12"/>
      <c r="G155" s="74"/>
    </row>
    <row r="156" ht="13.5" customHeight="1">
      <c r="E156" s="51"/>
      <c r="F156" s="12"/>
      <c r="G156" s="74"/>
    </row>
    <row r="157" ht="13.5" customHeight="1">
      <c r="E157" s="51"/>
      <c r="F157" s="12"/>
      <c r="G157" s="74"/>
    </row>
    <row r="158" ht="13.5" customHeight="1">
      <c r="E158" s="51"/>
      <c r="F158" s="12"/>
      <c r="G158" s="74"/>
    </row>
    <row r="159" ht="13.5" customHeight="1">
      <c r="E159" s="51"/>
      <c r="F159" s="12"/>
      <c r="G159" s="74"/>
    </row>
    <row r="160" ht="13.5" customHeight="1">
      <c r="E160" s="51"/>
      <c r="F160" s="12"/>
      <c r="G160" s="74"/>
    </row>
    <row r="161" ht="13.5" customHeight="1">
      <c r="E161" s="51"/>
      <c r="F161" s="12"/>
      <c r="G161" s="74"/>
    </row>
    <row r="162" ht="13.5" customHeight="1">
      <c r="E162" s="51"/>
      <c r="F162" s="12"/>
      <c r="G162" s="74"/>
    </row>
    <row r="163" ht="13.5" customHeight="1">
      <c r="E163" s="51"/>
      <c r="F163" s="12"/>
      <c r="G163" s="74"/>
    </row>
    <row r="164" ht="13.5" customHeight="1">
      <c r="E164" s="51"/>
      <c r="F164" s="12"/>
      <c r="G164" s="74"/>
    </row>
    <row r="165" ht="13.5" customHeight="1">
      <c r="E165" s="51"/>
      <c r="F165" s="12"/>
      <c r="G165" s="74"/>
    </row>
    <row r="166" ht="13.5" customHeight="1">
      <c r="E166" s="51"/>
      <c r="F166" s="12"/>
      <c r="G166" s="74"/>
    </row>
    <row r="167" ht="13.5" customHeight="1">
      <c r="E167" s="51"/>
      <c r="F167" s="12"/>
      <c r="G167" s="74"/>
    </row>
    <row r="168" ht="13.5" customHeight="1">
      <c r="E168" s="51"/>
      <c r="F168" s="12"/>
      <c r="G168" s="74"/>
    </row>
    <row r="169" ht="13.5" customHeight="1">
      <c r="E169" s="51"/>
      <c r="F169" s="12"/>
      <c r="G169" s="74"/>
    </row>
    <row r="170" ht="13.5" customHeight="1">
      <c r="E170" s="51"/>
      <c r="F170" s="12"/>
      <c r="G170" s="74"/>
    </row>
    <row r="171" ht="13.5" customHeight="1">
      <c r="E171" s="51"/>
      <c r="F171" s="12"/>
      <c r="G171" s="74"/>
    </row>
    <row r="172" ht="13.5" customHeight="1">
      <c r="E172" s="51"/>
      <c r="F172" s="12"/>
      <c r="G172" s="74"/>
    </row>
    <row r="173" ht="13.5" customHeight="1">
      <c r="E173" s="51"/>
      <c r="F173" s="12"/>
      <c r="G173" s="74"/>
    </row>
    <row r="174" ht="13.5" customHeight="1">
      <c r="E174" s="51"/>
      <c r="F174" s="12"/>
      <c r="G174" s="74"/>
    </row>
    <row r="175" ht="13.5" customHeight="1">
      <c r="E175" s="51"/>
      <c r="F175" s="12"/>
      <c r="G175" s="74"/>
    </row>
    <row r="176" ht="13.5" customHeight="1">
      <c r="E176" s="51"/>
      <c r="F176" s="12"/>
      <c r="G176" s="74"/>
    </row>
    <row r="177" ht="13.5" customHeight="1">
      <c r="E177" s="51"/>
      <c r="F177" s="12"/>
      <c r="G177" s="74"/>
    </row>
    <row r="178" ht="13.5" customHeight="1">
      <c r="E178" s="51"/>
      <c r="F178" s="12"/>
      <c r="G178" s="74"/>
    </row>
    <row r="179" ht="13.5" customHeight="1">
      <c r="E179" s="51"/>
      <c r="F179" s="12"/>
      <c r="G179" s="74"/>
    </row>
    <row r="180" ht="13.5" customHeight="1">
      <c r="E180" s="51"/>
      <c r="F180" s="12"/>
      <c r="G180" s="74"/>
    </row>
    <row r="181" ht="13.5" customHeight="1">
      <c r="E181" s="51"/>
      <c r="F181" s="12"/>
      <c r="G181" s="74"/>
    </row>
    <row r="182" ht="13.5" customHeight="1">
      <c r="E182" s="51"/>
      <c r="F182" s="12"/>
      <c r="G182" s="74"/>
    </row>
    <row r="183" ht="13.5" customHeight="1">
      <c r="E183" s="51"/>
      <c r="F183" s="12"/>
      <c r="G183" s="74"/>
    </row>
    <row r="184" ht="13.5" customHeight="1">
      <c r="E184" s="51"/>
      <c r="F184" s="12"/>
      <c r="G184" s="74"/>
    </row>
    <row r="185" ht="13.5" customHeight="1">
      <c r="E185" s="51"/>
      <c r="F185" s="12"/>
      <c r="G185" s="74"/>
    </row>
    <row r="186" ht="13.5" customHeight="1">
      <c r="E186" s="51"/>
      <c r="F186" s="12"/>
      <c r="G186" s="74"/>
    </row>
    <row r="187" ht="13.5" customHeight="1">
      <c r="E187" s="51"/>
      <c r="F187" s="12"/>
      <c r="G187" s="74"/>
    </row>
    <row r="188" ht="13.5" customHeight="1">
      <c r="E188" s="51"/>
      <c r="F188" s="12"/>
      <c r="G188" s="74"/>
    </row>
    <row r="189" ht="13.5" customHeight="1">
      <c r="E189" s="51"/>
      <c r="F189" s="12"/>
      <c r="G189" s="74"/>
    </row>
    <row r="190" ht="13.5" customHeight="1">
      <c r="E190" s="51"/>
      <c r="F190" s="12"/>
      <c r="G190" s="74"/>
    </row>
    <row r="191" ht="13.5" customHeight="1">
      <c r="E191" s="51"/>
      <c r="F191" s="12"/>
      <c r="G191" s="74"/>
    </row>
    <row r="192" ht="13.5" customHeight="1">
      <c r="E192" s="51"/>
      <c r="F192" s="12"/>
      <c r="G192" s="74"/>
    </row>
    <row r="193" ht="13.5" customHeight="1">
      <c r="E193" s="51"/>
      <c r="F193" s="12"/>
      <c r="G193" s="74"/>
    </row>
    <row r="194" ht="13.5" customHeight="1">
      <c r="E194" s="51"/>
      <c r="F194" s="12"/>
      <c r="G194" s="74"/>
    </row>
    <row r="195" ht="13.5" customHeight="1">
      <c r="E195" s="51"/>
      <c r="F195" s="12"/>
      <c r="G195" s="74"/>
    </row>
    <row r="196" ht="13.5" customHeight="1">
      <c r="E196" s="51"/>
      <c r="F196" s="12"/>
      <c r="G196" s="74"/>
    </row>
    <row r="197" ht="13.5" customHeight="1">
      <c r="E197" s="51"/>
      <c r="F197" s="12"/>
      <c r="G197" s="74"/>
    </row>
    <row r="198" ht="13.5" customHeight="1">
      <c r="E198" s="51"/>
      <c r="F198" s="12"/>
      <c r="G198" s="74"/>
    </row>
    <row r="199" ht="13.5" customHeight="1">
      <c r="E199" s="51"/>
      <c r="F199" s="12"/>
      <c r="G199" s="74"/>
    </row>
    <row r="200" ht="13.5" customHeight="1">
      <c r="E200" s="51"/>
      <c r="F200" s="12"/>
      <c r="G200" s="74"/>
    </row>
    <row r="201" ht="13.5" customHeight="1">
      <c r="E201" s="51"/>
      <c r="F201" s="12"/>
      <c r="G201" s="74"/>
    </row>
    <row r="202" ht="13.5" customHeight="1">
      <c r="E202" s="51"/>
      <c r="F202" s="12"/>
      <c r="G202" s="74"/>
    </row>
    <row r="203" ht="13.5" customHeight="1">
      <c r="E203" s="51"/>
      <c r="F203" s="12"/>
      <c r="G203" s="74"/>
    </row>
    <row r="204" ht="13.5" customHeight="1">
      <c r="E204" s="51"/>
      <c r="F204" s="12"/>
      <c r="G204" s="74"/>
    </row>
    <row r="205" ht="13.5" customHeight="1">
      <c r="E205" s="51"/>
      <c r="F205" s="12"/>
      <c r="G205" s="74"/>
    </row>
    <row r="206" ht="13.5" customHeight="1">
      <c r="E206" s="51"/>
      <c r="F206" s="12"/>
      <c r="G206" s="74"/>
    </row>
    <row r="207" ht="13.5" customHeight="1">
      <c r="E207" s="51"/>
      <c r="F207" s="12"/>
      <c r="G207" s="74"/>
    </row>
    <row r="208" ht="13.5" customHeight="1">
      <c r="E208" s="51"/>
      <c r="F208" s="12"/>
      <c r="G208" s="74"/>
    </row>
    <row r="209" ht="13.5" customHeight="1">
      <c r="E209" s="51"/>
      <c r="F209" s="12"/>
      <c r="G209" s="74"/>
    </row>
    <row r="210" ht="13.5" customHeight="1">
      <c r="E210" s="51"/>
      <c r="F210" s="12"/>
      <c r="G210" s="74"/>
    </row>
    <row r="211" ht="13.5" customHeight="1">
      <c r="E211" s="51"/>
      <c r="F211" s="12"/>
      <c r="G211" s="74"/>
    </row>
    <row r="212" ht="13.5" customHeight="1">
      <c r="E212" s="51"/>
      <c r="F212" s="12"/>
      <c r="G212" s="74"/>
    </row>
    <row r="213" ht="13.5" customHeight="1">
      <c r="E213" s="51"/>
      <c r="F213" s="12"/>
      <c r="G213" s="74"/>
    </row>
    <row r="214" ht="13.5" customHeight="1">
      <c r="E214" s="51"/>
      <c r="F214" s="12"/>
      <c r="G214" s="74"/>
    </row>
    <row r="215" ht="13.5" customHeight="1">
      <c r="E215" s="51"/>
      <c r="F215" s="12"/>
      <c r="G215" s="74"/>
    </row>
    <row r="216" ht="13.5" customHeight="1">
      <c r="E216" s="51"/>
      <c r="F216" s="12"/>
      <c r="G216" s="74"/>
    </row>
    <row r="217" ht="13.5" customHeight="1">
      <c r="E217" s="51"/>
      <c r="F217" s="12"/>
      <c r="G217" s="74"/>
    </row>
    <row r="218" ht="13.5" customHeight="1">
      <c r="E218" s="51"/>
      <c r="F218" s="12"/>
      <c r="G218" s="74"/>
    </row>
    <row r="219" ht="13.5" customHeight="1">
      <c r="E219" s="51"/>
      <c r="F219" s="12"/>
      <c r="G219" s="74"/>
    </row>
    <row r="220" ht="13.5" customHeight="1">
      <c r="E220" s="51"/>
      <c r="F220" s="12"/>
      <c r="G220" s="74"/>
    </row>
    <row r="221" ht="13.5" customHeight="1">
      <c r="E221" s="51"/>
      <c r="F221" s="12"/>
      <c r="G221" s="74"/>
    </row>
    <row r="222" ht="13.5" customHeight="1">
      <c r="E222" s="51"/>
      <c r="F222" s="12"/>
      <c r="G222" s="74"/>
    </row>
    <row r="223" ht="13.5" customHeight="1">
      <c r="E223" s="51"/>
      <c r="F223" s="12"/>
      <c r="G223" s="74"/>
    </row>
    <row r="224" ht="13.5" customHeight="1">
      <c r="E224" s="51"/>
      <c r="F224" s="12"/>
      <c r="G224" s="74"/>
    </row>
    <row r="225" ht="13.5" customHeight="1">
      <c r="E225" s="51"/>
      <c r="F225" s="12"/>
      <c r="G225" s="74"/>
    </row>
    <row r="226" ht="13.5" customHeight="1">
      <c r="E226" s="51"/>
      <c r="F226" s="12"/>
      <c r="G226" s="74"/>
    </row>
    <row r="227" ht="13.5" customHeight="1">
      <c r="E227" s="51"/>
      <c r="F227" s="12"/>
      <c r="G227" s="74"/>
    </row>
    <row r="228" ht="13.5" customHeight="1">
      <c r="E228" s="51"/>
      <c r="F228" s="12"/>
      <c r="G228" s="74"/>
    </row>
    <row r="229" ht="13.5" customHeight="1">
      <c r="E229" s="51"/>
      <c r="F229" s="12"/>
      <c r="G229" s="74"/>
    </row>
    <row r="230" ht="13.5" customHeight="1">
      <c r="E230" s="51"/>
      <c r="F230" s="12"/>
      <c r="G230" s="74"/>
    </row>
    <row r="231" ht="13.5" customHeight="1">
      <c r="E231" s="51"/>
      <c r="F231" s="12"/>
      <c r="G231" s="74"/>
    </row>
    <row r="232" ht="13.5" customHeight="1">
      <c r="E232" s="51"/>
      <c r="F232" s="12"/>
      <c r="G232" s="74"/>
    </row>
    <row r="233" ht="13.5" customHeight="1">
      <c r="E233" s="51"/>
      <c r="F233" s="12"/>
      <c r="G233" s="74"/>
    </row>
    <row r="234" ht="13.5" customHeight="1">
      <c r="E234" s="51"/>
      <c r="F234" s="12"/>
      <c r="G234" s="74"/>
    </row>
    <row r="235" ht="13.5" customHeight="1">
      <c r="E235" s="51"/>
      <c r="F235" s="12"/>
      <c r="G235" s="74"/>
    </row>
    <row r="236" ht="13.5" customHeight="1">
      <c r="E236" s="51"/>
      <c r="F236" s="12"/>
      <c r="G236" s="74"/>
    </row>
    <row r="237" ht="13.5" customHeight="1">
      <c r="E237" s="51"/>
      <c r="F237" s="12"/>
      <c r="G237" s="74"/>
    </row>
    <row r="238" ht="13.5" customHeight="1">
      <c r="E238" s="51"/>
      <c r="F238" s="12"/>
      <c r="G238" s="74"/>
    </row>
    <row r="239" ht="13.5" customHeight="1">
      <c r="E239" s="51"/>
      <c r="F239" s="12"/>
      <c r="G239" s="74"/>
    </row>
    <row r="240" ht="13.5" customHeight="1">
      <c r="E240" s="51"/>
      <c r="F240" s="12"/>
      <c r="G240" s="74"/>
    </row>
    <row r="241" ht="13.5" customHeight="1">
      <c r="E241" s="51"/>
      <c r="F241" s="12"/>
      <c r="G241" s="74"/>
    </row>
    <row r="242" ht="13.5" customHeight="1">
      <c r="E242" s="51"/>
      <c r="F242" s="12"/>
      <c r="G242" s="74"/>
    </row>
    <row r="243" ht="13.5" customHeight="1">
      <c r="E243" s="51"/>
      <c r="F243" s="12"/>
      <c r="G243" s="74"/>
    </row>
    <row r="244" ht="13.5" customHeight="1">
      <c r="E244" s="51"/>
      <c r="F244" s="12"/>
      <c r="G244" s="74"/>
    </row>
    <row r="245" ht="13.5" customHeight="1">
      <c r="E245" s="51"/>
      <c r="F245" s="12"/>
      <c r="G245" s="74"/>
    </row>
    <row r="246" ht="13.5" customHeight="1">
      <c r="E246" s="51"/>
      <c r="F246" s="12"/>
      <c r="G246" s="74"/>
    </row>
    <row r="247" ht="13.5" customHeight="1">
      <c r="E247" s="51"/>
      <c r="F247" s="12"/>
      <c r="G247" s="74"/>
    </row>
    <row r="248" ht="13.5" customHeight="1">
      <c r="E248" s="51"/>
      <c r="F248" s="12"/>
      <c r="G248" s="74"/>
    </row>
    <row r="249" ht="13.5" customHeight="1">
      <c r="E249" s="51"/>
      <c r="F249" s="12"/>
      <c r="G249" s="74"/>
    </row>
    <row r="250" ht="13.5" customHeight="1">
      <c r="E250" s="51"/>
      <c r="F250" s="12"/>
      <c r="G250" s="74"/>
    </row>
    <row r="251" ht="13.5" customHeight="1">
      <c r="E251" s="51"/>
      <c r="F251" s="12"/>
      <c r="G251" s="74"/>
    </row>
    <row r="252" ht="13.5" customHeight="1">
      <c r="E252" s="51"/>
      <c r="F252" s="12"/>
      <c r="G252" s="74"/>
    </row>
    <row r="253" ht="13.5" customHeight="1">
      <c r="E253" s="51"/>
      <c r="F253" s="12"/>
      <c r="G253" s="74"/>
    </row>
    <row r="254" ht="13.5" customHeight="1">
      <c r="E254" s="51"/>
      <c r="F254" s="12"/>
      <c r="G254" s="74"/>
    </row>
    <row r="255" ht="13.5" customHeight="1">
      <c r="E255" s="51"/>
      <c r="F255" s="12"/>
      <c r="G255" s="74"/>
    </row>
    <row r="256" ht="13.5" customHeight="1">
      <c r="E256" s="51"/>
      <c r="F256" s="12"/>
      <c r="G256" s="74"/>
    </row>
    <row r="257" ht="13.5" customHeight="1">
      <c r="E257" s="51"/>
      <c r="F257" s="12"/>
      <c r="G257" s="74"/>
    </row>
    <row r="258" ht="13.5" customHeight="1">
      <c r="E258" s="51"/>
      <c r="F258" s="12"/>
      <c r="G258" s="74"/>
    </row>
    <row r="259" ht="13.5" customHeight="1">
      <c r="E259" s="51"/>
      <c r="F259" s="12"/>
      <c r="G259" s="74"/>
    </row>
    <row r="260" ht="13.5" customHeight="1">
      <c r="E260" s="51"/>
      <c r="F260" s="12"/>
      <c r="G260" s="74"/>
    </row>
    <row r="261" ht="13.5" customHeight="1">
      <c r="E261" s="51"/>
      <c r="F261" s="12"/>
      <c r="G261" s="74"/>
    </row>
    <row r="262" ht="13.5" customHeight="1">
      <c r="E262" s="51"/>
      <c r="F262" s="12"/>
      <c r="G262" s="74"/>
    </row>
    <row r="263" ht="13.5" customHeight="1">
      <c r="E263" s="51"/>
      <c r="F263" s="12"/>
      <c r="G263" s="74"/>
    </row>
    <row r="264" ht="13.5" customHeight="1">
      <c r="E264" s="51"/>
      <c r="F264" s="12"/>
      <c r="G264" s="74"/>
    </row>
    <row r="265" ht="13.5" customHeight="1">
      <c r="E265" s="51"/>
      <c r="F265" s="12"/>
      <c r="G265" s="74"/>
    </row>
    <row r="266" ht="13.5" customHeight="1">
      <c r="E266" s="51"/>
      <c r="F266" s="12"/>
      <c r="G266" s="74"/>
    </row>
    <row r="267" ht="13.5" customHeight="1">
      <c r="E267" s="51"/>
      <c r="F267" s="12"/>
      <c r="G267" s="74"/>
    </row>
    <row r="268" ht="13.5" customHeight="1">
      <c r="E268" s="51"/>
      <c r="F268" s="12"/>
      <c r="G268" s="74"/>
    </row>
    <row r="269" ht="13.5" customHeight="1">
      <c r="E269" s="51"/>
      <c r="F269" s="12"/>
      <c r="G269" s="74"/>
    </row>
    <row r="270" ht="13.5" customHeight="1">
      <c r="E270" s="51"/>
      <c r="F270" s="12"/>
      <c r="G270" s="74"/>
    </row>
    <row r="271" ht="13.5" customHeight="1">
      <c r="E271" s="51"/>
      <c r="F271" s="12"/>
      <c r="G271" s="74"/>
    </row>
    <row r="272" ht="13.5" customHeight="1">
      <c r="E272" s="51"/>
      <c r="F272" s="12"/>
      <c r="G272" s="74"/>
    </row>
    <row r="273" ht="13.5" customHeight="1">
      <c r="E273" s="51"/>
      <c r="F273" s="12"/>
      <c r="G273" s="74"/>
    </row>
    <row r="274" ht="13.5" customHeight="1">
      <c r="E274" s="51"/>
      <c r="F274" s="12"/>
      <c r="G274" s="74"/>
    </row>
    <row r="275" ht="13.5" customHeight="1">
      <c r="E275" s="51"/>
      <c r="F275" s="12"/>
      <c r="G275" s="74"/>
    </row>
    <row r="276" ht="13.5" customHeight="1">
      <c r="E276" s="51"/>
      <c r="F276" s="12"/>
      <c r="G276" s="74"/>
    </row>
    <row r="277" ht="13.5" customHeight="1">
      <c r="E277" s="51"/>
      <c r="F277" s="12"/>
      <c r="G277" s="74"/>
    </row>
    <row r="278" ht="13.5" customHeight="1">
      <c r="E278" s="51"/>
      <c r="F278" s="12"/>
      <c r="G278" s="74"/>
    </row>
    <row r="279" ht="13.5" customHeight="1">
      <c r="E279" s="51"/>
      <c r="F279" s="12"/>
      <c r="G279" s="74"/>
    </row>
    <row r="280" ht="13.5" customHeight="1">
      <c r="E280" s="51"/>
      <c r="F280" s="12"/>
      <c r="G280" s="74"/>
    </row>
    <row r="281" ht="13.5" customHeight="1">
      <c r="E281" s="51"/>
      <c r="F281" s="12"/>
      <c r="G281" s="74"/>
    </row>
    <row r="282" ht="13.5" customHeight="1">
      <c r="E282" s="51"/>
      <c r="F282" s="12"/>
      <c r="G282" s="74"/>
    </row>
    <row r="283" ht="13.5" customHeight="1">
      <c r="E283" s="51"/>
      <c r="F283" s="12"/>
      <c r="G283" s="74"/>
    </row>
    <row r="284" ht="13.5" customHeight="1">
      <c r="E284" s="51"/>
      <c r="F284" s="12"/>
      <c r="G284" s="74"/>
    </row>
    <row r="285" ht="13.5" customHeight="1">
      <c r="E285" s="51"/>
      <c r="F285" s="12"/>
      <c r="G285" s="74"/>
    </row>
    <row r="286" ht="13.5" customHeight="1">
      <c r="E286" s="51"/>
      <c r="F286" s="12"/>
      <c r="G286" s="74"/>
    </row>
    <row r="287" ht="13.5" customHeight="1">
      <c r="E287" s="51"/>
      <c r="F287" s="12"/>
      <c r="G287" s="74"/>
    </row>
    <row r="288" ht="13.5" customHeight="1">
      <c r="E288" s="51"/>
      <c r="F288" s="12"/>
      <c r="G288" s="74"/>
    </row>
    <row r="289" ht="13.5" customHeight="1">
      <c r="E289" s="51"/>
      <c r="F289" s="12"/>
      <c r="G289" s="74"/>
    </row>
    <row r="290" ht="13.5" customHeight="1">
      <c r="E290" s="51"/>
      <c r="F290" s="12"/>
      <c r="G290" s="74"/>
    </row>
    <row r="291" ht="13.5" customHeight="1">
      <c r="E291" s="51"/>
      <c r="F291" s="12"/>
      <c r="G291" s="74"/>
    </row>
    <row r="292" ht="13.5" customHeight="1">
      <c r="E292" s="51"/>
      <c r="F292" s="12"/>
      <c r="G292" s="74"/>
    </row>
    <row r="293" ht="13.5" customHeight="1">
      <c r="E293" s="51"/>
      <c r="F293" s="12"/>
      <c r="G293" s="74"/>
    </row>
    <row r="294" ht="13.5" customHeight="1">
      <c r="E294" s="51"/>
      <c r="F294" s="12"/>
      <c r="G294" s="74"/>
    </row>
    <row r="295" ht="13.5" customHeight="1">
      <c r="E295" s="51"/>
      <c r="F295" s="12"/>
      <c r="G295" s="74"/>
    </row>
    <row r="296" ht="13.5" customHeight="1">
      <c r="E296" s="51"/>
      <c r="F296" s="12"/>
      <c r="G296" s="74"/>
    </row>
    <row r="297" ht="13.5" customHeight="1">
      <c r="E297" s="51"/>
      <c r="F297" s="12"/>
      <c r="G297" s="74"/>
    </row>
    <row r="298" ht="13.5" customHeight="1">
      <c r="E298" s="51"/>
      <c r="F298" s="12"/>
      <c r="G298" s="74"/>
    </row>
    <row r="299" ht="13.5" customHeight="1">
      <c r="E299" s="51"/>
      <c r="F299" s="12"/>
      <c r="G299" s="74"/>
    </row>
    <row r="300" ht="13.5" customHeight="1">
      <c r="E300" s="51"/>
      <c r="F300" s="12"/>
      <c r="G300" s="74"/>
    </row>
    <row r="301" ht="13.5" customHeight="1">
      <c r="E301" s="51"/>
      <c r="F301" s="12"/>
      <c r="G301" s="74"/>
    </row>
    <row r="302" ht="13.5" customHeight="1">
      <c r="E302" s="51"/>
      <c r="F302" s="12"/>
      <c r="G302" s="74"/>
    </row>
    <row r="303" ht="13.5" customHeight="1">
      <c r="E303" s="51"/>
      <c r="F303" s="12"/>
      <c r="G303" s="74"/>
    </row>
    <row r="304" ht="13.5" customHeight="1">
      <c r="E304" s="51"/>
      <c r="F304" s="12"/>
      <c r="G304" s="74"/>
    </row>
    <row r="305" ht="13.5" customHeight="1">
      <c r="E305" s="51"/>
      <c r="F305" s="12"/>
      <c r="G305" s="74"/>
    </row>
    <row r="306" ht="13.5" customHeight="1">
      <c r="E306" s="51"/>
      <c r="F306" s="12"/>
      <c r="G306" s="74"/>
    </row>
    <row r="307" ht="13.5" customHeight="1">
      <c r="E307" s="51"/>
      <c r="F307" s="12"/>
      <c r="G307" s="74"/>
    </row>
    <row r="308" ht="13.5" customHeight="1">
      <c r="E308" s="51"/>
      <c r="F308" s="12"/>
      <c r="G308" s="74"/>
    </row>
    <row r="309" ht="13.5" customHeight="1">
      <c r="E309" s="51"/>
      <c r="F309" s="12"/>
      <c r="G309" s="74"/>
    </row>
    <row r="310" ht="13.5" customHeight="1">
      <c r="E310" s="51"/>
      <c r="F310" s="12"/>
      <c r="G310" s="74"/>
    </row>
    <row r="311" ht="13.5" customHeight="1">
      <c r="E311" s="51"/>
      <c r="F311" s="12"/>
      <c r="G311" s="74"/>
    </row>
    <row r="312" ht="13.5" customHeight="1">
      <c r="E312" s="51"/>
      <c r="F312" s="12"/>
      <c r="G312" s="74"/>
    </row>
    <row r="313" ht="13.5" customHeight="1">
      <c r="E313" s="51"/>
      <c r="F313" s="12"/>
      <c r="G313" s="74"/>
    </row>
    <row r="314" ht="13.5" customHeight="1">
      <c r="E314" s="51"/>
      <c r="F314" s="12"/>
      <c r="G314" s="74"/>
    </row>
    <row r="315" ht="13.5" customHeight="1">
      <c r="E315" s="51"/>
      <c r="F315" s="12"/>
      <c r="G315" s="74"/>
    </row>
    <row r="316" ht="13.5" customHeight="1">
      <c r="E316" s="51"/>
      <c r="F316" s="12"/>
      <c r="G316" s="74"/>
    </row>
    <row r="317" ht="13.5" customHeight="1">
      <c r="E317" s="51"/>
      <c r="F317" s="12"/>
      <c r="G317" s="74"/>
    </row>
    <row r="318" ht="13.5" customHeight="1">
      <c r="E318" s="51"/>
      <c r="F318" s="12"/>
      <c r="G318" s="74"/>
    </row>
    <row r="319" ht="13.5" customHeight="1">
      <c r="E319" s="51"/>
      <c r="F319" s="12"/>
      <c r="G319" s="74"/>
    </row>
    <row r="320" ht="13.5" customHeight="1">
      <c r="E320" s="51"/>
      <c r="F320" s="12"/>
      <c r="G320" s="74"/>
    </row>
    <row r="321" ht="13.5" customHeight="1">
      <c r="E321" s="51"/>
      <c r="F321" s="12"/>
      <c r="G321" s="74"/>
    </row>
    <row r="322" ht="13.5" customHeight="1">
      <c r="E322" s="51"/>
      <c r="F322" s="12"/>
      <c r="G322" s="74"/>
    </row>
    <row r="323" ht="13.5" customHeight="1">
      <c r="E323" s="51"/>
      <c r="F323" s="12"/>
      <c r="G323" s="74"/>
    </row>
    <row r="324" ht="13.5" customHeight="1">
      <c r="E324" s="51"/>
      <c r="F324" s="12"/>
      <c r="G324" s="74"/>
    </row>
    <row r="325" ht="13.5" customHeight="1">
      <c r="E325" s="51"/>
      <c r="F325" s="12"/>
      <c r="G325" s="74"/>
    </row>
    <row r="326" ht="13.5" customHeight="1">
      <c r="E326" s="51"/>
      <c r="F326" s="12"/>
      <c r="G326" s="74"/>
    </row>
    <row r="327" ht="13.5" customHeight="1">
      <c r="E327" s="51"/>
      <c r="F327" s="12"/>
      <c r="G327" s="74"/>
    </row>
    <row r="328" ht="13.5" customHeight="1">
      <c r="E328" s="51"/>
      <c r="F328" s="12"/>
      <c r="G328" s="74"/>
    </row>
    <row r="329" ht="13.5" customHeight="1">
      <c r="E329" s="51"/>
      <c r="F329" s="12"/>
      <c r="G329" s="74"/>
    </row>
    <row r="330" ht="13.5" customHeight="1">
      <c r="E330" s="51"/>
      <c r="F330" s="12"/>
      <c r="G330" s="74"/>
    </row>
    <row r="331" ht="13.5" customHeight="1">
      <c r="E331" s="51"/>
      <c r="F331" s="12"/>
      <c r="G331" s="74"/>
    </row>
    <row r="332" ht="13.5" customHeight="1">
      <c r="E332" s="51"/>
      <c r="F332" s="12"/>
      <c r="G332" s="74"/>
    </row>
    <row r="333" ht="13.5" customHeight="1">
      <c r="E333" s="51"/>
      <c r="F333" s="12"/>
      <c r="G333" s="74"/>
    </row>
    <row r="334" ht="13.5" customHeight="1">
      <c r="E334" s="51"/>
      <c r="F334" s="12"/>
      <c r="G334" s="74"/>
    </row>
    <row r="335" ht="13.5" customHeight="1">
      <c r="E335" s="51"/>
      <c r="F335" s="12"/>
      <c r="G335" s="74"/>
    </row>
    <row r="336" ht="13.5" customHeight="1">
      <c r="E336" s="51"/>
      <c r="F336" s="12"/>
      <c r="G336" s="74"/>
    </row>
    <row r="337" ht="13.5" customHeight="1">
      <c r="E337" s="51"/>
      <c r="F337" s="12"/>
      <c r="G337" s="74"/>
    </row>
    <row r="338" ht="13.5" customHeight="1">
      <c r="E338" s="51"/>
      <c r="F338" s="12"/>
      <c r="G338" s="74"/>
    </row>
    <row r="339" ht="13.5" customHeight="1">
      <c r="E339" s="51"/>
      <c r="F339" s="12"/>
      <c r="G339" s="74"/>
    </row>
    <row r="340" ht="13.5" customHeight="1">
      <c r="E340" s="51"/>
      <c r="F340" s="12"/>
      <c r="G340" s="74"/>
    </row>
    <row r="341" ht="13.5" customHeight="1">
      <c r="E341" s="51"/>
      <c r="F341" s="12"/>
      <c r="G341" s="74"/>
    </row>
    <row r="342" ht="13.5" customHeight="1">
      <c r="E342" s="51"/>
      <c r="F342" s="12"/>
      <c r="G342" s="74"/>
    </row>
    <row r="343" ht="13.5" customHeight="1">
      <c r="E343" s="51"/>
      <c r="F343" s="12"/>
      <c r="G343" s="74"/>
    </row>
    <row r="344" ht="13.5" customHeight="1">
      <c r="E344" s="51"/>
      <c r="F344" s="12"/>
      <c r="G344" s="74"/>
    </row>
    <row r="345" ht="13.5" customHeight="1">
      <c r="E345" s="51"/>
      <c r="F345" s="12"/>
      <c r="G345" s="74"/>
    </row>
    <row r="346" ht="13.5" customHeight="1">
      <c r="E346" s="51"/>
      <c r="F346" s="12"/>
      <c r="G346" s="74"/>
    </row>
    <row r="347" ht="13.5" customHeight="1">
      <c r="E347" s="51"/>
      <c r="F347" s="12"/>
      <c r="G347" s="74"/>
    </row>
    <row r="348" ht="13.5" customHeight="1">
      <c r="E348" s="51"/>
      <c r="F348" s="12"/>
      <c r="G348" s="74"/>
    </row>
    <row r="349" ht="13.5" customHeight="1">
      <c r="E349" s="51"/>
      <c r="F349" s="12"/>
      <c r="G349" s="74"/>
    </row>
    <row r="350" ht="13.5" customHeight="1">
      <c r="E350" s="51"/>
      <c r="F350" s="12"/>
      <c r="G350" s="74"/>
    </row>
    <row r="351" ht="13.5" customHeight="1">
      <c r="E351" s="51"/>
      <c r="F351" s="12"/>
      <c r="G351" s="74"/>
    </row>
    <row r="352" ht="13.5" customHeight="1">
      <c r="E352" s="51"/>
      <c r="F352" s="12"/>
      <c r="G352" s="74"/>
    </row>
    <row r="353" ht="13.5" customHeight="1">
      <c r="E353" s="51"/>
      <c r="F353" s="12"/>
      <c r="G353" s="74"/>
    </row>
    <row r="354" ht="13.5" customHeight="1">
      <c r="E354" s="51"/>
      <c r="F354" s="12"/>
      <c r="G354" s="74"/>
    </row>
    <row r="355" ht="13.5" customHeight="1">
      <c r="E355" s="51"/>
      <c r="F355" s="12"/>
      <c r="G355" s="74"/>
    </row>
    <row r="356" ht="13.5" customHeight="1">
      <c r="E356" s="51"/>
      <c r="F356" s="12"/>
      <c r="G356" s="74"/>
    </row>
    <row r="357" ht="13.5" customHeight="1">
      <c r="E357" s="51"/>
      <c r="F357" s="12"/>
      <c r="G357" s="74"/>
    </row>
    <row r="358" ht="13.5" customHeight="1">
      <c r="E358" s="51"/>
      <c r="F358" s="12"/>
      <c r="G358" s="74"/>
    </row>
    <row r="359" ht="13.5" customHeight="1">
      <c r="E359" s="51"/>
      <c r="F359" s="12"/>
      <c r="G359" s="74"/>
    </row>
    <row r="360" ht="13.5" customHeight="1">
      <c r="E360" s="51"/>
      <c r="F360" s="12"/>
      <c r="G360" s="74"/>
    </row>
    <row r="361" ht="13.5" customHeight="1">
      <c r="E361" s="51"/>
      <c r="F361" s="12"/>
      <c r="G361" s="74"/>
    </row>
    <row r="362" ht="13.5" customHeight="1">
      <c r="E362" s="51"/>
      <c r="F362" s="12"/>
      <c r="G362" s="74"/>
    </row>
    <row r="363" ht="13.5" customHeight="1">
      <c r="E363" s="51"/>
      <c r="F363" s="12"/>
      <c r="G363" s="74"/>
    </row>
    <row r="364" ht="13.5" customHeight="1">
      <c r="E364" s="51"/>
      <c r="F364" s="12"/>
      <c r="G364" s="74"/>
    </row>
    <row r="365" ht="13.5" customHeight="1">
      <c r="E365" s="51"/>
      <c r="F365" s="12"/>
      <c r="G365" s="74"/>
    </row>
    <row r="366" ht="13.5" customHeight="1">
      <c r="E366" s="51"/>
      <c r="F366" s="12"/>
      <c r="G366" s="74"/>
    </row>
    <row r="367" ht="13.5" customHeight="1">
      <c r="E367" s="51"/>
      <c r="F367" s="12"/>
      <c r="G367" s="74"/>
    </row>
    <row r="368" ht="13.5" customHeight="1">
      <c r="E368" s="51"/>
      <c r="F368" s="12"/>
      <c r="G368" s="74"/>
    </row>
    <row r="369" ht="13.5" customHeight="1">
      <c r="E369" s="51"/>
      <c r="F369" s="12"/>
      <c r="G369" s="74"/>
    </row>
    <row r="370" ht="13.5" customHeight="1">
      <c r="E370" s="51"/>
      <c r="F370" s="12"/>
      <c r="G370" s="74"/>
    </row>
    <row r="371" ht="13.5" customHeight="1">
      <c r="E371" s="51"/>
      <c r="F371" s="12"/>
      <c r="G371" s="74"/>
    </row>
    <row r="372" ht="13.5" customHeight="1">
      <c r="E372" s="51"/>
      <c r="F372" s="12"/>
      <c r="G372" s="74"/>
    </row>
    <row r="373" ht="13.5" customHeight="1">
      <c r="E373" s="51"/>
      <c r="F373" s="12"/>
      <c r="G373" s="74"/>
    </row>
    <row r="374" ht="13.5" customHeight="1">
      <c r="E374" s="51"/>
      <c r="F374" s="12"/>
      <c r="G374" s="74"/>
    </row>
    <row r="375" ht="13.5" customHeight="1">
      <c r="E375" s="51"/>
      <c r="F375" s="12"/>
      <c r="G375" s="74"/>
    </row>
    <row r="376" ht="13.5" customHeight="1">
      <c r="E376" s="51"/>
      <c r="F376" s="12"/>
      <c r="G376" s="74"/>
    </row>
    <row r="377" ht="13.5" customHeight="1">
      <c r="E377" s="51"/>
      <c r="F377" s="12"/>
      <c r="G377" s="74"/>
    </row>
    <row r="378" ht="13.5" customHeight="1">
      <c r="E378" s="51"/>
      <c r="F378" s="12"/>
      <c r="G378" s="74"/>
    </row>
    <row r="379" ht="13.5" customHeight="1">
      <c r="E379" s="51"/>
      <c r="F379" s="12"/>
      <c r="G379" s="74"/>
    </row>
    <row r="380" ht="13.5" customHeight="1">
      <c r="E380" s="51"/>
      <c r="F380" s="12"/>
      <c r="G380" s="74"/>
    </row>
    <row r="381" ht="13.5" customHeight="1">
      <c r="E381" s="51"/>
      <c r="F381" s="12"/>
      <c r="G381" s="74"/>
    </row>
    <row r="382" ht="13.5" customHeight="1">
      <c r="E382" s="51"/>
      <c r="F382" s="12"/>
      <c r="G382" s="74"/>
    </row>
    <row r="383" ht="13.5" customHeight="1">
      <c r="E383" s="51"/>
      <c r="F383" s="12"/>
      <c r="G383" s="74"/>
    </row>
    <row r="384" ht="13.5" customHeight="1">
      <c r="E384" s="51"/>
      <c r="F384" s="12"/>
      <c r="G384" s="74"/>
    </row>
    <row r="385" ht="13.5" customHeight="1">
      <c r="E385" s="51"/>
      <c r="F385" s="12"/>
      <c r="G385" s="74"/>
    </row>
    <row r="386" ht="13.5" customHeight="1">
      <c r="E386" s="51"/>
      <c r="F386" s="12"/>
      <c r="G386" s="74"/>
    </row>
    <row r="387" ht="13.5" customHeight="1">
      <c r="E387" s="51"/>
      <c r="F387" s="12"/>
      <c r="G387" s="74"/>
    </row>
    <row r="388" ht="13.5" customHeight="1">
      <c r="E388" s="51"/>
      <c r="F388" s="12"/>
      <c r="G388" s="74"/>
    </row>
    <row r="389" ht="13.5" customHeight="1">
      <c r="E389" s="51"/>
      <c r="F389" s="12"/>
      <c r="G389" s="74"/>
    </row>
    <row r="390" ht="13.5" customHeight="1">
      <c r="E390" s="51"/>
      <c r="F390" s="12"/>
      <c r="G390" s="74"/>
    </row>
    <row r="391" ht="13.5" customHeight="1">
      <c r="E391" s="51"/>
      <c r="F391" s="12"/>
      <c r="G391" s="74"/>
    </row>
    <row r="392" ht="13.5" customHeight="1">
      <c r="E392" s="51"/>
      <c r="F392" s="12"/>
      <c r="G392" s="74"/>
    </row>
    <row r="393" ht="13.5" customHeight="1">
      <c r="E393" s="51"/>
      <c r="F393" s="12"/>
      <c r="G393" s="74"/>
    </row>
    <row r="394" ht="13.5" customHeight="1">
      <c r="E394" s="51"/>
      <c r="F394" s="12"/>
      <c r="G394" s="74"/>
    </row>
    <row r="395" ht="13.5" customHeight="1">
      <c r="E395" s="51"/>
      <c r="F395" s="12"/>
      <c r="G395" s="74"/>
    </row>
    <row r="396" ht="13.5" customHeight="1">
      <c r="E396" s="51"/>
      <c r="F396" s="12"/>
      <c r="G396" s="74"/>
    </row>
    <row r="397" ht="13.5" customHeight="1">
      <c r="E397" s="51"/>
      <c r="F397" s="12"/>
      <c r="G397" s="74"/>
    </row>
    <row r="398" ht="13.5" customHeight="1">
      <c r="E398" s="51"/>
      <c r="F398" s="12"/>
      <c r="G398" s="74"/>
    </row>
    <row r="399" ht="13.5" customHeight="1">
      <c r="E399" s="51"/>
      <c r="F399" s="12"/>
      <c r="G399" s="74"/>
    </row>
    <row r="400" ht="13.5" customHeight="1">
      <c r="E400" s="51"/>
      <c r="F400" s="12"/>
      <c r="G400" s="74"/>
    </row>
    <row r="401" ht="13.5" customHeight="1">
      <c r="E401" s="51"/>
      <c r="F401" s="12"/>
      <c r="G401" s="74"/>
    </row>
    <row r="402" ht="13.5" customHeight="1">
      <c r="E402" s="51"/>
      <c r="F402" s="12"/>
      <c r="G402" s="74"/>
    </row>
    <row r="403" ht="13.5" customHeight="1">
      <c r="E403" s="51"/>
      <c r="F403" s="12"/>
      <c r="G403" s="74"/>
    </row>
    <row r="404" ht="13.5" customHeight="1">
      <c r="E404" s="51"/>
      <c r="F404" s="12"/>
      <c r="G404" s="74"/>
    </row>
    <row r="405" ht="13.5" customHeight="1">
      <c r="E405" s="51"/>
      <c r="F405" s="12"/>
      <c r="G405" s="74"/>
    </row>
    <row r="406" ht="13.5" customHeight="1">
      <c r="E406" s="51"/>
      <c r="F406" s="12"/>
      <c r="G406" s="74"/>
    </row>
    <row r="407" ht="13.5" customHeight="1">
      <c r="E407" s="51"/>
      <c r="F407" s="12"/>
      <c r="G407" s="74"/>
    </row>
    <row r="408" ht="13.5" customHeight="1">
      <c r="E408" s="51"/>
      <c r="F408" s="12"/>
      <c r="G408" s="74"/>
    </row>
    <row r="409" ht="13.5" customHeight="1">
      <c r="E409" s="51"/>
      <c r="F409" s="12"/>
      <c r="G409" s="74"/>
    </row>
    <row r="410" ht="13.5" customHeight="1">
      <c r="E410" s="51"/>
      <c r="F410" s="12"/>
      <c r="G410" s="74"/>
    </row>
    <row r="411" ht="13.5" customHeight="1">
      <c r="E411" s="51"/>
      <c r="F411" s="12"/>
      <c r="G411" s="74"/>
    </row>
    <row r="412" ht="13.5" customHeight="1">
      <c r="E412" s="51"/>
      <c r="F412" s="12"/>
      <c r="G412" s="74"/>
    </row>
    <row r="413" ht="13.5" customHeight="1">
      <c r="E413" s="51"/>
      <c r="F413" s="12"/>
      <c r="G413" s="74"/>
    </row>
    <row r="414" ht="13.5" customHeight="1">
      <c r="E414" s="51"/>
      <c r="F414" s="12"/>
      <c r="G414" s="74"/>
    </row>
    <row r="415" ht="13.5" customHeight="1">
      <c r="E415" s="51"/>
      <c r="F415" s="12"/>
      <c r="G415" s="74"/>
    </row>
    <row r="416" ht="13.5" customHeight="1">
      <c r="E416" s="51"/>
      <c r="F416" s="12"/>
      <c r="G416" s="74"/>
    </row>
    <row r="417" ht="13.5" customHeight="1">
      <c r="E417" s="51"/>
      <c r="F417" s="12"/>
      <c r="G417" s="74"/>
    </row>
    <row r="418" ht="13.5" customHeight="1">
      <c r="E418" s="51"/>
      <c r="F418" s="12"/>
      <c r="G418" s="74"/>
    </row>
    <row r="419" ht="13.5" customHeight="1">
      <c r="E419" s="51"/>
      <c r="F419" s="12"/>
      <c r="G419" s="74"/>
    </row>
    <row r="420" ht="13.5" customHeight="1">
      <c r="E420" s="51"/>
      <c r="F420" s="12"/>
      <c r="G420" s="74"/>
    </row>
    <row r="421" ht="13.5" customHeight="1">
      <c r="E421" s="51"/>
      <c r="F421" s="12"/>
      <c r="G421" s="74"/>
    </row>
    <row r="422" ht="13.5" customHeight="1">
      <c r="E422" s="51"/>
      <c r="F422" s="12"/>
      <c r="G422" s="74"/>
    </row>
    <row r="423" ht="13.5" customHeight="1">
      <c r="E423" s="51"/>
      <c r="F423" s="12"/>
      <c r="G423" s="74"/>
    </row>
    <row r="424" ht="13.5" customHeight="1">
      <c r="E424" s="51"/>
      <c r="F424" s="12"/>
      <c r="G424" s="74"/>
    </row>
    <row r="425" ht="13.5" customHeight="1">
      <c r="E425" s="51"/>
      <c r="F425" s="12"/>
      <c r="G425" s="74"/>
    </row>
    <row r="426" ht="13.5" customHeight="1">
      <c r="E426" s="51"/>
      <c r="F426" s="12"/>
      <c r="G426" s="74"/>
    </row>
    <row r="427" ht="13.5" customHeight="1">
      <c r="E427" s="51"/>
      <c r="F427" s="12"/>
      <c r="G427" s="74"/>
    </row>
    <row r="428" ht="13.5" customHeight="1">
      <c r="E428" s="51"/>
      <c r="F428" s="12"/>
      <c r="G428" s="74"/>
    </row>
    <row r="429" ht="13.5" customHeight="1">
      <c r="E429" s="51"/>
      <c r="F429" s="12"/>
      <c r="G429" s="74"/>
    </row>
    <row r="430" ht="13.5" customHeight="1">
      <c r="E430" s="51"/>
      <c r="F430" s="12"/>
      <c r="G430" s="74"/>
    </row>
    <row r="431" ht="13.5" customHeight="1">
      <c r="E431" s="51"/>
      <c r="F431" s="12"/>
      <c r="G431" s="74"/>
    </row>
    <row r="432" ht="13.5" customHeight="1">
      <c r="E432" s="51"/>
      <c r="F432" s="12"/>
      <c r="G432" s="74"/>
    </row>
    <row r="433" ht="13.5" customHeight="1">
      <c r="E433" s="51"/>
      <c r="F433" s="12"/>
      <c r="G433" s="74"/>
    </row>
    <row r="434" ht="13.5" customHeight="1">
      <c r="E434" s="51"/>
      <c r="F434" s="12"/>
      <c r="G434" s="74"/>
    </row>
    <row r="435" ht="13.5" customHeight="1">
      <c r="E435" s="51"/>
      <c r="F435" s="12"/>
      <c r="G435" s="74"/>
    </row>
    <row r="436" ht="13.5" customHeight="1">
      <c r="E436" s="51"/>
      <c r="F436" s="12"/>
      <c r="G436" s="74"/>
    </row>
    <row r="437" ht="13.5" customHeight="1">
      <c r="E437" s="51"/>
      <c r="F437" s="12"/>
      <c r="G437" s="74"/>
    </row>
    <row r="438" ht="13.5" customHeight="1">
      <c r="E438" s="51"/>
      <c r="F438" s="12"/>
      <c r="G438" s="74"/>
    </row>
    <row r="439" ht="13.5" customHeight="1">
      <c r="E439" s="51"/>
      <c r="F439" s="12"/>
      <c r="G439" s="74"/>
    </row>
    <row r="440" ht="13.5" customHeight="1">
      <c r="E440" s="51"/>
      <c r="F440" s="12"/>
      <c r="G440" s="74"/>
    </row>
    <row r="441" ht="13.5" customHeight="1">
      <c r="E441" s="51"/>
      <c r="F441" s="12"/>
      <c r="G441" s="74"/>
    </row>
    <row r="442" ht="13.5" customHeight="1">
      <c r="E442" s="51"/>
      <c r="F442" s="12"/>
      <c r="G442" s="74"/>
    </row>
    <row r="443" ht="13.5" customHeight="1">
      <c r="E443" s="51"/>
      <c r="F443" s="12"/>
      <c r="G443" s="74"/>
    </row>
    <row r="444" ht="13.5" customHeight="1">
      <c r="E444" s="51"/>
      <c r="F444" s="12"/>
      <c r="G444" s="74"/>
    </row>
    <row r="445" ht="13.5" customHeight="1">
      <c r="E445" s="51"/>
      <c r="F445" s="12"/>
      <c r="G445" s="74"/>
    </row>
    <row r="446" ht="13.5" customHeight="1">
      <c r="E446" s="51"/>
      <c r="F446" s="12"/>
      <c r="G446" s="74"/>
    </row>
    <row r="447" ht="13.5" customHeight="1">
      <c r="E447" s="51"/>
      <c r="F447" s="12"/>
      <c r="G447" s="74"/>
    </row>
    <row r="448" ht="13.5" customHeight="1">
      <c r="E448" s="51"/>
      <c r="F448" s="12"/>
      <c r="G448" s="74"/>
    </row>
    <row r="449" ht="13.5" customHeight="1">
      <c r="E449" s="51"/>
      <c r="F449" s="12"/>
      <c r="G449" s="74"/>
    </row>
    <row r="450" ht="13.5" customHeight="1">
      <c r="E450" s="51"/>
      <c r="F450" s="12"/>
      <c r="G450" s="74"/>
    </row>
    <row r="451" ht="13.5" customHeight="1">
      <c r="E451" s="51"/>
      <c r="F451" s="12"/>
      <c r="G451" s="74"/>
    </row>
    <row r="452" ht="13.5" customHeight="1">
      <c r="E452" s="51"/>
      <c r="F452" s="12"/>
      <c r="G452" s="74"/>
    </row>
    <row r="453" ht="13.5" customHeight="1">
      <c r="E453" s="51"/>
      <c r="F453" s="12"/>
      <c r="G453" s="74"/>
    </row>
    <row r="454" ht="13.5" customHeight="1">
      <c r="E454" s="51"/>
      <c r="F454" s="12"/>
      <c r="G454" s="74"/>
    </row>
    <row r="455" ht="13.5" customHeight="1">
      <c r="E455" s="51"/>
      <c r="F455" s="12"/>
      <c r="G455" s="74"/>
    </row>
    <row r="456" ht="13.5" customHeight="1">
      <c r="E456" s="51"/>
      <c r="F456" s="12"/>
      <c r="G456" s="74"/>
    </row>
    <row r="457" ht="13.5" customHeight="1">
      <c r="E457" s="51"/>
      <c r="F457" s="12"/>
      <c r="G457" s="74"/>
    </row>
    <row r="458" ht="13.5" customHeight="1">
      <c r="E458" s="51"/>
      <c r="F458" s="12"/>
      <c r="G458" s="74"/>
    </row>
    <row r="459" ht="13.5" customHeight="1">
      <c r="E459" s="51"/>
      <c r="F459" s="12"/>
      <c r="G459" s="74"/>
    </row>
    <row r="460" ht="13.5" customHeight="1">
      <c r="E460" s="51"/>
      <c r="F460" s="12"/>
      <c r="G460" s="74"/>
    </row>
    <row r="461" ht="13.5" customHeight="1">
      <c r="E461" s="51"/>
      <c r="F461" s="12"/>
      <c r="G461" s="74"/>
    </row>
    <row r="462" ht="13.5" customHeight="1">
      <c r="E462" s="51"/>
      <c r="F462" s="12"/>
      <c r="G462" s="74"/>
    </row>
    <row r="463" ht="13.5" customHeight="1">
      <c r="E463" s="51"/>
      <c r="F463" s="12"/>
      <c r="G463" s="74"/>
    </row>
    <row r="464" ht="13.5" customHeight="1">
      <c r="E464" s="51"/>
      <c r="F464" s="12"/>
      <c r="G464" s="74"/>
    </row>
    <row r="465" ht="13.5" customHeight="1">
      <c r="E465" s="51"/>
      <c r="F465" s="12"/>
      <c r="G465" s="74"/>
    </row>
    <row r="466" ht="13.5" customHeight="1">
      <c r="E466" s="51"/>
      <c r="F466" s="12"/>
      <c r="G466" s="74"/>
    </row>
    <row r="467" ht="13.5" customHeight="1">
      <c r="E467" s="51"/>
      <c r="F467" s="12"/>
      <c r="G467" s="74"/>
    </row>
    <row r="468" ht="13.5" customHeight="1">
      <c r="E468" s="51"/>
      <c r="F468" s="12"/>
      <c r="G468" s="74"/>
    </row>
    <row r="469" ht="13.5" customHeight="1">
      <c r="E469" s="51"/>
      <c r="F469" s="12"/>
      <c r="G469" s="74"/>
    </row>
    <row r="470" ht="13.5" customHeight="1">
      <c r="E470" s="51"/>
      <c r="F470" s="12"/>
      <c r="G470" s="74"/>
    </row>
    <row r="471" ht="13.5" customHeight="1">
      <c r="E471" s="51"/>
      <c r="F471" s="12"/>
      <c r="G471" s="74"/>
    </row>
    <row r="472" ht="13.5" customHeight="1">
      <c r="E472" s="51"/>
      <c r="F472" s="12"/>
      <c r="G472" s="74"/>
    </row>
    <row r="473" ht="13.5" customHeight="1">
      <c r="E473" s="51"/>
      <c r="F473" s="12"/>
      <c r="G473" s="74"/>
    </row>
    <row r="474" ht="13.5" customHeight="1">
      <c r="E474" s="51"/>
      <c r="F474" s="12"/>
      <c r="G474" s="74"/>
    </row>
    <row r="475" ht="13.5" customHeight="1">
      <c r="E475" s="51"/>
      <c r="F475" s="12"/>
      <c r="G475" s="74"/>
    </row>
    <row r="476" ht="13.5" customHeight="1">
      <c r="E476" s="51"/>
      <c r="F476" s="12"/>
      <c r="G476" s="74"/>
    </row>
    <row r="477" ht="13.5" customHeight="1">
      <c r="E477" s="51"/>
      <c r="F477" s="12"/>
      <c r="G477" s="74"/>
    </row>
    <row r="478" ht="13.5" customHeight="1">
      <c r="E478" s="51"/>
      <c r="F478" s="12"/>
      <c r="G478" s="74"/>
    </row>
    <row r="479" ht="13.5" customHeight="1">
      <c r="E479" s="51"/>
      <c r="F479" s="12"/>
      <c r="G479" s="74"/>
    </row>
    <row r="480" ht="13.5" customHeight="1">
      <c r="E480" s="51"/>
      <c r="F480" s="12"/>
      <c r="G480" s="74"/>
    </row>
    <row r="481" ht="13.5" customHeight="1">
      <c r="E481" s="51"/>
      <c r="F481" s="12"/>
      <c r="G481" s="74"/>
    </row>
    <row r="482" ht="13.5" customHeight="1">
      <c r="E482" s="51"/>
      <c r="F482" s="12"/>
      <c r="G482" s="74"/>
    </row>
    <row r="483" ht="13.5" customHeight="1">
      <c r="E483" s="51"/>
      <c r="F483" s="12"/>
      <c r="G483" s="74"/>
    </row>
    <row r="484" ht="13.5" customHeight="1">
      <c r="E484" s="51"/>
      <c r="F484" s="12"/>
      <c r="G484" s="74"/>
    </row>
    <row r="485" ht="13.5" customHeight="1">
      <c r="E485" s="51"/>
      <c r="F485" s="12"/>
      <c r="G485" s="74"/>
    </row>
    <row r="486" ht="13.5" customHeight="1">
      <c r="E486" s="51"/>
      <c r="F486" s="12"/>
      <c r="G486" s="74"/>
    </row>
    <row r="487" ht="13.5" customHeight="1">
      <c r="E487" s="51"/>
      <c r="F487" s="12"/>
      <c r="G487" s="74"/>
    </row>
    <row r="488" ht="13.5" customHeight="1">
      <c r="E488" s="51"/>
      <c r="F488" s="12"/>
      <c r="G488" s="74"/>
    </row>
    <row r="489" ht="13.5" customHeight="1">
      <c r="E489" s="51"/>
      <c r="F489" s="12"/>
      <c r="G489" s="74"/>
    </row>
    <row r="490" ht="13.5" customHeight="1">
      <c r="E490" s="51"/>
      <c r="F490" s="12"/>
      <c r="G490" s="74"/>
    </row>
    <row r="491" ht="13.5" customHeight="1">
      <c r="E491" s="51"/>
      <c r="F491" s="12"/>
      <c r="G491" s="74"/>
    </row>
    <row r="492" ht="13.5" customHeight="1">
      <c r="E492" s="51"/>
      <c r="F492" s="12"/>
      <c r="G492" s="74"/>
    </row>
    <row r="493" ht="13.5" customHeight="1">
      <c r="E493" s="51"/>
      <c r="F493" s="12"/>
      <c r="G493" s="74"/>
    </row>
    <row r="494" ht="13.5" customHeight="1">
      <c r="E494" s="51"/>
      <c r="F494" s="12"/>
      <c r="G494" s="74"/>
    </row>
    <row r="495" ht="13.5" customHeight="1">
      <c r="E495" s="51"/>
      <c r="F495" s="12"/>
      <c r="G495" s="74"/>
    </row>
    <row r="496" ht="13.5" customHeight="1">
      <c r="E496" s="51"/>
      <c r="F496" s="12"/>
      <c r="G496" s="74"/>
    </row>
    <row r="497" ht="13.5" customHeight="1">
      <c r="E497" s="51"/>
      <c r="F497" s="12"/>
      <c r="G497" s="74"/>
    </row>
    <row r="498" ht="13.5" customHeight="1">
      <c r="E498" s="51"/>
      <c r="F498" s="12"/>
      <c r="G498" s="74"/>
    </row>
    <row r="499" ht="13.5" customHeight="1">
      <c r="E499" s="51"/>
      <c r="F499" s="12"/>
      <c r="G499" s="74"/>
    </row>
    <row r="500" ht="13.5" customHeight="1">
      <c r="E500" s="51"/>
      <c r="F500" s="12"/>
      <c r="G500" s="74"/>
    </row>
    <row r="501" ht="13.5" customHeight="1">
      <c r="E501" s="51"/>
      <c r="F501" s="12"/>
      <c r="G501" s="74"/>
    </row>
    <row r="502" ht="13.5" customHeight="1">
      <c r="E502" s="51"/>
      <c r="F502" s="12"/>
      <c r="G502" s="74"/>
    </row>
    <row r="503" ht="13.5" customHeight="1">
      <c r="E503" s="51"/>
      <c r="F503" s="12"/>
      <c r="G503" s="74"/>
    </row>
    <row r="504" ht="13.5" customHeight="1">
      <c r="E504" s="51"/>
      <c r="F504" s="12"/>
      <c r="G504" s="74"/>
    </row>
    <row r="505" ht="13.5" customHeight="1">
      <c r="E505" s="51"/>
      <c r="F505" s="12"/>
      <c r="G505" s="74"/>
    </row>
    <row r="506" ht="13.5" customHeight="1">
      <c r="E506" s="51"/>
      <c r="F506" s="12"/>
      <c r="G506" s="74"/>
    </row>
    <row r="507" ht="13.5" customHeight="1">
      <c r="E507" s="51"/>
      <c r="F507" s="12"/>
      <c r="G507" s="74"/>
    </row>
    <row r="508" ht="13.5" customHeight="1">
      <c r="E508" s="51"/>
      <c r="F508" s="12"/>
      <c r="G508" s="74"/>
    </row>
    <row r="509" ht="13.5" customHeight="1">
      <c r="E509" s="51"/>
      <c r="F509" s="12"/>
      <c r="G509" s="74"/>
    </row>
    <row r="510" ht="13.5" customHeight="1">
      <c r="E510" s="51"/>
      <c r="F510" s="12"/>
      <c r="G510" s="74"/>
    </row>
    <row r="511" ht="13.5" customHeight="1">
      <c r="E511" s="51"/>
      <c r="F511" s="12"/>
      <c r="G511" s="74"/>
    </row>
    <row r="512" ht="13.5" customHeight="1">
      <c r="E512" s="51"/>
      <c r="F512" s="12"/>
      <c r="G512" s="74"/>
    </row>
    <row r="513" ht="13.5" customHeight="1">
      <c r="E513" s="51"/>
      <c r="F513" s="12"/>
      <c r="G513" s="74"/>
    </row>
    <row r="514" ht="13.5" customHeight="1">
      <c r="E514" s="51"/>
      <c r="F514" s="12"/>
      <c r="G514" s="74"/>
    </row>
    <row r="515" ht="13.5" customHeight="1">
      <c r="E515" s="51"/>
      <c r="F515" s="12"/>
      <c r="G515" s="74"/>
    </row>
    <row r="516" ht="13.5" customHeight="1">
      <c r="E516" s="51"/>
      <c r="F516" s="12"/>
      <c r="G516" s="74"/>
    </row>
    <row r="517" ht="13.5" customHeight="1">
      <c r="E517" s="51"/>
      <c r="F517" s="12"/>
      <c r="G517" s="74"/>
    </row>
    <row r="518" ht="13.5" customHeight="1">
      <c r="E518" s="51"/>
      <c r="F518" s="12"/>
      <c r="G518" s="74"/>
    </row>
    <row r="519" ht="13.5" customHeight="1">
      <c r="E519" s="51"/>
      <c r="F519" s="12"/>
      <c r="G519" s="74"/>
    </row>
    <row r="520" ht="13.5" customHeight="1">
      <c r="E520" s="51"/>
      <c r="F520" s="12"/>
      <c r="G520" s="74"/>
    </row>
    <row r="521" ht="13.5" customHeight="1">
      <c r="E521" s="51"/>
      <c r="F521" s="12"/>
      <c r="G521" s="74"/>
    </row>
    <row r="522" ht="13.5" customHeight="1">
      <c r="E522" s="51"/>
      <c r="F522" s="12"/>
      <c r="G522" s="74"/>
    </row>
    <row r="523" ht="13.5" customHeight="1">
      <c r="E523" s="51"/>
      <c r="F523" s="12"/>
      <c r="G523" s="74"/>
    </row>
    <row r="524" ht="13.5" customHeight="1">
      <c r="E524" s="51"/>
      <c r="F524" s="12"/>
      <c r="G524" s="74"/>
    </row>
    <row r="525" ht="13.5" customHeight="1">
      <c r="E525" s="51"/>
      <c r="F525" s="12"/>
      <c r="G525" s="74"/>
    </row>
    <row r="526" ht="13.5" customHeight="1">
      <c r="E526" s="51"/>
      <c r="F526" s="12"/>
      <c r="G526" s="74"/>
    </row>
    <row r="527" ht="13.5" customHeight="1">
      <c r="E527" s="51"/>
      <c r="F527" s="12"/>
      <c r="G527" s="74"/>
    </row>
    <row r="528" ht="13.5" customHeight="1">
      <c r="E528" s="51"/>
      <c r="F528" s="12"/>
      <c r="G528" s="74"/>
    </row>
    <row r="529" ht="13.5" customHeight="1">
      <c r="E529" s="51"/>
      <c r="F529" s="12"/>
      <c r="G529" s="74"/>
    </row>
    <row r="530" ht="13.5" customHeight="1">
      <c r="E530" s="51"/>
      <c r="F530" s="12"/>
      <c r="G530" s="74"/>
    </row>
    <row r="531" ht="13.5" customHeight="1">
      <c r="E531" s="51"/>
      <c r="F531" s="12"/>
      <c r="G531" s="74"/>
    </row>
    <row r="532" ht="13.5" customHeight="1">
      <c r="E532" s="51"/>
      <c r="F532" s="12"/>
      <c r="G532" s="74"/>
    </row>
    <row r="533" ht="13.5" customHeight="1">
      <c r="E533" s="51"/>
      <c r="F533" s="12"/>
      <c r="G533" s="74"/>
    </row>
    <row r="534" ht="13.5" customHeight="1">
      <c r="E534" s="51"/>
      <c r="F534" s="12"/>
      <c r="G534" s="74"/>
    </row>
    <row r="535" ht="13.5" customHeight="1">
      <c r="E535" s="51"/>
      <c r="F535" s="12"/>
      <c r="G535" s="74"/>
    </row>
    <row r="536" ht="13.5" customHeight="1">
      <c r="E536" s="51"/>
      <c r="F536" s="12"/>
      <c r="G536" s="74"/>
    </row>
    <row r="537" ht="13.5" customHeight="1">
      <c r="E537" s="51"/>
      <c r="F537" s="12"/>
      <c r="G537" s="74"/>
    </row>
    <row r="538" ht="13.5" customHeight="1">
      <c r="E538" s="51"/>
      <c r="F538" s="12"/>
      <c r="G538" s="74"/>
    </row>
    <row r="539" ht="13.5" customHeight="1">
      <c r="E539" s="51"/>
      <c r="F539" s="12"/>
      <c r="G539" s="74"/>
    </row>
    <row r="540" ht="13.5" customHeight="1">
      <c r="E540" s="51"/>
      <c r="F540" s="12"/>
      <c r="G540" s="74"/>
    </row>
    <row r="541" ht="13.5" customHeight="1">
      <c r="E541" s="51"/>
      <c r="F541" s="12"/>
      <c r="G541" s="74"/>
    </row>
    <row r="542" ht="13.5" customHeight="1">
      <c r="E542" s="51"/>
      <c r="F542" s="12"/>
      <c r="G542" s="74"/>
    </row>
    <row r="543" ht="13.5" customHeight="1">
      <c r="E543" s="51"/>
      <c r="F543" s="12"/>
      <c r="G543" s="74"/>
    </row>
    <row r="544" ht="13.5" customHeight="1">
      <c r="E544" s="51"/>
      <c r="F544" s="12"/>
      <c r="G544" s="74"/>
    </row>
    <row r="545" ht="13.5" customHeight="1">
      <c r="E545" s="51"/>
      <c r="F545" s="12"/>
      <c r="G545" s="74"/>
    </row>
    <row r="546" ht="13.5" customHeight="1">
      <c r="E546" s="51"/>
      <c r="F546" s="12"/>
      <c r="G546" s="74"/>
    </row>
    <row r="547" ht="13.5" customHeight="1">
      <c r="E547" s="51"/>
      <c r="F547" s="12"/>
      <c r="G547" s="74"/>
    </row>
    <row r="548" ht="13.5" customHeight="1">
      <c r="E548" s="51"/>
      <c r="F548" s="12"/>
      <c r="G548" s="74"/>
    </row>
    <row r="549" ht="13.5" customHeight="1">
      <c r="E549" s="51"/>
      <c r="F549" s="12"/>
      <c r="G549" s="74"/>
    </row>
    <row r="550" ht="13.5" customHeight="1">
      <c r="E550" s="51"/>
      <c r="F550" s="12"/>
      <c r="G550" s="74"/>
    </row>
    <row r="551" ht="13.5" customHeight="1">
      <c r="E551" s="51"/>
      <c r="F551" s="12"/>
      <c r="G551" s="74"/>
    </row>
    <row r="552" ht="13.5" customHeight="1">
      <c r="E552" s="51"/>
      <c r="F552" s="12"/>
      <c r="G552" s="74"/>
    </row>
    <row r="553" ht="13.5" customHeight="1">
      <c r="E553" s="51"/>
      <c r="F553" s="12"/>
      <c r="G553" s="74"/>
    </row>
    <row r="554" ht="13.5" customHeight="1">
      <c r="E554" s="51"/>
      <c r="F554" s="12"/>
      <c r="G554" s="74"/>
    </row>
    <row r="555" ht="13.5" customHeight="1">
      <c r="E555" s="51"/>
      <c r="F555" s="12"/>
      <c r="G555" s="74"/>
    </row>
    <row r="556" ht="13.5" customHeight="1">
      <c r="E556" s="51"/>
      <c r="F556" s="12"/>
      <c r="G556" s="74"/>
    </row>
    <row r="557" ht="13.5" customHeight="1">
      <c r="E557" s="51"/>
      <c r="F557" s="12"/>
      <c r="G557" s="74"/>
    </row>
    <row r="558" ht="13.5" customHeight="1">
      <c r="E558" s="51"/>
      <c r="F558" s="12"/>
      <c r="G558" s="74"/>
    </row>
    <row r="559" ht="13.5" customHeight="1">
      <c r="E559" s="51"/>
      <c r="F559" s="12"/>
      <c r="G559" s="74"/>
    </row>
    <row r="560" ht="13.5" customHeight="1">
      <c r="E560" s="51"/>
      <c r="F560" s="12"/>
      <c r="G560" s="74"/>
    </row>
    <row r="561" ht="13.5" customHeight="1">
      <c r="E561" s="51"/>
      <c r="F561" s="12"/>
      <c r="G561" s="74"/>
    </row>
    <row r="562" ht="13.5" customHeight="1">
      <c r="E562" s="51"/>
      <c r="F562" s="12"/>
      <c r="G562" s="74"/>
    </row>
    <row r="563" ht="13.5" customHeight="1">
      <c r="E563" s="51"/>
      <c r="F563" s="12"/>
      <c r="G563" s="74"/>
    </row>
    <row r="564" ht="13.5" customHeight="1">
      <c r="E564" s="51"/>
      <c r="F564" s="12"/>
      <c r="G564" s="74"/>
    </row>
    <row r="565" ht="13.5" customHeight="1">
      <c r="E565" s="51"/>
      <c r="F565" s="12"/>
      <c r="G565" s="74"/>
    </row>
    <row r="566" ht="13.5" customHeight="1">
      <c r="E566" s="51"/>
      <c r="F566" s="12"/>
      <c r="G566" s="74"/>
    </row>
    <row r="567" ht="13.5" customHeight="1">
      <c r="E567" s="51"/>
      <c r="F567" s="12"/>
      <c r="G567" s="74"/>
    </row>
    <row r="568" ht="13.5" customHeight="1">
      <c r="E568" s="51"/>
      <c r="F568" s="12"/>
      <c r="G568" s="74"/>
    </row>
    <row r="569" ht="13.5" customHeight="1">
      <c r="E569" s="51"/>
      <c r="F569" s="12"/>
      <c r="G569" s="74"/>
    </row>
    <row r="570" ht="13.5" customHeight="1">
      <c r="E570" s="51"/>
      <c r="F570" s="12"/>
      <c r="G570" s="74"/>
    </row>
    <row r="571" ht="13.5" customHeight="1">
      <c r="E571" s="51"/>
      <c r="F571" s="12"/>
      <c r="G571" s="74"/>
    </row>
    <row r="572" ht="13.5" customHeight="1">
      <c r="E572" s="51"/>
      <c r="F572" s="12"/>
      <c r="G572" s="74"/>
    </row>
    <row r="573" ht="13.5" customHeight="1">
      <c r="E573" s="51"/>
      <c r="F573" s="12"/>
      <c r="G573" s="74"/>
    </row>
    <row r="574" ht="13.5" customHeight="1">
      <c r="E574" s="51"/>
      <c r="F574" s="12"/>
      <c r="G574" s="74"/>
    </row>
    <row r="575" ht="13.5" customHeight="1">
      <c r="E575" s="51"/>
      <c r="F575" s="12"/>
      <c r="G575" s="74"/>
    </row>
    <row r="576" ht="13.5" customHeight="1">
      <c r="E576" s="51"/>
      <c r="F576" s="12"/>
      <c r="G576" s="74"/>
    </row>
    <row r="577" ht="13.5" customHeight="1">
      <c r="E577" s="51"/>
      <c r="F577" s="12"/>
      <c r="G577" s="74"/>
    </row>
    <row r="578" ht="13.5" customHeight="1">
      <c r="E578" s="51"/>
      <c r="F578" s="12"/>
      <c r="G578" s="74"/>
    </row>
    <row r="579" ht="13.5" customHeight="1">
      <c r="E579" s="51"/>
      <c r="F579" s="12"/>
      <c r="G579" s="74"/>
    </row>
    <row r="580" ht="13.5" customHeight="1">
      <c r="E580" s="51"/>
      <c r="F580" s="12"/>
      <c r="G580" s="74"/>
    </row>
    <row r="581" ht="13.5" customHeight="1">
      <c r="E581" s="51"/>
      <c r="F581" s="12"/>
      <c r="G581" s="74"/>
    </row>
    <row r="582" ht="13.5" customHeight="1">
      <c r="E582" s="51"/>
      <c r="F582" s="12"/>
      <c r="G582" s="74"/>
    </row>
    <row r="583" ht="13.5" customHeight="1">
      <c r="E583" s="51"/>
      <c r="F583" s="12"/>
      <c r="G583" s="74"/>
    </row>
    <row r="584" ht="13.5" customHeight="1">
      <c r="E584" s="51"/>
      <c r="F584" s="12"/>
      <c r="G584" s="74"/>
    </row>
    <row r="585" ht="13.5" customHeight="1">
      <c r="E585" s="51"/>
      <c r="F585" s="12"/>
      <c r="G585" s="74"/>
    </row>
    <row r="586" ht="13.5" customHeight="1">
      <c r="E586" s="51"/>
      <c r="F586" s="12"/>
      <c r="G586" s="74"/>
    </row>
    <row r="587" ht="13.5" customHeight="1">
      <c r="E587" s="51"/>
      <c r="F587" s="12"/>
      <c r="G587" s="74"/>
    </row>
    <row r="588" ht="13.5" customHeight="1">
      <c r="E588" s="51"/>
      <c r="F588" s="12"/>
      <c r="G588" s="74"/>
    </row>
    <row r="589" ht="13.5" customHeight="1">
      <c r="E589" s="51"/>
      <c r="F589" s="12"/>
      <c r="G589" s="74"/>
    </row>
    <row r="590" ht="13.5" customHeight="1">
      <c r="E590" s="51"/>
      <c r="F590" s="12"/>
      <c r="G590" s="74"/>
    </row>
    <row r="591" ht="13.5" customHeight="1">
      <c r="E591" s="51"/>
      <c r="F591" s="12"/>
      <c r="G591" s="74"/>
    </row>
    <row r="592" ht="13.5" customHeight="1">
      <c r="E592" s="51"/>
      <c r="F592" s="12"/>
      <c r="G592" s="74"/>
    </row>
    <row r="593" ht="13.5" customHeight="1">
      <c r="E593" s="51"/>
      <c r="F593" s="12"/>
      <c r="G593" s="74"/>
    </row>
    <row r="594" ht="13.5" customHeight="1">
      <c r="E594" s="51"/>
      <c r="F594" s="12"/>
      <c r="G594" s="74"/>
    </row>
    <row r="595" ht="13.5" customHeight="1">
      <c r="E595" s="51"/>
      <c r="F595" s="12"/>
      <c r="G595" s="74"/>
    </row>
    <row r="596" ht="13.5" customHeight="1">
      <c r="E596" s="51"/>
      <c r="F596" s="12"/>
      <c r="G596" s="74"/>
    </row>
    <row r="597" ht="13.5" customHeight="1">
      <c r="E597" s="51"/>
      <c r="F597" s="12"/>
      <c r="G597" s="74"/>
    </row>
    <row r="598" ht="13.5" customHeight="1">
      <c r="E598" s="51"/>
      <c r="F598" s="12"/>
      <c r="G598" s="74"/>
    </row>
    <row r="599" ht="13.5" customHeight="1">
      <c r="E599" s="51"/>
      <c r="F599" s="12"/>
      <c r="G599" s="74"/>
    </row>
    <row r="600" ht="13.5" customHeight="1">
      <c r="E600" s="51"/>
      <c r="F600" s="12"/>
      <c r="G600" s="74"/>
    </row>
    <row r="601" ht="13.5" customHeight="1">
      <c r="E601" s="51"/>
      <c r="F601" s="12"/>
      <c r="G601" s="74"/>
    </row>
    <row r="602" ht="13.5" customHeight="1">
      <c r="E602" s="51"/>
      <c r="F602" s="12"/>
      <c r="G602" s="74"/>
    </row>
    <row r="603" ht="13.5" customHeight="1">
      <c r="E603" s="51"/>
      <c r="F603" s="12"/>
      <c r="G603" s="74"/>
    </row>
    <row r="604" ht="13.5" customHeight="1">
      <c r="E604" s="51"/>
      <c r="F604" s="12"/>
      <c r="G604" s="74"/>
    </row>
    <row r="605" ht="13.5" customHeight="1">
      <c r="E605" s="51"/>
      <c r="F605" s="12"/>
      <c r="G605" s="74"/>
    </row>
    <row r="606" ht="13.5" customHeight="1">
      <c r="E606" s="51"/>
      <c r="F606" s="12"/>
      <c r="G606" s="74"/>
    </row>
    <row r="607" ht="13.5" customHeight="1">
      <c r="E607" s="51"/>
      <c r="F607" s="12"/>
      <c r="G607" s="74"/>
    </row>
    <row r="608" ht="13.5" customHeight="1">
      <c r="E608" s="51"/>
      <c r="F608" s="12"/>
      <c r="G608" s="74"/>
    </row>
    <row r="609" ht="13.5" customHeight="1">
      <c r="E609" s="51"/>
      <c r="F609" s="12"/>
      <c r="G609" s="74"/>
    </row>
    <row r="610" ht="13.5" customHeight="1">
      <c r="E610" s="51"/>
      <c r="F610" s="12"/>
      <c r="G610" s="74"/>
    </row>
    <row r="611" ht="13.5" customHeight="1">
      <c r="E611" s="51"/>
      <c r="F611" s="12"/>
      <c r="G611" s="74"/>
    </row>
    <row r="612" ht="13.5" customHeight="1">
      <c r="E612" s="51"/>
      <c r="F612" s="12"/>
      <c r="G612" s="74"/>
    </row>
    <row r="613" ht="13.5" customHeight="1">
      <c r="E613" s="51"/>
      <c r="F613" s="12"/>
      <c r="G613" s="74"/>
    </row>
    <row r="614" ht="13.5" customHeight="1">
      <c r="E614" s="51"/>
      <c r="F614" s="12"/>
      <c r="G614" s="74"/>
    </row>
    <row r="615" ht="13.5" customHeight="1">
      <c r="E615" s="51"/>
      <c r="F615" s="12"/>
      <c r="G615" s="74"/>
    </row>
    <row r="616" ht="13.5" customHeight="1">
      <c r="E616" s="51"/>
      <c r="F616" s="12"/>
      <c r="G616" s="74"/>
    </row>
    <row r="617" ht="13.5" customHeight="1">
      <c r="E617" s="51"/>
      <c r="F617" s="12"/>
      <c r="G617" s="74"/>
    </row>
    <row r="618" ht="13.5" customHeight="1">
      <c r="E618" s="51"/>
      <c r="F618" s="12"/>
      <c r="G618" s="74"/>
    </row>
    <row r="619" ht="13.5" customHeight="1">
      <c r="E619" s="51"/>
      <c r="F619" s="12"/>
      <c r="G619" s="74"/>
    </row>
    <row r="620" ht="13.5" customHeight="1">
      <c r="E620" s="51"/>
      <c r="F620" s="12"/>
      <c r="G620" s="74"/>
    </row>
    <row r="621" ht="13.5" customHeight="1">
      <c r="E621" s="51"/>
      <c r="F621" s="12"/>
      <c r="G621" s="74"/>
    </row>
    <row r="622" ht="13.5" customHeight="1">
      <c r="E622" s="51"/>
      <c r="F622" s="12"/>
      <c r="G622" s="74"/>
    </row>
    <row r="623" ht="13.5" customHeight="1">
      <c r="E623" s="51"/>
      <c r="F623" s="12"/>
      <c r="G623" s="74"/>
    </row>
    <row r="624" ht="13.5" customHeight="1">
      <c r="E624" s="51"/>
      <c r="F624" s="12"/>
      <c r="G624" s="74"/>
    </row>
    <row r="625" ht="13.5" customHeight="1">
      <c r="E625" s="51"/>
      <c r="F625" s="12"/>
      <c r="G625" s="74"/>
    </row>
    <row r="626" ht="13.5" customHeight="1">
      <c r="E626" s="51"/>
      <c r="F626" s="12"/>
      <c r="G626" s="74"/>
    </row>
    <row r="627" ht="13.5" customHeight="1">
      <c r="E627" s="51"/>
      <c r="F627" s="12"/>
      <c r="G627" s="74"/>
    </row>
    <row r="628" ht="13.5" customHeight="1">
      <c r="E628" s="51"/>
      <c r="F628" s="12"/>
      <c r="G628" s="74"/>
    </row>
    <row r="629" ht="13.5" customHeight="1">
      <c r="E629" s="51"/>
      <c r="F629" s="12"/>
      <c r="G629" s="74"/>
    </row>
    <row r="630" ht="13.5" customHeight="1">
      <c r="E630" s="51"/>
      <c r="F630" s="12"/>
      <c r="G630" s="74"/>
    </row>
    <row r="631" ht="13.5" customHeight="1">
      <c r="E631" s="51"/>
      <c r="F631" s="12"/>
      <c r="G631" s="74"/>
    </row>
    <row r="632" ht="13.5" customHeight="1">
      <c r="E632" s="51"/>
      <c r="F632" s="12"/>
      <c r="G632" s="74"/>
    </row>
    <row r="633" ht="13.5" customHeight="1">
      <c r="E633" s="51"/>
      <c r="F633" s="12"/>
      <c r="G633" s="74"/>
    </row>
    <row r="634" ht="13.5" customHeight="1">
      <c r="E634" s="51"/>
      <c r="F634" s="12"/>
      <c r="G634" s="74"/>
    </row>
    <row r="635" ht="13.5" customHeight="1">
      <c r="E635" s="51"/>
      <c r="F635" s="12"/>
      <c r="G635" s="74"/>
    </row>
    <row r="636" ht="13.5" customHeight="1">
      <c r="E636" s="51"/>
      <c r="F636" s="12"/>
      <c r="G636" s="74"/>
    </row>
    <row r="637" ht="13.5" customHeight="1">
      <c r="E637" s="51"/>
      <c r="F637" s="12"/>
      <c r="G637" s="74"/>
    </row>
    <row r="638" ht="13.5" customHeight="1">
      <c r="E638" s="51"/>
      <c r="F638" s="12"/>
      <c r="G638" s="74"/>
    </row>
    <row r="639" ht="13.5" customHeight="1">
      <c r="E639" s="51"/>
      <c r="F639" s="12"/>
      <c r="G639" s="74"/>
    </row>
    <row r="640" ht="13.5" customHeight="1">
      <c r="E640" s="51"/>
      <c r="F640" s="12"/>
      <c r="G640" s="74"/>
    </row>
    <row r="641" ht="13.5" customHeight="1">
      <c r="E641" s="51"/>
      <c r="F641" s="12"/>
      <c r="G641" s="74"/>
    </row>
    <row r="642" ht="13.5" customHeight="1">
      <c r="E642" s="51"/>
      <c r="F642" s="12"/>
      <c r="G642" s="74"/>
    </row>
    <row r="643" ht="13.5" customHeight="1">
      <c r="E643" s="51"/>
      <c r="F643" s="12"/>
      <c r="G643" s="74"/>
    </row>
    <row r="644" ht="13.5" customHeight="1">
      <c r="E644" s="51"/>
      <c r="F644" s="12"/>
      <c r="G644" s="74"/>
    </row>
    <row r="645" ht="13.5" customHeight="1">
      <c r="E645" s="51"/>
      <c r="F645" s="12"/>
      <c r="G645" s="74"/>
    </row>
    <row r="646" ht="13.5" customHeight="1">
      <c r="E646" s="51"/>
      <c r="F646" s="12"/>
      <c r="G646" s="74"/>
    </row>
    <row r="647" ht="13.5" customHeight="1">
      <c r="E647" s="51"/>
      <c r="F647" s="12"/>
      <c r="G647" s="74"/>
    </row>
    <row r="648" ht="13.5" customHeight="1">
      <c r="E648" s="51"/>
      <c r="F648" s="12"/>
      <c r="G648" s="74"/>
    </row>
    <row r="649" ht="13.5" customHeight="1">
      <c r="E649" s="51"/>
      <c r="F649" s="12"/>
      <c r="G649" s="74"/>
    </row>
    <row r="650" ht="13.5" customHeight="1">
      <c r="E650" s="51"/>
      <c r="F650" s="12"/>
      <c r="G650" s="74"/>
    </row>
    <row r="651" ht="13.5" customHeight="1">
      <c r="E651" s="51"/>
      <c r="F651" s="12"/>
      <c r="G651" s="74"/>
    </row>
    <row r="652" ht="13.5" customHeight="1">
      <c r="E652" s="51"/>
      <c r="F652" s="12"/>
      <c r="G652" s="74"/>
    </row>
    <row r="653" ht="13.5" customHeight="1">
      <c r="E653" s="51"/>
      <c r="F653" s="12"/>
      <c r="G653" s="74"/>
    </row>
    <row r="654" ht="13.5" customHeight="1">
      <c r="E654" s="51"/>
      <c r="F654" s="12"/>
      <c r="G654" s="74"/>
    </row>
    <row r="655" ht="13.5" customHeight="1">
      <c r="E655" s="51"/>
      <c r="F655" s="12"/>
      <c r="G655" s="74"/>
    </row>
    <row r="656" ht="13.5" customHeight="1">
      <c r="E656" s="51"/>
      <c r="F656" s="12"/>
      <c r="G656" s="74"/>
    </row>
    <row r="657" ht="13.5" customHeight="1">
      <c r="E657" s="51"/>
      <c r="F657" s="12"/>
      <c r="G657" s="74"/>
    </row>
    <row r="658" ht="13.5" customHeight="1">
      <c r="E658" s="51"/>
      <c r="F658" s="12"/>
      <c r="G658" s="74"/>
    </row>
    <row r="659" ht="13.5" customHeight="1">
      <c r="E659" s="51"/>
      <c r="F659" s="12"/>
      <c r="G659" s="74"/>
    </row>
    <row r="660" ht="13.5" customHeight="1">
      <c r="E660" s="51"/>
      <c r="F660" s="12"/>
      <c r="G660" s="74"/>
    </row>
    <row r="661" ht="13.5" customHeight="1">
      <c r="E661" s="51"/>
      <c r="F661" s="12"/>
      <c r="G661" s="74"/>
    </row>
    <row r="662" ht="13.5" customHeight="1">
      <c r="E662" s="51"/>
      <c r="F662" s="12"/>
      <c r="G662" s="74"/>
    </row>
    <row r="663" ht="13.5" customHeight="1">
      <c r="E663" s="51"/>
      <c r="F663" s="12"/>
      <c r="G663" s="74"/>
    </row>
    <row r="664" ht="13.5" customHeight="1">
      <c r="E664" s="51"/>
      <c r="F664" s="12"/>
      <c r="G664" s="74"/>
    </row>
    <row r="665" ht="13.5" customHeight="1">
      <c r="E665" s="51"/>
      <c r="F665" s="12"/>
      <c r="G665" s="74"/>
    </row>
    <row r="666" ht="13.5" customHeight="1">
      <c r="E666" s="51"/>
      <c r="F666" s="12"/>
      <c r="G666" s="74"/>
    </row>
    <row r="667" ht="13.5" customHeight="1">
      <c r="E667" s="51"/>
      <c r="F667" s="12"/>
      <c r="G667" s="74"/>
    </row>
    <row r="668" ht="13.5" customHeight="1">
      <c r="E668" s="51"/>
      <c r="F668" s="12"/>
      <c r="G668" s="74"/>
    </row>
    <row r="669" ht="13.5" customHeight="1">
      <c r="E669" s="51"/>
      <c r="F669" s="12"/>
      <c r="G669" s="74"/>
    </row>
    <row r="670" ht="13.5" customHeight="1">
      <c r="E670" s="51"/>
      <c r="F670" s="12"/>
      <c r="G670" s="74"/>
    </row>
    <row r="671" ht="13.5" customHeight="1">
      <c r="E671" s="51"/>
      <c r="F671" s="12"/>
      <c r="G671" s="74"/>
    </row>
    <row r="672" ht="13.5" customHeight="1">
      <c r="E672" s="51"/>
      <c r="F672" s="12"/>
      <c r="G672" s="74"/>
    </row>
    <row r="673" ht="13.5" customHeight="1">
      <c r="E673" s="51"/>
      <c r="F673" s="12"/>
      <c r="G673" s="74"/>
    </row>
    <row r="674" ht="13.5" customHeight="1">
      <c r="E674" s="51"/>
      <c r="F674" s="12"/>
      <c r="G674" s="74"/>
    </row>
    <row r="675" ht="13.5" customHeight="1">
      <c r="E675" s="51"/>
      <c r="F675" s="12"/>
      <c r="G675" s="74"/>
    </row>
    <row r="676" ht="13.5" customHeight="1">
      <c r="E676" s="51"/>
      <c r="F676" s="12"/>
      <c r="G676" s="74"/>
    </row>
    <row r="677" ht="13.5" customHeight="1">
      <c r="E677" s="51"/>
      <c r="F677" s="12"/>
      <c r="G677" s="74"/>
    </row>
    <row r="678" ht="13.5" customHeight="1">
      <c r="E678" s="51"/>
      <c r="F678" s="12"/>
      <c r="G678" s="74"/>
    </row>
    <row r="679" ht="13.5" customHeight="1">
      <c r="E679" s="51"/>
      <c r="F679" s="12"/>
      <c r="G679" s="74"/>
    </row>
    <row r="680" ht="13.5" customHeight="1">
      <c r="E680" s="51"/>
      <c r="F680" s="12"/>
      <c r="G680" s="74"/>
    </row>
    <row r="681" ht="13.5" customHeight="1">
      <c r="E681" s="51"/>
      <c r="F681" s="12"/>
      <c r="G681" s="74"/>
    </row>
    <row r="682" ht="13.5" customHeight="1">
      <c r="E682" s="51"/>
      <c r="F682" s="12"/>
      <c r="G682" s="74"/>
    </row>
    <row r="683" ht="13.5" customHeight="1">
      <c r="E683" s="51"/>
      <c r="F683" s="12"/>
      <c r="G683" s="74"/>
    </row>
    <row r="684" ht="13.5" customHeight="1">
      <c r="E684" s="51"/>
      <c r="F684" s="12"/>
      <c r="G684" s="74"/>
    </row>
    <row r="685" ht="13.5" customHeight="1">
      <c r="E685" s="51"/>
      <c r="F685" s="12"/>
      <c r="G685" s="74"/>
    </row>
    <row r="686" ht="13.5" customHeight="1">
      <c r="E686" s="51"/>
      <c r="F686" s="12"/>
      <c r="G686" s="74"/>
    </row>
    <row r="687" ht="13.5" customHeight="1">
      <c r="E687" s="51"/>
      <c r="F687" s="12"/>
      <c r="G687" s="74"/>
    </row>
    <row r="688" ht="13.5" customHeight="1">
      <c r="E688" s="51"/>
      <c r="F688" s="12"/>
      <c r="G688" s="74"/>
    </row>
    <row r="689" ht="13.5" customHeight="1">
      <c r="E689" s="51"/>
      <c r="F689" s="12"/>
      <c r="G689" s="74"/>
    </row>
    <row r="690" ht="13.5" customHeight="1">
      <c r="E690" s="51"/>
      <c r="F690" s="12"/>
      <c r="G690" s="74"/>
    </row>
    <row r="691" ht="13.5" customHeight="1">
      <c r="E691" s="51"/>
      <c r="F691" s="12"/>
      <c r="G691" s="74"/>
    </row>
    <row r="692" ht="13.5" customHeight="1">
      <c r="E692" s="51"/>
      <c r="F692" s="12"/>
      <c r="G692" s="74"/>
    </row>
    <row r="693" ht="13.5" customHeight="1">
      <c r="E693" s="51"/>
      <c r="F693" s="12"/>
      <c r="G693" s="74"/>
    </row>
    <row r="694" ht="13.5" customHeight="1">
      <c r="E694" s="51"/>
      <c r="F694" s="12"/>
      <c r="G694" s="74"/>
    </row>
    <row r="695" ht="13.5" customHeight="1">
      <c r="E695" s="51"/>
      <c r="F695" s="12"/>
      <c r="G695" s="74"/>
    </row>
    <row r="696" ht="13.5" customHeight="1">
      <c r="E696" s="51"/>
      <c r="F696" s="12"/>
      <c r="G696" s="74"/>
    </row>
    <row r="697" ht="13.5" customHeight="1">
      <c r="E697" s="51"/>
      <c r="F697" s="12"/>
      <c r="G697" s="74"/>
    </row>
    <row r="698" ht="13.5" customHeight="1">
      <c r="E698" s="51"/>
      <c r="F698" s="12"/>
      <c r="G698" s="74"/>
    </row>
    <row r="699" ht="13.5" customHeight="1">
      <c r="E699" s="51"/>
      <c r="F699" s="12"/>
      <c r="G699" s="74"/>
    </row>
    <row r="700" ht="13.5" customHeight="1">
      <c r="E700" s="51"/>
      <c r="F700" s="12"/>
      <c r="G700" s="74"/>
    </row>
    <row r="701" ht="13.5" customHeight="1">
      <c r="E701" s="51"/>
      <c r="F701" s="12"/>
      <c r="G701" s="74"/>
    </row>
    <row r="702" ht="13.5" customHeight="1">
      <c r="E702" s="51"/>
      <c r="F702" s="12"/>
      <c r="G702" s="74"/>
    </row>
    <row r="703" ht="13.5" customHeight="1">
      <c r="E703" s="51"/>
      <c r="F703" s="12"/>
      <c r="G703" s="74"/>
    </row>
    <row r="704" ht="13.5" customHeight="1">
      <c r="E704" s="51"/>
      <c r="F704" s="12"/>
      <c r="G704" s="74"/>
    </row>
    <row r="705" ht="13.5" customHeight="1">
      <c r="E705" s="51"/>
      <c r="F705" s="12"/>
      <c r="G705" s="74"/>
    </row>
    <row r="706" ht="13.5" customHeight="1">
      <c r="E706" s="51"/>
      <c r="F706" s="12"/>
      <c r="G706" s="74"/>
    </row>
    <row r="707" ht="13.5" customHeight="1">
      <c r="E707" s="51"/>
      <c r="F707" s="12"/>
      <c r="G707" s="74"/>
    </row>
    <row r="708" ht="13.5" customHeight="1">
      <c r="E708" s="51"/>
      <c r="F708" s="12"/>
      <c r="G708" s="74"/>
    </row>
    <row r="709" ht="13.5" customHeight="1">
      <c r="E709" s="51"/>
      <c r="F709" s="12"/>
      <c r="G709" s="74"/>
    </row>
    <row r="710" ht="13.5" customHeight="1">
      <c r="E710" s="51"/>
      <c r="F710" s="12"/>
      <c r="G710" s="74"/>
    </row>
    <row r="711" ht="13.5" customHeight="1">
      <c r="E711" s="51"/>
      <c r="F711" s="12"/>
      <c r="G711" s="74"/>
    </row>
    <row r="712" ht="13.5" customHeight="1">
      <c r="E712" s="51"/>
      <c r="F712" s="12"/>
      <c r="G712" s="74"/>
    </row>
    <row r="713" ht="13.5" customHeight="1">
      <c r="E713" s="51"/>
      <c r="F713" s="12"/>
      <c r="G713" s="74"/>
    </row>
    <row r="714" ht="13.5" customHeight="1">
      <c r="E714" s="51"/>
      <c r="F714" s="12"/>
      <c r="G714" s="74"/>
    </row>
    <row r="715" ht="13.5" customHeight="1">
      <c r="E715" s="51"/>
      <c r="F715" s="12"/>
      <c r="G715" s="74"/>
    </row>
    <row r="716" ht="13.5" customHeight="1">
      <c r="E716" s="51"/>
      <c r="F716" s="12"/>
      <c r="G716" s="74"/>
    </row>
    <row r="717" ht="13.5" customHeight="1">
      <c r="E717" s="51"/>
      <c r="F717" s="12"/>
      <c r="G717" s="74"/>
    </row>
    <row r="718" ht="13.5" customHeight="1">
      <c r="E718" s="51"/>
      <c r="F718" s="12"/>
      <c r="G718" s="74"/>
    </row>
    <row r="719" ht="13.5" customHeight="1">
      <c r="E719" s="51"/>
      <c r="F719" s="12"/>
      <c r="G719" s="74"/>
    </row>
    <row r="720" ht="13.5" customHeight="1">
      <c r="E720" s="51"/>
      <c r="F720" s="12"/>
      <c r="G720" s="74"/>
    </row>
    <row r="721" ht="13.5" customHeight="1">
      <c r="E721" s="51"/>
      <c r="F721" s="12"/>
      <c r="G721" s="74"/>
    </row>
    <row r="722" ht="13.5" customHeight="1">
      <c r="E722" s="51"/>
      <c r="F722" s="12"/>
      <c r="G722" s="74"/>
    </row>
    <row r="723" ht="13.5" customHeight="1">
      <c r="E723" s="51"/>
      <c r="F723" s="12"/>
      <c r="G723" s="74"/>
    </row>
    <row r="724" ht="13.5" customHeight="1">
      <c r="E724" s="51"/>
      <c r="F724" s="12"/>
      <c r="G724" s="74"/>
    </row>
    <row r="725" ht="13.5" customHeight="1">
      <c r="E725" s="51"/>
      <c r="F725" s="12"/>
      <c r="G725" s="74"/>
    </row>
    <row r="726" ht="13.5" customHeight="1">
      <c r="E726" s="51"/>
      <c r="F726" s="12"/>
      <c r="G726" s="74"/>
    </row>
    <row r="727" ht="13.5" customHeight="1">
      <c r="E727" s="51"/>
      <c r="F727" s="12"/>
      <c r="G727" s="74"/>
    </row>
    <row r="728" ht="13.5" customHeight="1">
      <c r="E728" s="51"/>
      <c r="F728" s="12"/>
      <c r="G728" s="74"/>
    </row>
    <row r="729" ht="13.5" customHeight="1">
      <c r="E729" s="51"/>
      <c r="F729" s="12"/>
      <c r="G729" s="74"/>
    </row>
    <row r="730" ht="13.5" customHeight="1">
      <c r="E730" s="51"/>
      <c r="F730" s="12"/>
      <c r="G730" s="74"/>
    </row>
    <row r="731" ht="13.5" customHeight="1">
      <c r="E731" s="51"/>
      <c r="F731" s="12"/>
      <c r="G731" s="74"/>
    </row>
    <row r="732" ht="13.5" customHeight="1">
      <c r="E732" s="51"/>
      <c r="F732" s="12"/>
      <c r="G732" s="74"/>
    </row>
    <row r="733" ht="13.5" customHeight="1">
      <c r="E733" s="51"/>
      <c r="F733" s="12"/>
      <c r="G733" s="74"/>
    </row>
    <row r="734" ht="13.5" customHeight="1">
      <c r="E734" s="51"/>
      <c r="F734" s="12"/>
      <c r="G734" s="74"/>
    </row>
    <row r="735" ht="13.5" customHeight="1">
      <c r="E735" s="51"/>
      <c r="F735" s="12"/>
      <c r="G735" s="74"/>
    </row>
    <row r="736" ht="13.5" customHeight="1">
      <c r="E736" s="51"/>
      <c r="F736" s="12"/>
      <c r="G736" s="74"/>
    </row>
    <row r="737" ht="13.5" customHeight="1">
      <c r="E737" s="51"/>
      <c r="F737" s="12"/>
      <c r="G737" s="74"/>
    </row>
    <row r="738" ht="13.5" customHeight="1">
      <c r="E738" s="51"/>
      <c r="F738" s="12"/>
      <c r="G738" s="74"/>
    </row>
    <row r="739" ht="13.5" customHeight="1">
      <c r="E739" s="51"/>
      <c r="F739" s="12"/>
      <c r="G739" s="74"/>
    </row>
    <row r="740" ht="13.5" customHeight="1">
      <c r="E740" s="51"/>
      <c r="F740" s="12"/>
      <c r="G740" s="74"/>
    </row>
    <row r="741" ht="13.5" customHeight="1">
      <c r="E741" s="51"/>
      <c r="F741" s="12"/>
      <c r="G741" s="74"/>
    </row>
    <row r="742" ht="13.5" customHeight="1">
      <c r="E742" s="51"/>
      <c r="F742" s="12"/>
      <c r="G742" s="74"/>
    </row>
    <row r="743" ht="13.5" customHeight="1">
      <c r="E743" s="51"/>
      <c r="F743" s="12"/>
      <c r="G743" s="74"/>
    </row>
    <row r="744" ht="13.5" customHeight="1">
      <c r="E744" s="51"/>
      <c r="F744" s="12"/>
      <c r="G744" s="74"/>
    </row>
    <row r="745" ht="13.5" customHeight="1">
      <c r="E745" s="51"/>
      <c r="F745" s="12"/>
      <c r="G745" s="74"/>
    </row>
    <row r="746" ht="13.5" customHeight="1">
      <c r="E746" s="51"/>
      <c r="F746" s="12"/>
      <c r="G746" s="74"/>
    </row>
    <row r="747" ht="13.5" customHeight="1">
      <c r="E747" s="51"/>
      <c r="F747" s="12"/>
      <c r="G747" s="74"/>
    </row>
    <row r="748" ht="13.5" customHeight="1">
      <c r="E748" s="51"/>
      <c r="F748" s="12"/>
      <c r="G748" s="74"/>
    </row>
    <row r="749" ht="13.5" customHeight="1">
      <c r="E749" s="51"/>
      <c r="F749" s="12"/>
      <c r="G749" s="74"/>
    </row>
    <row r="750" ht="13.5" customHeight="1">
      <c r="E750" s="51"/>
      <c r="F750" s="12"/>
      <c r="G750" s="74"/>
    </row>
    <row r="751" ht="13.5" customHeight="1">
      <c r="E751" s="51"/>
      <c r="F751" s="12"/>
      <c r="G751" s="74"/>
    </row>
    <row r="752" ht="13.5" customHeight="1">
      <c r="E752" s="51"/>
      <c r="F752" s="12"/>
      <c r="G752" s="74"/>
    </row>
    <row r="753" ht="13.5" customHeight="1">
      <c r="E753" s="51"/>
      <c r="F753" s="12"/>
      <c r="G753" s="74"/>
    </row>
    <row r="754" ht="13.5" customHeight="1">
      <c r="E754" s="51"/>
      <c r="F754" s="12"/>
      <c r="G754" s="74"/>
    </row>
    <row r="755" ht="13.5" customHeight="1">
      <c r="E755" s="51"/>
      <c r="F755" s="12"/>
      <c r="G755" s="74"/>
    </row>
    <row r="756" ht="13.5" customHeight="1">
      <c r="E756" s="51"/>
      <c r="F756" s="12"/>
      <c r="G756" s="74"/>
    </row>
    <row r="757" ht="13.5" customHeight="1">
      <c r="E757" s="51"/>
      <c r="F757" s="12"/>
      <c r="G757" s="74"/>
    </row>
    <row r="758" ht="13.5" customHeight="1">
      <c r="E758" s="51"/>
      <c r="F758" s="12"/>
      <c r="G758" s="74"/>
    </row>
    <row r="759" ht="13.5" customHeight="1">
      <c r="E759" s="51"/>
      <c r="F759" s="12"/>
      <c r="G759" s="74"/>
    </row>
    <row r="760" ht="13.5" customHeight="1">
      <c r="E760" s="51"/>
      <c r="F760" s="12"/>
      <c r="G760" s="74"/>
    </row>
    <row r="761" ht="13.5" customHeight="1">
      <c r="E761" s="51"/>
      <c r="F761" s="12"/>
      <c r="G761" s="74"/>
    </row>
    <row r="762" ht="13.5" customHeight="1">
      <c r="E762" s="51"/>
      <c r="F762" s="12"/>
      <c r="G762" s="74"/>
    </row>
    <row r="763" ht="13.5" customHeight="1">
      <c r="E763" s="51"/>
      <c r="F763" s="12"/>
      <c r="G763" s="74"/>
    </row>
    <row r="764" ht="13.5" customHeight="1">
      <c r="E764" s="51"/>
      <c r="F764" s="12"/>
      <c r="G764" s="74"/>
    </row>
    <row r="765" ht="13.5" customHeight="1">
      <c r="E765" s="51"/>
      <c r="F765" s="12"/>
      <c r="G765" s="74"/>
    </row>
    <row r="766" ht="13.5" customHeight="1">
      <c r="E766" s="51"/>
      <c r="F766" s="12"/>
      <c r="G766" s="74"/>
    </row>
    <row r="767" ht="13.5" customHeight="1">
      <c r="E767" s="51"/>
      <c r="F767" s="12"/>
      <c r="G767" s="74"/>
    </row>
    <row r="768" ht="13.5" customHeight="1">
      <c r="E768" s="51"/>
      <c r="F768" s="12"/>
      <c r="G768" s="74"/>
    </row>
    <row r="769" ht="13.5" customHeight="1">
      <c r="E769" s="51"/>
      <c r="F769" s="12"/>
      <c r="G769" s="74"/>
    </row>
    <row r="770" ht="13.5" customHeight="1">
      <c r="E770" s="51"/>
      <c r="F770" s="12"/>
      <c r="G770" s="74"/>
    </row>
    <row r="771" ht="13.5" customHeight="1">
      <c r="E771" s="51"/>
      <c r="F771" s="12"/>
      <c r="G771" s="74"/>
    </row>
    <row r="772" ht="13.5" customHeight="1">
      <c r="E772" s="51"/>
      <c r="F772" s="12"/>
      <c r="G772" s="74"/>
    </row>
    <row r="773" ht="13.5" customHeight="1">
      <c r="E773" s="51"/>
      <c r="F773" s="12"/>
      <c r="G773" s="74"/>
    </row>
    <row r="774" ht="13.5" customHeight="1">
      <c r="E774" s="51"/>
      <c r="F774" s="12"/>
      <c r="G774" s="74"/>
    </row>
    <row r="775" ht="13.5" customHeight="1">
      <c r="E775" s="51"/>
      <c r="F775" s="12"/>
      <c r="G775" s="74"/>
    </row>
    <row r="776" ht="13.5" customHeight="1">
      <c r="E776" s="51"/>
      <c r="F776" s="12"/>
      <c r="G776" s="74"/>
    </row>
    <row r="777" ht="13.5" customHeight="1">
      <c r="E777" s="51"/>
      <c r="F777" s="12"/>
      <c r="G777" s="74"/>
    </row>
    <row r="778" ht="13.5" customHeight="1">
      <c r="E778" s="51"/>
      <c r="F778" s="12"/>
      <c r="G778" s="74"/>
    </row>
    <row r="779" ht="13.5" customHeight="1">
      <c r="E779" s="51"/>
      <c r="F779" s="12"/>
      <c r="G779" s="74"/>
    </row>
    <row r="780" ht="13.5" customHeight="1">
      <c r="E780" s="51"/>
      <c r="F780" s="12"/>
      <c r="G780" s="74"/>
    </row>
    <row r="781" ht="13.5" customHeight="1">
      <c r="E781" s="51"/>
      <c r="F781" s="12"/>
      <c r="G781" s="74"/>
    </row>
    <row r="782" ht="13.5" customHeight="1">
      <c r="E782" s="51"/>
      <c r="F782" s="12"/>
      <c r="G782" s="74"/>
    </row>
    <row r="783" ht="13.5" customHeight="1">
      <c r="E783" s="51"/>
      <c r="F783" s="12"/>
      <c r="G783" s="74"/>
    </row>
    <row r="784" ht="13.5" customHeight="1">
      <c r="E784" s="51"/>
      <c r="F784" s="12"/>
      <c r="G784" s="74"/>
    </row>
    <row r="785" ht="13.5" customHeight="1">
      <c r="E785" s="51"/>
      <c r="F785" s="12"/>
      <c r="G785" s="74"/>
    </row>
    <row r="786" ht="13.5" customHeight="1">
      <c r="E786" s="51"/>
      <c r="F786" s="12"/>
      <c r="G786" s="74"/>
    </row>
    <row r="787" ht="13.5" customHeight="1">
      <c r="E787" s="51"/>
      <c r="F787" s="12"/>
      <c r="G787" s="74"/>
    </row>
    <row r="788" ht="13.5" customHeight="1">
      <c r="E788" s="51"/>
      <c r="F788" s="12"/>
      <c r="G788" s="74"/>
    </row>
    <row r="789" ht="13.5" customHeight="1">
      <c r="E789" s="51"/>
      <c r="F789" s="12"/>
      <c r="G789" s="74"/>
    </row>
    <row r="790" ht="13.5" customHeight="1">
      <c r="E790" s="51"/>
      <c r="F790" s="12"/>
      <c r="G790" s="74"/>
    </row>
    <row r="791" ht="13.5" customHeight="1">
      <c r="E791" s="51"/>
      <c r="F791" s="12"/>
      <c r="G791" s="74"/>
    </row>
    <row r="792" ht="13.5" customHeight="1">
      <c r="E792" s="51"/>
      <c r="F792" s="12"/>
      <c r="G792" s="74"/>
    </row>
    <row r="793" ht="13.5" customHeight="1">
      <c r="E793" s="51"/>
      <c r="F793" s="12"/>
      <c r="G793" s="74"/>
    </row>
    <row r="794" ht="13.5" customHeight="1">
      <c r="E794" s="51"/>
      <c r="F794" s="12"/>
      <c r="G794" s="74"/>
    </row>
    <row r="795" ht="13.5" customHeight="1">
      <c r="E795" s="51"/>
      <c r="F795" s="12"/>
      <c r="G795" s="74"/>
    </row>
    <row r="796" ht="13.5" customHeight="1">
      <c r="E796" s="51"/>
      <c r="F796" s="12"/>
      <c r="G796" s="74"/>
    </row>
    <row r="797" ht="13.5" customHeight="1">
      <c r="E797" s="51"/>
      <c r="F797" s="12"/>
      <c r="G797" s="74"/>
    </row>
    <row r="798" ht="13.5" customHeight="1">
      <c r="E798" s="51"/>
      <c r="F798" s="12"/>
      <c r="G798" s="74"/>
    </row>
    <row r="799" ht="13.5" customHeight="1">
      <c r="E799" s="51"/>
      <c r="F799" s="12"/>
      <c r="G799" s="74"/>
    </row>
    <row r="800" ht="13.5" customHeight="1">
      <c r="E800" s="51"/>
      <c r="F800" s="12"/>
      <c r="G800" s="74"/>
    </row>
    <row r="801" ht="13.5" customHeight="1">
      <c r="E801" s="51"/>
      <c r="F801" s="12"/>
      <c r="G801" s="74"/>
    </row>
    <row r="802" ht="13.5" customHeight="1">
      <c r="E802" s="51"/>
      <c r="F802" s="12"/>
      <c r="G802" s="74"/>
    </row>
    <row r="803" ht="13.5" customHeight="1">
      <c r="E803" s="51"/>
      <c r="F803" s="12"/>
      <c r="G803" s="74"/>
    </row>
    <row r="804" ht="13.5" customHeight="1">
      <c r="E804" s="51"/>
      <c r="F804" s="12"/>
      <c r="G804" s="74"/>
    </row>
    <row r="805" ht="13.5" customHeight="1">
      <c r="E805" s="51"/>
      <c r="F805" s="12"/>
      <c r="G805" s="74"/>
    </row>
    <row r="806" ht="13.5" customHeight="1">
      <c r="E806" s="51"/>
      <c r="F806" s="12"/>
      <c r="G806" s="74"/>
    </row>
    <row r="807" ht="13.5" customHeight="1">
      <c r="E807" s="51"/>
      <c r="F807" s="12"/>
      <c r="G807" s="74"/>
    </row>
    <row r="808" ht="13.5" customHeight="1">
      <c r="E808" s="51"/>
      <c r="F808" s="12"/>
      <c r="G808" s="74"/>
    </row>
    <row r="809" ht="13.5" customHeight="1">
      <c r="E809" s="51"/>
      <c r="F809" s="12"/>
      <c r="G809" s="74"/>
    </row>
    <row r="810" ht="13.5" customHeight="1">
      <c r="E810" s="51"/>
      <c r="F810" s="12"/>
      <c r="G810" s="74"/>
    </row>
    <row r="811" ht="13.5" customHeight="1">
      <c r="E811" s="51"/>
      <c r="F811" s="12"/>
      <c r="G811" s="74"/>
    </row>
    <row r="812" ht="13.5" customHeight="1">
      <c r="E812" s="51"/>
      <c r="F812" s="12"/>
      <c r="G812" s="74"/>
    </row>
    <row r="813" ht="13.5" customHeight="1">
      <c r="E813" s="51"/>
      <c r="F813" s="12"/>
      <c r="G813" s="74"/>
    </row>
    <row r="814" ht="13.5" customHeight="1">
      <c r="E814" s="51"/>
      <c r="F814" s="12"/>
      <c r="G814" s="74"/>
    </row>
    <row r="815" ht="13.5" customHeight="1">
      <c r="E815" s="51"/>
      <c r="F815" s="12"/>
      <c r="G815" s="74"/>
    </row>
    <row r="816" ht="13.5" customHeight="1">
      <c r="E816" s="51"/>
      <c r="F816" s="12"/>
      <c r="G816" s="74"/>
    </row>
    <row r="817" ht="13.5" customHeight="1">
      <c r="E817" s="51"/>
      <c r="F817" s="12"/>
      <c r="G817" s="74"/>
    </row>
    <row r="818" ht="13.5" customHeight="1">
      <c r="E818" s="51"/>
      <c r="F818" s="12"/>
      <c r="G818" s="74"/>
    </row>
    <row r="819" ht="13.5" customHeight="1">
      <c r="E819" s="51"/>
      <c r="F819" s="12"/>
      <c r="G819" s="74"/>
    </row>
    <row r="820" ht="13.5" customHeight="1">
      <c r="E820" s="51"/>
      <c r="F820" s="12"/>
      <c r="G820" s="74"/>
    </row>
    <row r="821" ht="13.5" customHeight="1">
      <c r="E821" s="51"/>
      <c r="F821" s="12"/>
      <c r="G821" s="74"/>
    </row>
    <row r="822" ht="13.5" customHeight="1">
      <c r="E822" s="51"/>
      <c r="F822" s="12"/>
      <c r="G822" s="74"/>
    </row>
    <row r="823" ht="13.5" customHeight="1">
      <c r="E823" s="51"/>
      <c r="F823" s="12"/>
      <c r="G823" s="74"/>
    </row>
    <row r="824" ht="13.5" customHeight="1">
      <c r="E824" s="51"/>
      <c r="F824" s="12"/>
      <c r="G824" s="74"/>
    </row>
    <row r="825" ht="13.5" customHeight="1">
      <c r="E825" s="51"/>
      <c r="F825" s="12"/>
      <c r="G825" s="74"/>
    </row>
    <row r="826" ht="13.5" customHeight="1">
      <c r="E826" s="51"/>
      <c r="F826" s="12"/>
      <c r="G826" s="74"/>
    </row>
    <row r="827" ht="13.5" customHeight="1">
      <c r="E827" s="51"/>
      <c r="F827" s="12"/>
      <c r="G827" s="74"/>
    </row>
    <row r="828" ht="13.5" customHeight="1">
      <c r="E828" s="51"/>
      <c r="F828" s="12"/>
      <c r="G828" s="74"/>
    </row>
    <row r="829" ht="13.5" customHeight="1">
      <c r="E829" s="51"/>
      <c r="F829" s="12"/>
      <c r="G829" s="74"/>
    </row>
    <row r="830" ht="13.5" customHeight="1">
      <c r="E830" s="51"/>
      <c r="F830" s="12"/>
      <c r="G830" s="74"/>
    </row>
    <row r="831" ht="13.5" customHeight="1">
      <c r="E831" s="51"/>
      <c r="F831" s="12"/>
      <c r="G831" s="74"/>
    </row>
    <row r="832" ht="13.5" customHeight="1">
      <c r="E832" s="51"/>
      <c r="F832" s="12"/>
      <c r="G832" s="74"/>
    </row>
    <row r="833" ht="13.5" customHeight="1">
      <c r="E833" s="51"/>
      <c r="F833" s="12"/>
      <c r="G833" s="74"/>
    </row>
    <row r="834" ht="13.5" customHeight="1">
      <c r="E834" s="51"/>
      <c r="F834" s="12"/>
      <c r="G834" s="74"/>
    </row>
    <row r="835" ht="13.5" customHeight="1">
      <c r="E835" s="51"/>
      <c r="F835" s="12"/>
      <c r="G835" s="74"/>
    </row>
    <row r="836" ht="13.5" customHeight="1">
      <c r="E836" s="51"/>
      <c r="F836" s="12"/>
      <c r="G836" s="74"/>
    </row>
    <row r="837" ht="13.5" customHeight="1">
      <c r="E837" s="51"/>
      <c r="F837" s="12"/>
      <c r="G837" s="74"/>
    </row>
    <row r="838" ht="13.5" customHeight="1">
      <c r="E838" s="51"/>
      <c r="F838" s="12"/>
      <c r="G838" s="74"/>
    </row>
    <row r="839" ht="13.5" customHeight="1">
      <c r="E839" s="51"/>
      <c r="F839" s="12"/>
      <c r="G839" s="74"/>
    </row>
    <row r="840" ht="13.5" customHeight="1">
      <c r="E840" s="51"/>
      <c r="F840" s="12"/>
      <c r="G840" s="74"/>
    </row>
    <row r="841" ht="13.5" customHeight="1">
      <c r="E841" s="51"/>
      <c r="F841" s="12"/>
      <c r="G841" s="74"/>
    </row>
    <row r="842" ht="13.5" customHeight="1">
      <c r="E842" s="51"/>
      <c r="F842" s="12"/>
      <c r="G842" s="74"/>
    </row>
    <row r="843" ht="13.5" customHeight="1">
      <c r="E843" s="51"/>
      <c r="F843" s="12"/>
      <c r="G843" s="74"/>
    </row>
    <row r="844" ht="13.5" customHeight="1">
      <c r="E844" s="51"/>
      <c r="F844" s="12"/>
      <c r="G844" s="74"/>
    </row>
    <row r="845" ht="13.5" customHeight="1">
      <c r="E845" s="51"/>
      <c r="F845" s="12"/>
      <c r="G845" s="74"/>
    </row>
    <row r="846" ht="13.5" customHeight="1">
      <c r="E846" s="51"/>
      <c r="F846" s="12"/>
      <c r="G846" s="74"/>
    </row>
    <row r="847" ht="13.5" customHeight="1">
      <c r="E847" s="51"/>
      <c r="F847" s="12"/>
      <c r="G847" s="74"/>
    </row>
    <row r="848" ht="13.5" customHeight="1">
      <c r="E848" s="51"/>
      <c r="F848" s="12"/>
      <c r="G848" s="74"/>
    </row>
    <row r="849" ht="13.5" customHeight="1">
      <c r="E849" s="51"/>
      <c r="F849" s="12"/>
      <c r="G849" s="74"/>
    </row>
    <row r="850" ht="13.5" customHeight="1">
      <c r="E850" s="51"/>
      <c r="F850" s="12"/>
      <c r="G850" s="74"/>
    </row>
    <row r="851" ht="13.5" customHeight="1">
      <c r="E851" s="51"/>
      <c r="F851" s="12"/>
      <c r="G851" s="74"/>
    </row>
    <row r="852" ht="13.5" customHeight="1">
      <c r="E852" s="51"/>
      <c r="F852" s="12"/>
      <c r="G852" s="74"/>
    </row>
    <row r="853" ht="13.5" customHeight="1">
      <c r="E853" s="51"/>
      <c r="F853" s="12"/>
      <c r="G853" s="74"/>
    </row>
    <row r="854" ht="13.5" customHeight="1">
      <c r="E854" s="51"/>
      <c r="F854" s="12"/>
      <c r="G854" s="74"/>
    </row>
    <row r="855" ht="13.5" customHeight="1">
      <c r="E855" s="51"/>
      <c r="F855" s="12"/>
      <c r="G855" s="74"/>
    </row>
    <row r="856" ht="13.5" customHeight="1">
      <c r="E856" s="51"/>
      <c r="F856" s="12"/>
      <c r="G856" s="74"/>
    </row>
    <row r="857" ht="13.5" customHeight="1">
      <c r="E857" s="51"/>
      <c r="F857" s="12"/>
      <c r="G857" s="74"/>
    </row>
    <row r="858" ht="13.5" customHeight="1">
      <c r="E858" s="51"/>
      <c r="F858" s="12"/>
      <c r="G858" s="74"/>
    </row>
    <row r="859" ht="13.5" customHeight="1">
      <c r="E859" s="51"/>
      <c r="F859" s="12"/>
      <c r="G859" s="74"/>
    </row>
    <row r="860" ht="13.5" customHeight="1">
      <c r="E860" s="51"/>
      <c r="F860" s="12"/>
      <c r="G860" s="74"/>
    </row>
    <row r="861" ht="13.5" customHeight="1">
      <c r="E861" s="51"/>
      <c r="F861" s="12"/>
      <c r="G861" s="74"/>
    </row>
    <row r="862" ht="13.5" customHeight="1">
      <c r="E862" s="51"/>
      <c r="F862" s="12"/>
      <c r="G862" s="74"/>
    </row>
    <row r="863" ht="13.5" customHeight="1">
      <c r="E863" s="51"/>
      <c r="F863" s="12"/>
      <c r="G863" s="74"/>
    </row>
    <row r="864" ht="13.5" customHeight="1">
      <c r="E864" s="51"/>
      <c r="F864" s="12"/>
      <c r="G864" s="74"/>
    </row>
    <row r="865" ht="13.5" customHeight="1">
      <c r="E865" s="51"/>
      <c r="F865" s="12"/>
      <c r="G865" s="74"/>
    </row>
    <row r="866" ht="13.5" customHeight="1">
      <c r="E866" s="51"/>
      <c r="F866" s="12"/>
      <c r="G866" s="74"/>
    </row>
    <row r="867" ht="13.5" customHeight="1">
      <c r="E867" s="51"/>
      <c r="F867" s="12"/>
      <c r="G867" s="74"/>
    </row>
    <row r="868" ht="13.5" customHeight="1">
      <c r="E868" s="51"/>
      <c r="F868" s="12"/>
      <c r="G868" s="74"/>
    </row>
    <row r="869" ht="13.5" customHeight="1">
      <c r="E869" s="51"/>
      <c r="F869" s="12"/>
      <c r="G869" s="74"/>
    </row>
    <row r="870" ht="13.5" customHeight="1">
      <c r="E870" s="51"/>
      <c r="F870" s="12"/>
      <c r="G870" s="74"/>
    </row>
    <row r="871" ht="13.5" customHeight="1">
      <c r="E871" s="51"/>
      <c r="F871" s="12"/>
      <c r="G871" s="74"/>
    </row>
    <row r="872" ht="13.5" customHeight="1">
      <c r="E872" s="51"/>
      <c r="F872" s="12"/>
      <c r="G872" s="74"/>
    </row>
    <row r="873" ht="13.5" customHeight="1">
      <c r="E873" s="51"/>
      <c r="F873" s="12"/>
      <c r="G873" s="74"/>
    </row>
    <row r="874" ht="13.5" customHeight="1">
      <c r="E874" s="51"/>
      <c r="F874" s="12"/>
      <c r="G874" s="74"/>
    </row>
    <row r="875" ht="13.5" customHeight="1">
      <c r="E875" s="51"/>
      <c r="F875" s="12"/>
      <c r="G875" s="74"/>
    </row>
    <row r="876" ht="13.5" customHeight="1">
      <c r="E876" s="51"/>
      <c r="F876" s="12"/>
      <c r="G876" s="74"/>
    </row>
    <row r="877" ht="13.5" customHeight="1">
      <c r="E877" s="51"/>
      <c r="F877" s="12"/>
      <c r="G877" s="74"/>
    </row>
    <row r="878" ht="13.5" customHeight="1">
      <c r="E878" s="51"/>
      <c r="F878" s="12"/>
      <c r="G878" s="74"/>
    </row>
    <row r="879" ht="13.5" customHeight="1">
      <c r="E879" s="51"/>
      <c r="F879" s="12"/>
      <c r="G879" s="74"/>
    </row>
    <row r="880" ht="13.5" customHeight="1">
      <c r="E880" s="51"/>
      <c r="F880" s="12"/>
      <c r="G880" s="74"/>
    </row>
    <row r="881" ht="13.5" customHeight="1">
      <c r="E881" s="51"/>
      <c r="F881" s="12"/>
      <c r="G881" s="74"/>
    </row>
    <row r="882" ht="13.5" customHeight="1">
      <c r="E882" s="51"/>
      <c r="F882" s="12"/>
      <c r="G882" s="74"/>
    </row>
    <row r="883" ht="13.5" customHeight="1">
      <c r="E883" s="51"/>
      <c r="F883" s="12"/>
      <c r="G883" s="74"/>
    </row>
    <row r="884" ht="13.5" customHeight="1">
      <c r="E884" s="51"/>
      <c r="F884" s="12"/>
      <c r="G884" s="74"/>
    </row>
    <row r="885" ht="13.5" customHeight="1">
      <c r="E885" s="51"/>
      <c r="F885" s="12"/>
      <c r="G885" s="74"/>
    </row>
    <row r="886" ht="13.5" customHeight="1">
      <c r="E886" s="51"/>
      <c r="F886" s="12"/>
      <c r="G886" s="74"/>
    </row>
    <row r="887" ht="13.5" customHeight="1">
      <c r="E887" s="51"/>
      <c r="F887" s="12"/>
      <c r="G887" s="74"/>
    </row>
    <row r="888" ht="13.5" customHeight="1">
      <c r="E888" s="51"/>
      <c r="F888" s="12"/>
      <c r="G888" s="74"/>
    </row>
    <row r="889" ht="13.5" customHeight="1">
      <c r="E889" s="51"/>
      <c r="F889" s="12"/>
      <c r="G889" s="74"/>
    </row>
    <row r="890" ht="13.5" customHeight="1">
      <c r="E890" s="51"/>
      <c r="F890" s="12"/>
      <c r="G890" s="74"/>
    </row>
    <row r="891" ht="13.5" customHeight="1">
      <c r="E891" s="51"/>
      <c r="F891" s="12"/>
      <c r="G891" s="74"/>
    </row>
    <row r="892" ht="13.5" customHeight="1">
      <c r="E892" s="51"/>
      <c r="F892" s="12"/>
      <c r="G892" s="74"/>
    </row>
    <row r="893" ht="13.5" customHeight="1">
      <c r="E893" s="51"/>
      <c r="F893" s="12"/>
      <c r="G893" s="74"/>
    </row>
    <row r="894" ht="13.5" customHeight="1">
      <c r="E894" s="51"/>
      <c r="F894" s="12"/>
      <c r="G894" s="74"/>
    </row>
    <row r="895" ht="13.5" customHeight="1">
      <c r="E895" s="51"/>
      <c r="F895" s="12"/>
      <c r="G895" s="74"/>
    </row>
    <row r="896" ht="13.5" customHeight="1">
      <c r="E896" s="51"/>
      <c r="F896" s="12"/>
      <c r="G896" s="74"/>
    </row>
    <row r="897" ht="13.5" customHeight="1">
      <c r="E897" s="51"/>
      <c r="F897" s="12"/>
      <c r="G897" s="74"/>
    </row>
    <row r="898" ht="13.5" customHeight="1">
      <c r="E898" s="51"/>
      <c r="F898" s="12"/>
      <c r="G898" s="74"/>
    </row>
    <row r="899" ht="13.5" customHeight="1">
      <c r="E899" s="51"/>
      <c r="F899" s="12"/>
      <c r="G899" s="74"/>
    </row>
    <row r="900" ht="13.5" customHeight="1">
      <c r="E900" s="51"/>
      <c r="F900" s="12"/>
      <c r="G900" s="74"/>
    </row>
    <row r="901" ht="13.5" customHeight="1">
      <c r="E901" s="51"/>
      <c r="F901" s="12"/>
      <c r="G901" s="74"/>
    </row>
    <row r="902" ht="13.5" customHeight="1">
      <c r="E902" s="51"/>
      <c r="F902" s="12"/>
      <c r="G902" s="74"/>
    </row>
    <row r="903" ht="13.5" customHeight="1">
      <c r="E903" s="51"/>
      <c r="F903" s="12"/>
      <c r="G903" s="74"/>
    </row>
    <row r="904" ht="13.5" customHeight="1">
      <c r="E904" s="51"/>
      <c r="F904" s="12"/>
      <c r="G904" s="74"/>
    </row>
    <row r="905" ht="13.5" customHeight="1">
      <c r="E905" s="51"/>
      <c r="F905" s="12"/>
      <c r="G905" s="74"/>
    </row>
    <row r="906" ht="13.5" customHeight="1">
      <c r="E906" s="51"/>
      <c r="F906" s="12"/>
      <c r="G906" s="74"/>
    </row>
    <row r="907" ht="13.5" customHeight="1">
      <c r="E907" s="51"/>
      <c r="F907" s="12"/>
      <c r="G907" s="74"/>
    </row>
    <row r="908" ht="13.5" customHeight="1">
      <c r="E908" s="51"/>
      <c r="F908" s="12"/>
      <c r="G908" s="74"/>
    </row>
    <row r="909" ht="13.5" customHeight="1">
      <c r="E909" s="51"/>
      <c r="F909" s="12"/>
      <c r="G909" s="74"/>
    </row>
    <row r="910" ht="13.5" customHeight="1">
      <c r="E910" s="51"/>
      <c r="F910" s="12"/>
      <c r="G910" s="74"/>
    </row>
    <row r="911" ht="13.5" customHeight="1">
      <c r="E911" s="51"/>
      <c r="F911" s="12"/>
      <c r="G911" s="74"/>
    </row>
    <row r="912" ht="13.5" customHeight="1">
      <c r="E912" s="51"/>
      <c r="F912" s="12"/>
      <c r="G912" s="74"/>
    </row>
    <row r="913" ht="13.5" customHeight="1">
      <c r="E913" s="51"/>
      <c r="F913" s="12"/>
      <c r="G913" s="74"/>
    </row>
    <row r="914" ht="13.5" customHeight="1">
      <c r="E914" s="51"/>
      <c r="F914" s="12"/>
      <c r="G914" s="74"/>
    </row>
    <row r="915" ht="13.5" customHeight="1">
      <c r="E915" s="51"/>
      <c r="F915" s="12"/>
      <c r="G915" s="74"/>
    </row>
    <row r="916" ht="13.5" customHeight="1">
      <c r="E916" s="51"/>
      <c r="F916" s="12"/>
      <c r="G916" s="74"/>
    </row>
    <row r="917" ht="13.5" customHeight="1">
      <c r="E917" s="51"/>
      <c r="F917" s="12"/>
      <c r="G917" s="74"/>
    </row>
    <row r="918" ht="13.5" customHeight="1">
      <c r="E918" s="51"/>
      <c r="F918" s="12"/>
      <c r="G918" s="74"/>
    </row>
    <row r="919" ht="13.5" customHeight="1">
      <c r="E919" s="51"/>
      <c r="F919" s="12"/>
      <c r="G919" s="74"/>
    </row>
    <row r="920" ht="13.5" customHeight="1">
      <c r="E920" s="51"/>
      <c r="F920" s="12"/>
      <c r="G920" s="74"/>
    </row>
    <row r="921" ht="13.5" customHeight="1">
      <c r="E921" s="51"/>
      <c r="F921" s="12"/>
      <c r="G921" s="74"/>
    </row>
    <row r="922" ht="13.5" customHeight="1">
      <c r="E922" s="51"/>
      <c r="F922" s="12"/>
      <c r="G922" s="74"/>
    </row>
    <row r="923" ht="13.5" customHeight="1">
      <c r="E923" s="51"/>
      <c r="F923" s="12"/>
      <c r="G923" s="74"/>
    </row>
    <row r="924" ht="13.5" customHeight="1">
      <c r="E924" s="51"/>
      <c r="F924" s="12"/>
      <c r="G924" s="74"/>
    </row>
    <row r="925" ht="13.5" customHeight="1">
      <c r="E925" s="51"/>
      <c r="F925" s="12"/>
      <c r="G925" s="74"/>
    </row>
    <row r="926" ht="13.5" customHeight="1">
      <c r="E926" s="51"/>
      <c r="F926" s="12"/>
      <c r="G926" s="74"/>
    </row>
    <row r="927" ht="13.5" customHeight="1">
      <c r="E927" s="51"/>
      <c r="F927" s="12"/>
      <c r="G927" s="74"/>
    </row>
    <row r="928" ht="13.5" customHeight="1">
      <c r="E928" s="51"/>
      <c r="F928" s="12"/>
      <c r="G928" s="74"/>
    </row>
    <row r="929" ht="13.5" customHeight="1">
      <c r="E929" s="51"/>
      <c r="F929" s="12"/>
      <c r="G929" s="74"/>
    </row>
    <row r="930" ht="13.5" customHeight="1">
      <c r="E930" s="51"/>
      <c r="F930" s="12"/>
      <c r="G930" s="74"/>
    </row>
    <row r="931" ht="13.5" customHeight="1">
      <c r="E931" s="51"/>
      <c r="F931" s="12"/>
      <c r="G931" s="74"/>
    </row>
    <row r="932" ht="13.5" customHeight="1">
      <c r="E932" s="51"/>
      <c r="F932" s="12"/>
      <c r="G932" s="74"/>
    </row>
    <row r="933" ht="13.5" customHeight="1">
      <c r="E933" s="51"/>
      <c r="F933" s="12"/>
      <c r="G933" s="74"/>
    </row>
    <row r="934" ht="13.5" customHeight="1">
      <c r="E934" s="51"/>
      <c r="F934" s="12"/>
      <c r="G934" s="74"/>
    </row>
    <row r="935" ht="13.5" customHeight="1">
      <c r="E935" s="51"/>
      <c r="F935" s="12"/>
      <c r="G935" s="74"/>
    </row>
    <row r="936" ht="13.5" customHeight="1">
      <c r="E936" s="51"/>
      <c r="F936" s="12"/>
      <c r="G936" s="74"/>
    </row>
    <row r="937" ht="13.5" customHeight="1">
      <c r="E937" s="51"/>
      <c r="F937" s="12"/>
      <c r="G937" s="74"/>
    </row>
    <row r="938" ht="13.5" customHeight="1">
      <c r="E938" s="51"/>
      <c r="F938" s="12"/>
      <c r="G938" s="74"/>
    </row>
    <row r="939" ht="13.5" customHeight="1">
      <c r="E939" s="51"/>
      <c r="F939" s="12"/>
      <c r="G939" s="74"/>
    </row>
    <row r="940" ht="13.5" customHeight="1">
      <c r="E940" s="51"/>
      <c r="F940" s="12"/>
      <c r="G940" s="74"/>
    </row>
    <row r="941" ht="13.5" customHeight="1">
      <c r="E941" s="51"/>
      <c r="F941" s="12"/>
      <c r="G941" s="74"/>
    </row>
    <row r="942" ht="13.5" customHeight="1">
      <c r="E942" s="51"/>
      <c r="F942" s="12"/>
      <c r="G942" s="74"/>
    </row>
    <row r="943" ht="13.5" customHeight="1">
      <c r="E943" s="51"/>
      <c r="F943" s="12"/>
      <c r="G943" s="74"/>
    </row>
    <row r="944" ht="13.5" customHeight="1">
      <c r="E944" s="51"/>
      <c r="F944" s="12"/>
      <c r="G944" s="74"/>
    </row>
    <row r="945" ht="13.5" customHeight="1">
      <c r="E945" s="51"/>
      <c r="F945" s="12"/>
      <c r="G945" s="74"/>
    </row>
    <row r="946" ht="13.5" customHeight="1">
      <c r="E946" s="51"/>
      <c r="F946" s="12"/>
      <c r="G946" s="74"/>
    </row>
    <row r="947" ht="13.5" customHeight="1">
      <c r="E947" s="51"/>
      <c r="F947" s="12"/>
      <c r="G947" s="74"/>
    </row>
    <row r="948" ht="13.5" customHeight="1">
      <c r="E948" s="51"/>
      <c r="F948" s="12"/>
      <c r="G948" s="74"/>
    </row>
    <row r="949" ht="13.5" customHeight="1">
      <c r="E949" s="51"/>
      <c r="F949" s="12"/>
      <c r="G949" s="74"/>
    </row>
    <row r="950" ht="13.5" customHeight="1">
      <c r="E950" s="51"/>
      <c r="F950" s="12"/>
      <c r="G950" s="74"/>
    </row>
    <row r="951" ht="13.5" customHeight="1">
      <c r="E951" s="51"/>
      <c r="F951" s="12"/>
      <c r="G951" s="74"/>
    </row>
    <row r="952" ht="13.5" customHeight="1">
      <c r="E952" s="51"/>
      <c r="F952" s="12"/>
      <c r="G952" s="74"/>
    </row>
    <row r="953" ht="13.5" customHeight="1">
      <c r="E953" s="51"/>
      <c r="F953" s="12"/>
      <c r="G953" s="74"/>
    </row>
    <row r="954" ht="13.5" customHeight="1">
      <c r="E954" s="51"/>
      <c r="F954" s="12"/>
      <c r="G954" s="74"/>
    </row>
    <row r="955" ht="13.5" customHeight="1">
      <c r="E955" s="51"/>
      <c r="F955" s="12"/>
      <c r="G955" s="74"/>
    </row>
    <row r="956" ht="13.5" customHeight="1">
      <c r="E956" s="51"/>
      <c r="F956" s="12"/>
      <c r="G956" s="74"/>
    </row>
    <row r="957" ht="13.5" customHeight="1">
      <c r="E957" s="51"/>
      <c r="F957" s="12"/>
      <c r="G957" s="74"/>
    </row>
    <row r="958" ht="13.5" customHeight="1">
      <c r="E958" s="51"/>
      <c r="F958" s="12"/>
      <c r="G958" s="74"/>
    </row>
    <row r="959" ht="13.5" customHeight="1">
      <c r="E959" s="51"/>
      <c r="F959" s="12"/>
      <c r="G959" s="74"/>
    </row>
    <row r="960" ht="13.5" customHeight="1">
      <c r="E960" s="51"/>
      <c r="F960" s="12"/>
      <c r="G960" s="74"/>
    </row>
    <row r="961" ht="13.5" customHeight="1">
      <c r="E961" s="51"/>
      <c r="F961" s="12"/>
      <c r="G961" s="74"/>
    </row>
    <row r="962" ht="13.5" customHeight="1">
      <c r="E962" s="51"/>
      <c r="F962" s="12"/>
      <c r="G962" s="74"/>
    </row>
    <row r="963" ht="13.5" customHeight="1">
      <c r="E963" s="51"/>
      <c r="F963" s="12"/>
      <c r="G963" s="74"/>
    </row>
    <row r="964" ht="13.5" customHeight="1">
      <c r="E964" s="51"/>
      <c r="F964" s="12"/>
      <c r="G964" s="74"/>
    </row>
    <row r="965" ht="13.5" customHeight="1">
      <c r="E965" s="51"/>
      <c r="F965" s="12"/>
      <c r="G965" s="74"/>
    </row>
    <row r="966" ht="13.5" customHeight="1">
      <c r="E966" s="51"/>
      <c r="F966" s="12"/>
      <c r="G966" s="74"/>
    </row>
    <row r="967" ht="13.5" customHeight="1">
      <c r="E967" s="51"/>
      <c r="F967" s="12"/>
      <c r="G967" s="74"/>
    </row>
    <row r="968" ht="13.5" customHeight="1">
      <c r="E968" s="51"/>
      <c r="F968" s="12"/>
      <c r="G968" s="74"/>
    </row>
    <row r="969" ht="13.5" customHeight="1">
      <c r="E969" s="51"/>
      <c r="F969" s="12"/>
      <c r="G969" s="74"/>
    </row>
    <row r="970" ht="13.5" customHeight="1">
      <c r="E970" s="51"/>
      <c r="F970" s="12"/>
      <c r="G970" s="74"/>
    </row>
    <row r="971" ht="13.5" customHeight="1">
      <c r="E971" s="51"/>
      <c r="F971" s="12"/>
      <c r="G971" s="74"/>
    </row>
    <row r="972" ht="13.5" customHeight="1">
      <c r="E972" s="51"/>
      <c r="F972" s="12"/>
      <c r="G972" s="74"/>
    </row>
    <row r="973" ht="13.5" customHeight="1">
      <c r="E973" s="51"/>
      <c r="F973" s="12"/>
      <c r="G973" s="74"/>
    </row>
    <row r="974" ht="13.5" customHeight="1">
      <c r="E974" s="51"/>
      <c r="F974" s="12"/>
      <c r="G974" s="74"/>
    </row>
    <row r="975" ht="13.5" customHeight="1">
      <c r="E975" s="51"/>
      <c r="F975" s="12"/>
      <c r="G975" s="74"/>
    </row>
    <row r="976" ht="13.5" customHeight="1">
      <c r="E976" s="51"/>
      <c r="F976" s="12"/>
      <c r="G976" s="74"/>
    </row>
    <row r="977" ht="13.5" customHeight="1">
      <c r="E977" s="51"/>
      <c r="F977" s="12"/>
      <c r="G977" s="74"/>
    </row>
    <row r="978" ht="13.5" customHeight="1">
      <c r="E978" s="51"/>
      <c r="F978" s="12"/>
      <c r="G978" s="74"/>
    </row>
    <row r="979" ht="13.5" customHeight="1">
      <c r="E979" s="51"/>
      <c r="F979" s="12"/>
      <c r="G979" s="74"/>
    </row>
    <row r="980" ht="13.5" customHeight="1">
      <c r="E980" s="51"/>
      <c r="F980" s="12"/>
      <c r="G980" s="74"/>
    </row>
    <row r="981" ht="13.5" customHeight="1">
      <c r="E981" s="51"/>
      <c r="F981" s="12"/>
      <c r="G981" s="74"/>
    </row>
    <row r="982" ht="13.5" customHeight="1">
      <c r="E982" s="51"/>
      <c r="F982" s="12"/>
      <c r="G982" s="74"/>
    </row>
    <row r="983" ht="13.5" customHeight="1">
      <c r="E983" s="51"/>
      <c r="F983" s="12"/>
      <c r="G983" s="74"/>
    </row>
    <row r="984" ht="13.5" customHeight="1">
      <c r="E984" s="51"/>
      <c r="F984" s="12"/>
      <c r="G984" s="74"/>
    </row>
    <row r="985" ht="13.5" customHeight="1">
      <c r="E985" s="51"/>
      <c r="F985" s="12"/>
      <c r="G985" s="74"/>
    </row>
    <row r="986" ht="13.5" customHeight="1">
      <c r="E986" s="51"/>
      <c r="F986" s="12"/>
      <c r="G986" s="74"/>
    </row>
    <row r="987" ht="13.5" customHeight="1">
      <c r="E987" s="51"/>
      <c r="F987" s="12"/>
      <c r="G987" s="74"/>
    </row>
    <row r="988" ht="13.5" customHeight="1">
      <c r="E988" s="51"/>
      <c r="F988" s="12"/>
      <c r="G988" s="74"/>
    </row>
    <row r="989" ht="13.5" customHeight="1">
      <c r="E989" s="51"/>
      <c r="F989" s="12"/>
      <c r="G989" s="74"/>
    </row>
    <row r="990" ht="13.5" customHeight="1">
      <c r="E990" s="51"/>
      <c r="F990" s="12"/>
      <c r="G990" s="74"/>
    </row>
    <row r="991" ht="13.5" customHeight="1">
      <c r="E991" s="51"/>
      <c r="F991" s="12"/>
      <c r="G991" s="74"/>
    </row>
    <row r="992" ht="13.5" customHeight="1">
      <c r="E992" s="51"/>
      <c r="F992" s="12"/>
      <c r="G992" s="74"/>
    </row>
    <row r="993" ht="13.5" customHeight="1">
      <c r="E993" s="51"/>
      <c r="F993" s="12"/>
      <c r="G993" s="74"/>
    </row>
    <row r="994" ht="13.5" customHeight="1">
      <c r="E994" s="51"/>
      <c r="F994" s="12"/>
      <c r="G994" s="74"/>
    </row>
    <row r="995" ht="13.5" customHeight="1">
      <c r="E995" s="51"/>
      <c r="F995" s="12"/>
      <c r="G995" s="74"/>
    </row>
    <row r="996" ht="13.5" customHeight="1">
      <c r="E996" s="51"/>
      <c r="F996" s="12"/>
      <c r="G996" s="74"/>
    </row>
    <row r="997" ht="13.5" customHeight="1">
      <c r="E997" s="51"/>
      <c r="F997" s="12"/>
      <c r="G997" s="74"/>
    </row>
    <row r="998" ht="13.5" customHeight="1">
      <c r="E998" s="51"/>
      <c r="F998" s="12"/>
      <c r="G998" s="74"/>
    </row>
    <row r="999" ht="13.5" customHeight="1">
      <c r="E999" s="51"/>
      <c r="F999" s="12"/>
      <c r="G999" s="74"/>
    </row>
    <row r="1000" ht="13.5" customHeight="1">
      <c r="E1000" s="51"/>
      <c r="F1000" s="12"/>
      <c r="G1000" s="74"/>
    </row>
  </sheetData>
  <autoFilter ref="$A$1:$E$38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14.25"/>
    <col customWidth="1" min="3" max="3" width="15.88"/>
    <col customWidth="1" min="4" max="4" width="14.88"/>
    <col customWidth="1" min="5" max="5" width="14.0"/>
    <col customWidth="1" min="6" max="6" width="15.0"/>
    <col customWidth="1" min="7" max="7" width="27.63"/>
    <col customWidth="1" min="8" max="8" width="2.75"/>
    <col customWidth="1" min="9" max="9" width="3.25"/>
    <col customWidth="1" min="10" max="10" width="28.63"/>
    <col customWidth="1" min="11" max="11" width="30.75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2">
        <v>1.0</v>
      </c>
      <c r="B2" s="12" t="s">
        <v>9</v>
      </c>
      <c r="C2" s="12">
        <v>2130870.0</v>
      </c>
      <c r="D2" s="19">
        <v>46205.0</v>
      </c>
      <c r="E2" s="22">
        <v>3698870.23</v>
      </c>
      <c r="F2" s="12" t="s">
        <v>10</v>
      </c>
      <c r="G2" s="12" t="s">
        <v>11</v>
      </c>
      <c r="I2" s="12"/>
      <c r="J2" s="25">
        <v>183050.0</v>
      </c>
      <c r="K2" s="27">
        <v>162437.7800000002</v>
      </c>
    </row>
    <row r="3" ht="13.5" customHeight="1">
      <c r="A3" s="12">
        <v>2.0</v>
      </c>
      <c r="B3" s="12" t="s">
        <v>9</v>
      </c>
      <c r="C3" s="12">
        <v>2060855.0</v>
      </c>
      <c r="D3" s="19">
        <v>46205.0</v>
      </c>
      <c r="E3" s="22">
        <v>7400000.0</v>
      </c>
      <c r="F3" s="12" t="s">
        <v>14</v>
      </c>
      <c r="G3" s="12" t="s">
        <v>11</v>
      </c>
      <c r="I3" s="12"/>
      <c r="J3" s="25">
        <v>183097.0</v>
      </c>
      <c r="K3" s="27">
        <v>1.1083212439999988E7</v>
      </c>
    </row>
    <row r="4" ht="13.5" customHeight="1">
      <c r="A4" s="12">
        <v>3.0</v>
      </c>
      <c r="B4" s="12" t="s">
        <v>9</v>
      </c>
      <c r="C4" s="12">
        <v>2140632.0</v>
      </c>
      <c r="D4" s="19">
        <v>46205.0</v>
      </c>
      <c r="E4" s="22">
        <v>12465.95</v>
      </c>
      <c r="F4" s="12"/>
      <c r="G4" s="12" t="s">
        <v>11</v>
      </c>
      <c r="I4" s="12"/>
      <c r="J4" s="25">
        <v>183099.0</v>
      </c>
      <c r="K4" s="27">
        <v>21042.909999999996</v>
      </c>
    </row>
    <row r="5" ht="13.5" customHeight="1">
      <c r="A5" s="12">
        <v>4.0</v>
      </c>
      <c r="B5" s="12" t="s">
        <v>9</v>
      </c>
      <c r="C5" s="12">
        <v>2140632.0</v>
      </c>
      <c r="D5" s="19">
        <v>46205.0</v>
      </c>
      <c r="E5" s="22">
        <v>806942.54</v>
      </c>
      <c r="F5" s="12"/>
      <c r="G5" s="12" t="s">
        <v>11</v>
      </c>
      <c r="I5" s="12"/>
      <c r="J5" s="25">
        <v>183101.0</v>
      </c>
      <c r="K5" s="27">
        <v>655485.5700000001</v>
      </c>
    </row>
    <row r="6" ht="13.5" customHeight="1">
      <c r="A6" s="12">
        <v>5.0</v>
      </c>
      <c r="B6" s="12" t="s">
        <v>9</v>
      </c>
      <c r="C6" s="12">
        <v>2140632.0</v>
      </c>
      <c r="D6" s="19">
        <v>46205.0</v>
      </c>
      <c r="E6" s="22">
        <v>91404.19</v>
      </c>
      <c r="F6" s="12"/>
      <c r="G6" s="12" t="s">
        <v>11</v>
      </c>
      <c r="I6" s="15"/>
      <c r="J6" s="33">
        <v>183116.0</v>
      </c>
      <c r="K6" s="36">
        <v>186.52</v>
      </c>
    </row>
    <row r="7" ht="13.5" customHeight="1">
      <c r="A7" s="12">
        <v>6.0</v>
      </c>
      <c r="B7" s="12" t="s">
        <v>9</v>
      </c>
      <c r="C7" s="12">
        <v>2140632.0</v>
      </c>
      <c r="D7" s="19">
        <v>46205.0</v>
      </c>
      <c r="E7" s="22">
        <v>364339.59</v>
      </c>
      <c r="F7" s="12"/>
      <c r="G7" s="12" t="s">
        <v>11</v>
      </c>
      <c r="I7" s="15"/>
      <c r="J7" s="33" t="s">
        <v>22</v>
      </c>
      <c r="K7" s="36">
        <v>53485.48</v>
      </c>
    </row>
    <row r="8" ht="13.5" customHeight="1">
      <c r="A8" s="12">
        <v>7.0</v>
      </c>
      <c r="B8" s="12" t="s">
        <v>16</v>
      </c>
      <c r="C8" s="12">
        <v>2090821.0</v>
      </c>
      <c r="D8" s="19">
        <v>46205.0</v>
      </c>
      <c r="E8" s="22">
        <v>313.35</v>
      </c>
      <c r="F8" s="12" t="s">
        <v>18</v>
      </c>
      <c r="G8" s="12" t="s">
        <v>11</v>
      </c>
      <c r="I8" s="15"/>
      <c r="J8" s="33" t="s">
        <v>23</v>
      </c>
      <c r="K8" s="36">
        <v>668.25</v>
      </c>
    </row>
    <row r="9" ht="13.5" customHeight="1">
      <c r="A9" s="37">
        <v>10.0</v>
      </c>
      <c r="B9" s="38" t="s">
        <v>20</v>
      </c>
      <c r="C9" s="38">
        <v>1200393.0</v>
      </c>
      <c r="D9" s="39">
        <v>46205.0</v>
      </c>
      <c r="E9" s="41">
        <v>4007.46</v>
      </c>
      <c r="F9" s="38"/>
      <c r="G9" s="43" t="s">
        <v>11</v>
      </c>
      <c r="I9" s="15"/>
      <c r="J9" s="33" t="s">
        <v>26</v>
      </c>
      <c r="K9" s="36">
        <v>62.64</v>
      </c>
    </row>
    <row r="10" ht="13.5" customHeight="1">
      <c r="A10" s="46">
        <v>11.0</v>
      </c>
      <c r="B10" s="25" t="s">
        <v>20</v>
      </c>
      <c r="C10" s="25">
        <v>1200393.0</v>
      </c>
      <c r="D10" s="47">
        <v>46205.0</v>
      </c>
      <c r="E10" s="27">
        <v>34352.06</v>
      </c>
      <c r="F10" s="25"/>
      <c r="G10" s="48" t="s">
        <v>11</v>
      </c>
      <c r="I10" s="12"/>
      <c r="J10" s="50" t="s">
        <v>30</v>
      </c>
      <c r="K10" s="51">
        <v>229.5</v>
      </c>
    </row>
    <row r="11" ht="13.5" customHeight="1">
      <c r="A11" s="46">
        <v>12.0</v>
      </c>
      <c r="B11" s="25" t="s">
        <v>20</v>
      </c>
      <c r="C11" s="25">
        <v>1040211.0</v>
      </c>
      <c r="D11" s="47">
        <v>46205.0</v>
      </c>
      <c r="E11" s="27">
        <v>128085.72</v>
      </c>
      <c r="F11" s="25"/>
      <c r="G11" s="48" t="s">
        <v>11</v>
      </c>
      <c r="I11" s="12"/>
      <c r="J11" s="50" t="s">
        <v>34</v>
      </c>
      <c r="K11" s="51">
        <v>2564.29</v>
      </c>
    </row>
    <row r="12" ht="13.5" customHeight="1">
      <c r="A12" s="46">
        <v>14.0</v>
      </c>
      <c r="B12" s="25" t="s">
        <v>20</v>
      </c>
      <c r="C12" s="25">
        <v>1200393.0</v>
      </c>
      <c r="D12" s="47">
        <v>46205.0</v>
      </c>
      <c r="E12" s="27">
        <v>3296937.19</v>
      </c>
      <c r="F12" s="25"/>
      <c r="G12" s="48" t="s">
        <v>11</v>
      </c>
      <c r="I12" s="12"/>
      <c r="J12" s="50" t="s">
        <v>38</v>
      </c>
      <c r="K12" s="55">
        <v>2000.0</v>
      </c>
    </row>
    <row r="13" ht="13.5" customHeight="1">
      <c r="A13" s="46">
        <v>15.0</v>
      </c>
      <c r="B13" s="25" t="s">
        <v>20</v>
      </c>
      <c r="C13" s="25">
        <v>1040211.0</v>
      </c>
      <c r="D13" s="47">
        <v>46205.0</v>
      </c>
      <c r="E13" s="27">
        <v>7782267.79</v>
      </c>
      <c r="F13" s="25"/>
      <c r="G13" s="48" t="s">
        <v>11</v>
      </c>
      <c r="I13" s="12"/>
      <c r="J13" s="50" t="s">
        <v>39</v>
      </c>
      <c r="K13" s="50">
        <v>498.0</v>
      </c>
    </row>
    <row r="14" ht="13.5" customHeight="1">
      <c r="A14" s="46">
        <v>16.0</v>
      </c>
      <c r="B14" s="25" t="s">
        <v>20</v>
      </c>
      <c r="C14" s="25">
        <v>1040211.0</v>
      </c>
      <c r="D14" s="47">
        <v>46205.0</v>
      </c>
      <c r="E14" s="27">
        <v>21042.91</v>
      </c>
      <c r="F14" s="25"/>
      <c r="G14" s="48" t="s">
        <v>11</v>
      </c>
      <c r="I14" s="12"/>
      <c r="J14" s="50" t="s">
        <v>43</v>
      </c>
      <c r="K14" s="50">
        <v>922.87</v>
      </c>
    </row>
    <row r="15" ht="13.5" customHeight="1">
      <c r="A15" s="46">
        <v>27.0</v>
      </c>
      <c r="B15" s="25" t="s">
        <v>20</v>
      </c>
      <c r="C15" s="25">
        <v>1040250.0</v>
      </c>
      <c r="D15" s="47">
        <v>46205.0</v>
      </c>
      <c r="E15" s="27">
        <v>555372.6</v>
      </c>
      <c r="F15" s="25"/>
      <c r="G15" s="48" t="s">
        <v>11</v>
      </c>
      <c r="I15" s="12"/>
    </row>
    <row r="16" ht="13.5" customHeight="1">
      <c r="A16" s="46">
        <v>28.0</v>
      </c>
      <c r="B16" s="25" t="s">
        <v>20</v>
      </c>
      <c r="C16" s="25">
        <v>1200393.0</v>
      </c>
      <c r="D16" s="47">
        <v>46205.0</v>
      </c>
      <c r="E16" s="27">
        <v>4218.15</v>
      </c>
      <c r="F16" s="25"/>
      <c r="G16" s="48" t="s">
        <v>11</v>
      </c>
      <c r="I16" s="12"/>
    </row>
    <row r="17" ht="13.5" customHeight="1">
      <c r="A17" s="46">
        <v>29.0</v>
      </c>
      <c r="B17" s="25" t="s">
        <v>20</v>
      </c>
      <c r="C17" s="25">
        <v>1200393.0</v>
      </c>
      <c r="D17" s="47">
        <v>46205.0</v>
      </c>
      <c r="E17" s="27">
        <v>95894.82</v>
      </c>
      <c r="F17" s="25"/>
      <c r="G17" s="48" t="s">
        <v>11</v>
      </c>
      <c r="I17" s="12"/>
      <c r="K17" s="51"/>
    </row>
    <row r="18" ht="13.5" customHeight="1">
      <c r="A18" s="46">
        <v>30.0</v>
      </c>
      <c r="B18" s="25" t="s">
        <v>20</v>
      </c>
      <c r="C18" s="25">
        <v>1040250.0</v>
      </c>
      <c r="D18" s="47">
        <v>46205.0</v>
      </c>
      <c r="E18" s="27">
        <v>47444.82</v>
      </c>
      <c r="F18" s="25"/>
      <c r="G18" s="48" t="s">
        <v>11</v>
      </c>
      <c r="I18" s="12"/>
      <c r="K18" s="51"/>
    </row>
    <row r="19" ht="13.5" customHeight="1">
      <c r="A19" s="46">
        <v>31.0</v>
      </c>
      <c r="B19" s="25" t="s">
        <v>20</v>
      </c>
      <c r="C19" s="25">
        <v>1200393.0</v>
      </c>
      <c r="D19" s="47">
        <v>46205.0</v>
      </c>
      <c r="E19" s="27">
        <v>6040.66</v>
      </c>
      <c r="F19" s="25"/>
      <c r="G19" s="48" t="s">
        <v>11</v>
      </c>
      <c r="I19" s="12"/>
      <c r="K19" s="51"/>
    </row>
    <row r="20" ht="13.5" customHeight="1">
      <c r="A20" s="46">
        <v>32.0</v>
      </c>
      <c r="B20" s="25" t="s">
        <v>47</v>
      </c>
      <c r="C20" s="25">
        <v>1040500.0</v>
      </c>
      <c r="D20" s="47">
        <v>46205.0</v>
      </c>
      <c r="E20" s="27">
        <v>62.64</v>
      </c>
      <c r="F20" s="25"/>
      <c r="G20" s="48" t="s">
        <v>19</v>
      </c>
      <c r="I20" s="12"/>
      <c r="K20" s="51"/>
    </row>
    <row r="21" ht="13.5" customHeight="1">
      <c r="A21" s="46">
        <v>33.0</v>
      </c>
      <c r="B21" s="25" t="s">
        <v>47</v>
      </c>
      <c r="C21" s="25">
        <v>1040500.0</v>
      </c>
      <c r="D21" s="47">
        <v>46205.0</v>
      </c>
      <c r="E21" s="27">
        <v>229.5</v>
      </c>
      <c r="F21" s="25"/>
      <c r="G21" s="48" t="s">
        <v>19</v>
      </c>
      <c r="I21" s="12"/>
      <c r="K21" s="51"/>
    </row>
    <row r="22" ht="13.5" customHeight="1">
      <c r="A22" s="46">
        <v>34.0</v>
      </c>
      <c r="B22" s="25" t="s">
        <v>47</v>
      </c>
      <c r="C22" s="25">
        <v>1040500.0</v>
      </c>
      <c r="D22" s="47">
        <v>46205.0</v>
      </c>
      <c r="E22" s="27">
        <v>2564.29</v>
      </c>
      <c r="F22" s="25"/>
      <c r="G22" s="48" t="s">
        <v>19</v>
      </c>
      <c r="I22" s="12"/>
      <c r="K22" s="51"/>
    </row>
    <row r="23" ht="13.5" customHeight="1">
      <c r="A23" s="46">
        <v>35.0</v>
      </c>
      <c r="B23" s="25" t="s">
        <v>47</v>
      </c>
      <c r="C23" s="25">
        <v>1040500.0</v>
      </c>
      <c r="D23" s="47">
        <v>46205.0</v>
      </c>
      <c r="E23" s="27">
        <v>2000.0</v>
      </c>
      <c r="F23" s="25"/>
      <c r="G23" s="48" t="s">
        <v>19</v>
      </c>
      <c r="I23" s="12"/>
      <c r="K23" s="51"/>
    </row>
    <row r="24" ht="13.5" customHeight="1">
      <c r="A24" s="46">
        <v>36.0</v>
      </c>
      <c r="B24" s="25" t="s">
        <v>47</v>
      </c>
      <c r="C24" s="25">
        <v>1040500.0</v>
      </c>
      <c r="D24" s="47">
        <v>46205.0</v>
      </c>
      <c r="E24" s="27">
        <v>922.87</v>
      </c>
      <c r="F24" s="25"/>
      <c r="G24" s="48" t="s">
        <v>19</v>
      </c>
      <c r="H24" s="57"/>
      <c r="I24" s="12"/>
      <c r="K24" s="51"/>
    </row>
    <row r="25" ht="13.5" customHeight="1">
      <c r="A25" s="46">
        <v>37.0</v>
      </c>
      <c r="B25" s="25" t="s">
        <v>47</v>
      </c>
      <c r="C25" s="25">
        <v>1040500.0</v>
      </c>
      <c r="D25" s="47">
        <v>46205.0</v>
      </c>
      <c r="E25" s="27">
        <v>498.0</v>
      </c>
      <c r="F25" s="25"/>
      <c r="G25" s="48" t="s">
        <v>19</v>
      </c>
      <c r="I25" s="12"/>
      <c r="K25" s="51"/>
    </row>
    <row r="26" ht="13.5" customHeight="1">
      <c r="A26" s="46">
        <v>38.0</v>
      </c>
      <c r="B26" s="25" t="s">
        <v>47</v>
      </c>
      <c r="C26" s="25">
        <v>1040500.0</v>
      </c>
      <c r="D26" s="47">
        <v>46205.0</v>
      </c>
      <c r="E26" s="27">
        <v>133.8</v>
      </c>
      <c r="F26" s="25"/>
      <c r="G26" s="48" t="s">
        <v>19</v>
      </c>
      <c r="I26" s="12"/>
      <c r="K26" s="51"/>
    </row>
    <row r="27" ht="13.5" customHeight="1">
      <c r="A27" s="46">
        <v>39.0</v>
      </c>
      <c r="B27" s="25" t="s">
        <v>47</v>
      </c>
      <c r="C27" s="25">
        <v>1040500.0</v>
      </c>
      <c r="D27" s="47">
        <v>46205.0</v>
      </c>
      <c r="E27" s="27">
        <v>6000.0</v>
      </c>
      <c r="F27" s="25"/>
      <c r="G27" s="48" t="s">
        <v>19</v>
      </c>
      <c r="I27" s="12"/>
      <c r="K27" s="51"/>
    </row>
    <row r="28" ht="13.5" customHeight="1">
      <c r="A28" s="46">
        <v>40.0</v>
      </c>
      <c r="B28" s="25" t="s">
        <v>47</v>
      </c>
      <c r="C28" s="25">
        <v>1040500.0</v>
      </c>
      <c r="D28" s="47">
        <v>46205.0</v>
      </c>
      <c r="E28" s="27">
        <v>8817.4</v>
      </c>
      <c r="F28" s="25"/>
      <c r="G28" s="48" t="s">
        <v>19</v>
      </c>
      <c r="I28" s="12"/>
      <c r="K28" s="51"/>
    </row>
    <row r="29" ht="13.5" customHeight="1">
      <c r="A29" s="58">
        <v>41.0</v>
      </c>
      <c r="B29" s="33" t="s">
        <v>47</v>
      </c>
      <c r="C29" s="33">
        <v>1040500.0</v>
      </c>
      <c r="D29" s="59">
        <v>46205.0</v>
      </c>
      <c r="E29" s="36">
        <v>211.38</v>
      </c>
      <c r="F29" s="33"/>
      <c r="G29" s="60" t="s">
        <v>19</v>
      </c>
      <c r="H29" s="14"/>
      <c r="I29" s="15"/>
      <c r="J29" s="14"/>
      <c r="K29" s="51"/>
    </row>
    <row r="30" ht="13.5" customHeight="1">
      <c r="A30" s="58">
        <v>42.0</v>
      </c>
      <c r="B30" s="33" t="s">
        <v>20</v>
      </c>
      <c r="C30" s="33">
        <v>1040109.0</v>
      </c>
      <c r="D30" s="59">
        <v>46205.0</v>
      </c>
      <c r="E30" s="36">
        <v>371.14</v>
      </c>
      <c r="F30" s="33"/>
      <c r="G30" s="60" t="s">
        <v>11</v>
      </c>
      <c r="H30" s="14"/>
      <c r="I30" s="15"/>
      <c r="J30" s="14"/>
      <c r="K30" s="51"/>
    </row>
    <row r="31" ht="13.5" customHeight="1">
      <c r="A31" s="58">
        <v>43.0</v>
      </c>
      <c r="B31" s="33" t="s">
        <v>20</v>
      </c>
      <c r="C31" s="33">
        <v>1040109.0</v>
      </c>
      <c r="D31" s="59">
        <v>46205.0</v>
      </c>
      <c r="E31" s="36">
        <v>297.11</v>
      </c>
      <c r="F31" s="33"/>
      <c r="G31" s="60" t="s">
        <v>11</v>
      </c>
      <c r="H31" s="14"/>
      <c r="I31" s="15"/>
      <c r="J31" s="14"/>
      <c r="K31" s="51"/>
    </row>
    <row r="32" ht="13.5" customHeight="1">
      <c r="A32" s="58">
        <v>47.0</v>
      </c>
      <c r="B32" s="33" t="s">
        <v>20</v>
      </c>
      <c r="C32" s="33">
        <v>1040375.0</v>
      </c>
      <c r="D32" s="59">
        <v>46205.0</v>
      </c>
      <c r="E32" s="36">
        <v>162.03</v>
      </c>
      <c r="F32" s="33"/>
      <c r="G32" s="60" t="s">
        <v>11</v>
      </c>
      <c r="H32" s="14"/>
      <c r="I32" s="15"/>
      <c r="J32" s="14"/>
      <c r="K32" s="51"/>
    </row>
    <row r="33" ht="13.5" customHeight="1">
      <c r="A33" s="58">
        <v>48.0</v>
      </c>
      <c r="B33" s="33" t="s">
        <v>20</v>
      </c>
      <c r="C33" s="33">
        <v>1040375.0</v>
      </c>
      <c r="D33" s="59">
        <v>46205.0</v>
      </c>
      <c r="E33" s="36">
        <v>24.49</v>
      </c>
      <c r="F33" s="33"/>
      <c r="G33" s="60" t="s">
        <v>11</v>
      </c>
      <c r="H33" s="14"/>
      <c r="I33" s="15"/>
      <c r="J33" s="14"/>
    </row>
    <row r="34" ht="13.5" customHeight="1">
      <c r="A34" s="66">
        <v>51.0</v>
      </c>
      <c r="B34" s="68" t="s">
        <v>20</v>
      </c>
      <c r="C34" s="68">
        <v>1040124.0</v>
      </c>
      <c r="D34" s="70">
        <v>46205.0</v>
      </c>
      <c r="E34" s="71">
        <v>6.1</v>
      </c>
      <c r="F34" s="68"/>
      <c r="G34" s="72" t="s">
        <v>11</v>
      </c>
      <c r="H34" s="14"/>
      <c r="I34" s="15"/>
      <c r="J34" s="14"/>
    </row>
    <row r="35" ht="13.5" customHeight="1">
      <c r="A35" s="14"/>
      <c r="B35" s="14"/>
      <c r="C35" s="14"/>
      <c r="D35" s="14"/>
      <c r="E35" s="14"/>
      <c r="F35" s="14"/>
      <c r="G35" s="14"/>
      <c r="H35" s="14"/>
      <c r="I35" s="15"/>
      <c r="J35" s="14"/>
    </row>
    <row r="36" ht="13.5" customHeight="1">
      <c r="A36" s="14"/>
      <c r="B36" s="14"/>
      <c r="C36" s="14"/>
      <c r="D36" s="14"/>
      <c r="E36" s="14"/>
      <c r="F36" s="14"/>
      <c r="G36" s="14"/>
      <c r="H36" s="14"/>
      <c r="I36" s="15"/>
      <c r="J36" s="14"/>
    </row>
    <row r="37" ht="13.5" customHeight="1">
      <c r="A37" s="14"/>
      <c r="B37" s="14"/>
      <c r="C37" s="14"/>
      <c r="D37" s="14"/>
      <c r="E37" s="14"/>
      <c r="F37" s="14"/>
      <c r="G37" s="14"/>
      <c r="H37" s="14"/>
      <c r="I37" s="15"/>
      <c r="J37" s="14"/>
    </row>
    <row r="38" ht="13.5" customHeight="1">
      <c r="E38" s="51"/>
      <c r="F38" s="74"/>
      <c r="G38" s="74"/>
      <c r="I38" s="12"/>
      <c r="K38" s="51"/>
    </row>
    <row r="39" ht="13.5" customHeight="1">
      <c r="E39" s="51"/>
      <c r="F39" s="74"/>
      <c r="G39" s="74"/>
      <c r="I39" s="12"/>
      <c r="K39" s="51"/>
    </row>
    <row r="40" ht="13.5" customHeight="1">
      <c r="E40" s="51"/>
      <c r="F40" s="74"/>
      <c r="G40" s="74"/>
      <c r="I40" s="12"/>
      <c r="K40" s="51"/>
    </row>
    <row r="41" ht="13.5" customHeight="1">
      <c r="E41" s="51"/>
      <c r="F41" s="74"/>
      <c r="G41" s="74"/>
      <c r="I41" s="12"/>
      <c r="K41" s="51"/>
    </row>
    <row r="42" ht="13.5" customHeight="1">
      <c r="E42" s="51"/>
      <c r="F42" s="74"/>
      <c r="G42" s="74"/>
      <c r="I42" s="12"/>
      <c r="K42" s="51"/>
    </row>
    <row r="43" ht="13.5" customHeight="1">
      <c r="E43" s="51"/>
      <c r="F43" s="74"/>
      <c r="G43" s="74"/>
      <c r="I43" s="12"/>
      <c r="K43" s="51"/>
    </row>
    <row r="44" ht="13.5" customHeight="1">
      <c r="E44" s="51"/>
      <c r="F44" s="74"/>
      <c r="G44" s="74"/>
      <c r="I44" s="12"/>
      <c r="K44" s="51"/>
    </row>
    <row r="45" ht="13.5" customHeight="1">
      <c r="E45" s="51"/>
      <c r="F45" s="74"/>
      <c r="G45" s="74"/>
      <c r="I45" s="12"/>
      <c r="K45" s="51"/>
    </row>
    <row r="46" ht="13.5" customHeight="1">
      <c r="E46" s="51"/>
      <c r="F46" s="74"/>
      <c r="G46" s="74"/>
      <c r="I46" s="12"/>
      <c r="J46" s="61"/>
      <c r="K46" s="75"/>
    </row>
    <row r="47" ht="13.5" customHeight="1">
      <c r="E47" s="51"/>
      <c r="F47" s="12"/>
      <c r="G47" s="74"/>
      <c r="H47" s="61"/>
      <c r="I47" s="69"/>
      <c r="J47" s="61"/>
      <c r="K47" s="75"/>
      <c r="L47" s="61"/>
    </row>
    <row r="48" ht="13.5" customHeight="1">
      <c r="E48" s="51"/>
      <c r="F48" s="12"/>
      <c r="G48" s="74"/>
      <c r="H48" s="61"/>
      <c r="I48" s="69"/>
      <c r="J48" s="61"/>
      <c r="K48" s="75"/>
      <c r="L48" s="61"/>
    </row>
    <row r="49" ht="13.5" customHeight="1">
      <c r="E49" s="51"/>
      <c r="F49" s="12"/>
      <c r="G49" s="74"/>
      <c r="H49" s="61"/>
      <c r="I49" s="69"/>
      <c r="J49" s="61"/>
      <c r="K49" s="75"/>
      <c r="L49" s="61"/>
    </row>
    <row r="50" ht="13.5" customHeight="1">
      <c r="E50" s="51"/>
      <c r="F50" s="12"/>
      <c r="G50" s="74"/>
      <c r="H50" s="61"/>
      <c r="I50" s="69"/>
      <c r="J50" s="61"/>
      <c r="K50" s="75"/>
      <c r="L50" s="61"/>
    </row>
    <row r="51" ht="13.5" customHeight="1">
      <c r="E51" s="51"/>
      <c r="F51" s="12"/>
      <c r="G51" s="74"/>
      <c r="H51" s="61"/>
      <c r="I51" s="69"/>
      <c r="J51" s="61"/>
      <c r="K51" s="75"/>
      <c r="L51" s="61"/>
    </row>
    <row r="52" ht="13.5" customHeight="1">
      <c r="E52" s="51"/>
      <c r="F52" s="12"/>
      <c r="G52" s="74"/>
      <c r="H52" s="61"/>
      <c r="I52" s="69"/>
      <c r="J52" s="61"/>
      <c r="K52" s="75"/>
      <c r="L52" s="61"/>
    </row>
    <row r="53" ht="13.5" customHeight="1">
      <c r="E53" s="51"/>
      <c r="F53" s="12"/>
      <c r="G53" s="74"/>
      <c r="H53" s="61"/>
      <c r="I53" s="69"/>
      <c r="J53" s="61"/>
      <c r="K53" s="75"/>
      <c r="L53" s="61"/>
    </row>
    <row r="54" ht="13.5" customHeight="1">
      <c r="E54" s="51"/>
      <c r="F54" s="12"/>
      <c r="G54" s="74"/>
      <c r="H54" s="61"/>
      <c r="I54" s="69"/>
      <c r="J54" s="61"/>
      <c r="K54" s="75"/>
      <c r="L54" s="61"/>
    </row>
    <row r="55" ht="13.5" customHeight="1">
      <c r="E55" s="51"/>
      <c r="F55" s="12"/>
      <c r="G55" s="74"/>
      <c r="H55" s="61"/>
      <c r="I55" s="69"/>
      <c r="J55" s="61"/>
      <c r="K55" s="75"/>
      <c r="L55" s="61"/>
    </row>
    <row r="56" ht="13.5" customHeight="1">
      <c r="E56" s="51"/>
      <c r="F56" s="12"/>
      <c r="G56" s="74"/>
      <c r="H56" s="61"/>
      <c r="I56" s="69"/>
      <c r="J56" s="61"/>
      <c r="K56" s="75"/>
      <c r="L56" s="61"/>
    </row>
    <row r="57" ht="13.5" customHeight="1">
      <c r="E57" s="51"/>
      <c r="F57" s="12"/>
      <c r="G57" s="74"/>
      <c r="H57" s="61"/>
      <c r="I57" s="69"/>
      <c r="J57" s="61"/>
      <c r="K57" s="75"/>
      <c r="L57" s="61"/>
    </row>
    <row r="58" ht="13.5" customHeight="1">
      <c r="E58" s="51"/>
      <c r="F58" s="12"/>
      <c r="G58" s="74"/>
      <c r="H58" s="61"/>
      <c r="I58" s="69"/>
      <c r="J58" s="61"/>
      <c r="K58" s="75"/>
      <c r="L58" s="61"/>
    </row>
    <row r="59" ht="13.5" customHeight="1">
      <c r="E59" s="51"/>
      <c r="F59" s="12"/>
      <c r="G59" s="74"/>
      <c r="H59" s="61"/>
      <c r="I59" s="69"/>
      <c r="J59" s="61"/>
      <c r="K59" s="75"/>
      <c r="L59" s="61"/>
    </row>
    <row r="60" ht="13.5" customHeight="1">
      <c r="E60" s="51"/>
      <c r="F60" s="12"/>
      <c r="G60" s="74"/>
      <c r="H60" s="61"/>
      <c r="I60" s="69"/>
      <c r="J60" s="61"/>
      <c r="K60" s="75"/>
      <c r="L60" s="61"/>
    </row>
    <row r="61" ht="13.5" customHeight="1">
      <c r="E61" s="51"/>
      <c r="F61" s="12"/>
      <c r="G61" s="74"/>
      <c r="H61" s="61"/>
      <c r="I61" s="69"/>
      <c r="J61" s="61"/>
      <c r="K61" s="75"/>
      <c r="L61" s="61"/>
    </row>
    <row r="62" ht="13.5" customHeight="1">
      <c r="E62" s="51"/>
      <c r="F62" s="12"/>
      <c r="G62" s="74"/>
      <c r="H62" s="61"/>
      <c r="I62" s="69"/>
      <c r="J62" s="61"/>
      <c r="K62" s="75"/>
      <c r="L62" s="61"/>
    </row>
    <row r="63" ht="13.5" customHeight="1">
      <c r="E63" s="51"/>
      <c r="F63" s="12"/>
      <c r="G63" s="74"/>
      <c r="H63" s="61"/>
      <c r="I63" s="69"/>
      <c r="J63" s="61"/>
      <c r="K63" s="75"/>
      <c r="L63" s="61"/>
    </row>
    <row r="64" ht="13.5" customHeight="1">
      <c r="E64" s="51"/>
      <c r="F64" s="12"/>
      <c r="G64" s="74"/>
      <c r="H64" s="61"/>
      <c r="I64" s="69"/>
      <c r="J64" s="61"/>
      <c r="K64" s="75"/>
      <c r="L64" s="61"/>
    </row>
    <row r="65" ht="13.5" customHeight="1">
      <c r="E65" s="51"/>
      <c r="F65" s="12"/>
      <c r="G65" s="74"/>
      <c r="H65" s="61"/>
      <c r="I65" s="69"/>
      <c r="J65" s="61"/>
      <c r="K65" s="75"/>
      <c r="L65" s="61"/>
    </row>
    <row r="66" ht="13.5" customHeight="1">
      <c r="E66" s="51"/>
      <c r="F66" s="12"/>
      <c r="G66" s="74"/>
      <c r="H66" s="61"/>
      <c r="I66" s="69"/>
      <c r="J66" s="61"/>
      <c r="K66" s="75"/>
      <c r="L66" s="61"/>
    </row>
    <row r="67" ht="13.5" customHeight="1">
      <c r="E67" s="51"/>
      <c r="F67" s="12"/>
      <c r="G67" s="74"/>
      <c r="H67" s="61"/>
      <c r="I67" s="69"/>
      <c r="J67" s="61"/>
      <c r="K67" s="75"/>
      <c r="L67" s="61"/>
    </row>
    <row r="68" ht="13.5" customHeight="1">
      <c r="E68" s="51"/>
      <c r="F68" s="12"/>
      <c r="G68" s="74"/>
      <c r="H68" s="61"/>
      <c r="I68" s="69"/>
      <c r="J68" s="61"/>
      <c r="K68" s="75"/>
      <c r="L68" s="61"/>
    </row>
    <row r="69" ht="13.5" customHeight="1">
      <c r="E69" s="51"/>
      <c r="F69" s="12"/>
      <c r="G69" s="74"/>
      <c r="H69" s="61"/>
      <c r="I69" s="69"/>
      <c r="J69" s="61"/>
      <c r="K69" s="75"/>
      <c r="L69" s="61"/>
    </row>
    <row r="70" ht="13.5" customHeight="1">
      <c r="E70" s="51"/>
      <c r="F70" s="12"/>
      <c r="G70" s="74"/>
      <c r="H70" s="61"/>
      <c r="I70" s="69"/>
      <c r="J70" s="61"/>
      <c r="K70" s="75"/>
      <c r="L70" s="61"/>
    </row>
    <row r="71" ht="13.5" customHeight="1">
      <c r="E71" s="51"/>
      <c r="F71" s="12"/>
      <c r="G71" s="74"/>
      <c r="H71" s="61"/>
      <c r="I71" s="69"/>
      <c r="J71" s="61"/>
      <c r="K71" s="75"/>
      <c r="L71" s="61"/>
    </row>
    <row r="72" ht="13.5" customHeight="1">
      <c r="E72" s="51"/>
      <c r="F72" s="12"/>
      <c r="G72" s="74"/>
      <c r="H72" s="61"/>
      <c r="I72" s="69"/>
      <c r="J72" s="61"/>
      <c r="K72" s="75"/>
      <c r="L72" s="61"/>
    </row>
    <row r="73" ht="13.5" customHeight="1">
      <c r="E73" s="51"/>
      <c r="F73" s="12"/>
      <c r="G73" s="74"/>
      <c r="H73" s="61"/>
      <c r="I73" s="69"/>
      <c r="J73" s="61"/>
      <c r="K73" s="75"/>
      <c r="L73" s="61"/>
    </row>
    <row r="74" ht="13.5" customHeight="1">
      <c r="E74" s="51"/>
      <c r="F74" s="12"/>
      <c r="G74" s="74"/>
      <c r="H74" s="61"/>
      <c r="I74" s="69"/>
      <c r="J74" s="61"/>
      <c r="K74" s="75"/>
      <c r="L74" s="61"/>
    </row>
    <row r="75" ht="13.5" customHeight="1">
      <c r="E75" s="51"/>
      <c r="F75" s="12"/>
      <c r="G75" s="74"/>
      <c r="H75" s="61"/>
      <c r="I75" s="69"/>
      <c r="J75" s="61"/>
      <c r="K75" s="75"/>
      <c r="L75" s="61"/>
    </row>
    <row r="76" ht="13.5" customHeight="1">
      <c r="E76" s="51"/>
      <c r="F76" s="12"/>
      <c r="G76" s="74"/>
      <c r="H76" s="61"/>
      <c r="I76" s="69"/>
      <c r="J76" s="61"/>
      <c r="K76" s="75"/>
      <c r="L76" s="61"/>
    </row>
    <row r="77" ht="13.5" customHeight="1">
      <c r="E77" s="51"/>
      <c r="F77" s="12"/>
      <c r="G77" s="74"/>
      <c r="H77" s="61"/>
      <c r="I77" s="69"/>
      <c r="J77" s="61"/>
      <c r="K77" s="75"/>
      <c r="L77" s="61"/>
    </row>
    <row r="78" ht="13.5" customHeight="1">
      <c r="E78" s="51"/>
      <c r="F78" s="12"/>
      <c r="G78" s="74"/>
      <c r="H78" s="61"/>
      <c r="I78" s="69"/>
      <c r="J78" s="61"/>
      <c r="K78" s="75"/>
      <c r="L78" s="61"/>
    </row>
    <row r="79" ht="13.5" customHeight="1">
      <c r="E79" s="51"/>
      <c r="F79" s="12"/>
      <c r="G79" s="74"/>
      <c r="H79" s="61"/>
      <c r="I79" s="69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5"/>
      <c r="H80" s="61"/>
      <c r="I80" s="69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5"/>
      <c r="H81" s="61"/>
      <c r="I81" s="69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5"/>
      <c r="H82" s="61"/>
      <c r="I82" s="69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5"/>
      <c r="H83" s="61"/>
      <c r="I83" s="69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5"/>
      <c r="H84" s="61"/>
      <c r="I84" s="69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5"/>
      <c r="H85" s="61"/>
      <c r="I85" s="69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5"/>
      <c r="H86" s="61"/>
      <c r="I86" s="69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5"/>
      <c r="H87" s="61"/>
      <c r="I87" s="69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5"/>
      <c r="H88" s="61"/>
      <c r="I88" s="69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5"/>
      <c r="H89" s="61"/>
      <c r="I89" s="69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5"/>
      <c r="H90" s="61"/>
      <c r="I90" s="69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5"/>
      <c r="H91" s="61"/>
      <c r="I91" s="69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5"/>
      <c r="H92" s="61"/>
      <c r="I92" s="69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5"/>
      <c r="H93" s="61"/>
      <c r="I93" s="69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5"/>
      <c r="H94" s="61"/>
      <c r="I94" s="69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5"/>
      <c r="H95" s="61"/>
      <c r="I95" s="69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5"/>
      <c r="H96" s="61"/>
      <c r="I96" s="69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5"/>
      <c r="H97" s="61"/>
      <c r="I97" s="69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5"/>
      <c r="H98" s="61"/>
      <c r="I98" s="69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5"/>
      <c r="H99" s="61"/>
      <c r="I99" s="69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5"/>
      <c r="H100" s="61"/>
      <c r="I100" s="69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5"/>
      <c r="H101" s="61"/>
      <c r="I101" s="69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5"/>
      <c r="H102" s="61"/>
      <c r="I102" s="69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5"/>
      <c r="H103" s="61"/>
      <c r="I103" s="69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5"/>
      <c r="H104" s="61"/>
      <c r="I104" s="69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5"/>
      <c r="H105" s="61"/>
      <c r="I105" s="69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5"/>
      <c r="H106" s="61"/>
      <c r="I106" s="69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5"/>
      <c r="H107" s="61"/>
      <c r="I107" s="69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5"/>
      <c r="H108" s="61"/>
      <c r="I108" s="69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5"/>
      <c r="H109" s="61"/>
      <c r="I109" s="69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5"/>
      <c r="H110" s="61"/>
      <c r="I110" s="69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5"/>
      <c r="H111" s="61"/>
      <c r="I111" s="69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5"/>
      <c r="H112" s="61"/>
      <c r="I112" s="69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5"/>
      <c r="H113" s="61"/>
      <c r="I113" s="69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5"/>
      <c r="H114" s="61"/>
      <c r="I114" s="69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5"/>
      <c r="H115" s="61"/>
      <c r="I115" s="69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5"/>
      <c r="H116" s="61"/>
      <c r="I116" s="69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5"/>
      <c r="H117" s="61"/>
      <c r="I117" s="69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5"/>
      <c r="H118" s="61"/>
      <c r="I118" s="69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5"/>
      <c r="H119" s="61"/>
      <c r="I119" s="69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5"/>
      <c r="H120" s="61"/>
      <c r="I120" s="69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5"/>
      <c r="H121" s="61"/>
      <c r="I121" s="69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5"/>
      <c r="H122" s="61"/>
      <c r="I122" s="69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5"/>
      <c r="H123" s="61"/>
      <c r="I123" s="69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5"/>
      <c r="H124" s="61"/>
      <c r="I124" s="69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5"/>
      <c r="H125" s="61"/>
      <c r="I125" s="69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5"/>
      <c r="H126" s="61"/>
      <c r="I126" s="69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5"/>
      <c r="H127" s="61"/>
      <c r="I127" s="69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5"/>
      <c r="H128" s="61"/>
      <c r="I128" s="69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5"/>
      <c r="H129" s="61"/>
      <c r="I129" s="69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5"/>
      <c r="H130" s="61"/>
      <c r="I130" s="69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5"/>
      <c r="H131" s="61"/>
      <c r="I131" s="69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5"/>
      <c r="H132" s="61"/>
      <c r="I132" s="69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5"/>
      <c r="H133" s="61"/>
      <c r="I133" s="69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5"/>
      <c r="H134" s="61"/>
      <c r="I134" s="69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5"/>
      <c r="H135" s="61"/>
      <c r="I135" s="69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5"/>
      <c r="H136" s="61"/>
      <c r="I136" s="69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5"/>
      <c r="H137" s="61"/>
      <c r="I137" s="69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5"/>
      <c r="H138" s="61"/>
      <c r="I138" s="69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5"/>
      <c r="H139" s="61"/>
      <c r="I139" s="69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5"/>
      <c r="H140" s="61"/>
      <c r="I140" s="69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5"/>
      <c r="H141" s="61"/>
      <c r="I141" s="69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5"/>
      <c r="H142" s="61"/>
      <c r="I142" s="69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5"/>
      <c r="H143" s="61"/>
      <c r="I143" s="69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5"/>
      <c r="H144" s="61"/>
      <c r="I144" s="69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5"/>
      <c r="H145" s="61"/>
      <c r="I145" s="69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5"/>
      <c r="H146" s="61"/>
      <c r="I146" s="69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5"/>
      <c r="H147" s="61"/>
      <c r="I147" s="69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G148" s="65"/>
      <c r="H148" s="61"/>
      <c r="I148" s="69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G149" s="65"/>
      <c r="H149" s="61"/>
      <c r="I149" s="69"/>
      <c r="K149" s="51"/>
      <c r="L149" s="61"/>
    </row>
    <row r="150" ht="13.5" customHeight="1">
      <c r="E150" s="51"/>
      <c r="F150" s="12"/>
      <c r="G150" s="74"/>
      <c r="I150" s="12"/>
      <c r="K150" s="51"/>
    </row>
    <row r="151" ht="13.5" customHeight="1">
      <c r="E151" s="51"/>
      <c r="F151" s="12"/>
      <c r="G151" s="74"/>
      <c r="I151" s="12"/>
      <c r="K151" s="51"/>
    </row>
    <row r="152" ht="13.5" customHeight="1">
      <c r="E152" s="51"/>
      <c r="F152" s="12"/>
      <c r="G152" s="74"/>
      <c r="I152" s="12"/>
      <c r="K152" s="51"/>
    </row>
    <row r="153" ht="13.5" customHeight="1">
      <c r="E153" s="51"/>
      <c r="F153" s="12"/>
      <c r="G153" s="74"/>
      <c r="I153" s="12"/>
      <c r="K153" s="51"/>
    </row>
    <row r="154" ht="13.5" customHeight="1">
      <c r="E154" s="51"/>
      <c r="F154" s="12"/>
      <c r="G154" s="74"/>
      <c r="I154" s="12"/>
      <c r="K154" s="51"/>
    </row>
    <row r="155" ht="13.5" customHeight="1">
      <c r="E155" s="51"/>
      <c r="F155" s="12"/>
      <c r="G155" s="74"/>
      <c r="I155" s="12"/>
      <c r="K155" s="51"/>
    </row>
    <row r="156" ht="13.5" customHeight="1">
      <c r="E156" s="51"/>
      <c r="F156" s="12"/>
      <c r="G156" s="74"/>
      <c r="I156" s="12"/>
      <c r="K156" s="51"/>
    </row>
    <row r="157" ht="13.5" customHeight="1">
      <c r="E157" s="51"/>
      <c r="F157" s="12"/>
      <c r="G157" s="74"/>
      <c r="I157" s="12"/>
      <c r="K157" s="51"/>
    </row>
    <row r="158" ht="13.5" customHeight="1">
      <c r="E158" s="51"/>
      <c r="F158" s="12"/>
      <c r="G158" s="74"/>
      <c r="I158" s="12"/>
      <c r="K158" s="51"/>
    </row>
    <row r="159" ht="13.5" customHeight="1">
      <c r="E159" s="51"/>
      <c r="F159" s="12"/>
      <c r="G159" s="74"/>
      <c r="I159" s="12"/>
      <c r="K159" s="51"/>
    </row>
    <row r="160" ht="13.5" customHeight="1">
      <c r="E160" s="51"/>
      <c r="F160" s="12"/>
      <c r="G160" s="74"/>
      <c r="I160" s="12"/>
      <c r="K160" s="51"/>
    </row>
    <row r="161" ht="13.5" customHeight="1">
      <c r="E161" s="51"/>
      <c r="F161" s="12"/>
      <c r="G161" s="74"/>
      <c r="I161" s="12"/>
      <c r="K161" s="51"/>
    </row>
    <row r="162" ht="13.5" customHeight="1">
      <c r="E162" s="51"/>
      <c r="F162" s="12"/>
      <c r="G162" s="74"/>
      <c r="I162" s="12"/>
      <c r="K162" s="51"/>
    </row>
    <row r="163" ht="13.5" customHeight="1">
      <c r="E163" s="51"/>
      <c r="F163" s="12"/>
      <c r="G163" s="74"/>
      <c r="I163" s="12"/>
      <c r="K163" s="51"/>
    </row>
    <row r="164" ht="13.5" customHeight="1">
      <c r="E164" s="51"/>
      <c r="F164" s="12"/>
      <c r="G164" s="74"/>
      <c r="I164" s="12"/>
      <c r="K164" s="51"/>
    </row>
    <row r="165" ht="13.5" customHeight="1">
      <c r="E165" s="51"/>
      <c r="F165" s="12"/>
      <c r="G165" s="74"/>
      <c r="I165" s="12"/>
      <c r="K165" s="51"/>
    </row>
    <row r="166" ht="13.5" customHeight="1">
      <c r="E166" s="51"/>
      <c r="F166" s="12"/>
      <c r="G166" s="74"/>
      <c r="I166" s="12"/>
      <c r="K166" s="51"/>
    </row>
    <row r="167" ht="13.5" customHeight="1">
      <c r="E167" s="51"/>
      <c r="F167" s="12"/>
      <c r="G167" s="74"/>
      <c r="I167" s="12"/>
      <c r="K167" s="51"/>
    </row>
    <row r="168" ht="13.5" customHeight="1">
      <c r="E168" s="51"/>
      <c r="F168" s="12"/>
      <c r="G168" s="74"/>
      <c r="I168" s="12"/>
      <c r="K168" s="51"/>
    </row>
    <row r="169" ht="13.5" customHeight="1">
      <c r="E169" s="51"/>
      <c r="F169" s="12"/>
      <c r="G169" s="74"/>
      <c r="I169" s="12"/>
      <c r="K169" s="51"/>
    </row>
    <row r="170" ht="13.5" customHeight="1">
      <c r="E170" s="51"/>
      <c r="F170" s="12"/>
      <c r="G170" s="74"/>
      <c r="I170" s="12"/>
      <c r="K170" s="51"/>
    </row>
    <row r="171" ht="13.5" customHeight="1">
      <c r="E171" s="51"/>
      <c r="F171" s="12"/>
      <c r="G171" s="74"/>
      <c r="I171" s="12"/>
      <c r="K171" s="51"/>
    </row>
    <row r="172" ht="13.5" customHeight="1">
      <c r="E172" s="51"/>
      <c r="F172" s="12"/>
      <c r="G172" s="74"/>
      <c r="I172" s="12"/>
      <c r="K172" s="51"/>
    </row>
    <row r="173" ht="13.5" customHeight="1">
      <c r="E173" s="51"/>
      <c r="F173" s="12"/>
      <c r="G173" s="74"/>
      <c r="I173" s="12"/>
      <c r="K173" s="51"/>
    </row>
    <row r="174" ht="13.5" customHeight="1">
      <c r="E174" s="51"/>
      <c r="F174" s="12"/>
      <c r="G174" s="74"/>
      <c r="I174" s="12"/>
      <c r="K174" s="51"/>
    </row>
    <row r="175" ht="13.5" customHeight="1">
      <c r="E175" s="51"/>
      <c r="F175" s="12"/>
      <c r="G175" s="74"/>
      <c r="I175" s="12"/>
      <c r="K175" s="51"/>
    </row>
    <row r="176" ht="13.5" customHeight="1">
      <c r="E176" s="51"/>
      <c r="F176" s="12"/>
      <c r="G176" s="74"/>
      <c r="I176" s="12"/>
      <c r="K176" s="51"/>
    </row>
    <row r="177" ht="13.5" customHeight="1">
      <c r="E177" s="51"/>
      <c r="F177" s="12"/>
      <c r="G177" s="74"/>
      <c r="I177" s="12"/>
      <c r="K177" s="51"/>
    </row>
    <row r="178" ht="13.5" customHeight="1">
      <c r="E178" s="51"/>
      <c r="F178" s="12"/>
      <c r="G178" s="74"/>
      <c r="I178" s="12"/>
      <c r="K178" s="51"/>
    </row>
    <row r="179" ht="13.5" customHeight="1">
      <c r="E179" s="51"/>
      <c r="F179" s="12"/>
      <c r="G179" s="74"/>
      <c r="I179" s="12"/>
      <c r="K179" s="51"/>
    </row>
    <row r="180" ht="13.5" customHeight="1">
      <c r="E180" s="51"/>
      <c r="F180" s="12"/>
      <c r="G180" s="74"/>
      <c r="I180" s="12"/>
      <c r="K180" s="51"/>
    </row>
    <row r="181" ht="13.5" customHeight="1">
      <c r="E181" s="51"/>
      <c r="F181" s="12"/>
      <c r="G181" s="74"/>
      <c r="I181" s="12"/>
      <c r="K181" s="51"/>
    </row>
    <row r="182" ht="13.5" customHeight="1">
      <c r="E182" s="51"/>
      <c r="F182" s="12"/>
      <c r="G182" s="74"/>
      <c r="I182" s="12"/>
      <c r="K182" s="51"/>
    </row>
    <row r="183" ht="13.5" customHeight="1">
      <c r="E183" s="51"/>
      <c r="F183" s="12"/>
      <c r="G183" s="74"/>
      <c r="I183" s="12"/>
      <c r="K183" s="51"/>
    </row>
    <row r="184" ht="13.5" customHeight="1">
      <c r="E184" s="51"/>
      <c r="F184" s="12"/>
      <c r="G184" s="74"/>
      <c r="I184" s="12"/>
      <c r="K184" s="51"/>
    </row>
    <row r="185" ht="13.5" customHeight="1">
      <c r="E185" s="51"/>
      <c r="F185" s="12"/>
      <c r="G185" s="74"/>
      <c r="I185" s="12"/>
      <c r="K185" s="51"/>
    </row>
    <row r="186" ht="13.5" customHeight="1">
      <c r="E186" s="51"/>
      <c r="F186" s="12"/>
      <c r="G186" s="74"/>
      <c r="I186" s="12"/>
      <c r="K186" s="51"/>
    </row>
    <row r="187" ht="13.5" customHeight="1">
      <c r="E187" s="51"/>
      <c r="F187" s="12"/>
      <c r="G187" s="74"/>
      <c r="I187" s="12"/>
      <c r="K187" s="51"/>
    </row>
    <row r="188" ht="13.5" customHeight="1">
      <c r="E188" s="51"/>
      <c r="F188" s="12"/>
      <c r="G188" s="74"/>
      <c r="I188" s="12"/>
      <c r="K188" s="51"/>
    </row>
    <row r="189" ht="13.5" customHeight="1">
      <c r="E189" s="51"/>
      <c r="F189" s="12"/>
      <c r="G189" s="74"/>
      <c r="I189" s="12"/>
      <c r="K189" s="51"/>
    </row>
    <row r="190" ht="13.5" customHeight="1">
      <c r="E190" s="51"/>
      <c r="F190" s="12"/>
      <c r="G190" s="74"/>
      <c r="I190" s="12"/>
      <c r="K190" s="51"/>
    </row>
    <row r="191" ht="13.5" customHeight="1">
      <c r="E191" s="51"/>
      <c r="F191" s="12"/>
      <c r="G191" s="74"/>
      <c r="I191" s="12"/>
      <c r="K191" s="51"/>
    </row>
    <row r="192" ht="13.5" customHeight="1">
      <c r="E192" s="51"/>
      <c r="F192" s="12"/>
      <c r="G192" s="74"/>
      <c r="I192" s="12"/>
      <c r="K192" s="51"/>
    </row>
    <row r="193" ht="13.5" customHeight="1">
      <c r="E193" s="51"/>
      <c r="F193" s="12"/>
      <c r="G193" s="74"/>
      <c r="I193" s="12"/>
      <c r="K193" s="51"/>
    </row>
    <row r="194" ht="13.5" customHeight="1">
      <c r="E194" s="51"/>
      <c r="F194" s="12"/>
      <c r="G194" s="74"/>
      <c r="I194" s="12"/>
      <c r="K194" s="51"/>
    </row>
    <row r="195" ht="13.5" customHeight="1">
      <c r="E195" s="51"/>
      <c r="F195" s="12"/>
      <c r="G195" s="74"/>
      <c r="I195" s="12"/>
      <c r="K195" s="51"/>
    </row>
    <row r="196" ht="13.5" customHeight="1">
      <c r="E196" s="51"/>
      <c r="F196" s="12"/>
      <c r="G196" s="74"/>
      <c r="I196" s="12"/>
      <c r="K196" s="51"/>
    </row>
    <row r="197" ht="13.5" customHeight="1">
      <c r="E197" s="51"/>
      <c r="F197" s="12"/>
      <c r="G197" s="74"/>
      <c r="I197" s="12"/>
      <c r="K197" s="51"/>
    </row>
    <row r="198" ht="13.5" customHeight="1">
      <c r="E198" s="51"/>
      <c r="F198" s="12"/>
      <c r="G198" s="74"/>
      <c r="I198" s="12"/>
      <c r="K198" s="51"/>
    </row>
    <row r="199" ht="13.5" customHeight="1">
      <c r="E199" s="51"/>
      <c r="F199" s="12"/>
      <c r="G199" s="74"/>
      <c r="I199" s="12"/>
      <c r="K199" s="51"/>
    </row>
    <row r="200" ht="13.5" customHeight="1">
      <c r="E200" s="51"/>
      <c r="F200" s="12"/>
      <c r="G200" s="74"/>
      <c r="I200" s="12"/>
      <c r="K200" s="51"/>
    </row>
    <row r="201" ht="13.5" customHeight="1">
      <c r="E201" s="51"/>
      <c r="F201" s="12"/>
      <c r="G201" s="74"/>
      <c r="I201" s="12"/>
      <c r="K201" s="51"/>
    </row>
    <row r="202" ht="13.5" customHeight="1">
      <c r="E202" s="51"/>
      <c r="F202" s="12"/>
      <c r="G202" s="74"/>
      <c r="I202" s="12"/>
      <c r="K202" s="51"/>
    </row>
    <row r="203" ht="13.5" customHeight="1">
      <c r="E203" s="51"/>
      <c r="F203" s="12"/>
      <c r="G203" s="74"/>
      <c r="I203" s="12"/>
      <c r="K203" s="51"/>
    </row>
    <row r="204" ht="13.5" customHeight="1">
      <c r="E204" s="51"/>
      <c r="F204" s="12"/>
      <c r="G204" s="74"/>
      <c r="I204" s="12"/>
      <c r="K204" s="51"/>
    </row>
    <row r="205" ht="13.5" customHeight="1">
      <c r="E205" s="51"/>
      <c r="F205" s="12"/>
      <c r="G205" s="74"/>
      <c r="I205" s="12"/>
      <c r="K205" s="51"/>
    </row>
    <row r="206" ht="13.5" customHeight="1">
      <c r="E206" s="51"/>
      <c r="F206" s="12"/>
      <c r="G206" s="74"/>
      <c r="I206" s="12"/>
      <c r="K206" s="51"/>
    </row>
    <row r="207" ht="13.5" customHeight="1">
      <c r="E207" s="51"/>
      <c r="F207" s="12"/>
      <c r="G207" s="74"/>
      <c r="I207" s="12"/>
      <c r="K207" s="51"/>
    </row>
    <row r="208" ht="13.5" customHeight="1">
      <c r="E208" s="51"/>
      <c r="F208" s="12"/>
      <c r="G208" s="74"/>
      <c r="I208" s="12"/>
      <c r="K208" s="51"/>
    </row>
    <row r="209" ht="13.5" customHeight="1">
      <c r="E209" s="51"/>
      <c r="F209" s="12"/>
      <c r="G209" s="74"/>
      <c r="I209" s="12"/>
      <c r="K209" s="51"/>
    </row>
    <row r="210" ht="13.5" customHeight="1">
      <c r="E210" s="51"/>
      <c r="F210" s="12"/>
      <c r="G210" s="74"/>
      <c r="I210" s="12"/>
      <c r="K210" s="51"/>
    </row>
    <row r="211" ht="13.5" customHeight="1">
      <c r="E211" s="51"/>
      <c r="F211" s="12"/>
      <c r="G211" s="74"/>
      <c r="I211" s="12"/>
      <c r="K211" s="51"/>
    </row>
    <row r="212" ht="13.5" customHeight="1">
      <c r="E212" s="51"/>
      <c r="F212" s="12"/>
      <c r="G212" s="74"/>
      <c r="I212" s="12"/>
      <c r="K212" s="51"/>
    </row>
    <row r="213" ht="13.5" customHeight="1">
      <c r="E213" s="51"/>
      <c r="F213" s="12"/>
      <c r="G213" s="74"/>
      <c r="I213" s="12"/>
      <c r="K213" s="51"/>
    </row>
    <row r="214" ht="13.5" customHeight="1">
      <c r="E214" s="51"/>
      <c r="F214" s="12"/>
      <c r="G214" s="74"/>
      <c r="I214" s="12"/>
      <c r="K214" s="51"/>
    </row>
    <row r="215" ht="13.5" customHeight="1">
      <c r="E215" s="51"/>
      <c r="F215" s="12"/>
      <c r="G215" s="74"/>
      <c r="I215" s="12"/>
      <c r="K215" s="51"/>
    </row>
    <row r="216" ht="13.5" customHeight="1">
      <c r="E216" s="51"/>
      <c r="F216" s="12"/>
      <c r="G216" s="74"/>
      <c r="I216" s="12"/>
      <c r="K216" s="51"/>
    </row>
    <row r="217" ht="13.5" customHeight="1">
      <c r="E217" s="51"/>
      <c r="F217" s="12"/>
      <c r="G217" s="74"/>
      <c r="I217" s="12"/>
      <c r="K217" s="51"/>
    </row>
    <row r="218" ht="13.5" customHeight="1">
      <c r="E218" s="51"/>
      <c r="F218" s="12"/>
      <c r="G218" s="74"/>
      <c r="I218" s="12"/>
      <c r="K218" s="51"/>
    </row>
    <row r="219" ht="13.5" customHeight="1">
      <c r="E219" s="51"/>
      <c r="F219" s="12"/>
      <c r="G219" s="74"/>
      <c r="I219" s="12"/>
      <c r="K219" s="51"/>
    </row>
    <row r="220" ht="13.5" customHeight="1">
      <c r="E220" s="51"/>
      <c r="F220" s="12"/>
      <c r="G220" s="74"/>
      <c r="I220" s="12"/>
      <c r="K220" s="51"/>
    </row>
    <row r="221" ht="13.5" customHeight="1">
      <c r="E221" s="51"/>
      <c r="F221" s="12"/>
      <c r="G221" s="74"/>
      <c r="I221" s="12"/>
      <c r="K221" s="51"/>
    </row>
    <row r="222" ht="13.5" customHeight="1">
      <c r="E222" s="51"/>
      <c r="F222" s="12"/>
      <c r="G222" s="74"/>
      <c r="I222" s="12"/>
      <c r="K222" s="51"/>
    </row>
    <row r="223" ht="13.5" customHeight="1">
      <c r="E223" s="51"/>
      <c r="F223" s="12"/>
      <c r="G223" s="74"/>
      <c r="I223" s="12"/>
      <c r="K223" s="51"/>
    </row>
    <row r="224" ht="13.5" customHeight="1">
      <c r="E224" s="51"/>
      <c r="F224" s="12"/>
      <c r="G224" s="74"/>
      <c r="I224" s="12"/>
      <c r="K224" s="51"/>
    </row>
    <row r="225" ht="13.5" customHeight="1">
      <c r="E225" s="51"/>
      <c r="F225" s="12"/>
      <c r="G225" s="74"/>
      <c r="I225" s="12"/>
      <c r="K225" s="51"/>
    </row>
    <row r="226" ht="13.5" customHeight="1">
      <c r="E226" s="51"/>
      <c r="F226" s="12"/>
      <c r="G226" s="74"/>
      <c r="I226" s="12"/>
      <c r="K226" s="51"/>
    </row>
    <row r="227" ht="13.5" customHeight="1">
      <c r="E227" s="51"/>
      <c r="F227" s="12"/>
      <c r="G227" s="74"/>
      <c r="I227" s="12"/>
      <c r="K227" s="51"/>
    </row>
    <row r="228" ht="13.5" customHeight="1">
      <c r="E228" s="51"/>
      <c r="F228" s="12"/>
      <c r="G228" s="74"/>
      <c r="I228" s="12"/>
      <c r="K228" s="51"/>
    </row>
    <row r="229" ht="13.5" customHeight="1">
      <c r="E229" s="51"/>
      <c r="F229" s="12"/>
      <c r="G229" s="74"/>
      <c r="I229" s="12"/>
      <c r="K229" s="51"/>
    </row>
    <row r="230" ht="13.5" customHeight="1">
      <c r="E230" s="51"/>
      <c r="F230" s="12"/>
      <c r="G230" s="74"/>
      <c r="I230" s="12"/>
      <c r="K230" s="51"/>
    </row>
    <row r="231" ht="13.5" customHeight="1">
      <c r="E231" s="51"/>
      <c r="F231" s="12"/>
      <c r="G231" s="74"/>
      <c r="I231" s="12"/>
      <c r="K231" s="51"/>
    </row>
    <row r="232" ht="13.5" customHeight="1">
      <c r="E232" s="51"/>
      <c r="F232" s="12"/>
      <c r="G232" s="74"/>
      <c r="I232" s="12"/>
      <c r="K232" s="51"/>
    </row>
    <row r="233" ht="13.5" customHeight="1">
      <c r="E233" s="51"/>
      <c r="F233" s="12"/>
      <c r="G233" s="74"/>
      <c r="I233" s="12"/>
      <c r="K233" s="51"/>
    </row>
    <row r="234" ht="13.5" customHeight="1">
      <c r="E234" s="51"/>
      <c r="F234" s="12"/>
      <c r="G234" s="74"/>
      <c r="I234" s="12"/>
      <c r="K234" s="51"/>
    </row>
    <row r="235" ht="13.5" customHeight="1">
      <c r="E235" s="51"/>
      <c r="F235" s="12"/>
      <c r="G235" s="74"/>
      <c r="I235" s="12"/>
      <c r="K235" s="51"/>
    </row>
    <row r="236" ht="13.5" customHeight="1">
      <c r="E236" s="51"/>
      <c r="F236" s="12"/>
      <c r="G236" s="74"/>
      <c r="I236" s="12"/>
      <c r="K236" s="51"/>
    </row>
    <row r="237" ht="13.5" customHeight="1">
      <c r="E237" s="51"/>
      <c r="F237" s="12"/>
      <c r="G237" s="74"/>
      <c r="I237" s="12"/>
      <c r="K237" s="51"/>
    </row>
    <row r="238" ht="13.5" customHeight="1">
      <c r="E238" s="51"/>
      <c r="F238" s="12"/>
      <c r="G238" s="74"/>
      <c r="I238" s="12"/>
      <c r="K238" s="51"/>
    </row>
    <row r="239" ht="13.5" customHeight="1">
      <c r="E239" s="51"/>
      <c r="F239" s="12"/>
      <c r="G239" s="74"/>
      <c r="I239" s="12"/>
      <c r="K239" s="51"/>
    </row>
    <row r="240" ht="13.5" customHeight="1">
      <c r="E240" s="51"/>
      <c r="F240" s="12"/>
      <c r="G240" s="74"/>
      <c r="I240" s="12"/>
      <c r="K240" s="51"/>
    </row>
    <row r="241" ht="13.5" customHeight="1">
      <c r="E241" s="51"/>
      <c r="F241" s="12"/>
      <c r="G241" s="74"/>
      <c r="I241" s="12"/>
      <c r="K241" s="51"/>
    </row>
    <row r="242" ht="13.5" customHeight="1">
      <c r="E242" s="51"/>
      <c r="F242" s="12"/>
      <c r="G242" s="74"/>
      <c r="I242" s="12"/>
      <c r="K242" s="51"/>
    </row>
    <row r="243" ht="13.5" customHeight="1">
      <c r="E243" s="51"/>
      <c r="F243" s="12"/>
      <c r="G243" s="74"/>
      <c r="I243" s="12"/>
      <c r="K243" s="51"/>
    </row>
    <row r="244" ht="13.5" customHeight="1">
      <c r="E244" s="51"/>
      <c r="F244" s="12"/>
      <c r="G244" s="74"/>
      <c r="I244" s="12"/>
      <c r="K244" s="51"/>
    </row>
    <row r="245" ht="13.5" customHeight="1">
      <c r="E245" s="51"/>
      <c r="F245" s="12"/>
      <c r="G245" s="74"/>
      <c r="I245" s="12"/>
      <c r="K245" s="51"/>
    </row>
    <row r="246" ht="13.5" customHeight="1">
      <c r="E246" s="51"/>
      <c r="F246" s="12"/>
      <c r="G246" s="74"/>
      <c r="I246" s="12"/>
      <c r="K246" s="51"/>
    </row>
    <row r="247" ht="13.5" customHeight="1">
      <c r="E247" s="51"/>
      <c r="F247" s="12"/>
      <c r="G247" s="74"/>
      <c r="I247" s="12"/>
      <c r="K247" s="51"/>
    </row>
    <row r="248" ht="13.5" customHeight="1">
      <c r="E248" s="51"/>
      <c r="F248" s="12"/>
      <c r="G248" s="74"/>
      <c r="I248" s="12"/>
      <c r="K248" s="51"/>
    </row>
    <row r="249" ht="13.5" customHeight="1">
      <c r="E249" s="51"/>
      <c r="F249" s="12"/>
      <c r="G249" s="74"/>
      <c r="I249" s="12"/>
      <c r="K249" s="51"/>
    </row>
    <row r="250" ht="13.5" customHeight="1">
      <c r="E250" s="51"/>
      <c r="F250" s="12"/>
      <c r="G250" s="74"/>
      <c r="I250" s="12"/>
      <c r="K250" s="51"/>
    </row>
    <row r="251" ht="13.5" customHeight="1">
      <c r="E251" s="51"/>
      <c r="F251" s="12"/>
      <c r="G251" s="74"/>
      <c r="I251" s="12"/>
      <c r="K251" s="51"/>
    </row>
    <row r="252" ht="13.5" customHeight="1">
      <c r="E252" s="51"/>
      <c r="F252" s="12"/>
      <c r="G252" s="74"/>
      <c r="I252" s="12"/>
      <c r="K252" s="51"/>
    </row>
    <row r="253" ht="13.5" customHeight="1">
      <c r="E253" s="51"/>
      <c r="F253" s="12"/>
      <c r="G253" s="74"/>
      <c r="I253" s="12"/>
      <c r="K253" s="51"/>
    </row>
    <row r="254" ht="13.5" customHeight="1">
      <c r="E254" s="51"/>
      <c r="F254" s="12"/>
      <c r="G254" s="74"/>
      <c r="I254" s="12"/>
      <c r="K254" s="51"/>
    </row>
    <row r="255" ht="13.5" customHeight="1">
      <c r="E255" s="51"/>
      <c r="F255" s="12"/>
      <c r="G255" s="74"/>
      <c r="I255" s="12"/>
      <c r="K255" s="51"/>
    </row>
    <row r="256" ht="13.5" customHeight="1">
      <c r="E256" s="51"/>
      <c r="F256" s="12"/>
      <c r="G256" s="74"/>
      <c r="I256" s="12"/>
      <c r="K256" s="51"/>
    </row>
    <row r="257" ht="13.5" customHeight="1">
      <c r="E257" s="51"/>
      <c r="F257" s="12"/>
      <c r="G257" s="74"/>
      <c r="I257" s="12"/>
      <c r="K257" s="51"/>
    </row>
    <row r="258" ht="13.5" customHeight="1">
      <c r="E258" s="51"/>
      <c r="F258" s="12"/>
      <c r="G258" s="74"/>
      <c r="I258" s="12"/>
      <c r="K258" s="51"/>
    </row>
    <row r="259" ht="13.5" customHeight="1">
      <c r="E259" s="51"/>
      <c r="F259" s="12"/>
      <c r="G259" s="74"/>
      <c r="I259" s="12"/>
      <c r="K259" s="51"/>
    </row>
    <row r="260" ht="13.5" customHeight="1">
      <c r="E260" s="51"/>
      <c r="F260" s="12"/>
      <c r="G260" s="74"/>
      <c r="I260" s="12"/>
      <c r="K260" s="51"/>
    </row>
    <row r="261" ht="13.5" customHeight="1">
      <c r="E261" s="51"/>
      <c r="F261" s="12"/>
      <c r="G261" s="74"/>
      <c r="I261" s="12"/>
      <c r="K261" s="51"/>
    </row>
    <row r="262" ht="13.5" customHeight="1">
      <c r="E262" s="51"/>
      <c r="F262" s="12"/>
      <c r="G262" s="74"/>
      <c r="I262" s="12"/>
      <c r="K262" s="51"/>
    </row>
    <row r="263" ht="13.5" customHeight="1">
      <c r="E263" s="51"/>
      <c r="F263" s="12"/>
      <c r="G263" s="74"/>
      <c r="I263" s="12"/>
      <c r="K263" s="51"/>
    </row>
    <row r="264" ht="13.5" customHeight="1">
      <c r="E264" s="51"/>
      <c r="F264" s="12"/>
      <c r="G264" s="74"/>
      <c r="I264" s="12"/>
      <c r="K264" s="51"/>
    </row>
    <row r="265" ht="13.5" customHeight="1">
      <c r="E265" s="51"/>
      <c r="F265" s="12"/>
      <c r="G265" s="74"/>
      <c r="I265" s="12"/>
      <c r="K265" s="51"/>
    </row>
    <row r="266" ht="13.5" customHeight="1">
      <c r="E266" s="51"/>
      <c r="F266" s="12"/>
      <c r="G266" s="74"/>
      <c r="I266" s="12"/>
      <c r="K266" s="51"/>
    </row>
    <row r="267" ht="13.5" customHeight="1">
      <c r="E267" s="51"/>
      <c r="F267" s="12"/>
      <c r="G267" s="74"/>
      <c r="I267" s="12"/>
      <c r="K267" s="51"/>
    </row>
    <row r="268" ht="13.5" customHeight="1">
      <c r="E268" s="51"/>
      <c r="F268" s="12"/>
      <c r="G268" s="74"/>
      <c r="I268" s="12"/>
      <c r="K268" s="51"/>
    </row>
    <row r="269" ht="13.5" customHeight="1">
      <c r="E269" s="51"/>
      <c r="F269" s="12"/>
      <c r="G269" s="74"/>
      <c r="I269" s="12"/>
      <c r="K269" s="51"/>
    </row>
    <row r="270" ht="13.5" customHeight="1">
      <c r="E270" s="51"/>
      <c r="F270" s="12"/>
      <c r="G270" s="74"/>
      <c r="I270" s="12"/>
      <c r="K270" s="51"/>
    </row>
    <row r="271" ht="13.5" customHeight="1">
      <c r="E271" s="51"/>
      <c r="F271" s="12"/>
      <c r="G271" s="74"/>
      <c r="I271" s="12"/>
      <c r="K271" s="51"/>
    </row>
    <row r="272" ht="13.5" customHeight="1">
      <c r="E272" s="51"/>
      <c r="F272" s="12"/>
      <c r="G272" s="74"/>
      <c r="I272" s="12"/>
      <c r="K272" s="51"/>
    </row>
    <row r="273" ht="13.5" customHeight="1">
      <c r="E273" s="51"/>
      <c r="F273" s="12"/>
      <c r="G273" s="74"/>
      <c r="I273" s="12"/>
      <c r="K273" s="51"/>
    </row>
    <row r="274" ht="13.5" customHeight="1">
      <c r="E274" s="51"/>
      <c r="F274" s="12"/>
      <c r="G274" s="74"/>
      <c r="I274" s="12"/>
      <c r="K274" s="51"/>
    </row>
    <row r="275" ht="13.5" customHeight="1">
      <c r="E275" s="51"/>
      <c r="F275" s="12"/>
      <c r="G275" s="74"/>
      <c r="I275" s="12"/>
      <c r="K275" s="51"/>
    </row>
    <row r="276" ht="13.5" customHeight="1">
      <c r="E276" s="51"/>
      <c r="F276" s="12"/>
      <c r="G276" s="74"/>
      <c r="I276" s="12"/>
      <c r="K276" s="51"/>
    </row>
    <row r="277" ht="13.5" customHeight="1">
      <c r="E277" s="51"/>
      <c r="F277" s="12"/>
      <c r="G277" s="74"/>
      <c r="I277" s="12"/>
      <c r="K277" s="51"/>
    </row>
    <row r="278" ht="13.5" customHeight="1">
      <c r="E278" s="51"/>
      <c r="F278" s="12"/>
      <c r="G278" s="74"/>
      <c r="I278" s="12"/>
      <c r="K278" s="51"/>
    </row>
    <row r="279" ht="13.5" customHeight="1">
      <c r="E279" s="51"/>
      <c r="F279" s="12"/>
      <c r="G279" s="74"/>
      <c r="I279" s="12"/>
      <c r="K279" s="51"/>
    </row>
    <row r="280" ht="13.5" customHeight="1">
      <c r="E280" s="51"/>
      <c r="F280" s="12"/>
      <c r="G280" s="74"/>
      <c r="I280" s="12"/>
      <c r="K280" s="51"/>
    </row>
    <row r="281" ht="13.5" customHeight="1">
      <c r="E281" s="51"/>
      <c r="F281" s="12"/>
      <c r="G281" s="74"/>
      <c r="I281" s="12"/>
      <c r="K281" s="51"/>
    </row>
    <row r="282" ht="13.5" customHeight="1">
      <c r="E282" s="51"/>
      <c r="F282" s="12"/>
      <c r="G282" s="74"/>
      <c r="I282" s="12"/>
      <c r="K282" s="51"/>
    </row>
    <row r="283" ht="13.5" customHeight="1">
      <c r="E283" s="51"/>
      <c r="F283" s="12"/>
      <c r="G283" s="74"/>
      <c r="I283" s="12"/>
      <c r="K283" s="51"/>
    </row>
    <row r="284" ht="13.5" customHeight="1">
      <c r="E284" s="51"/>
      <c r="F284" s="12"/>
      <c r="G284" s="74"/>
      <c r="I284" s="12"/>
      <c r="K284" s="51"/>
    </row>
    <row r="285" ht="13.5" customHeight="1">
      <c r="E285" s="51"/>
      <c r="F285" s="12"/>
      <c r="G285" s="74"/>
      <c r="I285" s="12"/>
      <c r="K285" s="51"/>
    </row>
    <row r="286" ht="13.5" customHeight="1">
      <c r="E286" s="51"/>
      <c r="F286" s="12"/>
      <c r="G286" s="74"/>
      <c r="I286" s="12"/>
      <c r="K286" s="51"/>
    </row>
    <row r="287" ht="13.5" customHeight="1">
      <c r="E287" s="51"/>
      <c r="F287" s="12"/>
      <c r="G287" s="74"/>
      <c r="I287" s="12"/>
      <c r="K287" s="51"/>
    </row>
    <row r="288" ht="13.5" customHeight="1">
      <c r="E288" s="51"/>
      <c r="F288" s="12"/>
      <c r="G288" s="74"/>
      <c r="I288" s="12"/>
      <c r="K288" s="51"/>
    </row>
    <row r="289" ht="13.5" customHeight="1">
      <c r="E289" s="51"/>
      <c r="F289" s="12"/>
      <c r="G289" s="74"/>
      <c r="I289" s="12"/>
      <c r="K289" s="51"/>
    </row>
    <row r="290" ht="13.5" customHeight="1">
      <c r="E290" s="51"/>
      <c r="F290" s="12"/>
      <c r="G290" s="74"/>
      <c r="I290" s="12"/>
      <c r="K290" s="51"/>
    </row>
    <row r="291" ht="13.5" customHeight="1">
      <c r="E291" s="51"/>
      <c r="F291" s="12"/>
      <c r="G291" s="74"/>
      <c r="I291" s="12"/>
      <c r="K291" s="51"/>
    </row>
    <row r="292" ht="13.5" customHeight="1">
      <c r="E292" s="51"/>
      <c r="F292" s="12"/>
      <c r="G292" s="74"/>
      <c r="I292" s="12"/>
      <c r="K292" s="51"/>
    </row>
    <row r="293" ht="13.5" customHeight="1">
      <c r="E293" s="51"/>
      <c r="F293" s="12"/>
      <c r="G293" s="74"/>
      <c r="I293" s="12"/>
      <c r="K293" s="51"/>
    </row>
    <row r="294" ht="13.5" customHeight="1">
      <c r="E294" s="51"/>
      <c r="F294" s="12"/>
      <c r="G294" s="74"/>
      <c r="I294" s="12"/>
      <c r="K294" s="51"/>
    </row>
    <row r="295" ht="13.5" customHeight="1">
      <c r="E295" s="51"/>
      <c r="F295" s="12"/>
      <c r="G295" s="74"/>
      <c r="I295" s="12"/>
      <c r="K295" s="51"/>
    </row>
    <row r="296" ht="13.5" customHeight="1">
      <c r="E296" s="51"/>
      <c r="F296" s="12"/>
      <c r="G296" s="74"/>
      <c r="I296" s="12"/>
      <c r="K296" s="51"/>
    </row>
    <row r="297" ht="13.5" customHeight="1">
      <c r="E297" s="51"/>
      <c r="F297" s="12"/>
      <c r="G297" s="74"/>
      <c r="I297" s="12"/>
      <c r="K297" s="51"/>
    </row>
    <row r="298" ht="13.5" customHeight="1">
      <c r="E298" s="51"/>
      <c r="F298" s="12"/>
      <c r="G298" s="74"/>
      <c r="I298" s="12"/>
      <c r="K298" s="51"/>
    </row>
    <row r="299" ht="13.5" customHeight="1">
      <c r="E299" s="51"/>
      <c r="F299" s="12"/>
      <c r="G299" s="74"/>
      <c r="I299" s="12"/>
      <c r="K299" s="51"/>
    </row>
    <row r="300" ht="13.5" customHeight="1">
      <c r="E300" s="51"/>
      <c r="F300" s="12"/>
      <c r="G300" s="74"/>
      <c r="I300" s="12"/>
      <c r="K300" s="51"/>
    </row>
    <row r="301" ht="13.5" customHeight="1">
      <c r="E301" s="51"/>
      <c r="F301" s="12"/>
      <c r="G301" s="74"/>
      <c r="I301" s="12"/>
      <c r="K301" s="51"/>
    </row>
    <row r="302" ht="13.5" customHeight="1">
      <c r="E302" s="51"/>
      <c r="F302" s="12"/>
      <c r="G302" s="74"/>
      <c r="I302" s="12"/>
      <c r="K302" s="51"/>
    </row>
    <row r="303" ht="13.5" customHeight="1">
      <c r="E303" s="51"/>
      <c r="F303" s="12"/>
      <c r="G303" s="74"/>
      <c r="I303" s="12"/>
      <c r="K303" s="51"/>
    </row>
    <row r="304" ht="13.5" customHeight="1">
      <c r="E304" s="51"/>
      <c r="F304" s="12"/>
      <c r="G304" s="74"/>
      <c r="I304" s="12"/>
      <c r="K304" s="51"/>
    </row>
    <row r="305" ht="13.5" customHeight="1">
      <c r="E305" s="51"/>
      <c r="F305" s="12"/>
      <c r="G305" s="74"/>
      <c r="I305" s="12"/>
      <c r="K305" s="51"/>
    </row>
    <row r="306" ht="13.5" customHeight="1">
      <c r="E306" s="51"/>
      <c r="F306" s="12"/>
      <c r="G306" s="74"/>
      <c r="I306" s="12"/>
      <c r="K306" s="51"/>
    </row>
    <row r="307" ht="13.5" customHeight="1">
      <c r="E307" s="51"/>
      <c r="F307" s="12"/>
      <c r="G307" s="74"/>
      <c r="I307" s="12"/>
      <c r="K307" s="51"/>
    </row>
    <row r="308" ht="13.5" customHeight="1">
      <c r="E308" s="51"/>
      <c r="F308" s="12"/>
      <c r="G308" s="74"/>
      <c r="I308" s="12"/>
      <c r="K308" s="51"/>
    </row>
    <row r="309" ht="13.5" customHeight="1">
      <c r="E309" s="51"/>
      <c r="F309" s="12"/>
      <c r="G309" s="74"/>
      <c r="I309" s="12"/>
      <c r="K309" s="51"/>
    </row>
    <row r="310" ht="13.5" customHeight="1">
      <c r="E310" s="51"/>
      <c r="F310" s="12"/>
      <c r="G310" s="74"/>
      <c r="I310" s="12"/>
      <c r="K310" s="51"/>
    </row>
    <row r="311" ht="13.5" customHeight="1">
      <c r="E311" s="51"/>
      <c r="F311" s="12"/>
      <c r="G311" s="74"/>
      <c r="I311" s="12"/>
      <c r="K311" s="51"/>
    </row>
    <row r="312" ht="13.5" customHeight="1">
      <c r="E312" s="51"/>
      <c r="F312" s="12"/>
      <c r="G312" s="74"/>
      <c r="I312" s="12"/>
      <c r="K312" s="51"/>
    </row>
    <row r="313" ht="13.5" customHeight="1">
      <c r="E313" s="51"/>
      <c r="F313" s="12"/>
      <c r="G313" s="74"/>
      <c r="I313" s="12"/>
      <c r="K313" s="51"/>
    </row>
    <row r="314" ht="13.5" customHeight="1">
      <c r="E314" s="51"/>
      <c r="F314" s="12"/>
      <c r="G314" s="74"/>
      <c r="I314" s="12"/>
      <c r="K314" s="51"/>
    </row>
    <row r="315" ht="13.5" customHeight="1">
      <c r="E315" s="51"/>
      <c r="F315" s="12"/>
      <c r="G315" s="74"/>
      <c r="I315" s="12"/>
      <c r="K315" s="51"/>
    </row>
    <row r="316" ht="13.5" customHeight="1">
      <c r="E316" s="51"/>
      <c r="F316" s="12"/>
      <c r="G316" s="74"/>
      <c r="I316" s="12"/>
      <c r="K316" s="51"/>
    </row>
    <row r="317" ht="13.5" customHeight="1">
      <c r="E317" s="51"/>
      <c r="F317" s="12"/>
      <c r="G317" s="74"/>
      <c r="I317" s="12"/>
      <c r="K317" s="51"/>
    </row>
    <row r="318" ht="13.5" customHeight="1">
      <c r="E318" s="51"/>
      <c r="F318" s="12"/>
      <c r="G318" s="74"/>
      <c r="I318" s="12"/>
      <c r="K318" s="51"/>
    </row>
    <row r="319" ht="13.5" customHeight="1">
      <c r="E319" s="51"/>
      <c r="F319" s="12"/>
      <c r="G319" s="74"/>
      <c r="I319" s="12"/>
      <c r="K319" s="51"/>
    </row>
    <row r="320" ht="13.5" customHeight="1">
      <c r="E320" s="51"/>
      <c r="F320" s="12"/>
      <c r="G320" s="74"/>
      <c r="I320" s="12"/>
      <c r="K320" s="51"/>
    </row>
    <row r="321" ht="13.5" customHeight="1">
      <c r="E321" s="51"/>
      <c r="F321" s="12"/>
      <c r="G321" s="74"/>
      <c r="I321" s="12"/>
      <c r="K321" s="51"/>
    </row>
    <row r="322" ht="13.5" customHeight="1">
      <c r="E322" s="51"/>
      <c r="F322" s="12"/>
      <c r="G322" s="74"/>
      <c r="I322" s="12"/>
      <c r="K322" s="51"/>
    </row>
    <row r="323" ht="13.5" customHeight="1">
      <c r="E323" s="51"/>
      <c r="F323" s="12"/>
      <c r="G323" s="74"/>
      <c r="I323" s="12"/>
      <c r="K323" s="51"/>
    </row>
    <row r="324" ht="13.5" customHeight="1">
      <c r="E324" s="51"/>
      <c r="F324" s="12"/>
      <c r="G324" s="74"/>
      <c r="I324" s="12"/>
      <c r="K324" s="51"/>
    </row>
    <row r="325" ht="13.5" customHeight="1">
      <c r="E325" s="51"/>
      <c r="F325" s="12"/>
      <c r="G325" s="74"/>
      <c r="I325" s="12"/>
      <c r="K325" s="51"/>
    </row>
    <row r="326" ht="13.5" customHeight="1">
      <c r="E326" s="51"/>
      <c r="F326" s="12"/>
      <c r="G326" s="74"/>
      <c r="I326" s="12"/>
      <c r="K326" s="51"/>
    </row>
    <row r="327" ht="13.5" customHeight="1">
      <c r="E327" s="51"/>
      <c r="F327" s="12"/>
      <c r="G327" s="74"/>
      <c r="I327" s="12"/>
      <c r="K327" s="51"/>
    </row>
    <row r="328" ht="13.5" customHeight="1">
      <c r="E328" s="51"/>
      <c r="F328" s="12"/>
      <c r="G328" s="74"/>
      <c r="I328" s="12"/>
      <c r="K328" s="51"/>
    </row>
    <row r="329" ht="13.5" customHeight="1">
      <c r="E329" s="51"/>
      <c r="F329" s="12"/>
      <c r="G329" s="74"/>
      <c r="I329" s="12"/>
      <c r="K329" s="51"/>
    </row>
    <row r="330" ht="13.5" customHeight="1">
      <c r="E330" s="51"/>
      <c r="F330" s="12"/>
      <c r="G330" s="74"/>
      <c r="I330" s="12"/>
      <c r="K330" s="51"/>
    </row>
    <row r="331" ht="13.5" customHeight="1">
      <c r="E331" s="51"/>
      <c r="F331" s="12"/>
      <c r="G331" s="74"/>
      <c r="I331" s="12"/>
      <c r="K331" s="51"/>
    </row>
    <row r="332" ht="13.5" customHeight="1">
      <c r="E332" s="51"/>
      <c r="F332" s="12"/>
      <c r="G332" s="74"/>
      <c r="I332" s="12"/>
      <c r="K332" s="51"/>
    </row>
    <row r="333" ht="13.5" customHeight="1">
      <c r="E333" s="51"/>
      <c r="F333" s="12"/>
      <c r="G333" s="74"/>
      <c r="I333" s="12"/>
      <c r="K333" s="51"/>
    </row>
    <row r="334" ht="13.5" customHeight="1">
      <c r="E334" s="51"/>
      <c r="F334" s="12"/>
      <c r="G334" s="74"/>
      <c r="I334" s="12"/>
      <c r="K334" s="51"/>
    </row>
    <row r="335" ht="13.5" customHeight="1">
      <c r="E335" s="51"/>
      <c r="F335" s="12"/>
      <c r="G335" s="74"/>
      <c r="I335" s="12"/>
      <c r="K335" s="51"/>
    </row>
    <row r="336" ht="13.5" customHeight="1">
      <c r="E336" s="51"/>
      <c r="F336" s="12"/>
      <c r="G336" s="74"/>
      <c r="I336" s="12"/>
      <c r="K336" s="51"/>
    </row>
    <row r="337" ht="13.5" customHeight="1">
      <c r="E337" s="51"/>
      <c r="F337" s="12"/>
      <c r="G337" s="74"/>
      <c r="I337" s="12"/>
      <c r="K337" s="51"/>
    </row>
    <row r="338" ht="13.5" customHeight="1">
      <c r="E338" s="51"/>
      <c r="F338" s="12"/>
      <c r="G338" s="74"/>
      <c r="I338" s="12"/>
      <c r="K338" s="51"/>
    </row>
    <row r="339" ht="13.5" customHeight="1">
      <c r="E339" s="51"/>
      <c r="F339" s="12"/>
      <c r="G339" s="74"/>
      <c r="I339" s="12"/>
      <c r="K339" s="51"/>
    </row>
    <row r="340" ht="13.5" customHeight="1">
      <c r="E340" s="51"/>
      <c r="F340" s="12"/>
      <c r="G340" s="74"/>
      <c r="I340" s="12"/>
      <c r="K340" s="51"/>
    </row>
    <row r="341" ht="13.5" customHeight="1">
      <c r="E341" s="51"/>
      <c r="F341" s="12"/>
      <c r="G341" s="74"/>
      <c r="I341" s="12"/>
      <c r="K341" s="51"/>
    </row>
    <row r="342" ht="13.5" customHeight="1">
      <c r="E342" s="51"/>
      <c r="F342" s="12"/>
      <c r="G342" s="74"/>
      <c r="I342" s="12"/>
      <c r="K342" s="51"/>
    </row>
    <row r="343" ht="13.5" customHeight="1">
      <c r="E343" s="51"/>
      <c r="F343" s="12"/>
      <c r="G343" s="74"/>
      <c r="I343" s="12"/>
      <c r="K343" s="51"/>
    </row>
    <row r="344" ht="13.5" customHeight="1">
      <c r="E344" s="51"/>
      <c r="F344" s="12"/>
      <c r="G344" s="74"/>
      <c r="I344" s="12"/>
      <c r="K344" s="51"/>
    </row>
    <row r="345" ht="13.5" customHeight="1">
      <c r="E345" s="51"/>
      <c r="F345" s="12"/>
      <c r="G345" s="74"/>
      <c r="I345" s="12"/>
      <c r="K345" s="51"/>
    </row>
    <row r="346" ht="13.5" customHeight="1">
      <c r="E346" s="51"/>
      <c r="F346" s="12"/>
      <c r="G346" s="74"/>
      <c r="I346" s="12"/>
      <c r="K346" s="51"/>
    </row>
    <row r="347" ht="13.5" customHeight="1">
      <c r="E347" s="51"/>
      <c r="F347" s="12"/>
      <c r="G347" s="74"/>
      <c r="I347" s="12"/>
      <c r="K347" s="51"/>
    </row>
    <row r="348" ht="13.5" customHeight="1">
      <c r="E348" s="51"/>
      <c r="F348" s="12"/>
      <c r="G348" s="74"/>
      <c r="I348" s="12"/>
      <c r="K348" s="51"/>
    </row>
    <row r="349" ht="13.5" customHeight="1">
      <c r="E349" s="51"/>
      <c r="F349" s="12"/>
      <c r="G349" s="74"/>
      <c r="I349" s="12"/>
      <c r="K349" s="51"/>
    </row>
    <row r="350" ht="13.5" customHeight="1">
      <c r="E350" s="51"/>
      <c r="F350" s="12"/>
      <c r="G350" s="74"/>
      <c r="I350" s="12"/>
      <c r="K350" s="51"/>
    </row>
    <row r="351" ht="13.5" customHeight="1">
      <c r="E351" s="51"/>
      <c r="F351" s="12"/>
      <c r="G351" s="74"/>
      <c r="I351" s="12"/>
      <c r="K351" s="51"/>
    </row>
    <row r="352" ht="13.5" customHeight="1">
      <c r="E352" s="51"/>
      <c r="F352" s="12"/>
      <c r="G352" s="74"/>
      <c r="I352" s="12"/>
      <c r="K352" s="51"/>
    </row>
    <row r="353" ht="13.5" customHeight="1">
      <c r="E353" s="51"/>
      <c r="F353" s="12"/>
      <c r="G353" s="74"/>
      <c r="I353" s="12"/>
      <c r="K353" s="51"/>
    </row>
    <row r="354" ht="13.5" customHeight="1">
      <c r="E354" s="51"/>
      <c r="F354" s="12"/>
      <c r="G354" s="74"/>
      <c r="I354" s="12"/>
      <c r="K354" s="51"/>
    </row>
    <row r="355" ht="13.5" customHeight="1">
      <c r="E355" s="51"/>
      <c r="F355" s="12"/>
      <c r="G355" s="74"/>
      <c r="I355" s="12"/>
      <c r="K355" s="51"/>
    </row>
    <row r="356" ht="13.5" customHeight="1">
      <c r="E356" s="51"/>
      <c r="F356" s="12"/>
      <c r="G356" s="74"/>
      <c r="I356" s="12"/>
      <c r="K356" s="51"/>
    </row>
    <row r="357" ht="13.5" customHeight="1">
      <c r="E357" s="51"/>
      <c r="F357" s="12"/>
      <c r="G357" s="74"/>
      <c r="I357" s="12"/>
      <c r="K357" s="51"/>
    </row>
    <row r="358" ht="13.5" customHeight="1">
      <c r="E358" s="51"/>
      <c r="F358" s="12"/>
      <c r="G358" s="74"/>
      <c r="I358" s="12"/>
      <c r="K358" s="51"/>
    </row>
    <row r="359" ht="13.5" customHeight="1">
      <c r="E359" s="51"/>
      <c r="F359" s="12"/>
      <c r="G359" s="74"/>
      <c r="I359" s="12"/>
      <c r="K359" s="51"/>
    </row>
    <row r="360" ht="13.5" customHeight="1">
      <c r="E360" s="51"/>
      <c r="F360" s="12"/>
      <c r="G360" s="74"/>
      <c r="I360" s="12"/>
      <c r="K360" s="51"/>
    </row>
    <row r="361" ht="13.5" customHeight="1">
      <c r="E361" s="51"/>
      <c r="F361" s="12"/>
      <c r="G361" s="74"/>
      <c r="I361" s="12"/>
      <c r="K361" s="51"/>
    </row>
    <row r="362" ht="13.5" customHeight="1">
      <c r="E362" s="51"/>
      <c r="F362" s="12"/>
      <c r="G362" s="74"/>
      <c r="I362" s="12"/>
      <c r="K362" s="51"/>
    </row>
    <row r="363" ht="13.5" customHeight="1">
      <c r="E363" s="51"/>
      <c r="F363" s="12"/>
      <c r="G363" s="74"/>
      <c r="I363" s="12"/>
      <c r="K363" s="51"/>
    </row>
    <row r="364" ht="13.5" customHeight="1">
      <c r="E364" s="51"/>
      <c r="F364" s="12"/>
      <c r="G364" s="74"/>
      <c r="I364" s="12"/>
      <c r="K364" s="51"/>
    </row>
    <row r="365" ht="13.5" customHeight="1">
      <c r="E365" s="51"/>
      <c r="F365" s="12"/>
      <c r="G365" s="74"/>
      <c r="I365" s="12"/>
      <c r="K365" s="51"/>
    </row>
    <row r="366" ht="13.5" customHeight="1">
      <c r="E366" s="51"/>
      <c r="F366" s="12"/>
      <c r="G366" s="74"/>
      <c r="I366" s="12"/>
      <c r="K366" s="51"/>
    </row>
    <row r="367" ht="13.5" customHeight="1">
      <c r="E367" s="51"/>
      <c r="F367" s="12"/>
      <c r="G367" s="74"/>
      <c r="I367" s="12"/>
      <c r="K367" s="51"/>
    </row>
    <row r="368" ht="13.5" customHeight="1">
      <c r="E368" s="51"/>
      <c r="F368" s="12"/>
      <c r="G368" s="74"/>
      <c r="I368" s="12"/>
      <c r="K368" s="51"/>
    </row>
    <row r="369" ht="13.5" customHeight="1">
      <c r="E369" s="51"/>
      <c r="F369" s="12"/>
      <c r="G369" s="74"/>
      <c r="I369" s="12"/>
      <c r="K369" s="51"/>
    </row>
    <row r="370" ht="13.5" customHeight="1">
      <c r="E370" s="51"/>
      <c r="F370" s="12"/>
      <c r="G370" s="74"/>
      <c r="I370" s="12"/>
      <c r="K370" s="51"/>
    </row>
    <row r="371" ht="13.5" customHeight="1">
      <c r="E371" s="51"/>
      <c r="F371" s="12"/>
      <c r="G371" s="74"/>
      <c r="I371" s="12"/>
      <c r="K371" s="51"/>
    </row>
    <row r="372" ht="13.5" customHeight="1">
      <c r="E372" s="51"/>
      <c r="F372" s="12"/>
      <c r="G372" s="74"/>
      <c r="I372" s="12"/>
      <c r="K372" s="51"/>
    </row>
    <row r="373" ht="13.5" customHeight="1">
      <c r="E373" s="51"/>
      <c r="F373" s="12"/>
      <c r="G373" s="74"/>
      <c r="I373" s="12"/>
      <c r="K373" s="51"/>
    </row>
    <row r="374" ht="13.5" customHeight="1">
      <c r="E374" s="51"/>
      <c r="F374" s="12"/>
      <c r="G374" s="74"/>
      <c r="I374" s="12"/>
      <c r="K374" s="51"/>
    </row>
    <row r="375" ht="13.5" customHeight="1">
      <c r="E375" s="51"/>
      <c r="F375" s="12"/>
      <c r="G375" s="74"/>
      <c r="I375" s="12"/>
      <c r="K375" s="51"/>
    </row>
    <row r="376" ht="13.5" customHeight="1">
      <c r="E376" s="51"/>
      <c r="F376" s="12"/>
      <c r="G376" s="74"/>
      <c r="I376" s="12"/>
      <c r="K376" s="51"/>
    </row>
    <row r="377" ht="13.5" customHeight="1">
      <c r="E377" s="51"/>
      <c r="F377" s="12"/>
      <c r="G377" s="74"/>
      <c r="I377" s="12"/>
      <c r="K377" s="51"/>
    </row>
    <row r="378" ht="13.5" customHeight="1">
      <c r="E378" s="51"/>
      <c r="F378" s="12"/>
      <c r="G378" s="74"/>
      <c r="I378" s="12"/>
      <c r="K378" s="51"/>
    </row>
    <row r="379" ht="13.5" customHeight="1">
      <c r="E379" s="51"/>
      <c r="F379" s="12"/>
      <c r="G379" s="74"/>
      <c r="I379" s="12"/>
      <c r="K379" s="51"/>
    </row>
    <row r="380" ht="13.5" customHeight="1">
      <c r="E380" s="51"/>
      <c r="F380" s="12"/>
      <c r="G380" s="74"/>
      <c r="I380" s="12"/>
      <c r="K380" s="51"/>
    </row>
    <row r="381" ht="13.5" customHeight="1">
      <c r="E381" s="51"/>
      <c r="F381" s="12"/>
      <c r="G381" s="74"/>
      <c r="I381" s="12"/>
      <c r="K381" s="51"/>
    </row>
    <row r="382" ht="13.5" customHeight="1">
      <c r="E382" s="51"/>
      <c r="F382" s="12"/>
      <c r="G382" s="74"/>
      <c r="I382" s="12"/>
      <c r="K382" s="51"/>
    </row>
    <row r="383" ht="13.5" customHeight="1">
      <c r="E383" s="51"/>
      <c r="F383" s="12"/>
      <c r="G383" s="74"/>
      <c r="I383" s="12"/>
      <c r="K383" s="51"/>
    </row>
    <row r="384" ht="13.5" customHeight="1">
      <c r="E384" s="51"/>
      <c r="F384" s="12"/>
      <c r="G384" s="74"/>
      <c r="I384" s="12"/>
      <c r="K384" s="51"/>
    </row>
    <row r="385" ht="13.5" customHeight="1">
      <c r="E385" s="51"/>
      <c r="F385" s="12"/>
      <c r="G385" s="74"/>
      <c r="I385" s="12"/>
      <c r="K385" s="51"/>
    </row>
    <row r="386" ht="13.5" customHeight="1">
      <c r="E386" s="51"/>
      <c r="F386" s="12"/>
      <c r="G386" s="74"/>
      <c r="I386" s="12"/>
      <c r="K386" s="51"/>
    </row>
    <row r="387" ht="13.5" customHeight="1">
      <c r="E387" s="51"/>
      <c r="F387" s="12"/>
      <c r="G387" s="74"/>
      <c r="I387" s="12"/>
      <c r="K387" s="51"/>
    </row>
    <row r="388" ht="13.5" customHeight="1">
      <c r="E388" s="51"/>
      <c r="F388" s="12"/>
      <c r="G388" s="74"/>
      <c r="I388" s="12"/>
      <c r="K388" s="51"/>
    </row>
    <row r="389" ht="13.5" customHeight="1">
      <c r="E389" s="51"/>
      <c r="F389" s="12"/>
      <c r="G389" s="74"/>
      <c r="I389" s="12"/>
      <c r="K389" s="51"/>
    </row>
    <row r="390" ht="13.5" customHeight="1">
      <c r="E390" s="51"/>
      <c r="F390" s="12"/>
      <c r="G390" s="74"/>
      <c r="I390" s="12"/>
      <c r="K390" s="51"/>
    </row>
    <row r="391" ht="13.5" customHeight="1">
      <c r="E391" s="51"/>
      <c r="F391" s="12"/>
      <c r="G391" s="74"/>
      <c r="I391" s="12"/>
      <c r="K391" s="51"/>
    </row>
    <row r="392" ht="13.5" customHeight="1">
      <c r="E392" s="51"/>
      <c r="F392" s="12"/>
      <c r="G392" s="74"/>
      <c r="I392" s="12"/>
      <c r="K392" s="51"/>
    </row>
    <row r="393" ht="13.5" customHeight="1">
      <c r="E393" s="51"/>
      <c r="F393" s="12"/>
      <c r="G393" s="74"/>
      <c r="I393" s="12"/>
      <c r="K393" s="51"/>
    </row>
    <row r="394" ht="13.5" customHeight="1">
      <c r="E394" s="51"/>
      <c r="F394" s="12"/>
      <c r="G394" s="74"/>
      <c r="I394" s="12"/>
      <c r="K394" s="51"/>
    </row>
    <row r="395" ht="13.5" customHeight="1">
      <c r="E395" s="51"/>
      <c r="F395" s="12"/>
      <c r="G395" s="74"/>
      <c r="I395" s="12"/>
      <c r="K395" s="51"/>
    </row>
    <row r="396" ht="13.5" customHeight="1">
      <c r="E396" s="51"/>
      <c r="F396" s="12"/>
      <c r="G396" s="74"/>
      <c r="I396" s="12"/>
      <c r="K396" s="51"/>
    </row>
    <row r="397" ht="13.5" customHeight="1">
      <c r="E397" s="51"/>
      <c r="F397" s="12"/>
      <c r="G397" s="74"/>
      <c r="I397" s="12"/>
      <c r="K397" s="51"/>
    </row>
    <row r="398" ht="13.5" customHeight="1">
      <c r="E398" s="51"/>
      <c r="F398" s="12"/>
      <c r="G398" s="74"/>
      <c r="I398" s="12"/>
      <c r="K398" s="51"/>
    </row>
    <row r="399" ht="13.5" customHeight="1">
      <c r="E399" s="51"/>
      <c r="F399" s="12"/>
      <c r="G399" s="74"/>
      <c r="I399" s="12"/>
      <c r="K399" s="51"/>
    </row>
    <row r="400" ht="13.5" customHeight="1">
      <c r="E400" s="51"/>
      <c r="F400" s="12"/>
      <c r="G400" s="74"/>
      <c r="I400" s="12"/>
      <c r="K400" s="51"/>
    </row>
    <row r="401" ht="13.5" customHeight="1">
      <c r="E401" s="51"/>
      <c r="F401" s="12"/>
      <c r="G401" s="74"/>
      <c r="I401" s="12"/>
      <c r="K401" s="51"/>
    </row>
    <row r="402" ht="13.5" customHeight="1">
      <c r="E402" s="51"/>
      <c r="F402" s="12"/>
      <c r="G402" s="74"/>
      <c r="I402" s="12"/>
      <c r="K402" s="51"/>
    </row>
    <row r="403" ht="13.5" customHeight="1">
      <c r="E403" s="51"/>
      <c r="F403" s="12"/>
      <c r="G403" s="74"/>
      <c r="I403" s="12"/>
      <c r="K403" s="51"/>
    </row>
    <row r="404" ht="13.5" customHeight="1">
      <c r="E404" s="51"/>
      <c r="F404" s="12"/>
      <c r="G404" s="74"/>
      <c r="I404" s="12"/>
      <c r="K404" s="51"/>
    </row>
    <row r="405" ht="13.5" customHeight="1">
      <c r="E405" s="51"/>
      <c r="F405" s="12"/>
      <c r="G405" s="74"/>
      <c r="I405" s="12"/>
      <c r="K405" s="51"/>
    </row>
    <row r="406" ht="13.5" customHeight="1">
      <c r="E406" s="51"/>
      <c r="F406" s="12"/>
      <c r="G406" s="74"/>
      <c r="I406" s="12"/>
      <c r="K406" s="51"/>
    </row>
    <row r="407" ht="13.5" customHeight="1">
      <c r="E407" s="51"/>
      <c r="F407" s="12"/>
      <c r="G407" s="74"/>
      <c r="I407" s="12"/>
      <c r="K407" s="51"/>
    </row>
    <row r="408" ht="13.5" customHeight="1">
      <c r="E408" s="51"/>
      <c r="F408" s="12"/>
      <c r="G408" s="74"/>
      <c r="I408" s="12"/>
      <c r="K408" s="51"/>
    </row>
    <row r="409" ht="13.5" customHeight="1">
      <c r="E409" s="51"/>
      <c r="F409" s="12"/>
      <c r="G409" s="74"/>
      <c r="I409" s="12"/>
      <c r="K409" s="51"/>
    </row>
    <row r="410" ht="13.5" customHeight="1">
      <c r="E410" s="51"/>
      <c r="F410" s="12"/>
      <c r="G410" s="74"/>
      <c r="I410" s="12"/>
      <c r="K410" s="51"/>
    </row>
    <row r="411" ht="13.5" customHeight="1">
      <c r="E411" s="51"/>
      <c r="F411" s="12"/>
      <c r="G411" s="74"/>
      <c r="I411" s="12"/>
      <c r="K411" s="51"/>
    </row>
    <row r="412" ht="13.5" customHeight="1">
      <c r="E412" s="51"/>
      <c r="F412" s="12"/>
      <c r="G412" s="74"/>
      <c r="I412" s="12"/>
      <c r="K412" s="51"/>
    </row>
    <row r="413" ht="13.5" customHeight="1">
      <c r="E413" s="51"/>
      <c r="F413" s="12"/>
      <c r="G413" s="74"/>
      <c r="I413" s="12"/>
      <c r="K413" s="51"/>
    </row>
    <row r="414" ht="13.5" customHeight="1">
      <c r="E414" s="51"/>
      <c r="F414" s="12"/>
      <c r="G414" s="74"/>
      <c r="I414" s="12"/>
      <c r="K414" s="51"/>
    </row>
    <row r="415" ht="13.5" customHeight="1">
      <c r="E415" s="51"/>
      <c r="F415" s="12"/>
      <c r="G415" s="74"/>
      <c r="I415" s="12"/>
      <c r="K415" s="51"/>
    </row>
    <row r="416" ht="13.5" customHeight="1">
      <c r="E416" s="51"/>
      <c r="F416" s="12"/>
      <c r="G416" s="74"/>
      <c r="I416" s="12"/>
      <c r="K416" s="51"/>
    </row>
    <row r="417" ht="13.5" customHeight="1">
      <c r="E417" s="51"/>
      <c r="F417" s="12"/>
      <c r="G417" s="74"/>
      <c r="I417" s="12"/>
      <c r="K417" s="51"/>
    </row>
    <row r="418" ht="13.5" customHeight="1">
      <c r="E418" s="51"/>
      <c r="F418" s="12"/>
      <c r="G418" s="74"/>
      <c r="I418" s="12"/>
      <c r="K418" s="51"/>
    </row>
    <row r="419" ht="13.5" customHeight="1">
      <c r="E419" s="51"/>
      <c r="F419" s="12"/>
      <c r="G419" s="74"/>
      <c r="I419" s="12"/>
      <c r="K419" s="51"/>
    </row>
    <row r="420" ht="13.5" customHeight="1">
      <c r="E420" s="51"/>
      <c r="F420" s="12"/>
      <c r="G420" s="74"/>
      <c r="I420" s="12"/>
      <c r="K420" s="51"/>
    </row>
    <row r="421" ht="13.5" customHeight="1">
      <c r="E421" s="51"/>
      <c r="F421" s="12"/>
      <c r="G421" s="74"/>
      <c r="I421" s="12"/>
      <c r="K421" s="51"/>
    </row>
    <row r="422" ht="13.5" customHeight="1">
      <c r="E422" s="51"/>
      <c r="F422" s="12"/>
      <c r="G422" s="74"/>
      <c r="I422" s="12"/>
      <c r="K422" s="51"/>
    </row>
    <row r="423" ht="13.5" customHeight="1">
      <c r="E423" s="51"/>
      <c r="F423" s="12"/>
      <c r="G423" s="74"/>
      <c r="I423" s="12"/>
      <c r="K423" s="51"/>
    </row>
    <row r="424" ht="13.5" customHeight="1">
      <c r="E424" s="51"/>
      <c r="F424" s="12"/>
      <c r="G424" s="74"/>
      <c r="I424" s="12"/>
      <c r="K424" s="51"/>
    </row>
    <row r="425" ht="13.5" customHeight="1">
      <c r="E425" s="51"/>
      <c r="F425" s="12"/>
      <c r="G425" s="74"/>
      <c r="I425" s="12"/>
      <c r="K425" s="51"/>
    </row>
    <row r="426" ht="13.5" customHeight="1">
      <c r="E426" s="51"/>
      <c r="F426" s="12"/>
      <c r="G426" s="74"/>
      <c r="I426" s="12"/>
      <c r="K426" s="51"/>
    </row>
    <row r="427" ht="13.5" customHeight="1">
      <c r="E427" s="51"/>
      <c r="F427" s="12"/>
      <c r="G427" s="74"/>
      <c r="I427" s="12"/>
      <c r="K427" s="51"/>
    </row>
    <row r="428" ht="13.5" customHeight="1">
      <c r="E428" s="51"/>
      <c r="F428" s="12"/>
      <c r="G428" s="74"/>
      <c r="I428" s="12"/>
      <c r="K428" s="51"/>
    </row>
    <row r="429" ht="13.5" customHeight="1">
      <c r="E429" s="51"/>
      <c r="F429" s="12"/>
      <c r="G429" s="74"/>
      <c r="I429" s="12"/>
      <c r="K429" s="51"/>
    </row>
    <row r="430" ht="13.5" customHeight="1">
      <c r="E430" s="51"/>
      <c r="F430" s="12"/>
      <c r="G430" s="74"/>
      <c r="I430" s="12"/>
      <c r="K430" s="51"/>
    </row>
    <row r="431" ht="13.5" customHeight="1">
      <c r="E431" s="51"/>
      <c r="F431" s="12"/>
      <c r="G431" s="74"/>
      <c r="I431" s="12"/>
      <c r="K431" s="51"/>
    </row>
    <row r="432" ht="13.5" customHeight="1">
      <c r="E432" s="51"/>
      <c r="F432" s="12"/>
      <c r="G432" s="74"/>
      <c r="I432" s="12"/>
      <c r="K432" s="51"/>
    </row>
    <row r="433" ht="13.5" customHeight="1">
      <c r="E433" s="51"/>
      <c r="F433" s="12"/>
      <c r="G433" s="74"/>
      <c r="I433" s="12"/>
      <c r="K433" s="51"/>
    </row>
    <row r="434" ht="13.5" customHeight="1">
      <c r="E434" s="51"/>
      <c r="F434" s="12"/>
      <c r="G434" s="74"/>
      <c r="I434" s="12"/>
      <c r="K434" s="51"/>
    </row>
    <row r="435" ht="13.5" customHeight="1">
      <c r="E435" s="51"/>
      <c r="F435" s="12"/>
      <c r="G435" s="74"/>
      <c r="I435" s="12"/>
      <c r="K435" s="51"/>
    </row>
    <row r="436" ht="13.5" customHeight="1">
      <c r="E436" s="51"/>
      <c r="F436" s="12"/>
      <c r="G436" s="74"/>
      <c r="I436" s="12"/>
      <c r="K436" s="51"/>
    </row>
    <row r="437" ht="13.5" customHeight="1">
      <c r="E437" s="51"/>
      <c r="F437" s="12"/>
      <c r="G437" s="74"/>
      <c r="I437" s="12"/>
      <c r="K437" s="51"/>
    </row>
    <row r="438" ht="13.5" customHeight="1">
      <c r="E438" s="51"/>
      <c r="F438" s="12"/>
      <c r="G438" s="74"/>
      <c r="I438" s="12"/>
      <c r="K438" s="51"/>
    </row>
    <row r="439" ht="13.5" customHeight="1">
      <c r="E439" s="51"/>
      <c r="F439" s="12"/>
      <c r="G439" s="74"/>
      <c r="I439" s="12"/>
      <c r="K439" s="51"/>
    </row>
    <row r="440" ht="13.5" customHeight="1">
      <c r="E440" s="51"/>
      <c r="F440" s="12"/>
      <c r="G440" s="74"/>
      <c r="I440" s="12"/>
      <c r="K440" s="51"/>
    </row>
    <row r="441" ht="13.5" customHeight="1">
      <c r="E441" s="51"/>
      <c r="F441" s="12"/>
      <c r="G441" s="74"/>
      <c r="I441" s="12"/>
      <c r="K441" s="51"/>
    </row>
    <row r="442" ht="13.5" customHeight="1">
      <c r="E442" s="51"/>
      <c r="F442" s="12"/>
      <c r="G442" s="74"/>
      <c r="I442" s="12"/>
      <c r="K442" s="51"/>
    </row>
    <row r="443" ht="13.5" customHeight="1">
      <c r="E443" s="51"/>
      <c r="F443" s="12"/>
      <c r="G443" s="74"/>
      <c r="I443" s="12"/>
      <c r="K443" s="51"/>
    </row>
    <row r="444" ht="13.5" customHeight="1">
      <c r="E444" s="51"/>
      <c r="F444" s="12"/>
      <c r="G444" s="74"/>
      <c r="I444" s="12"/>
      <c r="K444" s="51"/>
    </row>
    <row r="445" ht="13.5" customHeight="1">
      <c r="E445" s="51"/>
      <c r="F445" s="12"/>
      <c r="G445" s="74"/>
      <c r="I445" s="12"/>
      <c r="K445" s="51"/>
    </row>
    <row r="446" ht="13.5" customHeight="1">
      <c r="E446" s="51"/>
      <c r="F446" s="12"/>
      <c r="G446" s="74"/>
      <c r="I446" s="12"/>
      <c r="K446" s="51"/>
    </row>
    <row r="447" ht="13.5" customHeight="1">
      <c r="E447" s="51"/>
      <c r="F447" s="12"/>
      <c r="G447" s="74"/>
      <c r="I447" s="12"/>
      <c r="K447" s="51"/>
    </row>
    <row r="448" ht="13.5" customHeight="1">
      <c r="E448" s="51"/>
      <c r="F448" s="12"/>
      <c r="G448" s="74"/>
      <c r="I448" s="12"/>
      <c r="K448" s="51"/>
    </row>
    <row r="449" ht="13.5" customHeight="1">
      <c r="E449" s="51"/>
      <c r="F449" s="12"/>
      <c r="G449" s="74"/>
      <c r="I449" s="12"/>
      <c r="K449" s="51"/>
    </row>
    <row r="450" ht="13.5" customHeight="1">
      <c r="E450" s="51"/>
      <c r="F450" s="12"/>
      <c r="G450" s="74"/>
      <c r="I450" s="12"/>
      <c r="K450" s="51"/>
    </row>
    <row r="451" ht="13.5" customHeight="1">
      <c r="E451" s="51"/>
      <c r="F451" s="12"/>
      <c r="G451" s="74"/>
      <c r="I451" s="12"/>
      <c r="K451" s="51"/>
    </row>
    <row r="452" ht="13.5" customHeight="1">
      <c r="E452" s="51"/>
      <c r="F452" s="12"/>
      <c r="G452" s="74"/>
      <c r="I452" s="12"/>
      <c r="K452" s="51"/>
    </row>
    <row r="453" ht="13.5" customHeight="1">
      <c r="E453" s="51"/>
      <c r="F453" s="12"/>
      <c r="G453" s="74"/>
      <c r="I453" s="12"/>
      <c r="K453" s="51"/>
    </row>
    <row r="454" ht="13.5" customHeight="1">
      <c r="E454" s="51"/>
      <c r="F454" s="12"/>
      <c r="G454" s="74"/>
      <c r="I454" s="12"/>
      <c r="K454" s="51"/>
    </row>
    <row r="455" ht="13.5" customHeight="1">
      <c r="E455" s="51"/>
      <c r="F455" s="12"/>
      <c r="G455" s="74"/>
      <c r="I455" s="12"/>
      <c r="K455" s="51"/>
    </row>
    <row r="456" ht="13.5" customHeight="1">
      <c r="E456" s="51"/>
      <c r="F456" s="12"/>
      <c r="G456" s="74"/>
      <c r="I456" s="12"/>
      <c r="K456" s="51"/>
    </row>
    <row r="457" ht="13.5" customHeight="1">
      <c r="E457" s="51"/>
      <c r="F457" s="12"/>
      <c r="G457" s="74"/>
      <c r="I457" s="12"/>
      <c r="K457" s="51"/>
    </row>
    <row r="458" ht="13.5" customHeight="1">
      <c r="E458" s="51"/>
      <c r="F458" s="12"/>
      <c r="G458" s="74"/>
      <c r="I458" s="12"/>
      <c r="K458" s="51"/>
    </row>
    <row r="459" ht="13.5" customHeight="1">
      <c r="E459" s="51"/>
      <c r="F459" s="12"/>
      <c r="G459" s="74"/>
      <c r="I459" s="12"/>
      <c r="K459" s="51"/>
    </row>
    <row r="460" ht="13.5" customHeight="1">
      <c r="E460" s="51"/>
      <c r="F460" s="12"/>
      <c r="G460" s="74"/>
      <c r="I460" s="12"/>
      <c r="K460" s="51"/>
    </row>
    <row r="461" ht="13.5" customHeight="1">
      <c r="E461" s="51"/>
      <c r="F461" s="12"/>
      <c r="G461" s="74"/>
      <c r="I461" s="12"/>
      <c r="K461" s="51"/>
    </row>
    <row r="462" ht="13.5" customHeight="1">
      <c r="E462" s="51"/>
      <c r="F462" s="12"/>
      <c r="G462" s="74"/>
      <c r="I462" s="12"/>
      <c r="K462" s="51"/>
    </row>
    <row r="463" ht="13.5" customHeight="1">
      <c r="E463" s="51"/>
      <c r="F463" s="12"/>
      <c r="G463" s="74"/>
      <c r="I463" s="12"/>
      <c r="K463" s="51"/>
    </row>
    <row r="464" ht="13.5" customHeight="1">
      <c r="E464" s="51"/>
      <c r="F464" s="12"/>
      <c r="G464" s="74"/>
      <c r="I464" s="12"/>
      <c r="K464" s="51"/>
    </row>
    <row r="465" ht="13.5" customHeight="1">
      <c r="E465" s="51"/>
      <c r="F465" s="12"/>
      <c r="G465" s="74"/>
      <c r="I465" s="12"/>
      <c r="K465" s="51"/>
    </row>
    <row r="466" ht="13.5" customHeight="1">
      <c r="E466" s="51"/>
      <c r="F466" s="12"/>
      <c r="G466" s="74"/>
      <c r="I466" s="12"/>
      <c r="K466" s="51"/>
    </row>
    <row r="467" ht="13.5" customHeight="1">
      <c r="E467" s="51"/>
      <c r="F467" s="12"/>
      <c r="G467" s="74"/>
      <c r="I467" s="12"/>
      <c r="K467" s="51"/>
    </row>
    <row r="468" ht="13.5" customHeight="1">
      <c r="E468" s="51"/>
      <c r="F468" s="12"/>
      <c r="G468" s="74"/>
      <c r="I468" s="12"/>
      <c r="K468" s="51"/>
    </row>
    <row r="469" ht="13.5" customHeight="1">
      <c r="E469" s="51"/>
      <c r="F469" s="12"/>
      <c r="G469" s="74"/>
      <c r="I469" s="12"/>
      <c r="K469" s="51"/>
    </row>
    <row r="470" ht="13.5" customHeight="1">
      <c r="E470" s="51"/>
      <c r="F470" s="12"/>
      <c r="G470" s="74"/>
      <c r="I470" s="12"/>
      <c r="K470" s="51"/>
    </row>
    <row r="471" ht="13.5" customHeight="1">
      <c r="E471" s="51"/>
      <c r="F471" s="12"/>
      <c r="G471" s="74"/>
      <c r="I471" s="12"/>
      <c r="K471" s="51"/>
    </row>
    <row r="472" ht="13.5" customHeight="1">
      <c r="E472" s="51"/>
      <c r="F472" s="12"/>
      <c r="G472" s="74"/>
      <c r="I472" s="12"/>
      <c r="K472" s="51"/>
    </row>
    <row r="473" ht="13.5" customHeight="1">
      <c r="E473" s="51"/>
      <c r="F473" s="12"/>
      <c r="G473" s="74"/>
      <c r="I473" s="12"/>
      <c r="K473" s="51"/>
    </row>
    <row r="474" ht="13.5" customHeight="1">
      <c r="E474" s="51"/>
      <c r="F474" s="12"/>
      <c r="G474" s="74"/>
      <c r="I474" s="12"/>
      <c r="K474" s="51"/>
    </row>
    <row r="475" ht="13.5" customHeight="1">
      <c r="E475" s="51"/>
      <c r="F475" s="12"/>
      <c r="G475" s="74"/>
      <c r="I475" s="12"/>
      <c r="K475" s="51"/>
    </row>
    <row r="476" ht="13.5" customHeight="1">
      <c r="E476" s="51"/>
      <c r="F476" s="12"/>
      <c r="G476" s="74"/>
      <c r="I476" s="12"/>
      <c r="K476" s="51"/>
    </row>
    <row r="477" ht="13.5" customHeight="1">
      <c r="E477" s="51"/>
      <c r="F477" s="12"/>
      <c r="G477" s="74"/>
      <c r="I477" s="12"/>
      <c r="K477" s="51"/>
    </row>
    <row r="478" ht="13.5" customHeight="1">
      <c r="E478" s="51"/>
      <c r="F478" s="12"/>
      <c r="G478" s="74"/>
      <c r="I478" s="12"/>
      <c r="K478" s="51"/>
    </row>
    <row r="479" ht="13.5" customHeight="1">
      <c r="E479" s="51"/>
      <c r="F479" s="12"/>
      <c r="G479" s="74"/>
      <c r="I479" s="12"/>
      <c r="K479" s="51"/>
    </row>
    <row r="480" ht="13.5" customHeight="1">
      <c r="E480" s="51"/>
      <c r="F480" s="12"/>
      <c r="G480" s="74"/>
      <c r="I480" s="12"/>
      <c r="K480" s="51"/>
    </row>
    <row r="481" ht="13.5" customHeight="1">
      <c r="E481" s="51"/>
      <c r="F481" s="12"/>
      <c r="G481" s="74"/>
      <c r="I481" s="12"/>
      <c r="K481" s="51"/>
    </row>
    <row r="482" ht="13.5" customHeight="1">
      <c r="E482" s="51"/>
      <c r="F482" s="12"/>
      <c r="G482" s="74"/>
      <c r="I482" s="12"/>
      <c r="K482" s="51"/>
    </row>
    <row r="483" ht="13.5" customHeight="1">
      <c r="E483" s="51"/>
      <c r="F483" s="12"/>
      <c r="G483" s="74"/>
      <c r="I483" s="12"/>
      <c r="K483" s="51"/>
    </row>
    <row r="484" ht="13.5" customHeight="1">
      <c r="E484" s="51"/>
      <c r="F484" s="12"/>
      <c r="G484" s="74"/>
      <c r="I484" s="12"/>
      <c r="K484" s="51"/>
    </row>
    <row r="485" ht="13.5" customHeight="1">
      <c r="E485" s="51"/>
      <c r="F485" s="12"/>
      <c r="G485" s="74"/>
      <c r="I485" s="12"/>
      <c r="K485" s="51"/>
    </row>
    <row r="486" ht="13.5" customHeight="1">
      <c r="E486" s="51"/>
      <c r="F486" s="12"/>
      <c r="G486" s="74"/>
      <c r="I486" s="12"/>
      <c r="K486" s="51"/>
    </row>
    <row r="487" ht="13.5" customHeight="1">
      <c r="E487" s="51"/>
      <c r="F487" s="12"/>
      <c r="G487" s="74"/>
      <c r="I487" s="12"/>
      <c r="K487" s="51"/>
    </row>
    <row r="488" ht="13.5" customHeight="1">
      <c r="E488" s="51"/>
      <c r="F488" s="12"/>
      <c r="G488" s="74"/>
      <c r="I488" s="12"/>
      <c r="K488" s="51"/>
    </row>
    <row r="489" ht="13.5" customHeight="1">
      <c r="E489" s="51"/>
      <c r="F489" s="12"/>
      <c r="G489" s="74"/>
      <c r="I489" s="12"/>
      <c r="K489" s="51"/>
    </row>
    <row r="490" ht="13.5" customHeight="1">
      <c r="E490" s="51"/>
      <c r="F490" s="12"/>
      <c r="G490" s="74"/>
      <c r="I490" s="12"/>
      <c r="K490" s="51"/>
    </row>
    <row r="491" ht="13.5" customHeight="1">
      <c r="E491" s="51"/>
      <c r="F491" s="12"/>
      <c r="G491" s="74"/>
      <c r="I491" s="12"/>
      <c r="K491" s="51"/>
    </row>
    <row r="492" ht="13.5" customHeight="1">
      <c r="E492" s="51"/>
      <c r="F492" s="12"/>
      <c r="G492" s="74"/>
      <c r="I492" s="12"/>
      <c r="K492" s="51"/>
    </row>
    <row r="493" ht="13.5" customHeight="1">
      <c r="E493" s="51"/>
      <c r="F493" s="12"/>
      <c r="G493" s="74"/>
      <c r="I493" s="12"/>
      <c r="K493" s="51"/>
    </row>
    <row r="494" ht="13.5" customHeight="1">
      <c r="E494" s="51"/>
      <c r="F494" s="12"/>
      <c r="G494" s="74"/>
      <c r="I494" s="12"/>
      <c r="K494" s="51"/>
    </row>
    <row r="495" ht="13.5" customHeight="1">
      <c r="E495" s="51"/>
      <c r="F495" s="12"/>
      <c r="G495" s="74"/>
      <c r="I495" s="12"/>
      <c r="K495" s="51"/>
    </row>
    <row r="496" ht="13.5" customHeight="1">
      <c r="E496" s="51"/>
      <c r="F496" s="12"/>
      <c r="G496" s="74"/>
      <c r="I496" s="12"/>
      <c r="K496" s="51"/>
    </row>
    <row r="497" ht="13.5" customHeight="1">
      <c r="E497" s="51"/>
      <c r="F497" s="12"/>
      <c r="G497" s="74"/>
      <c r="I497" s="12"/>
      <c r="K497" s="51"/>
    </row>
    <row r="498" ht="13.5" customHeight="1">
      <c r="E498" s="51"/>
      <c r="F498" s="12"/>
      <c r="G498" s="74"/>
      <c r="I498" s="12"/>
      <c r="K498" s="51"/>
    </row>
    <row r="499" ht="13.5" customHeight="1">
      <c r="E499" s="51"/>
      <c r="F499" s="12"/>
      <c r="G499" s="74"/>
      <c r="I499" s="12"/>
      <c r="K499" s="51"/>
    </row>
    <row r="500" ht="13.5" customHeight="1">
      <c r="E500" s="51"/>
      <c r="F500" s="12"/>
      <c r="G500" s="74"/>
      <c r="I500" s="12"/>
      <c r="K500" s="51"/>
    </row>
    <row r="501" ht="13.5" customHeight="1">
      <c r="E501" s="51"/>
      <c r="F501" s="12"/>
      <c r="G501" s="74"/>
      <c r="I501" s="12"/>
      <c r="K501" s="51"/>
    </row>
    <row r="502" ht="13.5" customHeight="1">
      <c r="E502" s="51"/>
      <c r="F502" s="12"/>
      <c r="G502" s="74"/>
      <c r="I502" s="12"/>
      <c r="K502" s="51"/>
    </row>
    <row r="503" ht="13.5" customHeight="1">
      <c r="E503" s="51"/>
      <c r="F503" s="12"/>
      <c r="G503" s="74"/>
      <c r="I503" s="12"/>
      <c r="K503" s="51"/>
    </row>
    <row r="504" ht="13.5" customHeight="1">
      <c r="E504" s="51"/>
      <c r="F504" s="12"/>
      <c r="G504" s="74"/>
      <c r="I504" s="12"/>
      <c r="K504" s="51"/>
    </row>
    <row r="505" ht="13.5" customHeight="1">
      <c r="E505" s="51"/>
      <c r="F505" s="12"/>
      <c r="G505" s="74"/>
      <c r="I505" s="12"/>
      <c r="K505" s="51"/>
    </row>
    <row r="506" ht="13.5" customHeight="1">
      <c r="E506" s="51"/>
      <c r="F506" s="12"/>
      <c r="G506" s="74"/>
      <c r="I506" s="12"/>
      <c r="K506" s="51"/>
    </row>
    <row r="507" ht="13.5" customHeight="1">
      <c r="E507" s="51"/>
      <c r="F507" s="12"/>
      <c r="G507" s="74"/>
      <c r="I507" s="12"/>
      <c r="K507" s="51"/>
    </row>
    <row r="508" ht="13.5" customHeight="1">
      <c r="E508" s="51"/>
      <c r="F508" s="12"/>
      <c r="G508" s="74"/>
      <c r="I508" s="12"/>
      <c r="K508" s="51"/>
    </row>
    <row r="509" ht="13.5" customHeight="1">
      <c r="E509" s="51"/>
      <c r="F509" s="12"/>
      <c r="G509" s="74"/>
      <c r="I509" s="12"/>
      <c r="K509" s="51"/>
    </row>
    <row r="510" ht="13.5" customHeight="1">
      <c r="E510" s="51"/>
      <c r="F510" s="12"/>
      <c r="G510" s="74"/>
      <c r="I510" s="12"/>
      <c r="K510" s="51"/>
    </row>
    <row r="511" ht="13.5" customHeight="1">
      <c r="E511" s="51"/>
      <c r="F511" s="12"/>
      <c r="G511" s="74"/>
      <c r="I511" s="12"/>
      <c r="K511" s="51"/>
    </row>
    <row r="512" ht="13.5" customHeight="1">
      <c r="E512" s="51"/>
      <c r="F512" s="12"/>
      <c r="G512" s="74"/>
      <c r="I512" s="12"/>
      <c r="K512" s="51"/>
    </row>
    <row r="513" ht="13.5" customHeight="1">
      <c r="E513" s="51"/>
      <c r="F513" s="12"/>
      <c r="G513" s="74"/>
      <c r="I513" s="12"/>
      <c r="K513" s="51"/>
    </row>
    <row r="514" ht="13.5" customHeight="1">
      <c r="E514" s="51"/>
      <c r="F514" s="12"/>
      <c r="G514" s="74"/>
      <c r="I514" s="12"/>
      <c r="K514" s="51"/>
    </row>
    <row r="515" ht="13.5" customHeight="1">
      <c r="E515" s="51"/>
      <c r="F515" s="12"/>
      <c r="G515" s="74"/>
      <c r="I515" s="12"/>
      <c r="K515" s="51"/>
    </row>
    <row r="516" ht="13.5" customHeight="1">
      <c r="E516" s="51"/>
      <c r="F516" s="12"/>
      <c r="G516" s="74"/>
      <c r="I516" s="12"/>
      <c r="K516" s="51"/>
    </row>
    <row r="517" ht="13.5" customHeight="1">
      <c r="E517" s="51"/>
      <c r="F517" s="12"/>
      <c r="G517" s="74"/>
      <c r="I517" s="12"/>
      <c r="K517" s="51"/>
    </row>
    <row r="518" ht="13.5" customHeight="1">
      <c r="E518" s="51"/>
      <c r="F518" s="12"/>
      <c r="G518" s="74"/>
      <c r="I518" s="12"/>
      <c r="K518" s="51"/>
    </row>
    <row r="519" ht="13.5" customHeight="1">
      <c r="E519" s="51"/>
      <c r="F519" s="12"/>
      <c r="G519" s="74"/>
      <c r="I519" s="12"/>
      <c r="K519" s="51"/>
    </row>
    <row r="520" ht="13.5" customHeight="1">
      <c r="E520" s="51"/>
      <c r="F520" s="12"/>
      <c r="G520" s="74"/>
      <c r="I520" s="12"/>
      <c r="K520" s="51"/>
    </row>
    <row r="521" ht="13.5" customHeight="1">
      <c r="E521" s="51"/>
      <c r="F521" s="12"/>
      <c r="G521" s="74"/>
      <c r="I521" s="12"/>
      <c r="K521" s="51"/>
    </row>
    <row r="522" ht="13.5" customHeight="1">
      <c r="E522" s="51"/>
      <c r="F522" s="12"/>
      <c r="G522" s="74"/>
      <c r="I522" s="12"/>
      <c r="K522" s="51"/>
    </row>
    <row r="523" ht="13.5" customHeight="1">
      <c r="E523" s="51"/>
      <c r="F523" s="12"/>
      <c r="G523" s="74"/>
      <c r="I523" s="12"/>
      <c r="K523" s="51"/>
    </row>
    <row r="524" ht="13.5" customHeight="1">
      <c r="E524" s="51"/>
      <c r="F524" s="12"/>
      <c r="G524" s="74"/>
      <c r="I524" s="12"/>
      <c r="K524" s="51"/>
    </row>
    <row r="525" ht="13.5" customHeight="1">
      <c r="E525" s="51"/>
      <c r="F525" s="12"/>
      <c r="G525" s="74"/>
      <c r="I525" s="12"/>
      <c r="K525" s="51"/>
    </row>
    <row r="526" ht="13.5" customHeight="1">
      <c r="E526" s="51"/>
      <c r="F526" s="12"/>
      <c r="G526" s="74"/>
      <c r="I526" s="12"/>
      <c r="K526" s="51"/>
    </row>
    <row r="527" ht="13.5" customHeight="1">
      <c r="E527" s="51"/>
      <c r="F527" s="12"/>
      <c r="G527" s="74"/>
      <c r="I527" s="12"/>
      <c r="K527" s="51"/>
    </row>
    <row r="528" ht="13.5" customHeight="1">
      <c r="E528" s="51"/>
      <c r="F528" s="12"/>
      <c r="G528" s="74"/>
      <c r="I528" s="12"/>
      <c r="K528" s="51"/>
    </row>
    <row r="529" ht="13.5" customHeight="1">
      <c r="E529" s="51"/>
      <c r="F529" s="12"/>
      <c r="G529" s="74"/>
      <c r="I529" s="12"/>
      <c r="K529" s="51"/>
    </row>
    <row r="530" ht="13.5" customHeight="1">
      <c r="E530" s="51"/>
      <c r="F530" s="12"/>
      <c r="G530" s="74"/>
      <c r="I530" s="12"/>
      <c r="K530" s="51"/>
    </row>
    <row r="531" ht="13.5" customHeight="1">
      <c r="E531" s="51"/>
      <c r="F531" s="12"/>
      <c r="G531" s="74"/>
      <c r="I531" s="12"/>
      <c r="K531" s="51"/>
    </row>
    <row r="532" ht="13.5" customHeight="1">
      <c r="E532" s="51"/>
      <c r="F532" s="12"/>
      <c r="G532" s="74"/>
      <c r="I532" s="12"/>
      <c r="K532" s="51"/>
    </row>
    <row r="533" ht="13.5" customHeight="1">
      <c r="E533" s="51"/>
      <c r="F533" s="12"/>
      <c r="G533" s="74"/>
      <c r="I533" s="12"/>
      <c r="K533" s="51"/>
    </row>
    <row r="534" ht="13.5" customHeight="1">
      <c r="E534" s="51"/>
      <c r="F534" s="12"/>
      <c r="G534" s="74"/>
      <c r="I534" s="12"/>
      <c r="K534" s="51"/>
    </row>
    <row r="535" ht="13.5" customHeight="1">
      <c r="E535" s="51"/>
      <c r="F535" s="12"/>
      <c r="G535" s="74"/>
      <c r="I535" s="12"/>
      <c r="K535" s="51"/>
    </row>
    <row r="536" ht="13.5" customHeight="1">
      <c r="E536" s="51"/>
      <c r="F536" s="12"/>
      <c r="G536" s="74"/>
      <c r="I536" s="12"/>
      <c r="K536" s="51"/>
    </row>
    <row r="537" ht="13.5" customHeight="1">
      <c r="E537" s="51"/>
      <c r="F537" s="12"/>
      <c r="G537" s="74"/>
      <c r="I537" s="12"/>
      <c r="K537" s="51"/>
    </row>
    <row r="538" ht="13.5" customHeight="1">
      <c r="E538" s="51"/>
      <c r="F538" s="12"/>
      <c r="G538" s="74"/>
      <c r="I538" s="12"/>
      <c r="K538" s="51"/>
    </row>
    <row r="539" ht="13.5" customHeight="1">
      <c r="E539" s="51"/>
      <c r="F539" s="12"/>
      <c r="G539" s="74"/>
      <c r="I539" s="12"/>
      <c r="K539" s="51"/>
    </row>
    <row r="540" ht="13.5" customHeight="1">
      <c r="E540" s="51"/>
      <c r="F540" s="12"/>
      <c r="G540" s="74"/>
      <c r="I540" s="12"/>
      <c r="K540" s="51"/>
    </row>
    <row r="541" ht="13.5" customHeight="1">
      <c r="E541" s="51"/>
      <c r="F541" s="12"/>
      <c r="G541" s="74"/>
      <c r="I541" s="12"/>
      <c r="K541" s="51"/>
    </row>
    <row r="542" ht="13.5" customHeight="1">
      <c r="E542" s="51"/>
      <c r="F542" s="12"/>
      <c r="G542" s="74"/>
      <c r="I542" s="12"/>
      <c r="K542" s="51"/>
    </row>
    <row r="543" ht="13.5" customHeight="1">
      <c r="E543" s="51"/>
      <c r="F543" s="12"/>
      <c r="G543" s="74"/>
      <c r="I543" s="12"/>
      <c r="K543" s="51"/>
    </row>
    <row r="544" ht="13.5" customHeight="1">
      <c r="E544" s="51"/>
      <c r="F544" s="12"/>
      <c r="G544" s="74"/>
      <c r="I544" s="12"/>
      <c r="K544" s="51"/>
    </row>
    <row r="545" ht="13.5" customHeight="1">
      <c r="E545" s="51"/>
      <c r="F545" s="12"/>
      <c r="G545" s="74"/>
      <c r="I545" s="12"/>
      <c r="K545" s="51"/>
    </row>
    <row r="546" ht="13.5" customHeight="1">
      <c r="E546" s="51"/>
      <c r="F546" s="12"/>
      <c r="G546" s="74"/>
      <c r="I546" s="12"/>
      <c r="K546" s="51"/>
    </row>
    <row r="547" ht="13.5" customHeight="1">
      <c r="E547" s="51"/>
      <c r="F547" s="12"/>
      <c r="G547" s="74"/>
      <c r="I547" s="12"/>
      <c r="K547" s="51"/>
    </row>
    <row r="548" ht="13.5" customHeight="1">
      <c r="E548" s="51"/>
      <c r="F548" s="12"/>
      <c r="G548" s="74"/>
      <c r="I548" s="12"/>
      <c r="K548" s="51"/>
    </row>
    <row r="549" ht="13.5" customHeight="1">
      <c r="E549" s="51"/>
      <c r="F549" s="12"/>
      <c r="G549" s="74"/>
      <c r="I549" s="12"/>
      <c r="K549" s="51"/>
    </row>
    <row r="550" ht="13.5" customHeight="1">
      <c r="E550" s="51"/>
      <c r="F550" s="12"/>
      <c r="G550" s="74"/>
      <c r="I550" s="12"/>
      <c r="K550" s="51"/>
    </row>
    <row r="551" ht="13.5" customHeight="1">
      <c r="E551" s="51"/>
      <c r="F551" s="12"/>
      <c r="G551" s="74"/>
      <c r="I551" s="12"/>
      <c r="K551" s="51"/>
    </row>
    <row r="552" ht="13.5" customHeight="1">
      <c r="E552" s="51"/>
      <c r="F552" s="12"/>
      <c r="G552" s="74"/>
      <c r="I552" s="12"/>
      <c r="K552" s="51"/>
    </row>
    <row r="553" ht="13.5" customHeight="1">
      <c r="E553" s="51"/>
      <c r="F553" s="12"/>
      <c r="G553" s="74"/>
      <c r="I553" s="12"/>
      <c r="K553" s="51"/>
    </row>
    <row r="554" ht="13.5" customHeight="1">
      <c r="E554" s="51"/>
      <c r="F554" s="12"/>
      <c r="G554" s="74"/>
      <c r="I554" s="12"/>
      <c r="K554" s="51"/>
    </row>
    <row r="555" ht="13.5" customHeight="1">
      <c r="E555" s="51"/>
      <c r="F555" s="12"/>
      <c r="G555" s="74"/>
      <c r="I555" s="12"/>
      <c r="K555" s="51"/>
    </row>
    <row r="556" ht="13.5" customHeight="1">
      <c r="E556" s="51"/>
      <c r="F556" s="12"/>
      <c r="G556" s="74"/>
      <c r="I556" s="12"/>
      <c r="K556" s="51"/>
    </row>
    <row r="557" ht="13.5" customHeight="1">
      <c r="E557" s="51"/>
      <c r="F557" s="12"/>
      <c r="G557" s="74"/>
      <c r="I557" s="12"/>
      <c r="K557" s="51"/>
    </row>
    <row r="558" ht="13.5" customHeight="1">
      <c r="E558" s="51"/>
      <c r="F558" s="12"/>
      <c r="G558" s="74"/>
      <c r="I558" s="12"/>
      <c r="K558" s="51"/>
    </row>
    <row r="559" ht="13.5" customHeight="1">
      <c r="E559" s="51"/>
      <c r="F559" s="12"/>
      <c r="G559" s="74"/>
      <c r="I559" s="12"/>
      <c r="K559" s="51"/>
    </row>
    <row r="560" ht="13.5" customHeight="1">
      <c r="E560" s="51"/>
      <c r="F560" s="12"/>
      <c r="G560" s="74"/>
      <c r="I560" s="12"/>
      <c r="K560" s="51"/>
    </row>
    <row r="561" ht="13.5" customHeight="1">
      <c r="E561" s="51"/>
      <c r="F561" s="12"/>
      <c r="G561" s="74"/>
      <c r="I561" s="12"/>
      <c r="K561" s="51"/>
    </row>
    <row r="562" ht="13.5" customHeight="1">
      <c r="E562" s="51"/>
      <c r="F562" s="12"/>
      <c r="G562" s="74"/>
      <c r="I562" s="12"/>
      <c r="K562" s="51"/>
    </row>
    <row r="563" ht="13.5" customHeight="1">
      <c r="E563" s="51"/>
      <c r="F563" s="12"/>
      <c r="G563" s="74"/>
      <c r="I563" s="12"/>
      <c r="K563" s="51"/>
    </row>
    <row r="564" ht="13.5" customHeight="1">
      <c r="E564" s="51"/>
      <c r="F564" s="12"/>
      <c r="G564" s="74"/>
      <c r="I564" s="12"/>
      <c r="K564" s="51"/>
    </row>
    <row r="565" ht="13.5" customHeight="1">
      <c r="E565" s="51"/>
      <c r="F565" s="12"/>
      <c r="G565" s="74"/>
      <c r="I565" s="12"/>
      <c r="K565" s="51"/>
    </row>
    <row r="566" ht="13.5" customHeight="1">
      <c r="E566" s="51"/>
      <c r="F566" s="12"/>
      <c r="G566" s="74"/>
      <c r="I566" s="12"/>
      <c r="K566" s="51"/>
    </row>
    <row r="567" ht="13.5" customHeight="1">
      <c r="E567" s="51"/>
      <c r="F567" s="12"/>
      <c r="G567" s="74"/>
      <c r="I567" s="12"/>
      <c r="K567" s="51"/>
    </row>
    <row r="568" ht="13.5" customHeight="1">
      <c r="E568" s="51"/>
      <c r="F568" s="12"/>
      <c r="G568" s="74"/>
      <c r="I568" s="12"/>
      <c r="K568" s="51"/>
    </row>
    <row r="569" ht="13.5" customHeight="1">
      <c r="E569" s="51"/>
      <c r="F569" s="12"/>
      <c r="G569" s="74"/>
      <c r="I569" s="12"/>
      <c r="K569" s="51"/>
    </row>
    <row r="570" ht="13.5" customHeight="1">
      <c r="E570" s="51"/>
      <c r="F570" s="12"/>
      <c r="G570" s="74"/>
      <c r="I570" s="12"/>
      <c r="K570" s="51"/>
    </row>
    <row r="571" ht="13.5" customHeight="1">
      <c r="E571" s="51"/>
      <c r="F571" s="12"/>
      <c r="G571" s="74"/>
      <c r="I571" s="12"/>
      <c r="K571" s="51"/>
    </row>
    <row r="572" ht="13.5" customHeight="1">
      <c r="E572" s="51"/>
      <c r="F572" s="12"/>
      <c r="G572" s="74"/>
      <c r="I572" s="12"/>
      <c r="K572" s="51"/>
    </row>
    <row r="573" ht="13.5" customHeight="1">
      <c r="E573" s="51"/>
      <c r="F573" s="12"/>
      <c r="G573" s="74"/>
      <c r="I573" s="12"/>
      <c r="K573" s="51"/>
    </row>
    <row r="574" ht="13.5" customHeight="1">
      <c r="E574" s="51"/>
      <c r="F574" s="12"/>
      <c r="G574" s="74"/>
      <c r="I574" s="12"/>
      <c r="K574" s="51"/>
    </row>
    <row r="575" ht="13.5" customHeight="1">
      <c r="E575" s="51"/>
      <c r="F575" s="12"/>
      <c r="G575" s="74"/>
      <c r="I575" s="12"/>
      <c r="K575" s="51"/>
    </row>
    <row r="576" ht="13.5" customHeight="1">
      <c r="E576" s="51"/>
      <c r="F576" s="12"/>
      <c r="G576" s="74"/>
      <c r="I576" s="12"/>
      <c r="K576" s="51"/>
    </row>
    <row r="577" ht="13.5" customHeight="1">
      <c r="E577" s="51"/>
      <c r="F577" s="12"/>
      <c r="G577" s="74"/>
      <c r="I577" s="12"/>
      <c r="K577" s="51"/>
    </row>
    <row r="578" ht="13.5" customHeight="1">
      <c r="E578" s="51"/>
      <c r="F578" s="12"/>
      <c r="G578" s="74"/>
      <c r="I578" s="12"/>
      <c r="K578" s="51"/>
    </row>
    <row r="579" ht="13.5" customHeight="1">
      <c r="E579" s="51"/>
      <c r="F579" s="12"/>
      <c r="G579" s="74"/>
      <c r="I579" s="12"/>
      <c r="K579" s="51"/>
    </row>
    <row r="580" ht="13.5" customHeight="1">
      <c r="E580" s="51"/>
      <c r="F580" s="12"/>
      <c r="G580" s="74"/>
      <c r="I580" s="12"/>
      <c r="K580" s="51"/>
    </row>
    <row r="581" ht="13.5" customHeight="1">
      <c r="E581" s="51"/>
      <c r="F581" s="12"/>
      <c r="G581" s="74"/>
      <c r="I581" s="12"/>
      <c r="K581" s="51"/>
    </row>
    <row r="582" ht="13.5" customHeight="1">
      <c r="E582" s="51"/>
      <c r="F582" s="12"/>
      <c r="G582" s="74"/>
      <c r="I582" s="12"/>
      <c r="K582" s="51"/>
    </row>
    <row r="583" ht="13.5" customHeight="1">
      <c r="E583" s="51"/>
      <c r="F583" s="12"/>
      <c r="G583" s="74"/>
      <c r="I583" s="12"/>
      <c r="K583" s="51"/>
    </row>
    <row r="584" ht="13.5" customHeight="1">
      <c r="E584" s="51"/>
      <c r="F584" s="12"/>
      <c r="G584" s="74"/>
      <c r="I584" s="12"/>
      <c r="K584" s="51"/>
    </row>
    <row r="585" ht="13.5" customHeight="1">
      <c r="E585" s="51"/>
      <c r="F585" s="12"/>
      <c r="G585" s="74"/>
      <c r="I585" s="12"/>
      <c r="K585" s="51"/>
    </row>
    <row r="586" ht="13.5" customHeight="1">
      <c r="E586" s="51"/>
      <c r="F586" s="12"/>
      <c r="G586" s="74"/>
      <c r="I586" s="12"/>
      <c r="K586" s="51"/>
    </row>
    <row r="587" ht="13.5" customHeight="1">
      <c r="E587" s="51"/>
      <c r="F587" s="12"/>
      <c r="G587" s="74"/>
      <c r="I587" s="12"/>
      <c r="K587" s="51"/>
    </row>
    <row r="588" ht="13.5" customHeight="1">
      <c r="E588" s="51"/>
      <c r="F588" s="12"/>
      <c r="G588" s="74"/>
      <c r="I588" s="12"/>
      <c r="K588" s="51"/>
    </row>
    <row r="589" ht="13.5" customHeight="1">
      <c r="E589" s="51"/>
      <c r="F589" s="12"/>
      <c r="G589" s="74"/>
      <c r="I589" s="12"/>
      <c r="K589" s="51"/>
    </row>
    <row r="590" ht="13.5" customHeight="1">
      <c r="E590" s="51"/>
      <c r="F590" s="12"/>
      <c r="G590" s="74"/>
      <c r="I590" s="12"/>
      <c r="K590" s="51"/>
    </row>
    <row r="591" ht="13.5" customHeight="1">
      <c r="E591" s="51"/>
      <c r="F591" s="12"/>
      <c r="G591" s="74"/>
      <c r="I591" s="12"/>
      <c r="K591" s="51"/>
    </row>
    <row r="592" ht="13.5" customHeight="1">
      <c r="E592" s="51"/>
      <c r="F592" s="12"/>
      <c r="G592" s="74"/>
      <c r="I592" s="12"/>
      <c r="K592" s="51"/>
    </row>
    <row r="593" ht="13.5" customHeight="1">
      <c r="E593" s="51"/>
      <c r="F593" s="12"/>
      <c r="G593" s="74"/>
      <c r="I593" s="12"/>
      <c r="K593" s="51"/>
    </row>
    <row r="594" ht="13.5" customHeight="1">
      <c r="E594" s="51"/>
      <c r="F594" s="12"/>
      <c r="G594" s="74"/>
      <c r="I594" s="12"/>
      <c r="K594" s="51"/>
    </row>
    <row r="595" ht="13.5" customHeight="1">
      <c r="E595" s="51"/>
      <c r="F595" s="12"/>
      <c r="G595" s="74"/>
      <c r="I595" s="12"/>
      <c r="K595" s="51"/>
    </row>
    <row r="596" ht="13.5" customHeight="1">
      <c r="E596" s="51"/>
      <c r="F596" s="12"/>
      <c r="G596" s="74"/>
      <c r="I596" s="12"/>
      <c r="K596" s="51"/>
    </row>
    <row r="597" ht="13.5" customHeight="1">
      <c r="E597" s="51"/>
      <c r="F597" s="12"/>
      <c r="G597" s="74"/>
      <c r="I597" s="12"/>
      <c r="K597" s="51"/>
    </row>
    <row r="598" ht="13.5" customHeight="1">
      <c r="E598" s="51"/>
      <c r="F598" s="12"/>
      <c r="G598" s="74"/>
      <c r="I598" s="12"/>
      <c r="K598" s="51"/>
    </row>
    <row r="599" ht="13.5" customHeight="1">
      <c r="E599" s="51"/>
      <c r="F599" s="12"/>
      <c r="G599" s="74"/>
      <c r="I599" s="12"/>
      <c r="K599" s="51"/>
    </row>
    <row r="600" ht="13.5" customHeight="1">
      <c r="E600" s="51"/>
      <c r="F600" s="12"/>
      <c r="G600" s="74"/>
      <c r="I600" s="12"/>
      <c r="K600" s="51"/>
    </row>
    <row r="601" ht="13.5" customHeight="1">
      <c r="E601" s="51"/>
      <c r="F601" s="12"/>
      <c r="G601" s="74"/>
      <c r="I601" s="12"/>
      <c r="K601" s="51"/>
    </row>
    <row r="602" ht="13.5" customHeight="1">
      <c r="E602" s="51"/>
      <c r="F602" s="12"/>
      <c r="G602" s="74"/>
      <c r="I602" s="12"/>
      <c r="K602" s="51"/>
    </row>
    <row r="603" ht="13.5" customHeight="1">
      <c r="E603" s="51"/>
      <c r="F603" s="12"/>
      <c r="G603" s="74"/>
      <c r="I603" s="12"/>
      <c r="K603" s="51"/>
    </row>
    <row r="604" ht="13.5" customHeight="1">
      <c r="E604" s="51"/>
      <c r="F604" s="12"/>
      <c r="G604" s="74"/>
      <c r="I604" s="12"/>
      <c r="K604" s="51"/>
    </row>
    <row r="605" ht="13.5" customHeight="1">
      <c r="E605" s="51"/>
      <c r="F605" s="12"/>
      <c r="G605" s="74"/>
      <c r="I605" s="12"/>
      <c r="K605" s="51"/>
    </row>
    <row r="606" ht="13.5" customHeight="1">
      <c r="E606" s="51"/>
      <c r="F606" s="12"/>
      <c r="G606" s="74"/>
      <c r="I606" s="12"/>
      <c r="K606" s="51"/>
    </row>
    <row r="607" ht="13.5" customHeight="1">
      <c r="E607" s="51"/>
      <c r="F607" s="12"/>
      <c r="G607" s="74"/>
      <c r="I607" s="12"/>
      <c r="K607" s="51"/>
    </row>
    <row r="608" ht="13.5" customHeight="1">
      <c r="E608" s="51"/>
      <c r="F608" s="12"/>
      <c r="G608" s="74"/>
      <c r="I608" s="12"/>
      <c r="K608" s="51"/>
    </row>
    <row r="609" ht="13.5" customHeight="1">
      <c r="E609" s="51"/>
      <c r="F609" s="12"/>
      <c r="G609" s="74"/>
      <c r="I609" s="12"/>
      <c r="K609" s="51"/>
    </row>
    <row r="610" ht="13.5" customHeight="1">
      <c r="E610" s="51"/>
      <c r="F610" s="12"/>
      <c r="G610" s="74"/>
      <c r="I610" s="12"/>
      <c r="K610" s="51"/>
    </row>
    <row r="611" ht="13.5" customHeight="1">
      <c r="E611" s="51"/>
      <c r="F611" s="12"/>
      <c r="G611" s="74"/>
      <c r="I611" s="12"/>
      <c r="K611" s="51"/>
    </row>
    <row r="612" ht="13.5" customHeight="1">
      <c r="E612" s="51"/>
      <c r="F612" s="12"/>
      <c r="G612" s="74"/>
      <c r="I612" s="12"/>
      <c r="K612" s="51"/>
    </row>
    <row r="613" ht="13.5" customHeight="1">
      <c r="E613" s="51"/>
      <c r="F613" s="12"/>
      <c r="G613" s="74"/>
      <c r="I613" s="12"/>
      <c r="K613" s="51"/>
    </row>
    <row r="614" ht="13.5" customHeight="1">
      <c r="E614" s="51"/>
      <c r="F614" s="12"/>
      <c r="G614" s="74"/>
      <c r="I614" s="12"/>
      <c r="K614" s="51"/>
    </row>
    <row r="615" ht="13.5" customHeight="1">
      <c r="E615" s="51"/>
      <c r="F615" s="12"/>
      <c r="G615" s="74"/>
      <c r="I615" s="12"/>
      <c r="K615" s="51"/>
    </row>
    <row r="616" ht="13.5" customHeight="1">
      <c r="E616" s="51"/>
      <c r="F616" s="12"/>
      <c r="G616" s="74"/>
      <c r="I616" s="12"/>
      <c r="K616" s="51"/>
    </row>
    <row r="617" ht="13.5" customHeight="1">
      <c r="E617" s="51"/>
      <c r="F617" s="12"/>
      <c r="G617" s="74"/>
      <c r="I617" s="12"/>
      <c r="K617" s="51"/>
    </row>
    <row r="618" ht="13.5" customHeight="1">
      <c r="E618" s="51"/>
      <c r="F618" s="12"/>
      <c r="G618" s="74"/>
      <c r="I618" s="12"/>
      <c r="K618" s="51"/>
    </row>
    <row r="619" ht="13.5" customHeight="1">
      <c r="E619" s="51"/>
      <c r="F619" s="12"/>
      <c r="G619" s="74"/>
      <c r="I619" s="12"/>
      <c r="K619" s="51"/>
    </row>
    <row r="620" ht="13.5" customHeight="1">
      <c r="E620" s="51"/>
      <c r="F620" s="12"/>
      <c r="G620" s="74"/>
      <c r="I620" s="12"/>
      <c r="K620" s="51"/>
    </row>
    <row r="621" ht="13.5" customHeight="1">
      <c r="E621" s="51"/>
      <c r="F621" s="12"/>
      <c r="G621" s="74"/>
      <c r="I621" s="12"/>
      <c r="K621" s="51"/>
    </row>
    <row r="622" ht="13.5" customHeight="1">
      <c r="E622" s="51"/>
      <c r="F622" s="12"/>
      <c r="G622" s="74"/>
      <c r="I622" s="12"/>
      <c r="K622" s="51"/>
    </row>
    <row r="623" ht="13.5" customHeight="1">
      <c r="E623" s="51"/>
      <c r="F623" s="12"/>
      <c r="G623" s="74"/>
      <c r="I623" s="12"/>
      <c r="K623" s="51"/>
    </row>
    <row r="624" ht="13.5" customHeight="1">
      <c r="E624" s="51"/>
      <c r="F624" s="12"/>
      <c r="G624" s="74"/>
      <c r="I624" s="12"/>
      <c r="K624" s="51"/>
    </row>
    <row r="625" ht="13.5" customHeight="1">
      <c r="E625" s="51"/>
      <c r="F625" s="12"/>
      <c r="G625" s="74"/>
      <c r="I625" s="12"/>
      <c r="K625" s="51"/>
    </row>
    <row r="626" ht="13.5" customHeight="1">
      <c r="E626" s="51"/>
      <c r="F626" s="12"/>
      <c r="G626" s="74"/>
      <c r="I626" s="12"/>
      <c r="K626" s="51"/>
    </row>
    <row r="627" ht="13.5" customHeight="1">
      <c r="E627" s="51"/>
      <c r="F627" s="12"/>
      <c r="G627" s="74"/>
      <c r="I627" s="12"/>
      <c r="K627" s="51"/>
    </row>
    <row r="628" ht="13.5" customHeight="1">
      <c r="E628" s="51"/>
      <c r="F628" s="12"/>
      <c r="G628" s="74"/>
      <c r="I628" s="12"/>
      <c r="K628" s="51"/>
    </row>
    <row r="629" ht="13.5" customHeight="1">
      <c r="E629" s="51"/>
      <c r="F629" s="12"/>
      <c r="G629" s="74"/>
      <c r="I629" s="12"/>
      <c r="K629" s="51"/>
    </row>
    <row r="630" ht="13.5" customHeight="1">
      <c r="E630" s="51"/>
      <c r="F630" s="12"/>
      <c r="G630" s="74"/>
      <c r="I630" s="12"/>
      <c r="K630" s="51"/>
    </row>
    <row r="631" ht="13.5" customHeight="1">
      <c r="E631" s="51"/>
      <c r="F631" s="12"/>
      <c r="G631" s="74"/>
      <c r="I631" s="12"/>
      <c r="K631" s="51"/>
    </row>
    <row r="632" ht="13.5" customHeight="1">
      <c r="E632" s="51"/>
      <c r="F632" s="12"/>
      <c r="G632" s="74"/>
      <c r="I632" s="12"/>
      <c r="K632" s="51"/>
    </row>
    <row r="633" ht="13.5" customHeight="1">
      <c r="E633" s="51"/>
      <c r="F633" s="12"/>
      <c r="G633" s="74"/>
      <c r="I633" s="12"/>
      <c r="K633" s="51"/>
    </row>
    <row r="634" ht="13.5" customHeight="1">
      <c r="E634" s="51"/>
      <c r="F634" s="12"/>
      <c r="G634" s="74"/>
      <c r="I634" s="12"/>
      <c r="K634" s="51"/>
    </row>
    <row r="635" ht="13.5" customHeight="1">
      <c r="E635" s="51"/>
      <c r="F635" s="12"/>
      <c r="G635" s="74"/>
      <c r="I635" s="12"/>
      <c r="K635" s="51"/>
    </row>
    <row r="636" ht="13.5" customHeight="1">
      <c r="E636" s="51"/>
      <c r="F636" s="12"/>
      <c r="G636" s="74"/>
      <c r="I636" s="12"/>
      <c r="K636" s="51"/>
    </row>
    <row r="637" ht="13.5" customHeight="1">
      <c r="E637" s="51"/>
      <c r="F637" s="12"/>
      <c r="G637" s="74"/>
      <c r="I637" s="12"/>
      <c r="K637" s="51"/>
    </row>
    <row r="638" ht="13.5" customHeight="1">
      <c r="E638" s="51"/>
      <c r="F638" s="12"/>
      <c r="G638" s="74"/>
      <c r="I638" s="12"/>
      <c r="K638" s="51"/>
    </row>
    <row r="639" ht="13.5" customHeight="1">
      <c r="E639" s="51"/>
      <c r="F639" s="12"/>
      <c r="G639" s="74"/>
      <c r="I639" s="12"/>
      <c r="K639" s="51"/>
    </row>
    <row r="640" ht="13.5" customHeight="1">
      <c r="E640" s="51"/>
      <c r="F640" s="12"/>
      <c r="G640" s="74"/>
      <c r="I640" s="12"/>
      <c r="K640" s="51"/>
    </row>
    <row r="641" ht="13.5" customHeight="1">
      <c r="E641" s="51"/>
      <c r="F641" s="12"/>
      <c r="G641" s="74"/>
      <c r="I641" s="12"/>
      <c r="K641" s="51"/>
    </row>
    <row r="642" ht="13.5" customHeight="1">
      <c r="E642" s="51"/>
      <c r="F642" s="12"/>
      <c r="G642" s="74"/>
      <c r="I642" s="12"/>
      <c r="K642" s="51"/>
    </row>
    <row r="643" ht="13.5" customHeight="1">
      <c r="E643" s="51"/>
      <c r="F643" s="12"/>
      <c r="G643" s="74"/>
      <c r="I643" s="12"/>
      <c r="K643" s="51"/>
    </row>
    <row r="644" ht="13.5" customHeight="1">
      <c r="E644" s="51"/>
      <c r="F644" s="12"/>
      <c r="G644" s="74"/>
      <c r="I644" s="12"/>
      <c r="K644" s="51"/>
    </row>
    <row r="645" ht="13.5" customHeight="1">
      <c r="E645" s="51"/>
      <c r="F645" s="12"/>
      <c r="G645" s="74"/>
      <c r="I645" s="12"/>
      <c r="K645" s="51"/>
    </row>
    <row r="646" ht="13.5" customHeight="1">
      <c r="E646" s="51"/>
      <c r="F646" s="12"/>
      <c r="G646" s="74"/>
      <c r="I646" s="12"/>
      <c r="K646" s="51"/>
    </row>
    <row r="647" ht="13.5" customHeight="1">
      <c r="E647" s="51"/>
      <c r="F647" s="12"/>
      <c r="G647" s="74"/>
      <c r="I647" s="12"/>
      <c r="K647" s="51"/>
    </row>
    <row r="648" ht="13.5" customHeight="1">
      <c r="E648" s="51"/>
      <c r="F648" s="12"/>
      <c r="G648" s="74"/>
      <c r="I648" s="12"/>
      <c r="K648" s="51"/>
    </row>
    <row r="649" ht="13.5" customHeight="1">
      <c r="E649" s="51"/>
      <c r="F649" s="12"/>
      <c r="G649" s="74"/>
      <c r="I649" s="12"/>
      <c r="K649" s="51"/>
    </row>
    <row r="650" ht="13.5" customHeight="1">
      <c r="E650" s="51"/>
      <c r="F650" s="12"/>
      <c r="G650" s="74"/>
      <c r="I650" s="12"/>
      <c r="K650" s="51"/>
    </row>
    <row r="651" ht="13.5" customHeight="1">
      <c r="E651" s="51"/>
      <c r="F651" s="12"/>
      <c r="G651" s="74"/>
      <c r="I651" s="12"/>
      <c r="K651" s="51"/>
    </row>
    <row r="652" ht="13.5" customHeight="1">
      <c r="E652" s="51"/>
      <c r="F652" s="12"/>
      <c r="G652" s="74"/>
      <c r="I652" s="12"/>
      <c r="K652" s="51"/>
    </row>
    <row r="653" ht="13.5" customHeight="1">
      <c r="E653" s="51"/>
      <c r="F653" s="12"/>
      <c r="G653" s="74"/>
      <c r="I653" s="12"/>
      <c r="K653" s="51"/>
    </row>
    <row r="654" ht="13.5" customHeight="1">
      <c r="E654" s="51"/>
      <c r="F654" s="12"/>
      <c r="G654" s="74"/>
      <c r="I654" s="12"/>
      <c r="K654" s="51"/>
    </row>
    <row r="655" ht="13.5" customHeight="1">
      <c r="E655" s="51"/>
      <c r="F655" s="12"/>
      <c r="G655" s="74"/>
      <c r="I655" s="12"/>
      <c r="K655" s="51"/>
    </row>
    <row r="656" ht="13.5" customHeight="1">
      <c r="E656" s="51"/>
      <c r="F656" s="12"/>
      <c r="G656" s="74"/>
      <c r="I656" s="12"/>
      <c r="K656" s="51"/>
    </row>
    <row r="657" ht="13.5" customHeight="1">
      <c r="E657" s="51"/>
      <c r="F657" s="12"/>
      <c r="G657" s="74"/>
      <c r="I657" s="12"/>
      <c r="K657" s="51"/>
    </row>
    <row r="658" ht="13.5" customHeight="1">
      <c r="E658" s="51"/>
      <c r="F658" s="12"/>
      <c r="G658" s="74"/>
      <c r="I658" s="12"/>
      <c r="K658" s="51"/>
    </row>
    <row r="659" ht="13.5" customHeight="1">
      <c r="E659" s="51"/>
      <c r="F659" s="12"/>
      <c r="G659" s="74"/>
      <c r="I659" s="12"/>
      <c r="K659" s="51"/>
    </row>
    <row r="660" ht="13.5" customHeight="1">
      <c r="E660" s="51"/>
      <c r="F660" s="12"/>
      <c r="G660" s="74"/>
      <c r="I660" s="12"/>
      <c r="K660" s="51"/>
    </row>
    <row r="661" ht="13.5" customHeight="1">
      <c r="E661" s="51"/>
      <c r="F661" s="12"/>
      <c r="G661" s="74"/>
      <c r="I661" s="12"/>
      <c r="K661" s="51"/>
    </row>
    <row r="662" ht="13.5" customHeight="1">
      <c r="E662" s="51"/>
      <c r="F662" s="12"/>
      <c r="G662" s="74"/>
      <c r="I662" s="12"/>
      <c r="K662" s="51"/>
    </row>
    <row r="663" ht="13.5" customHeight="1">
      <c r="E663" s="51"/>
      <c r="F663" s="12"/>
      <c r="G663" s="74"/>
      <c r="I663" s="12"/>
      <c r="K663" s="51"/>
    </row>
    <row r="664" ht="13.5" customHeight="1">
      <c r="E664" s="51"/>
      <c r="F664" s="12"/>
      <c r="G664" s="74"/>
      <c r="I664" s="12"/>
      <c r="K664" s="51"/>
    </row>
    <row r="665" ht="13.5" customHeight="1">
      <c r="E665" s="51"/>
      <c r="F665" s="12"/>
      <c r="G665" s="74"/>
      <c r="I665" s="12"/>
      <c r="K665" s="51"/>
    </row>
    <row r="666" ht="13.5" customHeight="1">
      <c r="E666" s="51"/>
      <c r="F666" s="12"/>
      <c r="G666" s="74"/>
      <c r="I666" s="12"/>
      <c r="K666" s="51"/>
    </row>
    <row r="667" ht="13.5" customHeight="1">
      <c r="E667" s="51"/>
      <c r="F667" s="12"/>
      <c r="G667" s="74"/>
      <c r="I667" s="12"/>
      <c r="K667" s="51"/>
    </row>
    <row r="668" ht="13.5" customHeight="1">
      <c r="E668" s="51"/>
      <c r="F668" s="12"/>
      <c r="G668" s="74"/>
      <c r="I668" s="12"/>
      <c r="K668" s="51"/>
    </row>
    <row r="669" ht="13.5" customHeight="1">
      <c r="E669" s="51"/>
      <c r="F669" s="12"/>
      <c r="G669" s="74"/>
      <c r="I669" s="12"/>
      <c r="K669" s="51"/>
    </row>
    <row r="670" ht="13.5" customHeight="1">
      <c r="E670" s="51"/>
      <c r="F670" s="12"/>
      <c r="G670" s="74"/>
      <c r="I670" s="12"/>
      <c r="K670" s="51"/>
    </row>
    <row r="671" ht="13.5" customHeight="1">
      <c r="E671" s="51"/>
      <c r="F671" s="12"/>
      <c r="G671" s="74"/>
      <c r="I671" s="12"/>
      <c r="K671" s="51"/>
    </row>
    <row r="672" ht="13.5" customHeight="1">
      <c r="E672" s="51"/>
      <c r="F672" s="12"/>
      <c r="G672" s="74"/>
      <c r="I672" s="12"/>
      <c r="K672" s="51"/>
    </row>
    <row r="673" ht="13.5" customHeight="1">
      <c r="E673" s="51"/>
      <c r="F673" s="12"/>
      <c r="G673" s="74"/>
      <c r="I673" s="12"/>
      <c r="K673" s="51"/>
    </row>
    <row r="674" ht="13.5" customHeight="1">
      <c r="E674" s="51"/>
      <c r="F674" s="12"/>
      <c r="G674" s="74"/>
      <c r="I674" s="12"/>
      <c r="K674" s="51"/>
    </row>
    <row r="675" ht="13.5" customHeight="1">
      <c r="E675" s="51"/>
      <c r="F675" s="12"/>
      <c r="G675" s="74"/>
      <c r="I675" s="12"/>
      <c r="K675" s="51"/>
    </row>
    <row r="676" ht="13.5" customHeight="1">
      <c r="E676" s="51"/>
      <c r="F676" s="12"/>
      <c r="G676" s="74"/>
      <c r="I676" s="12"/>
      <c r="K676" s="51"/>
    </row>
    <row r="677" ht="13.5" customHeight="1">
      <c r="E677" s="51"/>
      <c r="F677" s="12"/>
      <c r="G677" s="74"/>
      <c r="I677" s="12"/>
      <c r="K677" s="51"/>
    </row>
    <row r="678" ht="13.5" customHeight="1">
      <c r="E678" s="51"/>
      <c r="F678" s="12"/>
      <c r="G678" s="74"/>
      <c r="I678" s="12"/>
      <c r="K678" s="51"/>
    </row>
    <row r="679" ht="13.5" customHeight="1">
      <c r="E679" s="51"/>
      <c r="F679" s="12"/>
      <c r="G679" s="74"/>
      <c r="I679" s="12"/>
      <c r="K679" s="51"/>
    </row>
    <row r="680" ht="13.5" customHeight="1">
      <c r="E680" s="51"/>
      <c r="F680" s="12"/>
      <c r="G680" s="74"/>
      <c r="I680" s="12"/>
      <c r="K680" s="51"/>
    </row>
    <row r="681" ht="13.5" customHeight="1">
      <c r="E681" s="51"/>
      <c r="F681" s="12"/>
      <c r="G681" s="74"/>
      <c r="I681" s="12"/>
      <c r="K681" s="51"/>
    </row>
    <row r="682" ht="13.5" customHeight="1">
      <c r="E682" s="51"/>
      <c r="F682" s="12"/>
      <c r="G682" s="74"/>
      <c r="I682" s="12"/>
      <c r="K682" s="51"/>
    </row>
    <row r="683" ht="13.5" customHeight="1">
      <c r="E683" s="51"/>
      <c r="F683" s="12"/>
      <c r="G683" s="74"/>
      <c r="I683" s="12"/>
      <c r="K683" s="51"/>
    </row>
    <row r="684" ht="13.5" customHeight="1">
      <c r="E684" s="51"/>
      <c r="F684" s="12"/>
      <c r="G684" s="74"/>
      <c r="I684" s="12"/>
      <c r="K684" s="51"/>
    </row>
    <row r="685" ht="13.5" customHeight="1">
      <c r="E685" s="51"/>
      <c r="F685" s="12"/>
      <c r="G685" s="74"/>
      <c r="I685" s="12"/>
      <c r="K685" s="51"/>
    </row>
    <row r="686" ht="13.5" customHeight="1">
      <c r="E686" s="51"/>
      <c r="F686" s="12"/>
      <c r="G686" s="74"/>
      <c r="I686" s="12"/>
      <c r="K686" s="51"/>
    </row>
    <row r="687" ht="13.5" customHeight="1">
      <c r="E687" s="51"/>
      <c r="F687" s="12"/>
      <c r="G687" s="74"/>
      <c r="I687" s="12"/>
      <c r="K687" s="51"/>
    </row>
    <row r="688" ht="13.5" customHeight="1">
      <c r="E688" s="51"/>
      <c r="F688" s="12"/>
      <c r="G688" s="74"/>
      <c r="I688" s="12"/>
      <c r="K688" s="51"/>
    </row>
    <row r="689" ht="13.5" customHeight="1">
      <c r="E689" s="51"/>
      <c r="F689" s="12"/>
      <c r="G689" s="74"/>
      <c r="I689" s="12"/>
      <c r="K689" s="51"/>
    </row>
    <row r="690" ht="13.5" customHeight="1">
      <c r="E690" s="51"/>
      <c r="F690" s="12"/>
      <c r="G690" s="74"/>
      <c r="I690" s="12"/>
      <c r="K690" s="51"/>
    </row>
    <row r="691" ht="13.5" customHeight="1">
      <c r="E691" s="51"/>
      <c r="F691" s="12"/>
      <c r="G691" s="74"/>
      <c r="I691" s="12"/>
      <c r="K691" s="51"/>
    </row>
    <row r="692" ht="13.5" customHeight="1">
      <c r="E692" s="51"/>
      <c r="F692" s="12"/>
      <c r="G692" s="74"/>
      <c r="I692" s="12"/>
      <c r="K692" s="51"/>
    </row>
    <row r="693" ht="13.5" customHeight="1">
      <c r="E693" s="51"/>
      <c r="F693" s="12"/>
      <c r="G693" s="74"/>
      <c r="I693" s="12"/>
      <c r="K693" s="51"/>
    </row>
    <row r="694" ht="13.5" customHeight="1">
      <c r="E694" s="51"/>
      <c r="F694" s="12"/>
      <c r="G694" s="74"/>
      <c r="I694" s="12"/>
      <c r="K694" s="51"/>
    </row>
    <row r="695" ht="13.5" customHeight="1">
      <c r="E695" s="51"/>
      <c r="F695" s="12"/>
      <c r="G695" s="74"/>
      <c r="I695" s="12"/>
      <c r="K695" s="51"/>
    </row>
    <row r="696" ht="13.5" customHeight="1">
      <c r="E696" s="51"/>
      <c r="F696" s="12"/>
      <c r="G696" s="74"/>
      <c r="I696" s="12"/>
      <c r="K696" s="51"/>
    </row>
    <row r="697" ht="13.5" customHeight="1">
      <c r="E697" s="51"/>
      <c r="F697" s="12"/>
      <c r="G697" s="74"/>
      <c r="I697" s="12"/>
      <c r="K697" s="51"/>
    </row>
    <row r="698" ht="13.5" customHeight="1">
      <c r="E698" s="51"/>
      <c r="F698" s="12"/>
      <c r="G698" s="74"/>
      <c r="I698" s="12"/>
      <c r="K698" s="51"/>
    </row>
    <row r="699" ht="13.5" customHeight="1">
      <c r="E699" s="51"/>
      <c r="F699" s="12"/>
      <c r="G699" s="74"/>
      <c r="I699" s="12"/>
      <c r="K699" s="51"/>
    </row>
    <row r="700" ht="13.5" customHeight="1">
      <c r="E700" s="51"/>
      <c r="F700" s="12"/>
      <c r="G700" s="74"/>
      <c r="I700" s="12"/>
      <c r="K700" s="51"/>
    </row>
    <row r="701" ht="13.5" customHeight="1">
      <c r="E701" s="51"/>
      <c r="F701" s="12"/>
      <c r="G701" s="74"/>
      <c r="I701" s="12"/>
      <c r="K701" s="51"/>
    </row>
    <row r="702" ht="13.5" customHeight="1">
      <c r="E702" s="51"/>
      <c r="F702" s="12"/>
      <c r="G702" s="74"/>
      <c r="I702" s="12"/>
      <c r="K702" s="51"/>
    </row>
    <row r="703" ht="13.5" customHeight="1">
      <c r="E703" s="51"/>
      <c r="F703" s="12"/>
      <c r="G703" s="74"/>
      <c r="I703" s="12"/>
      <c r="K703" s="51"/>
    </row>
    <row r="704" ht="13.5" customHeight="1">
      <c r="E704" s="51"/>
      <c r="F704" s="12"/>
      <c r="G704" s="74"/>
      <c r="I704" s="12"/>
      <c r="K704" s="51"/>
    </row>
    <row r="705" ht="13.5" customHeight="1">
      <c r="E705" s="51"/>
      <c r="F705" s="12"/>
      <c r="G705" s="74"/>
      <c r="I705" s="12"/>
      <c r="K705" s="51"/>
    </row>
    <row r="706" ht="13.5" customHeight="1">
      <c r="E706" s="51"/>
      <c r="F706" s="12"/>
      <c r="G706" s="74"/>
      <c r="I706" s="12"/>
      <c r="K706" s="51"/>
    </row>
    <row r="707" ht="13.5" customHeight="1">
      <c r="E707" s="51"/>
      <c r="F707" s="12"/>
      <c r="G707" s="74"/>
      <c r="I707" s="12"/>
      <c r="K707" s="51"/>
    </row>
    <row r="708" ht="13.5" customHeight="1">
      <c r="E708" s="51"/>
      <c r="F708" s="12"/>
      <c r="G708" s="74"/>
      <c r="I708" s="12"/>
      <c r="K708" s="51"/>
    </row>
    <row r="709" ht="13.5" customHeight="1">
      <c r="E709" s="51"/>
      <c r="F709" s="12"/>
      <c r="G709" s="74"/>
      <c r="I709" s="12"/>
      <c r="K709" s="51"/>
    </row>
    <row r="710" ht="13.5" customHeight="1">
      <c r="E710" s="51"/>
      <c r="F710" s="12"/>
      <c r="G710" s="74"/>
      <c r="I710" s="12"/>
      <c r="K710" s="51"/>
    </row>
    <row r="711" ht="13.5" customHeight="1">
      <c r="E711" s="51"/>
      <c r="F711" s="12"/>
      <c r="G711" s="74"/>
      <c r="I711" s="12"/>
      <c r="K711" s="51"/>
    </row>
    <row r="712" ht="13.5" customHeight="1">
      <c r="E712" s="51"/>
      <c r="F712" s="12"/>
      <c r="G712" s="74"/>
      <c r="I712" s="12"/>
      <c r="K712" s="51"/>
    </row>
    <row r="713" ht="13.5" customHeight="1">
      <c r="E713" s="51"/>
      <c r="F713" s="12"/>
      <c r="G713" s="74"/>
      <c r="I713" s="12"/>
      <c r="K713" s="51"/>
    </row>
    <row r="714" ht="13.5" customHeight="1">
      <c r="E714" s="51"/>
      <c r="F714" s="12"/>
      <c r="G714" s="74"/>
      <c r="I714" s="12"/>
      <c r="K714" s="51"/>
    </row>
    <row r="715" ht="13.5" customHeight="1">
      <c r="E715" s="51"/>
      <c r="F715" s="12"/>
      <c r="G715" s="74"/>
      <c r="I715" s="12"/>
      <c r="K715" s="51"/>
    </row>
    <row r="716" ht="13.5" customHeight="1">
      <c r="E716" s="51"/>
      <c r="F716" s="12"/>
      <c r="G716" s="74"/>
      <c r="I716" s="12"/>
      <c r="K716" s="51"/>
    </row>
    <row r="717" ht="13.5" customHeight="1">
      <c r="E717" s="51"/>
      <c r="F717" s="12"/>
      <c r="G717" s="74"/>
      <c r="I717" s="12"/>
      <c r="K717" s="51"/>
    </row>
    <row r="718" ht="13.5" customHeight="1">
      <c r="E718" s="51"/>
      <c r="F718" s="12"/>
      <c r="G718" s="74"/>
      <c r="I718" s="12"/>
      <c r="K718" s="51"/>
    </row>
    <row r="719" ht="13.5" customHeight="1">
      <c r="E719" s="51"/>
      <c r="F719" s="12"/>
      <c r="G719" s="74"/>
      <c r="I719" s="12"/>
      <c r="K719" s="51"/>
    </row>
    <row r="720" ht="13.5" customHeight="1">
      <c r="E720" s="51"/>
      <c r="F720" s="12"/>
      <c r="G720" s="74"/>
      <c r="I720" s="12"/>
      <c r="K720" s="51"/>
    </row>
    <row r="721" ht="13.5" customHeight="1">
      <c r="E721" s="51"/>
      <c r="F721" s="12"/>
      <c r="G721" s="74"/>
      <c r="I721" s="12"/>
      <c r="K721" s="51"/>
    </row>
    <row r="722" ht="13.5" customHeight="1">
      <c r="E722" s="51"/>
      <c r="F722" s="12"/>
      <c r="G722" s="74"/>
      <c r="I722" s="12"/>
      <c r="K722" s="51"/>
    </row>
    <row r="723" ht="13.5" customHeight="1">
      <c r="E723" s="51"/>
      <c r="F723" s="12"/>
      <c r="G723" s="74"/>
      <c r="I723" s="12"/>
      <c r="K723" s="51"/>
    </row>
    <row r="724" ht="13.5" customHeight="1">
      <c r="E724" s="51"/>
      <c r="F724" s="12"/>
      <c r="G724" s="74"/>
      <c r="I724" s="12"/>
      <c r="K724" s="51"/>
    </row>
    <row r="725" ht="13.5" customHeight="1">
      <c r="E725" s="51"/>
      <c r="F725" s="12"/>
      <c r="G725" s="74"/>
      <c r="I725" s="12"/>
      <c r="K725" s="51"/>
    </row>
    <row r="726" ht="13.5" customHeight="1">
      <c r="E726" s="51"/>
      <c r="F726" s="12"/>
      <c r="G726" s="74"/>
      <c r="I726" s="12"/>
      <c r="K726" s="51"/>
    </row>
    <row r="727" ht="13.5" customHeight="1">
      <c r="E727" s="51"/>
      <c r="F727" s="12"/>
      <c r="G727" s="74"/>
      <c r="I727" s="12"/>
      <c r="K727" s="51"/>
    </row>
    <row r="728" ht="13.5" customHeight="1">
      <c r="E728" s="51"/>
      <c r="F728" s="12"/>
      <c r="G728" s="74"/>
      <c r="I728" s="12"/>
      <c r="K728" s="51"/>
    </row>
    <row r="729" ht="13.5" customHeight="1">
      <c r="E729" s="51"/>
      <c r="F729" s="12"/>
      <c r="G729" s="74"/>
      <c r="I729" s="12"/>
      <c r="K729" s="51"/>
    </row>
    <row r="730" ht="13.5" customHeight="1">
      <c r="E730" s="51"/>
      <c r="F730" s="12"/>
      <c r="G730" s="74"/>
      <c r="I730" s="12"/>
      <c r="K730" s="51"/>
    </row>
    <row r="731" ht="13.5" customHeight="1">
      <c r="E731" s="51"/>
      <c r="F731" s="12"/>
      <c r="G731" s="74"/>
      <c r="I731" s="12"/>
      <c r="K731" s="51"/>
    </row>
    <row r="732" ht="13.5" customHeight="1">
      <c r="E732" s="51"/>
      <c r="F732" s="12"/>
      <c r="G732" s="74"/>
      <c r="I732" s="12"/>
      <c r="K732" s="51"/>
    </row>
    <row r="733" ht="13.5" customHeight="1">
      <c r="E733" s="51"/>
      <c r="F733" s="12"/>
      <c r="G733" s="74"/>
      <c r="I733" s="12"/>
      <c r="K733" s="51"/>
    </row>
    <row r="734" ht="13.5" customHeight="1">
      <c r="E734" s="51"/>
      <c r="F734" s="12"/>
      <c r="G734" s="74"/>
      <c r="I734" s="12"/>
      <c r="K734" s="51"/>
    </row>
    <row r="735" ht="13.5" customHeight="1">
      <c r="E735" s="51"/>
      <c r="F735" s="12"/>
      <c r="G735" s="74"/>
      <c r="I735" s="12"/>
      <c r="K735" s="51"/>
    </row>
    <row r="736" ht="13.5" customHeight="1">
      <c r="E736" s="51"/>
      <c r="F736" s="12"/>
      <c r="G736" s="74"/>
      <c r="I736" s="12"/>
      <c r="K736" s="51"/>
    </row>
    <row r="737" ht="13.5" customHeight="1">
      <c r="E737" s="51"/>
      <c r="F737" s="12"/>
      <c r="G737" s="74"/>
      <c r="I737" s="12"/>
      <c r="K737" s="51"/>
    </row>
    <row r="738" ht="13.5" customHeight="1">
      <c r="E738" s="51"/>
      <c r="F738" s="12"/>
      <c r="G738" s="74"/>
      <c r="I738" s="12"/>
      <c r="K738" s="51"/>
    </row>
    <row r="739" ht="13.5" customHeight="1">
      <c r="E739" s="51"/>
      <c r="F739" s="12"/>
      <c r="G739" s="74"/>
      <c r="I739" s="12"/>
      <c r="K739" s="51"/>
    </row>
    <row r="740" ht="13.5" customHeight="1">
      <c r="E740" s="51"/>
      <c r="F740" s="12"/>
      <c r="G740" s="74"/>
      <c r="I740" s="12"/>
      <c r="K740" s="51"/>
    </row>
    <row r="741" ht="13.5" customHeight="1">
      <c r="E741" s="51"/>
      <c r="F741" s="12"/>
      <c r="G741" s="74"/>
      <c r="I741" s="12"/>
      <c r="K741" s="51"/>
    </row>
    <row r="742" ht="13.5" customHeight="1">
      <c r="E742" s="51"/>
      <c r="F742" s="12"/>
      <c r="G742" s="74"/>
      <c r="I742" s="12"/>
      <c r="K742" s="51"/>
    </row>
    <row r="743" ht="13.5" customHeight="1">
      <c r="E743" s="51"/>
      <c r="F743" s="12"/>
      <c r="G743" s="74"/>
      <c r="I743" s="12"/>
      <c r="K743" s="51"/>
    </row>
    <row r="744" ht="13.5" customHeight="1">
      <c r="E744" s="51"/>
      <c r="F744" s="12"/>
      <c r="G744" s="74"/>
      <c r="I744" s="12"/>
      <c r="K744" s="51"/>
    </row>
    <row r="745" ht="13.5" customHeight="1">
      <c r="E745" s="51"/>
      <c r="F745" s="12"/>
      <c r="G745" s="74"/>
      <c r="I745" s="12"/>
      <c r="K745" s="51"/>
    </row>
    <row r="746" ht="13.5" customHeight="1">
      <c r="E746" s="51"/>
      <c r="F746" s="12"/>
      <c r="G746" s="74"/>
      <c r="I746" s="12"/>
      <c r="K746" s="51"/>
    </row>
    <row r="747" ht="13.5" customHeight="1">
      <c r="E747" s="51"/>
      <c r="F747" s="12"/>
      <c r="G747" s="74"/>
      <c r="I747" s="12"/>
      <c r="K747" s="51"/>
    </row>
    <row r="748" ht="13.5" customHeight="1">
      <c r="E748" s="51"/>
      <c r="F748" s="12"/>
      <c r="G748" s="74"/>
      <c r="I748" s="12"/>
      <c r="K748" s="51"/>
    </row>
    <row r="749" ht="13.5" customHeight="1">
      <c r="E749" s="51"/>
      <c r="F749" s="12"/>
      <c r="G749" s="74"/>
      <c r="I749" s="12"/>
      <c r="K749" s="51"/>
    </row>
    <row r="750" ht="13.5" customHeight="1">
      <c r="E750" s="51"/>
      <c r="F750" s="12"/>
      <c r="G750" s="74"/>
      <c r="I750" s="12"/>
      <c r="K750" s="51"/>
    </row>
    <row r="751" ht="13.5" customHeight="1">
      <c r="E751" s="51"/>
      <c r="F751" s="12"/>
      <c r="G751" s="74"/>
      <c r="I751" s="12"/>
      <c r="K751" s="51"/>
    </row>
    <row r="752" ht="13.5" customHeight="1">
      <c r="E752" s="51"/>
      <c r="F752" s="12"/>
      <c r="G752" s="74"/>
      <c r="I752" s="12"/>
      <c r="K752" s="51"/>
    </row>
    <row r="753" ht="13.5" customHeight="1">
      <c r="E753" s="51"/>
      <c r="F753" s="12"/>
      <c r="G753" s="74"/>
      <c r="I753" s="12"/>
      <c r="K753" s="51"/>
    </row>
    <row r="754" ht="13.5" customHeight="1">
      <c r="E754" s="51"/>
      <c r="F754" s="12"/>
      <c r="G754" s="74"/>
      <c r="I754" s="12"/>
      <c r="K754" s="51"/>
    </row>
    <row r="755" ht="13.5" customHeight="1">
      <c r="E755" s="51"/>
      <c r="F755" s="12"/>
      <c r="G755" s="74"/>
      <c r="I755" s="12"/>
      <c r="K755" s="51"/>
    </row>
    <row r="756" ht="13.5" customHeight="1">
      <c r="E756" s="51"/>
      <c r="F756" s="12"/>
      <c r="G756" s="74"/>
      <c r="I756" s="12"/>
      <c r="K756" s="51"/>
    </row>
    <row r="757" ht="13.5" customHeight="1">
      <c r="E757" s="51"/>
      <c r="F757" s="12"/>
      <c r="G757" s="74"/>
      <c r="I757" s="12"/>
      <c r="K757" s="51"/>
    </row>
    <row r="758" ht="13.5" customHeight="1">
      <c r="E758" s="51"/>
      <c r="F758" s="12"/>
      <c r="G758" s="74"/>
      <c r="I758" s="12"/>
      <c r="K758" s="51"/>
    </row>
    <row r="759" ht="13.5" customHeight="1">
      <c r="E759" s="51"/>
      <c r="F759" s="12"/>
      <c r="G759" s="74"/>
      <c r="I759" s="12"/>
      <c r="K759" s="51"/>
    </row>
    <row r="760" ht="13.5" customHeight="1">
      <c r="E760" s="51"/>
      <c r="F760" s="12"/>
      <c r="G760" s="74"/>
      <c r="I760" s="12"/>
      <c r="K760" s="51"/>
    </row>
    <row r="761" ht="13.5" customHeight="1">
      <c r="E761" s="51"/>
      <c r="F761" s="12"/>
      <c r="G761" s="74"/>
      <c r="I761" s="12"/>
      <c r="K761" s="51"/>
    </row>
    <row r="762" ht="13.5" customHeight="1">
      <c r="E762" s="51"/>
      <c r="F762" s="12"/>
      <c r="G762" s="74"/>
      <c r="I762" s="12"/>
      <c r="K762" s="51"/>
    </row>
    <row r="763" ht="13.5" customHeight="1">
      <c r="E763" s="51"/>
      <c r="F763" s="12"/>
      <c r="G763" s="74"/>
      <c r="I763" s="12"/>
      <c r="K763" s="51"/>
    </row>
    <row r="764" ht="13.5" customHeight="1">
      <c r="E764" s="51"/>
      <c r="F764" s="12"/>
      <c r="G764" s="74"/>
      <c r="I764" s="12"/>
      <c r="K764" s="51"/>
    </row>
    <row r="765" ht="13.5" customHeight="1">
      <c r="E765" s="51"/>
      <c r="F765" s="12"/>
      <c r="G765" s="74"/>
      <c r="I765" s="12"/>
      <c r="K765" s="51"/>
    </row>
    <row r="766" ht="13.5" customHeight="1">
      <c r="E766" s="51"/>
      <c r="F766" s="12"/>
      <c r="G766" s="74"/>
      <c r="I766" s="12"/>
      <c r="K766" s="51"/>
    </row>
    <row r="767" ht="13.5" customHeight="1">
      <c r="E767" s="51"/>
      <c r="F767" s="12"/>
      <c r="G767" s="74"/>
      <c r="I767" s="12"/>
      <c r="K767" s="51"/>
    </row>
    <row r="768" ht="13.5" customHeight="1">
      <c r="E768" s="51"/>
      <c r="F768" s="12"/>
      <c r="G768" s="74"/>
      <c r="I768" s="12"/>
      <c r="K768" s="51"/>
    </row>
    <row r="769" ht="13.5" customHeight="1">
      <c r="E769" s="51"/>
      <c r="F769" s="12"/>
      <c r="G769" s="74"/>
      <c r="I769" s="12"/>
      <c r="K769" s="51"/>
    </row>
    <row r="770" ht="13.5" customHeight="1">
      <c r="E770" s="51"/>
      <c r="F770" s="12"/>
      <c r="G770" s="74"/>
      <c r="I770" s="12"/>
      <c r="K770" s="51"/>
    </row>
    <row r="771" ht="13.5" customHeight="1">
      <c r="E771" s="51"/>
      <c r="F771" s="12"/>
      <c r="G771" s="74"/>
      <c r="I771" s="12"/>
      <c r="K771" s="51"/>
    </row>
    <row r="772" ht="13.5" customHeight="1">
      <c r="E772" s="51"/>
      <c r="F772" s="12"/>
      <c r="G772" s="74"/>
      <c r="I772" s="12"/>
      <c r="K772" s="51"/>
    </row>
    <row r="773" ht="13.5" customHeight="1">
      <c r="E773" s="51"/>
      <c r="F773" s="12"/>
      <c r="G773" s="74"/>
      <c r="I773" s="12"/>
      <c r="K773" s="51"/>
    </row>
    <row r="774" ht="13.5" customHeight="1">
      <c r="E774" s="51"/>
      <c r="F774" s="12"/>
      <c r="G774" s="74"/>
      <c r="I774" s="12"/>
      <c r="K774" s="51"/>
    </row>
    <row r="775" ht="13.5" customHeight="1">
      <c r="E775" s="51"/>
      <c r="F775" s="12"/>
      <c r="G775" s="74"/>
      <c r="I775" s="12"/>
      <c r="K775" s="51"/>
    </row>
    <row r="776" ht="13.5" customHeight="1">
      <c r="E776" s="51"/>
      <c r="F776" s="12"/>
      <c r="G776" s="74"/>
      <c r="I776" s="12"/>
      <c r="K776" s="51"/>
    </row>
    <row r="777" ht="13.5" customHeight="1">
      <c r="E777" s="51"/>
      <c r="F777" s="12"/>
      <c r="G777" s="74"/>
      <c r="I777" s="12"/>
      <c r="K777" s="51"/>
    </row>
    <row r="778" ht="13.5" customHeight="1">
      <c r="E778" s="51"/>
      <c r="F778" s="12"/>
      <c r="G778" s="74"/>
      <c r="I778" s="12"/>
      <c r="K778" s="51"/>
    </row>
    <row r="779" ht="13.5" customHeight="1">
      <c r="E779" s="51"/>
      <c r="F779" s="12"/>
      <c r="G779" s="74"/>
      <c r="I779" s="12"/>
      <c r="K779" s="51"/>
    </row>
    <row r="780" ht="13.5" customHeight="1">
      <c r="E780" s="51"/>
      <c r="F780" s="12"/>
      <c r="G780" s="74"/>
      <c r="I780" s="12"/>
      <c r="K780" s="51"/>
    </row>
    <row r="781" ht="13.5" customHeight="1">
      <c r="E781" s="51"/>
      <c r="F781" s="12"/>
      <c r="G781" s="74"/>
      <c r="I781" s="12"/>
      <c r="K781" s="51"/>
    </row>
    <row r="782" ht="13.5" customHeight="1">
      <c r="E782" s="51"/>
      <c r="F782" s="12"/>
      <c r="G782" s="74"/>
      <c r="I782" s="12"/>
      <c r="K782" s="51"/>
    </row>
    <row r="783" ht="13.5" customHeight="1">
      <c r="E783" s="51"/>
      <c r="F783" s="12"/>
      <c r="G783" s="74"/>
      <c r="I783" s="12"/>
      <c r="K783" s="51"/>
    </row>
    <row r="784" ht="13.5" customHeight="1">
      <c r="E784" s="51"/>
      <c r="F784" s="12"/>
      <c r="G784" s="74"/>
      <c r="I784" s="12"/>
      <c r="K784" s="51"/>
    </row>
    <row r="785" ht="13.5" customHeight="1">
      <c r="E785" s="51"/>
      <c r="F785" s="12"/>
      <c r="G785" s="74"/>
      <c r="I785" s="12"/>
      <c r="K785" s="51"/>
    </row>
    <row r="786" ht="13.5" customHeight="1">
      <c r="E786" s="51"/>
      <c r="F786" s="12"/>
      <c r="G786" s="74"/>
      <c r="I786" s="12"/>
      <c r="K786" s="51"/>
    </row>
    <row r="787" ht="13.5" customHeight="1">
      <c r="E787" s="51"/>
      <c r="F787" s="12"/>
      <c r="G787" s="74"/>
      <c r="I787" s="12"/>
      <c r="K787" s="51"/>
    </row>
    <row r="788" ht="13.5" customHeight="1">
      <c r="E788" s="51"/>
      <c r="F788" s="12"/>
      <c r="G788" s="74"/>
      <c r="I788" s="12"/>
      <c r="K788" s="51"/>
    </row>
    <row r="789" ht="13.5" customHeight="1">
      <c r="E789" s="51"/>
      <c r="F789" s="12"/>
      <c r="G789" s="74"/>
      <c r="I789" s="12"/>
      <c r="K789" s="51"/>
    </row>
    <row r="790" ht="13.5" customHeight="1">
      <c r="E790" s="51"/>
      <c r="F790" s="12"/>
      <c r="G790" s="74"/>
      <c r="I790" s="12"/>
      <c r="K790" s="51"/>
    </row>
    <row r="791" ht="13.5" customHeight="1">
      <c r="E791" s="51"/>
      <c r="F791" s="12"/>
      <c r="G791" s="74"/>
      <c r="I791" s="12"/>
      <c r="K791" s="51"/>
    </row>
    <row r="792" ht="13.5" customHeight="1">
      <c r="E792" s="51"/>
      <c r="F792" s="12"/>
      <c r="G792" s="74"/>
      <c r="I792" s="12"/>
      <c r="K792" s="51"/>
    </row>
    <row r="793" ht="13.5" customHeight="1">
      <c r="E793" s="51"/>
      <c r="F793" s="12"/>
      <c r="G793" s="74"/>
      <c r="I793" s="12"/>
      <c r="K793" s="51"/>
    </row>
    <row r="794" ht="13.5" customHeight="1">
      <c r="E794" s="51"/>
      <c r="F794" s="12"/>
      <c r="G794" s="74"/>
      <c r="I794" s="12"/>
      <c r="K794" s="51"/>
    </row>
    <row r="795" ht="13.5" customHeight="1">
      <c r="E795" s="51"/>
      <c r="F795" s="12"/>
      <c r="G795" s="74"/>
      <c r="I795" s="12"/>
      <c r="K795" s="51"/>
    </row>
    <row r="796" ht="13.5" customHeight="1">
      <c r="E796" s="51"/>
      <c r="F796" s="12"/>
      <c r="G796" s="74"/>
      <c r="I796" s="12"/>
      <c r="K796" s="51"/>
    </row>
    <row r="797" ht="13.5" customHeight="1">
      <c r="E797" s="51"/>
      <c r="F797" s="12"/>
      <c r="G797" s="74"/>
      <c r="I797" s="12"/>
      <c r="K797" s="51"/>
    </row>
    <row r="798" ht="13.5" customHeight="1">
      <c r="E798" s="51"/>
      <c r="F798" s="12"/>
      <c r="G798" s="74"/>
      <c r="I798" s="12"/>
      <c r="K798" s="51"/>
    </row>
    <row r="799" ht="13.5" customHeight="1">
      <c r="E799" s="51"/>
      <c r="F799" s="12"/>
      <c r="G799" s="74"/>
      <c r="I799" s="12"/>
      <c r="K799" s="51"/>
    </row>
    <row r="800" ht="13.5" customHeight="1">
      <c r="E800" s="51"/>
      <c r="F800" s="12"/>
      <c r="G800" s="74"/>
      <c r="I800" s="12"/>
      <c r="K800" s="51"/>
    </row>
    <row r="801" ht="13.5" customHeight="1">
      <c r="E801" s="51"/>
      <c r="F801" s="12"/>
      <c r="G801" s="74"/>
      <c r="I801" s="12"/>
      <c r="K801" s="51"/>
    </row>
    <row r="802" ht="13.5" customHeight="1">
      <c r="E802" s="51"/>
      <c r="F802" s="12"/>
      <c r="G802" s="74"/>
      <c r="I802" s="12"/>
      <c r="K802" s="51"/>
    </row>
    <row r="803" ht="13.5" customHeight="1">
      <c r="E803" s="51"/>
      <c r="F803" s="12"/>
      <c r="G803" s="74"/>
      <c r="I803" s="12"/>
      <c r="K803" s="51"/>
    </row>
    <row r="804" ht="13.5" customHeight="1">
      <c r="E804" s="51"/>
      <c r="F804" s="12"/>
      <c r="G804" s="74"/>
      <c r="I804" s="12"/>
      <c r="K804" s="51"/>
    </row>
    <row r="805" ht="13.5" customHeight="1">
      <c r="E805" s="51"/>
      <c r="F805" s="12"/>
      <c r="G805" s="74"/>
      <c r="I805" s="12"/>
      <c r="K805" s="51"/>
    </row>
    <row r="806" ht="13.5" customHeight="1">
      <c r="E806" s="51"/>
      <c r="F806" s="12"/>
      <c r="G806" s="74"/>
      <c r="I806" s="12"/>
      <c r="K806" s="51"/>
    </row>
    <row r="807" ht="13.5" customHeight="1">
      <c r="E807" s="51"/>
      <c r="F807" s="12"/>
      <c r="G807" s="74"/>
      <c r="I807" s="12"/>
      <c r="K807" s="51"/>
    </row>
    <row r="808" ht="13.5" customHeight="1">
      <c r="E808" s="51"/>
      <c r="F808" s="12"/>
      <c r="G808" s="74"/>
      <c r="I808" s="12"/>
      <c r="K808" s="51"/>
    </row>
    <row r="809" ht="13.5" customHeight="1">
      <c r="E809" s="51"/>
      <c r="F809" s="12"/>
      <c r="G809" s="74"/>
      <c r="I809" s="12"/>
      <c r="K809" s="51"/>
    </row>
    <row r="810" ht="13.5" customHeight="1">
      <c r="E810" s="51"/>
      <c r="F810" s="12"/>
      <c r="G810" s="74"/>
      <c r="I810" s="12"/>
      <c r="K810" s="51"/>
    </row>
    <row r="811" ht="13.5" customHeight="1">
      <c r="E811" s="51"/>
      <c r="F811" s="12"/>
      <c r="G811" s="74"/>
      <c r="I811" s="12"/>
      <c r="K811" s="51"/>
    </row>
    <row r="812" ht="13.5" customHeight="1">
      <c r="E812" s="51"/>
      <c r="F812" s="12"/>
      <c r="G812" s="74"/>
      <c r="I812" s="12"/>
      <c r="K812" s="51"/>
    </row>
    <row r="813" ht="13.5" customHeight="1">
      <c r="E813" s="51"/>
      <c r="F813" s="12"/>
      <c r="G813" s="74"/>
      <c r="I813" s="12"/>
      <c r="K813" s="51"/>
    </row>
    <row r="814" ht="13.5" customHeight="1">
      <c r="E814" s="51"/>
      <c r="F814" s="12"/>
      <c r="G814" s="74"/>
      <c r="I814" s="12"/>
      <c r="K814" s="51"/>
    </row>
    <row r="815" ht="13.5" customHeight="1">
      <c r="E815" s="51"/>
      <c r="F815" s="12"/>
      <c r="G815" s="74"/>
      <c r="I815" s="12"/>
      <c r="K815" s="51"/>
    </row>
    <row r="816" ht="13.5" customHeight="1">
      <c r="E816" s="51"/>
      <c r="F816" s="12"/>
      <c r="G816" s="74"/>
      <c r="I816" s="12"/>
      <c r="K816" s="51"/>
    </row>
    <row r="817" ht="13.5" customHeight="1">
      <c r="E817" s="51"/>
      <c r="F817" s="12"/>
      <c r="G817" s="74"/>
      <c r="I817" s="12"/>
      <c r="K817" s="51"/>
    </row>
    <row r="818" ht="13.5" customHeight="1">
      <c r="E818" s="51"/>
      <c r="F818" s="12"/>
      <c r="G818" s="74"/>
      <c r="I818" s="12"/>
      <c r="K818" s="51"/>
    </row>
    <row r="819" ht="13.5" customHeight="1">
      <c r="E819" s="51"/>
      <c r="F819" s="12"/>
      <c r="G819" s="74"/>
      <c r="I819" s="12"/>
      <c r="K819" s="51"/>
    </row>
    <row r="820" ht="13.5" customHeight="1">
      <c r="E820" s="51"/>
      <c r="F820" s="12"/>
      <c r="G820" s="74"/>
      <c r="I820" s="12"/>
      <c r="K820" s="51"/>
    </row>
    <row r="821" ht="13.5" customHeight="1">
      <c r="E821" s="51"/>
      <c r="F821" s="12"/>
      <c r="G821" s="74"/>
      <c r="I821" s="12"/>
      <c r="K821" s="51"/>
    </row>
    <row r="822" ht="13.5" customHeight="1">
      <c r="E822" s="51"/>
      <c r="F822" s="12"/>
      <c r="G822" s="74"/>
      <c r="I822" s="12"/>
      <c r="K822" s="51"/>
    </row>
    <row r="823" ht="13.5" customHeight="1">
      <c r="E823" s="51"/>
      <c r="F823" s="12"/>
      <c r="G823" s="74"/>
      <c r="I823" s="12"/>
      <c r="K823" s="51"/>
    </row>
    <row r="824" ht="13.5" customHeight="1">
      <c r="E824" s="51"/>
      <c r="F824" s="12"/>
      <c r="G824" s="74"/>
      <c r="I824" s="12"/>
      <c r="K824" s="51"/>
    </row>
    <row r="825" ht="13.5" customHeight="1">
      <c r="E825" s="51"/>
      <c r="F825" s="12"/>
      <c r="G825" s="74"/>
      <c r="I825" s="12"/>
      <c r="K825" s="51"/>
    </row>
    <row r="826" ht="13.5" customHeight="1">
      <c r="E826" s="51"/>
      <c r="F826" s="12"/>
      <c r="G826" s="74"/>
      <c r="I826" s="12"/>
      <c r="K826" s="51"/>
    </row>
    <row r="827" ht="13.5" customHeight="1">
      <c r="E827" s="51"/>
      <c r="F827" s="12"/>
      <c r="G827" s="74"/>
      <c r="I827" s="12"/>
      <c r="K827" s="51"/>
    </row>
    <row r="828" ht="13.5" customHeight="1">
      <c r="E828" s="51"/>
      <c r="F828" s="12"/>
      <c r="G828" s="74"/>
      <c r="I828" s="12"/>
      <c r="K828" s="51"/>
    </row>
    <row r="829" ht="13.5" customHeight="1">
      <c r="E829" s="51"/>
      <c r="F829" s="12"/>
      <c r="G829" s="74"/>
      <c r="I829" s="12"/>
      <c r="K829" s="51"/>
    </row>
    <row r="830" ht="13.5" customHeight="1">
      <c r="E830" s="51"/>
      <c r="F830" s="12"/>
      <c r="G830" s="74"/>
      <c r="I830" s="12"/>
      <c r="K830" s="51"/>
    </row>
    <row r="831" ht="13.5" customHeight="1">
      <c r="E831" s="51"/>
      <c r="F831" s="12"/>
      <c r="G831" s="74"/>
      <c r="I831" s="12"/>
      <c r="K831" s="51"/>
    </row>
    <row r="832" ht="13.5" customHeight="1">
      <c r="E832" s="51"/>
      <c r="F832" s="12"/>
      <c r="G832" s="74"/>
      <c r="I832" s="12"/>
      <c r="K832" s="51"/>
    </row>
    <row r="833" ht="13.5" customHeight="1">
      <c r="E833" s="51"/>
      <c r="F833" s="12"/>
      <c r="G833" s="74"/>
      <c r="I833" s="12"/>
      <c r="K833" s="51"/>
    </row>
    <row r="834" ht="13.5" customHeight="1">
      <c r="E834" s="51"/>
      <c r="F834" s="12"/>
      <c r="G834" s="74"/>
      <c r="I834" s="12"/>
      <c r="K834" s="51"/>
    </row>
    <row r="835" ht="13.5" customHeight="1">
      <c r="E835" s="51"/>
      <c r="F835" s="12"/>
      <c r="G835" s="74"/>
      <c r="I835" s="12"/>
      <c r="K835" s="51"/>
    </row>
    <row r="836" ht="13.5" customHeight="1">
      <c r="E836" s="51"/>
      <c r="F836" s="12"/>
      <c r="G836" s="74"/>
      <c r="I836" s="12"/>
      <c r="K836" s="51"/>
    </row>
    <row r="837" ht="13.5" customHeight="1">
      <c r="E837" s="51"/>
      <c r="F837" s="12"/>
      <c r="G837" s="74"/>
      <c r="I837" s="12"/>
      <c r="K837" s="51"/>
    </row>
    <row r="838" ht="13.5" customHeight="1">
      <c r="E838" s="51"/>
      <c r="F838" s="12"/>
      <c r="G838" s="74"/>
      <c r="I838" s="12"/>
      <c r="K838" s="51"/>
    </row>
    <row r="839" ht="13.5" customHeight="1">
      <c r="E839" s="51"/>
      <c r="F839" s="12"/>
      <c r="G839" s="74"/>
      <c r="I839" s="12"/>
      <c r="K839" s="51"/>
    </row>
    <row r="840" ht="13.5" customHeight="1">
      <c r="E840" s="51"/>
      <c r="F840" s="12"/>
      <c r="G840" s="74"/>
      <c r="I840" s="12"/>
      <c r="K840" s="51"/>
    </row>
    <row r="841" ht="13.5" customHeight="1">
      <c r="E841" s="51"/>
      <c r="F841" s="12"/>
      <c r="G841" s="74"/>
      <c r="I841" s="12"/>
      <c r="K841" s="51"/>
    </row>
    <row r="842" ht="13.5" customHeight="1">
      <c r="E842" s="51"/>
      <c r="F842" s="12"/>
      <c r="G842" s="74"/>
      <c r="I842" s="12"/>
      <c r="K842" s="51"/>
    </row>
    <row r="843" ht="13.5" customHeight="1">
      <c r="E843" s="51"/>
      <c r="F843" s="12"/>
      <c r="G843" s="74"/>
      <c r="I843" s="12"/>
      <c r="K843" s="51"/>
    </row>
    <row r="844" ht="13.5" customHeight="1">
      <c r="E844" s="51"/>
      <c r="F844" s="12"/>
      <c r="G844" s="74"/>
      <c r="I844" s="12"/>
      <c r="K844" s="51"/>
    </row>
    <row r="845" ht="13.5" customHeight="1">
      <c r="E845" s="51"/>
      <c r="F845" s="12"/>
      <c r="G845" s="74"/>
      <c r="I845" s="12"/>
      <c r="K845" s="51"/>
    </row>
    <row r="846" ht="13.5" customHeight="1">
      <c r="E846" s="51"/>
      <c r="F846" s="12"/>
      <c r="G846" s="74"/>
      <c r="I846" s="12"/>
      <c r="K846" s="51"/>
    </row>
    <row r="847" ht="13.5" customHeight="1">
      <c r="E847" s="51"/>
      <c r="F847" s="12"/>
      <c r="G847" s="74"/>
      <c r="I847" s="12"/>
      <c r="K847" s="51"/>
    </row>
    <row r="848" ht="13.5" customHeight="1">
      <c r="E848" s="51"/>
      <c r="F848" s="12"/>
      <c r="G848" s="74"/>
      <c r="I848" s="12"/>
      <c r="K848" s="51"/>
    </row>
    <row r="849" ht="13.5" customHeight="1">
      <c r="E849" s="51"/>
      <c r="F849" s="12"/>
      <c r="G849" s="74"/>
      <c r="I849" s="12"/>
      <c r="K849" s="51"/>
    </row>
    <row r="850" ht="13.5" customHeight="1">
      <c r="E850" s="51"/>
      <c r="F850" s="12"/>
      <c r="G850" s="74"/>
      <c r="I850" s="12"/>
      <c r="K850" s="51"/>
    </row>
    <row r="851" ht="13.5" customHeight="1">
      <c r="E851" s="51"/>
      <c r="F851" s="12"/>
      <c r="G851" s="74"/>
      <c r="I851" s="12"/>
      <c r="K851" s="51"/>
    </row>
    <row r="852" ht="13.5" customHeight="1">
      <c r="E852" s="51"/>
      <c r="F852" s="12"/>
      <c r="G852" s="74"/>
      <c r="I852" s="12"/>
      <c r="K852" s="51"/>
    </row>
    <row r="853" ht="13.5" customHeight="1">
      <c r="E853" s="51"/>
      <c r="F853" s="12"/>
      <c r="G853" s="74"/>
      <c r="I853" s="12"/>
      <c r="K853" s="51"/>
    </row>
    <row r="854" ht="13.5" customHeight="1">
      <c r="E854" s="51"/>
      <c r="F854" s="12"/>
      <c r="G854" s="74"/>
      <c r="I854" s="12"/>
      <c r="K854" s="51"/>
    </row>
    <row r="855" ht="13.5" customHeight="1">
      <c r="E855" s="51"/>
      <c r="F855" s="12"/>
      <c r="G855" s="74"/>
      <c r="I855" s="12"/>
      <c r="K855" s="51"/>
    </row>
    <row r="856" ht="13.5" customHeight="1">
      <c r="E856" s="51"/>
      <c r="F856" s="12"/>
      <c r="G856" s="74"/>
      <c r="I856" s="12"/>
      <c r="K856" s="51"/>
    </row>
    <row r="857" ht="13.5" customHeight="1">
      <c r="E857" s="51"/>
      <c r="F857" s="12"/>
      <c r="G857" s="74"/>
      <c r="I857" s="12"/>
      <c r="K857" s="51"/>
    </row>
    <row r="858" ht="13.5" customHeight="1">
      <c r="E858" s="51"/>
      <c r="F858" s="12"/>
      <c r="G858" s="74"/>
      <c r="I858" s="12"/>
      <c r="K858" s="51"/>
    </row>
    <row r="859" ht="13.5" customHeight="1">
      <c r="E859" s="51"/>
      <c r="F859" s="12"/>
      <c r="G859" s="74"/>
      <c r="I859" s="12"/>
      <c r="K859" s="51"/>
    </row>
    <row r="860" ht="13.5" customHeight="1">
      <c r="E860" s="51"/>
      <c r="F860" s="12"/>
      <c r="G860" s="74"/>
      <c r="I860" s="12"/>
      <c r="K860" s="51"/>
    </row>
    <row r="861" ht="13.5" customHeight="1">
      <c r="E861" s="51"/>
      <c r="F861" s="12"/>
      <c r="G861" s="74"/>
      <c r="I861" s="12"/>
      <c r="K861" s="51"/>
    </row>
    <row r="862" ht="13.5" customHeight="1">
      <c r="E862" s="51"/>
      <c r="F862" s="12"/>
      <c r="G862" s="74"/>
      <c r="I862" s="12"/>
      <c r="K862" s="51"/>
    </row>
    <row r="863" ht="13.5" customHeight="1">
      <c r="E863" s="51"/>
      <c r="F863" s="12"/>
      <c r="G863" s="74"/>
      <c r="I863" s="12"/>
      <c r="K863" s="51"/>
    </row>
    <row r="864" ht="13.5" customHeight="1">
      <c r="E864" s="51"/>
      <c r="F864" s="12"/>
      <c r="G864" s="74"/>
      <c r="I864" s="12"/>
      <c r="K864" s="51"/>
    </row>
    <row r="865" ht="13.5" customHeight="1">
      <c r="E865" s="51"/>
      <c r="F865" s="12"/>
      <c r="G865" s="74"/>
      <c r="I865" s="12"/>
      <c r="K865" s="51"/>
    </row>
    <row r="866" ht="13.5" customHeight="1">
      <c r="E866" s="51"/>
      <c r="F866" s="12"/>
      <c r="G866" s="74"/>
      <c r="I866" s="12"/>
      <c r="K866" s="51"/>
    </row>
    <row r="867" ht="13.5" customHeight="1">
      <c r="E867" s="51"/>
      <c r="F867" s="12"/>
      <c r="G867" s="74"/>
      <c r="I867" s="12"/>
      <c r="K867" s="51"/>
    </row>
    <row r="868" ht="13.5" customHeight="1">
      <c r="E868" s="51"/>
      <c r="F868" s="12"/>
      <c r="G868" s="74"/>
      <c r="I868" s="12"/>
      <c r="K868" s="51"/>
    </row>
    <row r="869" ht="13.5" customHeight="1">
      <c r="E869" s="51"/>
      <c r="F869" s="12"/>
      <c r="G869" s="74"/>
      <c r="I869" s="12"/>
      <c r="K869" s="51"/>
    </row>
    <row r="870" ht="13.5" customHeight="1">
      <c r="E870" s="51"/>
      <c r="F870" s="12"/>
      <c r="G870" s="74"/>
      <c r="I870" s="12"/>
      <c r="K870" s="51"/>
    </row>
    <row r="871" ht="13.5" customHeight="1">
      <c r="E871" s="51"/>
      <c r="F871" s="12"/>
      <c r="G871" s="74"/>
      <c r="I871" s="12"/>
      <c r="K871" s="51"/>
    </row>
    <row r="872" ht="13.5" customHeight="1">
      <c r="E872" s="51"/>
      <c r="F872" s="12"/>
      <c r="G872" s="74"/>
      <c r="I872" s="12"/>
      <c r="K872" s="51"/>
    </row>
    <row r="873" ht="13.5" customHeight="1">
      <c r="E873" s="51"/>
      <c r="F873" s="12"/>
      <c r="G873" s="74"/>
      <c r="I873" s="12"/>
      <c r="K873" s="51"/>
    </row>
    <row r="874" ht="13.5" customHeight="1">
      <c r="E874" s="51"/>
      <c r="F874" s="12"/>
      <c r="G874" s="74"/>
      <c r="I874" s="12"/>
      <c r="K874" s="51"/>
    </row>
    <row r="875" ht="13.5" customHeight="1">
      <c r="E875" s="51"/>
      <c r="F875" s="12"/>
      <c r="G875" s="74"/>
      <c r="I875" s="12"/>
      <c r="K875" s="51"/>
    </row>
    <row r="876" ht="13.5" customHeight="1">
      <c r="E876" s="51"/>
      <c r="F876" s="12"/>
      <c r="G876" s="74"/>
      <c r="I876" s="12"/>
      <c r="K876" s="51"/>
    </row>
    <row r="877" ht="13.5" customHeight="1">
      <c r="E877" s="51"/>
      <c r="F877" s="12"/>
      <c r="G877" s="74"/>
      <c r="I877" s="12"/>
      <c r="K877" s="51"/>
    </row>
    <row r="878" ht="13.5" customHeight="1">
      <c r="E878" s="51"/>
      <c r="F878" s="12"/>
      <c r="G878" s="74"/>
      <c r="I878" s="12"/>
      <c r="K878" s="51"/>
    </row>
    <row r="879" ht="13.5" customHeight="1">
      <c r="E879" s="51"/>
      <c r="F879" s="12"/>
      <c r="G879" s="74"/>
      <c r="I879" s="12"/>
      <c r="K879" s="51"/>
    </row>
    <row r="880" ht="13.5" customHeight="1">
      <c r="E880" s="51"/>
      <c r="F880" s="12"/>
      <c r="G880" s="74"/>
      <c r="I880" s="12"/>
      <c r="K880" s="51"/>
    </row>
    <row r="881" ht="13.5" customHeight="1">
      <c r="E881" s="51"/>
      <c r="F881" s="12"/>
      <c r="G881" s="74"/>
      <c r="I881" s="12"/>
      <c r="K881" s="51"/>
    </row>
    <row r="882" ht="13.5" customHeight="1">
      <c r="E882" s="51"/>
      <c r="F882" s="12"/>
      <c r="G882" s="74"/>
      <c r="I882" s="12"/>
      <c r="K882" s="51"/>
    </row>
    <row r="883" ht="13.5" customHeight="1">
      <c r="E883" s="51"/>
      <c r="F883" s="12"/>
      <c r="G883" s="74"/>
      <c r="I883" s="12"/>
      <c r="K883" s="51"/>
    </row>
    <row r="884" ht="13.5" customHeight="1">
      <c r="E884" s="51"/>
      <c r="F884" s="12"/>
      <c r="G884" s="74"/>
      <c r="I884" s="12"/>
      <c r="K884" s="51"/>
    </row>
    <row r="885" ht="13.5" customHeight="1">
      <c r="E885" s="51"/>
      <c r="F885" s="12"/>
      <c r="G885" s="74"/>
      <c r="I885" s="12"/>
      <c r="K885" s="51"/>
    </row>
    <row r="886" ht="13.5" customHeight="1">
      <c r="E886" s="51"/>
      <c r="F886" s="12"/>
      <c r="G886" s="74"/>
      <c r="I886" s="12"/>
      <c r="K886" s="51"/>
    </row>
    <row r="887" ht="13.5" customHeight="1">
      <c r="E887" s="51"/>
      <c r="F887" s="12"/>
      <c r="G887" s="74"/>
      <c r="I887" s="12"/>
      <c r="K887" s="51"/>
    </row>
    <row r="888" ht="13.5" customHeight="1">
      <c r="E888" s="51"/>
      <c r="F888" s="12"/>
      <c r="G888" s="74"/>
      <c r="I888" s="12"/>
      <c r="K888" s="51"/>
    </row>
    <row r="889" ht="13.5" customHeight="1">
      <c r="E889" s="51"/>
      <c r="F889" s="12"/>
      <c r="G889" s="74"/>
      <c r="I889" s="12"/>
      <c r="K889" s="51"/>
    </row>
    <row r="890" ht="13.5" customHeight="1">
      <c r="E890" s="51"/>
      <c r="F890" s="12"/>
      <c r="G890" s="74"/>
      <c r="I890" s="12"/>
      <c r="K890" s="51"/>
    </row>
    <row r="891" ht="13.5" customHeight="1">
      <c r="E891" s="51"/>
      <c r="F891" s="12"/>
      <c r="G891" s="74"/>
      <c r="I891" s="12"/>
      <c r="K891" s="51"/>
    </row>
    <row r="892" ht="13.5" customHeight="1">
      <c r="E892" s="51"/>
      <c r="F892" s="12"/>
      <c r="G892" s="74"/>
      <c r="I892" s="12"/>
      <c r="K892" s="51"/>
    </row>
    <row r="893" ht="13.5" customHeight="1">
      <c r="E893" s="51"/>
      <c r="F893" s="12"/>
      <c r="G893" s="74"/>
      <c r="I893" s="12"/>
      <c r="K893" s="51"/>
    </row>
    <row r="894" ht="13.5" customHeight="1">
      <c r="E894" s="51"/>
      <c r="F894" s="12"/>
      <c r="G894" s="74"/>
      <c r="I894" s="12"/>
      <c r="K894" s="51"/>
    </row>
    <row r="895" ht="13.5" customHeight="1">
      <c r="E895" s="51"/>
      <c r="F895" s="12"/>
      <c r="G895" s="74"/>
      <c r="I895" s="12"/>
      <c r="K895" s="51"/>
    </row>
    <row r="896" ht="13.5" customHeight="1">
      <c r="E896" s="51"/>
      <c r="F896" s="12"/>
      <c r="G896" s="74"/>
      <c r="I896" s="12"/>
      <c r="K896" s="51"/>
    </row>
    <row r="897" ht="13.5" customHeight="1">
      <c r="E897" s="51"/>
      <c r="F897" s="12"/>
      <c r="G897" s="74"/>
      <c r="I897" s="12"/>
      <c r="K897" s="51"/>
    </row>
    <row r="898" ht="13.5" customHeight="1">
      <c r="E898" s="51"/>
      <c r="F898" s="12"/>
      <c r="G898" s="74"/>
      <c r="I898" s="12"/>
      <c r="K898" s="51"/>
    </row>
    <row r="899" ht="13.5" customHeight="1">
      <c r="E899" s="51"/>
      <c r="F899" s="12"/>
      <c r="G899" s="74"/>
      <c r="I899" s="12"/>
      <c r="K899" s="51"/>
    </row>
    <row r="900" ht="13.5" customHeight="1">
      <c r="E900" s="51"/>
      <c r="F900" s="12"/>
      <c r="G900" s="74"/>
      <c r="I900" s="12"/>
      <c r="K900" s="51"/>
    </row>
    <row r="901" ht="13.5" customHeight="1">
      <c r="E901" s="51"/>
      <c r="F901" s="12"/>
      <c r="G901" s="74"/>
      <c r="I901" s="12"/>
      <c r="K901" s="51"/>
    </row>
    <row r="902" ht="13.5" customHeight="1">
      <c r="E902" s="51"/>
      <c r="F902" s="12"/>
      <c r="G902" s="74"/>
      <c r="I902" s="12"/>
      <c r="K902" s="51"/>
    </row>
    <row r="903" ht="13.5" customHeight="1">
      <c r="E903" s="51"/>
      <c r="F903" s="12"/>
      <c r="G903" s="74"/>
      <c r="I903" s="12"/>
      <c r="K903" s="51"/>
    </row>
    <row r="904" ht="13.5" customHeight="1">
      <c r="E904" s="51"/>
      <c r="F904" s="12"/>
      <c r="G904" s="74"/>
      <c r="I904" s="12"/>
      <c r="K904" s="51"/>
    </row>
    <row r="905" ht="13.5" customHeight="1">
      <c r="E905" s="51"/>
      <c r="F905" s="12"/>
      <c r="G905" s="74"/>
      <c r="I905" s="12"/>
      <c r="K905" s="51"/>
    </row>
    <row r="906" ht="13.5" customHeight="1">
      <c r="E906" s="51"/>
      <c r="F906" s="12"/>
      <c r="G906" s="74"/>
      <c r="I906" s="12"/>
      <c r="K906" s="51"/>
    </row>
    <row r="907" ht="13.5" customHeight="1">
      <c r="E907" s="51"/>
      <c r="F907" s="12"/>
      <c r="G907" s="74"/>
      <c r="I907" s="12"/>
      <c r="K907" s="51"/>
    </row>
    <row r="908" ht="13.5" customHeight="1">
      <c r="E908" s="51"/>
      <c r="F908" s="12"/>
      <c r="G908" s="74"/>
      <c r="I908" s="12"/>
      <c r="K908" s="51"/>
    </row>
    <row r="909" ht="13.5" customHeight="1">
      <c r="E909" s="51"/>
      <c r="F909" s="12"/>
      <c r="G909" s="74"/>
      <c r="I909" s="12"/>
      <c r="K909" s="51"/>
    </row>
    <row r="910" ht="13.5" customHeight="1">
      <c r="E910" s="51"/>
      <c r="F910" s="12"/>
      <c r="G910" s="74"/>
      <c r="I910" s="12"/>
      <c r="K910" s="51"/>
    </row>
    <row r="911" ht="13.5" customHeight="1">
      <c r="E911" s="51"/>
      <c r="F911" s="12"/>
      <c r="G911" s="74"/>
      <c r="I911" s="12"/>
      <c r="K911" s="51"/>
    </row>
    <row r="912" ht="13.5" customHeight="1">
      <c r="E912" s="51"/>
      <c r="F912" s="12"/>
      <c r="G912" s="74"/>
      <c r="I912" s="12"/>
      <c r="K912" s="51"/>
    </row>
    <row r="913" ht="13.5" customHeight="1">
      <c r="E913" s="51"/>
      <c r="F913" s="12"/>
      <c r="G913" s="74"/>
      <c r="I913" s="12"/>
      <c r="K913" s="51"/>
    </row>
    <row r="914" ht="13.5" customHeight="1">
      <c r="E914" s="51"/>
      <c r="F914" s="12"/>
      <c r="G914" s="74"/>
      <c r="I914" s="12"/>
      <c r="K914" s="51"/>
    </row>
    <row r="915" ht="13.5" customHeight="1">
      <c r="E915" s="51"/>
      <c r="F915" s="12"/>
      <c r="G915" s="74"/>
      <c r="I915" s="12"/>
      <c r="K915" s="51"/>
    </row>
    <row r="916" ht="13.5" customHeight="1">
      <c r="E916" s="51"/>
      <c r="F916" s="12"/>
      <c r="G916" s="74"/>
      <c r="I916" s="12"/>
      <c r="K916" s="51"/>
    </row>
    <row r="917" ht="13.5" customHeight="1">
      <c r="E917" s="51"/>
      <c r="F917" s="12"/>
      <c r="G917" s="74"/>
      <c r="I917" s="12"/>
      <c r="K917" s="51"/>
    </row>
    <row r="918" ht="13.5" customHeight="1">
      <c r="E918" s="51"/>
      <c r="F918" s="12"/>
      <c r="G918" s="74"/>
      <c r="I918" s="12"/>
      <c r="K918" s="51"/>
    </row>
    <row r="919" ht="13.5" customHeight="1">
      <c r="E919" s="51"/>
      <c r="F919" s="12"/>
      <c r="G919" s="74"/>
      <c r="I919" s="12"/>
      <c r="K919" s="51"/>
    </row>
    <row r="920" ht="13.5" customHeight="1">
      <c r="E920" s="51"/>
      <c r="F920" s="12"/>
      <c r="G920" s="74"/>
      <c r="I920" s="12"/>
      <c r="K920" s="51"/>
    </row>
    <row r="921" ht="13.5" customHeight="1">
      <c r="E921" s="51"/>
      <c r="F921" s="12"/>
      <c r="G921" s="74"/>
      <c r="I921" s="12"/>
      <c r="K921" s="51"/>
    </row>
    <row r="922" ht="13.5" customHeight="1">
      <c r="E922" s="51"/>
      <c r="F922" s="12"/>
      <c r="G922" s="74"/>
      <c r="I922" s="12"/>
      <c r="K922" s="51"/>
    </row>
    <row r="923" ht="13.5" customHeight="1">
      <c r="E923" s="51"/>
      <c r="F923" s="12"/>
      <c r="G923" s="74"/>
      <c r="I923" s="12"/>
      <c r="K923" s="51"/>
    </row>
    <row r="924" ht="13.5" customHeight="1">
      <c r="E924" s="51"/>
      <c r="F924" s="12"/>
      <c r="G924" s="74"/>
      <c r="I924" s="12"/>
      <c r="K924" s="51"/>
    </row>
    <row r="925" ht="13.5" customHeight="1">
      <c r="E925" s="51"/>
      <c r="F925" s="12"/>
      <c r="G925" s="74"/>
      <c r="I925" s="12"/>
      <c r="K925" s="51"/>
    </row>
    <row r="926" ht="13.5" customHeight="1">
      <c r="E926" s="51"/>
      <c r="F926" s="12"/>
      <c r="G926" s="74"/>
      <c r="I926" s="12"/>
      <c r="K926" s="51"/>
    </row>
    <row r="927" ht="13.5" customHeight="1">
      <c r="E927" s="51"/>
      <c r="F927" s="12"/>
      <c r="G927" s="74"/>
      <c r="I927" s="12"/>
      <c r="K927" s="51"/>
    </row>
    <row r="928" ht="13.5" customHeight="1">
      <c r="E928" s="51"/>
      <c r="F928" s="12"/>
      <c r="G928" s="74"/>
      <c r="I928" s="12"/>
      <c r="K928" s="51"/>
    </row>
    <row r="929" ht="13.5" customHeight="1">
      <c r="E929" s="51"/>
      <c r="F929" s="12"/>
      <c r="G929" s="74"/>
      <c r="I929" s="12"/>
      <c r="K929" s="51"/>
    </row>
    <row r="930" ht="13.5" customHeight="1">
      <c r="E930" s="51"/>
      <c r="F930" s="12"/>
      <c r="G930" s="74"/>
      <c r="I930" s="12"/>
      <c r="K930" s="51"/>
    </row>
    <row r="931" ht="13.5" customHeight="1">
      <c r="E931" s="51"/>
      <c r="F931" s="12"/>
      <c r="G931" s="74"/>
      <c r="I931" s="12"/>
      <c r="K931" s="51"/>
    </row>
    <row r="932" ht="13.5" customHeight="1">
      <c r="E932" s="51"/>
      <c r="F932" s="12"/>
      <c r="G932" s="74"/>
      <c r="I932" s="12"/>
      <c r="K932" s="51"/>
    </row>
    <row r="933" ht="13.5" customHeight="1">
      <c r="E933" s="51"/>
      <c r="F933" s="12"/>
      <c r="G933" s="74"/>
      <c r="I933" s="12"/>
      <c r="K933" s="51"/>
    </row>
    <row r="934" ht="13.5" customHeight="1">
      <c r="E934" s="51"/>
      <c r="F934" s="12"/>
      <c r="G934" s="74"/>
      <c r="I934" s="12"/>
      <c r="K934" s="51"/>
    </row>
    <row r="935" ht="13.5" customHeight="1">
      <c r="E935" s="51"/>
      <c r="F935" s="12"/>
      <c r="G935" s="74"/>
      <c r="I935" s="12"/>
      <c r="K935" s="51"/>
    </row>
    <row r="936" ht="13.5" customHeight="1">
      <c r="E936" s="51"/>
      <c r="F936" s="12"/>
      <c r="G936" s="74"/>
      <c r="I936" s="12"/>
      <c r="K936" s="51"/>
    </row>
    <row r="937" ht="13.5" customHeight="1">
      <c r="E937" s="51"/>
      <c r="F937" s="12"/>
      <c r="G937" s="74"/>
      <c r="I937" s="12"/>
      <c r="K937" s="51"/>
    </row>
    <row r="938" ht="13.5" customHeight="1">
      <c r="E938" s="51"/>
      <c r="F938" s="12"/>
      <c r="G938" s="74"/>
      <c r="I938" s="12"/>
      <c r="K938" s="51"/>
    </row>
    <row r="939" ht="13.5" customHeight="1">
      <c r="E939" s="51"/>
      <c r="F939" s="12"/>
      <c r="G939" s="74"/>
      <c r="I939" s="12"/>
      <c r="K939" s="51"/>
    </row>
    <row r="940" ht="13.5" customHeight="1">
      <c r="E940" s="51"/>
      <c r="F940" s="12"/>
      <c r="G940" s="74"/>
      <c r="I940" s="12"/>
      <c r="K940" s="51"/>
    </row>
    <row r="941" ht="13.5" customHeight="1">
      <c r="E941" s="51"/>
      <c r="F941" s="12"/>
      <c r="G941" s="74"/>
      <c r="I941" s="12"/>
      <c r="K941" s="51"/>
    </row>
    <row r="942" ht="13.5" customHeight="1">
      <c r="E942" s="51"/>
      <c r="F942" s="12"/>
      <c r="G942" s="74"/>
      <c r="I942" s="12"/>
      <c r="K942" s="51"/>
    </row>
    <row r="943" ht="13.5" customHeight="1">
      <c r="E943" s="51"/>
      <c r="F943" s="12"/>
      <c r="G943" s="74"/>
      <c r="I943" s="12"/>
      <c r="K943" s="51"/>
    </row>
    <row r="944" ht="13.5" customHeight="1">
      <c r="E944" s="51"/>
      <c r="F944" s="12"/>
      <c r="G944" s="74"/>
      <c r="I944" s="12"/>
      <c r="K944" s="51"/>
    </row>
    <row r="945" ht="13.5" customHeight="1">
      <c r="E945" s="51"/>
      <c r="F945" s="12"/>
      <c r="G945" s="74"/>
      <c r="I945" s="12"/>
      <c r="K945" s="51"/>
    </row>
    <row r="946" ht="13.5" customHeight="1">
      <c r="E946" s="51"/>
      <c r="F946" s="12"/>
      <c r="G946" s="74"/>
      <c r="I946" s="12"/>
      <c r="K946" s="51"/>
    </row>
    <row r="947" ht="13.5" customHeight="1">
      <c r="E947" s="51"/>
      <c r="F947" s="12"/>
      <c r="G947" s="74"/>
      <c r="I947" s="12"/>
      <c r="K947" s="51"/>
    </row>
    <row r="948" ht="13.5" customHeight="1">
      <c r="E948" s="51"/>
      <c r="F948" s="12"/>
      <c r="G948" s="74"/>
      <c r="I948" s="12"/>
      <c r="K948" s="51"/>
    </row>
    <row r="949" ht="13.5" customHeight="1">
      <c r="E949" s="51"/>
      <c r="F949" s="12"/>
      <c r="G949" s="74"/>
      <c r="I949" s="12"/>
      <c r="K949" s="51"/>
    </row>
    <row r="950" ht="13.5" customHeight="1">
      <c r="E950" s="51"/>
      <c r="F950" s="12"/>
      <c r="G950" s="74"/>
      <c r="I950" s="12"/>
      <c r="K950" s="51"/>
    </row>
    <row r="951" ht="13.5" customHeight="1">
      <c r="E951" s="51"/>
      <c r="F951" s="12"/>
      <c r="G951" s="74"/>
      <c r="I951" s="12"/>
      <c r="K951" s="51"/>
    </row>
    <row r="952" ht="13.5" customHeight="1">
      <c r="E952" s="51"/>
      <c r="F952" s="12"/>
      <c r="G952" s="74"/>
      <c r="I952" s="12"/>
      <c r="K952" s="51"/>
    </row>
    <row r="953" ht="13.5" customHeight="1">
      <c r="E953" s="51"/>
      <c r="F953" s="12"/>
      <c r="G953" s="74"/>
      <c r="I953" s="12"/>
      <c r="K953" s="51"/>
    </row>
    <row r="954" ht="13.5" customHeight="1">
      <c r="E954" s="51"/>
      <c r="F954" s="12"/>
      <c r="G954" s="74"/>
      <c r="I954" s="12"/>
      <c r="K954" s="51"/>
    </row>
    <row r="955" ht="13.5" customHeight="1">
      <c r="E955" s="51"/>
      <c r="F955" s="12"/>
      <c r="G955" s="74"/>
      <c r="I955" s="12"/>
      <c r="K955" s="51"/>
    </row>
    <row r="956" ht="13.5" customHeight="1">
      <c r="E956" s="51"/>
      <c r="F956" s="12"/>
      <c r="G956" s="74"/>
      <c r="I956" s="12"/>
      <c r="K956" s="51"/>
    </row>
    <row r="957" ht="13.5" customHeight="1">
      <c r="E957" s="51"/>
      <c r="F957" s="12"/>
      <c r="G957" s="74"/>
      <c r="I957" s="12"/>
      <c r="K957" s="51"/>
    </row>
    <row r="958" ht="13.5" customHeight="1">
      <c r="E958" s="51"/>
      <c r="F958" s="12"/>
      <c r="G958" s="74"/>
      <c r="I958" s="12"/>
      <c r="K958" s="51"/>
    </row>
    <row r="959" ht="13.5" customHeight="1">
      <c r="E959" s="51"/>
      <c r="F959" s="12"/>
      <c r="G959" s="74"/>
      <c r="I959" s="12"/>
      <c r="K959" s="51"/>
    </row>
    <row r="960" ht="13.5" customHeight="1">
      <c r="E960" s="51"/>
      <c r="F960" s="12"/>
      <c r="G960" s="74"/>
      <c r="I960" s="12"/>
      <c r="K960" s="51"/>
    </row>
    <row r="961" ht="13.5" customHeight="1">
      <c r="E961" s="51"/>
      <c r="F961" s="12"/>
      <c r="G961" s="74"/>
      <c r="I961" s="12"/>
      <c r="K961" s="51"/>
    </row>
    <row r="962" ht="13.5" customHeight="1">
      <c r="E962" s="51"/>
      <c r="F962" s="12"/>
      <c r="G962" s="74"/>
      <c r="I962" s="12"/>
      <c r="K962" s="51"/>
    </row>
    <row r="963" ht="13.5" customHeight="1">
      <c r="E963" s="51"/>
      <c r="F963" s="12"/>
      <c r="G963" s="74"/>
      <c r="I963" s="12"/>
      <c r="K963" s="51"/>
    </row>
    <row r="964" ht="13.5" customHeight="1">
      <c r="E964" s="51"/>
      <c r="F964" s="12"/>
      <c r="G964" s="74"/>
      <c r="I964" s="12"/>
      <c r="K964" s="51"/>
    </row>
    <row r="965" ht="13.5" customHeight="1">
      <c r="E965" s="51"/>
      <c r="F965" s="12"/>
      <c r="G965" s="74"/>
      <c r="I965" s="12"/>
      <c r="K965" s="51"/>
    </row>
    <row r="966" ht="13.5" customHeight="1">
      <c r="E966" s="51"/>
      <c r="F966" s="12"/>
      <c r="G966" s="74"/>
      <c r="I966" s="12"/>
      <c r="K966" s="51"/>
    </row>
    <row r="967" ht="13.5" customHeight="1">
      <c r="E967" s="51"/>
      <c r="F967" s="12"/>
      <c r="G967" s="74"/>
      <c r="I967" s="12"/>
      <c r="K967" s="51"/>
    </row>
    <row r="968" ht="13.5" customHeight="1">
      <c r="E968" s="51"/>
      <c r="F968" s="12"/>
      <c r="G968" s="74"/>
      <c r="I968" s="12"/>
      <c r="K968" s="51"/>
    </row>
    <row r="969" ht="13.5" customHeight="1">
      <c r="E969" s="51"/>
      <c r="F969" s="12"/>
      <c r="G969" s="74"/>
      <c r="I969" s="12"/>
      <c r="K969" s="51"/>
    </row>
    <row r="970" ht="13.5" customHeight="1">
      <c r="E970" s="51"/>
      <c r="F970" s="12"/>
      <c r="G970" s="74"/>
      <c r="I970" s="12"/>
      <c r="K970" s="51"/>
    </row>
    <row r="971" ht="13.5" customHeight="1">
      <c r="E971" s="51"/>
      <c r="F971" s="12"/>
      <c r="G971" s="74"/>
      <c r="I971" s="12"/>
      <c r="K971" s="51"/>
    </row>
    <row r="972" ht="13.5" customHeight="1">
      <c r="E972" s="51"/>
      <c r="F972" s="12"/>
      <c r="G972" s="74"/>
      <c r="I972" s="12"/>
      <c r="K972" s="51"/>
    </row>
    <row r="973" ht="13.5" customHeight="1">
      <c r="E973" s="51"/>
      <c r="F973" s="12"/>
      <c r="G973" s="74"/>
      <c r="I973" s="12"/>
      <c r="K973" s="51"/>
    </row>
    <row r="974" ht="13.5" customHeight="1">
      <c r="E974" s="51"/>
      <c r="F974" s="12"/>
      <c r="G974" s="74"/>
      <c r="I974" s="12"/>
      <c r="K974" s="51"/>
    </row>
    <row r="975" ht="13.5" customHeight="1">
      <c r="E975" s="51"/>
      <c r="F975" s="12"/>
      <c r="G975" s="74"/>
      <c r="I975" s="12"/>
      <c r="K975" s="51"/>
    </row>
    <row r="976" ht="13.5" customHeight="1">
      <c r="E976" s="51"/>
      <c r="F976" s="12"/>
      <c r="G976" s="74"/>
      <c r="I976" s="12"/>
      <c r="K976" s="51"/>
    </row>
    <row r="977" ht="13.5" customHeight="1">
      <c r="E977" s="51"/>
      <c r="F977" s="12"/>
      <c r="G977" s="74"/>
      <c r="I977" s="12"/>
      <c r="K977" s="51"/>
    </row>
    <row r="978" ht="13.5" customHeight="1">
      <c r="E978" s="51"/>
      <c r="F978" s="12"/>
      <c r="G978" s="74"/>
      <c r="I978" s="12"/>
      <c r="K978" s="51"/>
    </row>
    <row r="979" ht="13.5" customHeight="1">
      <c r="E979" s="51"/>
      <c r="F979" s="12"/>
      <c r="G979" s="74"/>
      <c r="I979" s="12"/>
      <c r="K979" s="51"/>
    </row>
    <row r="980" ht="13.5" customHeight="1">
      <c r="E980" s="51"/>
      <c r="F980" s="12"/>
      <c r="G980" s="74"/>
      <c r="I980" s="12"/>
      <c r="K980" s="51"/>
    </row>
    <row r="981" ht="13.5" customHeight="1">
      <c r="E981" s="51"/>
      <c r="F981" s="12"/>
      <c r="G981" s="74"/>
      <c r="I981" s="12"/>
      <c r="K981" s="51"/>
    </row>
    <row r="982" ht="13.5" customHeight="1">
      <c r="E982" s="51"/>
      <c r="F982" s="12"/>
      <c r="G982" s="74"/>
      <c r="I982" s="12"/>
      <c r="K982" s="51"/>
    </row>
    <row r="983" ht="13.5" customHeight="1">
      <c r="E983" s="51"/>
      <c r="F983" s="12"/>
      <c r="G983" s="74"/>
      <c r="I983" s="12"/>
      <c r="K983" s="51"/>
    </row>
    <row r="984" ht="13.5" customHeight="1">
      <c r="E984" s="51"/>
      <c r="F984" s="12"/>
      <c r="G984" s="74"/>
      <c r="I984" s="12"/>
      <c r="K984" s="51"/>
    </row>
    <row r="985" ht="13.5" customHeight="1">
      <c r="E985" s="51"/>
      <c r="F985" s="12"/>
      <c r="G985" s="74"/>
      <c r="I985" s="12"/>
      <c r="K985" s="51"/>
    </row>
    <row r="986" ht="13.5" customHeight="1">
      <c r="E986" s="51"/>
      <c r="F986" s="12"/>
      <c r="G986" s="74"/>
      <c r="I986" s="12"/>
      <c r="K986" s="51"/>
    </row>
    <row r="987" ht="13.5" customHeight="1">
      <c r="E987" s="51"/>
      <c r="F987" s="12"/>
      <c r="G987" s="74"/>
      <c r="I987" s="12"/>
      <c r="K987" s="51"/>
    </row>
    <row r="988" ht="13.5" customHeight="1">
      <c r="E988" s="51"/>
      <c r="F988" s="12"/>
      <c r="G988" s="74"/>
      <c r="I988" s="12"/>
      <c r="K988" s="51"/>
    </row>
    <row r="989" ht="13.5" customHeight="1">
      <c r="E989" s="51"/>
      <c r="F989" s="12"/>
      <c r="G989" s="74"/>
      <c r="I989" s="12"/>
      <c r="K989" s="51"/>
    </row>
    <row r="990" ht="13.5" customHeight="1">
      <c r="E990" s="51"/>
      <c r="F990" s="12"/>
      <c r="G990" s="74"/>
      <c r="I990" s="12"/>
      <c r="K990" s="51"/>
    </row>
    <row r="991" ht="13.5" customHeight="1">
      <c r="E991" s="51"/>
      <c r="F991" s="12"/>
      <c r="G991" s="74"/>
      <c r="I991" s="12"/>
      <c r="K991" s="51"/>
    </row>
    <row r="992" ht="13.5" customHeight="1">
      <c r="E992" s="51"/>
      <c r="F992" s="12"/>
      <c r="G992" s="74"/>
      <c r="I992" s="12"/>
      <c r="K992" s="51"/>
    </row>
    <row r="993" ht="13.5" customHeight="1">
      <c r="E993" s="51"/>
      <c r="F993" s="12"/>
      <c r="G993" s="74"/>
      <c r="I993" s="12"/>
      <c r="K993" s="51"/>
    </row>
    <row r="994" ht="13.5" customHeight="1">
      <c r="E994" s="51"/>
      <c r="F994" s="12"/>
      <c r="G994" s="74"/>
      <c r="I994" s="12"/>
      <c r="K994" s="51"/>
    </row>
    <row r="995" ht="13.5" customHeight="1">
      <c r="E995" s="51"/>
      <c r="F995" s="12"/>
      <c r="G995" s="74"/>
      <c r="I995" s="12"/>
      <c r="K995" s="51"/>
    </row>
    <row r="996" ht="13.5" customHeight="1">
      <c r="E996" s="51"/>
      <c r="F996" s="12"/>
      <c r="G996" s="74"/>
      <c r="I996" s="12"/>
      <c r="K996" s="51"/>
    </row>
    <row r="997" ht="13.5" customHeight="1">
      <c r="E997" s="51"/>
      <c r="F997" s="12"/>
      <c r="G997" s="74"/>
      <c r="I997" s="12"/>
      <c r="K997" s="51"/>
    </row>
    <row r="998" ht="13.5" customHeight="1">
      <c r="E998" s="51"/>
      <c r="F998" s="12"/>
      <c r="G998" s="74"/>
      <c r="I998" s="12"/>
      <c r="K998" s="51"/>
    </row>
    <row r="999" ht="13.5" customHeight="1">
      <c r="E999" s="51"/>
      <c r="F999" s="12"/>
      <c r="G999" s="74"/>
      <c r="I999" s="12"/>
      <c r="K999" s="51"/>
    </row>
    <row r="1000" ht="13.5" customHeight="1">
      <c r="E1000" s="51"/>
      <c r="F1000" s="12"/>
      <c r="G1000" s="74"/>
      <c r="I1000" s="12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15.75"/>
    <col customWidth="1" min="3" max="3" width="10.13"/>
    <col customWidth="1" min="4" max="4" width="12.0"/>
    <col customWidth="1" min="5" max="5" width="16.5"/>
    <col customWidth="1" min="6" max="6" width="9.38"/>
    <col customWidth="1" min="7" max="7" width="27.5"/>
    <col customWidth="1" min="8" max="9" width="7.38"/>
    <col customWidth="1" min="10" max="10" width="27.38"/>
    <col customWidth="1" min="11" max="11" width="15.5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46206.0</v>
      </c>
      <c r="E2" s="17">
        <v>199925.3</v>
      </c>
      <c r="F2" s="14" t="s">
        <v>10</v>
      </c>
      <c r="G2" s="14" t="s">
        <v>11</v>
      </c>
      <c r="H2" s="14"/>
      <c r="I2" s="14"/>
      <c r="J2" s="21">
        <v>183110.0</v>
      </c>
      <c r="K2" s="23">
        <v>520418.63</v>
      </c>
    </row>
    <row r="3" ht="13.5" customHeight="1">
      <c r="A3" s="14">
        <v>2.0</v>
      </c>
      <c r="B3" s="14" t="s">
        <v>9</v>
      </c>
      <c r="C3" s="14">
        <v>2060855.0</v>
      </c>
      <c r="D3" s="16">
        <v>46206.0</v>
      </c>
      <c r="E3" s="17">
        <v>1.447E7</v>
      </c>
      <c r="F3" s="14" t="s">
        <v>13</v>
      </c>
      <c r="G3" s="14" t="s">
        <v>11</v>
      </c>
      <c r="H3" s="14"/>
      <c r="I3" s="14"/>
      <c r="J3" s="21">
        <v>183111.0</v>
      </c>
      <c r="K3" s="29">
        <v>7315492.960000003</v>
      </c>
    </row>
    <row r="4" ht="13.5" customHeight="1">
      <c r="A4" s="30">
        <v>3.0</v>
      </c>
      <c r="B4" s="30" t="s">
        <v>16</v>
      </c>
      <c r="C4" s="30">
        <v>2090821.0</v>
      </c>
      <c r="D4" s="31">
        <v>46206.0</v>
      </c>
      <c r="E4" s="32">
        <v>12590.2</v>
      </c>
      <c r="F4" s="30" t="s">
        <v>17</v>
      </c>
      <c r="G4" s="30" t="s">
        <v>19</v>
      </c>
      <c r="H4" s="14"/>
      <c r="I4" s="14"/>
      <c r="J4" s="21">
        <v>183114.0</v>
      </c>
      <c r="K4" s="29">
        <v>2341.4</v>
      </c>
    </row>
    <row r="5" ht="13.5" customHeight="1">
      <c r="A5" s="14">
        <v>8.0</v>
      </c>
      <c r="B5" s="14" t="s">
        <v>20</v>
      </c>
      <c r="C5" s="14">
        <v>1170470.0</v>
      </c>
      <c r="D5" s="16">
        <v>46206.0</v>
      </c>
      <c r="E5" s="17">
        <v>73.0</v>
      </c>
      <c r="F5" s="14"/>
      <c r="G5" s="14" t="s">
        <v>11</v>
      </c>
      <c r="H5" s="14"/>
      <c r="I5" s="14"/>
      <c r="J5" s="21">
        <v>183121.0</v>
      </c>
      <c r="K5" s="29">
        <v>1868804.2200000004</v>
      </c>
    </row>
    <row r="6" ht="13.5" customHeight="1">
      <c r="A6" s="14">
        <v>9.0</v>
      </c>
      <c r="B6" s="14" t="s">
        <v>20</v>
      </c>
      <c r="C6" s="14">
        <v>1170470.0</v>
      </c>
      <c r="D6" s="16">
        <v>46206.0</v>
      </c>
      <c r="E6" s="17">
        <v>73.0</v>
      </c>
      <c r="F6" s="14"/>
      <c r="G6" s="14" t="s">
        <v>11</v>
      </c>
      <c r="H6" s="14"/>
      <c r="I6" s="14"/>
      <c r="J6" s="21">
        <v>183126.0</v>
      </c>
      <c r="K6" s="29">
        <v>154.71</v>
      </c>
    </row>
    <row r="7" ht="13.5" customHeight="1">
      <c r="A7" s="14">
        <v>10.0</v>
      </c>
      <c r="B7" s="14" t="s">
        <v>20</v>
      </c>
      <c r="C7" s="14">
        <v>1170470.0</v>
      </c>
      <c r="D7" s="16">
        <v>46206.0</v>
      </c>
      <c r="E7" s="17">
        <v>73.0</v>
      </c>
      <c r="F7" s="14"/>
      <c r="G7" s="14" t="s">
        <v>11</v>
      </c>
      <c r="H7" s="14"/>
      <c r="I7" s="14"/>
      <c r="J7" s="21">
        <v>183138.0</v>
      </c>
      <c r="K7" s="29">
        <v>286208.14999999973</v>
      </c>
    </row>
    <row r="8" ht="13.5" customHeight="1">
      <c r="A8" s="14">
        <v>11.0</v>
      </c>
      <c r="B8" s="14" t="s">
        <v>20</v>
      </c>
      <c r="C8" s="14">
        <v>1170470.0</v>
      </c>
      <c r="D8" s="16">
        <v>46206.0</v>
      </c>
      <c r="E8" s="17">
        <v>73.0</v>
      </c>
      <c r="F8" s="14"/>
      <c r="G8" s="14" t="s">
        <v>11</v>
      </c>
      <c r="H8" s="14"/>
      <c r="I8" s="14"/>
      <c r="J8" s="21" t="s">
        <v>24</v>
      </c>
      <c r="K8" s="29">
        <v>1125.0</v>
      </c>
    </row>
    <row r="9" ht="13.5" customHeight="1">
      <c r="A9" s="14">
        <v>12.0</v>
      </c>
      <c r="B9" s="14" t="s">
        <v>20</v>
      </c>
      <c r="C9" s="14">
        <v>1170470.0</v>
      </c>
      <c r="D9" s="16">
        <v>46206.0</v>
      </c>
      <c r="E9" s="17">
        <v>73.0</v>
      </c>
      <c r="F9" s="14"/>
      <c r="G9" s="14" t="s">
        <v>11</v>
      </c>
      <c r="H9" s="14"/>
      <c r="I9" s="14"/>
      <c r="J9" s="21" t="s">
        <v>25</v>
      </c>
      <c r="K9" s="29">
        <v>854.06</v>
      </c>
    </row>
    <row r="10" ht="13.5" customHeight="1">
      <c r="A10" s="14">
        <v>13.0</v>
      </c>
      <c r="B10" s="14" t="s">
        <v>20</v>
      </c>
      <c r="C10" s="14">
        <v>1170470.0</v>
      </c>
      <c r="D10" s="16">
        <v>46206.0</v>
      </c>
      <c r="E10" s="17">
        <v>73.0</v>
      </c>
      <c r="F10" s="14"/>
      <c r="G10" s="14" t="s">
        <v>11</v>
      </c>
      <c r="H10" s="14"/>
      <c r="I10" s="14"/>
      <c r="J10" s="23" t="s">
        <v>27</v>
      </c>
      <c r="K10" s="45">
        <v>1078.8</v>
      </c>
    </row>
    <row r="11" ht="13.5" customHeight="1">
      <c r="A11" s="14">
        <v>14.0</v>
      </c>
      <c r="B11" s="14" t="s">
        <v>20</v>
      </c>
      <c r="C11" s="14">
        <v>1170470.0</v>
      </c>
      <c r="D11" s="16">
        <v>46206.0</v>
      </c>
      <c r="E11" s="17">
        <v>200000.0</v>
      </c>
      <c r="F11" s="14"/>
      <c r="G11" s="14" t="s">
        <v>11</v>
      </c>
      <c r="H11" s="14"/>
      <c r="I11" s="14"/>
      <c r="J11" s="23" t="s">
        <v>28</v>
      </c>
      <c r="K11" s="45">
        <v>4900.0</v>
      </c>
    </row>
    <row r="12" ht="13.5" customHeight="1">
      <c r="A12" s="23">
        <v>19.0</v>
      </c>
      <c r="B12" s="23" t="s">
        <v>20</v>
      </c>
      <c r="C12" s="23">
        <v>1040211.0</v>
      </c>
      <c r="D12" s="49">
        <v>46206.0</v>
      </c>
      <c r="E12" s="29">
        <v>6459780.19</v>
      </c>
      <c r="F12" s="23"/>
      <c r="G12" s="23" t="s">
        <v>19</v>
      </c>
      <c r="H12" s="14"/>
      <c r="I12" s="14"/>
      <c r="J12" s="23" t="s">
        <v>32</v>
      </c>
      <c r="K12" s="23">
        <v>738.98</v>
      </c>
    </row>
    <row r="13" ht="13.5" customHeight="1">
      <c r="A13" s="23">
        <v>22.0</v>
      </c>
      <c r="B13" s="23"/>
      <c r="C13" s="23"/>
      <c r="D13" s="49"/>
      <c r="E13" s="29">
        <v>1125.0</v>
      </c>
      <c r="F13" s="23"/>
      <c r="G13" s="23" t="s">
        <v>19</v>
      </c>
      <c r="H13" s="14"/>
      <c r="I13" s="14"/>
      <c r="J13" s="23" t="s">
        <v>37</v>
      </c>
      <c r="K13" s="45">
        <v>2013.69</v>
      </c>
    </row>
    <row r="14" ht="13.5" customHeight="1">
      <c r="A14" s="23">
        <v>23.0</v>
      </c>
      <c r="B14" s="23" t="s">
        <v>20</v>
      </c>
      <c r="C14" s="23">
        <v>1200393.0</v>
      </c>
      <c r="D14" s="49">
        <v>46206.0</v>
      </c>
      <c r="E14" s="29">
        <v>20393.99</v>
      </c>
      <c r="F14" s="23"/>
      <c r="G14" s="23" t="s">
        <v>19</v>
      </c>
      <c r="H14" s="14"/>
      <c r="I14" s="14"/>
      <c r="J14" s="23" t="s">
        <v>42</v>
      </c>
      <c r="K14" s="23">
        <v>567.21</v>
      </c>
    </row>
    <row r="15" ht="13.5" customHeight="1">
      <c r="A15" s="23">
        <v>24.0</v>
      </c>
      <c r="B15" s="23" t="s">
        <v>20</v>
      </c>
      <c r="C15" s="23">
        <v>1040211.0</v>
      </c>
      <c r="D15" s="49">
        <v>46206.0</v>
      </c>
      <c r="E15" s="29">
        <v>265814.16</v>
      </c>
      <c r="F15" s="23"/>
      <c r="G15" s="23" t="s">
        <v>19</v>
      </c>
      <c r="H15" s="14"/>
      <c r="I15" s="14"/>
      <c r="J15" s="14">
        <v>183647.0</v>
      </c>
      <c r="K15" s="56">
        <v>195515.77</v>
      </c>
    </row>
    <row r="16" ht="13.5" customHeight="1">
      <c r="A16" s="23">
        <v>25.0</v>
      </c>
      <c r="B16" s="23" t="s">
        <v>20</v>
      </c>
      <c r="C16" s="23">
        <v>1040211.0</v>
      </c>
      <c r="D16" s="49">
        <v>46206.0</v>
      </c>
      <c r="E16" s="29">
        <v>1868804.22</v>
      </c>
      <c r="F16" s="23"/>
      <c r="G16" s="23" t="s">
        <v>19</v>
      </c>
      <c r="H16" s="14"/>
      <c r="I16" s="14"/>
      <c r="J16" s="17"/>
      <c r="K16" s="14"/>
    </row>
    <row r="17" ht="13.5" customHeight="1">
      <c r="A17" s="23">
        <v>31.0</v>
      </c>
      <c r="B17" s="23" t="s">
        <v>20</v>
      </c>
      <c r="C17" s="23">
        <v>1040211.0</v>
      </c>
      <c r="D17" s="49">
        <v>46206.0</v>
      </c>
      <c r="E17" s="29">
        <v>154.71</v>
      </c>
      <c r="F17" s="23"/>
      <c r="G17" s="23" t="s">
        <v>19</v>
      </c>
      <c r="H17" s="14"/>
      <c r="I17" s="14"/>
      <c r="J17" s="14"/>
      <c r="K17" s="14"/>
    </row>
    <row r="18" ht="13.5" customHeight="1">
      <c r="A18" s="23">
        <v>32.0</v>
      </c>
      <c r="B18" s="23" t="s">
        <v>20</v>
      </c>
      <c r="C18" s="23">
        <v>1200393.0</v>
      </c>
      <c r="D18" s="49">
        <v>46206.0</v>
      </c>
      <c r="E18" s="29">
        <v>67843.76</v>
      </c>
      <c r="F18" s="23"/>
      <c r="G18" s="23" t="s">
        <v>19</v>
      </c>
      <c r="H18" s="14"/>
      <c r="I18" s="14"/>
      <c r="J18" s="14"/>
      <c r="K18" s="14"/>
    </row>
    <row r="19" ht="13.5" customHeight="1">
      <c r="A19" s="23">
        <v>33.0</v>
      </c>
      <c r="B19" s="23" t="s">
        <v>20</v>
      </c>
      <c r="C19" s="23">
        <v>1040211.0</v>
      </c>
      <c r="D19" s="49">
        <v>46206.0</v>
      </c>
      <c r="E19" s="29">
        <v>452574.87</v>
      </c>
      <c r="F19" s="23"/>
      <c r="G19" s="23" t="s">
        <v>19</v>
      </c>
      <c r="H19" s="14"/>
      <c r="I19" s="14"/>
      <c r="J19" s="14"/>
      <c r="K19" s="14"/>
    </row>
    <row r="20" ht="13.5" customHeight="1">
      <c r="A20" s="23">
        <v>34.0</v>
      </c>
      <c r="B20" s="23" t="s">
        <v>20</v>
      </c>
      <c r="C20" s="23">
        <v>1200393.0</v>
      </c>
      <c r="D20" s="49">
        <v>46206.0</v>
      </c>
      <c r="E20" s="29">
        <v>12302.8</v>
      </c>
      <c r="F20" s="23"/>
      <c r="G20" s="23" t="s">
        <v>19</v>
      </c>
      <c r="H20" s="14"/>
      <c r="I20" s="14"/>
      <c r="J20" s="14"/>
      <c r="K20" s="14"/>
    </row>
    <row r="21" ht="13.5" customHeight="1">
      <c r="A21" s="23">
        <v>35.0</v>
      </c>
      <c r="B21" s="23" t="s">
        <v>20</v>
      </c>
      <c r="C21" s="23">
        <v>1200393.0</v>
      </c>
      <c r="D21" s="49">
        <v>46206.0</v>
      </c>
      <c r="E21" s="29">
        <v>843409.97</v>
      </c>
      <c r="F21" s="23"/>
      <c r="G21" s="23" t="s">
        <v>19</v>
      </c>
      <c r="H21" s="14"/>
      <c r="I21" s="14"/>
      <c r="J21" s="14"/>
      <c r="K21" s="14"/>
    </row>
    <row r="22" ht="13.5" customHeight="1">
      <c r="A22" s="14">
        <v>37.0</v>
      </c>
      <c r="B22" s="14" t="s">
        <v>47</v>
      </c>
      <c r="C22" s="14">
        <v>1040500.0</v>
      </c>
      <c r="D22" s="16">
        <v>46206.0</v>
      </c>
      <c r="E22" s="17">
        <v>1800.0</v>
      </c>
      <c r="F22" s="14"/>
      <c r="G22" s="14" t="s">
        <v>19</v>
      </c>
      <c r="H22" s="14"/>
      <c r="I22" s="14"/>
      <c r="J22" s="14"/>
      <c r="K22" s="14"/>
    </row>
    <row r="23" ht="13.5" customHeight="1">
      <c r="A23" s="14">
        <v>38.0</v>
      </c>
      <c r="B23" s="14" t="s">
        <v>47</v>
      </c>
      <c r="C23" s="14">
        <v>1040500.0</v>
      </c>
      <c r="D23" s="16">
        <v>46206.0</v>
      </c>
      <c r="E23" s="17">
        <v>4385.16</v>
      </c>
      <c r="F23" s="14"/>
      <c r="G23" s="14" t="s">
        <v>19</v>
      </c>
      <c r="H23" s="14"/>
      <c r="I23" s="14"/>
      <c r="J23" s="14"/>
      <c r="K23" s="14"/>
    </row>
    <row r="24" ht="13.5" customHeight="1">
      <c r="A24" s="23">
        <v>39.0</v>
      </c>
      <c r="B24" s="23" t="s">
        <v>47</v>
      </c>
      <c r="C24" s="23">
        <v>1040500.0</v>
      </c>
      <c r="D24" s="49">
        <v>46206.0</v>
      </c>
      <c r="E24" s="29">
        <v>1078.8</v>
      </c>
      <c r="F24" s="23"/>
      <c r="G24" s="23" t="s">
        <v>48</v>
      </c>
      <c r="H24" s="14"/>
      <c r="I24" s="14"/>
      <c r="J24" s="14"/>
      <c r="K24" s="14"/>
    </row>
    <row r="25" ht="13.5" customHeight="1">
      <c r="A25" s="23">
        <v>40.0</v>
      </c>
      <c r="B25" s="23" t="s">
        <v>47</v>
      </c>
      <c r="C25" s="23">
        <v>1040500.0</v>
      </c>
      <c r="D25" s="49">
        <v>46206.0</v>
      </c>
      <c r="E25" s="29">
        <v>738.98</v>
      </c>
      <c r="F25" s="23"/>
      <c r="G25" s="23" t="s">
        <v>48</v>
      </c>
      <c r="H25" s="14"/>
      <c r="I25" s="14"/>
      <c r="J25" s="14"/>
      <c r="K25" s="14"/>
    </row>
    <row r="26" ht="13.5" customHeight="1">
      <c r="A26" s="23">
        <v>41.0</v>
      </c>
      <c r="B26" s="23" t="s">
        <v>47</v>
      </c>
      <c r="C26" s="23">
        <v>1040500.0</v>
      </c>
      <c r="D26" s="49">
        <v>46206.0</v>
      </c>
      <c r="E26" s="29">
        <v>4900.0</v>
      </c>
      <c r="F26" s="23"/>
      <c r="G26" s="23" t="s">
        <v>48</v>
      </c>
      <c r="H26" s="14"/>
      <c r="I26" s="14"/>
      <c r="J26" s="14"/>
      <c r="K26" s="14"/>
    </row>
    <row r="27" ht="13.5" customHeight="1">
      <c r="A27" s="23">
        <v>42.0</v>
      </c>
      <c r="B27" s="23" t="s">
        <v>47</v>
      </c>
      <c r="C27" s="23">
        <v>1040500.0</v>
      </c>
      <c r="D27" s="49">
        <v>46206.0</v>
      </c>
      <c r="E27" s="29">
        <v>567.21</v>
      </c>
      <c r="F27" s="23"/>
      <c r="G27" s="23" t="s">
        <v>48</v>
      </c>
      <c r="H27" s="14"/>
      <c r="I27" s="14"/>
      <c r="J27" s="14"/>
      <c r="K27" s="14"/>
    </row>
    <row r="28" ht="13.5" customHeight="1">
      <c r="A28" s="23">
        <v>43.0</v>
      </c>
      <c r="B28" s="23" t="s">
        <v>47</v>
      </c>
      <c r="C28" s="23">
        <v>1040500.0</v>
      </c>
      <c r="D28" s="49">
        <v>46206.0</v>
      </c>
      <c r="E28" s="29">
        <v>2013.69</v>
      </c>
      <c r="F28" s="23"/>
      <c r="G28" s="23" t="s">
        <v>48</v>
      </c>
      <c r="H28" s="14"/>
      <c r="I28" s="14"/>
      <c r="J28" s="14"/>
      <c r="K28" s="14"/>
    </row>
    <row r="29" ht="13.5" customHeight="1">
      <c r="A29" s="23">
        <v>44.0</v>
      </c>
      <c r="B29" s="23" t="s">
        <v>20</v>
      </c>
      <c r="C29" s="23">
        <v>1040375.0</v>
      </c>
      <c r="D29" s="49">
        <v>46206.0</v>
      </c>
      <c r="E29" s="29">
        <v>2742.05</v>
      </c>
      <c r="F29" s="33"/>
      <c r="G29" s="23" t="s">
        <v>19</v>
      </c>
      <c r="H29" s="14"/>
      <c r="I29" s="14"/>
      <c r="J29" s="14"/>
      <c r="K29" s="14"/>
    </row>
    <row r="30" ht="13.5" customHeight="1">
      <c r="A30" s="23">
        <v>45.0</v>
      </c>
      <c r="B30" s="23" t="s">
        <v>20</v>
      </c>
      <c r="C30" s="23">
        <v>1040375.0</v>
      </c>
      <c r="D30" s="49">
        <v>46206.0</v>
      </c>
      <c r="E30" s="29">
        <v>518.58</v>
      </c>
      <c r="F30" s="33"/>
      <c r="G30" s="23" t="s">
        <v>19</v>
      </c>
      <c r="H30" s="14"/>
      <c r="I30" s="14"/>
      <c r="J30" s="14"/>
      <c r="K30" s="14"/>
    </row>
    <row r="31" ht="13.5" customHeight="1">
      <c r="A31" s="23">
        <v>46.0</v>
      </c>
      <c r="B31" s="23" t="s">
        <v>20</v>
      </c>
      <c r="C31" s="23">
        <v>1040375.0</v>
      </c>
      <c r="D31" s="49">
        <v>46206.0</v>
      </c>
      <c r="E31" s="29">
        <v>195515.77</v>
      </c>
      <c r="F31" s="33"/>
      <c r="G31" s="23" t="s">
        <v>19</v>
      </c>
      <c r="H31" s="14"/>
      <c r="I31" s="14"/>
      <c r="J31" s="14"/>
      <c r="K31" s="14"/>
    </row>
    <row r="32" ht="13.5" customHeight="1">
      <c r="A32" s="23">
        <v>48.0</v>
      </c>
      <c r="B32" s="23" t="s">
        <v>20</v>
      </c>
      <c r="C32" s="23">
        <v>1040109.0</v>
      </c>
      <c r="D32" s="49">
        <v>46206.0</v>
      </c>
      <c r="E32" s="29">
        <v>407.2</v>
      </c>
      <c r="F32" s="33"/>
      <c r="G32" s="23" t="s">
        <v>19</v>
      </c>
      <c r="H32" s="14"/>
      <c r="I32" s="14"/>
      <c r="J32" s="14"/>
      <c r="K32" s="14"/>
    </row>
    <row r="33" ht="13.5" customHeight="1">
      <c r="A33" s="23">
        <v>49.0</v>
      </c>
      <c r="B33" s="23" t="s">
        <v>20</v>
      </c>
      <c r="C33" s="23">
        <v>1040109.0</v>
      </c>
      <c r="D33" s="49">
        <v>46206.0</v>
      </c>
      <c r="E33" s="29">
        <v>461.2</v>
      </c>
      <c r="F33" s="33"/>
      <c r="G33" s="23" t="s">
        <v>19</v>
      </c>
      <c r="H33" s="14"/>
      <c r="I33" s="14"/>
      <c r="J33" s="14"/>
      <c r="K33" s="14"/>
    </row>
    <row r="34" ht="13.5" customHeight="1">
      <c r="A34" s="23">
        <v>50.0</v>
      </c>
      <c r="B34" s="23" t="s">
        <v>20</v>
      </c>
      <c r="C34" s="23">
        <v>1040109.0</v>
      </c>
      <c r="D34" s="49">
        <v>46206.0</v>
      </c>
      <c r="E34" s="29">
        <v>461.2</v>
      </c>
      <c r="F34" s="33"/>
      <c r="G34" s="23" t="s">
        <v>19</v>
      </c>
      <c r="H34" s="14"/>
      <c r="I34" s="14"/>
      <c r="J34" s="14"/>
      <c r="K34" s="14"/>
    </row>
    <row r="35" ht="13.5" customHeight="1">
      <c r="A35" s="23">
        <v>51.0</v>
      </c>
      <c r="B35" s="23" t="s">
        <v>20</v>
      </c>
      <c r="C35" s="23">
        <v>1040109.0</v>
      </c>
      <c r="D35" s="49">
        <v>46206.0</v>
      </c>
      <c r="E35" s="29">
        <v>461.2</v>
      </c>
      <c r="F35" s="33"/>
      <c r="G35" s="23" t="s">
        <v>19</v>
      </c>
      <c r="H35" s="14"/>
      <c r="I35" s="14"/>
      <c r="J35" s="14"/>
      <c r="K35" s="14"/>
    </row>
    <row r="36" ht="13.5" customHeight="1">
      <c r="A36" s="23">
        <v>52.0</v>
      </c>
      <c r="B36" s="23" t="s">
        <v>20</v>
      </c>
      <c r="C36" s="23">
        <v>1040109.0</v>
      </c>
      <c r="D36" s="49">
        <v>46206.0</v>
      </c>
      <c r="E36" s="29">
        <v>550.6</v>
      </c>
      <c r="F36" s="33"/>
      <c r="G36" s="23" t="s">
        <v>19</v>
      </c>
      <c r="H36" s="14"/>
      <c r="I36" s="14"/>
      <c r="J36" s="14"/>
      <c r="K36" s="14"/>
    </row>
    <row r="37" ht="13.5" customHeight="1">
      <c r="A37" s="23">
        <v>61.0</v>
      </c>
      <c r="B37" s="23" t="s">
        <v>20</v>
      </c>
      <c r="C37" s="23">
        <v>1040375.0</v>
      </c>
      <c r="D37" s="49">
        <v>46206.0</v>
      </c>
      <c r="E37" s="29">
        <v>843.59</v>
      </c>
      <c r="F37" s="33"/>
      <c r="G37" s="23" t="s">
        <v>19</v>
      </c>
      <c r="H37" s="14"/>
      <c r="I37" s="14"/>
      <c r="J37" s="14"/>
      <c r="K37" s="14"/>
    </row>
    <row r="38" ht="13.5" customHeight="1">
      <c r="A38" s="23">
        <v>62.0</v>
      </c>
      <c r="B38" s="23" t="s">
        <v>20</v>
      </c>
      <c r="C38" s="23">
        <v>1040375.0</v>
      </c>
      <c r="D38" s="49">
        <v>46206.0</v>
      </c>
      <c r="E38" s="29">
        <v>10.47</v>
      </c>
      <c r="F38" s="33"/>
      <c r="G38" s="23" t="s">
        <v>19</v>
      </c>
      <c r="H38" s="14"/>
      <c r="I38" s="14"/>
      <c r="J38" s="14"/>
      <c r="K38" s="14"/>
    </row>
    <row r="39" ht="13.5" customHeight="1">
      <c r="A39" s="14">
        <v>63.0</v>
      </c>
      <c r="B39" s="14" t="s">
        <v>20</v>
      </c>
      <c r="C39" s="14">
        <v>1040124.0</v>
      </c>
      <c r="D39" s="16">
        <v>46206.0</v>
      </c>
      <c r="E39" s="17">
        <v>12.2</v>
      </c>
      <c r="F39" s="15"/>
      <c r="G39" s="14" t="s">
        <v>19</v>
      </c>
      <c r="H39" s="14"/>
      <c r="I39" s="14"/>
      <c r="J39" s="14"/>
      <c r="K39" s="14"/>
    </row>
    <row r="40" ht="13.5" customHeight="1">
      <c r="A40" s="14"/>
      <c r="B40" s="14"/>
      <c r="C40" s="14"/>
      <c r="D40" s="14"/>
      <c r="E40" s="17"/>
      <c r="F40" s="15"/>
      <c r="G40" s="14"/>
      <c r="H40" s="14"/>
      <c r="I40" s="14"/>
      <c r="J40" s="14"/>
      <c r="K40" s="14"/>
    </row>
    <row r="41" ht="13.5" customHeight="1">
      <c r="A41" s="14"/>
      <c r="B41" s="14"/>
      <c r="C41" s="14"/>
      <c r="D41" s="14"/>
      <c r="E41" s="17"/>
      <c r="F41" s="15"/>
      <c r="G41" s="14"/>
      <c r="H41" s="14"/>
      <c r="I41" s="14"/>
      <c r="J41" s="14"/>
      <c r="K41" s="14"/>
    </row>
    <row r="42" ht="13.5" customHeight="1">
      <c r="A42" s="14"/>
      <c r="B42" s="14"/>
      <c r="C42" s="14"/>
      <c r="D42" s="14"/>
      <c r="E42" s="17"/>
      <c r="F42" s="15"/>
      <c r="G42" s="14"/>
      <c r="H42" s="14"/>
      <c r="I42" s="14"/>
      <c r="J42" s="14"/>
      <c r="K42" s="14"/>
    </row>
    <row r="43" ht="13.5" customHeight="1">
      <c r="A43" s="14"/>
      <c r="B43" s="14"/>
      <c r="C43" s="14"/>
      <c r="D43" s="14"/>
      <c r="E43" s="17"/>
      <c r="F43" s="15"/>
      <c r="G43" s="14"/>
      <c r="H43" s="14"/>
      <c r="I43" s="14"/>
      <c r="J43" s="14"/>
      <c r="K43" s="14"/>
    </row>
    <row r="44" ht="13.5" customHeight="1">
      <c r="E44" s="51"/>
      <c r="F44" s="12"/>
    </row>
    <row r="45" ht="13.5" customHeight="1">
      <c r="E45" s="51"/>
      <c r="F45" s="12"/>
    </row>
    <row r="46" ht="13.5" customHeight="1">
      <c r="E46" s="51"/>
      <c r="F46" s="12"/>
    </row>
    <row r="47" ht="13.5" customHeight="1">
      <c r="E47" s="51"/>
      <c r="F47" s="12"/>
    </row>
    <row r="48" ht="13.5" customHeight="1">
      <c r="E48" s="51"/>
      <c r="F48" s="12"/>
    </row>
    <row r="49" ht="13.5" customHeight="1">
      <c r="E49" s="51"/>
      <c r="F49" s="12"/>
    </row>
    <row r="50" ht="13.5" customHeight="1">
      <c r="E50" s="51"/>
      <c r="F50" s="12"/>
    </row>
    <row r="51" ht="13.5" customHeight="1">
      <c r="E51" s="51"/>
      <c r="F51" s="12"/>
    </row>
    <row r="52" ht="13.5" customHeight="1">
      <c r="E52" s="51"/>
      <c r="F52" s="12"/>
    </row>
    <row r="53" ht="13.5" customHeight="1">
      <c r="E53" s="51"/>
      <c r="F53" s="12"/>
    </row>
    <row r="54" ht="13.5" customHeight="1">
      <c r="E54" s="51"/>
      <c r="F54" s="12"/>
    </row>
    <row r="55" ht="13.5" customHeight="1">
      <c r="E55" s="51"/>
      <c r="F55" s="12"/>
    </row>
    <row r="56" ht="13.5" customHeight="1">
      <c r="E56" s="51"/>
      <c r="F56" s="12"/>
    </row>
    <row r="57" ht="13.5" customHeight="1">
      <c r="E57" s="51"/>
      <c r="F57" s="12"/>
    </row>
    <row r="58" ht="13.5" customHeight="1">
      <c r="E58" s="51"/>
      <c r="F58" s="12"/>
    </row>
    <row r="59" ht="13.5" customHeight="1">
      <c r="E59" s="51"/>
      <c r="F59" s="12"/>
    </row>
    <row r="60" ht="13.5" customHeight="1">
      <c r="E60" s="51"/>
      <c r="F60" s="12"/>
    </row>
    <row r="61" ht="13.5" customHeight="1">
      <c r="E61" s="51"/>
      <c r="F61" s="12"/>
    </row>
    <row r="62" ht="13.5" customHeight="1">
      <c r="E62" s="51"/>
      <c r="F62" s="12"/>
    </row>
    <row r="63" ht="13.5" customHeight="1">
      <c r="E63" s="51"/>
      <c r="F63" s="12"/>
    </row>
    <row r="64" ht="13.5" customHeight="1">
      <c r="E64" s="51"/>
      <c r="F64" s="12"/>
    </row>
    <row r="65" ht="13.5" customHeight="1">
      <c r="E65" s="51"/>
      <c r="F65" s="12"/>
    </row>
    <row r="66" ht="13.5" customHeight="1">
      <c r="A66" s="63"/>
      <c r="B66" s="61"/>
      <c r="C66" s="64"/>
      <c r="D66" s="65"/>
      <c r="E66" s="67"/>
      <c r="F66" s="69"/>
      <c r="G66" s="61"/>
      <c r="H66" s="61"/>
      <c r="I66" s="61"/>
      <c r="J66" s="61"/>
      <c r="K66" s="61"/>
      <c r="L66" s="61"/>
    </row>
    <row r="67" ht="13.5" customHeight="1">
      <c r="A67" s="63"/>
      <c r="B67" s="61"/>
      <c r="C67" s="64"/>
      <c r="D67" s="65"/>
      <c r="E67" s="67"/>
      <c r="F67" s="69"/>
      <c r="G67" s="61"/>
      <c r="H67" s="61"/>
      <c r="I67" s="61"/>
      <c r="J67" s="61"/>
      <c r="K67" s="61"/>
      <c r="L67" s="61"/>
    </row>
    <row r="68" ht="13.5" customHeight="1">
      <c r="A68" s="63"/>
      <c r="B68" s="61"/>
      <c r="C68" s="64"/>
      <c r="D68" s="65"/>
      <c r="E68" s="67"/>
      <c r="F68" s="69"/>
      <c r="G68" s="61"/>
      <c r="H68" s="61"/>
      <c r="I68" s="61"/>
      <c r="J68" s="61"/>
      <c r="K68" s="61"/>
      <c r="L68" s="61"/>
    </row>
    <row r="69" ht="13.5" customHeight="1">
      <c r="A69" s="63"/>
      <c r="B69" s="61"/>
      <c r="C69" s="64"/>
      <c r="D69" s="65"/>
      <c r="E69" s="67"/>
      <c r="F69" s="69"/>
      <c r="G69" s="61"/>
      <c r="H69" s="61"/>
      <c r="I69" s="61"/>
      <c r="J69" s="61"/>
      <c r="K69" s="61"/>
      <c r="L69" s="61"/>
    </row>
    <row r="70" ht="13.5" customHeight="1">
      <c r="A70" s="63"/>
      <c r="B70" s="61"/>
      <c r="C70" s="64"/>
      <c r="D70" s="65"/>
      <c r="E70" s="67"/>
      <c r="F70" s="69"/>
      <c r="G70" s="61"/>
      <c r="H70" s="61"/>
      <c r="I70" s="61"/>
      <c r="J70" s="61"/>
      <c r="K70" s="61"/>
      <c r="L70" s="61"/>
    </row>
    <row r="71" ht="13.5" customHeight="1">
      <c r="A71" s="63"/>
      <c r="B71" s="61"/>
      <c r="C71" s="64"/>
      <c r="D71" s="65"/>
      <c r="E71" s="67"/>
      <c r="F71" s="69"/>
      <c r="G71" s="61"/>
      <c r="H71" s="61"/>
      <c r="I71" s="61"/>
      <c r="J71" s="61"/>
      <c r="K71" s="61"/>
      <c r="L71" s="61"/>
    </row>
    <row r="72" ht="13.5" customHeight="1">
      <c r="A72" s="63"/>
      <c r="B72" s="61"/>
      <c r="C72" s="64"/>
      <c r="D72" s="65"/>
      <c r="E72" s="67"/>
      <c r="F72" s="69"/>
      <c r="G72" s="61"/>
      <c r="H72" s="61"/>
      <c r="I72" s="61"/>
      <c r="J72" s="61"/>
      <c r="K72" s="61"/>
      <c r="L72" s="61"/>
    </row>
    <row r="73" ht="13.5" customHeight="1">
      <c r="A73" s="63"/>
      <c r="B73" s="61"/>
      <c r="C73" s="64"/>
      <c r="D73" s="65"/>
      <c r="E73" s="67"/>
      <c r="F73" s="69"/>
      <c r="G73" s="61"/>
      <c r="H73" s="61"/>
      <c r="I73" s="61"/>
      <c r="J73" s="61"/>
      <c r="K73" s="61"/>
      <c r="L73" s="61"/>
    </row>
    <row r="74" ht="13.5" customHeight="1">
      <c r="A74" s="63"/>
      <c r="B74" s="61"/>
      <c r="C74" s="64"/>
      <c r="D74" s="65"/>
      <c r="E74" s="67"/>
      <c r="F74" s="69"/>
      <c r="G74" s="61"/>
      <c r="H74" s="61"/>
      <c r="I74" s="61"/>
      <c r="J74" s="61"/>
      <c r="K74" s="61"/>
      <c r="L74" s="61"/>
    </row>
    <row r="75" ht="13.5" customHeight="1">
      <c r="A75" s="63"/>
      <c r="B75" s="61"/>
      <c r="C75" s="64"/>
      <c r="D75" s="65"/>
      <c r="E75" s="67"/>
      <c r="F75" s="69"/>
      <c r="G75" s="61"/>
      <c r="H75" s="61"/>
      <c r="I75" s="61"/>
      <c r="J75" s="61"/>
      <c r="K75" s="61"/>
      <c r="L75" s="61"/>
    </row>
    <row r="76" ht="13.5" customHeight="1">
      <c r="A76" s="63"/>
      <c r="B76" s="61"/>
      <c r="C76" s="64"/>
      <c r="D76" s="65"/>
      <c r="E76" s="67"/>
      <c r="F76" s="69"/>
      <c r="G76" s="61"/>
      <c r="H76" s="61"/>
      <c r="I76" s="61"/>
      <c r="J76" s="61"/>
      <c r="K76" s="61"/>
      <c r="L76" s="61"/>
    </row>
    <row r="77" ht="13.5" customHeight="1">
      <c r="A77" s="63"/>
      <c r="B77" s="61"/>
      <c r="C77" s="64"/>
      <c r="D77" s="65"/>
      <c r="E77" s="67"/>
      <c r="F77" s="69"/>
      <c r="G77" s="61"/>
      <c r="H77" s="61"/>
      <c r="I77" s="61"/>
      <c r="J77" s="61"/>
      <c r="K77" s="61"/>
      <c r="L77" s="61"/>
    </row>
    <row r="78" ht="13.5" customHeight="1">
      <c r="A78" s="63"/>
      <c r="B78" s="61"/>
      <c r="C78" s="64"/>
      <c r="D78" s="65"/>
      <c r="E78" s="67"/>
      <c r="F78" s="69"/>
      <c r="G78" s="61"/>
      <c r="H78" s="61"/>
      <c r="I78" s="61"/>
      <c r="J78" s="61"/>
      <c r="K78" s="61"/>
      <c r="L78" s="61"/>
    </row>
    <row r="79" ht="13.5" customHeight="1">
      <c r="A79" s="63"/>
      <c r="B79" s="61"/>
      <c r="C79" s="64"/>
      <c r="D79" s="65"/>
      <c r="E79" s="67"/>
      <c r="F79" s="69"/>
      <c r="G79" s="61"/>
      <c r="H79" s="61"/>
      <c r="I79" s="61"/>
      <c r="J79" s="61"/>
      <c r="K79" s="61"/>
      <c r="L79" s="61"/>
    </row>
    <row r="80" ht="13.5" customHeight="1">
      <c r="A80" s="63"/>
      <c r="B80" s="61"/>
      <c r="C80" s="64"/>
      <c r="D80" s="65"/>
      <c r="E80" s="67"/>
      <c r="F80" s="69"/>
      <c r="G80" s="61"/>
      <c r="H80" s="61"/>
      <c r="I80" s="61"/>
      <c r="J80" s="61"/>
      <c r="K80" s="61"/>
      <c r="L80" s="61"/>
    </row>
    <row r="81" ht="13.5" customHeight="1">
      <c r="A81" s="63"/>
      <c r="B81" s="61"/>
      <c r="C81" s="64"/>
      <c r="D81" s="65"/>
      <c r="E81" s="67"/>
      <c r="F81" s="69"/>
      <c r="G81" s="61"/>
      <c r="H81" s="61"/>
      <c r="I81" s="61"/>
      <c r="J81" s="61"/>
      <c r="K81" s="61"/>
      <c r="L81" s="61"/>
    </row>
    <row r="82" ht="13.5" customHeight="1">
      <c r="A82" s="63"/>
      <c r="B82" s="61"/>
      <c r="C82" s="64"/>
      <c r="D82" s="65"/>
      <c r="E82" s="67"/>
      <c r="F82" s="69"/>
      <c r="G82" s="61"/>
      <c r="H82" s="61"/>
      <c r="I82" s="61"/>
      <c r="J82" s="61"/>
      <c r="K82" s="61"/>
      <c r="L82" s="61"/>
    </row>
    <row r="83" ht="13.5" customHeight="1">
      <c r="A83" s="63"/>
      <c r="B83" s="61"/>
      <c r="C83" s="64"/>
      <c r="D83" s="65"/>
      <c r="E83" s="67"/>
      <c r="F83" s="69"/>
      <c r="G83" s="61"/>
      <c r="H83" s="61"/>
      <c r="I83" s="61"/>
      <c r="J83" s="61"/>
      <c r="K83" s="61"/>
      <c r="L83" s="61"/>
    </row>
    <row r="84" ht="13.5" customHeight="1">
      <c r="A84" s="63"/>
      <c r="B84" s="61"/>
      <c r="C84" s="64"/>
      <c r="D84" s="65"/>
      <c r="E84" s="67"/>
      <c r="F84" s="69"/>
      <c r="G84" s="61"/>
      <c r="H84" s="61"/>
      <c r="I84" s="61"/>
      <c r="J84" s="61"/>
      <c r="K84" s="61"/>
      <c r="L84" s="61"/>
    </row>
    <row r="85" ht="13.5" customHeight="1">
      <c r="A85" s="63"/>
      <c r="B85" s="61"/>
      <c r="C85" s="64"/>
      <c r="D85" s="65"/>
      <c r="E85" s="67"/>
      <c r="F85" s="69"/>
      <c r="G85" s="61"/>
      <c r="H85" s="61"/>
      <c r="I85" s="61"/>
      <c r="J85" s="61"/>
      <c r="K85" s="61"/>
      <c r="L85" s="61"/>
    </row>
    <row r="86" ht="13.5" customHeight="1">
      <c r="A86" s="63"/>
      <c r="B86" s="61"/>
      <c r="C86" s="64"/>
      <c r="D86" s="65"/>
      <c r="E86" s="67"/>
      <c r="F86" s="69"/>
      <c r="G86" s="61"/>
      <c r="H86" s="61"/>
      <c r="I86" s="61"/>
      <c r="J86" s="61"/>
      <c r="K86" s="61"/>
      <c r="L86" s="61"/>
    </row>
    <row r="87" ht="13.5" customHeight="1">
      <c r="A87" s="63"/>
      <c r="B87" s="61"/>
      <c r="C87" s="64"/>
      <c r="D87" s="65"/>
      <c r="E87" s="67"/>
      <c r="F87" s="69"/>
      <c r="G87" s="61"/>
      <c r="H87" s="61"/>
      <c r="I87" s="61"/>
      <c r="J87" s="61"/>
      <c r="K87" s="61"/>
      <c r="L87" s="61"/>
    </row>
    <row r="88" ht="13.5" customHeight="1">
      <c r="A88" s="63"/>
      <c r="B88" s="61"/>
      <c r="C88" s="64"/>
      <c r="D88" s="65"/>
      <c r="E88" s="67"/>
      <c r="F88" s="69"/>
      <c r="G88" s="61"/>
      <c r="H88" s="61"/>
      <c r="I88" s="61"/>
      <c r="J88" s="61"/>
      <c r="K88" s="61"/>
      <c r="L88" s="61"/>
    </row>
    <row r="89" ht="13.5" customHeight="1">
      <c r="A89" s="63"/>
      <c r="B89" s="61"/>
      <c r="C89" s="64"/>
      <c r="D89" s="65"/>
      <c r="E89" s="67"/>
      <c r="F89" s="69"/>
      <c r="G89" s="61"/>
      <c r="H89" s="61"/>
      <c r="I89" s="61"/>
      <c r="J89" s="61"/>
      <c r="K89" s="61"/>
      <c r="L89" s="61"/>
    </row>
    <row r="90" ht="13.5" customHeight="1">
      <c r="A90" s="63"/>
      <c r="B90" s="61"/>
      <c r="C90" s="64"/>
      <c r="D90" s="65"/>
      <c r="E90" s="67"/>
      <c r="F90" s="69"/>
      <c r="G90" s="61"/>
      <c r="H90" s="61"/>
      <c r="I90" s="61"/>
      <c r="J90" s="61"/>
      <c r="K90" s="61"/>
      <c r="L90" s="61"/>
    </row>
    <row r="91" ht="13.5" customHeight="1">
      <c r="A91" s="63"/>
      <c r="B91" s="61"/>
      <c r="C91" s="64"/>
      <c r="D91" s="65"/>
      <c r="E91" s="67"/>
      <c r="F91" s="69"/>
      <c r="G91" s="61"/>
      <c r="H91" s="61"/>
      <c r="I91" s="61"/>
      <c r="J91" s="61"/>
      <c r="K91" s="61"/>
      <c r="L91" s="61"/>
    </row>
    <row r="92" ht="13.5" customHeight="1">
      <c r="A92" s="63"/>
      <c r="B92" s="61"/>
      <c r="C92" s="64"/>
      <c r="D92" s="65"/>
      <c r="E92" s="67"/>
      <c r="F92" s="69"/>
      <c r="G92" s="61"/>
      <c r="H92" s="61"/>
      <c r="I92" s="61"/>
      <c r="J92" s="61"/>
      <c r="K92" s="61"/>
      <c r="L92" s="61"/>
    </row>
    <row r="93" ht="13.5" customHeight="1">
      <c r="A93" s="63"/>
      <c r="B93" s="61"/>
      <c r="C93" s="64"/>
      <c r="D93" s="65"/>
      <c r="E93" s="67"/>
      <c r="F93" s="69"/>
      <c r="G93" s="61"/>
      <c r="H93" s="61"/>
      <c r="I93" s="61"/>
      <c r="J93" s="61"/>
      <c r="K93" s="61"/>
      <c r="L93" s="61"/>
    </row>
    <row r="94" ht="13.5" customHeight="1">
      <c r="A94" s="63"/>
      <c r="B94" s="61"/>
      <c r="C94" s="64"/>
      <c r="D94" s="65"/>
      <c r="E94" s="67"/>
      <c r="F94" s="69"/>
      <c r="G94" s="61"/>
      <c r="H94" s="61"/>
      <c r="I94" s="61"/>
      <c r="J94" s="61"/>
      <c r="K94" s="61"/>
      <c r="L94" s="61"/>
    </row>
    <row r="95" ht="13.5" customHeight="1">
      <c r="A95" s="63"/>
      <c r="B95" s="61"/>
      <c r="C95" s="64"/>
      <c r="D95" s="65"/>
      <c r="E95" s="67"/>
      <c r="F95" s="69"/>
      <c r="G95" s="61"/>
      <c r="H95" s="61"/>
      <c r="I95" s="61"/>
      <c r="J95" s="61"/>
      <c r="K95" s="61"/>
      <c r="L95" s="61"/>
    </row>
    <row r="96" ht="13.5" customHeight="1">
      <c r="A96" s="63"/>
      <c r="B96" s="61"/>
      <c r="C96" s="64"/>
      <c r="D96" s="65"/>
      <c r="E96" s="67"/>
      <c r="F96" s="69"/>
      <c r="G96" s="61"/>
      <c r="H96" s="61"/>
      <c r="I96" s="61"/>
      <c r="J96" s="61"/>
      <c r="K96" s="61"/>
      <c r="L96" s="61"/>
    </row>
    <row r="97" ht="13.5" customHeight="1">
      <c r="A97" s="63"/>
      <c r="B97" s="61"/>
      <c r="C97" s="64"/>
      <c r="D97" s="65"/>
      <c r="E97" s="67"/>
      <c r="F97" s="69"/>
      <c r="G97" s="61"/>
      <c r="H97" s="61"/>
      <c r="I97" s="61"/>
      <c r="J97" s="61"/>
      <c r="K97" s="61"/>
      <c r="L97" s="61"/>
    </row>
    <row r="98" ht="13.5" customHeight="1">
      <c r="A98" s="63"/>
      <c r="B98" s="61"/>
      <c r="C98" s="64"/>
      <c r="D98" s="65"/>
      <c r="E98" s="67"/>
      <c r="F98" s="69"/>
      <c r="G98" s="61"/>
      <c r="H98" s="61"/>
      <c r="I98" s="61"/>
      <c r="J98" s="61"/>
      <c r="K98" s="61"/>
      <c r="L98" s="61"/>
    </row>
    <row r="99" ht="13.5" customHeight="1">
      <c r="A99" s="63"/>
      <c r="B99" s="61"/>
      <c r="C99" s="64"/>
      <c r="D99" s="65"/>
      <c r="E99" s="67"/>
      <c r="F99" s="69"/>
      <c r="G99" s="61"/>
      <c r="H99" s="61"/>
      <c r="I99" s="61"/>
      <c r="J99" s="61"/>
      <c r="K99" s="61"/>
      <c r="L99" s="61"/>
    </row>
    <row r="100" ht="13.5" customHeight="1">
      <c r="A100" s="63"/>
      <c r="B100" s="61"/>
      <c r="C100" s="64"/>
      <c r="D100" s="65"/>
      <c r="E100" s="67"/>
      <c r="F100" s="69"/>
      <c r="G100" s="61"/>
      <c r="H100" s="61"/>
      <c r="I100" s="61"/>
      <c r="J100" s="61"/>
      <c r="K100" s="61"/>
      <c r="L100" s="61"/>
    </row>
    <row r="101" ht="13.5" customHeight="1">
      <c r="A101" s="63"/>
      <c r="B101" s="61"/>
      <c r="C101" s="64"/>
      <c r="D101" s="65"/>
      <c r="E101" s="67"/>
      <c r="F101" s="69"/>
      <c r="G101" s="61"/>
      <c r="H101" s="61"/>
      <c r="I101" s="61"/>
      <c r="J101" s="61"/>
      <c r="K101" s="61"/>
      <c r="L101" s="61"/>
    </row>
    <row r="102" ht="13.5" customHeight="1">
      <c r="A102" s="63"/>
      <c r="B102" s="61"/>
      <c r="C102" s="64"/>
      <c r="D102" s="65"/>
      <c r="E102" s="67"/>
      <c r="F102" s="69"/>
      <c r="G102" s="61"/>
      <c r="H102" s="61"/>
      <c r="I102" s="61"/>
      <c r="J102" s="61"/>
      <c r="K102" s="61"/>
      <c r="L102" s="61"/>
    </row>
    <row r="103" ht="13.5" customHeight="1">
      <c r="A103" s="63"/>
      <c r="B103" s="61"/>
      <c r="C103" s="64"/>
      <c r="D103" s="65"/>
      <c r="E103" s="67"/>
      <c r="F103" s="69"/>
      <c r="G103" s="61"/>
      <c r="H103" s="61"/>
      <c r="I103" s="61"/>
      <c r="J103" s="61"/>
      <c r="K103" s="61"/>
      <c r="L103" s="61"/>
    </row>
    <row r="104" ht="13.5" customHeight="1">
      <c r="A104" s="63"/>
      <c r="B104" s="61"/>
      <c r="C104" s="64"/>
      <c r="D104" s="65"/>
      <c r="E104" s="67"/>
      <c r="F104" s="69"/>
      <c r="G104" s="61"/>
      <c r="H104" s="61"/>
      <c r="I104" s="61"/>
      <c r="J104" s="61"/>
      <c r="K104" s="61"/>
      <c r="L104" s="61"/>
    </row>
    <row r="105" ht="13.5" customHeight="1">
      <c r="A105" s="63"/>
      <c r="B105" s="61"/>
      <c r="C105" s="64"/>
      <c r="D105" s="65"/>
      <c r="E105" s="67"/>
      <c r="F105" s="69"/>
      <c r="G105" s="61"/>
      <c r="H105" s="61"/>
      <c r="I105" s="61"/>
      <c r="J105" s="61"/>
      <c r="K105" s="61"/>
      <c r="L105" s="61"/>
    </row>
    <row r="106" ht="13.5" customHeight="1">
      <c r="A106" s="63"/>
      <c r="B106" s="61"/>
      <c r="C106" s="64"/>
      <c r="D106" s="65"/>
      <c r="E106" s="67"/>
      <c r="F106" s="69"/>
      <c r="G106" s="61"/>
      <c r="H106" s="61"/>
      <c r="I106" s="61"/>
      <c r="J106" s="61"/>
      <c r="K106" s="61"/>
      <c r="L106" s="61"/>
    </row>
    <row r="107" ht="13.5" customHeight="1">
      <c r="A107" s="63"/>
      <c r="B107" s="61"/>
      <c r="C107" s="64"/>
      <c r="D107" s="65"/>
      <c r="E107" s="67"/>
      <c r="F107" s="69"/>
      <c r="G107" s="61"/>
      <c r="H107" s="61"/>
      <c r="I107" s="61"/>
      <c r="J107" s="61"/>
      <c r="K107" s="61"/>
      <c r="L107" s="61"/>
    </row>
    <row r="108" ht="13.5" customHeight="1">
      <c r="A108" s="63"/>
      <c r="B108" s="61"/>
      <c r="C108" s="64"/>
      <c r="D108" s="65"/>
      <c r="E108" s="67"/>
      <c r="F108" s="69"/>
      <c r="G108" s="61"/>
      <c r="H108" s="61"/>
      <c r="I108" s="61"/>
      <c r="J108" s="61"/>
      <c r="K108" s="61"/>
      <c r="L108" s="61"/>
    </row>
    <row r="109" ht="13.5" customHeight="1">
      <c r="A109" s="63"/>
      <c r="B109" s="61"/>
      <c r="C109" s="64"/>
      <c r="D109" s="65"/>
      <c r="E109" s="67"/>
      <c r="F109" s="69"/>
      <c r="G109" s="61"/>
      <c r="H109" s="61"/>
      <c r="I109" s="61"/>
      <c r="J109" s="61"/>
      <c r="K109" s="61"/>
      <c r="L109" s="61"/>
    </row>
    <row r="110" ht="13.5" customHeight="1">
      <c r="A110" s="63"/>
      <c r="B110" s="61"/>
      <c r="C110" s="64"/>
      <c r="D110" s="65"/>
      <c r="E110" s="67"/>
      <c r="F110" s="69"/>
      <c r="G110" s="61"/>
      <c r="H110" s="61"/>
      <c r="I110" s="61"/>
      <c r="J110" s="61"/>
      <c r="K110" s="61"/>
      <c r="L110" s="61"/>
    </row>
    <row r="111" ht="13.5" customHeight="1">
      <c r="A111" s="63"/>
      <c r="B111" s="61"/>
      <c r="C111" s="64"/>
      <c r="D111" s="65"/>
      <c r="E111" s="67"/>
      <c r="F111" s="69"/>
      <c r="G111" s="61"/>
      <c r="H111" s="61"/>
      <c r="I111" s="61"/>
      <c r="J111" s="61"/>
      <c r="K111" s="61"/>
      <c r="L111" s="61"/>
    </row>
    <row r="112" ht="13.5" customHeight="1">
      <c r="A112" s="63"/>
      <c r="B112" s="61"/>
      <c r="C112" s="64"/>
      <c r="D112" s="65"/>
      <c r="E112" s="67"/>
      <c r="F112" s="69"/>
      <c r="G112" s="61"/>
      <c r="H112" s="61"/>
      <c r="I112" s="61"/>
      <c r="J112" s="61"/>
      <c r="K112" s="61"/>
      <c r="L112" s="61"/>
    </row>
    <row r="113" ht="13.5" customHeight="1">
      <c r="A113" s="63"/>
      <c r="B113" s="61"/>
      <c r="C113" s="64"/>
      <c r="D113" s="65"/>
      <c r="E113" s="67"/>
      <c r="F113" s="69"/>
      <c r="G113" s="61"/>
      <c r="H113" s="61"/>
      <c r="I113" s="61"/>
      <c r="J113" s="61"/>
      <c r="K113" s="61"/>
      <c r="L113" s="61"/>
    </row>
    <row r="114" ht="13.5" customHeight="1">
      <c r="A114" s="63"/>
      <c r="B114" s="61"/>
      <c r="C114" s="64"/>
      <c r="D114" s="65"/>
      <c r="E114" s="67"/>
      <c r="F114" s="69"/>
      <c r="G114" s="61"/>
      <c r="H114" s="61"/>
      <c r="I114" s="61"/>
      <c r="J114" s="61"/>
      <c r="K114" s="61"/>
      <c r="L114" s="61"/>
    </row>
    <row r="115" ht="13.5" customHeight="1">
      <c r="A115" s="63"/>
      <c r="B115" s="61"/>
      <c r="C115" s="64"/>
      <c r="D115" s="65"/>
      <c r="E115" s="67"/>
      <c r="F115" s="69"/>
      <c r="G115" s="61"/>
      <c r="H115" s="61"/>
      <c r="I115" s="61"/>
      <c r="J115" s="61"/>
      <c r="K115" s="61"/>
      <c r="L115" s="61"/>
    </row>
    <row r="116" ht="13.5" customHeight="1">
      <c r="A116" s="63"/>
      <c r="B116" s="61"/>
      <c r="C116" s="64"/>
      <c r="D116" s="65"/>
      <c r="E116" s="67"/>
      <c r="F116" s="69"/>
      <c r="G116" s="61"/>
      <c r="H116" s="61"/>
      <c r="I116" s="61"/>
      <c r="J116" s="61"/>
      <c r="K116" s="61"/>
      <c r="L116" s="61"/>
    </row>
    <row r="117" ht="13.5" customHeight="1">
      <c r="A117" s="63"/>
      <c r="B117" s="61"/>
      <c r="C117" s="64"/>
      <c r="D117" s="65"/>
      <c r="E117" s="67"/>
      <c r="F117" s="69"/>
      <c r="G117" s="61"/>
      <c r="H117" s="61"/>
      <c r="I117" s="61"/>
      <c r="J117" s="61"/>
      <c r="K117" s="61"/>
      <c r="L117" s="61"/>
    </row>
    <row r="118" ht="13.5" customHeight="1">
      <c r="A118" s="63"/>
      <c r="B118" s="61"/>
      <c r="C118" s="64"/>
      <c r="D118" s="65"/>
      <c r="E118" s="67"/>
      <c r="F118" s="69"/>
      <c r="G118" s="61"/>
      <c r="H118" s="61"/>
      <c r="I118" s="61"/>
      <c r="J118" s="61"/>
      <c r="K118" s="61"/>
      <c r="L118" s="61"/>
    </row>
    <row r="119" ht="13.5" customHeight="1">
      <c r="A119" s="63"/>
      <c r="B119" s="61"/>
      <c r="C119" s="64"/>
      <c r="D119" s="65"/>
      <c r="E119" s="67"/>
      <c r="F119" s="69"/>
      <c r="G119" s="61"/>
      <c r="H119" s="61"/>
      <c r="I119" s="61"/>
      <c r="J119" s="61"/>
      <c r="K119" s="61"/>
      <c r="L119" s="61"/>
    </row>
    <row r="120" ht="13.5" customHeight="1">
      <c r="A120" s="63"/>
      <c r="B120" s="61"/>
      <c r="C120" s="64"/>
      <c r="D120" s="65"/>
      <c r="E120" s="67"/>
      <c r="F120" s="69"/>
      <c r="G120" s="61"/>
      <c r="H120" s="61"/>
      <c r="I120" s="61"/>
      <c r="J120" s="61"/>
      <c r="K120" s="61"/>
      <c r="L120" s="61"/>
    </row>
    <row r="121" ht="13.5" customHeight="1">
      <c r="A121" s="63"/>
      <c r="B121" s="61"/>
      <c r="C121" s="64"/>
      <c r="D121" s="65"/>
      <c r="E121" s="67"/>
      <c r="F121" s="69"/>
      <c r="G121" s="61"/>
      <c r="H121" s="61"/>
      <c r="I121" s="61"/>
      <c r="J121" s="61"/>
      <c r="K121" s="61"/>
      <c r="L121" s="61"/>
    </row>
    <row r="122" ht="13.5" customHeight="1">
      <c r="A122" s="63"/>
      <c r="B122" s="61"/>
      <c r="C122" s="64"/>
      <c r="D122" s="65"/>
      <c r="E122" s="67"/>
      <c r="F122" s="69"/>
      <c r="G122" s="61"/>
      <c r="H122" s="61"/>
      <c r="I122" s="61"/>
      <c r="J122" s="61"/>
      <c r="K122" s="61"/>
      <c r="L122" s="61"/>
    </row>
    <row r="123" ht="13.5" customHeight="1">
      <c r="A123" s="63"/>
      <c r="B123" s="61"/>
      <c r="C123" s="64"/>
      <c r="D123" s="65"/>
      <c r="E123" s="67"/>
      <c r="F123" s="69"/>
      <c r="G123" s="61"/>
      <c r="H123" s="61"/>
      <c r="I123" s="61"/>
      <c r="J123" s="61"/>
      <c r="K123" s="61"/>
      <c r="L123" s="61"/>
    </row>
    <row r="124" ht="13.5" customHeight="1">
      <c r="A124" s="63"/>
      <c r="B124" s="61"/>
      <c r="C124" s="64"/>
      <c r="D124" s="65"/>
      <c r="E124" s="67"/>
      <c r="F124" s="69"/>
      <c r="G124" s="61"/>
      <c r="H124" s="61"/>
      <c r="I124" s="61"/>
      <c r="J124" s="61"/>
      <c r="K124" s="61"/>
      <c r="L124" s="61"/>
    </row>
    <row r="125" ht="13.5" customHeight="1">
      <c r="A125" s="63"/>
      <c r="B125" s="61"/>
      <c r="C125" s="64"/>
      <c r="D125" s="65"/>
      <c r="E125" s="67"/>
      <c r="F125" s="69"/>
      <c r="G125" s="61"/>
      <c r="H125" s="61"/>
      <c r="I125" s="61"/>
      <c r="J125" s="61"/>
      <c r="K125" s="61"/>
      <c r="L125" s="61"/>
    </row>
    <row r="126" ht="13.5" customHeight="1">
      <c r="A126" s="63"/>
      <c r="B126" s="61"/>
      <c r="C126" s="64"/>
      <c r="D126" s="65"/>
      <c r="E126" s="67"/>
      <c r="F126" s="69"/>
      <c r="G126" s="61"/>
      <c r="H126" s="61"/>
      <c r="I126" s="61"/>
      <c r="J126" s="61"/>
      <c r="K126" s="61"/>
      <c r="L126" s="61"/>
    </row>
    <row r="127" ht="13.5" customHeight="1">
      <c r="A127" s="63"/>
      <c r="B127" s="61"/>
      <c r="C127" s="64"/>
      <c r="D127" s="65"/>
      <c r="E127" s="67"/>
      <c r="F127" s="69"/>
      <c r="G127" s="61"/>
      <c r="H127" s="61"/>
      <c r="I127" s="61"/>
      <c r="J127" s="61"/>
      <c r="K127" s="61"/>
      <c r="L127" s="61"/>
    </row>
    <row r="128" ht="13.5" customHeight="1">
      <c r="A128" s="63"/>
      <c r="B128" s="61"/>
      <c r="C128" s="64"/>
      <c r="D128" s="65"/>
      <c r="E128" s="67"/>
      <c r="F128" s="69"/>
      <c r="G128" s="61"/>
      <c r="H128" s="61"/>
      <c r="I128" s="61"/>
      <c r="J128" s="61"/>
      <c r="K128" s="61"/>
      <c r="L128" s="61"/>
    </row>
    <row r="129" ht="13.5" customHeight="1">
      <c r="A129" s="63"/>
      <c r="B129" s="61"/>
      <c r="C129" s="64"/>
      <c r="D129" s="65"/>
      <c r="E129" s="67"/>
      <c r="F129" s="69"/>
      <c r="G129" s="61"/>
      <c r="H129" s="61"/>
      <c r="I129" s="61"/>
      <c r="J129" s="61"/>
      <c r="K129" s="61"/>
      <c r="L129" s="61"/>
    </row>
    <row r="130" ht="13.5" customHeight="1">
      <c r="A130" s="63"/>
      <c r="B130" s="61"/>
      <c r="C130" s="64"/>
      <c r="D130" s="65"/>
      <c r="E130" s="67"/>
      <c r="F130" s="69"/>
      <c r="G130" s="61"/>
      <c r="H130" s="61"/>
      <c r="I130" s="61"/>
      <c r="J130" s="61"/>
      <c r="K130" s="61"/>
      <c r="L130" s="61"/>
    </row>
    <row r="131" ht="13.5" customHeight="1">
      <c r="A131" s="63"/>
      <c r="B131" s="61"/>
      <c r="C131" s="64"/>
      <c r="D131" s="65"/>
      <c r="E131" s="67"/>
      <c r="F131" s="69"/>
      <c r="G131" s="61"/>
      <c r="H131" s="61"/>
      <c r="I131" s="61"/>
      <c r="J131" s="61"/>
      <c r="K131" s="61"/>
      <c r="L131" s="61"/>
    </row>
    <row r="132" ht="13.5" customHeight="1">
      <c r="A132" s="63"/>
      <c r="B132" s="61"/>
      <c r="C132" s="64"/>
      <c r="D132" s="65"/>
      <c r="E132" s="67"/>
      <c r="F132" s="69"/>
      <c r="G132" s="61"/>
      <c r="H132" s="61"/>
      <c r="I132" s="61"/>
      <c r="J132" s="61"/>
      <c r="K132" s="61"/>
      <c r="L132" s="61"/>
    </row>
    <row r="133" ht="13.5" customHeight="1">
      <c r="A133" s="63"/>
      <c r="B133" s="61"/>
      <c r="C133" s="64"/>
      <c r="D133" s="65"/>
      <c r="E133" s="67"/>
      <c r="F133" s="69"/>
      <c r="G133" s="61"/>
      <c r="H133" s="61"/>
      <c r="I133" s="61"/>
      <c r="J133" s="61"/>
      <c r="K133" s="61"/>
      <c r="L133" s="61"/>
    </row>
    <row r="134" ht="13.5" customHeight="1">
      <c r="A134" s="63"/>
      <c r="B134" s="61"/>
      <c r="C134" s="64"/>
      <c r="D134" s="65"/>
      <c r="E134" s="67"/>
      <c r="F134" s="69"/>
      <c r="G134" s="61"/>
      <c r="H134" s="61"/>
      <c r="I134" s="61"/>
      <c r="J134" s="61"/>
      <c r="K134" s="61"/>
      <c r="L134" s="61"/>
    </row>
    <row r="135" ht="13.5" customHeight="1">
      <c r="A135" s="63"/>
      <c r="B135" s="61"/>
      <c r="C135" s="64"/>
      <c r="D135" s="65"/>
      <c r="E135" s="67"/>
      <c r="F135" s="69"/>
      <c r="G135" s="61"/>
      <c r="H135" s="61"/>
      <c r="I135" s="61"/>
      <c r="J135" s="61"/>
      <c r="K135" s="61"/>
      <c r="L135" s="61"/>
    </row>
    <row r="136" ht="13.5" customHeight="1">
      <c r="A136" s="63"/>
      <c r="B136" s="61"/>
      <c r="C136" s="64"/>
      <c r="D136" s="65"/>
      <c r="E136" s="67"/>
      <c r="F136" s="69"/>
      <c r="G136" s="61"/>
      <c r="H136" s="61"/>
      <c r="I136" s="61"/>
      <c r="J136" s="61"/>
      <c r="K136" s="61"/>
      <c r="L136" s="61"/>
    </row>
    <row r="137" ht="13.5" customHeight="1">
      <c r="A137" s="63"/>
      <c r="B137" s="61"/>
      <c r="C137" s="64"/>
      <c r="D137" s="65"/>
      <c r="E137" s="67"/>
      <c r="F137" s="69"/>
      <c r="G137" s="61"/>
      <c r="H137" s="61"/>
      <c r="I137" s="61"/>
      <c r="J137" s="61"/>
      <c r="K137" s="61"/>
      <c r="L137" s="61"/>
    </row>
    <row r="138" ht="13.5" customHeight="1">
      <c r="A138" s="63"/>
      <c r="B138" s="61"/>
      <c r="C138" s="64"/>
      <c r="D138" s="65"/>
      <c r="E138" s="67"/>
      <c r="F138" s="69"/>
      <c r="G138" s="61"/>
      <c r="H138" s="61"/>
      <c r="I138" s="61"/>
      <c r="J138" s="61"/>
      <c r="K138" s="61"/>
      <c r="L138" s="61"/>
    </row>
    <row r="139" ht="13.5" customHeight="1">
      <c r="A139" s="63"/>
      <c r="B139" s="61"/>
      <c r="C139" s="64"/>
      <c r="D139" s="65"/>
      <c r="E139" s="67"/>
      <c r="F139" s="69"/>
      <c r="G139" s="61"/>
      <c r="H139" s="61"/>
      <c r="I139" s="61"/>
      <c r="J139" s="61"/>
      <c r="K139" s="61"/>
      <c r="L139" s="61"/>
    </row>
    <row r="140" ht="13.5" customHeight="1">
      <c r="A140" s="63"/>
      <c r="B140" s="61"/>
      <c r="C140" s="64"/>
      <c r="D140" s="65"/>
      <c r="E140" s="67"/>
      <c r="F140" s="69"/>
      <c r="G140" s="61"/>
      <c r="H140" s="61"/>
      <c r="I140" s="61"/>
      <c r="J140" s="61"/>
      <c r="K140" s="61"/>
      <c r="L140" s="61"/>
    </row>
    <row r="141" ht="13.5" customHeight="1">
      <c r="A141" s="63"/>
      <c r="B141" s="61"/>
      <c r="C141" s="64"/>
      <c r="D141" s="65"/>
      <c r="E141" s="67"/>
      <c r="F141" s="69"/>
      <c r="G141" s="61"/>
      <c r="H141" s="61"/>
      <c r="I141" s="61"/>
      <c r="J141" s="61"/>
      <c r="K141" s="61"/>
      <c r="L141" s="61"/>
    </row>
    <row r="142" ht="13.5" customHeight="1">
      <c r="A142" s="63"/>
      <c r="B142" s="61"/>
      <c r="C142" s="64"/>
      <c r="D142" s="65"/>
      <c r="E142" s="67"/>
      <c r="F142" s="69"/>
      <c r="G142" s="61"/>
      <c r="H142" s="61"/>
      <c r="I142" s="61"/>
      <c r="J142" s="61"/>
      <c r="K142" s="61"/>
      <c r="L142" s="61"/>
    </row>
    <row r="143" ht="13.5" customHeight="1">
      <c r="A143" s="63"/>
      <c r="B143" s="61"/>
      <c r="C143" s="64"/>
      <c r="D143" s="65"/>
      <c r="E143" s="67"/>
      <c r="F143" s="69"/>
      <c r="G143" s="61"/>
      <c r="H143" s="61"/>
      <c r="I143" s="61"/>
      <c r="J143" s="61"/>
      <c r="K143" s="61"/>
      <c r="L143" s="61"/>
    </row>
    <row r="144" ht="13.5" customHeight="1">
      <c r="A144" s="63"/>
      <c r="B144" s="61"/>
      <c r="C144" s="64"/>
      <c r="D144" s="65"/>
      <c r="E144" s="67"/>
      <c r="F144" s="69"/>
      <c r="G144" s="61"/>
      <c r="H144" s="61"/>
      <c r="I144" s="61"/>
      <c r="J144" s="61"/>
      <c r="K144" s="61"/>
      <c r="L144" s="61"/>
    </row>
    <row r="145" ht="13.5" customHeight="1">
      <c r="A145" s="63"/>
      <c r="B145" s="61"/>
      <c r="C145" s="64"/>
      <c r="D145" s="65"/>
      <c r="E145" s="67"/>
      <c r="F145" s="69"/>
      <c r="G145" s="61"/>
      <c r="H145" s="61"/>
      <c r="I145" s="61"/>
      <c r="J145" s="61"/>
      <c r="K145" s="61"/>
      <c r="L145" s="61"/>
    </row>
    <row r="146" ht="13.5" customHeight="1">
      <c r="A146" s="63"/>
      <c r="B146" s="61"/>
      <c r="C146" s="64"/>
      <c r="D146" s="65"/>
      <c r="E146" s="67"/>
      <c r="F146" s="69"/>
      <c r="G146" s="61"/>
      <c r="H146" s="61"/>
      <c r="I146" s="61"/>
      <c r="J146" s="61"/>
      <c r="K146" s="61"/>
      <c r="L146" s="61"/>
    </row>
    <row r="147" ht="13.5" customHeight="1">
      <c r="A147" s="63"/>
      <c r="B147" s="61"/>
      <c r="C147" s="64"/>
      <c r="D147" s="65"/>
      <c r="E147" s="67"/>
      <c r="F147" s="69"/>
      <c r="G147" s="61"/>
      <c r="H147" s="61"/>
      <c r="I147" s="61"/>
      <c r="J147" s="61"/>
      <c r="K147" s="61"/>
      <c r="L147" s="61"/>
    </row>
    <row r="148" ht="13.5" customHeight="1">
      <c r="A148" s="63"/>
      <c r="B148" s="61"/>
      <c r="C148" s="64"/>
      <c r="D148" s="65"/>
      <c r="E148" s="67"/>
      <c r="F148" s="69"/>
      <c r="G148" s="61"/>
      <c r="H148" s="61"/>
      <c r="I148" s="61"/>
      <c r="J148" s="61"/>
      <c r="K148" s="61"/>
      <c r="L148" s="61"/>
    </row>
    <row r="149" ht="13.5" customHeight="1">
      <c r="A149" s="63"/>
      <c r="B149" s="61"/>
      <c r="C149" s="64"/>
      <c r="D149" s="65"/>
      <c r="E149" s="67"/>
      <c r="F149" s="69"/>
      <c r="G149" s="61"/>
      <c r="H149" s="61"/>
      <c r="I149" s="61"/>
      <c r="J149" s="61"/>
      <c r="K149" s="61"/>
      <c r="L149" s="61"/>
    </row>
    <row r="150" ht="13.5" customHeight="1">
      <c r="A150" s="63"/>
      <c r="B150" s="61"/>
      <c r="C150" s="64"/>
      <c r="D150" s="65"/>
      <c r="E150" s="67"/>
      <c r="F150" s="69"/>
      <c r="G150" s="61"/>
      <c r="H150" s="61"/>
      <c r="I150" s="61"/>
      <c r="J150" s="61"/>
      <c r="K150" s="61"/>
      <c r="L150" s="61"/>
    </row>
    <row r="151" ht="13.5" customHeight="1">
      <c r="A151" s="63"/>
      <c r="B151" s="61"/>
      <c r="C151" s="64"/>
      <c r="D151" s="65"/>
      <c r="E151" s="67"/>
      <c r="F151" s="69"/>
      <c r="G151" s="61"/>
      <c r="H151" s="61"/>
      <c r="I151" s="61"/>
      <c r="J151" s="61"/>
      <c r="K151" s="61"/>
      <c r="L151" s="61"/>
    </row>
    <row r="152" ht="13.5" customHeight="1">
      <c r="A152" s="79"/>
      <c r="C152" s="80"/>
      <c r="D152" s="74"/>
      <c r="E152" s="81"/>
      <c r="F152" s="12"/>
    </row>
    <row r="153" ht="13.5" customHeight="1">
      <c r="A153" s="79"/>
      <c r="C153" s="80"/>
      <c r="D153" s="74"/>
      <c r="E153" s="81"/>
      <c r="F153" s="12"/>
    </row>
    <row r="154" ht="13.5" customHeight="1">
      <c r="A154" s="79"/>
      <c r="C154" s="80"/>
      <c r="D154" s="74"/>
      <c r="E154" s="81"/>
      <c r="F154" s="12"/>
    </row>
    <row r="155" ht="13.5" customHeight="1">
      <c r="A155" s="79"/>
      <c r="C155" s="80"/>
      <c r="D155" s="74"/>
      <c r="E155" s="81"/>
      <c r="F155" s="12"/>
    </row>
    <row r="156" ht="13.5" customHeight="1">
      <c r="A156" s="79"/>
      <c r="C156" s="80"/>
      <c r="D156" s="74"/>
      <c r="E156" s="81"/>
      <c r="F156" s="12"/>
    </row>
    <row r="157" ht="13.5" customHeight="1">
      <c r="A157" s="79"/>
      <c r="C157" s="80"/>
      <c r="D157" s="74"/>
      <c r="E157" s="81"/>
      <c r="F157" s="12"/>
    </row>
    <row r="158" ht="13.5" customHeight="1">
      <c r="A158" s="79"/>
      <c r="C158" s="80"/>
      <c r="D158" s="74"/>
      <c r="E158" s="81"/>
      <c r="F158" s="12"/>
    </row>
    <row r="159" ht="13.5" customHeight="1">
      <c r="A159" s="79"/>
      <c r="C159" s="80"/>
      <c r="D159" s="74"/>
      <c r="E159" s="81"/>
      <c r="F159" s="12"/>
    </row>
    <row r="160" ht="13.5" customHeight="1">
      <c r="A160" s="79"/>
      <c r="C160" s="80"/>
      <c r="D160" s="74"/>
      <c r="E160" s="81"/>
      <c r="F160" s="12"/>
    </row>
    <row r="161" ht="13.5" customHeight="1">
      <c r="A161" s="79"/>
      <c r="C161" s="80"/>
      <c r="D161" s="74"/>
      <c r="E161" s="81"/>
      <c r="F161" s="12"/>
    </row>
    <row r="162" ht="13.5" customHeight="1">
      <c r="A162" s="79"/>
      <c r="C162" s="80"/>
      <c r="D162" s="74"/>
      <c r="E162" s="81"/>
      <c r="F162" s="12"/>
    </row>
    <row r="163" ht="13.5" customHeight="1">
      <c r="A163" s="79"/>
      <c r="C163" s="80"/>
      <c r="D163" s="74"/>
      <c r="E163" s="81"/>
      <c r="F163" s="12"/>
    </row>
    <row r="164" ht="13.5" customHeight="1">
      <c r="A164" s="79"/>
      <c r="C164" s="80"/>
      <c r="D164" s="74"/>
      <c r="E164" s="81"/>
      <c r="F164" s="12"/>
    </row>
    <row r="165" ht="13.5" customHeight="1">
      <c r="A165" s="79"/>
      <c r="C165" s="80"/>
      <c r="D165" s="74"/>
      <c r="E165" s="81"/>
      <c r="F165" s="12"/>
    </row>
    <row r="166" ht="13.5" customHeight="1">
      <c r="A166" s="79"/>
      <c r="C166" s="80"/>
      <c r="D166" s="74"/>
      <c r="E166" s="81"/>
      <c r="F166" s="12"/>
    </row>
    <row r="167" ht="13.5" customHeight="1">
      <c r="A167" s="79"/>
      <c r="C167" s="80"/>
      <c r="D167" s="74"/>
      <c r="E167" s="81"/>
      <c r="F167" s="12"/>
    </row>
    <row r="168" ht="13.5" customHeight="1">
      <c r="A168" s="79"/>
      <c r="C168" s="80"/>
      <c r="D168" s="74"/>
      <c r="E168" s="81"/>
      <c r="F168" s="12"/>
    </row>
    <row r="169" ht="13.5" customHeight="1">
      <c r="A169" s="79"/>
      <c r="C169" s="80"/>
      <c r="D169" s="74"/>
      <c r="E169" s="81"/>
      <c r="F169" s="12"/>
    </row>
    <row r="170" ht="13.5" customHeight="1">
      <c r="A170" s="79"/>
      <c r="C170" s="80"/>
      <c r="D170" s="74"/>
      <c r="E170" s="81"/>
      <c r="F170" s="12"/>
    </row>
    <row r="171" ht="13.5" customHeight="1">
      <c r="A171" s="79"/>
      <c r="C171" s="80"/>
      <c r="D171" s="74"/>
      <c r="E171" s="81"/>
      <c r="F171" s="12"/>
    </row>
    <row r="172" ht="13.5" customHeight="1">
      <c r="A172" s="79"/>
      <c r="C172" s="80"/>
      <c r="D172" s="74"/>
      <c r="E172" s="81"/>
      <c r="F172" s="12"/>
    </row>
    <row r="173" ht="13.5" customHeight="1">
      <c r="A173" s="79"/>
      <c r="C173" s="80"/>
      <c r="D173" s="74"/>
      <c r="E173" s="81"/>
      <c r="F173" s="12"/>
    </row>
    <row r="174" ht="13.5" customHeight="1">
      <c r="A174" s="79"/>
      <c r="C174" s="80"/>
      <c r="D174" s="74"/>
      <c r="E174" s="81"/>
      <c r="F174" s="12"/>
    </row>
    <row r="175" ht="13.5" customHeight="1">
      <c r="A175" s="79"/>
      <c r="C175" s="80"/>
      <c r="D175" s="74"/>
      <c r="E175" s="81"/>
      <c r="F175" s="12"/>
    </row>
    <row r="176" ht="13.5" customHeight="1">
      <c r="A176" s="79"/>
      <c r="C176" s="80"/>
      <c r="D176" s="74"/>
      <c r="E176" s="81"/>
      <c r="F176" s="12"/>
    </row>
    <row r="177" ht="13.5" customHeight="1">
      <c r="A177" s="79"/>
      <c r="C177" s="80"/>
      <c r="D177" s="74"/>
      <c r="E177" s="81"/>
      <c r="F177" s="12"/>
    </row>
    <row r="178" ht="13.5" customHeight="1">
      <c r="A178" s="79"/>
      <c r="C178" s="80"/>
      <c r="D178" s="74"/>
      <c r="E178" s="81"/>
      <c r="F178" s="12"/>
    </row>
    <row r="179" ht="13.5" customHeight="1">
      <c r="A179" s="79"/>
      <c r="C179" s="80"/>
      <c r="D179" s="74"/>
      <c r="E179" s="81"/>
      <c r="F179" s="12"/>
    </row>
    <row r="180" ht="13.5" customHeight="1">
      <c r="A180" s="79"/>
      <c r="C180" s="80"/>
      <c r="D180" s="74"/>
      <c r="E180" s="81"/>
      <c r="F180" s="12"/>
    </row>
    <row r="181" ht="13.5" customHeight="1">
      <c r="A181" s="79"/>
      <c r="C181" s="80"/>
      <c r="D181" s="74"/>
      <c r="E181" s="81"/>
      <c r="F181" s="12"/>
    </row>
    <row r="182" ht="13.5" customHeight="1">
      <c r="A182" s="79"/>
      <c r="C182" s="80"/>
      <c r="D182" s="74"/>
      <c r="E182" s="81"/>
      <c r="F182" s="12"/>
    </row>
    <row r="183" ht="13.5" customHeight="1">
      <c r="A183" s="79"/>
      <c r="C183" s="80"/>
      <c r="D183" s="74"/>
      <c r="E183" s="81"/>
      <c r="F183" s="12"/>
    </row>
    <row r="184" ht="13.5" customHeight="1">
      <c r="A184" s="79"/>
      <c r="C184" s="80"/>
      <c r="D184" s="74"/>
      <c r="E184" s="81"/>
      <c r="F184" s="12"/>
    </row>
    <row r="185" ht="13.5" customHeight="1">
      <c r="A185" s="79"/>
      <c r="C185" s="80"/>
      <c r="D185" s="74"/>
      <c r="E185" s="81"/>
      <c r="F185" s="12"/>
    </row>
    <row r="186" ht="13.5" customHeight="1">
      <c r="A186" s="79"/>
      <c r="C186" s="80"/>
      <c r="D186" s="74"/>
      <c r="E186" s="81"/>
      <c r="F186" s="12"/>
    </row>
    <row r="187" ht="13.5" customHeight="1">
      <c r="A187" s="79"/>
      <c r="C187" s="80"/>
      <c r="D187" s="74"/>
      <c r="E187" s="81"/>
      <c r="F187" s="12"/>
    </row>
    <row r="188" ht="13.5" customHeight="1">
      <c r="A188" s="79"/>
      <c r="C188" s="80"/>
      <c r="D188" s="74"/>
      <c r="E188" s="81"/>
      <c r="F188" s="12"/>
    </row>
    <row r="189" ht="13.5" customHeight="1">
      <c r="A189" s="79"/>
      <c r="C189" s="80"/>
      <c r="D189" s="74"/>
      <c r="E189" s="81"/>
      <c r="F189" s="12"/>
    </row>
    <row r="190" ht="13.5" customHeight="1">
      <c r="A190" s="79"/>
      <c r="C190" s="80"/>
      <c r="D190" s="74"/>
      <c r="E190" s="81"/>
      <c r="F190" s="12"/>
    </row>
    <row r="191" ht="13.5" customHeight="1">
      <c r="A191" s="79"/>
      <c r="C191" s="80"/>
      <c r="D191" s="74"/>
      <c r="E191" s="81"/>
      <c r="F191" s="12"/>
    </row>
    <row r="192" ht="13.5" customHeight="1">
      <c r="A192" s="79"/>
      <c r="C192" s="80"/>
      <c r="D192" s="74"/>
      <c r="E192" s="81"/>
      <c r="F192" s="12"/>
    </row>
    <row r="193" ht="13.5" customHeight="1">
      <c r="A193" s="79"/>
      <c r="C193" s="80"/>
      <c r="D193" s="74"/>
      <c r="E193" s="81"/>
      <c r="F193" s="12"/>
    </row>
    <row r="194" ht="13.5" customHeight="1">
      <c r="A194" s="79"/>
      <c r="C194" s="80"/>
      <c r="D194" s="74"/>
      <c r="E194" s="81"/>
      <c r="F194" s="12"/>
    </row>
    <row r="195" ht="13.5" customHeight="1">
      <c r="A195" s="79"/>
      <c r="C195" s="80"/>
      <c r="D195" s="74"/>
      <c r="E195" s="81"/>
      <c r="F195" s="12"/>
    </row>
    <row r="196" ht="13.5" customHeight="1">
      <c r="A196" s="79"/>
      <c r="C196" s="80"/>
      <c r="D196" s="74"/>
      <c r="E196" s="81"/>
      <c r="F196" s="12"/>
    </row>
    <row r="197" ht="13.5" customHeight="1">
      <c r="A197" s="79"/>
      <c r="C197" s="80"/>
      <c r="D197" s="74"/>
      <c r="E197" s="81"/>
      <c r="F197" s="12"/>
    </row>
    <row r="198" ht="13.5" customHeight="1">
      <c r="A198" s="79"/>
      <c r="C198" s="80"/>
      <c r="D198" s="74"/>
      <c r="E198" s="81"/>
      <c r="F198" s="12"/>
    </row>
    <row r="199" ht="13.5" customHeight="1">
      <c r="A199" s="79"/>
      <c r="C199" s="80"/>
      <c r="D199" s="74"/>
      <c r="E199" s="81"/>
      <c r="F199" s="12"/>
    </row>
    <row r="200" ht="13.5" customHeight="1">
      <c r="A200" s="79"/>
      <c r="C200" s="80"/>
      <c r="D200" s="74"/>
      <c r="E200" s="81"/>
      <c r="F200" s="12"/>
    </row>
    <row r="201" ht="13.5" customHeight="1">
      <c r="A201" s="79"/>
      <c r="C201" s="80"/>
      <c r="D201" s="74"/>
      <c r="E201" s="81"/>
      <c r="F201" s="12"/>
    </row>
    <row r="202" ht="13.5" customHeight="1">
      <c r="A202" s="79"/>
      <c r="C202" s="80"/>
      <c r="D202" s="74"/>
      <c r="E202" s="81"/>
      <c r="F202" s="12"/>
    </row>
    <row r="203" ht="13.5" customHeight="1">
      <c r="A203" s="79"/>
      <c r="C203" s="80"/>
      <c r="D203" s="74"/>
      <c r="E203" s="81"/>
      <c r="F203" s="12"/>
    </row>
    <row r="204" ht="13.5" customHeight="1">
      <c r="A204" s="79"/>
      <c r="C204" s="80"/>
      <c r="D204" s="74"/>
      <c r="E204" s="81"/>
      <c r="F204" s="12"/>
    </row>
    <row r="205" ht="13.5" customHeight="1">
      <c r="A205" s="79"/>
      <c r="C205" s="80"/>
      <c r="D205" s="74"/>
      <c r="E205" s="81"/>
      <c r="F205" s="12"/>
    </row>
    <row r="206" ht="13.5" customHeight="1">
      <c r="A206" s="79"/>
      <c r="C206" s="80"/>
      <c r="D206" s="74"/>
      <c r="E206" s="81"/>
      <c r="F206" s="12"/>
    </row>
    <row r="207" ht="13.5" customHeight="1">
      <c r="A207" s="79"/>
      <c r="C207" s="80"/>
      <c r="D207" s="74"/>
      <c r="E207" s="81"/>
      <c r="F207" s="12"/>
    </row>
    <row r="208" ht="13.5" customHeight="1">
      <c r="A208" s="79"/>
      <c r="C208" s="80"/>
      <c r="D208" s="74"/>
      <c r="E208" s="81"/>
      <c r="F208" s="12"/>
    </row>
    <row r="209" ht="13.5" customHeight="1">
      <c r="A209" s="79"/>
      <c r="C209" s="80"/>
      <c r="D209" s="74"/>
      <c r="E209" s="81"/>
      <c r="F209" s="12"/>
    </row>
    <row r="210" ht="13.5" customHeight="1">
      <c r="A210" s="79"/>
      <c r="C210" s="80"/>
      <c r="D210" s="74"/>
      <c r="E210" s="81"/>
      <c r="F210" s="12"/>
    </row>
    <row r="211" ht="13.5" customHeight="1">
      <c r="A211" s="79"/>
      <c r="C211" s="80"/>
      <c r="D211" s="74"/>
      <c r="E211" s="81"/>
      <c r="F211" s="12"/>
    </row>
    <row r="212" ht="13.5" customHeight="1">
      <c r="A212" s="79"/>
      <c r="C212" s="80"/>
      <c r="D212" s="74"/>
      <c r="E212" s="81"/>
      <c r="F212" s="12"/>
    </row>
    <row r="213" ht="13.5" customHeight="1">
      <c r="A213" s="79"/>
      <c r="C213" s="80"/>
      <c r="D213" s="74"/>
      <c r="E213" s="81"/>
      <c r="F213" s="12"/>
    </row>
    <row r="214" ht="13.5" customHeight="1">
      <c r="A214" s="79"/>
      <c r="C214" s="80"/>
      <c r="D214" s="74"/>
      <c r="E214" s="81"/>
      <c r="F214" s="12"/>
    </row>
    <row r="215" ht="13.5" customHeight="1">
      <c r="A215" s="79"/>
      <c r="C215" s="80"/>
      <c r="D215" s="74"/>
      <c r="E215" s="81"/>
      <c r="F215" s="12"/>
    </row>
    <row r="216" ht="13.5" customHeight="1">
      <c r="A216" s="79"/>
      <c r="C216" s="80"/>
      <c r="D216" s="74"/>
      <c r="E216" s="81"/>
      <c r="F216" s="12"/>
    </row>
    <row r="217" ht="13.5" customHeight="1">
      <c r="A217" s="79"/>
      <c r="C217" s="80"/>
      <c r="D217" s="74"/>
      <c r="E217" s="81"/>
      <c r="F217" s="12"/>
    </row>
    <row r="218" ht="13.5" customHeight="1">
      <c r="A218" s="79"/>
      <c r="C218" s="80"/>
      <c r="D218" s="74"/>
      <c r="E218" s="81"/>
      <c r="F218" s="12"/>
    </row>
    <row r="219" ht="13.5" customHeight="1">
      <c r="A219" s="79"/>
      <c r="C219" s="80"/>
      <c r="D219" s="74"/>
      <c r="E219" s="81"/>
      <c r="F219" s="12"/>
    </row>
    <row r="220" ht="13.5" customHeight="1">
      <c r="A220" s="79"/>
      <c r="C220" s="80"/>
      <c r="D220" s="74"/>
      <c r="E220" s="81"/>
      <c r="F220" s="12"/>
    </row>
    <row r="221" ht="13.5" customHeight="1">
      <c r="A221" s="79"/>
      <c r="C221" s="80"/>
      <c r="D221" s="74"/>
      <c r="E221" s="81"/>
      <c r="F221" s="12"/>
    </row>
    <row r="222" ht="13.5" customHeight="1">
      <c r="A222" s="79"/>
      <c r="C222" s="80"/>
      <c r="D222" s="74"/>
      <c r="E222" s="81"/>
      <c r="F222" s="12"/>
    </row>
    <row r="223" ht="13.5" customHeight="1">
      <c r="A223" s="79"/>
      <c r="C223" s="80"/>
      <c r="D223" s="74"/>
      <c r="E223" s="81"/>
      <c r="F223" s="12"/>
    </row>
    <row r="224" ht="13.5" customHeight="1">
      <c r="A224" s="79"/>
      <c r="C224" s="80"/>
      <c r="D224" s="74"/>
      <c r="E224" s="81"/>
      <c r="F224" s="12"/>
    </row>
    <row r="225" ht="13.5" customHeight="1">
      <c r="A225" s="79"/>
      <c r="C225" s="80"/>
      <c r="D225" s="74"/>
      <c r="E225" s="81"/>
      <c r="F225" s="12"/>
    </row>
    <row r="226" ht="13.5" customHeight="1">
      <c r="A226" s="79"/>
      <c r="C226" s="80"/>
      <c r="D226" s="74"/>
      <c r="E226" s="81"/>
      <c r="F226" s="12"/>
    </row>
    <row r="227" ht="13.5" customHeight="1">
      <c r="A227" s="79"/>
      <c r="C227" s="80"/>
      <c r="D227" s="74"/>
      <c r="E227" s="81"/>
      <c r="F227" s="12"/>
    </row>
    <row r="228" ht="13.5" customHeight="1">
      <c r="A228" s="79"/>
      <c r="C228" s="80"/>
      <c r="D228" s="74"/>
      <c r="E228" s="81"/>
      <c r="F228" s="12"/>
    </row>
    <row r="229" ht="13.5" customHeight="1">
      <c r="A229" s="79"/>
      <c r="C229" s="80"/>
      <c r="D229" s="74"/>
      <c r="E229" s="81"/>
      <c r="F229" s="12"/>
    </row>
    <row r="230" ht="13.5" customHeight="1">
      <c r="A230" s="79"/>
      <c r="C230" s="80"/>
      <c r="D230" s="74"/>
      <c r="E230" s="81"/>
      <c r="F230" s="12"/>
    </row>
    <row r="231" ht="13.5" customHeight="1">
      <c r="A231" s="79"/>
      <c r="C231" s="80"/>
      <c r="D231" s="74"/>
      <c r="E231" s="81"/>
      <c r="F231" s="12"/>
    </row>
    <row r="232" ht="13.5" customHeight="1">
      <c r="A232" s="79"/>
      <c r="C232" s="80"/>
      <c r="D232" s="74"/>
      <c r="E232" s="81"/>
      <c r="F232" s="12"/>
    </row>
    <row r="233" ht="13.5" customHeight="1">
      <c r="A233" s="79"/>
      <c r="C233" s="80"/>
      <c r="D233" s="74"/>
      <c r="E233" s="81"/>
      <c r="F233" s="12"/>
    </row>
    <row r="234" ht="13.5" customHeight="1">
      <c r="A234" s="79"/>
      <c r="C234" s="80"/>
      <c r="D234" s="74"/>
      <c r="E234" s="81"/>
      <c r="F234" s="12"/>
    </row>
    <row r="235" ht="13.5" customHeight="1">
      <c r="A235" s="79"/>
      <c r="C235" s="80"/>
      <c r="D235" s="74"/>
      <c r="E235" s="81"/>
      <c r="F235" s="12"/>
    </row>
    <row r="236" ht="13.5" customHeight="1">
      <c r="A236" s="79"/>
      <c r="C236" s="80"/>
      <c r="D236" s="74"/>
      <c r="E236" s="81"/>
      <c r="F236" s="12"/>
    </row>
    <row r="237" ht="13.5" customHeight="1">
      <c r="A237" s="79"/>
      <c r="C237" s="80"/>
      <c r="D237" s="74"/>
      <c r="E237" s="81"/>
      <c r="F237" s="12"/>
    </row>
    <row r="238" ht="13.5" customHeight="1">
      <c r="A238" s="79"/>
      <c r="C238" s="80"/>
      <c r="D238" s="74"/>
      <c r="E238" s="81"/>
      <c r="F238" s="12"/>
    </row>
    <row r="239" ht="13.5" customHeight="1">
      <c r="A239" s="79"/>
      <c r="C239" s="80"/>
      <c r="D239" s="74"/>
      <c r="E239" s="81"/>
      <c r="F239" s="12"/>
    </row>
    <row r="240" ht="13.5" customHeight="1">
      <c r="A240" s="79"/>
      <c r="C240" s="80"/>
      <c r="D240" s="74"/>
      <c r="E240" s="81"/>
      <c r="F240" s="12"/>
    </row>
    <row r="241" ht="13.5" customHeight="1">
      <c r="A241" s="79"/>
      <c r="C241" s="80"/>
      <c r="D241" s="74"/>
      <c r="E241" s="81"/>
      <c r="F241" s="12"/>
    </row>
    <row r="242" ht="13.5" customHeight="1">
      <c r="A242" s="79"/>
      <c r="C242" s="80"/>
      <c r="D242" s="74"/>
      <c r="E242" s="81"/>
      <c r="F242" s="12"/>
    </row>
    <row r="243" ht="13.5" customHeight="1">
      <c r="A243" s="79"/>
      <c r="C243" s="80"/>
      <c r="D243" s="74"/>
      <c r="E243" s="81"/>
      <c r="F243" s="12"/>
    </row>
    <row r="244" ht="13.5" customHeight="1">
      <c r="A244" s="79"/>
      <c r="C244" s="80"/>
      <c r="D244" s="74"/>
      <c r="E244" s="81"/>
      <c r="F244" s="12"/>
    </row>
    <row r="245" ht="13.5" customHeight="1">
      <c r="A245" s="79"/>
      <c r="C245" s="80"/>
      <c r="D245" s="74"/>
      <c r="E245" s="81"/>
      <c r="F245" s="12"/>
    </row>
    <row r="246" ht="13.5" customHeight="1">
      <c r="A246" s="79"/>
      <c r="C246" s="80"/>
      <c r="D246" s="74"/>
      <c r="E246" s="81"/>
      <c r="F246" s="12"/>
    </row>
    <row r="247" ht="13.5" customHeight="1">
      <c r="A247" s="79"/>
      <c r="C247" s="80"/>
      <c r="D247" s="74"/>
      <c r="E247" s="81"/>
      <c r="F247" s="12"/>
    </row>
    <row r="248" ht="13.5" customHeight="1">
      <c r="A248" s="79"/>
      <c r="C248" s="80"/>
      <c r="D248" s="74"/>
      <c r="E248" s="81"/>
      <c r="F248" s="12"/>
    </row>
    <row r="249" ht="13.5" customHeight="1">
      <c r="A249" s="79"/>
      <c r="C249" s="80"/>
      <c r="D249" s="74"/>
      <c r="E249" s="81"/>
      <c r="F249" s="12"/>
    </row>
    <row r="250" ht="13.5" customHeight="1">
      <c r="A250" s="79"/>
      <c r="C250" s="80"/>
      <c r="D250" s="74"/>
      <c r="E250" s="81"/>
      <c r="F250" s="12"/>
    </row>
    <row r="251" ht="13.5" customHeight="1">
      <c r="A251" s="79"/>
      <c r="C251" s="80"/>
      <c r="D251" s="74"/>
      <c r="E251" s="81"/>
      <c r="F251" s="12"/>
    </row>
    <row r="252" ht="13.5" customHeight="1">
      <c r="A252" s="79"/>
      <c r="C252" s="80"/>
      <c r="D252" s="74"/>
      <c r="E252" s="81"/>
      <c r="F252" s="12"/>
    </row>
    <row r="253" ht="13.5" customHeight="1">
      <c r="A253" s="79"/>
      <c r="C253" s="80"/>
      <c r="D253" s="74"/>
      <c r="E253" s="81"/>
      <c r="F253" s="12"/>
    </row>
    <row r="254" ht="13.5" customHeight="1">
      <c r="A254" s="79"/>
      <c r="C254" s="80"/>
      <c r="D254" s="74"/>
      <c r="E254" s="81"/>
      <c r="F254" s="12"/>
    </row>
    <row r="255" ht="13.5" customHeight="1">
      <c r="A255" s="79"/>
      <c r="C255" s="80"/>
      <c r="D255" s="74"/>
      <c r="E255" s="81"/>
      <c r="F255" s="12"/>
    </row>
    <row r="256" ht="13.5" customHeight="1">
      <c r="A256" s="79"/>
      <c r="C256" s="80"/>
      <c r="D256" s="74"/>
      <c r="E256" s="81"/>
      <c r="F256" s="12"/>
    </row>
    <row r="257" ht="13.5" customHeight="1">
      <c r="A257" s="79"/>
      <c r="C257" s="80"/>
      <c r="D257" s="74"/>
      <c r="E257" s="81"/>
      <c r="F257" s="12"/>
    </row>
    <row r="258" ht="13.5" customHeight="1">
      <c r="A258" s="79"/>
      <c r="C258" s="80"/>
      <c r="D258" s="74"/>
      <c r="E258" s="81"/>
      <c r="F258" s="12"/>
    </row>
    <row r="259" ht="13.5" customHeight="1">
      <c r="A259" s="79"/>
      <c r="C259" s="80"/>
      <c r="D259" s="74"/>
      <c r="E259" s="81"/>
      <c r="F259" s="12"/>
    </row>
    <row r="260" ht="13.5" customHeight="1">
      <c r="A260" s="79"/>
      <c r="C260" s="80"/>
      <c r="D260" s="74"/>
      <c r="E260" s="81"/>
      <c r="F260" s="12"/>
    </row>
    <row r="261" ht="13.5" customHeight="1">
      <c r="A261" s="79"/>
      <c r="C261" s="80"/>
      <c r="D261" s="74"/>
      <c r="E261" s="81"/>
      <c r="F261" s="12"/>
    </row>
    <row r="262" ht="13.5" customHeight="1">
      <c r="A262" s="79"/>
      <c r="C262" s="80"/>
      <c r="D262" s="74"/>
      <c r="E262" s="81"/>
      <c r="F262" s="12"/>
    </row>
    <row r="263" ht="13.5" customHeight="1">
      <c r="A263" s="79"/>
      <c r="C263" s="80"/>
      <c r="D263" s="74"/>
      <c r="E263" s="81"/>
      <c r="F263" s="12"/>
    </row>
    <row r="264" ht="13.5" customHeight="1">
      <c r="A264" s="79"/>
      <c r="C264" s="80"/>
      <c r="D264" s="74"/>
      <c r="E264" s="81"/>
      <c r="F264" s="12"/>
    </row>
    <row r="265" ht="13.5" customHeight="1">
      <c r="A265" s="79"/>
      <c r="C265" s="80"/>
      <c r="D265" s="74"/>
      <c r="E265" s="81"/>
      <c r="F265" s="12"/>
    </row>
    <row r="266" ht="13.5" customHeight="1">
      <c r="A266" s="79"/>
      <c r="C266" s="80"/>
      <c r="D266" s="74"/>
      <c r="E266" s="81"/>
      <c r="F266" s="12"/>
    </row>
    <row r="267" ht="13.5" customHeight="1">
      <c r="A267" s="79"/>
      <c r="C267" s="80"/>
      <c r="D267" s="74"/>
      <c r="E267" s="81"/>
      <c r="F267" s="12"/>
    </row>
    <row r="268" ht="13.5" customHeight="1">
      <c r="A268" s="79"/>
      <c r="C268" s="80"/>
      <c r="D268" s="74"/>
      <c r="E268" s="81"/>
      <c r="F268" s="12"/>
    </row>
    <row r="269" ht="13.5" customHeight="1">
      <c r="A269" s="79"/>
      <c r="C269" s="80"/>
      <c r="D269" s="74"/>
      <c r="E269" s="81"/>
      <c r="F269" s="12"/>
    </row>
    <row r="270" ht="13.5" customHeight="1">
      <c r="A270" s="79"/>
      <c r="C270" s="80"/>
      <c r="D270" s="74"/>
      <c r="E270" s="81"/>
      <c r="F270" s="12"/>
    </row>
    <row r="271" ht="13.5" customHeight="1">
      <c r="A271" s="79"/>
      <c r="C271" s="80"/>
      <c r="D271" s="74"/>
      <c r="E271" s="81"/>
      <c r="F271" s="12"/>
    </row>
    <row r="272" ht="13.5" customHeight="1">
      <c r="A272" s="79"/>
      <c r="C272" s="80"/>
      <c r="D272" s="74"/>
      <c r="E272" s="81"/>
      <c r="F272" s="12"/>
    </row>
    <row r="273" ht="13.5" customHeight="1">
      <c r="A273" s="79"/>
      <c r="C273" s="80"/>
      <c r="D273" s="74"/>
      <c r="E273" s="81"/>
      <c r="F273" s="12"/>
    </row>
    <row r="274" ht="13.5" customHeight="1">
      <c r="A274" s="79"/>
      <c r="C274" s="80"/>
      <c r="D274" s="74"/>
      <c r="E274" s="81"/>
      <c r="F274" s="12"/>
    </row>
    <row r="275" ht="13.5" customHeight="1">
      <c r="A275" s="79"/>
      <c r="C275" s="80"/>
      <c r="D275" s="74"/>
      <c r="E275" s="81"/>
      <c r="F275" s="12"/>
    </row>
    <row r="276" ht="13.5" customHeight="1">
      <c r="A276" s="79"/>
      <c r="C276" s="80"/>
      <c r="D276" s="74"/>
      <c r="E276" s="81"/>
      <c r="F276" s="12"/>
    </row>
    <row r="277" ht="13.5" customHeight="1">
      <c r="A277" s="79"/>
      <c r="C277" s="80"/>
      <c r="D277" s="74"/>
      <c r="E277" s="81"/>
      <c r="F277" s="12"/>
    </row>
    <row r="278" ht="13.5" customHeight="1">
      <c r="A278" s="79"/>
      <c r="C278" s="80"/>
      <c r="D278" s="74"/>
      <c r="E278" s="81"/>
      <c r="F278" s="12"/>
    </row>
    <row r="279" ht="13.5" customHeight="1">
      <c r="A279" s="79"/>
      <c r="C279" s="80"/>
      <c r="D279" s="74"/>
      <c r="E279" s="81"/>
      <c r="F279" s="12"/>
    </row>
    <row r="280" ht="13.5" customHeight="1">
      <c r="A280" s="79"/>
      <c r="C280" s="80"/>
      <c r="D280" s="74"/>
      <c r="E280" s="81"/>
      <c r="F280" s="12"/>
    </row>
    <row r="281" ht="13.5" customHeight="1">
      <c r="A281" s="79"/>
      <c r="C281" s="80"/>
      <c r="D281" s="74"/>
      <c r="E281" s="81"/>
      <c r="F281" s="12"/>
    </row>
    <row r="282" ht="13.5" customHeight="1">
      <c r="A282" s="79"/>
      <c r="C282" s="80"/>
      <c r="D282" s="74"/>
      <c r="E282" s="81"/>
      <c r="F282" s="12"/>
    </row>
    <row r="283" ht="13.5" customHeight="1">
      <c r="A283" s="79"/>
      <c r="C283" s="80"/>
      <c r="D283" s="74"/>
      <c r="E283" s="81"/>
      <c r="F283" s="12"/>
    </row>
    <row r="284" ht="13.5" customHeight="1">
      <c r="A284" s="79"/>
      <c r="C284" s="80"/>
      <c r="D284" s="74"/>
      <c r="E284" s="81"/>
      <c r="F284" s="12"/>
    </row>
    <row r="285" ht="13.5" customHeight="1">
      <c r="A285" s="79"/>
      <c r="C285" s="80"/>
      <c r="D285" s="74"/>
      <c r="E285" s="81"/>
      <c r="F285" s="12"/>
    </row>
    <row r="286" ht="13.5" customHeight="1">
      <c r="A286" s="79"/>
      <c r="C286" s="80"/>
      <c r="D286" s="74"/>
      <c r="E286" s="81"/>
      <c r="F286" s="12"/>
    </row>
    <row r="287" ht="13.5" customHeight="1">
      <c r="A287" s="79"/>
      <c r="C287" s="80"/>
      <c r="D287" s="74"/>
      <c r="E287" s="81"/>
      <c r="F287" s="12"/>
    </row>
    <row r="288" ht="13.5" customHeight="1">
      <c r="A288" s="79"/>
      <c r="C288" s="80"/>
      <c r="D288" s="74"/>
      <c r="E288" s="81"/>
      <c r="F288" s="12"/>
    </row>
    <row r="289" ht="13.5" customHeight="1">
      <c r="A289" s="79"/>
      <c r="C289" s="80"/>
      <c r="D289" s="74"/>
      <c r="E289" s="81"/>
      <c r="F289" s="12"/>
    </row>
    <row r="290" ht="13.5" customHeight="1">
      <c r="A290" s="79"/>
      <c r="C290" s="80"/>
      <c r="D290" s="74"/>
      <c r="E290" s="81"/>
      <c r="F290" s="12"/>
    </row>
    <row r="291" ht="13.5" customHeight="1">
      <c r="A291" s="79"/>
      <c r="C291" s="80"/>
      <c r="D291" s="74"/>
      <c r="E291" s="81"/>
      <c r="F291" s="12"/>
    </row>
    <row r="292" ht="13.5" customHeight="1">
      <c r="A292" s="79"/>
      <c r="C292" s="80"/>
      <c r="D292" s="74"/>
      <c r="E292" s="81"/>
      <c r="F292" s="12"/>
    </row>
    <row r="293" ht="13.5" customHeight="1">
      <c r="A293" s="79"/>
      <c r="C293" s="80"/>
      <c r="D293" s="74"/>
      <c r="E293" s="81"/>
      <c r="F293" s="12"/>
    </row>
    <row r="294" ht="13.5" customHeight="1">
      <c r="A294" s="79"/>
      <c r="C294" s="80"/>
      <c r="D294" s="74"/>
      <c r="E294" s="81"/>
      <c r="F294" s="12"/>
    </row>
    <row r="295" ht="13.5" customHeight="1">
      <c r="A295" s="79"/>
      <c r="C295" s="80"/>
      <c r="D295" s="74"/>
      <c r="E295" s="81"/>
      <c r="F295" s="12"/>
    </row>
    <row r="296" ht="13.5" customHeight="1">
      <c r="A296" s="79"/>
      <c r="C296" s="80"/>
      <c r="D296" s="74"/>
      <c r="E296" s="81"/>
      <c r="F296" s="12"/>
    </row>
    <row r="297" ht="13.5" customHeight="1">
      <c r="A297" s="79"/>
      <c r="C297" s="80"/>
      <c r="D297" s="74"/>
      <c r="E297" s="81"/>
      <c r="F297" s="12"/>
    </row>
    <row r="298" ht="13.5" customHeight="1">
      <c r="A298" s="79"/>
      <c r="C298" s="80"/>
      <c r="D298" s="74"/>
      <c r="E298" s="81"/>
      <c r="F298" s="12"/>
    </row>
    <row r="299" ht="13.5" customHeight="1">
      <c r="A299" s="79"/>
      <c r="C299" s="80"/>
      <c r="D299" s="74"/>
      <c r="E299" s="81"/>
      <c r="F299" s="12"/>
    </row>
    <row r="300" ht="13.5" customHeight="1">
      <c r="A300" s="79"/>
      <c r="C300" s="80"/>
      <c r="D300" s="74"/>
      <c r="E300" s="81"/>
      <c r="F300" s="12"/>
    </row>
    <row r="301" ht="13.5" customHeight="1">
      <c r="A301" s="79"/>
      <c r="C301" s="80"/>
      <c r="D301" s="74"/>
      <c r="E301" s="81"/>
      <c r="F301" s="12"/>
    </row>
    <row r="302" ht="13.5" customHeight="1">
      <c r="A302" s="79"/>
      <c r="C302" s="80"/>
      <c r="D302" s="74"/>
      <c r="E302" s="81"/>
      <c r="F302" s="12"/>
    </row>
    <row r="303" ht="13.5" customHeight="1">
      <c r="A303" s="79"/>
      <c r="C303" s="80"/>
      <c r="D303" s="74"/>
      <c r="E303" s="81"/>
      <c r="F303" s="12"/>
    </row>
    <row r="304" ht="13.5" customHeight="1">
      <c r="A304" s="79"/>
      <c r="C304" s="80"/>
      <c r="D304" s="74"/>
      <c r="E304" s="81"/>
      <c r="F304" s="12"/>
    </row>
    <row r="305" ht="13.5" customHeight="1">
      <c r="A305" s="79"/>
      <c r="C305" s="80"/>
      <c r="D305" s="74"/>
      <c r="E305" s="81"/>
      <c r="F305" s="12"/>
    </row>
    <row r="306" ht="13.5" customHeight="1">
      <c r="A306" s="79"/>
      <c r="C306" s="80"/>
      <c r="D306" s="74"/>
      <c r="E306" s="81"/>
      <c r="F306" s="12"/>
    </row>
    <row r="307" ht="13.5" customHeight="1">
      <c r="A307" s="79"/>
      <c r="C307" s="80"/>
      <c r="D307" s="74"/>
      <c r="E307" s="81"/>
      <c r="F307" s="12"/>
    </row>
    <row r="308" ht="13.5" customHeight="1">
      <c r="A308" s="79"/>
      <c r="C308" s="80"/>
      <c r="D308" s="74"/>
      <c r="E308" s="81"/>
      <c r="F308" s="12"/>
    </row>
    <row r="309" ht="13.5" customHeight="1">
      <c r="A309" s="79"/>
      <c r="C309" s="80"/>
      <c r="D309" s="74"/>
      <c r="E309" s="81"/>
      <c r="F309" s="12"/>
    </row>
    <row r="310" ht="13.5" customHeight="1">
      <c r="A310" s="79"/>
      <c r="C310" s="80"/>
      <c r="D310" s="74"/>
      <c r="E310" s="81"/>
      <c r="F310" s="12"/>
    </row>
    <row r="311" ht="13.5" customHeight="1">
      <c r="A311" s="79"/>
      <c r="C311" s="80"/>
      <c r="D311" s="74"/>
      <c r="E311" s="81"/>
      <c r="F311" s="12"/>
    </row>
    <row r="312" ht="13.5" customHeight="1">
      <c r="A312" s="79"/>
      <c r="C312" s="80"/>
      <c r="D312" s="74"/>
      <c r="E312" s="81"/>
      <c r="F312" s="12"/>
    </row>
    <row r="313" ht="13.5" customHeight="1">
      <c r="A313" s="79"/>
      <c r="C313" s="80"/>
      <c r="D313" s="74"/>
      <c r="E313" s="81"/>
      <c r="F313" s="12"/>
    </row>
    <row r="314" ht="13.5" customHeight="1">
      <c r="A314" s="79"/>
      <c r="C314" s="80"/>
      <c r="D314" s="74"/>
      <c r="E314" s="81"/>
      <c r="F314" s="12"/>
    </row>
    <row r="315" ht="13.5" customHeight="1">
      <c r="A315" s="79"/>
      <c r="C315" s="80"/>
      <c r="D315" s="74"/>
      <c r="E315" s="81"/>
      <c r="F315" s="12"/>
    </row>
    <row r="316" ht="13.5" customHeight="1">
      <c r="A316" s="79"/>
      <c r="C316" s="80"/>
      <c r="D316" s="74"/>
      <c r="E316" s="81"/>
      <c r="F316" s="12"/>
    </row>
    <row r="317" ht="13.5" customHeight="1">
      <c r="A317" s="79"/>
      <c r="C317" s="80"/>
      <c r="D317" s="74"/>
      <c r="E317" s="81"/>
      <c r="F317" s="12"/>
    </row>
    <row r="318" ht="13.5" customHeight="1">
      <c r="A318" s="79"/>
      <c r="C318" s="80"/>
      <c r="D318" s="74"/>
      <c r="E318" s="81"/>
      <c r="F318" s="12"/>
    </row>
    <row r="319" ht="13.5" customHeight="1">
      <c r="A319" s="79"/>
      <c r="C319" s="80"/>
      <c r="D319" s="74"/>
      <c r="E319" s="81"/>
      <c r="F319" s="12"/>
    </row>
    <row r="320" ht="13.5" customHeight="1">
      <c r="A320" s="79"/>
      <c r="C320" s="80"/>
      <c r="D320" s="74"/>
      <c r="E320" s="81"/>
      <c r="F320" s="12"/>
    </row>
    <row r="321" ht="13.5" customHeight="1">
      <c r="A321" s="79"/>
      <c r="C321" s="80"/>
      <c r="D321" s="74"/>
      <c r="E321" s="81"/>
      <c r="F321" s="12"/>
    </row>
    <row r="322" ht="13.5" customHeight="1">
      <c r="A322" s="79"/>
      <c r="C322" s="80"/>
      <c r="D322" s="74"/>
      <c r="E322" s="81"/>
      <c r="F322" s="12"/>
    </row>
    <row r="323" ht="13.5" customHeight="1">
      <c r="A323" s="79"/>
      <c r="C323" s="80"/>
      <c r="D323" s="74"/>
      <c r="E323" s="81"/>
      <c r="F323" s="12"/>
    </row>
    <row r="324" ht="13.5" customHeight="1">
      <c r="A324" s="79"/>
      <c r="C324" s="80"/>
      <c r="D324" s="74"/>
      <c r="E324" s="81"/>
      <c r="F324" s="12"/>
    </row>
    <row r="325" ht="13.5" customHeight="1">
      <c r="A325" s="79"/>
      <c r="C325" s="80"/>
      <c r="D325" s="74"/>
      <c r="E325" s="81"/>
      <c r="F325" s="12"/>
    </row>
    <row r="326" ht="13.5" customHeight="1">
      <c r="A326" s="79"/>
      <c r="C326" s="80"/>
      <c r="D326" s="74"/>
      <c r="E326" s="81"/>
      <c r="F326" s="12"/>
    </row>
    <row r="327" ht="13.5" customHeight="1">
      <c r="A327" s="79"/>
      <c r="C327" s="80"/>
      <c r="D327" s="74"/>
      <c r="E327" s="81"/>
      <c r="F327" s="12"/>
    </row>
    <row r="328" ht="13.5" customHeight="1">
      <c r="A328" s="79"/>
      <c r="C328" s="80"/>
      <c r="D328" s="74"/>
      <c r="E328" s="81"/>
      <c r="F328" s="12"/>
    </row>
    <row r="329" ht="13.5" customHeight="1">
      <c r="A329" s="79"/>
      <c r="C329" s="80"/>
      <c r="D329" s="74"/>
      <c r="E329" s="81"/>
      <c r="F329" s="12"/>
    </row>
    <row r="330" ht="13.5" customHeight="1">
      <c r="A330" s="79"/>
      <c r="C330" s="80"/>
      <c r="D330" s="74"/>
      <c r="E330" s="81"/>
      <c r="F330" s="12"/>
    </row>
    <row r="331" ht="13.5" customHeight="1">
      <c r="A331" s="79"/>
      <c r="C331" s="80"/>
      <c r="D331" s="74"/>
      <c r="E331" s="81"/>
      <c r="F331" s="12"/>
    </row>
    <row r="332" ht="13.5" customHeight="1">
      <c r="A332" s="79"/>
      <c r="C332" s="80"/>
      <c r="D332" s="74"/>
      <c r="E332" s="81"/>
      <c r="F332" s="12"/>
    </row>
    <row r="333" ht="13.5" customHeight="1">
      <c r="A333" s="79"/>
      <c r="C333" s="80"/>
      <c r="D333" s="74"/>
      <c r="E333" s="81"/>
      <c r="F333" s="12"/>
    </row>
    <row r="334" ht="13.5" customHeight="1">
      <c r="A334" s="79"/>
      <c r="C334" s="80"/>
      <c r="D334" s="74"/>
      <c r="E334" s="81"/>
      <c r="F334" s="12"/>
    </row>
    <row r="335" ht="13.5" customHeight="1">
      <c r="A335" s="79"/>
      <c r="C335" s="80"/>
      <c r="D335" s="74"/>
      <c r="E335" s="81"/>
      <c r="F335" s="12"/>
    </row>
    <row r="336" ht="13.5" customHeight="1">
      <c r="A336" s="79"/>
      <c r="C336" s="80"/>
      <c r="D336" s="74"/>
      <c r="E336" s="81"/>
      <c r="F336" s="12"/>
    </row>
    <row r="337" ht="13.5" customHeight="1">
      <c r="A337" s="79"/>
      <c r="C337" s="80"/>
      <c r="D337" s="74"/>
      <c r="E337" s="81"/>
      <c r="F337" s="12"/>
    </row>
    <row r="338" ht="13.5" customHeight="1">
      <c r="A338" s="79"/>
      <c r="C338" s="80"/>
      <c r="D338" s="74"/>
      <c r="E338" s="81"/>
      <c r="F338" s="12"/>
    </row>
    <row r="339" ht="13.5" customHeight="1">
      <c r="A339" s="79"/>
      <c r="C339" s="80"/>
      <c r="D339" s="74"/>
      <c r="E339" s="81"/>
      <c r="F339" s="12"/>
    </row>
    <row r="340" ht="13.5" customHeight="1">
      <c r="A340" s="79"/>
      <c r="C340" s="80"/>
      <c r="D340" s="74"/>
      <c r="E340" s="81"/>
      <c r="F340" s="12"/>
    </row>
    <row r="341" ht="13.5" customHeight="1">
      <c r="A341" s="79"/>
      <c r="C341" s="80"/>
      <c r="D341" s="74"/>
      <c r="E341" s="81"/>
      <c r="F341" s="12"/>
    </row>
    <row r="342" ht="13.5" customHeight="1">
      <c r="A342" s="79"/>
      <c r="C342" s="80"/>
      <c r="D342" s="74"/>
      <c r="E342" s="81"/>
      <c r="F342" s="12"/>
    </row>
    <row r="343" ht="13.5" customHeight="1">
      <c r="A343" s="79"/>
      <c r="C343" s="80"/>
      <c r="D343" s="74"/>
      <c r="E343" s="81"/>
      <c r="F343" s="12"/>
    </row>
    <row r="344" ht="13.5" customHeight="1">
      <c r="A344" s="79"/>
      <c r="C344" s="80"/>
      <c r="D344" s="74"/>
      <c r="E344" s="81"/>
      <c r="F344" s="12"/>
    </row>
    <row r="345" ht="13.5" customHeight="1">
      <c r="A345" s="79"/>
      <c r="C345" s="80"/>
      <c r="D345" s="74"/>
      <c r="E345" s="81"/>
      <c r="F345" s="12"/>
    </row>
    <row r="346" ht="13.5" customHeight="1">
      <c r="A346" s="79"/>
      <c r="C346" s="80"/>
      <c r="D346" s="74"/>
      <c r="E346" s="81"/>
      <c r="F346" s="12"/>
    </row>
    <row r="347" ht="13.5" customHeight="1">
      <c r="A347" s="79"/>
      <c r="C347" s="80"/>
      <c r="D347" s="74"/>
      <c r="E347" s="81"/>
      <c r="F347" s="12"/>
    </row>
    <row r="348" ht="13.5" customHeight="1">
      <c r="A348" s="79"/>
      <c r="C348" s="80"/>
      <c r="D348" s="74"/>
      <c r="E348" s="81"/>
      <c r="F348" s="12"/>
    </row>
    <row r="349" ht="13.5" customHeight="1">
      <c r="A349" s="79"/>
      <c r="C349" s="80"/>
      <c r="D349" s="74"/>
      <c r="E349" s="81"/>
      <c r="F349" s="12"/>
    </row>
    <row r="350" ht="13.5" customHeight="1">
      <c r="A350" s="79"/>
      <c r="C350" s="80"/>
      <c r="D350" s="74"/>
      <c r="E350" s="81"/>
      <c r="F350" s="12"/>
    </row>
    <row r="351" ht="13.5" customHeight="1">
      <c r="A351" s="79"/>
      <c r="C351" s="80"/>
      <c r="D351" s="74"/>
      <c r="E351" s="81"/>
      <c r="F351" s="12"/>
    </row>
    <row r="352" ht="13.5" customHeight="1">
      <c r="A352" s="79"/>
      <c r="C352" s="80"/>
      <c r="D352" s="74"/>
      <c r="E352" s="81"/>
      <c r="F352" s="12"/>
    </row>
    <row r="353" ht="13.5" customHeight="1">
      <c r="A353" s="79"/>
      <c r="C353" s="80"/>
      <c r="D353" s="74"/>
      <c r="E353" s="81"/>
      <c r="F353" s="12"/>
    </row>
    <row r="354" ht="13.5" customHeight="1">
      <c r="A354" s="79"/>
      <c r="C354" s="80"/>
      <c r="D354" s="74"/>
      <c r="E354" s="81"/>
      <c r="F354" s="12"/>
    </row>
    <row r="355" ht="13.5" customHeight="1">
      <c r="A355" s="79"/>
      <c r="C355" s="80"/>
      <c r="D355" s="74"/>
      <c r="E355" s="81"/>
      <c r="F355" s="12"/>
    </row>
    <row r="356" ht="13.5" customHeight="1">
      <c r="A356" s="79"/>
      <c r="C356" s="80"/>
      <c r="D356" s="74"/>
      <c r="E356" s="81"/>
      <c r="F356" s="12"/>
    </row>
    <row r="357" ht="13.5" customHeight="1">
      <c r="A357" s="79"/>
      <c r="C357" s="80"/>
      <c r="D357" s="74"/>
      <c r="E357" s="81"/>
      <c r="F357" s="12"/>
    </row>
    <row r="358" ht="13.5" customHeight="1">
      <c r="A358" s="79"/>
      <c r="C358" s="80"/>
      <c r="D358" s="74"/>
      <c r="E358" s="81"/>
      <c r="F358" s="12"/>
    </row>
    <row r="359" ht="13.5" customHeight="1">
      <c r="A359" s="79"/>
      <c r="C359" s="80"/>
      <c r="D359" s="74"/>
      <c r="E359" s="81"/>
      <c r="F359" s="12"/>
    </row>
    <row r="360" ht="13.5" customHeight="1">
      <c r="A360" s="79"/>
      <c r="C360" s="80"/>
      <c r="D360" s="74"/>
      <c r="E360" s="81"/>
      <c r="F360" s="12"/>
    </row>
    <row r="361" ht="13.5" customHeight="1">
      <c r="A361" s="79"/>
      <c r="C361" s="80"/>
      <c r="D361" s="74"/>
      <c r="E361" s="81"/>
      <c r="F361" s="12"/>
    </row>
    <row r="362" ht="13.5" customHeight="1">
      <c r="A362" s="79"/>
      <c r="C362" s="80"/>
      <c r="D362" s="74"/>
      <c r="E362" s="81"/>
      <c r="F362" s="12"/>
    </row>
    <row r="363" ht="13.5" customHeight="1">
      <c r="A363" s="79"/>
      <c r="C363" s="80"/>
      <c r="D363" s="74"/>
      <c r="E363" s="81"/>
      <c r="F363" s="12"/>
    </row>
    <row r="364" ht="13.5" customHeight="1">
      <c r="A364" s="79"/>
      <c r="C364" s="80"/>
      <c r="D364" s="74"/>
      <c r="E364" s="81"/>
      <c r="F364" s="12"/>
    </row>
    <row r="365" ht="13.5" customHeight="1">
      <c r="A365" s="79"/>
      <c r="C365" s="80"/>
      <c r="D365" s="74"/>
      <c r="E365" s="81"/>
      <c r="F365" s="12"/>
    </row>
    <row r="366" ht="13.5" customHeight="1">
      <c r="A366" s="79"/>
      <c r="C366" s="80"/>
      <c r="D366" s="74"/>
      <c r="E366" s="81"/>
      <c r="F366" s="12"/>
    </row>
    <row r="367" ht="13.5" customHeight="1">
      <c r="A367" s="79"/>
      <c r="C367" s="80"/>
      <c r="D367" s="74"/>
      <c r="E367" s="81"/>
      <c r="F367" s="12"/>
    </row>
    <row r="368" ht="13.5" customHeight="1">
      <c r="A368" s="79"/>
      <c r="C368" s="80"/>
      <c r="D368" s="74"/>
      <c r="E368" s="81"/>
      <c r="F368" s="12"/>
    </row>
    <row r="369" ht="13.5" customHeight="1">
      <c r="A369" s="79"/>
      <c r="C369" s="80"/>
      <c r="D369" s="74"/>
      <c r="E369" s="81"/>
      <c r="F369" s="12"/>
    </row>
    <row r="370" ht="13.5" customHeight="1">
      <c r="A370" s="79"/>
      <c r="C370" s="80"/>
      <c r="D370" s="74"/>
      <c r="E370" s="81"/>
      <c r="F370" s="12"/>
    </row>
    <row r="371" ht="13.5" customHeight="1">
      <c r="A371" s="79"/>
      <c r="C371" s="80"/>
      <c r="D371" s="74"/>
      <c r="E371" s="81"/>
      <c r="F371" s="12"/>
    </row>
    <row r="372" ht="13.5" customHeight="1">
      <c r="A372" s="79"/>
      <c r="C372" s="80"/>
      <c r="D372" s="74"/>
      <c r="E372" s="81"/>
      <c r="F372" s="12"/>
    </row>
    <row r="373" ht="13.5" customHeight="1">
      <c r="A373" s="79"/>
      <c r="C373" s="80"/>
      <c r="D373" s="74"/>
      <c r="E373" s="81"/>
      <c r="F373" s="12"/>
    </row>
    <row r="374" ht="13.5" customHeight="1">
      <c r="A374" s="79"/>
      <c r="C374" s="80"/>
      <c r="D374" s="74"/>
      <c r="E374" s="81"/>
      <c r="F374" s="12"/>
    </row>
    <row r="375" ht="13.5" customHeight="1">
      <c r="A375" s="79"/>
      <c r="C375" s="80"/>
      <c r="D375" s="74"/>
      <c r="E375" s="81"/>
      <c r="F375" s="12"/>
    </row>
    <row r="376" ht="13.5" customHeight="1">
      <c r="A376" s="79"/>
      <c r="C376" s="80"/>
      <c r="D376" s="74"/>
      <c r="E376" s="81"/>
      <c r="F376" s="12"/>
    </row>
    <row r="377" ht="13.5" customHeight="1">
      <c r="A377" s="79"/>
      <c r="C377" s="80"/>
      <c r="D377" s="74"/>
      <c r="E377" s="81"/>
      <c r="F377" s="12"/>
    </row>
    <row r="378" ht="13.5" customHeight="1">
      <c r="A378" s="79"/>
      <c r="C378" s="80"/>
      <c r="D378" s="74"/>
      <c r="E378" s="81"/>
      <c r="F378" s="12"/>
    </row>
    <row r="379" ht="13.5" customHeight="1">
      <c r="A379" s="79"/>
      <c r="C379" s="80"/>
      <c r="D379" s="74"/>
      <c r="E379" s="81"/>
      <c r="F379" s="12"/>
    </row>
    <row r="380" ht="13.5" customHeight="1">
      <c r="A380" s="79"/>
      <c r="C380" s="80"/>
      <c r="D380" s="74"/>
      <c r="E380" s="81"/>
      <c r="F380" s="12"/>
    </row>
    <row r="381" ht="13.5" customHeight="1">
      <c r="A381" s="79"/>
      <c r="C381" s="80"/>
      <c r="D381" s="74"/>
      <c r="E381" s="81"/>
      <c r="F381" s="12"/>
    </row>
    <row r="382" ht="13.5" customHeight="1">
      <c r="A382" s="79"/>
      <c r="C382" s="80"/>
      <c r="D382" s="74"/>
      <c r="E382" s="81"/>
      <c r="F382" s="12"/>
    </row>
    <row r="383" ht="13.5" customHeight="1">
      <c r="A383" s="79"/>
      <c r="C383" s="80"/>
      <c r="D383" s="74"/>
      <c r="E383" s="81"/>
      <c r="F383" s="12"/>
    </row>
    <row r="384" ht="13.5" customHeight="1">
      <c r="A384" s="79"/>
      <c r="C384" s="80"/>
      <c r="D384" s="74"/>
      <c r="E384" s="81"/>
      <c r="F384" s="12"/>
    </row>
    <row r="385" ht="13.5" customHeight="1">
      <c r="A385" s="79"/>
      <c r="C385" s="80"/>
      <c r="D385" s="74"/>
      <c r="E385" s="81"/>
      <c r="F385" s="12"/>
    </row>
    <row r="386" ht="13.5" customHeight="1">
      <c r="A386" s="79"/>
      <c r="C386" s="80"/>
      <c r="D386" s="74"/>
      <c r="E386" s="81"/>
      <c r="F386" s="12"/>
    </row>
    <row r="387" ht="13.5" customHeight="1">
      <c r="A387" s="79"/>
      <c r="C387" s="80"/>
      <c r="D387" s="74"/>
      <c r="E387" s="81"/>
      <c r="F387" s="12"/>
    </row>
    <row r="388" ht="13.5" customHeight="1">
      <c r="A388" s="79"/>
      <c r="C388" s="80"/>
      <c r="D388" s="74"/>
      <c r="E388" s="81"/>
      <c r="F388" s="12"/>
    </row>
    <row r="389" ht="13.5" customHeight="1">
      <c r="A389" s="79"/>
      <c r="C389" s="80"/>
      <c r="D389" s="74"/>
      <c r="E389" s="81"/>
      <c r="F389" s="12"/>
    </row>
    <row r="390" ht="13.5" customHeight="1">
      <c r="A390" s="79"/>
      <c r="C390" s="80"/>
      <c r="D390" s="74"/>
      <c r="E390" s="81"/>
      <c r="F390" s="12"/>
    </row>
    <row r="391" ht="13.5" customHeight="1">
      <c r="A391" s="79"/>
      <c r="C391" s="80"/>
      <c r="D391" s="74"/>
      <c r="E391" s="81"/>
      <c r="F391" s="12"/>
    </row>
    <row r="392" ht="13.5" customHeight="1">
      <c r="A392" s="79"/>
      <c r="C392" s="80"/>
      <c r="D392" s="74"/>
      <c r="E392" s="81"/>
      <c r="F392" s="12"/>
    </row>
    <row r="393" ht="13.5" customHeight="1">
      <c r="A393" s="79"/>
      <c r="C393" s="80"/>
      <c r="D393" s="74"/>
      <c r="E393" s="81"/>
      <c r="F393" s="12"/>
    </row>
    <row r="394" ht="13.5" customHeight="1">
      <c r="A394" s="79"/>
      <c r="C394" s="80"/>
      <c r="D394" s="74"/>
      <c r="E394" s="81"/>
      <c r="F394" s="12"/>
    </row>
    <row r="395" ht="13.5" customHeight="1">
      <c r="A395" s="79"/>
      <c r="C395" s="80"/>
      <c r="D395" s="74"/>
      <c r="E395" s="81"/>
      <c r="F395" s="12"/>
    </row>
    <row r="396" ht="13.5" customHeight="1">
      <c r="A396" s="79"/>
      <c r="C396" s="80"/>
      <c r="D396" s="74"/>
      <c r="E396" s="81"/>
      <c r="F396" s="12"/>
    </row>
    <row r="397" ht="13.5" customHeight="1">
      <c r="A397" s="79"/>
      <c r="C397" s="80"/>
      <c r="D397" s="74"/>
      <c r="E397" s="81"/>
      <c r="F397" s="12"/>
    </row>
    <row r="398" ht="13.5" customHeight="1">
      <c r="A398" s="79"/>
      <c r="C398" s="80"/>
      <c r="D398" s="74"/>
      <c r="E398" s="81"/>
      <c r="F398" s="12"/>
    </row>
    <row r="399" ht="13.5" customHeight="1">
      <c r="A399" s="79"/>
      <c r="C399" s="80"/>
      <c r="D399" s="74"/>
      <c r="E399" s="81"/>
      <c r="F399" s="12"/>
    </row>
    <row r="400" ht="13.5" customHeight="1">
      <c r="A400" s="79"/>
      <c r="C400" s="80"/>
      <c r="D400" s="74"/>
      <c r="E400" s="81"/>
      <c r="F400" s="12"/>
    </row>
    <row r="401" ht="13.5" customHeight="1">
      <c r="A401" s="79"/>
      <c r="C401" s="80"/>
      <c r="D401" s="74"/>
      <c r="E401" s="81"/>
      <c r="F401" s="12"/>
    </row>
    <row r="402" ht="13.5" customHeight="1">
      <c r="A402" s="79"/>
      <c r="C402" s="80"/>
      <c r="D402" s="74"/>
      <c r="E402" s="81"/>
      <c r="F402" s="12"/>
    </row>
    <row r="403" ht="13.5" customHeight="1">
      <c r="A403" s="79"/>
      <c r="C403" s="80"/>
      <c r="D403" s="74"/>
      <c r="E403" s="81"/>
      <c r="F403" s="12"/>
    </row>
    <row r="404" ht="13.5" customHeight="1">
      <c r="A404" s="79"/>
      <c r="C404" s="80"/>
      <c r="D404" s="74"/>
      <c r="E404" s="81"/>
      <c r="F404" s="12"/>
    </row>
    <row r="405" ht="13.5" customHeight="1">
      <c r="A405" s="79"/>
      <c r="C405" s="80"/>
      <c r="D405" s="74"/>
      <c r="E405" s="81"/>
      <c r="F405" s="12"/>
    </row>
    <row r="406" ht="13.5" customHeight="1">
      <c r="A406" s="79"/>
      <c r="C406" s="80"/>
      <c r="D406" s="74"/>
      <c r="E406" s="81"/>
      <c r="F406" s="12"/>
    </row>
    <row r="407" ht="13.5" customHeight="1">
      <c r="A407" s="79"/>
      <c r="C407" s="80"/>
      <c r="D407" s="74"/>
      <c r="E407" s="81"/>
      <c r="F407" s="12"/>
    </row>
    <row r="408" ht="13.5" customHeight="1">
      <c r="A408" s="79"/>
      <c r="C408" s="80"/>
      <c r="D408" s="74"/>
      <c r="E408" s="81"/>
      <c r="F408" s="12"/>
    </row>
    <row r="409" ht="13.5" customHeight="1">
      <c r="A409" s="79"/>
      <c r="C409" s="80"/>
      <c r="D409" s="74"/>
      <c r="E409" s="81"/>
      <c r="F409" s="12"/>
    </row>
    <row r="410" ht="13.5" customHeight="1">
      <c r="A410" s="79"/>
      <c r="C410" s="80"/>
      <c r="D410" s="74"/>
      <c r="E410" s="81"/>
      <c r="F410" s="12"/>
    </row>
    <row r="411" ht="13.5" customHeight="1">
      <c r="A411" s="79"/>
      <c r="C411" s="80"/>
      <c r="D411" s="74"/>
      <c r="E411" s="81"/>
      <c r="F411" s="12"/>
    </row>
    <row r="412" ht="13.5" customHeight="1">
      <c r="A412" s="79"/>
      <c r="C412" s="80"/>
      <c r="D412" s="74"/>
      <c r="E412" s="81"/>
      <c r="F412" s="12"/>
    </row>
    <row r="413" ht="13.5" customHeight="1">
      <c r="A413" s="79"/>
      <c r="C413" s="80"/>
      <c r="D413" s="74"/>
      <c r="E413" s="81"/>
      <c r="F413" s="12"/>
    </row>
    <row r="414" ht="13.5" customHeight="1">
      <c r="A414" s="79"/>
      <c r="C414" s="80"/>
      <c r="D414" s="74"/>
      <c r="E414" s="81"/>
      <c r="F414" s="12"/>
    </row>
    <row r="415" ht="13.5" customHeight="1">
      <c r="A415" s="79"/>
      <c r="C415" s="80"/>
      <c r="D415" s="74"/>
      <c r="E415" s="81"/>
      <c r="F415" s="12"/>
    </row>
    <row r="416" ht="13.5" customHeight="1">
      <c r="A416" s="79"/>
      <c r="C416" s="80"/>
      <c r="D416" s="74"/>
      <c r="E416" s="81"/>
      <c r="F416" s="12"/>
    </row>
    <row r="417" ht="13.5" customHeight="1">
      <c r="A417" s="79"/>
      <c r="C417" s="80"/>
      <c r="D417" s="74"/>
      <c r="E417" s="81"/>
      <c r="F417" s="12"/>
    </row>
    <row r="418" ht="13.5" customHeight="1">
      <c r="A418" s="79"/>
      <c r="C418" s="80"/>
      <c r="D418" s="74"/>
      <c r="E418" s="81"/>
      <c r="F418" s="12"/>
    </row>
    <row r="419" ht="13.5" customHeight="1">
      <c r="A419" s="79"/>
      <c r="C419" s="80"/>
      <c r="D419" s="74"/>
      <c r="E419" s="81"/>
      <c r="F419" s="12"/>
    </row>
    <row r="420" ht="13.5" customHeight="1">
      <c r="A420" s="79"/>
      <c r="C420" s="80"/>
      <c r="D420" s="74"/>
      <c r="E420" s="81"/>
      <c r="F420" s="12"/>
    </row>
    <row r="421" ht="13.5" customHeight="1">
      <c r="A421" s="79"/>
      <c r="C421" s="80"/>
      <c r="D421" s="74"/>
      <c r="E421" s="81"/>
      <c r="F421" s="12"/>
    </row>
    <row r="422" ht="13.5" customHeight="1">
      <c r="A422" s="79"/>
      <c r="C422" s="80"/>
      <c r="D422" s="74"/>
      <c r="E422" s="81"/>
      <c r="F422" s="12"/>
    </row>
    <row r="423" ht="13.5" customHeight="1">
      <c r="A423" s="79"/>
      <c r="C423" s="80"/>
      <c r="D423" s="74"/>
      <c r="E423" s="81"/>
      <c r="F423" s="12"/>
    </row>
    <row r="424" ht="13.5" customHeight="1">
      <c r="A424" s="79"/>
      <c r="C424" s="80"/>
      <c r="D424" s="74"/>
      <c r="E424" s="81"/>
      <c r="F424" s="12"/>
    </row>
    <row r="425" ht="13.5" customHeight="1">
      <c r="A425" s="79"/>
      <c r="C425" s="80"/>
      <c r="D425" s="74"/>
      <c r="E425" s="81"/>
      <c r="F425" s="12"/>
    </row>
    <row r="426" ht="13.5" customHeight="1">
      <c r="A426" s="79"/>
      <c r="C426" s="80"/>
      <c r="D426" s="74"/>
      <c r="E426" s="81"/>
      <c r="F426" s="12"/>
    </row>
    <row r="427" ht="13.5" customHeight="1">
      <c r="A427" s="79"/>
      <c r="C427" s="80"/>
      <c r="D427" s="74"/>
      <c r="E427" s="81"/>
      <c r="F427" s="12"/>
    </row>
    <row r="428" ht="13.5" customHeight="1">
      <c r="A428" s="79"/>
      <c r="C428" s="80"/>
      <c r="D428" s="74"/>
      <c r="E428" s="81"/>
      <c r="F428" s="12"/>
    </row>
    <row r="429" ht="13.5" customHeight="1">
      <c r="A429" s="79"/>
      <c r="C429" s="80"/>
      <c r="D429" s="74"/>
      <c r="E429" s="81"/>
      <c r="F429" s="12"/>
    </row>
    <row r="430" ht="13.5" customHeight="1">
      <c r="A430" s="79"/>
      <c r="C430" s="80"/>
      <c r="D430" s="74"/>
      <c r="E430" s="81"/>
      <c r="F430" s="12"/>
    </row>
    <row r="431" ht="13.5" customHeight="1">
      <c r="A431" s="79"/>
      <c r="C431" s="80"/>
      <c r="D431" s="74"/>
      <c r="E431" s="81"/>
      <c r="F431" s="12"/>
    </row>
    <row r="432" ht="13.5" customHeight="1">
      <c r="A432" s="79"/>
      <c r="C432" s="80"/>
      <c r="D432" s="74"/>
      <c r="E432" s="81"/>
      <c r="F432" s="12"/>
    </row>
    <row r="433" ht="13.5" customHeight="1">
      <c r="A433" s="79"/>
      <c r="C433" s="80"/>
      <c r="D433" s="74"/>
      <c r="E433" s="81"/>
      <c r="F433" s="12"/>
    </row>
    <row r="434" ht="13.5" customHeight="1">
      <c r="A434" s="79"/>
      <c r="C434" s="80"/>
      <c r="D434" s="74"/>
      <c r="E434" s="81"/>
      <c r="F434" s="12"/>
    </row>
    <row r="435" ht="13.5" customHeight="1">
      <c r="A435" s="79"/>
      <c r="C435" s="80"/>
      <c r="D435" s="74"/>
      <c r="E435" s="81"/>
      <c r="F435" s="12"/>
    </row>
    <row r="436" ht="13.5" customHeight="1">
      <c r="A436" s="79"/>
      <c r="C436" s="80"/>
      <c r="D436" s="74"/>
      <c r="E436" s="81"/>
      <c r="F436" s="12"/>
    </row>
    <row r="437" ht="13.5" customHeight="1">
      <c r="A437" s="79"/>
      <c r="C437" s="80"/>
      <c r="D437" s="74"/>
      <c r="E437" s="81"/>
      <c r="F437" s="12"/>
    </row>
    <row r="438" ht="13.5" customHeight="1">
      <c r="A438" s="79"/>
      <c r="C438" s="80"/>
      <c r="D438" s="74"/>
      <c r="E438" s="81"/>
      <c r="F438" s="12"/>
    </row>
    <row r="439" ht="13.5" customHeight="1">
      <c r="A439" s="79"/>
      <c r="C439" s="80"/>
      <c r="D439" s="74"/>
      <c r="E439" s="81"/>
      <c r="F439" s="12"/>
    </row>
    <row r="440" ht="13.5" customHeight="1">
      <c r="A440" s="79"/>
      <c r="C440" s="80"/>
      <c r="D440" s="74"/>
      <c r="E440" s="81"/>
      <c r="F440" s="12"/>
    </row>
    <row r="441" ht="13.5" customHeight="1">
      <c r="A441" s="79"/>
      <c r="C441" s="80"/>
      <c r="D441" s="74"/>
      <c r="E441" s="81"/>
      <c r="F441" s="12"/>
    </row>
    <row r="442" ht="13.5" customHeight="1">
      <c r="A442" s="79"/>
      <c r="C442" s="80"/>
      <c r="D442" s="74"/>
      <c r="E442" s="81"/>
      <c r="F442" s="12"/>
    </row>
    <row r="443" ht="13.5" customHeight="1">
      <c r="A443" s="79"/>
      <c r="C443" s="80"/>
      <c r="D443" s="74"/>
      <c r="E443" s="81"/>
      <c r="F443" s="12"/>
    </row>
    <row r="444" ht="13.5" customHeight="1">
      <c r="A444" s="79"/>
      <c r="C444" s="80"/>
      <c r="D444" s="74"/>
      <c r="E444" s="81"/>
      <c r="F444" s="12"/>
    </row>
    <row r="445" ht="13.5" customHeight="1">
      <c r="A445" s="79"/>
      <c r="C445" s="80"/>
      <c r="D445" s="74"/>
      <c r="E445" s="81"/>
      <c r="F445" s="12"/>
    </row>
    <row r="446" ht="13.5" customHeight="1">
      <c r="A446" s="79"/>
      <c r="C446" s="80"/>
      <c r="D446" s="74"/>
      <c r="E446" s="81"/>
      <c r="F446" s="12"/>
    </row>
    <row r="447" ht="13.5" customHeight="1">
      <c r="A447" s="79"/>
      <c r="C447" s="80"/>
      <c r="D447" s="74"/>
      <c r="E447" s="81"/>
      <c r="F447" s="12"/>
    </row>
    <row r="448" ht="13.5" customHeight="1">
      <c r="A448" s="79"/>
      <c r="C448" s="80"/>
      <c r="D448" s="74"/>
      <c r="E448" s="81"/>
      <c r="F448" s="12"/>
    </row>
    <row r="449" ht="13.5" customHeight="1">
      <c r="A449" s="79"/>
      <c r="C449" s="80"/>
      <c r="D449" s="74"/>
      <c r="E449" s="81"/>
      <c r="F449" s="12"/>
    </row>
    <row r="450" ht="13.5" customHeight="1">
      <c r="A450" s="79"/>
      <c r="C450" s="80"/>
      <c r="D450" s="74"/>
      <c r="E450" s="81"/>
      <c r="F450" s="12"/>
    </row>
    <row r="451" ht="13.5" customHeight="1">
      <c r="A451" s="79"/>
      <c r="C451" s="80"/>
      <c r="D451" s="74"/>
      <c r="E451" s="81"/>
      <c r="F451" s="12"/>
    </row>
    <row r="452" ht="13.5" customHeight="1">
      <c r="A452" s="79"/>
      <c r="C452" s="80"/>
      <c r="D452" s="74"/>
      <c r="E452" s="81"/>
      <c r="F452" s="12"/>
    </row>
    <row r="453" ht="13.5" customHeight="1">
      <c r="A453" s="79"/>
      <c r="C453" s="80"/>
      <c r="D453" s="74"/>
      <c r="E453" s="81"/>
      <c r="F453" s="12"/>
    </row>
    <row r="454" ht="13.5" customHeight="1">
      <c r="A454" s="79"/>
      <c r="C454" s="80"/>
      <c r="D454" s="74"/>
      <c r="E454" s="81"/>
      <c r="F454" s="12"/>
    </row>
    <row r="455" ht="13.5" customHeight="1">
      <c r="A455" s="79"/>
      <c r="C455" s="80"/>
      <c r="D455" s="74"/>
      <c r="E455" s="81"/>
      <c r="F455" s="12"/>
    </row>
    <row r="456" ht="13.5" customHeight="1">
      <c r="A456" s="79"/>
      <c r="C456" s="80"/>
      <c r="D456" s="74"/>
      <c r="E456" s="81"/>
      <c r="F456" s="12"/>
    </row>
    <row r="457" ht="13.5" customHeight="1">
      <c r="A457" s="79"/>
      <c r="C457" s="80"/>
      <c r="D457" s="74"/>
      <c r="E457" s="81"/>
      <c r="F457" s="12"/>
    </row>
    <row r="458" ht="13.5" customHeight="1">
      <c r="A458" s="79"/>
      <c r="C458" s="80"/>
      <c r="D458" s="74"/>
      <c r="E458" s="81"/>
      <c r="F458" s="12"/>
    </row>
    <row r="459" ht="13.5" customHeight="1">
      <c r="A459" s="79"/>
      <c r="C459" s="80"/>
      <c r="D459" s="74"/>
      <c r="E459" s="81"/>
      <c r="F459" s="12"/>
    </row>
    <row r="460" ht="13.5" customHeight="1">
      <c r="A460" s="79"/>
      <c r="C460" s="80"/>
      <c r="D460" s="74"/>
      <c r="E460" s="81"/>
      <c r="F460" s="12"/>
    </row>
    <row r="461" ht="13.5" customHeight="1">
      <c r="A461" s="79"/>
      <c r="C461" s="80"/>
      <c r="D461" s="74"/>
      <c r="E461" s="81"/>
      <c r="F461" s="12"/>
    </row>
    <row r="462" ht="13.5" customHeight="1">
      <c r="A462" s="79"/>
      <c r="C462" s="80"/>
      <c r="D462" s="74"/>
      <c r="E462" s="81"/>
      <c r="F462" s="12"/>
    </row>
    <row r="463" ht="13.5" customHeight="1">
      <c r="A463" s="79"/>
      <c r="C463" s="80"/>
      <c r="D463" s="74"/>
      <c r="E463" s="81"/>
      <c r="F463" s="12"/>
    </row>
    <row r="464" ht="13.5" customHeight="1">
      <c r="A464" s="79"/>
      <c r="C464" s="80"/>
      <c r="D464" s="74"/>
      <c r="E464" s="81"/>
      <c r="F464" s="12"/>
    </row>
    <row r="465" ht="13.5" customHeight="1">
      <c r="A465" s="79"/>
      <c r="C465" s="80"/>
      <c r="D465" s="74"/>
      <c r="E465" s="81"/>
      <c r="F465" s="12"/>
    </row>
    <row r="466" ht="13.5" customHeight="1">
      <c r="A466" s="79"/>
      <c r="C466" s="80"/>
      <c r="D466" s="74"/>
      <c r="E466" s="81"/>
      <c r="F466" s="12"/>
    </row>
    <row r="467" ht="13.5" customHeight="1">
      <c r="A467" s="79"/>
      <c r="C467" s="80"/>
      <c r="D467" s="74"/>
      <c r="E467" s="81"/>
      <c r="F467" s="12"/>
    </row>
    <row r="468" ht="13.5" customHeight="1">
      <c r="A468" s="79"/>
      <c r="C468" s="80"/>
      <c r="D468" s="74"/>
      <c r="E468" s="81"/>
      <c r="F468" s="12"/>
    </row>
    <row r="469" ht="13.5" customHeight="1">
      <c r="A469" s="79"/>
      <c r="C469" s="80"/>
      <c r="D469" s="74"/>
      <c r="E469" s="81"/>
      <c r="F469" s="12"/>
    </row>
    <row r="470" ht="13.5" customHeight="1">
      <c r="A470" s="79"/>
      <c r="C470" s="80"/>
      <c r="D470" s="74"/>
      <c r="E470" s="81"/>
      <c r="F470" s="12"/>
    </row>
    <row r="471" ht="13.5" customHeight="1">
      <c r="A471" s="79"/>
      <c r="C471" s="80"/>
      <c r="D471" s="74"/>
      <c r="E471" s="81"/>
      <c r="F471" s="12"/>
    </row>
    <row r="472" ht="13.5" customHeight="1">
      <c r="A472" s="79"/>
      <c r="C472" s="80"/>
      <c r="D472" s="74"/>
      <c r="E472" s="81"/>
      <c r="F472" s="12"/>
    </row>
    <row r="473" ht="13.5" customHeight="1">
      <c r="A473" s="79"/>
      <c r="C473" s="80"/>
      <c r="D473" s="74"/>
      <c r="E473" s="81"/>
      <c r="F473" s="12"/>
    </row>
    <row r="474" ht="13.5" customHeight="1">
      <c r="A474" s="79"/>
      <c r="C474" s="80"/>
      <c r="D474" s="74"/>
      <c r="E474" s="81"/>
      <c r="F474" s="12"/>
    </row>
    <row r="475" ht="13.5" customHeight="1">
      <c r="A475" s="79"/>
      <c r="C475" s="80"/>
      <c r="D475" s="74"/>
      <c r="E475" s="81"/>
      <c r="F475" s="12"/>
    </row>
    <row r="476" ht="13.5" customHeight="1">
      <c r="A476" s="79"/>
      <c r="C476" s="80"/>
      <c r="D476" s="74"/>
      <c r="E476" s="81"/>
      <c r="F476" s="12"/>
    </row>
    <row r="477" ht="13.5" customHeight="1">
      <c r="A477" s="79"/>
      <c r="C477" s="80"/>
      <c r="D477" s="74"/>
      <c r="E477" s="81"/>
      <c r="F477" s="12"/>
    </row>
    <row r="478" ht="13.5" customHeight="1">
      <c r="A478" s="79"/>
      <c r="C478" s="80"/>
      <c r="D478" s="74"/>
      <c r="E478" s="81"/>
      <c r="F478" s="12"/>
    </row>
    <row r="479" ht="13.5" customHeight="1">
      <c r="A479" s="79"/>
      <c r="C479" s="80"/>
      <c r="D479" s="74"/>
      <c r="E479" s="81"/>
      <c r="F479" s="12"/>
    </row>
    <row r="480" ht="13.5" customHeight="1">
      <c r="A480" s="79"/>
      <c r="C480" s="80"/>
      <c r="D480" s="74"/>
      <c r="E480" s="81"/>
      <c r="F480" s="12"/>
    </row>
    <row r="481" ht="13.5" customHeight="1">
      <c r="A481" s="79"/>
      <c r="C481" s="80"/>
      <c r="D481" s="74"/>
      <c r="E481" s="81"/>
      <c r="F481" s="12"/>
    </row>
    <row r="482" ht="13.5" customHeight="1">
      <c r="A482" s="79"/>
      <c r="C482" s="80"/>
      <c r="D482" s="74"/>
      <c r="E482" s="81"/>
      <c r="F482" s="12"/>
    </row>
    <row r="483" ht="13.5" customHeight="1">
      <c r="A483" s="79"/>
      <c r="C483" s="80"/>
      <c r="D483" s="74"/>
      <c r="E483" s="81"/>
      <c r="F483" s="12"/>
    </row>
    <row r="484" ht="13.5" customHeight="1">
      <c r="A484" s="79"/>
      <c r="C484" s="80"/>
      <c r="D484" s="74"/>
      <c r="E484" s="81"/>
      <c r="F484" s="12"/>
    </row>
    <row r="485" ht="13.5" customHeight="1">
      <c r="A485" s="79"/>
      <c r="C485" s="80"/>
      <c r="D485" s="74"/>
      <c r="E485" s="81"/>
      <c r="F485" s="12"/>
    </row>
    <row r="486" ht="13.5" customHeight="1">
      <c r="A486" s="79"/>
      <c r="C486" s="80"/>
      <c r="D486" s="74"/>
      <c r="E486" s="81"/>
      <c r="F486" s="12"/>
    </row>
    <row r="487" ht="13.5" customHeight="1">
      <c r="A487" s="79"/>
      <c r="C487" s="80"/>
      <c r="D487" s="74"/>
      <c r="E487" s="81"/>
      <c r="F487" s="12"/>
    </row>
    <row r="488" ht="13.5" customHeight="1">
      <c r="A488" s="79"/>
      <c r="C488" s="80"/>
      <c r="D488" s="74"/>
      <c r="E488" s="81"/>
      <c r="F488" s="12"/>
    </row>
    <row r="489" ht="13.5" customHeight="1">
      <c r="A489" s="79"/>
      <c r="C489" s="80"/>
      <c r="D489" s="74"/>
      <c r="E489" s="81"/>
      <c r="F489" s="12"/>
    </row>
    <row r="490" ht="13.5" customHeight="1">
      <c r="A490" s="79"/>
      <c r="C490" s="80"/>
      <c r="D490" s="74"/>
      <c r="E490" s="81"/>
      <c r="F490" s="12"/>
    </row>
    <row r="491" ht="13.5" customHeight="1">
      <c r="A491" s="79"/>
      <c r="C491" s="80"/>
      <c r="D491" s="74"/>
      <c r="E491" s="81"/>
      <c r="F491" s="12"/>
    </row>
    <row r="492" ht="13.5" customHeight="1">
      <c r="A492" s="79"/>
      <c r="C492" s="80"/>
      <c r="D492" s="74"/>
      <c r="E492" s="81"/>
      <c r="F492" s="12"/>
    </row>
    <row r="493" ht="13.5" customHeight="1">
      <c r="A493" s="79"/>
      <c r="C493" s="80"/>
      <c r="D493" s="74"/>
      <c r="E493" s="81"/>
      <c r="F493" s="12"/>
    </row>
    <row r="494" ht="13.5" customHeight="1">
      <c r="A494" s="79"/>
      <c r="C494" s="80"/>
      <c r="D494" s="74"/>
      <c r="E494" s="81"/>
      <c r="F494" s="12"/>
    </row>
    <row r="495" ht="13.5" customHeight="1">
      <c r="A495" s="79"/>
      <c r="C495" s="80"/>
      <c r="D495" s="74"/>
      <c r="E495" s="81"/>
      <c r="F495" s="12"/>
    </row>
    <row r="496" ht="13.5" customHeight="1">
      <c r="A496" s="79"/>
      <c r="C496" s="80"/>
      <c r="D496" s="74"/>
      <c r="E496" s="81"/>
      <c r="F496" s="12"/>
    </row>
    <row r="497" ht="13.5" customHeight="1">
      <c r="A497" s="79"/>
      <c r="C497" s="80"/>
      <c r="D497" s="74"/>
      <c r="E497" s="81"/>
      <c r="F497" s="12"/>
    </row>
    <row r="498" ht="13.5" customHeight="1">
      <c r="A498" s="79"/>
      <c r="C498" s="80"/>
      <c r="D498" s="74"/>
      <c r="E498" s="81"/>
      <c r="F498" s="12"/>
    </row>
    <row r="499" ht="13.5" customHeight="1">
      <c r="A499" s="79"/>
      <c r="C499" s="80"/>
      <c r="D499" s="74"/>
      <c r="E499" s="81"/>
      <c r="F499" s="12"/>
    </row>
    <row r="500" ht="13.5" customHeight="1">
      <c r="A500" s="79"/>
      <c r="C500" s="80"/>
      <c r="D500" s="74"/>
      <c r="E500" s="81"/>
      <c r="F500" s="12"/>
    </row>
    <row r="501" ht="13.5" customHeight="1">
      <c r="A501" s="79"/>
      <c r="C501" s="80"/>
      <c r="D501" s="74"/>
      <c r="E501" s="81"/>
      <c r="F501" s="12"/>
    </row>
    <row r="502" ht="13.5" customHeight="1">
      <c r="A502" s="79"/>
      <c r="C502" s="80"/>
      <c r="D502" s="74"/>
      <c r="E502" s="81"/>
      <c r="F502" s="12"/>
    </row>
    <row r="503" ht="13.5" customHeight="1">
      <c r="A503" s="79"/>
      <c r="C503" s="80"/>
      <c r="D503" s="74"/>
      <c r="E503" s="81"/>
      <c r="F503" s="12"/>
    </row>
    <row r="504" ht="13.5" customHeight="1">
      <c r="A504" s="79"/>
      <c r="C504" s="80"/>
      <c r="D504" s="74"/>
      <c r="E504" s="81"/>
      <c r="F504" s="12"/>
    </row>
    <row r="505" ht="13.5" customHeight="1">
      <c r="A505" s="79"/>
      <c r="C505" s="80"/>
      <c r="D505" s="74"/>
      <c r="E505" s="81"/>
      <c r="F505" s="12"/>
    </row>
    <row r="506" ht="13.5" customHeight="1">
      <c r="A506" s="79"/>
      <c r="C506" s="80"/>
      <c r="D506" s="74"/>
      <c r="E506" s="81"/>
      <c r="F506" s="12"/>
    </row>
    <row r="507" ht="13.5" customHeight="1">
      <c r="A507" s="79"/>
      <c r="C507" s="80"/>
      <c r="D507" s="74"/>
      <c r="E507" s="81"/>
      <c r="F507" s="12"/>
    </row>
    <row r="508" ht="13.5" customHeight="1">
      <c r="A508" s="79"/>
      <c r="C508" s="80"/>
      <c r="D508" s="74"/>
      <c r="E508" s="81"/>
      <c r="F508" s="12"/>
    </row>
    <row r="509" ht="13.5" customHeight="1">
      <c r="A509" s="79"/>
      <c r="C509" s="80"/>
      <c r="D509" s="74"/>
      <c r="E509" s="81"/>
      <c r="F509" s="12"/>
    </row>
    <row r="510" ht="13.5" customHeight="1">
      <c r="A510" s="79"/>
      <c r="C510" s="80"/>
      <c r="D510" s="74"/>
      <c r="E510" s="81"/>
      <c r="F510" s="12"/>
    </row>
    <row r="511" ht="13.5" customHeight="1">
      <c r="A511" s="79"/>
      <c r="C511" s="80"/>
      <c r="D511" s="74"/>
      <c r="E511" s="81"/>
      <c r="F511" s="12"/>
    </row>
    <row r="512" ht="13.5" customHeight="1">
      <c r="A512" s="79"/>
      <c r="C512" s="80"/>
      <c r="D512" s="74"/>
      <c r="E512" s="81"/>
      <c r="F512" s="12"/>
    </row>
    <row r="513" ht="13.5" customHeight="1">
      <c r="A513" s="79"/>
      <c r="C513" s="80"/>
      <c r="D513" s="74"/>
      <c r="E513" s="81"/>
      <c r="F513" s="12"/>
    </row>
    <row r="514" ht="13.5" customHeight="1">
      <c r="A514" s="79"/>
      <c r="C514" s="80"/>
      <c r="D514" s="74"/>
      <c r="E514" s="81"/>
      <c r="F514" s="12"/>
    </row>
    <row r="515" ht="13.5" customHeight="1">
      <c r="A515" s="79"/>
      <c r="C515" s="80"/>
      <c r="D515" s="74"/>
      <c r="E515" s="81"/>
      <c r="F515" s="12"/>
    </row>
    <row r="516" ht="13.5" customHeight="1">
      <c r="A516" s="79"/>
      <c r="C516" s="80"/>
      <c r="D516" s="74"/>
      <c r="E516" s="81"/>
      <c r="F516" s="12"/>
    </row>
    <row r="517" ht="13.5" customHeight="1">
      <c r="A517" s="79"/>
      <c r="C517" s="80"/>
      <c r="D517" s="74"/>
      <c r="E517" s="81"/>
      <c r="F517" s="12"/>
    </row>
    <row r="518" ht="13.5" customHeight="1">
      <c r="A518" s="79"/>
      <c r="C518" s="80"/>
      <c r="D518" s="74"/>
      <c r="E518" s="81"/>
      <c r="F518" s="12"/>
    </row>
    <row r="519" ht="13.5" customHeight="1">
      <c r="A519" s="79"/>
      <c r="C519" s="80"/>
      <c r="D519" s="74"/>
      <c r="E519" s="81"/>
      <c r="F519" s="12"/>
    </row>
    <row r="520" ht="13.5" customHeight="1">
      <c r="A520" s="79"/>
      <c r="C520" s="80"/>
      <c r="D520" s="74"/>
      <c r="E520" s="81"/>
      <c r="F520" s="12"/>
    </row>
    <row r="521" ht="13.5" customHeight="1">
      <c r="A521" s="79"/>
      <c r="C521" s="80"/>
      <c r="D521" s="74"/>
      <c r="E521" s="81"/>
      <c r="F521" s="12"/>
    </row>
    <row r="522" ht="13.5" customHeight="1">
      <c r="A522" s="79"/>
      <c r="C522" s="80"/>
      <c r="D522" s="74"/>
      <c r="E522" s="81"/>
      <c r="F522" s="12"/>
    </row>
    <row r="523" ht="13.5" customHeight="1">
      <c r="A523" s="79"/>
      <c r="C523" s="80"/>
      <c r="D523" s="74"/>
      <c r="E523" s="81"/>
      <c r="F523" s="12"/>
    </row>
    <row r="524" ht="13.5" customHeight="1">
      <c r="A524" s="79"/>
      <c r="C524" s="80"/>
      <c r="D524" s="74"/>
      <c r="E524" s="81"/>
      <c r="F524" s="12"/>
    </row>
    <row r="525" ht="13.5" customHeight="1">
      <c r="A525" s="79"/>
      <c r="C525" s="80"/>
      <c r="D525" s="74"/>
      <c r="E525" s="81"/>
      <c r="F525" s="12"/>
    </row>
    <row r="526" ht="13.5" customHeight="1">
      <c r="A526" s="79"/>
      <c r="C526" s="80"/>
      <c r="D526" s="74"/>
      <c r="E526" s="81"/>
      <c r="F526" s="12"/>
    </row>
    <row r="527" ht="13.5" customHeight="1">
      <c r="A527" s="79"/>
      <c r="C527" s="80"/>
      <c r="D527" s="74"/>
      <c r="E527" s="81"/>
      <c r="F527" s="12"/>
    </row>
    <row r="528" ht="13.5" customHeight="1">
      <c r="A528" s="79"/>
      <c r="C528" s="80"/>
      <c r="D528" s="74"/>
      <c r="E528" s="81"/>
      <c r="F528" s="12"/>
    </row>
    <row r="529" ht="13.5" customHeight="1">
      <c r="A529" s="79"/>
      <c r="C529" s="80"/>
      <c r="D529" s="74"/>
      <c r="E529" s="81"/>
      <c r="F529" s="12"/>
    </row>
    <row r="530" ht="13.5" customHeight="1">
      <c r="A530" s="79"/>
      <c r="C530" s="80"/>
      <c r="D530" s="74"/>
      <c r="E530" s="81"/>
      <c r="F530" s="12"/>
    </row>
    <row r="531" ht="13.5" customHeight="1">
      <c r="A531" s="79"/>
      <c r="C531" s="80"/>
      <c r="D531" s="74"/>
      <c r="E531" s="81"/>
      <c r="F531" s="12"/>
    </row>
    <row r="532" ht="13.5" customHeight="1">
      <c r="A532" s="79"/>
      <c r="C532" s="80"/>
      <c r="D532" s="74"/>
      <c r="E532" s="81"/>
      <c r="F532" s="12"/>
    </row>
    <row r="533" ht="13.5" customHeight="1">
      <c r="A533" s="79"/>
      <c r="C533" s="80"/>
      <c r="D533" s="74"/>
      <c r="E533" s="81"/>
      <c r="F533" s="12"/>
    </row>
    <row r="534" ht="13.5" customHeight="1">
      <c r="A534" s="79"/>
      <c r="C534" s="80"/>
      <c r="D534" s="74"/>
      <c r="E534" s="81"/>
      <c r="F534" s="12"/>
    </row>
    <row r="535" ht="13.5" customHeight="1">
      <c r="A535" s="79"/>
      <c r="C535" s="80"/>
      <c r="D535" s="74"/>
      <c r="E535" s="81"/>
      <c r="F535" s="12"/>
    </row>
    <row r="536" ht="13.5" customHeight="1">
      <c r="A536" s="79"/>
      <c r="C536" s="80"/>
      <c r="D536" s="74"/>
      <c r="E536" s="81"/>
      <c r="F536" s="12"/>
    </row>
    <row r="537" ht="13.5" customHeight="1">
      <c r="A537" s="79"/>
      <c r="C537" s="80"/>
      <c r="D537" s="74"/>
      <c r="E537" s="81"/>
      <c r="F537" s="12"/>
    </row>
    <row r="538" ht="13.5" customHeight="1">
      <c r="A538" s="79"/>
      <c r="C538" s="80"/>
      <c r="D538" s="74"/>
      <c r="E538" s="81"/>
      <c r="F538" s="12"/>
    </row>
    <row r="539" ht="13.5" customHeight="1">
      <c r="A539" s="79"/>
      <c r="C539" s="80"/>
      <c r="D539" s="74"/>
      <c r="E539" s="81"/>
      <c r="F539" s="12"/>
    </row>
    <row r="540" ht="13.5" customHeight="1">
      <c r="A540" s="79"/>
      <c r="C540" s="80"/>
      <c r="D540" s="74"/>
      <c r="E540" s="81"/>
      <c r="F540" s="12"/>
    </row>
    <row r="541" ht="13.5" customHeight="1">
      <c r="A541" s="79"/>
      <c r="C541" s="80"/>
      <c r="D541" s="74"/>
      <c r="E541" s="81"/>
      <c r="F541" s="12"/>
    </row>
    <row r="542" ht="13.5" customHeight="1">
      <c r="A542" s="79"/>
      <c r="C542" s="80"/>
      <c r="D542" s="74"/>
      <c r="E542" s="81"/>
      <c r="F542" s="12"/>
    </row>
    <row r="543" ht="13.5" customHeight="1">
      <c r="A543" s="79"/>
      <c r="C543" s="80"/>
      <c r="D543" s="74"/>
      <c r="E543" s="81"/>
      <c r="F543" s="12"/>
    </row>
    <row r="544" ht="13.5" customHeight="1">
      <c r="A544" s="79"/>
      <c r="C544" s="80"/>
      <c r="D544" s="74"/>
      <c r="E544" s="81"/>
      <c r="F544" s="12"/>
    </row>
    <row r="545" ht="13.5" customHeight="1">
      <c r="A545" s="79"/>
      <c r="C545" s="80"/>
      <c r="D545" s="74"/>
      <c r="E545" s="81"/>
      <c r="F545" s="12"/>
    </row>
    <row r="546" ht="13.5" customHeight="1">
      <c r="A546" s="79"/>
      <c r="C546" s="80"/>
      <c r="D546" s="74"/>
      <c r="E546" s="81"/>
      <c r="F546" s="12"/>
    </row>
    <row r="547" ht="13.5" customHeight="1">
      <c r="A547" s="79"/>
      <c r="C547" s="80"/>
      <c r="D547" s="74"/>
      <c r="E547" s="81"/>
      <c r="F547" s="12"/>
    </row>
    <row r="548" ht="13.5" customHeight="1">
      <c r="A548" s="79"/>
      <c r="C548" s="80"/>
      <c r="D548" s="74"/>
      <c r="E548" s="81"/>
      <c r="F548" s="12"/>
    </row>
    <row r="549" ht="13.5" customHeight="1">
      <c r="A549" s="79"/>
      <c r="C549" s="80"/>
      <c r="D549" s="74"/>
      <c r="E549" s="81"/>
      <c r="F549" s="12"/>
    </row>
    <row r="550" ht="13.5" customHeight="1">
      <c r="A550" s="79"/>
      <c r="C550" s="80"/>
      <c r="D550" s="74"/>
      <c r="E550" s="81"/>
      <c r="F550" s="12"/>
    </row>
    <row r="551" ht="13.5" customHeight="1">
      <c r="A551" s="79"/>
      <c r="C551" s="80"/>
      <c r="D551" s="74"/>
      <c r="E551" s="81"/>
      <c r="F551" s="12"/>
    </row>
    <row r="552" ht="13.5" customHeight="1">
      <c r="A552" s="79"/>
      <c r="C552" s="80"/>
      <c r="D552" s="74"/>
      <c r="E552" s="81"/>
      <c r="F552" s="12"/>
    </row>
    <row r="553" ht="13.5" customHeight="1">
      <c r="A553" s="79"/>
      <c r="C553" s="80"/>
      <c r="D553" s="74"/>
      <c r="E553" s="81"/>
      <c r="F553" s="12"/>
    </row>
    <row r="554" ht="13.5" customHeight="1">
      <c r="A554" s="79"/>
      <c r="C554" s="80"/>
      <c r="D554" s="74"/>
      <c r="E554" s="81"/>
      <c r="F554" s="12"/>
    </row>
    <row r="555" ht="13.5" customHeight="1">
      <c r="A555" s="79"/>
      <c r="C555" s="80"/>
      <c r="D555" s="74"/>
      <c r="E555" s="81"/>
      <c r="F555" s="12"/>
    </row>
    <row r="556" ht="13.5" customHeight="1">
      <c r="A556" s="79"/>
      <c r="C556" s="80"/>
      <c r="D556" s="74"/>
      <c r="E556" s="81"/>
      <c r="F556" s="12"/>
    </row>
    <row r="557" ht="13.5" customHeight="1">
      <c r="A557" s="79"/>
      <c r="C557" s="80"/>
      <c r="D557" s="74"/>
      <c r="E557" s="81"/>
      <c r="F557" s="12"/>
    </row>
    <row r="558" ht="13.5" customHeight="1">
      <c r="A558" s="79"/>
      <c r="C558" s="80"/>
      <c r="D558" s="74"/>
      <c r="E558" s="81"/>
      <c r="F558" s="12"/>
    </row>
    <row r="559" ht="13.5" customHeight="1">
      <c r="A559" s="79"/>
      <c r="C559" s="80"/>
      <c r="D559" s="74"/>
      <c r="E559" s="81"/>
      <c r="F559" s="12"/>
    </row>
    <row r="560" ht="13.5" customHeight="1">
      <c r="A560" s="79"/>
      <c r="C560" s="80"/>
      <c r="D560" s="74"/>
      <c r="E560" s="81"/>
      <c r="F560" s="12"/>
    </row>
    <row r="561" ht="13.5" customHeight="1">
      <c r="A561" s="79"/>
      <c r="C561" s="80"/>
      <c r="D561" s="74"/>
      <c r="E561" s="81"/>
      <c r="F561" s="12"/>
    </row>
    <row r="562" ht="13.5" customHeight="1">
      <c r="A562" s="79"/>
      <c r="C562" s="80"/>
      <c r="D562" s="74"/>
      <c r="E562" s="81"/>
      <c r="F562" s="12"/>
    </row>
    <row r="563" ht="13.5" customHeight="1">
      <c r="A563" s="79"/>
      <c r="C563" s="80"/>
      <c r="D563" s="74"/>
      <c r="E563" s="81"/>
      <c r="F563" s="12"/>
    </row>
    <row r="564" ht="13.5" customHeight="1">
      <c r="A564" s="79"/>
      <c r="C564" s="80"/>
      <c r="D564" s="74"/>
      <c r="E564" s="81"/>
      <c r="F564" s="12"/>
    </row>
    <row r="565" ht="13.5" customHeight="1">
      <c r="A565" s="79"/>
      <c r="C565" s="80"/>
      <c r="D565" s="74"/>
      <c r="E565" s="81"/>
      <c r="F565" s="12"/>
    </row>
    <row r="566" ht="13.5" customHeight="1">
      <c r="A566" s="79"/>
      <c r="C566" s="80"/>
      <c r="D566" s="74"/>
      <c r="E566" s="81"/>
      <c r="F566" s="12"/>
    </row>
    <row r="567" ht="13.5" customHeight="1">
      <c r="A567" s="79"/>
      <c r="C567" s="80"/>
      <c r="D567" s="74"/>
      <c r="E567" s="81"/>
      <c r="F567" s="12"/>
    </row>
    <row r="568" ht="13.5" customHeight="1">
      <c r="A568" s="79"/>
      <c r="C568" s="80"/>
      <c r="D568" s="74"/>
      <c r="E568" s="81"/>
      <c r="F568" s="12"/>
    </row>
    <row r="569" ht="13.5" customHeight="1">
      <c r="A569" s="79"/>
      <c r="C569" s="80"/>
      <c r="D569" s="74"/>
      <c r="E569" s="81"/>
      <c r="F569" s="12"/>
    </row>
    <row r="570" ht="13.5" customHeight="1">
      <c r="A570" s="79"/>
      <c r="C570" s="80"/>
      <c r="D570" s="74"/>
      <c r="E570" s="81"/>
      <c r="F570" s="12"/>
    </row>
    <row r="571" ht="13.5" customHeight="1">
      <c r="A571" s="79"/>
      <c r="C571" s="80"/>
      <c r="D571" s="74"/>
      <c r="E571" s="81"/>
      <c r="F571" s="12"/>
    </row>
    <row r="572" ht="13.5" customHeight="1">
      <c r="A572" s="79"/>
      <c r="C572" s="80"/>
      <c r="D572" s="74"/>
      <c r="E572" s="81"/>
      <c r="F572" s="12"/>
    </row>
    <row r="573" ht="13.5" customHeight="1">
      <c r="A573" s="79"/>
      <c r="C573" s="80"/>
      <c r="D573" s="74"/>
      <c r="E573" s="81"/>
      <c r="F573" s="12"/>
    </row>
    <row r="574" ht="13.5" customHeight="1">
      <c r="A574" s="79"/>
      <c r="C574" s="80"/>
      <c r="D574" s="74"/>
      <c r="E574" s="81"/>
      <c r="F574" s="12"/>
    </row>
    <row r="575" ht="13.5" customHeight="1">
      <c r="A575" s="79"/>
      <c r="C575" s="80"/>
      <c r="D575" s="74"/>
      <c r="E575" s="81"/>
      <c r="F575" s="12"/>
    </row>
    <row r="576" ht="13.5" customHeight="1">
      <c r="A576" s="79"/>
      <c r="C576" s="80"/>
      <c r="D576" s="74"/>
      <c r="E576" s="81"/>
      <c r="F576" s="12"/>
    </row>
    <row r="577" ht="13.5" customHeight="1">
      <c r="A577" s="79"/>
      <c r="C577" s="80"/>
      <c r="D577" s="74"/>
      <c r="E577" s="81"/>
      <c r="F577" s="12"/>
    </row>
    <row r="578" ht="13.5" customHeight="1">
      <c r="A578" s="79"/>
      <c r="C578" s="80"/>
      <c r="D578" s="74"/>
      <c r="E578" s="81"/>
      <c r="F578" s="12"/>
    </row>
    <row r="579" ht="13.5" customHeight="1">
      <c r="A579" s="79"/>
      <c r="C579" s="80"/>
      <c r="D579" s="74"/>
      <c r="E579" s="81"/>
      <c r="F579" s="12"/>
    </row>
    <row r="580" ht="13.5" customHeight="1">
      <c r="A580" s="79"/>
      <c r="C580" s="80"/>
      <c r="D580" s="74"/>
      <c r="E580" s="81"/>
      <c r="F580" s="12"/>
    </row>
    <row r="581" ht="13.5" customHeight="1">
      <c r="A581" s="79"/>
      <c r="C581" s="80"/>
      <c r="D581" s="74"/>
      <c r="E581" s="81"/>
      <c r="F581" s="12"/>
    </row>
    <row r="582" ht="13.5" customHeight="1">
      <c r="A582" s="79"/>
      <c r="C582" s="80"/>
      <c r="D582" s="74"/>
      <c r="E582" s="81"/>
      <c r="F582" s="12"/>
    </row>
    <row r="583" ht="13.5" customHeight="1">
      <c r="A583" s="79"/>
      <c r="C583" s="80"/>
      <c r="D583" s="74"/>
      <c r="E583" s="81"/>
      <c r="F583" s="12"/>
    </row>
    <row r="584" ht="13.5" customHeight="1">
      <c r="A584" s="79"/>
      <c r="C584" s="80"/>
      <c r="D584" s="74"/>
      <c r="E584" s="81"/>
      <c r="F584" s="12"/>
    </row>
    <row r="585" ht="13.5" customHeight="1">
      <c r="A585" s="79"/>
      <c r="C585" s="80"/>
      <c r="D585" s="74"/>
      <c r="E585" s="81"/>
      <c r="F585" s="12"/>
    </row>
    <row r="586" ht="13.5" customHeight="1">
      <c r="A586" s="79"/>
      <c r="C586" s="80"/>
      <c r="D586" s="74"/>
      <c r="E586" s="81"/>
      <c r="F586" s="12"/>
    </row>
    <row r="587" ht="13.5" customHeight="1">
      <c r="A587" s="79"/>
      <c r="C587" s="80"/>
      <c r="D587" s="74"/>
      <c r="E587" s="81"/>
      <c r="F587" s="12"/>
    </row>
    <row r="588" ht="13.5" customHeight="1">
      <c r="A588" s="79"/>
      <c r="C588" s="80"/>
      <c r="D588" s="74"/>
      <c r="E588" s="81"/>
      <c r="F588" s="12"/>
    </row>
    <row r="589" ht="13.5" customHeight="1">
      <c r="A589" s="79"/>
      <c r="C589" s="80"/>
      <c r="D589" s="74"/>
      <c r="E589" s="81"/>
      <c r="F589" s="12"/>
    </row>
    <row r="590" ht="13.5" customHeight="1">
      <c r="A590" s="79"/>
      <c r="C590" s="80"/>
      <c r="D590" s="74"/>
      <c r="E590" s="81"/>
      <c r="F590" s="12"/>
    </row>
    <row r="591" ht="13.5" customHeight="1">
      <c r="A591" s="79"/>
      <c r="C591" s="80"/>
      <c r="D591" s="74"/>
      <c r="E591" s="81"/>
      <c r="F591" s="12"/>
    </row>
    <row r="592" ht="13.5" customHeight="1">
      <c r="A592" s="79"/>
      <c r="C592" s="80"/>
      <c r="D592" s="74"/>
      <c r="E592" s="81"/>
      <c r="F592" s="12"/>
    </row>
    <row r="593" ht="13.5" customHeight="1">
      <c r="A593" s="79"/>
      <c r="C593" s="80"/>
      <c r="D593" s="74"/>
      <c r="E593" s="81"/>
      <c r="F593" s="12"/>
    </row>
    <row r="594" ht="13.5" customHeight="1">
      <c r="A594" s="79"/>
      <c r="C594" s="80"/>
      <c r="D594" s="74"/>
      <c r="E594" s="81"/>
      <c r="F594" s="12"/>
    </row>
    <row r="595" ht="13.5" customHeight="1">
      <c r="A595" s="79"/>
      <c r="C595" s="80"/>
      <c r="D595" s="74"/>
      <c r="E595" s="81"/>
      <c r="F595" s="12"/>
    </row>
    <row r="596" ht="13.5" customHeight="1">
      <c r="A596" s="79"/>
      <c r="C596" s="80"/>
      <c r="D596" s="74"/>
      <c r="E596" s="81"/>
      <c r="F596" s="12"/>
    </row>
    <row r="597" ht="13.5" customHeight="1">
      <c r="A597" s="79"/>
      <c r="C597" s="80"/>
      <c r="D597" s="74"/>
      <c r="E597" s="81"/>
      <c r="F597" s="12"/>
    </row>
    <row r="598" ht="13.5" customHeight="1">
      <c r="A598" s="79"/>
      <c r="C598" s="80"/>
      <c r="D598" s="74"/>
      <c r="E598" s="81"/>
      <c r="F598" s="12"/>
    </row>
    <row r="599" ht="13.5" customHeight="1">
      <c r="A599" s="79"/>
      <c r="C599" s="80"/>
      <c r="D599" s="74"/>
      <c r="E599" s="81"/>
      <c r="F599" s="12"/>
    </row>
    <row r="600" ht="13.5" customHeight="1">
      <c r="A600" s="79"/>
      <c r="C600" s="80"/>
      <c r="D600" s="74"/>
      <c r="E600" s="81"/>
      <c r="F600" s="12"/>
    </row>
    <row r="601" ht="13.5" customHeight="1">
      <c r="A601" s="79"/>
      <c r="C601" s="80"/>
      <c r="D601" s="74"/>
      <c r="E601" s="81"/>
      <c r="F601" s="12"/>
    </row>
    <row r="602" ht="13.5" customHeight="1">
      <c r="A602" s="79"/>
      <c r="C602" s="80"/>
      <c r="D602" s="74"/>
      <c r="E602" s="81"/>
      <c r="F602" s="12"/>
    </row>
    <row r="603" ht="13.5" customHeight="1">
      <c r="A603" s="79"/>
      <c r="C603" s="80"/>
      <c r="D603" s="74"/>
      <c r="E603" s="81"/>
      <c r="F603" s="12"/>
    </row>
    <row r="604" ht="13.5" customHeight="1">
      <c r="A604" s="79"/>
      <c r="C604" s="80"/>
      <c r="D604" s="74"/>
      <c r="E604" s="81"/>
      <c r="F604" s="12"/>
    </row>
    <row r="605" ht="13.5" customHeight="1">
      <c r="A605" s="79"/>
      <c r="C605" s="80"/>
      <c r="D605" s="74"/>
      <c r="E605" s="81"/>
      <c r="F605" s="12"/>
    </row>
    <row r="606" ht="13.5" customHeight="1">
      <c r="A606" s="79"/>
      <c r="C606" s="80"/>
      <c r="D606" s="74"/>
      <c r="E606" s="81"/>
      <c r="F606" s="12"/>
    </row>
    <row r="607" ht="13.5" customHeight="1">
      <c r="A607" s="79"/>
      <c r="C607" s="80"/>
      <c r="D607" s="74"/>
      <c r="E607" s="81"/>
      <c r="F607" s="12"/>
    </row>
    <row r="608" ht="13.5" customHeight="1">
      <c r="A608" s="79"/>
      <c r="C608" s="80"/>
      <c r="D608" s="74"/>
      <c r="E608" s="81"/>
      <c r="F608" s="12"/>
    </row>
    <row r="609" ht="13.5" customHeight="1">
      <c r="A609" s="79"/>
      <c r="C609" s="80"/>
      <c r="D609" s="74"/>
      <c r="E609" s="81"/>
      <c r="F609" s="12"/>
    </row>
    <row r="610" ht="13.5" customHeight="1">
      <c r="A610" s="79"/>
      <c r="C610" s="80"/>
      <c r="D610" s="74"/>
      <c r="E610" s="81"/>
      <c r="F610" s="12"/>
    </row>
    <row r="611" ht="13.5" customHeight="1">
      <c r="A611" s="79"/>
      <c r="C611" s="80"/>
      <c r="D611" s="74"/>
      <c r="E611" s="81"/>
      <c r="F611" s="12"/>
    </row>
    <row r="612" ht="13.5" customHeight="1">
      <c r="A612" s="79"/>
      <c r="C612" s="80"/>
      <c r="D612" s="74"/>
      <c r="E612" s="81"/>
      <c r="F612" s="12"/>
    </row>
    <row r="613" ht="13.5" customHeight="1">
      <c r="A613" s="79"/>
      <c r="C613" s="80"/>
      <c r="D613" s="74"/>
      <c r="E613" s="81"/>
      <c r="F613" s="12"/>
    </row>
    <row r="614" ht="13.5" customHeight="1">
      <c r="A614" s="79"/>
      <c r="C614" s="80"/>
      <c r="D614" s="74"/>
      <c r="E614" s="81"/>
      <c r="F614" s="12"/>
    </row>
    <row r="615" ht="13.5" customHeight="1">
      <c r="A615" s="79"/>
      <c r="C615" s="80"/>
      <c r="D615" s="74"/>
      <c r="E615" s="81"/>
      <c r="F615" s="12"/>
    </row>
    <row r="616" ht="13.5" customHeight="1">
      <c r="A616" s="79"/>
      <c r="C616" s="80"/>
      <c r="D616" s="74"/>
      <c r="E616" s="81"/>
      <c r="F616" s="12"/>
    </row>
    <row r="617" ht="13.5" customHeight="1">
      <c r="A617" s="79"/>
      <c r="C617" s="80"/>
      <c r="D617" s="74"/>
      <c r="E617" s="81"/>
      <c r="F617" s="12"/>
    </row>
    <row r="618" ht="13.5" customHeight="1">
      <c r="A618" s="79"/>
      <c r="C618" s="80"/>
      <c r="D618" s="74"/>
      <c r="E618" s="81"/>
      <c r="F618" s="12"/>
    </row>
    <row r="619" ht="13.5" customHeight="1">
      <c r="A619" s="79"/>
      <c r="C619" s="80"/>
      <c r="D619" s="74"/>
      <c r="E619" s="81"/>
      <c r="F619" s="12"/>
    </row>
    <row r="620" ht="13.5" customHeight="1">
      <c r="A620" s="79"/>
      <c r="C620" s="80"/>
      <c r="D620" s="74"/>
      <c r="E620" s="81"/>
      <c r="F620" s="12"/>
    </row>
    <row r="621" ht="13.5" customHeight="1">
      <c r="A621" s="79"/>
      <c r="C621" s="80"/>
      <c r="D621" s="74"/>
      <c r="E621" s="81"/>
      <c r="F621" s="12"/>
    </row>
    <row r="622" ht="13.5" customHeight="1">
      <c r="A622" s="79"/>
      <c r="C622" s="80"/>
      <c r="D622" s="74"/>
      <c r="E622" s="81"/>
      <c r="F622" s="12"/>
    </row>
    <row r="623" ht="13.5" customHeight="1">
      <c r="A623" s="79"/>
      <c r="C623" s="80"/>
      <c r="D623" s="74"/>
      <c r="E623" s="81"/>
      <c r="F623" s="12"/>
    </row>
    <row r="624" ht="13.5" customHeight="1">
      <c r="A624" s="79"/>
      <c r="C624" s="80"/>
      <c r="D624" s="74"/>
      <c r="E624" s="81"/>
      <c r="F624" s="12"/>
    </row>
    <row r="625" ht="13.5" customHeight="1">
      <c r="A625" s="79"/>
      <c r="C625" s="80"/>
      <c r="D625" s="74"/>
      <c r="E625" s="81"/>
      <c r="F625" s="12"/>
    </row>
    <row r="626" ht="13.5" customHeight="1">
      <c r="A626" s="79"/>
      <c r="C626" s="80"/>
      <c r="D626" s="74"/>
      <c r="E626" s="81"/>
      <c r="F626" s="12"/>
    </row>
    <row r="627" ht="13.5" customHeight="1">
      <c r="A627" s="79"/>
      <c r="C627" s="80"/>
      <c r="D627" s="74"/>
      <c r="E627" s="81"/>
      <c r="F627" s="12"/>
    </row>
    <row r="628" ht="13.5" customHeight="1">
      <c r="A628" s="79"/>
      <c r="C628" s="80"/>
      <c r="D628" s="74"/>
      <c r="E628" s="81"/>
      <c r="F628" s="12"/>
    </row>
    <row r="629" ht="13.5" customHeight="1">
      <c r="A629" s="79"/>
      <c r="C629" s="80"/>
      <c r="D629" s="74"/>
      <c r="E629" s="81"/>
      <c r="F629" s="12"/>
    </row>
    <row r="630" ht="13.5" customHeight="1">
      <c r="A630" s="79"/>
      <c r="C630" s="80"/>
      <c r="D630" s="74"/>
      <c r="E630" s="81"/>
      <c r="F630" s="12"/>
    </row>
    <row r="631" ht="13.5" customHeight="1">
      <c r="A631" s="79"/>
      <c r="C631" s="80"/>
      <c r="D631" s="74"/>
      <c r="E631" s="81"/>
      <c r="F631" s="12"/>
    </row>
    <row r="632" ht="13.5" customHeight="1">
      <c r="A632" s="79"/>
      <c r="C632" s="80"/>
      <c r="D632" s="74"/>
      <c r="E632" s="81"/>
      <c r="F632" s="12"/>
    </row>
    <row r="633" ht="13.5" customHeight="1">
      <c r="A633" s="79"/>
      <c r="C633" s="80"/>
      <c r="D633" s="74"/>
      <c r="E633" s="81"/>
      <c r="F633" s="12"/>
    </row>
    <row r="634" ht="13.5" customHeight="1">
      <c r="A634" s="79"/>
      <c r="C634" s="80"/>
      <c r="D634" s="74"/>
      <c r="E634" s="81"/>
      <c r="F634" s="12"/>
    </row>
    <row r="635" ht="13.5" customHeight="1">
      <c r="A635" s="79"/>
      <c r="C635" s="80"/>
      <c r="D635" s="74"/>
      <c r="E635" s="81"/>
      <c r="F635" s="12"/>
    </row>
    <row r="636" ht="13.5" customHeight="1">
      <c r="A636" s="79"/>
      <c r="C636" s="80"/>
      <c r="D636" s="74"/>
      <c r="E636" s="81"/>
      <c r="F636" s="12"/>
    </row>
    <row r="637" ht="13.5" customHeight="1">
      <c r="A637" s="79"/>
      <c r="C637" s="80"/>
      <c r="D637" s="74"/>
      <c r="E637" s="81"/>
      <c r="F637" s="12"/>
    </row>
    <row r="638" ht="13.5" customHeight="1">
      <c r="A638" s="79"/>
      <c r="C638" s="80"/>
      <c r="D638" s="74"/>
      <c r="E638" s="81"/>
      <c r="F638" s="12"/>
    </row>
    <row r="639" ht="13.5" customHeight="1">
      <c r="A639" s="79"/>
      <c r="C639" s="80"/>
      <c r="D639" s="74"/>
      <c r="E639" s="81"/>
      <c r="F639" s="12"/>
    </row>
    <row r="640" ht="13.5" customHeight="1">
      <c r="A640" s="79"/>
      <c r="C640" s="80"/>
      <c r="D640" s="74"/>
      <c r="E640" s="81"/>
      <c r="F640" s="12"/>
    </row>
    <row r="641" ht="13.5" customHeight="1">
      <c r="A641" s="79"/>
      <c r="C641" s="80"/>
      <c r="D641" s="74"/>
      <c r="E641" s="81"/>
      <c r="F641" s="12"/>
    </row>
    <row r="642" ht="13.5" customHeight="1">
      <c r="A642" s="79"/>
      <c r="C642" s="80"/>
      <c r="D642" s="74"/>
      <c r="E642" s="81"/>
      <c r="F642" s="12"/>
    </row>
    <row r="643" ht="13.5" customHeight="1">
      <c r="A643" s="79"/>
      <c r="C643" s="80"/>
      <c r="D643" s="74"/>
      <c r="E643" s="81"/>
      <c r="F643" s="12"/>
    </row>
    <row r="644" ht="13.5" customHeight="1">
      <c r="A644" s="79"/>
      <c r="C644" s="80"/>
      <c r="D644" s="74"/>
      <c r="E644" s="81"/>
      <c r="F644" s="12"/>
    </row>
    <row r="645" ht="13.5" customHeight="1">
      <c r="A645" s="79"/>
      <c r="C645" s="80"/>
      <c r="D645" s="74"/>
      <c r="E645" s="81"/>
      <c r="F645" s="12"/>
    </row>
    <row r="646" ht="13.5" customHeight="1">
      <c r="A646" s="79"/>
      <c r="C646" s="80"/>
      <c r="D646" s="74"/>
      <c r="E646" s="81"/>
      <c r="F646" s="12"/>
    </row>
    <row r="647" ht="13.5" customHeight="1">
      <c r="A647" s="79"/>
      <c r="C647" s="80"/>
      <c r="D647" s="74"/>
      <c r="E647" s="81"/>
      <c r="F647" s="12"/>
    </row>
    <row r="648" ht="13.5" customHeight="1">
      <c r="A648" s="79"/>
      <c r="C648" s="80"/>
      <c r="D648" s="74"/>
      <c r="E648" s="81"/>
      <c r="F648" s="12"/>
    </row>
    <row r="649" ht="13.5" customHeight="1">
      <c r="A649" s="79"/>
      <c r="C649" s="80"/>
      <c r="D649" s="74"/>
      <c r="E649" s="81"/>
      <c r="F649" s="12"/>
    </row>
    <row r="650" ht="13.5" customHeight="1">
      <c r="A650" s="79"/>
      <c r="C650" s="80"/>
      <c r="D650" s="74"/>
      <c r="E650" s="81"/>
      <c r="F650" s="12"/>
    </row>
    <row r="651" ht="13.5" customHeight="1">
      <c r="A651" s="79"/>
      <c r="C651" s="80"/>
      <c r="D651" s="74"/>
      <c r="E651" s="81"/>
      <c r="F651" s="12"/>
    </row>
    <row r="652" ht="13.5" customHeight="1">
      <c r="A652" s="79"/>
      <c r="C652" s="80"/>
      <c r="D652" s="74"/>
      <c r="E652" s="81"/>
      <c r="F652" s="12"/>
    </row>
    <row r="653" ht="13.5" customHeight="1">
      <c r="A653" s="79"/>
      <c r="C653" s="80"/>
      <c r="D653" s="74"/>
      <c r="E653" s="81"/>
      <c r="F653" s="12"/>
    </row>
    <row r="654" ht="13.5" customHeight="1">
      <c r="A654" s="79"/>
      <c r="C654" s="80"/>
      <c r="D654" s="74"/>
      <c r="E654" s="81"/>
      <c r="F654" s="12"/>
    </row>
    <row r="655" ht="13.5" customHeight="1">
      <c r="A655" s="79"/>
      <c r="C655" s="80"/>
      <c r="D655" s="74"/>
      <c r="E655" s="81"/>
      <c r="F655" s="12"/>
    </row>
    <row r="656" ht="13.5" customHeight="1">
      <c r="A656" s="79"/>
      <c r="C656" s="80"/>
      <c r="D656" s="74"/>
      <c r="E656" s="81"/>
      <c r="F656" s="12"/>
    </row>
    <row r="657" ht="13.5" customHeight="1">
      <c r="A657" s="79"/>
      <c r="C657" s="80"/>
      <c r="D657" s="74"/>
      <c r="E657" s="81"/>
      <c r="F657" s="12"/>
    </row>
    <row r="658" ht="13.5" customHeight="1">
      <c r="A658" s="79"/>
      <c r="C658" s="80"/>
      <c r="D658" s="74"/>
      <c r="E658" s="81"/>
      <c r="F658" s="12"/>
    </row>
    <row r="659" ht="13.5" customHeight="1">
      <c r="A659" s="79"/>
      <c r="C659" s="80"/>
      <c r="D659" s="74"/>
      <c r="E659" s="81"/>
      <c r="F659" s="12"/>
    </row>
    <row r="660" ht="13.5" customHeight="1">
      <c r="A660" s="79"/>
      <c r="C660" s="80"/>
      <c r="D660" s="74"/>
      <c r="E660" s="81"/>
      <c r="F660" s="12"/>
    </row>
    <row r="661" ht="13.5" customHeight="1">
      <c r="A661" s="79"/>
      <c r="C661" s="80"/>
      <c r="D661" s="74"/>
      <c r="E661" s="81"/>
      <c r="F661" s="12"/>
    </row>
    <row r="662" ht="13.5" customHeight="1">
      <c r="A662" s="79"/>
      <c r="C662" s="80"/>
      <c r="D662" s="74"/>
      <c r="E662" s="81"/>
      <c r="F662" s="12"/>
    </row>
    <row r="663" ht="13.5" customHeight="1">
      <c r="A663" s="79"/>
      <c r="C663" s="80"/>
      <c r="D663" s="74"/>
      <c r="E663" s="81"/>
      <c r="F663" s="12"/>
    </row>
    <row r="664" ht="13.5" customHeight="1">
      <c r="A664" s="79"/>
      <c r="C664" s="80"/>
      <c r="D664" s="74"/>
      <c r="E664" s="81"/>
      <c r="F664" s="12"/>
    </row>
    <row r="665" ht="13.5" customHeight="1">
      <c r="A665" s="79"/>
      <c r="C665" s="80"/>
      <c r="D665" s="74"/>
      <c r="E665" s="81"/>
      <c r="F665" s="12"/>
    </row>
    <row r="666" ht="13.5" customHeight="1">
      <c r="A666" s="79"/>
      <c r="C666" s="80"/>
      <c r="D666" s="74"/>
      <c r="E666" s="81"/>
      <c r="F666" s="12"/>
    </row>
    <row r="667" ht="13.5" customHeight="1">
      <c r="A667" s="79"/>
      <c r="C667" s="80"/>
      <c r="D667" s="74"/>
      <c r="E667" s="81"/>
      <c r="F667" s="12"/>
    </row>
    <row r="668" ht="13.5" customHeight="1">
      <c r="A668" s="79"/>
      <c r="C668" s="80"/>
      <c r="D668" s="74"/>
      <c r="E668" s="81"/>
      <c r="F668" s="12"/>
    </row>
    <row r="669" ht="13.5" customHeight="1">
      <c r="A669" s="79"/>
      <c r="C669" s="80"/>
      <c r="D669" s="74"/>
      <c r="E669" s="81"/>
      <c r="F669" s="12"/>
    </row>
    <row r="670" ht="13.5" customHeight="1">
      <c r="A670" s="79"/>
      <c r="C670" s="80"/>
      <c r="D670" s="74"/>
      <c r="E670" s="81"/>
      <c r="F670" s="12"/>
    </row>
    <row r="671" ht="13.5" customHeight="1">
      <c r="A671" s="79"/>
      <c r="C671" s="80"/>
      <c r="D671" s="74"/>
      <c r="E671" s="81"/>
      <c r="F671" s="12"/>
    </row>
    <row r="672" ht="13.5" customHeight="1">
      <c r="A672" s="79"/>
      <c r="C672" s="80"/>
      <c r="D672" s="74"/>
      <c r="E672" s="81"/>
      <c r="F672" s="12"/>
    </row>
    <row r="673" ht="13.5" customHeight="1">
      <c r="A673" s="79"/>
      <c r="C673" s="80"/>
      <c r="D673" s="74"/>
      <c r="E673" s="81"/>
      <c r="F673" s="12"/>
    </row>
    <row r="674" ht="13.5" customHeight="1">
      <c r="A674" s="79"/>
      <c r="C674" s="80"/>
      <c r="D674" s="74"/>
      <c r="E674" s="81"/>
      <c r="F674" s="12"/>
    </row>
    <row r="675" ht="13.5" customHeight="1">
      <c r="A675" s="79"/>
      <c r="C675" s="80"/>
      <c r="D675" s="74"/>
      <c r="E675" s="81"/>
      <c r="F675" s="12"/>
    </row>
    <row r="676" ht="13.5" customHeight="1">
      <c r="A676" s="79"/>
      <c r="C676" s="80"/>
      <c r="D676" s="74"/>
      <c r="E676" s="81"/>
      <c r="F676" s="12"/>
    </row>
    <row r="677" ht="13.5" customHeight="1">
      <c r="A677" s="79"/>
      <c r="C677" s="80"/>
      <c r="D677" s="74"/>
      <c r="E677" s="81"/>
      <c r="F677" s="12"/>
    </row>
    <row r="678" ht="13.5" customHeight="1">
      <c r="A678" s="79"/>
      <c r="C678" s="80"/>
      <c r="D678" s="74"/>
      <c r="E678" s="81"/>
      <c r="F678" s="12"/>
    </row>
    <row r="679" ht="13.5" customHeight="1">
      <c r="A679" s="79"/>
      <c r="C679" s="80"/>
      <c r="D679" s="74"/>
      <c r="E679" s="81"/>
      <c r="F679" s="12"/>
    </row>
    <row r="680" ht="13.5" customHeight="1">
      <c r="A680" s="79"/>
      <c r="C680" s="80"/>
      <c r="D680" s="74"/>
      <c r="E680" s="81"/>
      <c r="F680" s="12"/>
    </row>
    <row r="681" ht="13.5" customHeight="1">
      <c r="A681" s="79"/>
      <c r="C681" s="80"/>
      <c r="D681" s="74"/>
      <c r="E681" s="81"/>
      <c r="F681" s="12"/>
    </row>
    <row r="682" ht="13.5" customHeight="1">
      <c r="A682" s="79"/>
      <c r="C682" s="80"/>
      <c r="D682" s="74"/>
      <c r="E682" s="81"/>
      <c r="F682" s="12"/>
    </row>
    <row r="683" ht="13.5" customHeight="1">
      <c r="A683" s="79"/>
      <c r="C683" s="80"/>
      <c r="D683" s="74"/>
      <c r="E683" s="81"/>
      <c r="F683" s="12"/>
    </row>
    <row r="684" ht="13.5" customHeight="1">
      <c r="A684" s="79"/>
      <c r="C684" s="80"/>
      <c r="D684" s="74"/>
      <c r="E684" s="81"/>
      <c r="F684" s="12"/>
    </row>
    <row r="685" ht="13.5" customHeight="1">
      <c r="A685" s="79"/>
      <c r="C685" s="80"/>
      <c r="D685" s="74"/>
      <c r="E685" s="81"/>
      <c r="F685" s="12"/>
    </row>
    <row r="686" ht="13.5" customHeight="1">
      <c r="A686" s="79"/>
      <c r="C686" s="80"/>
      <c r="D686" s="74"/>
      <c r="E686" s="81"/>
      <c r="F686" s="12"/>
    </row>
    <row r="687" ht="13.5" customHeight="1">
      <c r="A687" s="79"/>
      <c r="C687" s="80"/>
      <c r="D687" s="74"/>
      <c r="E687" s="81"/>
      <c r="F687" s="12"/>
    </row>
    <row r="688" ht="13.5" customHeight="1">
      <c r="A688" s="79"/>
      <c r="C688" s="80"/>
      <c r="D688" s="74"/>
      <c r="E688" s="81"/>
      <c r="F688" s="12"/>
    </row>
    <row r="689" ht="13.5" customHeight="1">
      <c r="A689" s="79"/>
      <c r="C689" s="80"/>
      <c r="D689" s="74"/>
      <c r="E689" s="81"/>
      <c r="F689" s="12"/>
    </row>
    <row r="690" ht="13.5" customHeight="1">
      <c r="A690" s="79"/>
      <c r="C690" s="80"/>
      <c r="D690" s="74"/>
      <c r="E690" s="81"/>
      <c r="F690" s="12"/>
    </row>
    <row r="691" ht="13.5" customHeight="1">
      <c r="A691" s="79"/>
      <c r="C691" s="80"/>
      <c r="D691" s="74"/>
      <c r="E691" s="81"/>
      <c r="F691" s="12"/>
    </row>
    <row r="692" ht="13.5" customHeight="1">
      <c r="A692" s="79"/>
      <c r="C692" s="80"/>
      <c r="D692" s="74"/>
      <c r="E692" s="81"/>
      <c r="F692" s="12"/>
    </row>
    <row r="693" ht="13.5" customHeight="1">
      <c r="A693" s="79"/>
      <c r="C693" s="80"/>
      <c r="D693" s="74"/>
      <c r="E693" s="81"/>
      <c r="F693" s="12"/>
    </row>
    <row r="694" ht="13.5" customHeight="1">
      <c r="A694" s="79"/>
      <c r="C694" s="80"/>
      <c r="D694" s="74"/>
      <c r="E694" s="81"/>
      <c r="F694" s="12"/>
    </row>
    <row r="695" ht="13.5" customHeight="1">
      <c r="A695" s="79"/>
      <c r="C695" s="80"/>
      <c r="D695" s="74"/>
      <c r="E695" s="81"/>
      <c r="F695" s="12"/>
    </row>
    <row r="696" ht="13.5" customHeight="1">
      <c r="A696" s="79"/>
      <c r="C696" s="80"/>
      <c r="D696" s="74"/>
      <c r="E696" s="81"/>
      <c r="F696" s="12"/>
    </row>
    <row r="697" ht="13.5" customHeight="1">
      <c r="A697" s="79"/>
      <c r="C697" s="80"/>
      <c r="D697" s="74"/>
      <c r="E697" s="81"/>
      <c r="F697" s="12"/>
    </row>
    <row r="698" ht="13.5" customHeight="1">
      <c r="A698" s="79"/>
      <c r="C698" s="80"/>
      <c r="D698" s="74"/>
      <c r="E698" s="81"/>
      <c r="F698" s="12"/>
    </row>
    <row r="699" ht="13.5" customHeight="1">
      <c r="A699" s="79"/>
      <c r="C699" s="80"/>
      <c r="D699" s="74"/>
      <c r="E699" s="81"/>
      <c r="F699" s="12"/>
    </row>
    <row r="700" ht="13.5" customHeight="1">
      <c r="A700" s="79"/>
      <c r="C700" s="80"/>
      <c r="D700" s="74"/>
      <c r="E700" s="81"/>
      <c r="F700" s="12"/>
    </row>
    <row r="701" ht="13.5" customHeight="1">
      <c r="A701" s="79"/>
      <c r="C701" s="80"/>
      <c r="D701" s="74"/>
      <c r="E701" s="81"/>
      <c r="F701" s="12"/>
    </row>
    <row r="702" ht="13.5" customHeight="1">
      <c r="A702" s="79"/>
      <c r="C702" s="80"/>
      <c r="D702" s="74"/>
      <c r="E702" s="81"/>
      <c r="F702" s="12"/>
    </row>
    <row r="703" ht="13.5" customHeight="1">
      <c r="A703" s="79"/>
      <c r="C703" s="80"/>
      <c r="D703" s="74"/>
      <c r="E703" s="81"/>
      <c r="F703" s="12"/>
    </row>
    <row r="704" ht="13.5" customHeight="1">
      <c r="A704" s="79"/>
      <c r="C704" s="80"/>
      <c r="D704" s="74"/>
      <c r="E704" s="81"/>
      <c r="F704" s="12"/>
    </row>
    <row r="705" ht="13.5" customHeight="1">
      <c r="A705" s="79"/>
      <c r="C705" s="80"/>
      <c r="D705" s="74"/>
      <c r="E705" s="81"/>
      <c r="F705" s="12"/>
    </row>
    <row r="706" ht="13.5" customHeight="1">
      <c r="A706" s="79"/>
      <c r="C706" s="80"/>
      <c r="D706" s="74"/>
      <c r="E706" s="81"/>
      <c r="F706" s="12"/>
    </row>
    <row r="707" ht="13.5" customHeight="1">
      <c r="A707" s="79"/>
      <c r="C707" s="80"/>
      <c r="D707" s="74"/>
      <c r="E707" s="81"/>
      <c r="F707" s="12"/>
    </row>
    <row r="708" ht="13.5" customHeight="1">
      <c r="A708" s="79"/>
      <c r="C708" s="80"/>
      <c r="D708" s="74"/>
      <c r="E708" s="81"/>
      <c r="F708" s="12"/>
    </row>
    <row r="709" ht="13.5" customHeight="1">
      <c r="A709" s="79"/>
      <c r="C709" s="80"/>
      <c r="D709" s="74"/>
      <c r="E709" s="81"/>
      <c r="F709" s="12"/>
    </row>
    <row r="710" ht="13.5" customHeight="1">
      <c r="A710" s="79"/>
      <c r="C710" s="80"/>
      <c r="D710" s="74"/>
      <c r="E710" s="81"/>
      <c r="F710" s="12"/>
    </row>
    <row r="711" ht="13.5" customHeight="1">
      <c r="A711" s="79"/>
      <c r="C711" s="80"/>
      <c r="D711" s="74"/>
      <c r="E711" s="81"/>
      <c r="F711" s="12"/>
    </row>
    <row r="712" ht="13.5" customHeight="1">
      <c r="A712" s="79"/>
      <c r="C712" s="80"/>
      <c r="D712" s="74"/>
      <c r="E712" s="81"/>
      <c r="F712" s="12"/>
    </row>
    <row r="713" ht="13.5" customHeight="1">
      <c r="A713" s="79"/>
      <c r="C713" s="80"/>
      <c r="D713" s="74"/>
      <c r="E713" s="81"/>
      <c r="F713" s="12"/>
    </row>
    <row r="714" ht="13.5" customHeight="1">
      <c r="A714" s="79"/>
      <c r="C714" s="80"/>
      <c r="D714" s="74"/>
      <c r="E714" s="81"/>
      <c r="F714" s="12"/>
    </row>
    <row r="715" ht="13.5" customHeight="1">
      <c r="A715" s="79"/>
      <c r="C715" s="80"/>
      <c r="D715" s="74"/>
      <c r="E715" s="81"/>
      <c r="F715" s="12"/>
    </row>
    <row r="716" ht="13.5" customHeight="1">
      <c r="A716" s="79"/>
      <c r="C716" s="80"/>
      <c r="D716" s="74"/>
      <c r="E716" s="81"/>
      <c r="F716" s="12"/>
    </row>
    <row r="717" ht="13.5" customHeight="1">
      <c r="A717" s="79"/>
      <c r="C717" s="80"/>
      <c r="D717" s="74"/>
      <c r="E717" s="81"/>
      <c r="F717" s="12"/>
    </row>
    <row r="718" ht="13.5" customHeight="1">
      <c r="A718" s="79"/>
      <c r="C718" s="80"/>
      <c r="D718" s="74"/>
      <c r="E718" s="81"/>
      <c r="F718" s="12"/>
    </row>
    <row r="719" ht="13.5" customHeight="1">
      <c r="A719" s="79"/>
      <c r="C719" s="80"/>
      <c r="D719" s="74"/>
      <c r="E719" s="81"/>
      <c r="F719" s="12"/>
    </row>
    <row r="720" ht="13.5" customHeight="1">
      <c r="A720" s="79"/>
      <c r="C720" s="80"/>
      <c r="D720" s="74"/>
      <c r="E720" s="81"/>
      <c r="F720" s="12"/>
    </row>
    <row r="721" ht="13.5" customHeight="1">
      <c r="A721" s="79"/>
      <c r="C721" s="80"/>
      <c r="D721" s="74"/>
      <c r="E721" s="81"/>
      <c r="F721" s="12"/>
    </row>
    <row r="722" ht="13.5" customHeight="1">
      <c r="A722" s="79"/>
      <c r="C722" s="80"/>
      <c r="D722" s="74"/>
      <c r="E722" s="81"/>
      <c r="F722" s="12"/>
    </row>
    <row r="723" ht="13.5" customHeight="1">
      <c r="A723" s="79"/>
      <c r="C723" s="80"/>
      <c r="D723" s="74"/>
      <c r="E723" s="81"/>
      <c r="F723" s="12"/>
    </row>
    <row r="724" ht="13.5" customHeight="1">
      <c r="A724" s="79"/>
      <c r="C724" s="80"/>
      <c r="D724" s="74"/>
      <c r="E724" s="81"/>
      <c r="F724" s="12"/>
    </row>
    <row r="725" ht="13.5" customHeight="1">
      <c r="A725" s="79"/>
      <c r="C725" s="80"/>
      <c r="D725" s="74"/>
      <c r="E725" s="81"/>
      <c r="F725" s="12"/>
    </row>
    <row r="726" ht="13.5" customHeight="1">
      <c r="A726" s="79"/>
      <c r="C726" s="80"/>
      <c r="D726" s="74"/>
      <c r="E726" s="81"/>
      <c r="F726" s="12"/>
    </row>
    <row r="727" ht="13.5" customHeight="1">
      <c r="A727" s="79"/>
      <c r="C727" s="80"/>
      <c r="D727" s="74"/>
      <c r="E727" s="81"/>
      <c r="F727" s="12"/>
    </row>
    <row r="728" ht="13.5" customHeight="1">
      <c r="A728" s="79"/>
      <c r="C728" s="80"/>
      <c r="D728" s="74"/>
      <c r="E728" s="81"/>
      <c r="F728" s="12"/>
    </row>
    <row r="729" ht="13.5" customHeight="1">
      <c r="A729" s="79"/>
      <c r="C729" s="80"/>
      <c r="D729" s="74"/>
      <c r="E729" s="81"/>
      <c r="F729" s="12"/>
    </row>
    <row r="730" ht="13.5" customHeight="1">
      <c r="A730" s="79"/>
      <c r="C730" s="80"/>
      <c r="D730" s="74"/>
      <c r="E730" s="81"/>
      <c r="F730" s="12"/>
    </row>
    <row r="731" ht="13.5" customHeight="1">
      <c r="A731" s="79"/>
      <c r="C731" s="80"/>
      <c r="D731" s="74"/>
      <c r="E731" s="81"/>
      <c r="F731" s="12"/>
    </row>
    <row r="732" ht="13.5" customHeight="1">
      <c r="A732" s="79"/>
      <c r="C732" s="80"/>
      <c r="D732" s="74"/>
      <c r="E732" s="81"/>
      <c r="F732" s="12"/>
    </row>
    <row r="733" ht="13.5" customHeight="1">
      <c r="A733" s="79"/>
      <c r="C733" s="80"/>
      <c r="D733" s="74"/>
      <c r="E733" s="81"/>
      <c r="F733" s="12"/>
    </row>
    <row r="734" ht="13.5" customHeight="1">
      <c r="A734" s="79"/>
      <c r="C734" s="80"/>
      <c r="D734" s="74"/>
      <c r="E734" s="81"/>
      <c r="F734" s="12"/>
    </row>
    <row r="735" ht="13.5" customHeight="1">
      <c r="A735" s="79"/>
      <c r="C735" s="80"/>
      <c r="D735" s="74"/>
      <c r="E735" s="81"/>
      <c r="F735" s="12"/>
    </row>
    <row r="736" ht="13.5" customHeight="1">
      <c r="A736" s="79"/>
      <c r="C736" s="80"/>
      <c r="D736" s="74"/>
      <c r="E736" s="81"/>
      <c r="F736" s="12"/>
    </row>
    <row r="737" ht="13.5" customHeight="1">
      <c r="A737" s="79"/>
      <c r="C737" s="80"/>
      <c r="D737" s="74"/>
      <c r="E737" s="81"/>
      <c r="F737" s="12"/>
    </row>
    <row r="738" ht="13.5" customHeight="1">
      <c r="A738" s="79"/>
      <c r="C738" s="80"/>
      <c r="D738" s="74"/>
      <c r="E738" s="81"/>
      <c r="F738" s="12"/>
    </row>
    <row r="739" ht="13.5" customHeight="1">
      <c r="A739" s="79"/>
      <c r="C739" s="80"/>
      <c r="D739" s="74"/>
      <c r="E739" s="81"/>
      <c r="F739" s="12"/>
    </row>
    <row r="740" ht="13.5" customHeight="1">
      <c r="A740" s="79"/>
      <c r="C740" s="80"/>
      <c r="D740" s="74"/>
      <c r="E740" s="81"/>
      <c r="F740" s="12"/>
    </row>
    <row r="741" ht="13.5" customHeight="1">
      <c r="A741" s="79"/>
      <c r="C741" s="80"/>
      <c r="D741" s="74"/>
      <c r="E741" s="81"/>
      <c r="F741" s="12"/>
    </row>
    <row r="742" ht="13.5" customHeight="1">
      <c r="A742" s="79"/>
      <c r="C742" s="80"/>
      <c r="D742" s="74"/>
      <c r="E742" s="81"/>
      <c r="F742" s="12"/>
    </row>
    <row r="743" ht="13.5" customHeight="1">
      <c r="A743" s="79"/>
      <c r="C743" s="80"/>
      <c r="D743" s="74"/>
      <c r="E743" s="81"/>
      <c r="F743" s="12"/>
    </row>
    <row r="744" ht="13.5" customHeight="1">
      <c r="A744" s="79"/>
      <c r="C744" s="80"/>
      <c r="D744" s="74"/>
      <c r="E744" s="81"/>
      <c r="F744" s="12"/>
    </row>
    <row r="745" ht="13.5" customHeight="1">
      <c r="A745" s="79"/>
      <c r="C745" s="80"/>
      <c r="D745" s="74"/>
      <c r="E745" s="81"/>
      <c r="F745" s="12"/>
    </row>
    <row r="746" ht="13.5" customHeight="1">
      <c r="A746" s="79"/>
      <c r="C746" s="80"/>
      <c r="D746" s="74"/>
      <c r="E746" s="81"/>
      <c r="F746" s="12"/>
    </row>
    <row r="747" ht="13.5" customHeight="1">
      <c r="A747" s="79"/>
      <c r="C747" s="80"/>
      <c r="D747" s="74"/>
      <c r="E747" s="81"/>
      <c r="F747" s="12"/>
    </row>
    <row r="748" ht="13.5" customHeight="1">
      <c r="A748" s="79"/>
      <c r="C748" s="80"/>
      <c r="D748" s="74"/>
      <c r="E748" s="81"/>
      <c r="F748" s="12"/>
    </row>
    <row r="749" ht="13.5" customHeight="1">
      <c r="A749" s="79"/>
      <c r="C749" s="80"/>
      <c r="D749" s="74"/>
      <c r="E749" s="81"/>
      <c r="F749" s="12"/>
    </row>
    <row r="750" ht="13.5" customHeight="1">
      <c r="A750" s="79"/>
      <c r="C750" s="80"/>
      <c r="D750" s="74"/>
      <c r="E750" s="81"/>
      <c r="F750" s="12"/>
    </row>
    <row r="751" ht="13.5" customHeight="1">
      <c r="A751" s="79"/>
      <c r="C751" s="80"/>
      <c r="D751" s="74"/>
      <c r="E751" s="81"/>
      <c r="F751" s="12"/>
    </row>
    <row r="752" ht="13.5" customHeight="1">
      <c r="A752" s="79"/>
      <c r="C752" s="80"/>
      <c r="D752" s="74"/>
      <c r="E752" s="81"/>
      <c r="F752" s="12"/>
    </row>
    <row r="753" ht="13.5" customHeight="1">
      <c r="A753" s="79"/>
      <c r="C753" s="80"/>
      <c r="D753" s="74"/>
      <c r="E753" s="81"/>
      <c r="F753" s="12"/>
    </row>
    <row r="754" ht="13.5" customHeight="1">
      <c r="A754" s="79"/>
      <c r="C754" s="80"/>
      <c r="D754" s="74"/>
      <c r="E754" s="81"/>
      <c r="F754" s="12"/>
    </row>
    <row r="755" ht="13.5" customHeight="1">
      <c r="A755" s="79"/>
      <c r="C755" s="80"/>
      <c r="D755" s="74"/>
      <c r="E755" s="81"/>
      <c r="F755" s="12"/>
    </row>
    <row r="756" ht="13.5" customHeight="1">
      <c r="A756" s="79"/>
      <c r="C756" s="80"/>
      <c r="D756" s="74"/>
      <c r="E756" s="81"/>
      <c r="F756" s="12"/>
    </row>
    <row r="757" ht="13.5" customHeight="1">
      <c r="A757" s="79"/>
      <c r="C757" s="80"/>
      <c r="D757" s="74"/>
      <c r="E757" s="81"/>
      <c r="F757" s="12"/>
    </row>
    <row r="758" ht="13.5" customHeight="1">
      <c r="A758" s="79"/>
      <c r="C758" s="80"/>
      <c r="D758" s="74"/>
      <c r="E758" s="81"/>
      <c r="F758" s="12"/>
    </row>
    <row r="759" ht="13.5" customHeight="1">
      <c r="A759" s="79"/>
      <c r="C759" s="80"/>
      <c r="D759" s="74"/>
      <c r="E759" s="81"/>
      <c r="F759" s="12"/>
    </row>
    <row r="760" ht="13.5" customHeight="1">
      <c r="A760" s="79"/>
      <c r="C760" s="80"/>
      <c r="D760" s="74"/>
      <c r="E760" s="81"/>
      <c r="F760" s="12"/>
    </row>
    <row r="761" ht="13.5" customHeight="1">
      <c r="A761" s="79"/>
      <c r="C761" s="80"/>
      <c r="D761" s="74"/>
      <c r="E761" s="81"/>
      <c r="F761" s="12"/>
    </row>
    <row r="762" ht="13.5" customHeight="1">
      <c r="A762" s="79"/>
      <c r="C762" s="80"/>
      <c r="D762" s="74"/>
      <c r="E762" s="81"/>
      <c r="F762" s="12"/>
    </row>
    <row r="763" ht="13.5" customHeight="1">
      <c r="A763" s="79"/>
      <c r="C763" s="80"/>
      <c r="D763" s="74"/>
      <c r="E763" s="81"/>
      <c r="F763" s="12"/>
    </row>
    <row r="764" ht="13.5" customHeight="1">
      <c r="A764" s="79"/>
      <c r="C764" s="80"/>
      <c r="D764" s="74"/>
      <c r="E764" s="81"/>
      <c r="F764" s="12"/>
    </row>
    <row r="765" ht="13.5" customHeight="1">
      <c r="A765" s="79"/>
      <c r="C765" s="80"/>
      <c r="D765" s="74"/>
      <c r="E765" s="81"/>
      <c r="F765" s="12"/>
    </row>
    <row r="766" ht="13.5" customHeight="1">
      <c r="A766" s="79"/>
      <c r="C766" s="80"/>
      <c r="D766" s="74"/>
      <c r="E766" s="81"/>
      <c r="F766" s="12"/>
    </row>
    <row r="767" ht="13.5" customHeight="1">
      <c r="A767" s="79"/>
      <c r="C767" s="80"/>
      <c r="D767" s="74"/>
      <c r="E767" s="81"/>
      <c r="F767" s="12"/>
    </row>
    <row r="768" ht="13.5" customHeight="1">
      <c r="A768" s="79"/>
      <c r="C768" s="80"/>
      <c r="D768" s="74"/>
      <c r="E768" s="81"/>
      <c r="F768" s="12"/>
    </row>
    <row r="769" ht="13.5" customHeight="1">
      <c r="A769" s="79"/>
      <c r="C769" s="80"/>
      <c r="D769" s="74"/>
      <c r="E769" s="81"/>
      <c r="F769" s="12"/>
    </row>
    <row r="770" ht="13.5" customHeight="1">
      <c r="A770" s="79"/>
      <c r="C770" s="80"/>
      <c r="D770" s="74"/>
      <c r="E770" s="81"/>
      <c r="F770" s="12"/>
    </row>
    <row r="771" ht="13.5" customHeight="1">
      <c r="A771" s="79"/>
      <c r="C771" s="80"/>
      <c r="D771" s="74"/>
      <c r="E771" s="81"/>
      <c r="F771" s="12"/>
    </row>
    <row r="772" ht="13.5" customHeight="1">
      <c r="A772" s="79"/>
      <c r="C772" s="80"/>
      <c r="D772" s="74"/>
      <c r="E772" s="81"/>
      <c r="F772" s="12"/>
    </row>
    <row r="773" ht="13.5" customHeight="1">
      <c r="A773" s="79"/>
      <c r="C773" s="80"/>
      <c r="D773" s="74"/>
      <c r="E773" s="81"/>
      <c r="F773" s="12"/>
    </row>
    <row r="774" ht="13.5" customHeight="1">
      <c r="A774" s="79"/>
      <c r="C774" s="80"/>
      <c r="D774" s="74"/>
      <c r="E774" s="81"/>
      <c r="F774" s="12"/>
    </row>
    <row r="775" ht="13.5" customHeight="1">
      <c r="A775" s="79"/>
      <c r="C775" s="80"/>
      <c r="D775" s="74"/>
      <c r="E775" s="81"/>
      <c r="F775" s="12"/>
    </row>
    <row r="776" ht="13.5" customHeight="1">
      <c r="A776" s="79"/>
      <c r="C776" s="80"/>
      <c r="D776" s="74"/>
      <c r="E776" s="81"/>
      <c r="F776" s="12"/>
    </row>
    <row r="777" ht="13.5" customHeight="1">
      <c r="A777" s="79"/>
      <c r="C777" s="80"/>
      <c r="D777" s="74"/>
      <c r="E777" s="81"/>
      <c r="F777" s="12"/>
    </row>
    <row r="778" ht="13.5" customHeight="1">
      <c r="A778" s="79"/>
      <c r="C778" s="80"/>
      <c r="D778" s="74"/>
      <c r="E778" s="81"/>
      <c r="F778" s="12"/>
    </row>
    <row r="779" ht="13.5" customHeight="1">
      <c r="A779" s="79"/>
      <c r="C779" s="80"/>
      <c r="D779" s="74"/>
      <c r="E779" s="81"/>
      <c r="F779" s="12"/>
    </row>
    <row r="780" ht="13.5" customHeight="1">
      <c r="A780" s="79"/>
      <c r="C780" s="80"/>
      <c r="D780" s="74"/>
      <c r="E780" s="81"/>
      <c r="F780" s="12"/>
    </row>
    <row r="781" ht="13.5" customHeight="1">
      <c r="A781" s="79"/>
      <c r="C781" s="80"/>
      <c r="D781" s="74"/>
      <c r="E781" s="81"/>
      <c r="F781" s="12"/>
    </row>
    <row r="782" ht="13.5" customHeight="1">
      <c r="A782" s="79"/>
      <c r="C782" s="80"/>
      <c r="D782" s="74"/>
      <c r="E782" s="81"/>
      <c r="F782" s="12"/>
    </row>
    <row r="783" ht="13.5" customHeight="1">
      <c r="A783" s="79"/>
      <c r="C783" s="80"/>
      <c r="D783" s="74"/>
      <c r="E783" s="81"/>
      <c r="F783" s="12"/>
    </row>
    <row r="784" ht="13.5" customHeight="1">
      <c r="A784" s="79"/>
      <c r="C784" s="80"/>
      <c r="D784" s="74"/>
      <c r="E784" s="81"/>
      <c r="F784" s="12"/>
    </row>
    <row r="785" ht="13.5" customHeight="1">
      <c r="A785" s="79"/>
      <c r="C785" s="80"/>
      <c r="D785" s="74"/>
      <c r="E785" s="81"/>
      <c r="F785" s="12"/>
    </row>
    <row r="786" ht="13.5" customHeight="1">
      <c r="A786" s="79"/>
      <c r="C786" s="80"/>
      <c r="D786" s="74"/>
      <c r="E786" s="81"/>
      <c r="F786" s="12"/>
    </row>
    <row r="787" ht="13.5" customHeight="1">
      <c r="A787" s="79"/>
      <c r="C787" s="80"/>
      <c r="D787" s="74"/>
      <c r="E787" s="81"/>
      <c r="F787" s="12"/>
    </row>
    <row r="788" ht="13.5" customHeight="1">
      <c r="A788" s="79"/>
      <c r="C788" s="80"/>
      <c r="D788" s="74"/>
      <c r="E788" s="81"/>
      <c r="F788" s="12"/>
    </row>
    <row r="789" ht="13.5" customHeight="1">
      <c r="A789" s="79"/>
      <c r="C789" s="80"/>
      <c r="D789" s="74"/>
      <c r="E789" s="81"/>
      <c r="F789" s="12"/>
    </row>
    <row r="790" ht="13.5" customHeight="1">
      <c r="A790" s="79"/>
      <c r="C790" s="80"/>
      <c r="D790" s="74"/>
      <c r="E790" s="81"/>
      <c r="F790" s="12"/>
    </row>
    <row r="791" ht="13.5" customHeight="1">
      <c r="A791" s="79"/>
      <c r="C791" s="80"/>
      <c r="D791" s="74"/>
      <c r="E791" s="81"/>
      <c r="F791" s="12"/>
    </row>
    <row r="792" ht="13.5" customHeight="1">
      <c r="A792" s="79"/>
      <c r="C792" s="80"/>
      <c r="D792" s="74"/>
      <c r="E792" s="81"/>
      <c r="F792" s="12"/>
    </row>
    <row r="793" ht="13.5" customHeight="1">
      <c r="A793" s="79"/>
      <c r="C793" s="80"/>
      <c r="D793" s="74"/>
      <c r="E793" s="81"/>
      <c r="F793" s="12"/>
    </row>
    <row r="794" ht="13.5" customHeight="1">
      <c r="A794" s="79"/>
      <c r="C794" s="80"/>
      <c r="D794" s="74"/>
      <c r="E794" s="81"/>
      <c r="F794" s="12"/>
    </row>
    <row r="795" ht="13.5" customHeight="1">
      <c r="A795" s="79"/>
      <c r="C795" s="80"/>
      <c r="D795" s="74"/>
      <c r="E795" s="81"/>
      <c r="F795" s="12"/>
    </row>
    <row r="796" ht="13.5" customHeight="1">
      <c r="A796" s="79"/>
      <c r="C796" s="80"/>
      <c r="D796" s="74"/>
      <c r="E796" s="81"/>
      <c r="F796" s="12"/>
    </row>
    <row r="797" ht="13.5" customHeight="1">
      <c r="A797" s="79"/>
      <c r="C797" s="80"/>
      <c r="D797" s="74"/>
      <c r="E797" s="81"/>
      <c r="F797" s="12"/>
    </row>
    <row r="798" ht="13.5" customHeight="1">
      <c r="A798" s="79"/>
      <c r="C798" s="80"/>
      <c r="D798" s="74"/>
      <c r="E798" s="81"/>
      <c r="F798" s="12"/>
    </row>
    <row r="799" ht="13.5" customHeight="1">
      <c r="A799" s="79"/>
      <c r="C799" s="80"/>
      <c r="D799" s="74"/>
      <c r="E799" s="81"/>
      <c r="F799" s="12"/>
    </row>
    <row r="800" ht="13.5" customHeight="1">
      <c r="A800" s="79"/>
      <c r="C800" s="80"/>
      <c r="D800" s="74"/>
      <c r="E800" s="81"/>
      <c r="F800" s="12"/>
    </row>
    <row r="801" ht="13.5" customHeight="1">
      <c r="A801" s="79"/>
      <c r="C801" s="80"/>
      <c r="D801" s="74"/>
      <c r="E801" s="81"/>
      <c r="F801" s="12"/>
    </row>
    <row r="802" ht="13.5" customHeight="1">
      <c r="A802" s="79"/>
      <c r="C802" s="80"/>
      <c r="D802" s="74"/>
      <c r="E802" s="81"/>
      <c r="F802" s="12"/>
    </row>
    <row r="803" ht="13.5" customHeight="1">
      <c r="A803" s="79"/>
      <c r="C803" s="80"/>
      <c r="D803" s="74"/>
      <c r="E803" s="81"/>
      <c r="F803" s="12"/>
    </row>
    <row r="804" ht="13.5" customHeight="1">
      <c r="A804" s="79"/>
      <c r="C804" s="80"/>
      <c r="D804" s="74"/>
      <c r="E804" s="81"/>
      <c r="F804" s="12"/>
    </row>
    <row r="805" ht="13.5" customHeight="1">
      <c r="A805" s="79"/>
      <c r="C805" s="80"/>
      <c r="D805" s="74"/>
      <c r="E805" s="81"/>
      <c r="F805" s="12"/>
    </row>
    <row r="806" ht="13.5" customHeight="1">
      <c r="A806" s="79"/>
      <c r="C806" s="80"/>
      <c r="D806" s="74"/>
      <c r="E806" s="81"/>
      <c r="F806" s="12"/>
    </row>
    <row r="807" ht="13.5" customHeight="1">
      <c r="A807" s="79"/>
      <c r="C807" s="80"/>
      <c r="D807" s="74"/>
      <c r="E807" s="81"/>
      <c r="F807" s="12"/>
    </row>
    <row r="808" ht="13.5" customHeight="1">
      <c r="A808" s="79"/>
      <c r="C808" s="80"/>
      <c r="D808" s="74"/>
      <c r="E808" s="81"/>
      <c r="F808" s="12"/>
    </row>
    <row r="809" ht="13.5" customHeight="1">
      <c r="A809" s="79"/>
      <c r="C809" s="80"/>
      <c r="D809" s="74"/>
      <c r="E809" s="81"/>
      <c r="F809" s="12"/>
    </row>
    <row r="810" ht="13.5" customHeight="1">
      <c r="A810" s="79"/>
      <c r="C810" s="80"/>
      <c r="D810" s="74"/>
      <c r="E810" s="81"/>
      <c r="F810" s="12"/>
    </row>
    <row r="811" ht="13.5" customHeight="1">
      <c r="A811" s="79"/>
      <c r="C811" s="80"/>
      <c r="D811" s="74"/>
      <c r="E811" s="81"/>
      <c r="F811" s="12"/>
    </row>
    <row r="812" ht="13.5" customHeight="1">
      <c r="A812" s="79"/>
      <c r="C812" s="80"/>
      <c r="D812" s="74"/>
      <c r="E812" s="81"/>
      <c r="F812" s="12"/>
    </row>
    <row r="813" ht="13.5" customHeight="1">
      <c r="A813" s="79"/>
      <c r="C813" s="80"/>
      <c r="D813" s="74"/>
      <c r="E813" s="81"/>
      <c r="F813" s="12"/>
    </row>
    <row r="814" ht="13.5" customHeight="1">
      <c r="A814" s="79"/>
      <c r="C814" s="80"/>
      <c r="D814" s="74"/>
      <c r="E814" s="81"/>
      <c r="F814" s="12"/>
    </row>
    <row r="815" ht="13.5" customHeight="1">
      <c r="A815" s="79"/>
      <c r="C815" s="80"/>
      <c r="D815" s="74"/>
      <c r="E815" s="81"/>
      <c r="F815" s="12"/>
    </row>
    <row r="816" ht="13.5" customHeight="1">
      <c r="A816" s="79"/>
      <c r="C816" s="80"/>
      <c r="D816" s="74"/>
      <c r="E816" s="81"/>
      <c r="F816" s="12"/>
    </row>
    <row r="817" ht="13.5" customHeight="1">
      <c r="A817" s="79"/>
      <c r="C817" s="80"/>
      <c r="D817" s="74"/>
      <c r="E817" s="81"/>
      <c r="F817" s="12"/>
    </row>
    <row r="818" ht="13.5" customHeight="1">
      <c r="A818" s="79"/>
      <c r="C818" s="80"/>
      <c r="D818" s="74"/>
      <c r="E818" s="81"/>
      <c r="F818" s="12"/>
    </row>
    <row r="819" ht="13.5" customHeight="1">
      <c r="A819" s="79"/>
      <c r="C819" s="80"/>
      <c r="D819" s="74"/>
      <c r="E819" s="81"/>
      <c r="F819" s="12"/>
    </row>
    <row r="820" ht="13.5" customHeight="1">
      <c r="A820" s="79"/>
      <c r="C820" s="80"/>
      <c r="D820" s="74"/>
      <c r="E820" s="81"/>
      <c r="F820" s="12"/>
    </row>
    <row r="821" ht="13.5" customHeight="1">
      <c r="A821" s="79"/>
      <c r="C821" s="80"/>
      <c r="D821" s="74"/>
      <c r="E821" s="81"/>
      <c r="F821" s="12"/>
    </row>
    <row r="822" ht="13.5" customHeight="1">
      <c r="A822" s="79"/>
      <c r="C822" s="80"/>
      <c r="D822" s="74"/>
      <c r="E822" s="81"/>
      <c r="F822" s="12"/>
    </row>
    <row r="823" ht="13.5" customHeight="1">
      <c r="A823" s="79"/>
      <c r="C823" s="80"/>
      <c r="D823" s="74"/>
      <c r="E823" s="81"/>
      <c r="F823" s="12"/>
    </row>
    <row r="824" ht="13.5" customHeight="1">
      <c r="A824" s="79"/>
      <c r="C824" s="80"/>
      <c r="D824" s="74"/>
      <c r="E824" s="81"/>
      <c r="F824" s="12"/>
    </row>
    <row r="825" ht="13.5" customHeight="1">
      <c r="A825" s="79"/>
      <c r="C825" s="80"/>
      <c r="D825" s="74"/>
      <c r="E825" s="81"/>
      <c r="F825" s="12"/>
    </row>
    <row r="826" ht="13.5" customHeight="1">
      <c r="A826" s="79"/>
      <c r="C826" s="80"/>
      <c r="D826" s="74"/>
      <c r="E826" s="81"/>
      <c r="F826" s="12"/>
    </row>
    <row r="827" ht="13.5" customHeight="1">
      <c r="A827" s="79"/>
      <c r="C827" s="80"/>
      <c r="D827" s="74"/>
      <c r="E827" s="81"/>
      <c r="F827" s="12"/>
    </row>
    <row r="828" ht="13.5" customHeight="1">
      <c r="A828" s="79"/>
      <c r="C828" s="80"/>
      <c r="D828" s="74"/>
      <c r="E828" s="81"/>
      <c r="F828" s="12"/>
    </row>
    <row r="829" ht="13.5" customHeight="1">
      <c r="A829" s="79"/>
      <c r="C829" s="80"/>
      <c r="D829" s="74"/>
      <c r="E829" s="81"/>
      <c r="F829" s="12"/>
    </row>
    <row r="830" ht="13.5" customHeight="1">
      <c r="A830" s="79"/>
      <c r="C830" s="80"/>
      <c r="D830" s="74"/>
      <c r="E830" s="81"/>
      <c r="F830" s="12"/>
    </row>
    <row r="831" ht="13.5" customHeight="1">
      <c r="A831" s="79"/>
      <c r="C831" s="80"/>
      <c r="D831" s="74"/>
      <c r="E831" s="81"/>
      <c r="F831" s="12"/>
    </row>
    <row r="832" ht="13.5" customHeight="1">
      <c r="A832" s="79"/>
      <c r="C832" s="80"/>
      <c r="D832" s="74"/>
      <c r="E832" s="81"/>
      <c r="F832" s="12"/>
    </row>
    <row r="833" ht="13.5" customHeight="1">
      <c r="A833" s="79"/>
      <c r="C833" s="80"/>
      <c r="D833" s="74"/>
      <c r="E833" s="81"/>
      <c r="F833" s="12"/>
    </row>
    <row r="834" ht="13.5" customHeight="1">
      <c r="A834" s="79"/>
      <c r="C834" s="80"/>
      <c r="D834" s="74"/>
      <c r="E834" s="81"/>
      <c r="F834" s="12"/>
    </row>
    <row r="835" ht="13.5" customHeight="1">
      <c r="A835" s="79"/>
      <c r="C835" s="80"/>
      <c r="D835" s="74"/>
      <c r="E835" s="81"/>
      <c r="F835" s="12"/>
    </row>
    <row r="836" ht="13.5" customHeight="1">
      <c r="A836" s="79"/>
      <c r="C836" s="80"/>
      <c r="D836" s="74"/>
      <c r="E836" s="81"/>
      <c r="F836" s="12"/>
    </row>
    <row r="837" ht="13.5" customHeight="1">
      <c r="A837" s="79"/>
      <c r="C837" s="80"/>
      <c r="D837" s="74"/>
      <c r="E837" s="81"/>
      <c r="F837" s="12"/>
    </row>
    <row r="838" ht="13.5" customHeight="1">
      <c r="A838" s="79"/>
      <c r="C838" s="80"/>
      <c r="D838" s="74"/>
      <c r="E838" s="81"/>
      <c r="F838" s="12"/>
    </row>
    <row r="839" ht="13.5" customHeight="1">
      <c r="A839" s="79"/>
      <c r="C839" s="80"/>
      <c r="D839" s="74"/>
      <c r="E839" s="81"/>
      <c r="F839" s="12"/>
    </row>
    <row r="840" ht="13.5" customHeight="1">
      <c r="A840" s="79"/>
      <c r="C840" s="80"/>
      <c r="D840" s="74"/>
      <c r="E840" s="81"/>
      <c r="F840" s="12"/>
    </row>
    <row r="841" ht="13.5" customHeight="1">
      <c r="A841" s="79"/>
      <c r="C841" s="80"/>
      <c r="D841" s="74"/>
      <c r="E841" s="81"/>
      <c r="F841" s="12"/>
    </row>
    <row r="842" ht="13.5" customHeight="1">
      <c r="A842" s="79"/>
      <c r="C842" s="80"/>
      <c r="D842" s="74"/>
      <c r="E842" s="81"/>
      <c r="F842" s="12"/>
    </row>
    <row r="843" ht="13.5" customHeight="1">
      <c r="A843" s="79"/>
      <c r="C843" s="80"/>
      <c r="D843" s="74"/>
      <c r="E843" s="81"/>
      <c r="F843" s="12"/>
    </row>
    <row r="844" ht="13.5" customHeight="1">
      <c r="A844" s="79"/>
      <c r="C844" s="80"/>
      <c r="D844" s="74"/>
      <c r="E844" s="81"/>
      <c r="F844" s="12"/>
    </row>
    <row r="845" ht="13.5" customHeight="1">
      <c r="A845" s="79"/>
      <c r="C845" s="80"/>
      <c r="D845" s="74"/>
      <c r="E845" s="81"/>
      <c r="F845" s="12"/>
    </row>
    <row r="846" ht="13.5" customHeight="1">
      <c r="A846" s="79"/>
      <c r="C846" s="80"/>
      <c r="D846" s="74"/>
      <c r="E846" s="81"/>
      <c r="F846" s="12"/>
    </row>
    <row r="847" ht="13.5" customHeight="1">
      <c r="A847" s="79"/>
      <c r="C847" s="80"/>
      <c r="D847" s="74"/>
      <c r="E847" s="81"/>
      <c r="F847" s="12"/>
    </row>
    <row r="848" ht="13.5" customHeight="1">
      <c r="A848" s="79"/>
      <c r="C848" s="80"/>
      <c r="D848" s="74"/>
      <c r="E848" s="81"/>
      <c r="F848" s="12"/>
    </row>
    <row r="849" ht="13.5" customHeight="1">
      <c r="A849" s="79"/>
      <c r="C849" s="80"/>
      <c r="D849" s="74"/>
      <c r="E849" s="81"/>
      <c r="F849" s="12"/>
    </row>
    <row r="850" ht="13.5" customHeight="1">
      <c r="A850" s="79"/>
      <c r="C850" s="80"/>
      <c r="D850" s="74"/>
      <c r="E850" s="81"/>
      <c r="F850" s="12"/>
    </row>
    <row r="851" ht="13.5" customHeight="1">
      <c r="A851" s="79"/>
      <c r="C851" s="80"/>
      <c r="D851" s="74"/>
      <c r="E851" s="81"/>
      <c r="F851" s="12"/>
    </row>
    <row r="852" ht="13.5" customHeight="1">
      <c r="A852" s="79"/>
      <c r="C852" s="80"/>
      <c r="D852" s="74"/>
      <c r="E852" s="81"/>
      <c r="F852" s="12"/>
    </row>
    <row r="853" ht="13.5" customHeight="1">
      <c r="A853" s="79"/>
      <c r="C853" s="80"/>
      <c r="D853" s="74"/>
      <c r="E853" s="81"/>
      <c r="F853" s="12"/>
    </row>
    <row r="854" ht="13.5" customHeight="1">
      <c r="A854" s="79"/>
      <c r="C854" s="80"/>
      <c r="D854" s="74"/>
      <c r="E854" s="81"/>
      <c r="F854" s="12"/>
    </row>
    <row r="855" ht="13.5" customHeight="1">
      <c r="A855" s="79"/>
      <c r="C855" s="80"/>
      <c r="D855" s="74"/>
      <c r="E855" s="81"/>
      <c r="F855" s="12"/>
    </row>
    <row r="856" ht="13.5" customHeight="1">
      <c r="A856" s="79"/>
      <c r="C856" s="80"/>
      <c r="D856" s="74"/>
      <c r="E856" s="81"/>
      <c r="F856" s="12"/>
    </row>
    <row r="857" ht="13.5" customHeight="1">
      <c r="A857" s="79"/>
      <c r="C857" s="80"/>
      <c r="D857" s="74"/>
      <c r="E857" s="81"/>
      <c r="F857" s="12"/>
    </row>
    <row r="858" ht="13.5" customHeight="1">
      <c r="A858" s="79"/>
      <c r="C858" s="80"/>
      <c r="D858" s="74"/>
      <c r="E858" s="81"/>
      <c r="F858" s="12"/>
    </row>
    <row r="859" ht="13.5" customHeight="1">
      <c r="A859" s="79"/>
      <c r="C859" s="80"/>
      <c r="D859" s="74"/>
      <c r="E859" s="81"/>
      <c r="F859" s="12"/>
    </row>
    <row r="860" ht="13.5" customHeight="1">
      <c r="A860" s="79"/>
      <c r="C860" s="80"/>
      <c r="D860" s="74"/>
      <c r="E860" s="81"/>
      <c r="F860" s="12"/>
    </row>
    <row r="861" ht="13.5" customHeight="1">
      <c r="A861" s="79"/>
      <c r="C861" s="80"/>
      <c r="D861" s="74"/>
      <c r="E861" s="81"/>
      <c r="F861" s="12"/>
    </row>
    <row r="862" ht="13.5" customHeight="1">
      <c r="A862" s="79"/>
      <c r="C862" s="80"/>
      <c r="D862" s="74"/>
      <c r="E862" s="81"/>
      <c r="F862" s="12"/>
    </row>
    <row r="863" ht="13.5" customHeight="1">
      <c r="A863" s="79"/>
      <c r="C863" s="80"/>
      <c r="D863" s="74"/>
      <c r="E863" s="81"/>
      <c r="F863" s="12"/>
    </row>
    <row r="864" ht="13.5" customHeight="1">
      <c r="A864" s="79"/>
      <c r="C864" s="80"/>
      <c r="D864" s="74"/>
      <c r="E864" s="81"/>
      <c r="F864" s="12"/>
    </row>
    <row r="865" ht="13.5" customHeight="1">
      <c r="A865" s="79"/>
      <c r="C865" s="80"/>
      <c r="D865" s="74"/>
      <c r="E865" s="81"/>
      <c r="F865" s="12"/>
    </row>
    <row r="866" ht="13.5" customHeight="1">
      <c r="A866" s="79"/>
      <c r="C866" s="80"/>
      <c r="D866" s="74"/>
      <c r="E866" s="81"/>
      <c r="F866" s="12"/>
    </row>
    <row r="867" ht="13.5" customHeight="1">
      <c r="A867" s="79"/>
      <c r="C867" s="80"/>
      <c r="D867" s="74"/>
      <c r="E867" s="81"/>
      <c r="F867" s="12"/>
    </row>
    <row r="868" ht="13.5" customHeight="1">
      <c r="A868" s="79"/>
      <c r="C868" s="80"/>
      <c r="D868" s="74"/>
      <c r="E868" s="81"/>
      <c r="F868" s="12"/>
    </row>
    <row r="869" ht="13.5" customHeight="1">
      <c r="A869" s="79"/>
      <c r="C869" s="80"/>
      <c r="D869" s="74"/>
      <c r="E869" s="81"/>
      <c r="F869" s="12"/>
    </row>
    <row r="870" ht="13.5" customHeight="1">
      <c r="A870" s="79"/>
      <c r="C870" s="80"/>
      <c r="D870" s="74"/>
      <c r="E870" s="81"/>
      <c r="F870" s="12"/>
    </row>
    <row r="871" ht="13.5" customHeight="1">
      <c r="A871" s="79"/>
      <c r="C871" s="80"/>
      <c r="D871" s="74"/>
      <c r="E871" s="81"/>
      <c r="F871" s="12"/>
    </row>
    <row r="872" ht="13.5" customHeight="1">
      <c r="A872" s="79"/>
      <c r="C872" s="80"/>
      <c r="D872" s="74"/>
      <c r="E872" s="81"/>
      <c r="F872" s="12"/>
    </row>
    <row r="873" ht="13.5" customHeight="1">
      <c r="A873" s="79"/>
      <c r="C873" s="80"/>
      <c r="D873" s="74"/>
      <c r="E873" s="81"/>
      <c r="F873" s="12"/>
    </row>
    <row r="874" ht="13.5" customHeight="1">
      <c r="A874" s="79"/>
      <c r="C874" s="80"/>
      <c r="D874" s="74"/>
      <c r="E874" s="81"/>
      <c r="F874" s="12"/>
    </row>
    <row r="875" ht="13.5" customHeight="1">
      <c r="A875" s="79"/>
      <c r="C875" s="80"/>
      <c r="D875" s="74"/>
      <c r="E875" s="81"/>
      <c r="F875" s="12"/>
    </row>
    <row r="876" ht="13.5" customHeight="1">
      <c r="A876" s="79"/>
      <c r="C876" s="80"/>
      <c r="D876" s="74"/>
      <c r="E876" s="81"/>
      <c r="F876" s="12"/>
    </row>
    <row r="877" ht="13.5" customHeight="1">
      <c r="A877" s="79"/>
      <c r="C877" s="80"/>
      <c r="D877" s="74"/>
      <c r="E877" s="81"/>
      <c r="F877" s="12"/>
    </row>
    <row r="878" ht="13.5" customHeight="1">
      <c r="A878" s="79"/>
      <c r="C878" s="80"/>
      <c r="D878" s="74"/>
      <c r="E878" s="81"/>
      <c r="F878" s="12"/>
    </row>
    <row r="879" ht="13.5" customHeight="1">
      <c r="A879" s="79"/>
      <c r="C879" s="80"/>
      <c r="D879" s="74"/>
      <c r="E879" s="81"/>
      <c r="F879" s="12"/>
    </row>
    <row r="880" ht="13.5" customHeight="1">
      <c r="A880" s="79"/>
      <c r="C880" s="80"/>
      <c r="D880" s="74"/>
      <c r="E880" s="81"/>
      <c r="F880" s="12"/>
    </row>
    <row r="881" ht="13.5" customHeight="1">
      <c r="A881" s="79"/>
      <c r="C881" s="80"/>
      <c r="D881" s="74"/>
      <c r="E881" s="81"/>
      <c r="F881" s="12"/>
    </row>
    <row r="882" ht="13.5" customHeight="1">
      <c r="A882" s="79"/>
      <c r="C882" s="80"/>
      <c r="D882" s="74"/>
      <c r="E882" s="81"/>
      <c r="F882" s="12"/>
    </row>
    <row r="883" ht="13.5" customHeight="1">
      <c r="A883" s="79"/>
      <c r="C883" s="80"/>
      <c r="D883" s="74"/>
      <c r="E883" s="81"/>
      <c r="F883" s="12"/>
    </row>
    <row r="884" ht="13.5" customHeight="1">
      <c r="A884" s="79"/>
      <c r="C884" s="80"/>
      <c r="D884" s="74"/>
      <c r="E884" s="81"/>
      <c r="F884" s="12"/>
    </row>
    <row r="885" ht="13.5" customHeight="1">
      <c r="A885" s="79"/>
      <c r="C885" s="80"/>
      <c r="D885" s="74"/>
      <c r="E885" s="81"/>
      <c r="F885" s="12"/>
    </row>
    <row r="886" ht="13.5" customHeight="1">
      <c r="A886" s="79"/>
      <c r="C886" s="80"/>
      <c r="D886" s="74"/>
      <c r="E886" s="81"/>
      <c r="F886" s="12"/>
    </row>
    <row r="887" ht="13.5" customHeight="1">
      <c r="A887" s="79"/>
      <c r="C887" s="80"/>
      <c r="D887" s="74"/>
      <c r="E887" s="81"/>
      <c r="F887" s="12"/>
    </row>
    <row r="888" ht="13.5" customHeight="1">
      <c r="A888" s="79"/>
      <c r="C888" s="80"/>
      <c r="D888" s="74"/>
      <c r="E888" s="81"/>
      <c r="F888" s="12"/>
    </row>
    <row r="889" ht="13.5" customHeight="1">
      <c r="A889" s="79"/>
      <c r="C889" s="80"/>
      <c r="D889" s="74"/>
      <c r="E889" s="81"/>
      <c r="F889" s="12"/>
    </row>
    <row r="890" ht="13.5" customHeight="1">
      <c r="A890" s="79"/>
      <c r="C890" s="80"/>
      <c r="D890" s="74"/>
      <c r="E890" s="81"/>
      <c r="F890" s="12"/>
    </row>
    <row r="891" ht="13.5" customHeight="1">
      <c r="A891" s="79"/>
      <c r="C891" s="80"/>
      <c r="D891" s="74"/>
      <c r="E891" s="81"/>
      <c r="F891" s="12"/>
    </row>
    <row r="892" ht="13.5" customHeight="1">
      <c r="A892" s="79"/>
      <c r="C892" s="80"/>
      <c r="D892" s="74"/>
      <c r="E892" s="81"/>
      <c r="F892" s="12"/>
    </row>
    <row r="893" ht="13.5" customHeight="1">
      <c r="A893" s="79"/>
      <c r="C893" s="80"/>
      <c r="D893" s="74"/>
      <c r="E893" s="81"/>
      <c r="F893" s="12"/>
    </row>
    <row r="894" ht="13.5" customHeight="1">
      <c r="A894" s="79"/>
      <c r="C894" s="80"/>
      <c r="D894" s="74"/>
      <c r="E894" s="81"/>
      <c r="F894" s="12"/>
    </row>
    <row r="895" ht="13.5" customHeight="1">
      <c r="A895" s="79"/>
      <c r="C895" s="80"/>
      <c r="D895" s="74"/>
      <c r="E895" s="81"/>
      <c r="F895" s="12"/>
    </row>
    <row r="896" ht="13.5" customHeight="1">
      <c r="A896" s="79"/>
      <c r="C896" s="80"/>
      <c r="D896" s="74"/>
      <c r="E896" s="81"/>
      <c r="F896" s="12"/>
    </row>
    <row r="897" ht="13.5" customHeight="1">
      <c r="A897" s="79"/>
      <c r="C897" s="80"/>
      <c r="D897" s="74"/>
      <c r="E897" s="81"/>
      <c r="F897" s="12"/>
    </row>
    <row r="898" ht="13.5" customHeight="1">
      <c r="A898" s="79"/>
      <c r="C898" s="80"/>
      <c r="D898" s="74"/>
      <c r="E898" s="81"/>
      <c r="F898" s="12"/>
    </row>
    <row r="899" ht="13.5" customHeight="1">
      <c r="A899" s="79"/>
      <c r="C899" s="80"/>
      <c r="D899" s="74"/>
      <c r="E899" s="81"/>
      <c r="F899" s="12"/>
    </row>
    <row r="900" ht="13.5" customHeight="1">
      <c r="A900" s="79"/>
      <c r="C900" s="80"/>
      <c r="D900" s="74"/>
      <c r="E900" s="81"/>
      <c r="F900" s="12"/>
    </row>
    <row r="901" ht="13.5" customHeight="1">
      <c r="A901" s="79"/>
      <c r="C901" s="80"/>
      <c r="D901" s="74"/>
      <c r="E901" s="81"/>
      <c r="F901" s="12"/>
    </row>
    <row r="902" ht="13.5" customHeight="1">
      <c r="A902" s="79"/>
      <c r="C902" s="80"/>
      <c r="D902" s="74"/>
      <c r="E902" s="81"/>
      <c r="F902" s="12"/>
    </row>
    <row r="903" ht="13.5" customHeight="1">
      <c r="A903" s="79"/>
      <c r="C903" s="80"/>
      <c r="D903" s="74"/>
      <c r="E903" s="81"/>
      <c r="F903" s="12"/>
    </row>
    <row r="904" ht="13.5" customHeight="1">
      <c r="A904" s="79"/>
      <c r="C904" s="80"/>
      <c r="D904" s="74"/>
      <c r="E904" s="81"/>
      <c r="F904" s="12"/>
    </row>
    <row r="905" ht="13.5" customHeight="1">
      <c r="A905" s="79"/>
      <c r="C905" s="80"/>
      <c r="D905" s="74"/>
      <c r="E905" s="81"/>
      <c r="F905" s="12"/>
    </row>
    <row r="906" ht="13.5" customHeight="1">
      <c r="A906" s="79"/>
      <c r="C906" s="80"/>
      <c r="D906" s="74"/>
      <c r="E906" s="81"/>
      <c r="F906" s="12"/>
    </row>
    <row r="907" ht="13.5" customHeight="1">
      <c r="A907" s="79"/>
      <c r="C907" s="80"/>
      <c r="D907" s="74"/>
      <c r="E907" s="81"/>
      <c r="F907" s="12"/>
    </row>
    <row r="908" ht="13.5" customHeight="1">
      <c r="A908" s="79"/>
      <c r="C908" s="80"/>
      <c r="D908" s="74"/>
      <c r="E908" s="81"/>
      <c r="F908" s="12"/>
    </row>
    <row r="909" ht="13.5" customHeight="1">
      <c r="A909" s="79"/>
      <c r="C909" s="80"/>
      <c r="D909" s="74"/>
      <c r="E909" s="81"/>
      <c r="F909" s="12"/>
    </row>
    <row r="910" ht="13.5" customHeight="1">
      <c r="A910" s="79"/>
      <c r="C910" s="80"/>
      <c r="D910" s="74"/>
      <c r="E910" s="81"/>
      <c r="F910" s="12"/>
    </row>
    <row r="911" ht="13.5" customHeight="1">
      <c r="A911" s="79"/>
      <c r="C911" s="80"/>
      <c r="D911" s="74"/>
      <c r="E911" s="81"/>
      <c r="F911" s="12"/>
    </row>
    <row r="912" ht="13.5" customHeight="1">
      <c r="A912" s="79"/>
      <c r="C912" s="80"/>
      <c r="D912" s="74"/>
      <c r="E912" s="81"/>
      <c r="F912" s="12"/>
    </row>
    <row r="913" ht="13.5" customHeight="1">
      <c r="A913" s="79"/>
      <c r="C913" s="80"/>
      <c r="D913" s="74"/>
      <c r="E913" s="81"/>
      <c r="F913" s="12"/>
    </row>
    <row r="914" ht="13.5" customHeight="1">
      <c r="A914" s="79"/>
      <c r="C914" s="80"/>
      <c r="D914" s="74"/>
      <c r="E914" s="81"/>
      <c r="F914" s="12"/>
    </row>
    <row r="915" ht="13.5" customHeight="1">
      <c r="A915" s="79"/>
      <c r="C915" s="80"/>
      <c r="D915" s="74"/>
      <c r="E915" s="81"/>
      <c r="F915" s="12"/>
    </row>
    <row r="916" ht="13.5" customHeight="1">
      <c r="A916" s="79"/>
      <c r="C916" s="80"/>
      <c r="D916" s="74"/>
      <c r="E916" s="81"/>
      <c r="F916" s="12"/>
    </row>
    <row r="917" ht="13.5" customHeight="1">
      <c r="A917" s="79"/>
      <c r="C917" s="80"/>
      <c r="D917" s="74"/>
      <c r="E917" s="81"/>
      <c r="F917" s="12"/>
    </row>
    <row r="918" ht="13.5" customHeight="1">
      <c r="A918" s="79"/>
      <c r="C918" s="80"/>
      <c r="D918" s="74"/>
      <c r="E918" s="81"/>
      <c r="F918" s="12"/>
    </row>
    <row r="919" ht="13.5" customHeight="1">
      <c r="A919" s="79"/>
      <c r="C919" s="80"/>
      <c r="D919" s="74"/>
      <c r="E919" s="81"/>
      <c r="F919" s="12"/>
    </row>
    <row r="920" ht="13.5" customHeight="1">
      <c r="A920" s="79"/>
      <c r="C920" s="80"/>
      <c r="D920" s="74"/>
      <c r="E920" s="81"/>
      <c r="F920" s="12"/>
    </row>
    <row r="921" ht="13.5" customHeight="1">
      <c r="A921" s="79"/>
      <c r="C921" s="80"/>
      <c r="D921" s="74"/>
      <c r="E921" s="81"/>
      <c r="F921" s="12"/>
    </row>
    <row r="922" ht="13.5" customHeight="1">
      <c r="A922" s="79"/>
      <c r="C922" s="80"/>
      <c r="D922" s="74"/>
      <c r="E922" s="81"/>
      <c r="F922" s="12"/>
    </row>
    <row r="923" ht="13.5" customHeight="1">
      <c r="A923" s="79"/>
      <c r="C923" s="80"/>
      <c r="D923" s="74"/>
      <c r="E923" s="81"/>
      <c r="F923" s="12"/>
    </row>
    <row r="924" ht="13.5" customHeight="1">
      <c r="A924" s="79"/>
      <c r="C924" s="80"/>
      <c r="D924" s="74"/>
      <c r="E924" s="81"/>
      <c r="F924" s="12"/>
    </row>
    <row r="925" ht="13.5" customHeight="1">
      <c r="A925" s="79"/>
      <c r="C925" s="80"/>
      <c r="D925" s="74"/>
      <c r="E925" s="81"/>
      <c r="F925" s="12"/>
    </row>
    <row r="926" ht="13.5" customHeight="1">
      <c r="A926" s="79"/>
      <c r="C926" s="80"/>
      <c r="D926" s="74"/>
      <c r="E926" s="81"/>
      <c r="F926" s="12"/>
    </row>
    <row r="927" ht="13.5" customHeight="1">
      <c r="A927" s="79"/>
      <c r="C927" s="80"/>
      <c r="D927" s="74"/>
      <c r="E927" s="81"/>
      <c r="F927" s="12"/>
    </row>
    <row r="928" ht="13.5" customHeight="1">
      <c r="A928" s="79"/>
      <c r="C928" s="80"/>
      <c r="D928" s="74"/>
      <c r="E928" s="81"/>
      <c r="F928" s="12"/>
    </row>
    <row r="929" ht="13.5" customHeight="1">
      <c r="A929" s="79"/>
      <c r="C929" s="80"/>
      <c r="D929" s="74"/>
      <c r="E929" s="81"/>
      <c r="F929" s="12"/>
    </row>
    <row r="930" ht="13.5" customHeight="1">
      <c r="A930" s="79"/>
      <c r="C930" s="80"/>
      <c r="D930" s="74"/>
      <c r="E930" s="81"/>
      <c r="F930" s="12"/>
    </row>
    <row r="931" ht="13.5" customHeight="1">
      <c r="A931" s="79"/>
      <c r="C931" s="80"/>
      <c r="D931" s="74"/>
      <c r="E931" s="81"/>
      <c r="F931" s="12"/>
    </row>
    <row r="932" ht="13.5" customHeight="1">
      <c r="A932" s="79"/>
      <c r="C932" s="80"/>
      <c r="D932" s="74"/>
      <c r="E932" s="81"/>
      <c r="F932" s="12"/>
    </row>
    <row r="933" ht="13.5" customHeight="1">
      <c r="A933" s="79"/>
      <c r="C933" s="80"/>
      <c r="D933" s="74"/>
      <c r="E933" s="81"/>
      <c r="F933" s="12"/>
    </row>
    <row r="934" ht="13.5" customHeight="1">
      <c r="A934" s="79"/>
      <c r="C934" s="80"/>
      <c r="D934" s="74"/>
      <c r="E934" s="81"/>
      <c r="F934" s="12"/>
    </row>
    <row r="935" ht="13.5" customHeight="1">
      <c r="A935" s="79"/>
      <c r="C935" s="80"/>
      <c r="D935" s="74"/>
      <c r="E935" s="81"/>
      <c r="F935" s="12"/>
    </row>
    <row r="936" ht="13.5" customHeight="1">
      <c r="A936" s="79"/>
      <c r="C936" s="80"/>
      <c r="D936" s="74"/>
      <c r="E936" s="81"/>
      <c r="F936" s="12"/>
    </row>
    <row r="937" ht="13.5" customHeight="1">
      <c r="A937" s="79"/>
      <c r="C937" s="80"/>
      <c r="D937" s="74"/>
      <c r="E937" s="81"/>
      <c r="F937" s="12"/>
    </row>
    <row r="938" ht="13.5" customHeight="1">
      <c r="A938" s="79"/>
      <c r="C938" s="80"/>
      <c r="D938" s="74"/>
      <c r="E938" s="81"/>
      <c r="F938" s="12"/>
    </row>
    <row r="939" ht="13.5" customHeight="1">
      <c r="A939" s="79"/>
      <c r="C939" s="80"/>
      <c r="D939" s="74"/>
      <c r="E939" s="81"/>
      <c r="F939" s="12"/>
    </row>
    <row r="940" ht="13.5" customHeight="1">
      <c r="A940" s="79"/>
      <c r="C940" s="80"/>
      <c r="D940" s="74"/>
      <c r="E940" s="81"/>
      <c r="F940" s="12"/>
    </row>
    <row r="941" ht="13.5" customHeight="1">
      <c r="A941" s="79"/>
      <c r="C941" s="80"/>
      <c r="D941" s="74"/>
      <c r="E941" s="81"/>
      <c r="F941" s="12"/>
    </row>
    <row r="942" ht="13.5" customHeight="1">
      <c r="A942" s="79"/>
      <c r="C942" s="80"/>
      <c r="D942" s="74"/>
      <c r="E942" s="81"/>
      <c r="F942" s="12"/>
    </row>
    <row r="943" ht="13.5" customHeight="1">
      <c r="A943" s="79"/>
      <c r="C943" s="80"/>
      <c r="D943" s="74"/>
      <c r="E943" s="81"/>
      <c r="F943" s="12"/>
    </row>
    <row r="944" ht="13.5" customHeight="1">
      <c r="A944" s="79"/>
      <c r="C944" s="80"/>
      <c r="D944" s="74"/>
      <c r="E944" s="81"/>
      <c r="F944" s="12"/>
    </row>
    <row r="945" ht="13.5" customHeight="1">
      <c r="A945" s="79"/>
      <c r="C945" s="80"/>
      <c r="D945" s="74"/>
      <c r="E945" s="81"/>
      <c r="F945" s="12"/>
    </row>
    <row r="946" ht="13.5" customHeight="1">
      <c r="A946" s="79"/>
      <c r="C946" s="80"/>
      <c r="D946" s="74"/>
      <c r="E946" s="81"/>
      <c r="F946" s="12"/>
    </row>
    <row r="947" ht="13.5" customHeight="1">
      <c r="A947" s="79"/>
      <c r="C947" s="80"/>
      <c r="D947" s="74"/>
      <c r="E947" s="81"/>
      <c r="F947" s="12"/>
    </row>
    <row r="948" ht="13.5" customHeight="1">
      <c r="A948" s="79"/>
      <c r="C948" s="80"/>
      <c r="D948" s="74"/>
      <c r="E948" s="81"/>
      <c r="F948" s="12"/>
    </row>
    <row r="949" ht="13.5" customHeight="1">
      <c r="A949" s="79"/>
      <c r="C949" s="80"/>
      <c r="D949" s="74"/>
      <c r="E949" s="81"/>
      <c r="F949" s="12"/>
    </row>
    <row r="950" ht="13.5" customHeight="1">
      <c r="A950" s="79"/>
      <c r="C950" s="80"/>
      <c r="D950" s="74"/>
      <c r="E950" s="81"/>
      <c r="F950" s="12"/>
    </row>
    <row r="951" ht="13.5" customHeight="1">
      <c r="A951" s="79"/>
      <c r="C951" s="80"/>
      <c r="D951" s="74"/>
      <c r="E951" s="81"/>
      <c r="F951" s="12"/>
    </row>
    <row r="952" ht="13.5" customHeight="1">
      <c r="A952" s="79"/>
      <c r="C952" s="80"/>
      <c r="D952" s="74"/>
      <c r="E952" s="81"/>
      <c r="F952" s="12"/>
    </row>
    <row r="953" ht="13.5" customHeight="1">
      <c r="A953" s="79"/>
      <c r="C953" s="80"/>
      <c r="D953" s="74"/>
      <c r="E953" s="81"/>
      <c r="F953" s="12"/>
    </row>
    <row r="954" ht="13.5" customHeight="1">
      <c r="A954" s="79"/>
      <c r="C954" s="80"/>
      <c r="D954" s="74"/>
      <c r="E954" s="81"/>
      <c r="F954" s="12"/>
    </row>
    <row r="955" ht="13.5" customHeight="1">
      <c r="A955" s="79"/>
      <c r="C955" s="80"/>
      <c r="D955" s="74"/>
      <c r="E955" s="81"/>
      <c r="F955" s="12"/>
    </row>
    <row r="956" ht="13.5" customHeight="1">
      <c r="A956" s="79"/>
      <c r="C956" s="80"/>
      <c r="D956" s="74"/>
      <c r="E956" s="81"/>
      <c r="F956" s="12"/>
    </row>
    <row r="957" ht="13.5" customHeight="1">
      <c r="A957" s="79"/>
      <c r="C957" s="80"/>
      <c r="D957" s="74"/>
      <c r="E957" s="81"/>
      <c r="F957" s="12"/>
    </row>
    <row r="958" ht="13.5" customHeight="1">
      <c r="A958" s="79"/>
      <c r="C958" s="80"/>
      <c r="D958" s="74"/>
      <c r="E958" s="81"/>
      <c r="F958" s="12"/>
    </row>
    <row r="959" ht="13.5" customHeight="1">
      <c r="A959" s="79"/>
      <c r="C959" s="80"/>
      <c r="D959" s="74"/>
      <c r="E959" s="81"/>
      <c r="F959" s="12"/>
    </row>
    <row r="960" ht="13.5" customHeight="1">
      <c r="A960" s="79"/>
      <c r="C960" s="80"/>
      <c r="D960" s="74"/>
      <c r="E960" s="81"/>
      <c r="F960" s="12"/>
    </row>
    <row r="961" ht="13.5" customHeight="1">
      <c r="A961" s="79"/>
      <c r="C961" s="80"/>
      <c r="D961" s="74"/>
      <c r="E961" s="81"/>
      <c r="F961" s="12"/>
    </row>
    <row r="962" ht="13.5" customHeight="1">
      <c r="A962" s="79"/>
      <c r="C962" s="80"/>
      <c r="D962" s="74"/>
      <c r="E962" s="81"/>
      <c r="F962" s="12"/>
    </row>
    <row r="963" ht="13.5" customHeight="1">
      <c r="A963" s="79"/>
      <c r="C963" s="80"/>
      <c r="D963" s="74"/>
      <c r="E963" s="81"/>
      <c r="F963" s="12"/>
    </row>
    <row r="964" ht="13.5" customHeight="1">
      <c r="A964" s="79"/>
      <c r="C964" s="80"/>
      <c r="D964" s="74"/>
      <c r="E964" s="81"/>
      <c r="F964" s="12"/>
    </row>
    <row r="965" ht="13.5" customHeight="1">
      <c r="A965" s="79"/>
      <c r="C965" s="80"/>
      <c r="D965" s="74"/>
      <c r="E965" s="81"/>
      <c r="F965" s="12"/>
    </row>
    <row r="966" ht="13.5" customHeight="1">
      <c r="A966" s="79"/>
      <c r="C966" s="80"/>
      <c r="D966" s="74"/>
      <c r="E966" s="81"/>
      <c r="F966" s="12"/>
    </row>
    <row r="967" ht="13.5" customHeight="1">
      <c r="A967" s="79"/>
      <c r="C967" s="80"/>
      <c r="D967" s="74"/>
      <c r="E967" s="81"/>
      <c r="F967" s="12"/>
    </row>
    <row r="968" ht="13.5" customHeight="1">
      <c r="A968" s="79"/>
      <c r="C968" s="80"/>
      <c r="D968" s="74"/>
      <c r="E968" s="81"/>
      <c r="F968" s="12"/>
    </row>
    <row r="969" ht="13.5" customHeight="1">
      <c r="A969" s="79"/>
      <c r="C969" s="80"/>
      <c r="D969" s="74"/>
      <c r="E969" s="81"/>
      <c r="F969" s="12"/>
    </row>
    <row r="970" ht="13.5" customHeight="1">
      <c r="A970" s="79"/>
      <c r="C970" s="80"/>
      <c r="D970" s="74"/>
      <c r="E970" s="81"/>
      <c r="F970" s="12"/>
    </row>
    <row r="971" ht="13.5" customHeight="1">
      <c r="A971" s="79"/>
      <c r="C971" s="80"/>
      <c r="D971" s="74"/>
      <c r="E971" s="81"/>
      <c r="F971" s="12"/>
    </row>
    <row r="972" ht="13.5" customHeight="1">
      <c r="A972" s="79"/>
      <c r="C972" s="80"/>
      <c r="D972" s="74"/>
      <c r="E972" s="81"/>
      <c r="F972" s="12"/>
    </row>
    <row r="973" ht="13.5" customHeight="1">
      <c r="A973" s="79"/>
      <c r="C973" s="80"/>
      <c r="D973" s="74"/>
      <c r="E973" s="81"/>
      <c r="F973" s="12"/>
    </row>
    <row r="974" ht="13.5" customHeight="1">
      <c r="A974" s="79"/>
      <c r="C974" s="80"/>
      <c r="D974" s="74"/>
      <c r="E974" s="81"/>
      <c r="F974" s="12"/>
    </row>
    <row r="975" ht="13.5" customHeight="1">
      <c r="A975" s="79"/>
      <c r="C975" s="80"/>
      <c r="D975" s="74"/>
      <c r="E975" s="81"/>
      <c r="F975" s="12"/>
    </row>
    <row r="976" ht="13.5" customHeight="1">
      <c r="A976" s="79"/>
      <c r="C976" s="80"/>
      <c r="D976" s="74"/>
      <c r="E976" s="81"/>
      <c r="F976" s="12"/>
    </row>
    <row r="977" ht="13.5" customHeight="1">
      <c r="A977" s="79"/>
      <c r="C977" s="80"/>
      <c r="D977" s="74"/>
      <c r="E977" s="81"/>
      <c r="F977" s="12"/>
    </row>
    <row r="978" ht="13.5" customHeight="1">
      <c r="A978" s="79"/>
      <c r="C978" s="80"/>
      <c r="D978" s="74"/>
      <c r="E978" s="81"/>
      <c r="F978" s="12"/>
    </row>
    <row r="979" ht="13.5" customHeight="1">
      <c r="A979" s="79"/>
      <c r="C979" s="80"/>
      <c r="D979" s="74"/>
      <c r="E979" s="81"/>
      <c r="F979" s="12"/>
    </row>
    <row r="980" ht="13.5" customHeight="1">
      <c r="A980" s="79"/>
      <c r="C980" s="80"/>
      <c r="D980" s="74"/>
      <c r="E980" s="81"/>
      <c r="F980" s="12"/>
    </row>
    <row r="981" ht="13.5" customHeight="1">
      <c r="A981" s="79"/>
      <c r="C981" s="80"/>
      <c r="D981" s="74"/>
      <c r="E981" s="81"/>
      <c r="F981" s="12"/>
    </row>
    <row r="982" ht="13.5" customHeight="1">
      <c r="A982" s="79"/>
      <c r="C982" s="80"/>
      <c r="D982" s="74"/>
      <c r="E982" s="81"/>
      <c r="F982" s="12"/>
    </row>
    <row r="983" ht="13.5" customHeight="1">
      <c r="A983" s="79"/>
      <c r="C983" s="80"/>
      <c r="D983" s="74"/>
      <c r="E983" s="81"/>
      <c r="F983" s="12"/>
    </row>
    <row r="984" ht="13.5" customHeight="1">
      <c r="A984" s="79"/>
      <c r="C984" s="80"/>
      <c r="D984" s="74"/>
      <c r="E984" s="81"/>
      <c r="F984" s="12"/>
    </row>
    <row r="985" ht="13.5" customHeight="1">
      <c r="A985" s="79"/>
      <c r="C985" s="80"/>
      <c r="D985" s="74"/>
      <c r="E985" s="81"/>
      <c r="F985" s="12"/>
    </row>
    <row r="986" ht="13.5" customHeight="1">
      <c r="A986" s="79"/>
      <c r="C986" s="80"/>
      <c r="D986" s="74"/>
      <c r="E986" s="81"/>
      <c r="F986" s="12"/>
    </row>
    <row r="987" ht="13.5" customHeight="1">
      <c r="A987" s="79"/>
      <c r="C987" s="80"/>
      <c r="D987" s="74"/>
      <c r="E987" s="81"/>
      <c r="F987" s="12"/>
    </row>
    <row r="988" ht="13.5" customHeight="1">
      <c r="A988" s="79"/>
      <c r="C988" s="80"/>
      <c r="D988" s="74"/>
      <c r="E988" s="81"/>
      <c r="F988" s="12"/>
    </row>
    <row r="989" ht="13.5" customHeight="1">
      <c r="A989" s="79"/>
      <c r="C989" s="80"/>
      <c r="D989" s="74"/>
      <c r="E989" s="81"/>
      <c r="F989" s="12"/>
    </row>
    <row r="990" ht="13.5" customHeight="1">
      <c r="A990" s="79"/>
      <c r="C990" s="80"/>
      <c r="D990" s="74"/>
      <c r="E990" s="81"/>
      <c r="F990" s="12"/>
    </row>
    <row r="991" ht="13.5" customHeight="1">
      <c r="A991" s="79"/>
      <c r="C991" s="80"/>
      <c r="D991" s="74"/>
      <c r="E991" s="81"/>
      <c r="F991" s="12"/>
    </row>
    <row r="992" ht="13.5" customHeight="1">
      <c r="A992" s="79"/>
      <c r="C992" s="80"/>
      <c r="D992" s="74"/>
      <c r="E992" s="81"/>
      <c r="F992" s="12"/>
    </row>
    <row r="993" ht="13.5" customHeight="1">
      <c r="A993" s="79"/>
      <c r="C993" s="80"/>
      <c r="D993" s="74"/>
      <c r="E993" s="81"/>
      <c r="F993" s="12"/>
    </row>
    <row r="994" ht="13.5" customHeight="1">
      <c r="A994" s="79"/>
      <c r="C994" s="80"/>
      <c r="D994" s="74"/>
      <c r="E994" s="81"/>
      <c r="F994" s="12"/>
    </row>
    <row r="995" ht="13.5" customHeight="1">
      <c r="A995" s="79"/>
      <c r="C995" s="80"/>
      <c r="D995" s="74"/>
      <c r="E995" s="81"/>
      <c r="F995" s="12"/>
    </row>
    <row r="996" ht="13.5" customHeight="1">
      <c r="A996" s="79"/>
      <c r="C996" s="80"/>
      <c r="D996" s="74"/>
      <c r="E996" s="81"/>
      <c r="F996" s="12"/>
    </row>
    <row r="997" ht="13.5" customHeight="1">
      <c r="A997" s="79"/>
      <c r="C997" s="80"/>
      <c r="D997" s="74"/>
      <c r="E997" s="81"/>
      <c r="F997" s="12"/>
    </row>
    <row r="998" ht="13.5" customHeight="1">
      <c r="A998" s="79"/>
      <c r="C998" s="80"/>
      <c r="D998" s="74"/>
      <c r="E998" s="81"/>
      <c r="F998" s="12"/>
    </row>
    <row r="999" ht="13.5" customHeight="1">
      <c r="A999" s="79"/>
      <c r="C999" s="80"/>
      <c r="D999" s="74"/>
      <c r="E999" s="81"/>
      <c r="F999" s="12"/>
    </row>
    <row r="1000" ht="13.5" customHeight="1">
      <c r="A1000" s="79"/>
      <c r="C1000" s="80"/>
      <c r="D1000" s="74"/>
      <c r="E1000" s="81"/>
      <c r="F1000" s="12"/>
    </row>
  </sheetData>
  <autoFilter ref="$A$1:$E$65"/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13"/>
    <col customWidth="1" min="3" max="3" width="9.5"/>
    <col customWidth="1" min="4" max="4" width="12.25"/>
    <col customWidth="1" min="5" max="5" width="16.5"/>
    <col customWidth="1" min="6" max="6" width="15.5"/>
    <col customWidth="1" min="7" max="7" width="27.5"/>
    <col customWidth="1" min="8" max="8" width="11.63"/>
    <col customWidth="1" min="9" max="9" width="12.13"/>
    <col customWidth="1" min="10" max="10" width="27.38"/>
    <col customWidth="1" min="11" max="11" width="15.5"/>
    <col customWidth="1" min="12" max="26" width="8.75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3.5" customHeight="1">
      <c r="A2" s="14">
        <v>1.0</v>
      </c>
      <c r="B2" s="14" t="s">
        <v>16</v>
      </c>
      <c r="C2" s="14">
        <v>2050910.0</v>
      </c>
      <c r="D2" s="16">
        <v>46209.0</v>
      </c>
      <c r="E2" s="17">
        <v>1915.66</v>
      </c>
      <c r="F2" s="14" t="s">
        <v>18</v>
      </c>
      <c r="G2" s="14" t="s">
        <v>19</v>
      </c>
      <c r="H2" s="34"/>
      <c r="I2" s="34"/>
      <c r="J2" s="21">
        <v>183156.0</v>
      </c>
      <c r="K2" s="29">
        <v>58592.82999999996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3.5" customHeight="1">
      <c r="A3" s="14">
        <v>2.0</v>
      </c>
      <c r="B3" s="14" t="s">
        <v>9</v>
      </c>
      <c r="C3" s="14">
        <v>2060855.0</v>
      </c>
      <c r="D3" s="16">
        <v>46209.0</v>
      </c>
      <c r="E3" s="17">
        <v>4550000.0</v>
      </c>
      <c r="F3" s="14" t="s">
        <v>21</v>
      </c>
      <c r="G3" s="14" t="s">
        <v>11</v>
      </c>
      <c r="H3" s="34"/>
      <c r="I3" s="34"/>
      <c r="J3" s="21">
        <v>183157.0</v>
      </c>
      <c r="K3" s="29">
        <v>2562895.7499999995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14">
        <v>3.0</v>
      </c>
      <c r="B4" s="14" t="s">
        <v>9</v>
      </c>
      <c r="C4" s="14">
        <v>2050900.0</v>
      </c>
      <c r="D4" s="16">
        <v>46209.0</v>
      </c>
      <c r="E4" s="17">
        <v>10706.96</v>
      </c>
      <c r="F4" s="14" t="s">
        <v>18</v>
      </c>
      <c r="G4" s="14" t="s">
        <v>19</v>
      </c>
      <c r="H4" s="34"/>
      <c r="I4" s="34"/>
      <c r="J4" s="21">
        <v>183162.0</v>
      </c>
      <c r="K4" s="29">
        <v>3216.0899999999997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30">
        <v>4.0</v>
      </c>
      <c r="B5" s="30" t="s">
        <v>16</v>
      </c>
      <c r="C5" s="30">
        <v>2090821.0</v>
      </c>
      <c r="D5" s="31">
        <v>46209.0</v>
      </c>
      <c r="E5" s="32">
        <v>111.03</v>
      </c>
      <c r="F5" s="14" t="s">
        <v>18</v>
      </c>
      <c r="G5" s="30" t="s">
        <v>19</v>
      </c>
      <c r="H5" s="34"/>
      <c r="I5" s="34"/>
      <c r="J5" s="21">
        <v>183198.0</v>
      </c>
      <c r="K5" s="29">
        <v>337392.33999999997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14">
        <v>6.0</v>
      </c>
      <c r="B6" s="14" t="s">
        <v>20</v>
      </c>
      <c r="C6" s="14">
        <v>1170470.0</v>
      </c>
      <c r="D6" s="16">
        <v>46209.0</v>
      </c>
      <c r="E6" s="17">
        <v>32822.04</v>
      </c>
      <c r="F6" s="14"/>
      <c r="G6" s="14" t="s">
        <v>11</v>
      </c>
      <c r="H6" s="34"/>
      <c r="I6" s="34"/>
      <c r="J6" s="23" t="s">
        <v>29</v>
      </c>
      <c r="K6" s="45">
        <v>1800.0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3">
        <v>7.0</v>
      </c>
      <c r="B7" s="23" t="s">
        <v>20</v>
      </c>
      <c r="C7" s="23">
        <v>1040211.0</v>
      </c>
      <c r="D7" s="49">
        <v>46209.0</v>
      </c>
      <c r="E7" s="29">
        <v>1136503.16</v>
      </c>
      <c r="F7" s="23"/>
      <c r="G7" s="23" t="s">
        <v>19</v>
      </c>
      <c r="H7" s="34"/>
      <c r="I7" s="34"/>
      <c r="J7" s="23" t="s">
        <v>35</v>
      </c>
      <c r="K7" s="45">
        <v>1800.0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3">
        <v>15.0</v>
      </c>
      <c r="B8" s="23" t="s">
        <v>20</v>
      </c>
      <c r="C8" s="23">
        <v>1200393.0</v>
      </c>
      <c r="D8" s="49">
        <v>46209.0</v>
      </c>
      <c r="E8" s="29">
        <v>9056.68</v>
      </c>
      <c r="F8" s="23"/>
      <c r="G8" s="23" t="s">
        <v>19</v>
      </c>
      <c r="H8" s="34"/>
      <c r="I8" s="34"/>
      <c r="J8" s="23" t="s">
        <v>41</v>
      </c>
      <c r="K8" s="45">
        <v>1039.25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3">
        <v>16.0</v>
      </c>
      <c r="B9" s="23" t="s">
        <v>20</v>
      </c>
      <c r="C9" s="23">
        <v>1040211.0</v>
      </c>
      <c r="D9" s="49">
        <v>46209.0</v>
      </c>
      <c r="E9" s="29">
        <v>49536.15</v>
      </c>
      <c r="F9" s="23"/>
      <c r="G9" s="23" t="s">
        <v>19</v>
      </c>
      <c r="H9" s="34"/>
      <c r="I9" s="34"/>
      <c r="J9" s="23" t="s">
        <v>45</v>
      </c>
      <c r="K9" s="45">
        <v>5360.18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3">
        <v>18.0</v>
      </c>
      <c r="B10" s="23" t="s">
        <v>20</v>
      </c>
      <c r="C10" s="23">
        <v>1200393.0</v>
      </c>
      <c r="D10" s="49">
        <v>46209.0</v>
      </c>
      <c r="E10" s="29">
        <v>1426392.59</v>
      </c>
      <c r="F10" s="23"/>
      <c r="G10" s="23" t="s">
        <v>19</v>
      </c>
      <c r="H10" s="34"/>
      <c r="I10" s="34"/>
      <c r="J10" s="34"/>
      <c r="K10" s="3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3">
        <v>19.0</v>
      </c>
      <c r="B11" s="23" t="s">
        <v>47</v>
      </c>
      <c r="C11" s="23">
        <v>1040500.0</v>
      </c>
      <c r="D11" s="49">
        <v>46209.0</v>
      </c>
      <c r="E11" s="29">
        <v>600.0</v>
      </c>
      <c r="F11" s="23"/>
      <c r="G11" s="23" t="s">
        <v>19</v>
      </c>
      <c r="H11" s="34"/>
      <c r="I11" s="34"/>
      <c r="J11" s="34"/>
      <c r="K11" s="3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3">
        <v>20.0</v>
      </c>
      <c r="B12" s="23" t="s">
        <v>47</v>
      </c>
      <c r="C12" s="23">
        <v>1040500.0</v>
      </c>
      <c r="D12" s="49">
        <v>46209.0</v>
      </c>
      <c r="E12" s="29">
        <v>1039.25</v>
      </c>
      <c r="F12" s="23"/>
      <c r="G12" s="23" t="s">
        <v>19</v>
      </c>
      <c r="H12" s="34"/>
      <c r="I12" s="34"/>
      <c r="J12" s="34"/>
      <c r="K12" s="3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3">
        <v>21.0</v>
      </c>
      <c r="B13" s="23" t="s">
        <v>47</v>
      </c>
      <c r="C13" s="23">
        <v>1040500.0</v>
      </c>
      <c r="D13" s="49">
        <v>46209.0</v>
      </c>
      <c r="E13" s="29">
        <v>5360.18</v>
      </c>
      <c r="F13" s="23"/>
      <c r="G13" s="23" t="s">
        <v>19</v>
      </c>
      <c r="H13" s="34"/>
      <c r="I13" s="34"/>
      <c r="J13" s="34"/>
      <c r="K13" s="3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3">
        <v>23.0</v>
      </c>
      <c r="B14" s="23" t="s">
        <v>20</v>
      </c>
      <c r="C14" s="23">
        <v>1040109.0</v>
      </c>
      <c r="D14" s="49">
        <v>46209.0</v>
      </c>
      <c r="E14" s="29">
        <v>93.49</v>
      </c>
      <c r="F14" s="23"/>
      <c r="G14" s="23" t="s">
        <v>19</v>
      </c>
      <c r="H14" s="34"/>
      <c r="I14" s="34"/>
      <c r="J14" s="34"/>
      <c r="K14" s="3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3">
        <v>24.0</v>
      </c>
      <c r="B15" s="23" t="s">
        <v>20</v>
      </c>
      <c r="C15" s="23">
        <v>1040109.0</v>
      </c>
      <c r="D15" s="49">
        <v>46209.0</v>
      </c>
      <c r="E15" s="29">
        <v>124.13</v>
      </c>
      <c r="F15" s="23"/>
      <c r="G15" s="23" t="s">
        <v>19</v>
      </c>
      <c r="H15" s="34"/>
      <c r="I15" s="34"/>
      <c r="J15" s="34"/>
      <c r="K15" s="3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3">
        <v>25.0</v>
      </c>
      <c r="B16" s="23" t="s">
        <v>20</v>
      </c>
      <c r="C16" s="23">
        <v>1040109.0</v>
      </c>
      <c r="D16" s="49">
        <v>46209.0</v>
      </c>
      <c r="E16" s="29">
        <v>1406.06</v>
      </c>
      <c r="F16" s="23"/>
      <c r="G16" s="23" t="s">
        <v>19</v>
      </c>
      <c r="H16" s="34"/>
      <c r="I16" s="34"/>
      <c r="J16" s="34"/>
      <c r="K16" s="3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3">
        <v>26.0</v>
      </c>
      <c r="B17" s="23" t="s">
        <v>20</v>
      </c>
      <c r="C17" s="23">
        <v>1040109.0</v>
      </c>
      <c r="D17" s="49">
        <v>46209.0</v>
      </c>
      <c r="E17" s="29">
        <v>740.86</v>
      </c>
      <c r="F17" s="23"/>
      <c r="G17" s="23" t="s">
        <v>19</v>
      </c>
      <c r="H17" s="34"/>
      <c r="I17" s="34"/>
      <c r="J17" s="34"/>
      <c r="K17" s="3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3">
        <v>27.0</v>
      </c>
      <c r="B18" s="23" t="s">
        <v>20</v>
      </c>
      <c r="C18" s="23">
        <v>1040109.0</v>
      </c>
      <c r="D18" s="49">
        <v>46209.0</v>
      </c>
      <c r="E18" s="29">
        <v>851.55</v>
      </c>
      <c r="F18" s="23"/>
      <c r="G18" s="23" t="s">
        <v>19</v>
      </c>
      <c r="H18" s="34"/>
      <c r="I18" s="34"/>
      <c r="J18" s="34"/>
      <c r="K18" s="3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14">
        <v>32.0</v>
      </c>
      <c r="B19" s="14" t="s">
        <v>20</v>
      </c>
      <c r="C19" s="14">
        <v>1040375.0</v>
      </c>
      <c r="D19" s="16">
        <v>46209.0</v>
      </c>
      <c r="E19" s="17">
        <v>61281.24</v>
      </c>
      <c r="F19" s="14"/>
      <c r="G19" s="14" t="s">
        <v>19</v>
      </c>
      <c r="H19" s="34"/>
      <c r="I19" s="34"/>
      <c r="J19" s="34"/>
      <c r="K19" s="1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14">
        <v>33.0</v>
      </c>
      <c r="B20" s="14" t="s">
        <v>20</v>
      </c>
      <c r="C20" s="14">
        <v>1040375.0</v>
      </c>
      <c r="D20" s="16">
        <v>46209.0</v>
      </c>
      <c r="E20" s="17">
        <v>154160.71</v>
      </c>
      <c r="F20" s="14"/>
      <c r="G20" s="14" t="s">
        <v>19</v>
      </c>
      <c r="H20" s="34"/>
      <c r="I20" s="34"/>
      <c r="J20" s="34"/>
      <c r="K20" s="3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3.5" customHeight="1">
      <c r="A21" s="14">
        <v>34.0</v>
      </c>
      <c r="B21" s="14" t="s">
        <v>20</v>
      </c>
      <c r="C21" s="14">
        <v>1040375.0</v>
      </c>
      <c r="D21" s="16">
        <v>46209.0</v>
      </c>
      <c r="E21" s="17">
        <v>129310.57</v>
      </c>
      <c r="F21" s="14"/>
      <c r="G21" s="14" t="s">
        <v>19</v>
      </c>
      <c r="H21" s="34"/>
      <c r="I21" s="34"/>
      <c r="J21" s="34"/>
      <c r="K21" s="3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>
      <c r="A22" s="23">
        <v>47.0</v>
      </c>
      <c r="B22" s="23" t="s">
        <v>20</v>
      </c>
      <c r="C22" s="23">
        <v>1040375.0</v>
      </c>
      <c r="D22" s="49">
        <v>46209.0</v>
      </c>
      <c r="E22" s="29">
        <v>140276.8</v>
      </c>
      <c r="F22" s="23"/>
      <c r="G22" s="23" t="s">
        <v>19</v>
      </c>
      <c r="H22" s="34"/>
      <c r="I22" s="34"/>
      <c r="J22" s="34"/>
      <c r="K22" s="3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>
      <c r="A23" s="23">
        <v>49.0</v>
      </c>
      <c r="B23" s="23" t="s">
        <v>20</v>
      </c>
      <c r="C23" s="23">
        <v>1040375.0</v>
      </c>
      <c r="D23" s="49">
        <v>46209.0</v>
      </c>
      <c r="E23" s="29">
        <v>134.24</v>
      </c>
      <c r="F23" s="23"/>
      <c r="G23" s="23" t="s">
        <v>19</v>
      </c>
      <c r="H23" s="34"/>
      <c r="I23" s="34"/>
      <c r="J23" s="34"/>
      <c r="K23" s="3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>
      <c r="A24" s="23">
        <v>50.0</v>
      </c>
      <c r="B24" s="23" t="s">
        <v>20</v>
      </c>
      <c r="C24" s="23">
        <v>1040375.0</v>
      </c>
      <c r="D24" s="49">
        <v>46209.0</v>
      </c>
      <c r="E24" s="29">
        <v>400.59</v>
      </c>
      <c r="F24" s="23"/>
      <c r="G24" s="23" t="s">
        <v>19</v>
      </c>
      <c r="H24" s="34"/>
      <c r="I24" s="34"/>
      <c r="J24" s="34"/>
      <c r="K24" s="3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>
      <c r="A25" s="23">
        <v>51.0</v>
      </c>
      <c r="B25" s="23" t="s">
        <v>20</v>
      </c>
      <c r="C25" s="23">
        <v>1040375.0</v>
      </c>
      <c r="D25" s="49">
        <v>46209.0</v>
      </c>
      <c r="E25" s="29">
        <v>41.07</v>
      </c>
      <c r="F25" s="23"/>
      <c r="G25" s="23" t="s">
        <v>19</v>
      </c>
      <c r="H25" s="34"/>
      <c r="I25" s="34"/>
      <c r="J25" s="34"/>
      <c r="K25" s="3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3.5" customHeight="1">
      <c r="A26" s="23">
        <v>52.0</v>
      </c>
      <c r="B26" s="23" t="s">
        <v>20</v>
      </c>
      <c r="C26" s="23">
        <v>1040375.0</v>
      </c>
      <c r="D26" s="49">
        <v>46209.0</v>
      </c>
      <c r="E26" s="29">
        <v>195208.92</v>
      </c>
      <c r="F26" s="23"/>
      <c r="G26" s="23" t="s">
        <v>19</v>
      </c>
      <c r="H26" s="34"/>
      <c r="I26" s="34"/>
      <c r="J26" s="34"/>
      <c r="K26" s="3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>
      <c r="A27" s="23">
        <v>53.0</v>
      </c>
      <c r="B27" s="23" t="s">
        <v>20</v>
      </c>
      <c r="C27" s="23">
        <v>1040375.0</v>
      </c>
      <c r="D27" s="49">
        <v>46209.0</v>
      </c>
      <c r="E27" s="29">
        <v>1330.72</v>
      </c>
      <c r="F27" s="23"/>
      <c r="G27" s="23" t="s">
        <v>19</v>
      </c>
      <c r="H27" s="34"/>
      <c r="I27" s="34"/>
      <c r="J27" s="34"/>
      <c r="K27" s="3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>
      <c r="A28" s="14">
        <v>54.0</v>
      </c>
      <c r="B28" s="14" t="s">
        <v>47</v>
      </c>
      <c r="C28" s="14">
        <v>1040500.0</v>
      </c>
      <c r="D28" s="16">
        <v>46209.0</v>
      </c>
      <c r="E28" s="17">
        <v>2015.0</v>
      </c>
      <c r="F28" s="14"/>
      <c r="G28" s="14" t="s">
        <v>19</v>
      </c>
      <c r="H28" s="34"/>
      <c r="I28" s="34"/>
      <c r="J28" s="34"/>
      <c r="K28" s="3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>
      <c r="A29" s="14">
        <v>55.0</v>
      </c>
      <c r="B29" s="14" t="s">
        <v>20</v>
      </c>
      <c r="C29" s="14">
        <v>1040124.0</v>
      </c>
      <c r="D29" s="16">
        <v>46209.0</v>
      </c>
      <c r="E29" s="17">
        <v>24.4</v>
      </c>
      <c r="F29" s="14"/>
      <c r="G29" s="14" t="s">
        <v>19</v>
      </c>
      <c r="H29" s="34"/>
      <c r="I29" s="34"/>
      <c r="J29" s="34"/>
      <c r="K29" s="3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3.5" customHeight="1">
      <c r="A30" s="14">
        <v>68.0</v>
      </c>
      <c r="B30" s="14" t="s">
        <v>16</v>
      </c>
      <c r="C30" s="14">
        <v>2060848.0</v>
      </c>
      <c r="D30" s="16">
        <v>46209.0</v>
      </c>
      <c r="E30" s="17">
        <v>71412.41</v>
      </c>
      <c r="F30" s="14"/>
      <c r="G30" s="14" t="s">
        <v>11</v>
      </c>
      <c r="H30" s="14"/>
      <c r="I30" s="34"/>
      <c r="J30" s="34"/>
      <c r="K30" s="3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3.5" customHeight="1">
      <c r="A31" s="11"/>
      <c r="B31" s="11"/>
      <c r="C31" s="24"/>
      <c r="D31" s="24"/>
      <c r="E31" s="51"/>
      <c r="F31" s="12"/>
      <c r="G31" s="76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>
      <c r="A32" s="11"/>
      <c r="B32" s="11"/>
      <c r="C32" s="24"/>
      <c r="D32" s="24"/>
      <c r="E32" s="51"/>
      <c r="F32" s="12"/>
      <c r="G32" s="76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3.5" customHeight="1">
      <c r="A33" s="11"/>
      <c r="B33" s="11"/>
      <c r="C33" s="24"/>
      <c r="D33" s="24"/>
      <c r="E33" s="51"/>
      <c r="F33" s="12"/>
      <c r="G33" s="76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3.5" customHeight="1">
      <c r="A34" s="11"/>
      <c r="B34" s="11"/>
      <c r="C34" s="24"/>
      <c r="D34" s="24"/>
      <c r="E34" s="51"/>
      <c r="F34" s="12"/>
      <c r="G34" s="76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3.5" customHeight="1">
      <c r="A35" s="11"/>
      <c r="B35" s="11"/>
      <c r="C35" s="24"/>
      <c r="D35" s="24"/>
      <c r="E35" s="51"/>
      <c r="F35" s="12"/>
      <c r="G35" s="76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3.5" customHeight="1">
      <c r="A36" s="11"/>
      <c r="B36" s="11"/>
      <c r="C36" s="24"/>
      <c r="D36" s="24"/>
      <c r="E36" s="51"/>
      <c r="F36" s="12"/>
      <c r="G36" s="76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3.5" customHeight="1">
      <c r="A37" s="11"/>
      <c r="B37" s="11"/>
      <c r="C37" s="24"/>
      <c r="D37" s="24"/>
      <c r="E37" s="51"/>
      <c r="F37" s="12"/>
      <c r="G37" s="76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3.5" customHeight="1">
      <c r="A38" s="11"/>
      <c r="B38" s="11"/>
      <c r="C38" s="24"/>
      <c r="D38" s="24"/>
      <c r="E38" s="51"/>
      <c r="F38" s="12"/>
      <c r="G38" s="76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3.5" customHeight="1">
      <c r="A39" s="11"/>
      <c r="B39" s="11"/>
      <c r="C39" s="24"/>
      <c r="D39" s="24"/>
      <c r="E39" s="51"/>
      <c r="F39" s="12"/>
      <c r="G39" s="76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3.5" customHeight="1">
      <c r="A40" s="11"/>
      <c r="B40" s="11"/>
      <c r="C40" s="24"/>
      <c r="D40" s="24"/>
      <c r="E40" s="51"/>
      <c r="F40" s="12"/>
      <c r="G40" s="76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3.5" customHeight="1">
      <c r="E41" s="51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3.5" customHeight="1">
      <c r="E42" s="51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3.5" customHeight="1">
      <c r="E43" s="51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3.5" customHeight="1">
      <c r="E44" s="51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3.5" customHeight="1">
      <c r="E45" s="51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3.5" customHeight="1">
      <c r="E46" s="51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3.5" customHeight="1">
      <c r="E47" s="51"/>
      <c r="F47" s="12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3.5" customHeight="1">
      <c r="E48" s="51"/>
      <c r="F48" s="12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3.5" customHeight="1">
      <c r="E49" s="51"/>
      <c r="F49" s="12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3.5" customHeight="1">
      <c r="E50" s="51"/>
      <c r="F50" s="12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3.5" customHeight="1">
      <c r="E51" s="51"/>
      <c r="F51" s="12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E52" s="51"/>
      <c r="F52" s="12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3.5" customHeight="1">
      <c r="E53" s="51"/>
      <c r="F53" s="12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3.5" customHeight="1">
      <c r="E54" s="51"/>
      <c r="F54" s="12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3.5" customHeight="1">
      <c r="E55" s="51"/>
      <c r="F55" s="12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3.5" customHeight="1">
      <c r="E56" s="51"/>
      <c r="F56" s="12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3.5" customHeight="1">
      <c r="E57" s="51"/>
      <c r="F57" s="12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3.5" customHeight="1">
      <c r="E58" s="51"/>
      <c r="F58" s="12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E59" s="51"/>
      <c r="F59" s="12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E60" s="51"/>
      <c r="F60" s="12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E61" s="51"/>
      <c r="F61" s="12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E62" s="51"/>
      <c r="F62" s="12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E63" s="51"/>
      <c r="F63" s="12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77"/>
      <c r="B64" s="77"/>
      <c r="C64" s="61"/>
      <c r="D64" s="61"/>
      <c r="E64" s="75"/>
      <c r="F64" s="69"/>
      <c r="G64" s="78"/>
      <c r="H64" s="61"/>
      <c r="I64" s="61"/>
      <c r="J64" s="61"/>
      <c r="K64" s="61"/>
      <c r="L64" s="61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3.5" customHeight="1">
      <c r="A65" s="77"/>
      <c r="B65" s="77"/>
      <c r="C65" s="61"/>
      <c r="D65" s="61"/>
      <c r="E65" s="75"/>
      <c r="F65" s="69"/>
      <c r="G65" s="78"/>
      <c r="H65" s="61"/>
      <c r="I65" s="61"/>
      <c r="J65" s="61"/>
      <c r="K65" s="61"/>
      <c r="L65" s="61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3.5" customHeight="1">
      <c r="A66" s="77"/>
      <c r="B66" s="77"/>
      <c r="C66" s="61"/>
      <c r="D66" s="61"/>
      <c r="E66" s="75"/>
      <c r="F66" s="69"/>
      <c r="G66" s="78"/>
      <c r="H66" s="61"/>
      <c r="I66" s="61"/>
      <c r="J66" s="61"/>
      <c r="K66" s="61"/>
      <c r="L66" s="61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77"/>
      <c r="B67" s="77"/>
      <c r="C67" s="61"/>
      <c r="D67" s="61"/>
      <c r="E67" s="75"/>
      <c r="F67" s="69"/>
      <c r="G67" s="78"/>
      <c r="H67" s="61"/>
      <c r="I67" s="61"/>
      <c r="J67" s="61"/>
      <c r="K67" s="61"/>
      <c r="L67" s="61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77"/>
      <c r="B68" s="77"/>
      <c r="C68" s="61"/>
      <c r="D68" s="61"/>
      <c r="E68" s="75"/>
      <c r="F68" s="69"/>
      <c r="G68" s="78"/>
      <c r="H68" s="61"/>
      <c r="I68" s="61"/>
      <c r="J68" s="61"/>
      <c r="K68" s="61"/>
      <c r="L68" s="61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77"/>
      <c r="B69" s="77"/>
      <c r="C69" s="61"/>
      <c r="D69" s="61"/>
      <c r="E69" s="75"/>
      <c r="F69" s="69"/>
      <c r="G69" s="78"/>
      <c r="H69" s="61"/>
      <c r="I69" s="61"/>
      <c r="J69" s="61"/>
      <c r="K69" s="61"/>
      <c r="L69" s="61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77"/>
      <c r="B70" s="77"/>
      <c r="C70" s="61"/>
      <c r="D70" s="61"/>
      <c r="E70" s="75"/>
      <c r="F70" s="69"/>
      <c r="G70" s="78"/>
      <c r="H70" s="61"/>
      <c r="I70" s="61"/>
      <c r="J70" s="61"/>
      <c r="K70" s="61"/>
      <c r="L70" s="61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77"/>
      <c r="B71" s="77"/>
      <c r="C71" s="61"/>
      <c r="D71" s="61"/>
      <c r="E71" s="75"/>
      <c r="F71" s="69"/>
      <c r="G71" s="78"/>
      <c r="H71" s="61"/>
      <c r="I71" s="61"/>
      <c r="J71" s="61"/>
      <c r="K71" s="61"/>
      <c r="L71" s="61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77"/>
      <c r="B72" s="77"/>
      <c r="C72" s="61"/>
      <c r="D72" s="61"/>
      <c r="E72" s="75"/>
      <c r="F72" s="69"/>
      <c r="G72" s="78"/>
      <c r="H72" s="61"/>
      <c r="I72" s="61"/>
      <c r="J72" s="61"/>
      <c r="K72" s="61"/>
      <c r="L72" s="61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77"/>
      <c r="B73" s="77"/>
      <c r="C73" s="61"/>
      <c r="D73" s="61"/>
      <c r="E73" s="75"/>
      <c r="F73" s="69"/>
      <c r="G73" s="78"/>
      <c r="H73" s="61"/>
      <c r="I73" s="61"/>
      <c r="J73" s="61"/>
      <c r="K73" s="61"/>
      <c r="L73" s="61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77"/>
      <c r="B74" s="77"/>
      <c r="C74" s="61"/>
      <c r="D74" s="61"/>
      <c r="E74" s="75"/>
      <c r="F74" s="69"/>
      <c r="G74" s="78"/>
      <c r="H74" s="61"/>
      <c r="I74" s="61"/>
      <c r="J74" s="61"/>
      <c r="K74" s="61"/>
      <c r="L74" s="61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3.5" customHeight="1">
      <c r="A75" s="77"/>
      <c r="B75" s="77"/>
      <c r="C75" s="61"/>
      <c r="D75" s="61"/>
      <c r="E75" s="75"/>
      <c r="F75" s="69"/>
      <c r="G75" s="78"/>
      <c r="H75" s="61"/>
      <c r="I75" s="61"/>
      <c r="J75" s="61"/>
      <c r="K75" s="61"/>
      <c r="L75" s="61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77"/>
      <c r="B76" s="77"/>
      <c r="C76" s="61"/>
      <c r="D76" s="61"/>
      <c r="E76" s="75"/>
      <c r="F76" s="69"/>
      <c r="G76" s="78"/>
      <c r="H76" s="61"/>
      <c r="I76" s="61"/>
      <c r="J76" s="61"/>
      <c r="K76" s="61"/>
      <c r="L76" s="61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77"/>
      <c r="B77" s="77"/>
      <c r="C77" s="61"/>
      <c r="D77" s="61"/>
      <c r="E77" s="75"/>
      <c r="F77" s="69"/>
      <c r="G77" s="78"/>
      <c r="H77" s="61"/>
      <c r="I77" s="61"/>
      <c r="J77" s="61"/>
      <c r="K77" s="61"/>
      <c r="L77" s="61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77"/>
      <c r="B78" s="77"/>
      <c r="C78" s="61"/>
      <c r="D78" s="61"/>
      <c r="E78" s="75"/>
      <c r="F78" s="69"/>
      <c r="G78" s="78"/>
      <c r="H78" s="61"/>
      <c r="I78" s="61"/>
      <c r="J78" s="61"/>
      <c r="K78" s="61"/>
      <c r="L78" s="61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77"/>
      <c r="B79" s="77"/>
      <c r="C79" s="61"/>
      <c r="D79" s="61"/>
      <c r="E79" s="75"/>
      <c r="F79" s="69"/>
      <c r="G79" s="78"/>
      <c r="H79" s="61"/>
      <c r="I79" s="61"/>
      <c r="J79" s="61"/>
      <c r="K79" s="61"/>
      <c r="L79" s="61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77"/>
      <c r="B80" s="77"/>
      <c r="C80" s="61"/>
      <c r="D80" s="61"/>
      <c r="E80" s="75"/>
      <c r="F80" s="69"/>
      <c r="G80" s="78"/>
      <c r="H80" s="61"/>
      <c r="I80" s="61"/>
      <c r="J80" s="61"/>
      <c r="K80" s="61"/>
      <c r="L80" s="61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77"/>
      <c r="B81" s="77"/>
      <c r="C81" s="61"/>
      <c r="D81" s="61"/>
      <c r="E81" s="75"/>
      <c r="F81" s="69"/>
      <c r="G81" s="78"/>
      <c r="H81" s="61"/>
      <c r="I81" s="61"/>
      <c r="J81" s="61"/>
      <c r="K81" s="61"/>
      <c r="L81" s="61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77"/>
      <c r="B82" s="77"/>
      <c r="C82" s="61"/>
      <c r="D82" s="61"/>
      <c r="E82" s="75"/>
      <c r="F82" s="69"/>
      <c r="G82" s="78"/>
      <c r="H82" s="61"/>
      <c r="I82" s="61"/>
      <c r="J82" s="61"/>
      <c r="K82" s="61"/>
      <c r="L82" s="61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77"/>
      <c r="B83" s="77"/>
      <c r="C83" s="61"/>
      <c r="D83" s="61"/>
      <c r="E83" s="75"/>
      <c r="F83" s="69"/>
      <c r="G83" s="78"/>
      <c r="H83" s="61"/>
      <c r="I83" s="61"/>
      <c r="J83" s="61"/>
      <c r="K83" s="61"/>
      <c r="L83" s="61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77"/>
      <c r="B84" s="77"/>
      <c r="C84" s="61"/>
      <c r="D84" s="61"/>
      <c r="E84" s="75"/>
      <c r="F84" s="69"/>
      <c r="G84" s="78"/>
      <c r="H84" s="61"/>
      <c r="I84" s="61"/>
      <c r="J84" s="61"/>
      <c r="K84" s="61"/>
      <c r="L84" s="61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77"/>
      <c r="B85" s="77"/>
      <c r="C85" s="61"/>
      <c r="D85" s="61"/>
      <c r="E85" s="75"/>
      <c r="F85" s="69"/>
      <c r="G85" s="78"/>
      <c r="H85" s="61"/>
      <c r="I85" s="61"/>
      <c r="J85" s="61"/>
      <c r="K85" s="61"/>
      <c r="L85" s="61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77"/>
      <c r="B86" s="77"/>
      <c r="C86" s="61"/>
      <c r="D86" s="61"/>
      <c r="E86" s="75"/>
      <c r="F86" s="69"/>
      <c r="G86" s="78"/>
      <c r="H86" s="61"/>
      <c r="I86" s="61"/>
      <c r="J86" s="61"/>
      <c r="K86" s="61"/>
      <c r="L86" s="61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77"/>
      <c r="B87" s="77"/>
      <c r="C87" s="61"/>
      <c r="D87" s="61"/>
      <c r="E87" s="75"/>
      <c r="F87" s="69"/>
      <c r="G87" s="78"/>
      <c r="H87" s="61"/>
      <c r="I87" s="61"/>
      <c r="J87" s="61"/>
      <c r="K87" s="61"/>
      <c r="L87" s="61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77"/>
      <c r="B88" s="77"/>
      <c r="C88" s="61"/>
      <c r="D88" s="61"/>
      <c r="E88" s="75"/>
      <c r="F88" s="69"/>
      <c r="G88" s="78"/>
      <c r="H88" s="61"/>
      <c r="I88" s="61"/>
      <c r="J88" s="61"/>
      <c r="K88" s="61"/>
      <c r="L88" s="61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77"/>
      <c r="B89" s="77"/>
      <c r="C89" s="61"/>
      <c r="D89" s="61"/>
      <c r="E89" s="75"/>
      <c r="F89" s="69"/>
      <c r="G89" s="78"/>
      <c r="H89" s="61"/>
      <c r="I89" s="61"/>
      <c r="J89" s="61"/>
      <c r="K89" s="61"/>
      <c r="L89" s="61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77"/>
      <c r="B90" s="77"/>
      <c r="C90" s="61"/>
      <c r="D90" s="61"/>
      <c r="E90" s="75"/>
      <c r="F90" s="69"/>
      <c r="G90" s="78"/>
      <c r="H90" s="61"/>
      <c r="I90" s="61"/>
      <c r="J90" s="61"/>
      <c r="K90" s="61"/>
      <c r="L90" s="61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77"/>
      <c r="B91" s="77"/>
      <c r="C91" s="61"/>
      <c r="D91" s="61"/>
      <c r="E91" s="75"/>
      <c r="F91" s="69"/>
      <c r="G91" s="78"/>
      <c r="H91" s="61"/>
      <c r="I91" s="61"/>
      <c r="J91" s="61"/>
      <c r="K91" s="61"/>
      <c r="L91" s="61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77"/>
      <c r="B92" s="77"/>
      <c r="C92" s="61"/>
      <c r="D92" s="61"/>
      <c r="E92" s="75"/>
      <c r="F92" s="69"/>
      <c r="G92" s="78"/>
      <c r="H92" s="61"/>
      <c r="I92" s="61"/>
      <c r="J92" s="61"/>
      <c r="K92" s="61"/>
      <c r="L92" s="61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77"/>
      <c r="B93" s="77"/>
      <c r="C93" s="61"/>
      <c r="D93" s="61"/>
      <c r="E93" s="75"/>
      <c r="F93" s="69"/>
      <c r="G93" s="78"/>
      <c r="H93" s="61"/>
      <c r="I93" s="61"/>
      <c r="J93" s="61"/>
      <c r="K93" s="61"/>
      <c r="L93" s="61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77"/>
      <c r="B94" s="77"/>
      <c r="C94" s="61"/>
      <c r="D94" s="61"/>
      <c r="E94" s="75"/>
      <c r="F94" s="69"/>
      <c r="G94" s="78"/>
      <c r="H94" s="61"/>
      <c r="I94" s="61"/>
      <c r="J94" s="61"/>
      <c r="K94" s="61"/>
      <c r="L94" s="61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77"/>
      <c r="B95" s="77"/>
      <c r="C95" s="61"/>
      <c r="D95" s="61"/>
      <c r="E95" s="75"/>
      <c r="F95" s="69"/>
      <c r="G95" s="78"/>
      <c r="H95" s="61"/>
      <c r="I95" s="61"/>
      <c r="J95" s="61"/>
      <c r="K95" s="61"/>
      <c r="L95" s="61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77"/>
      <c r="B96" s="77"/>
      <c r="C96" s="61"/>
      <c r="D96" s="61"/>
      <c r="E96" s="75"/>
      <c r="F96" s="69"/>
      <c r="G96" s="78"/>
      <c r="H96" s="61"/>
      <c r="I96" s="61"/>
      <c r="J96" s="61"/>
      <c r="K96" s="61"/>
      <c r="L96" s="61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77"/>
      <c r="B97" s="77"/>
      <c r="C97" s="61"/>
      <c r="D97" s="61"/>
      <c r="E97" s="75"/>
      <c r="F97" s="69"/>
      <c r="G97" s="78"/>
      <c r="H97" s="61"/>
      <c r="I97" s="61"/>
      <c r="J97" s="61"/>
      <c r="K97" s="61"/>
      <c r="L97" s="61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77"/>
      <c r="B98" s="77"/>
      <c r="C98" s="61"/>
      <c r="D98" s="61"/>
      <c r="E98" s="75"/>
      <c r="F98" s="69"/>
      <c r="G98" s="78"/>
      <c r="H98" s="61"/>
      <c r="I98" s="61"/>
      <c r="J98" s="61"/>
      <c r="K98" s="61"/>
      <c r="L98" s="61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77"/>
      <c r="B99" s="77"/>
      <c r="C99" s="61"/>
      <c r="D99" s="61"/>
      <c r="E99" s="75"/>
      <c r="F99" s="69"/>
      <c r="G99" s="78"/>
      <c r="H99" s="61"/>
      <c r="I99" s="61"/>
      <c r="J99" s="61"/>
      <c r="K99" s="61"/>
      <c r="L99" s="61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77"/>
      <c r="B100" s="77"/>
      <c r="C100" s="61"/>
      <c r="D100" s="61"/>
      <c r="E100" s="75"/>
      <c r="F100" s="69"/>
      <c r="G100" s="78"/>
      <c r="H100" s="61"/>
      <c r="I100" s="61"/>
      <c r="J100" s="61"/>
      <c r="K100" s="61"/>
      <c r="L100" s="61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77"/>
      <c r="B101" s="77"/>
      <c r="C101" s="61"/>
      <c r="D101" s="61"/>
      <c r="E101" s="75"/>
      <c r="F101" s="69"/>
      <c r="G101" s="78"/>
      <c r="H101" s="61"/>
      <c r="I101" s="61"/>
      <c r="J101" s="61"/>
      <c r="K101" s="61"/>
      <c r="L101" s="61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77"/>
      <c r="B102" s="77"/>
      <c r="C102" s="61"/>
      <c r="D102" s="61"/>
      <c r="E102" s="75"/>
      <c r="F102" s="69"/>
      <c r="G102" s="78"/>
      <c r="H102" s="61"/>
      <c r="I102" s="61"/>
      <c r="J102" s="61"/>
      <c r="K102" s="61"/>
      <c r="L102" s="61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77"/>
      <c r="B103" s="77"/>
      <c r="C103" s="61"/>
      <c r="D103" s="61"/>
      <c r="E103" s="75"/>
      <c r="F103" s="69"/>
      <c r="G103" s="78"/>
      <c r="H103" s="61"/>
      <c r="I103" s="61"/>
      <c r="J103" s="61"/>
      <c r="K103" s="61"/>
      <c r="L103" s="61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77"/>
      <c r="B104" s="77"/>
      <c r="C104" s="61"/>
      <c r="D104" s="61"/>
      <c r="E104" s="75"/>
      <c r="F104" s="69"/>
      <c r="G104" s="78"/>
      <c r="H104" s="61"/>
      <c r="I104" s="61"/>
      <c r="J104" s="61"/>
      <c r="K104" s="61"/>
      <c r="L104" s="61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3.5" customHeight="1">
      <c r="A105" s="77"/>
      <c r="B105" s="77"/>
      <c r="C105" s="61"/>
      <c r="D105" s="61"/>
      <c r="E105" s="75"/>
      <c r="F105" s="69"/>
      <c r="G105" s="78"/>
      <c r="H105" s="61"/>
      <c r="I105" s="61"/>
      <c r="J105" s="61"/>
      <c r="K105" s="61"/>
      <c r="L105" s="61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77"/>
      <c r="B106" s="77"/>
      <c r="C106" s="61"/>
      <c r="D106" s="61"/>
      <c r="E106" s="75"/>
      <c r="F106" s="69"/>
      <c r="G106" s="78"/>
      <c r="H106" s="61"/>
      <c r="I106" s="61"/>
      <c r="J106" s="61"/>
      <c r="K106" s="61"/>
      <c r="L106" s="61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3.5" customHeight="1">
      <c r="A107" s="77"/>
      <c r="B107" s="77"/>
      <c r="C107" s="61"/>
      <c r="D107" s="61"/>
      <c r="E107" s="75"/>
      <c r="F107" s="69"/>
      <c r="G107" s="78"/>
      <c r="H107" s="61"/>
      <c r="I107" s="61"/>
      <c r="J107" s="61"/>
      <c r="K107" s="61"/>
      <c r="L107" s="61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3.5" customHeight="1">
      <c r="A108" s="77"/>
      <c r="B108" s="77"/>
      <c r="C108" s="61"/>
      <c r="D108" s="61"/>
      <c r="E108" s="75"/>
      <c r="F108" s="69"/>
      <c r="G108" s="78"/>
      <c r="H108" s="61"/>
      <c r="I108" s="61"/>
      <c r="J108" s="61"/>
      <c r="K108" s="61"/>
      <c r="L108" s="61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3.5" customHeight="1">
      <c r="A109" s="77"/>
      <c r="B109" s="77"/>
      <c r="C109" s="61"/>
      <c r="D109" s="61"/>
      <c r="E109" s="75"/>
      <c r="F109" s="69"/>
      <c r="G109" s="78"/>
      <c r="H109" s="61"/>
      <c r="I109" s="61"/>
      <c r="J109" s="61"/>
      <c r="K109" s="61"/>
      <c r="L109" s="61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3.5" customHeight="1">
      <c r="A110" s="77"/>
      <c r="B110" s="77"/>
      <c r="C110" s="61"/>
      <c r="D110" s="61"/>
      <c r="E110" s="75"/>
      <c r="F110" s="69"/>
      <c r="G110" s="78"/>
      <c r="H110" s="61"/>
      <c r="I110" s="61"/>
      <c r="J110" s="61"/>
      <c r="K110" s="61"/>
      <c r="L110" s="61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3.5" customHeight="1">
      <c r="A111" s="77"/>
      <c r="B111" s="77"/>
      <c r="C111" s="61"/>
      <c r="D111" s="61"/>
      <c r="E111" s="75"/>
      <c r="F111" s="69"/>
      <c r="G111" s="78"/>
      <c r="H111" s="61"/>
      <c r="I111" s="61"/>
      <c r="J111" s="61"/>
      <c r="K111" s="61"/>
      <c r="L111" s="61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3.5" customHeight="1">
      <c r="A112" s="77"/>
      <c r="B112" s="77"/>
      <c r="C112" s="61"/>
      <c r="D112" s="61"/>
      <c r="E112" s="75"/>
      <c r="F112" s="69"/>
      <c r="G112" s="78"/>
      <c r="H112" s="61"/>
      <c r="I112" s="61"/>
      <c r="J112" s="61"/>
      <c r="K112" s="61"/>
      <c r="L112" s="61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3.5" customHeight="1">
      <c r="A113" s="77"/>
      <c r="B113" s="77"/>
      <c r="C113" s="61"/>
      <c r="D113" s="61"/>
      <c r="E113" s="75"/>
      <c r="F113" s="69"/>
      <c r="G113" s="78"/>
      <c r="H113" s="61"/>
      <c r="I113" s="61"/>
      <c r="J113" s="61"/>
      <c r="K113" s="61"/>
      <c r="L113" s="61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3.5" customHeight="1">
      <c r="A114" s="77"/>
      <c r="B114" s="77"/>
      <c r="C114" s="61"/>
      <c r="D114" s="61"/>
      <c r="E114" s="75"/>
      <c r="F114" s="69"/>
      <c r="G114" s="78"/>
      <c r="H114" s="61"/>
      <c r="I114" s="61"/>
      <c r="J114" s="61"/>
      <c r="K114" s="61"/>
      <c r="L114" s="61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3.5" customHeight="1">
      <c r="A115" s="77"/>
      <c r="B115" s="77"/>
      <c r="C115" s="61"/>
      <c r="D115" s="61"/>
      <c r="E115" s="75"/>
      <c r="F115" s="69"/>
      <c r="G115" s="78"/>
      <c r="H115" s="61"/>
      <c r="I115" s="61"/>
      <c r="J115" s="61"/>
      <c r="K115" s="61"/>
      <c r="L115" s="61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3.5" customHeight="1">
      <c r="A116" s="77"/>
      <c r="B116" s="77"/>
      <c r="C116" s="61"/>
      <c r="D116" s="61"/>
      <c r="E116" s="75"/>
      <c r="F116" s="69"/>
      <c r="G116" s="78"/>
      <c r="H116" s="61"/>
      <c r="I116" s="61"/>
      <c r="J116" s="61"/>
      <c r="K116" s="61"/>
      <c r="L116" s="61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3.5" customHeight="1">
      <c r="A117" s="77"/>
      <c r="B117" s="77"/>
      <c r="C117" s="61"/>
      <c r="D117" s="61"/>
      <c r="E117" s="75"/>
      <c r="F117" s="69"/>
      <c r="G117" s="78"/>
      <c r="H117" s="61"/>
      <c r="I117" s="61"/>
      <c r="J117" s="61"/>
      <c r="K117" s="61"/>
      <c r="L117" s="61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3.5" customHeight="1">
      <c r="A118" s="77"/>
      <c r="B118" s="77"/>
      <c r="C118" s="61"/>
      <c r="D118" s="61"/>
      <c r="E118" s="75"/>
      <c r="F118" s="69"/>
      <c r="G118" s="78"/>
      <c r="H118" s="61"/>
      <c r="I118" s="61"/>
      <c r="J118" s="61"/>
      <c r="K118" s="61"/>
      <c r="L118" s="61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3.5" customHeight="1">
      <c r="A119" s="77"/>
      <c r="B119" s="77"/>
      <c r="C119" s="61"/>
      <c r="D119" s="61"/>
      <c r="E119" s="75"/>
      <c r="F119" s="69"/>
      <c r="G119" s="78"/>
      <c r="H119" s="61"/>
      <c r="I119" s="61"/>
      <c r="J119" s="61"/>
      <c r="K119" s="61"/>
      <c r="L119" s="61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3.5" customHeight="1">
      <c r="A120" s="77"/>
      <c r="B120" s="77"/>
      <c r="C120" s="61"/>
      <c r="D120" s="61"/>
      <c r="E120" s="75"/>
      <c r="F120" s="69"/>
      <c r="G120" s="78"/>
      <c r="H120" s="61"/>
      <c r="I120" s="61"/>
      <c r="J120" s="61"/>
      <c r="K120" s="61"/>
      <c r="L120" s="61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3.5" customHeight="1">
      <c r="A121" s="77"/>
      <c r="B121" s="77"/>
      <c r="C121" s="61"/>
      <c r="D121" s="61"/>
      <c r="E121" s="75"/>
      <c r="F121" s="69"/>
      <c r="G121" s="78"/>
      <c r="H121" s="61"/>
      <c r="I121" s="61"/>
      <c r="J121" s="61"/>
      <c r="K121" s="61"/>
      <c r="L121" s="61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3.5" customHeight="1">
      <c r="A122" s="77"/>
      <c r="B122" s="77"/>
      <c r="C122" s="61"/>
      <c r="D122" s="61"/>
      <c r="E122" s="75"/>
      <c r="F122" s="69"/>
      <c r="G122" s="78"/>
      <c r="H122" s="61"/>
      <c r="I122" s="61"/>
      <c r="J122" s="61"/>
      <c r="K122" s="61"/>
      <c r="L122" s="61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3.5" customHeight="1">
      <c r="A123" s="77"/>
      <c r="B123" s="77"/>
      <c r="C123" s="61"/>
      <c r="D123" s="61"/>
      <c r="E123" s="75"/>
      <c r="F123" s="69"/>
      <c r="G123" s="78"/>
      <c r="H123" s="61"/>
      <c r="I123" s="61"/>
      <c r="J123" s="61"/>
      <c r="K123" s="61"/>
      <c r="L123" s="61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3.5" customHeight="1">
      <c r="A124" s="77"/>
      <c r="B124" s="77"/>
      <c r="C124" s="61"/>
      <c r="D124" s="61"/>
      <c r="E124" s="75"/>
      <c r="F124" s="69"/>
      <c r="G124" s="78"/>
      <c r="H124" s="61"/>
      <c r="I124" s="61"/>
      <c r="J124" s="61"/>
      <c r="K124" s="61"/>
      <c r="L124" s="61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3.5" customHeight="1">
      <c r="A125" s="77"/>
      <c r="B125" s="77"/>
      <c r="C125" s="61"/>
      <c r="D125" s="61"/>
      <c r="E125" s="75"/>
      <c r="F125" s="69"/>
      <c r="G125" s="78"/>
      <c r="H125" s="61"/>
      <c r="I125" s="61"/>
      <c r="J125" s="61"/>
      <c r="K125" s="61"/>
      <c r="L125" s="61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3.5" customHeight="1">
      <c r="A126" s="77"/>
      <c r="B126" s="77"/>
      <c r="C126" s="61"/>
      <c r="D126" s="61"/>
      <c r="E126" s="75"/>
      <c r="F126" s="69"/>
      <c r="G126" s="78"/>
      <c r="H126" s="61"/>
      <c r="I126" s="61"/>
      <c r="J126" s="61"/>
      <c r="K126" s="61"/>
      <c r="L126" s="61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3.5" customHeight="1">
      <c r="A127" s="77"/>
      <c r="B127" s="77"/>
      <c r="C127" s="61"/>
      <c r="D127" s="61"/>
      <c r="E127" s="75"/>
      <c r="F127" s="69"/>
      <c r="G127" s="78"/>
      <c r="H127" s="61"/>
      <c r="I127" s="61"/>
      <c r="J127" s="61"/>
      <c r="K127" s="61"/>
      <c r="L127" s="61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3.5" customHeight="1">
      <c r="A128" s="77"/>
      <c r="B128" s="77"/>
      <c r="C128" s="61"/>
      <c r="D128" s="61"/>
      <c r="E128" s="75"/>
      <c r="F128" s="69"/>
      <c r="G128" s="78"/>
      <c r="H128" s="61"/>
      <c r="I128" s="61"/>
      <c r="J128" s="61"/>
      <c r="K128" s="61"/>
      <c r="L128" s="61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3.5" customHeight="1">
      <c r="A129" s="77"/>
      <c r="B129" s="77"/>
      <c r="C129" s="61"/>
      <c r="D129" s="61"/>
      <c r="E129" s="75"/>
      <c r="F129" s="69"/>
      <c r="G129" s="78"/>
      <c r="H129" s="61"/>
      <c r="I129" s="61"/>
      <c r="J129" s="61"/>
      <c r="K129" s="61"/>
      <c r="L129" s="61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3.5" customHeight="1">
      <c r="A130" s="77"/>
      <c r="B130" s="77"/>
      <c r="C130" s="61"/>
      <c r="D130" s="61"/>
      <c r="E130" s="75"/>
      <c r="F130" s="69"/>
      <c r="G130" s="78"/>
      <c r="H130" s="61"/>
      <c r="I130" s="61"/>
      <c r="J130" s="61"/>
      <c r="K130" s="61"/>
      <c r="L130" s="61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3.5" customHeight="1">
      <c r="A131" s="77"/>
      <c r="B131" s="77"/>
      <c r="C131" s="61"/>
      <c r="D131" s="61"/>
      <c r="E131" s="75"/>
      <c r="F131" s="69"/>
      <c r="G131" s="78"/>
      <c r="H131" s="61"/>
      <c r="I131" s="61"/>
      <c r="J131" s="61"/>
      <c r="K131" s="61"/>
      <c r="L131" s="61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3.5" customHeight="1">
      <c r="A132" s="77"/>
      <c r="B132" s="77"/>
      <c r="C132" s="61"/>
      <c r="D132" s="61"/>
      <c r="E132" s="75"/>
      <c r="F132" s="69"/>
      <c r="G132" s="78"/>
      <c r="H132" s="61"/>
      <c r="I132" s="61"/>
      <c r="J132" s="61"/>
      <c r="K132" s="61"/>
      <c r="L132" s="61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3.5" customHeight="1">
      <c r="A133" s="77"/>
      <c r="B133" s="77"/>
      <c r="C133" s="61"/>
      <c r="D133" s="61"/>
      <c r="E133" s="75"/>
      <c r="F133" s="69"/>
      <c r="G133" s="78"/>
      <c r="H133" s="61"/>
      <c r="I133" s="61"/>
      <c r="J133" s="61"/>
      <c r="K133" s="61"/>
      <c r="L133" s="61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3.5" customHeight="1">
      <c r="A134" s="77"/>
      <c r="B134" s="77"/>
      <c r="C134" s="61"/>
      <c r="D134" s="61"/>
      <c r="E134" s="75"/>
      <c r="F134" s="69"/>
      <c r="G134" s="78"/>
      <c r="H134" s="61"/>
      <c r="I134" s="61"/>
      <c r="J134" s="61"/>
      <c r="K134" s="61"/>
      <c r="L134" s="61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3.5" customHeight="1">
      <c r="A135" s="77"/>
      <c r="B135" s="77"/>
      <c r="C135" s="61"/>
      <c r="D135" s="61"/>
      <c r="E135" s="75"/>
      <c r="F135" s="69"/>
      <c r="G135" s="78"/>
      <c r="H135" s="61"/>
      <c r="I135" s="61"/>
      <c r="J135" s="61"/>
      <c r="K135" s="61"/>
      <c r="L135" s="61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3.5" customHeight="1">
      <c r="A136" s="77"/>
      <c r="B136" s="77"/>
      <c r="C136" s="61"/>
      <c r="D136" s="61"/>
      <c r="E136" s="75"/>
      <c r="F136" s="69"/>
      <c r="G136" s="78"/>
      <c r="H136" s="61"/>
      <c r="I136" s="61"/>
      <c r="J136" s="61"/>
      <c r="K136" s="61"/>
      <c r="L136" s="61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3.5" customHeight="1">
      <c r="A137" s="77"/>
      <c r="B137" s="77"/>
      <c r="C137" s="61"/>
      <c r="D137" s="61"/>
      <c r="E137" s="75"/>
      <c r="F137" s="69"/>
      <c r="G137" s="78"/>
      <c r="H137" s="61"/>
      <c r="I137" s="61"/>
      <c r="J137" s="61"/>
      <c r="K137" s="61"/>
      <c r="L137" s="61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3.5" customHeight="1">
      <c r="A138" s="77"/>
      <c r="B138" s="77"/>
      <c r="C138" s="61"/>
      <c r="D138" s="61"/>
      <c r="E138" s="75"/>
      <c r="F138" s="69"/>
      <c r="G138" s="78"/>
      <c r="H138" s="61"/>
      <c r="I138" s="61"/>
      <c r="J138" s="61"/>
      <c r="K138" s="61"/>
      <c r="L138" s="61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3.5" customHeight="1">
      <c r="A139" s="77"/>
      <c r="B139" s="77"/>
      <c r="C139" s="61"/>
      <c r="D139" s="61"/>
      <c r="E139" s="75"/>
      <c r="F139" s="69"/>
      <c r="G139" s="78"/>
      <c r="H139" s="61"/>
      <c r="I139" s="61"/>
      <c r="J139" s="61"/>
      <c r="K139" s="61"/>
      <c r="L139" s="61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3.5" customHeight="1">
      <c r="A140" s="77"/>
      <c r="B140" s="77"/>
      <c r="C140" s="61"/>
      <c r="D140" s="61"/>
      <c r="E140" s="75"/>
      <c r="F140" s="69"/>
      <c r="G140" s="78"/>
      <c r="H140" s="61"/>
      <c r="I140" s="61"/>
      <c r="J140" s="61"/>
      <c r="K140" s="61"/>
      <c r="L140" s="61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3.5" customHeight="1">
      <c r="A141" s="77"/>
      <c r="B141" s="77"/>
      <c r="C141" s="61"/>
      <c r="D141" s="61"/>
      <c r="E141" s="75"/>
      <c r="F141" s="69"/>
      <c r="G141" s="78"/>
      <c r="H141" s="61"/>
      <c r="I141" s="61"/>
      <c r="J141" s="61"/>
      <c r="K141" s="61"/>
      <c r="L141" s="61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3.5" customHeight="1">
      <c r="A142" s="77"/>
      <c r="B142" s="77"/>
      <c r="C142" s="61"/>
      <c r="D142" s="61"/>
      <c r="E142" s="75"/>
      <c r="F142" s="69"/>
      <c r="G142" s="78"/>
      <c r="H142" s="61"/>
      <c r="I142" s="61"/>
      <c r="J142" s="61"/>
      <c r="K142" s="61"/>
      <c r="L142" s="61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3.5" customHeight="1">
      <c r="A143" s="77"/>
      <c r="B143" s="77"/>
      <c r="C143" s="61"/>
      <c r="D143" s="61"/>
      <c r="E143" s="75"/>
      <c r="F143" s="69"/>
      <c r="G143" s="78"/>
      <c r="H143" s="61"/>
      <c r="I143" s="61"/>
      <c r="J143" s="61"/>
      <c r="K143" s="61"/>
      <c r="L143" s="61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3.5" customHeight="1">
      <c r="A144" s="77"/>
      <c r="B144" s="77"/>
      <c r="C144" s="61"/>
      <c r="D144" s="61"/>
      <c r="E144" s="75"/>
      <c r="F144" s="69"/>
      <c r="G144" s="78"/>
      <c r="H144" s="61"/>
      <c r="I144" s="61"/>
      <c r="J144" s="61"/>
      <c r="K144" s="61"/>
      <c r="L144" s="61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3.5" customHeight="1">
      <c r="A145" s="77"/>
      <c r="B145" s="77"/>
      <c r="C145" s="61"/>
      <c r="D145" s="61"/>
      <c r="E145" s="75"/>
      <c r="F145" s="69"/>
      <c r="G145" s="78"/>
      <c r="H145" s="61"/>
      <c r="I145" s="61"/>
      <c r="J145" s="61"/>
      <c r="K145" s="61"/>
      <c r="L145" s="61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3.5" customHeight="1">
      <c r="A146" s="77"/>
      <c r="B146" s="77"/>
      <c r="C146" s="61"/>
      <c r="D146" s="61"/>
      <c r="E146" s="75"/>
      <c r="F146" s="69"/>
      <c r="G146" s="78"/>
      <c r="H146" s="61"/>
      <c r="I146" s="61"/>
      <c r="J146" s="61"/>
      <c r="K146" s="61"/>
      <c r="L146" s="61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3.5" customHeight="1">
      <c r="A147" s="77"/>
      <c r="B147" s="77"/>
      <c r="C147" s="61"/>
      <c r="D147" s="61"/>
      <c r="E147" s="75"/>
      <c r="F147" s="69"/>
      <c r="G147" s="78"/>
      <c r="H147" s="61"/>
      <c r="I147" s="61"/>
      <c r="J147" s="61"/>
      <c r="K147" s="61"/>
      <c r="L147" s="61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3.5" customHeight="1">
      <c r="A148" s="77"/>
      <c r="B148" s="77"/>
      <c r="C148" s="61"/>
      <c r="D148" s="61"/>
      <c r="E148" s="75"/>
      <c r="F148" s="69"/>
      <c r="G148" s="78"/>
      <c r="H148" s="61"/>
      <c r="I148" s="61"/>
      <c r="J148" s="61"/>
      <c r="K148" s="61"/>
      <c r="L148" s="61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3.5" customHeight="1">
      <c r="A149" s="77"/>
      <c r="B149" s="77"/>
      <c r="C149" s="61"/>
      <c r="D149" s="61"/>
      <c r="E149" s="75"/>
      <c r="F149" s="69"/>
      <c r="G149" s="78"/>
      <c r="H149" s="61"/>
      <c r="I149" s="61"/>
      <c r="J149" s="61"/>
      <c r="K149" s="61"/>
      <c r="L149" s="61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3.5" customHeight="1">
      <c r="A150" s="77"/>
      <c r="B150" s="77"/>
      <c r="C150" s="61"/>
      <c r="D150" s="61"/>
      <c r="E150" s="75"/>
      <c r="F150" s="69"/>
      <c r="G150" s="78"/>
      <c r="H150" s="61"/>
      <c r="I150" s="61"/>
      <c r="J150" s="61"/>
      <c r="K150" s="61"/>
      <c r="L150" s="61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3.5" customHeight="1">
      <c r="A151" s="11"/>
      <c r="B151" s="11"/>
      <c r="C151" s="24"/>
      <c r="D151" s="24"/>
      <c r="E151" s="51"/>
      <c r="F151" s="12"/>
      <c r="G151" s="76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3.5" customHeight="1">
      <c r="A152" s="11"/>
      <c r="B152" s="11"/>
      <c r="C152" s="24"/>
      <c r="D152" s="24"/>
      <c r="E152" s="51"/>
      <c r="F152" s="12"/>
      <c r="G152" s="76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3.5" customHeight="1">
      <c r="A153" s="11"/>
      <c r="B153" s="11"/>
      <c r="C153" s="24"/>
      <c r="D153" s="24"/>
      <c r="E153" s="51"/>
      <c r="F153" s="12"/>
      <c r="G153" s="76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3.5" customHeight="1">
      <c r="A154" s="11"/>
      <c r="B154" s="11"/>
      <c r="C154" s="24"/>
      <c r="D154" s="24"/>
      <c r="E154" s="51"/>
      <c r="F154" s="12"/>
      <c r="G154" s="76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3.5" customHeight="1">
      <c r="A155" s="11"/>
      <c r="B155" s="11"/>
      <c r="C155" s="24"/>
      <c r="D155" s="24"/>
      <c r="E155" s="51"/>
      <c r="F155" s="12"/>
      <c r="G155" s="76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3.5" customHeight="1">
      <c r="A156" s="11"/>
      <c r="B156" s="11"/>
      <c r="C156" s="24"/>
      <c r="D156" s="24"/>
      <c r="E156" s="51"/>
      <c r="F156" s="12"/>
      <c r="G156" s="76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3.5" customHeight="1">
      <c r="A157" s="11"/>
      <c r="B157" s="11"/>
      <c r="C157" s="24"/>
      <c r="D157" s="24"/>
      <c r="E157" s="51"/>
      <c r="F157" s="12"/>
      <c r="G157" s="76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3.5" customHeight="1">
      <c r="A158" s="11"/>
      <c r="B158" s="11"/>
      <c r="C158" s="24"/>
      <c r="D158" s="24"/>
      <c r="E158" s="51"/>
      <c r="F158" s="12"/>
      <c r="G158" s="76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3.5" customHeight="1">
      <c r="A159" s="11"/>
      <c r="B159" s="11"/>
      <c r="C159" s="24"/>
      <c r="D159" s="24"/>
      <c r="E159" s="51"/>
      <c r="F159" s="12"/>
      <c r="G159" s="76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3.5" customHeight="1">
      <c r="A160" s="11"/>
      <c r="B160" s="11"/>
      <c r="C160" s="24"/>
      <c r="D160" s="24"/>
      <c r="E160" s="51"/>
      <c r="F160" s="12"/>
      <c r="G160" s="76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3.5" customHeight="1">
      <c r="A161" s="11"/>
      <c r="B161" s="11"/>
      <c r="C161" s="24"/>
      <c r="D161" s="24"/>
      <c r="E161" s="51"/>
      <c r="F161" s="12"/>
      <c r="G161" s="76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3.5" customHeight="1">
      <c r="A162" s="11"/>
      <c r="B162" s="11"/>
      <c r="C162" s="24"/>
      <c r="D162" s="24"/>
      <c r="E162" s="51"/>
      <c r="F162" s="12"/>
      <c r="G162" s="76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3.5" customHeight="1">
      <c r="A163" s="11"/>
      <c r="B163" s="11"/>
      <c r="C163" s="24"/>
      <c r="D163" s="24"/>
      <c r="E163" s="51"/>
      <c r="F163" s="12"/>
      <c r="G163" s="76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3.5" customHeight="1">
      <c r="A164" s="11"/>
      <c r="B164" s="11"/>
      <c r="C164" s="24"/>
      <c r="D164" s="24"/>
      <c r="E164" s="51"/>
      <c r="F164" s="12"/>
      <c r="G164" s="76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3.5" customHeight="1">
      <c r="A165" s="11"/>
      <c r="B165" s="11"/>
      <c r="C165" s="24"/>
      <c r="D165" s="24"/>
      <c r="E165" s="51"/>
      <c r="F165" s="12"/>
      <c r="G165" s="76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3.5" customHeight="1">
      <c r="A166" s="11"/>
      <c r="B166" s="11"/>
      <c r="C166" s="24"/>
      <c r="D166" s="24"/>
      <c r="E166" s="51"/>
      <c r="F166" s="12"/>
      <c r="G166" s="76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3.5" customHeight="1">
      <c r="A167" s="11"/>
      <c r="B167" s="11"/>
      <c r="C167" s="24"/>
      <c r="D167" s="24"/>
      <c r="E167" s="51"/>
      <c r="F167" s="12"/>
      <c r="G167" s="76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3.5" customHeight="1">
      <c r="A168" s="11"/>
      <c r="B168" s="11"/>
      <c r="C168" s="24"/>
      <c r="D168" s="24"/>
      <c r="E168" s="51"/>
      <c r="F168" s="12"/>
      <c r="G168" s="76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3.5" customHeight="1">
      <c r="A169" s="11"/>
      <c r="B169" s="11"/>
      <c r="C169" s="24"/>
      <c r="D169" s="24"/>
      <c r="E169" s="51"/>
      <c r="F169" s="12"/>
      <c r="G169" s="76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3.5" customHeight="1">
      <c r="A170" s="11"/>
      <c r="B170" s="11"/>
      <c r="C170" s="24"/>
      <c r="D170" s="24"/>
      <c r="E170" s="51"/>
      <c r="F170" s="12"/>
      <c r="G170" s="76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3.5" customHeight="1">
      <c r="A171" s="11"/>
      <c r="B171" s="11"/>
      <c r="C171" s="24"/>
      <c r="D171" s="24"/>
      <c r="E171" s="51"/>
      <c r="F171" s="12"/>
      <c r="G171" s="76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3.5" customHeight="1">
      <c r="A172" s="11"/>
      <c r="B172" s="11"/>
      <c r="C172" s="24"/>
      <c r="D172" s="24"/>
      <c r="E172" s="51"/>
      <c r="F172" s="12"/>
      <c r="G172" s="76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3.5" customHeight="1">
      <c r="A173" s="11"/>
      <c r="B173" s="11"/>
      <c r="C173" s="24"/>
      <c r="D173" s="24"/>
      <c r="E173" s="51"/>
      <c r="F173" s="12"/>
      <c r="G173" s="76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3.5" customHeight="1">
      <c r="A174" s="11"/>
      <c r="B174" s="11"/>
      <c r="C174" s="24"/>
      <c r="D174" s="24"/>
      <c r="E174" s="51"/>
      <c r="F174" s="12"/>
      <c r="G174" s="76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3.5" customHeight="1">
      <c r="A175" s="11"/>
      <c r="B175" s="11"/>
      <c r="C175" s="24"/>
      <c r="D175" s="24"/>
      <c r="E175" s="51"/>
      <c r="F175" s="12"/>
      <c r="G175" s="76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3.5" customHeight="1">
      <c r="A176" s="11"/>
      <c r="B176" s="11"/>
      <c r="C176" s="24"/>
      <c r="D176" s="24"/>
      <c r="E176" s="51"/>
      <c r="F176" s="12"/>
      <c r="G176" s="76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3.5" customHeight="1">
      <c r="A177" s="11"/>
      <c r="B177" s="11"/>
      <c r="C177" s="24"/>
      <c r="D177" s="24"/>
      <c r="E177" s="51"/>
      <c r="F177" s="12"/>
      <c r="G177" s="76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3.5" customHeight="1">
      <c r="A178" s="11"/>
      <c r="B178" s="11"/>
      <c r="C178" s="24"/>
      <c r="D178" s="24"/>
      <c r="E178" s="51"/>
      <c r="F178" s="12"/>
      <c r="G178" s="76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3.5" customHeight="1">
      <c r="A179" s="11"/>
      <c r="B179" s="11"/>
      <c r="C179" s="24"/>
      <c r="D179" s="24"/>
      <c r="E179" s="51"/>
      <c r="F179" s="12"/>
      <c r="G179" s="76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3.5" customHeight="1">
      <c r="A180" s="11"/>
      <c r="B180" s="11"/>
      <c r="C180" s="24"/>
      <c r="D180" s="24"/>
      <c r="E180" s="51"/>
      <c r="F180" s="12"/>
      <c r="G180" s="76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3.5" customHeight="1">
      <c r="A181" s="11"/>
      <c r="B181" s="11"/>
      <c r="C181" s="24"/>
      <c r="D181" s="24"/>
      <c r="E181" s="51"/>
      <c r="F181" s="12"/>
      <c r="G181" s="76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3.5" customHeight="1">
      <c r="A182" s="11"/>
      <c r="B182" s="11"/>
      <c r="C182" s="24"/>
      <c r="D182" s="24"/>
      <c r="E182" s="51"/>
      <c r="F182" s="12"/>
      <c r="G182" s="76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3.5" customHeight="1">
      <c r="A183" s="11"/>
      <c r="B183" s="11"/>
      <c r="C183" s="24"/>
      <c r="D183" s="24"/>
      <c r="E183" s="51"/>
      <c r="F183" s="12"/>
      <c r="G183" s="76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3.5" customHeight="1">
      <c r="A184" s="11"/>
      <c r="B184" s="11"/>
      <c r="C184" s="24"/>
      <c r="D184" s="24"/>
      <c r="E184" s="51"/>
      <c r="F184" s="12"/>
      <c r="G184" s="76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3.5" customHeight="1">
      <c r="A185" s="11"/>
      <c r="B185" s="11"/>
      <c r="C185" s="24"/>
      <c r="D185" s="24"/>
      <c r="E185" s="51"/>
      <c r="F185" s="12"/>
      <c r="G185" s="76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3.5" customHeight="1">
      <c r="A186" s="11"/>
      <c r="B186" s="11"/>
      <c r="C186" s="24"/>
      <c r="D186" s="24"/>
      <c r="E186" s="51"/>
      <c r="F186" s="12"/>
      <c r="G186" s="76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3.5" customHeight="1">
      <c r="A187" s="11"/>
      <c r="B187" s="11"/>
      <c r="C187" s="24"/>
      <c r="D187" s="24"/>
      <c r="E187" s="51"/>
      <c r="F187" s="12"/>
      <c r="G187" s="76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3.5" customHeight="1">
      <c r="A188" s="11"/>
      <c r="B188" s="11"/>
      <c r="C188" s="24"/>
      <c r="D188" s="24"/>
      <c r="E188" s="51"/>
      <c r="F188" s="12"/>
      <c r="G188" s="76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3.5" customHeight="1">
      <c r="A189" s="11"/>
      <c r="B189" s="11"/>
      <c r="C189" s="24"/>
      <c r="D189" s="24"/>
      <c r="E189" s="51"/>
      <c r="F189" s="12"/>
      <c r="G189" s="76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3.5" customHeight="1">
      <c r="A190" s="11"/>
      <c r="B190" s="11"/>
      <c r="C190" s="24"/>
      <c r="D190" s="24"/>
      <c r="E190" s="51"/>
      <c r="F190" s="12"/>
      <c r="G190" s="76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3.5" customHeight="1">
      <c r="A191" s="11"/>
      <c r="B191" s="11"/>
      <c r="C191" s="24"/>
      <c r="D191" s="24"/>
      <c r="E191" s="51"/>
      <c r="F191" s="12"/>
      <c r="G191" s="76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3.5" customHeight="1">
      <c r="A192" s="11"/>
      <c r="B192" s="11"/>
      <c r="C192" s="24"/>
      <c r="D192" s="24"/>
      <c r="E192" s="51"/>
      <c r="F192" s="12"/>
      <c r="G192" s="76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3.5" customHeight="1">
      <c r="A193" s="11"/>
      <c r="B193" s="11"/>
      <c r="C193" s="24"/>
      <c r="D193" s="24"/>
      <c r="E193" s="51"/>
      <c r="F193" s="12"/>
      <c r="G193" s="76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3.5" customHeight="1">
      <c r="A194" s="11"/>
      <c r="B194" s="11"/>
      <c r="C194" s="24"/>
      <c r="D194" s="24"/>
      <c r="E194" s="51"/>
      <c r="F194" s="12"/>
      <c r="G194" s="76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3.5" customHeight="1">
      <c r="A195" s="11"/>
      <c r="B195" s="11"/>
      <c r="C195" s="24"/>
      <c r="D195" s="24"/>
      <c r="E195" s="51"/>
      <c r="F195" s="12"/>
      <c r="G195" s="76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3.5" customHeight="1">
      <c r="A196" s="11"/>
      <c r="B196" s="11"/>
      <c r="C196" s="24"/>
      <c r="D196" s="24"/>
      <c r="E196" s="51"/>
      <c r="F196" s="12"/>
      <c r="G196" s="76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3.5" customHeight="1">
      <c r="A197" s="11"/>
      <c r="B197" s="11"/>
      <c r="C197" s="24"/>
      <c r="D197" s="24"/>
      <c r="E197" s="51"/>
      <c r="F197" s="12"/>
      <c r="G197" s="76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3.5" customHeight="1">
      <c r="A198" s="11"/>
      <c r="B198" s="11"/>
      <c r="C198" s="24"/>
      <c r="D198" s="24"/>
      <c r="E198" s="51"/>
      <c r="F198" s="12"/>
      <c r="G198" s="76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3.5" customHeight="1">
      <c r="A199" s="11"/>
      <c r="B199" s="11"/>
      <c r="C199" s="24"/>
      <c r="D199" s="24"/>
      <c r="E199" s="51"/>
      <c r="F199" s="12"/>
      <c r="G199" s="76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3.5" customHeight="1">
      <c r="A200" s="11"/>
      <c r="B200" s="11"/>
      <c r="C200" s="24"/>
      <c r="D200" s="24"/>
      <c r="E200" s="51"/>
      <c r="F200" s="12"/>
      <c r="G200" s="76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3.5" customHeight="1">
      <c r="A201" s="11"/>
      <c r="B201" s="11"/>
      <c r="C201" s="24"/>
      <c r="D201" s="24"/>
      <c r="E201" s="51"/>
      <c r="F201" s="12"/>
      <c r="G201" s="76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3.5" customHeight="1">
      <c r="A202" s="11"/>
      <c r="B202" s="11"/>
      <c r="C202" s="24"/>
      <c r="D202" s="24"/>
      <c r="E202" s="51"/>
      <c r="F202" s="12"/>
      <c r="G202" s="76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3.5" customHeight="1">
      <c r="A203" s="11"/>
      <c r="B203" s="11"/>
      <c r="C203" s="24"/>
      <c r="D203" s="24"/>
      <c r="E203" s="51"/>
      <c r="F203" s="12"/>
      <c r="G203" s="76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3.5" customHeight="1">
      <c r="A204" s="11"/>
      <c r="B204" s="11"/>
      <c r="C204" s="24"/>
      <c r="D204" s="24"/>
      <c r="E204" s="51"/>
      <c r="F204" s="12"/>
      <c r="G204" s="76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3.5" customHeight="1">
      <c r="A205" s="11"/>
      <c r="B205" s="11"/>
      <c r="C205" s="24"/>
      <c r="D205" s="24"/>
      <c r="E205" s="51"/>
      <c r="F205" s="12"/>
      <c r="G205" s="76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3.5" customHeight="1">
      <c r="A206" s="11"/>
      <c r="B206" s="11"/>
      <c r="C206" s="24"/>
      <c r="D206" s="24"/>
      <c r="E206" s="51"/>
      <c r="F206" s="12"/>
      <c r="G206" s="76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3.5" customHeight="1">
      <c r="A207" s="11"/>
      <c r="B207" s="11"/>
      <c r="C207" s="24"/>
      <c r="D207" s="24"/>
      <c r="E207" s="51"/>
      <c r="F207" s="12"/>
      <c r="G207" s="76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3.5" customHeight="1">
      <c r="A208" s="11"/>
      <c r="B208" s="11"/>
      <c r="C208" s="24"/>
      <c r="D208" s="24"/>
      <c r="E208" s="51"/>
      <c r="F208" s="12"/>
      <c r="G208" s="76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3.5" customHeight="1">
      <c r="A209" s="11"/>
      <c r="B209" s="11"/>
      <c r="C209" s="24"/>
      <c r="D209" s="24"/>
      <c r="E209" s="51"/>
      <c r="F209" s="12"/>
      <c r="G209" s="76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3.5" customHeight="1">
      <c r="A210" s="11"/>
      <c r="B210" s="11"/>
      <c r="C210" s="24"/>
      <c r="D210" s="24"/>
      <c r="E210" s="51"/>
      <c r="F210" s="12"/>
      <c r="G210" s="76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3.5" customHeight="1">
      <c r="A211" s="11"/>
      <c r="B211" s="11"/>
      <c r="C211" s="24"/>
      <c r="D211" s="24"/>
      <c r="E211" s="51"/>
      <c r="F211" s="12"/>
      <c r="G211" s="76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3.5" customHeight="1">
      <c r="A212" s="11"/>
      <c r="B212" s="11"/>
      <c r="C212" s="24"/>
      <c r="D212" s="24"/>
      <c r="E212" s="51"/>
      <c r="F212" s="12"/>
      <c r="G212" s="76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3.5" customHeight="1">
      <c r="A213" s="11"/>
      <c r="B213" s="11"/>
      <c r="C213" s="24"/>
      <c r="D213" s="24"/>
      <c r="E213" s="51"/>
      <c r="F213" s="12"/>
      <c r="G213" s="76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3.5" customHeight="1">
      <c r="A214" s="11"/>
      <c r="B214" s="11"/>
      <c r="C214" s="24"/>
      <c r="D214" s="24"/>
      <c r="E214" s="51"/>
      <c r="F214" s="12"/>
      <c r="G214" s="76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3.5" customHeight="1">
      <c r="A215" s="11"/>
      <c r="B215" s="11"/>
      <c r="C215" s="24"/>
      <c r="D215" s="24"/>
      <c r="E215" s="51"/>
      <c r="F215" s="12"/>
      <c r="G215" s="76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3.5" customHeight="1">
      <c r="A216" s="11"/>
      <c r="B216" s="11"/>
      <c r="C216" s="24"/>
      <c r="D216" s="24"/>
      <c r="E216" s="51"/>
      <c r="F216" s="12"/>
      <c r="G216" s="76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3.5" customHeight="1">
      <c r="A217" s="11"/>
      <c r="B217" s="11"/>
      <c r="C217" s="24"/>
      <c r="D217" s="24"/>
      <c r="E217" s="51"/>
      <c r="F217" s="12"/>
      <c r="G217" s="76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3.5" customHeight="1">
      <c r="A218" s="11"/>
      <c r="B218" s="11"/>
      <c r="C218" s="24"/>
      <c r="D218" s="24"/>
      <c r="E218" s="51"/>
      <c r="F218" s="12"/>
      <c r="G218" s="76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3.5" customHeight="1">
      <c r="A219" s="11"/>
      <c r="B219" s="11"/>
      <c r="C219" s="24"/>
      <c r="D219" s="24"/>
      <c r="E219" s="51"/>
      <c r="F219" s="12"/>
      <c r="G219" s="76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3.5" customHeight="1">
      <c r="A220" s="11"/>
      <c r="B220" s="11"/>
      <c r="C220" s="24"/>
      <c r="D220" s="24"/>
      <c r="E220" s="51"/>
      <c r="F220" s="12"/>
      <c r="G220" s="76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3.5" customHeight="1">
      <c r="A221" s="11"/>
      <c r="B221" s="11"/>
      <c r="C221" s="24"/>
      <c r="D221" s="24"/>
      <c r="E221" s="51"/>
      <c r="F221" s="12"/>
      <c r="G221" s="76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3.5" customHeight="1">
      <c r="A222" s="11"/>
      <c r="B222" s="11"/>
      <c r="C222" s="24"/>
      <c r="D222" s="24"/>
      <c r="E222" s="51"/>
      <c r="F222" s="12"/>
      <c r="G222" s="76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3.5" customHeight="1">
      <c r="A223" s="11"/>
      <c r="B223" s="11"/>
      <c r="C223" s="24"/>
      <c r="D223" s="24"/>
      <c r="E223" s="51"/>
      <c r="F223" s="12"/>
      <c r="G223" s="76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3.5" customHeight="1">
      <c r="A224" s="11"/>
      <c r="B224" s="11"/>
      <c r="C224" s="24"/>
      <c r="D224" s="24"/>
      <c r="E224" s="51"/>
      <c r="F224" s="12"/>
      <c r="G224" s="76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3.5" customHeight="1">
      <c r="A225" s="11"/>
      <c r="B225" s="11"/>
      <c r="C225" s="24"/>
      <c r="D225" s="24"/>
      <c r="E225" s="51"/>
      <c r="F225" s="12"/>
      <c r="G225" s="76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3.5" customHeight="1">
      <c r="A226" s="11"/>
      <c r="B226" s="11"/>
      <c r="C226" s="24"/>
      <c r="D226" s="24"/>
      <c r="E226" s="51"/>
      <c r="F226" s="12"/>
      <c r="G226" s="76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3.5" customHeight="1">
      <c r="A227" s="11"/>
      <c r="B227" s="11"/>
      <c r="C227" s="24"/>
      <c r="D227" s="24"/>
      <c r="E227" s="51"/>
      <c r="F227" s="12"/>
      <c r="G227" s="76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3.5" customHeight="1">
      <c r="A228" s="11"/>
      <c r="B228" s="11"/>
      <c r="C228" s="24"/>
      <c r="D228" s="24"/>
      <c r="E228" s="51"/>
      <c r="F228" s="12"/>
      <c r="G228" s="76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3.5" customHeight="1">
      <c r="A229" s="11"/>
      <c r="B229" s="11"/>
      <c r="C229" s="24"/>
      <c r="D229" s="24"/>
      <c r="E229" s="51"/>
      <c r="F229" s="12"/>
      <c r="G229" s="76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3.5" customHeight="1">
      <c r="A230" s="11"/>
      <c r="B230" s="11"/>
      <c r="C230" s="24"/>
      <c r="D230" s="24"/>
      <c r="E230" s="51"/>
      <c r="F230" s="12"/>
      <c r="G230" s="76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3.5" customHeight="1">
      <c r="A231" s="11"/>
      <c r="B231" s="11"/>
      <c r="C231" s="24"/>
      <c r="D231" s="24"/>
      <c r="E231" s="51"/>
      <c r="F231" s="12"/>
      <c r="G231" s="76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3.5" customHeight="1">
      <c r="A232" s="11"/>
      <c r="B232" s="11"/>
      <c r="C232" s="24"/>
      <c r="D232" s="24"/>
      <c r="E232" s="51"/>
      <c r="F232" s="12"/>
      <c r="G232" s="76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3.5" customHeight="1">
      <c r="A233" s="11"/>
      <c r="B233" s="11"/>
      <c r="C233" s="24"/>
      <c r="D233" s="24"/>
      <c r="E233" s="51"/>
      <c r="F233" s="12"/>
      <c r="G233" s="76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3.5" customHeight="1">
      <c r="A234" s="11"/>
      <c r="B234" s="11"/>
      <c r="C234" s="24"/>
      <c r="D234" s="24"/>
      <c r="E234" s="51"/>
      <c r="F234" s="12"/>
      <c r="G234" s="76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3.5" customHeight="1">
      <c r="A235" s="11"/>
      <c r="B235" s="11"/>
      <c r="C235" s="24"/>
      <c r="D235" s="24"/>
      <c r="E235" s="51"/>
      <c r="F235" s="12"/>
      <c r="G235" s="76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3.5" customHeight="1">
      <c r="A236" s="11"/>
      <c r="B236" s="11"/>
      <c r="C236" s="24"/>
      <c r="D236" s="24"/>
      <c r="E236" s="51"/>
      <c r="F236" s="12"/>
      <c r="G236" s="76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3.5" customHeight="1">
      <c r="A237" s="11"/>
      <c r="B237" s="11"/>
      <c r="C237" s="24"/>
      <c r="D237" s="24"/>
      <c r="E237" s="51"/>
      <c r="F237" s="12"/>
      <c r="G237" s="76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3.5" customHeight="1">
      <c r="A238" s="11"/>
      <c r="B238" s="11"/>
      <c r="C238" s="24"/>
      <c r="D238" s="24"/>
      <c r="E238" s="51"/>
      <c r="F238" s="12"/>
      <c r="G238" s="76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3.5" customHeight="1">
      <c r="A239" s="11"/>
      <c r="B239" s="11"/>
      <c r="C239" s="24"/>
      <c r="D239" s="24"/>
      <c r="E239" s="51"/>
      <c r="F239" s="12"/>
      <c r="G239" s="76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3.5" customHeight="1">
      <c r="A240" s="11"/>
      <c r="B240" s="11"/>
      <c r="C240" s="24"/>
      <c r="D240" s="24"/>
      <c r="E240" s="51"/>
      <c r="F240" s="12"/>
      <c r="G240" s="76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3.5" customHeight="1">
      <c r="A241" s="11"/>
      <c r="B241" s="11"/>
      <c r="C241" s="24"/>
      <c r="D241" s="24"/>
      <c r="E241" s="51"/>
      <c r="F241" s="12"/>
      <c r="G241" s="76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3.5" customHeight="1">
      <c r="A242" s="11"/>
      <c r="B242" s="11"/>
      <c r="C242" s="24"/>
      <c r="D242" s="24"/>
      <c r="E242" s="51"/>
      <c r="F242" s="12"/>
      <c r="G242" s="76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3.5" customHeight="1">
      <c r="A243" s="11"/>
      <c r="B243" s="11"/>
      <c r="C243" s="24"/>
      <c r="D243" s="24"/>
      <c r="E243" s="51"/>
      <c r="F243" s="12"/>
      <c r="G243" s="76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3.5" customHeight="1">
      <c r="A244" s="11"/>
      <c r="B244" s="11"/>
      <c r="C244" s="24"/>
      <c r="D244" s="24"/>
      <c r="E244" s="51"/>
      <c r="F244" s="12"/>
      <c r="G244" s="76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3.5" customHeight="1">
      <c r="A245" s="11"/>
      <c r="B245" s="11"/>
      <c r="C245" s="24"/>
      <c r="D245" s="24"/>
      <c r="E245" s="51"/>
      <c r="F245" s="12"/>
      <c r="G245" s="76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3.5" customHeight="1">
      <c r="A246" s="11"/>
      <c r="B246" s="11"/>
      <c r="C246" s="24"/>
      <c r="D246" s="24"/>
      <c r="E246" s="51"/>
      <c r="F246" s="12"/>
      <c r="G246" s="76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3.5" customHeight="1">
      <c r="A247" s="11"/>
      <c r="B247" s="11"/>
      <c r="C247" s="24"/>
      <c r="D247" s="24"/>
      <c r="E247" s="51"/>
      <c r="F247" s="12"/>
      <c r="G247" s="76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3.5" customHeight="1">
      <c r="A248" s="11"/>
      <c r="B248" s="11"/>
      <c r="C248" s="24"/>
      <c r="D248" s="24"/>
      <c r="E248" s="51"/>
      <c r="F248" s="12"/>
      <c r="G248" s="76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3.5" customHeight="1">
      <c r="A249" s="11"/>
      <c r="B249" s="11"/>
      <c r="C249" s="24"/>
      <c r="D249" s="24"/>
      <c r="E249" s="51"/>
      <c r="F249" s="12"/>
      <c r="G249" s="76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3.5" customHeight="1">
      <c r="A250" s="11"/>
      <c r="B250" s="11"/>
      <c r="C250" s="24"/>
      <c r="D250" s="24"/>
      <c r="E250" s="51"/>
      <c r="F250" s="12"/>
      <c r="G250" s="76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3.5" customHeight="1">
      <c r="A251" s="11"/>
      <c r="B251" s="11"/>
      <c r="C251" s="24"/>
      <c r="D251" s="24"/>
      <c r="E251" s="51"/>
      <c r="F251" s="12"/>
      <c r="G251" s="76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3.5" customHeight="1">
      <c r="A252" s="11"/>
      <c r="B252" s="11"/>
      <c r="C252" s="24"/>
      <c r="D252" s="24"/>
      <c r="E252" s="51"/>
      <c r="F252" s="12"/>
      <c r="G252" s="76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3.5" customHeight="1">
      <c r="A253" s="11"/>
      <c r="B253" s="11"/>
      <c r="C253" s="24"/>
      <c r="D253" s="24"/>
      <c r="E253" s="51"/>
      <c r="F253" s="12"/>
      <c r="G253" s="76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3.5" customHeight="1">
      <c r="A254" s="11"/>
      <c r="B254" s="11"/>
      <c r="C254" s="24"/>
      <c r="D254" s="24"/>
      <c r="E254" s="51"/>
      <c r="F254" s="12"/>
      <c r="G254" s="76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3.5" customHeight="1">
      <c r="A255" s="11"/>
      <c r="B255" s="11"/>
      <c r="C255" s="24"/>
      <c r="D255" s="24"/>
      <c r="E255" s="51"/>
      <c r="F255" s="12"/>
      <c r="G255" s="76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3.5" customHeight="1">
      <c r="A256" s="11"/>
      <c r="B256" s="11"/>
      <c r="C256" s="24"/>
      <c r="D256" s="24"/>
      <c r="E256" s="51"/>
      <c r="F256" s="12"/>
      <c r="G256" s="76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3.5" customHeight="1">
      <c r="A257" s="11"/>
      <c r="B257" s="11"/>
      <c r="C257" s="24"/>
      <c r="D257" s="24"/>
      <c r="E257" s="51"/>
      <c r="F257" s="12"/>
      <c r="G257" s="76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3.5" customHeight="1">
      <c r="A258" s="11"/>
      <c r="B258" s="11"/>
      <c r="C258" s="24"/>
      <c r="D258" s="24"/>
      <c r="E258" s="51"/>
      <c r="F258" s="12"/>
      <c r="G258" s="76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3.5" customHeight="1">
      <c r="A259" s="11"/>
      <c r="B259" s="11"/>
      <c r="C259" s="24"/>
      <c r="D259" s="24"/>
      <c r="E259" s="51"/>
      <c r="F259" s="12"/>
      <c r="G259" s="76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3.5" customHeight="1">
      <c r="A260" s="11"/>
      <c r="B260" s="11"/>
      <c r="C260" s="24"/>
      <c r="D260" s="24"/>
      <c r="E260" s="51"/>
      <c r="F260" s="12"/>
      <c r="G260" s="76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3.5" customHeight="1">
      <c r="A261" s="11"/>
      <c r="B261" s="11"/>
      <c r="C261" s="24"/>
      <c r="D261" s="24"/>
      <c r="E261" s="51"/>
      <c r="F261" s="12"/>
      <c r="G261" s="76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3.5" customHeight="1">
      <c r="A262" s="11"/>
      <c r="B262" s="11"/>
      <c r="C262" s="24"/>
      <c r="D262" s="24"/>
      <c r="E262" s="51"/>
      <c r="F262" s="12"/>
      <c r="G262" s="76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3.5" customHeight="1">
      <c r="A263" s="11"/>
      <c r="B263" s="11"/>
      <c r="C263" s="24"/>
      <c r="D263" s="24"/>
      <c r="E263" s="51"/>
      <c r="F263" s="12"/>
      <c r="G263" s="76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3.5" customHeight="1">
      <c r="A264" s="11"/>
      <c r="B264" s="11"/>
      <c r="C264" s="24"/>
      <c r="D264" s="24"/>
      <c r="E264" s="51"/>
      <c r="F264" s="12"/>
      <c r="G264" s="76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3.5" customHeight="1">
      <c r="A265" s="11"/>
      <c r="B265" s="11"/>
      <c r="C265" s="24"/>
      <c r="D265" s="24"/>
      <c r="E265" s="51"/>
      <c r="F265" s="12"/>
      <c r="G265" s="76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3.5" customHeight="1">
      <c r="A266" s="11"/>
      <c r="B266" s="11"/>
      <c r="C266" s="24"/>
      <c r="D266" s="24"/>
      <c r="E266" s="51"/>
      <c r="F266" s="12"/>
      <c r="G266" s="76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3.5" customHeight="1">
      <c r="A267" s="11"/>
      <c r="B267" s="11"/>
      <c r="C267" s="24"/>
      <c r="D267" s="24"/>
      <c r="E267" s="51"/>
      <c r="F267" s="12"/>
      <c r="G267" s="76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3.5" customHeight="1">
      <c r="A268" s="11"/>
      <c r="B268" s="11"/>
      <c r="C268" s="24"/>
      <c r="D268" s="24"/>
      <c r="E268" s="51"/>
      <c r="F268" s="12"/>
      <c r="G268" s="76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3.5" customHeight="1">
      <c r="A269" s="11"/>
      <c r="B269" s="11"/>
      <c r="C269" s="24"/>
      <c r="D269" s="24"/>
      <c r="E269" s="51"/>
      <c r="F269" s="12"/>
      <c r="G269" s="76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3.5" customHeight="1">
      <c r="A270" s="11"/>
      <c r="B270" s="11"/>
      <c r="C270" s="24"/>
      <c r="D270" s="24"/>
      <c r="E270" s="51"/>
      <c r="F270" s="12"/>
      <c r="G270" s="76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3.5" customHeight="1">
      <c r="A271" s="11"/>
      <c r="B271" s="11"/>
      <c r="C271" s="24"/>
      <c r="D271" s="24"/>
      <c r="E271" s="51"/>
      <c r="F271" s="12"/>
      <c r="G271" s="76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3.5" customHeight="1">
      <c r="A272" s="11"/>
      <c r="B272" s="11"/>
      <c r="C272" s="24"/>
      <c r="D272" s="24"/>
      <c r="E272" s="51"/>
      <c r="F272" s="12"/>
      <c r="G272" s="76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3.5" customHeight="1">
      <c r="A273" s="11"/>
      <c r="B273" s="11"/>
      <c r="C273" s="24"/>
      <c r="D273" s="24"/>
      <c r="E273" s="51"/>
      <c r="F273" s="12"/>
      <c r="G273" s="76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3.5" customHeight="1">
      <c r="A274" s="11"/>
      <c r="B274" s="11"/>
      <c r="C274" s="24"/>
      <c r="D274" s="24"/>
      <c r="E274" s="51"/>
      <c r="F274" s="12"/>
      <c r="G274" s="76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3.5" customHeight="1">
      <c r="A275" s="11"/>
      <c r="B275" s="11"/>
      <c r="C275" s="24"/>
      <c r="D275" s="24"/>
      <c r="E275" s="51"/>
      <c r="F275" s="12"/>
      <c r="G275" s="76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3.5" customHeight="1">
      <c r="A276" s="11"/>
      <c r="B276" s="11"/>
      <c r="C276" s="24"/>
      <c r="D276" s="24"/>
      <c r="E276" s="51"/>
      <c r="F276" s="12"/>
      <c r="G276" s="76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3.5" customHeight="1">
      <c r="A277" s="11"/>
      <c r="B277" s="11"/>
      <c r="C277" s="24"/>
      <c r="D277" s="24"/>
      <c r="E277" s="51"/>
      <c r="F277" s="12"/>
      <c r="G277" s="76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3.5" customHeight="1">
      <c r="A278" s="11"/>
      <c r="B278" s="11"/>
      <c r="C278" s="24"/>
      <c r="D278" s="24"/>
      <c r="E278" s="51"/>
      <c r="F278" s="12"/>
      <c r="G278" s="76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3.5" customHeight="1">
      <c r="A279" s="11"/>
      <c r="B279" s="11"/>
      <c r="C279" s="24"/>
      <c r="D279" s="24"/>
      <c r="E279" s="51"/>
      <c r="F279" s="12"/>
      <c r="G279" s="76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3.5" customHeight="1">
      <c r="A280" s="11"/>
      <c r="B280" s="11"/>
      <c r="C280" s="24"/>
      <c r="D280" s="24"/>
      <c r="E280" s="51"/>
      <c r="F280" s="12"/>
      <c r="G280" s="76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3.5" customHeight="1">
      <c r="A281" s="11"/>
      <c r="B281" s="11"/>
      <c r="C281" s="24"/>
      <c r="D281" s="24"/>
      <c r="E281" s="51"/>
      <c r="F281" s="12"/>
      <c r="G281" s="76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3.5" customHeight="1">
      <c r="A282" s="11"/>
      <c r="B282" s="11"/>
      <c r="C282" s="24"/>
      <c r="D282" s="24"/>
      <c r="E282" s="51"/>
      <c r="F282" s="12"/>
      <c r="G282" s="76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3.5" customHeight="1">
      <c r="A283" s="11"/>
      <c r="B283" s="11"/>
      <c r="C283" s="24"/>
      <c r="D283" s="24"/>
      <c r="E283" s="51"/>
      <c r="F283" s="12"/>
      <c r="G283" s="76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3.5" customHeight="1">
      <c r="A284" s="11"/>
      <c r="B284" s="11"/>
      <c r="C284" s="24"/>
      <c r="D284" s="24"/>
      <c r="E284" s="51"/>
      <c r="F284" s="12"/>
      <c r="G284" s="76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3.5" customHeight="1">
      <c r="A285" s="11"/>
      <c r="B285" s="11"/>
      <c r="C285" s="24"/>
      <c r="D285" s="24"/>
      <c r="E285" s="51"/>
      <c r="F285" s="12"/>
      <c r="G285" s="76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3.5" customHeight="1">
      <c r="A286" s="11"/>
      <c r="B286" s="11"/>
      <c r="C286" s="24"/>
      <c r="D286" s="24"/>
      <c r="E286" s="51"/>
      <c r="F286" s="12"/>
      <c r="G286" s="76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3.5" customHeight="1">
      <c r="A287" s="11"/>
      <c r="B287" s="11"/>
      <c r="C287" s="24"/>
      <c r="D287" s="24"/>
      <c r="E287" s="51"/>
      <c r="F287" s="12"/>
      <c r="G287" s="76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3.5" customHeight="1">
      <c r="A288" s="11"/>
      <c r="B288" s="11"/>
      <c r="C288" s="24"/>
      <c r="D288" s="24"/>
      <c r="E288" s="51"/>
      <c r="F288" s="12"/>
      <c r="G288" s="76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3.5" customHeight="1">
      <c r="A289" s="11"/>
      <c r="B289" s="11"/>
      <c r="C289" s="24"/>
      <c r="D289" s="24"/>
      <c r="E289" s="51"/>
      <c r="F289" s="12"/>
      <c r="G289" s="76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3.5" customHeight="1">
      <c r="A290" s="11"/>
      <c r="B290" s="11"/>
      <c r="C290" s="24"/>
      <c r="D290" s="24"/>
      <c r="E290" s="51"/>
      <c r="F290" s="12"/>
      <c r="G290" s="76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3.5" customHeight="1">
      <c r="A291" s="11"/>
      <c r="B291" s="11"/>
      <c r="C291" s="24"/>
      <c r="D291" s="24"/>
      <c r="E291" s="51"/>
      <c r="F291" s="12"/>
      <c r="G291" s="76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3.5" customHeight="1">
      <c r="A292" s="11"/>
      <c r="B292" s="11"/>
      <c r="C292" s="24"/>
      <c r="D292" s="24"/>
      <c r="E292" s="51"/>
      <c r="F292" s="12"/>
      <c r="G292" s="76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3.5" customHeight="1">
      <c r="A293" s="11"/>
      <c r="B293" s="11"/>
      <c r="C293" s="24"/>
      <c r="D293" s="24"/>
      <c r="E293" s="51"/>
      <c r="F293" s="12"/>
      <c r="G293" s="76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3.5" customHeight="1">
      <c r="A294" s="11"/>
      <c r="B294" s="11"/>
      <c r="C294" s="24"/>
      <c r="D294" s="24"/>
      <c r="E294" s="51"/>
      <c r="F294" s="12"/>
      <c r="G294" s="76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3.5" customHeight="1">
      <c r="A295" s="11"/>
      <c r="B295" s="11"/>
      <c r="C295" s="24"/>
      <c r="D295" s="24"/>
      <c r="E295" s="51"/>
      <c r="F295" s="12"/>
      <c r="G295" s="76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3.5" customHeight="1">
      <c r="A296" s="11"/>
      <c r="B296" s="11"/>
      <c r="C296" s="24"/>
      <c r="D296" s="24"/>
      <c r="E296" s="51"/>
      <c r="F296" s="12"/>
      <c r="G296" s="76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3.5" customHeight="1">
      <c r="A297" s="11"/>
      <c r="B297" s="11"/>
      <c r="C297" s="24"/>
      <c r="D297" s="24"/>
      <c r="E297" s="51"/>
      <c r="F297" s="12"/>
      <c r="G297" s="76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3.5" customHeight="1">
      <c r="A298" s="11"/>
      <c r="B298" s="11"/>
      <c r="C298" s="24"/>
      <c r="D298" s="24"/>
      <c r="E298" s="51"/>
      <c r="F298" s="12"/>
      <c r="G298" s="76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3.5" customHeight="1">
      <c r="A299" s="11"/>
      <c r="B299" s="11"/>
      <c r="C299" s="24"/>
      <c r="D299" s="24"/>
      <c r="E299" s="51"/>
      <c r="F299" s="12"/>
      <c r="G299" s="76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3.5" customHeight="1">
      <c r="A300" s="11"/>
      <c r="B300" s="11"/>
      <c r="C300" s="24"/>
      <c r="D300" s="24"/>
      <c r="E300" s="51"/>
      <c r="F300" s="12"/>
      <c r="G300" s="76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3.5" customHeight="1">
      <c r="A301" s="11"/>
      <c r="B301" s="11"/>
      <c r="C301" s="24"/>
      <c r="D301" s="24"/>
      <c r="E301" s="51"/>
      <c r="F301" s="12"/>
      <c r="G301" s="76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3.5" customHeight="1">
      <c r="A302" s="11"/>
      <c r="B302" s="11"/>
      <c r="C302" s="24"/>
      <c r="D302" s="24"/>
      <c r="E302" s="51"/>
      <c r="F302" s="12"/>
      <c r="G302" s="76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3.5" customHeight="1">
      <c r="A303" s="11"/>
      <c r="B303" s="11"/>
      <c r="C303" s="24"/>
      <c r="D303" s="24"/>
      <c r="E303" s="51"/>
      <c r="F303" s="12"/>
      <c r="G303" s="76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3.5" customHeight="1">
      <c r="A304" s="11"/>
      <c r="B304" s="11"/>
      <c r="C304" s="24"/>
      <c r="D304" s="24"/>
      <c r="E304" s="51"/>
      <c r="F304" s="12"/>
      <c r="G304" s="76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3.5" customHeight="1">
      <c r="A305" s="11"/>
      <c r="B305" s="11"/>
      <c r="C305" s="24"/>
      <c r="D305" s="24"/>
      <c r="E305" s="51"/>
      <c r="F305" s="12"/>
      <c r="G305" s="76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3.5" customHeight="1">
      <c r="A306" s="11"/>
      <c r="B306" s="11"/>
      <c r="C306" s="24"/>
      <c r="D306" s="24"/>
      <c r="E306" s="51"/>
      <c r="F306" s="12"/>
      <c r="G306" s="76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3.5" customHeight="1">
      <c r="A307" s="11"/>
      <c r="B307" s="11"/>
      <c r="C307" s="24"/>
      <c r="D307" s="24"/>
      <c r="E307" s="51"/>
      <c r="F307" s="12"/>
      <c r="G307" s="76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3.5" customHeight="1">
      <c r="A308" s="11"/>
      <c r="B308" s="11"/>
      <c r="C308" s="24"/>
      <c r="D308" s="24"/>
      <c r="E308" s="51"/>
      <c r="F308" s="12"/>
      <c r="G308" s="76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3.5" customHeight="1">
      <c r="A309" s="11"/>
      <c r="B309" s="11"/>
      <c r="C309" s="24"/>
      <c r="D309" s="24"/>
      <c r="E309" s="51"/>
      <c r="F309" s="12"/>
      <c r="G309" s="76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3.5" customHeight="1">
      <c r="A310" s="11"/>
      <c r="B310" s="11"/>
      <c r="C310" s="24"/>
      <c r="D310" s="24"/>
      <c r="E310" s="51"/>
      <c r="F310" s="12"/>
      <c r="G310" s="76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3.5" customHeight="1">
      <c r="A311" s="11"/>
      <c r="B311" s="11"/>
      <c r="C311" s="24"/>
      <c r="D311" s="24"/>
      <c r="E311" s="51"/>
      <c r="F311" s="12"/>
      <c r="G311" s="76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3.5" customHeight="1">
      <c r="A312" s="11"/>
      <c r="B312" s="11"/>
      <c r="C312" s="24"/>
      <c r="D312" s="24"/>
      <c r="E312" s="51"/>
      <c r="F312" s="12"/>
      <c r="G312" s="76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3.5" customHeight="1">
      <c r="A313" s="11"/>
      <c r="B313" s="11"/>
      <c r="C313" s="24"/>
      <c r="D313" s="24"/>
      <c r="E313" s="51"/>
      <c r="F313" s="12"/>
      <c r="G313" s="76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3.5" customHeight="1">
      <c r="A314" s="11"/>
      <c r="B314" s="11"/>
      <c r="C314" s="24"/>
      <c r="D314" s="24"/>
      <c r="E314" s="51"/>
      <c r="F314" s="12"/>
      <c r="G314" s="76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3.5" customHeight="1">
      <c r="A315" s="11"/>
      <c r="B315" s="11"/>
      <c r="C315" s="24"/>
      <c r="D315" s="24"/>
      <c r="E315" s="51"/>
      <c r="F315" s="12"/>
      <c r="G315" s="76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3.5" customHeight="1">
      <c r="A316" s="11"/>
      <c r="B316" s="11"/>
      <c r="C316" s="24"/>
      <c r="D316" s="24"/>
      <c r="E316" s="51"/>
      <c r="F316" s="12"/>
      <c r="G316" s="76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3.5" customHeight="1">
      <c r="A317" s="11"/>
      <c r="B317" s="11"/>
      <c r="C317" s="24"/>
      <c r="D317" s="24"/>
      <c r="E317" s="51"/>
      <c r="F317" s="12"/>
      <c r="G317" s="76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3.5" customHeight="1">
      <c r="A318" s="11"/>
      <c r="B318" s="11"/>
      <c r="C318" s="24"/>
      <c r="D318" s="24"/>
      <c r="E318" s="51"/>
      <c r="F318" s="12"/>
      <c r="G318" s="76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3.5" customHeight="1">
      <c r="A319" s="11"/>
      <c r="B319" s="11"/>
      <c r="C319" s="24"/>
      <c r="D319" s="24"/>
      <c r="E319" s="51"/>
      <c r="F319" s="12"/>
      <c r="G319" s="76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3.5" customHeight="1">
      <c r="A320" s="11"/>
      <c r="B320" s="11"/>
      <c r="C320" s="24"/>
      <c r="D320" s="24"/>
      <c r="E320" s="51"/>
      <c r="F320" s="12"/>
      <c r="G320" s="76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3.5" customHeight="1">
      <c r="A321" s="11"/>
      <c r="B321" s="11"/>
      <c r="C321" s="24"/>
      <c r="D321" s="24"/>
      <c r="E321" s="51"/>
      <c r="F321" s="12"/>
      <c r="G321" s="76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3.5" customHeight="1">
      <c r="A322" s="11"/>
      <c r="B322" s="11"/>
      <c r="C322" s="24"/>
      <c r="D322" s="24"/>
      <c r="E322" s="51"/>
      <c r="F322" s="12"/>
      <c r="G322" s="76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3.5" customHeight="1">
      <c r="A323" s="11"/>
      <c r="B323" s="11"/>
      <c r="C323" s="24"/>
      <c r="D323" s="24"/>
      <c r="E323" s="51"/>
      <c r="F323" s="12"/>
      <c r="G323" s="76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3.5" customHeight="1">
      <c r="A324" s="11"/>
      <c r="B324" s="11"/>
      <c r="C324" s="24"/>
      <c r="D324" s="24"/>
      <c r="E324" s="51"/>
      <c r="F324" s="12"/>
      <c r="G324" s="76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3.5" customHeight="1">
      <c r="A325" s="11"/>
      <c r="B325" s="11"/>
      <c r="C325" s="24"/>
      <c r="D325" s="24"/>
      <c r="E325" s="51"/>
      <c r="F325" s="12"/>
      <c r="G325" s="76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3.5" customHeight="1">
      <c r="A326" s="11"/>
      <c r="B326" s="11"/>
      <c r="C326" s="24"/>
      <c r="D326" s="24"/>
      <c r="E326" s="51"/>
      <c r="F326" s="12"/>
      <c r="G326" s="76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3.5" customHeight="1">
      <c r="A327" s="11"/>
      <c r="B327" s="11"/>
      <c r="C327" s="24"/>
      <c r="D327" s="24"/>
      <c r="E327" s="51"/>
      <c r="F327" s="12"/>
      <c r="G327" s="76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3.5" customHeight="1">
      <c r="A328" s="11"/>
      <c r="B328" s="11"/>
      <c r="C328" s="24"/>
      <c r="D328" s="24"/>
      <c r="E328" s="51"/>
      <c r="F328" s="12"/>
      <c r="G328" s="76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3.5" customHeight="1">
      <c r="A329" s="11"/>
      <c r="B329" s="11"/>
      <c r="C329" s="24"/>
      <c r="D329" s="24"/>
      <c r="E329" s="51"/>
      <c r="F329" s="12"/>
      <c r="G329" s="76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3.5" customHeight="1">
      <c r="A330" s="11"/>
      <c r="B330" s="11"/>
      <c r="C330" s="24"/>
      <c r="D330" s="24"/>
      <c r="E330" s="51"/>
      <c r="F330" s="12"/>
      <c r="G330" s="76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3.5" customHeight="1">
      <c r="A331" s="11"/>
      <c r="B331" s="11"/>
      <c r="C331" s="24"/>
      <c r="D331" s="24"/>
      <c r="E331" s="51"/>
      <c r="F331" s="12"/>
      <c r="G331" s="76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3.5" customHeight="1">
      <c r="A332" s="11"/>
      <c r="B332" s="11"/>
      <c r="C332" s="24"/>
      <c r="D332" s="24"/>
      <c r="E332" s="51"/>
      <c r="F332" s="12"/>
      <c r="G332" s="76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3.5" customHeight="1">
      <c r="A333" s="11"/>
      <c r="B333" s="11"/>
      <c r="C333" s="24"/>
      <c r="D333" s="24"/>
      <c r="E333" s="51"/>
      <c r="F333" s="12"/>
      <c r="G333" s="76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3.5" customHeight="1">
      <c r="A334" s="11"/>
      <c r="B334" s="11"/>
      <c r="C334" s="24"/>
      <c r="D334" s="24"/>
      <c r="E334" s="51"/>
      <c r="F334" s="12"/>
      <c r="G334" s="76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3.5" customHeight="1">
      <c r="A335" s="11"/>
      <c r="B335" s="11"/>
      <c r="C335" s="24"/>
      <c r="D335" s="24"/>
      <c r="E335" s="51"/>
      <c r="F335" s="12"/>
      <c r="G335" s="76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3.5" customHeight="1">
      <c r="A336" s="11"/>
      <c r="B336" s="11"/>
      <c r="C336" s="24"/>
      <c r="D336" s="24"/>
      <c r="E336" s="51"/>
      <c r="F336" s="12"/>
      <c r="G336" s="76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3.5" customHeight="1">
      <c r="A337" s="11"/>
      <c r="B337" s="11"/>
      <c r="C337" s="24"/>
      <c r="D337" s="24"/>
      <c r="E337" s="51"/>
      <c r="F337" s="12"/>
      <c r="G337" s="76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3.5" customHeight="1">
      <c r="A338" s="11"/>
      <c r="B338" s="11"/>
      <c r="C338" s="24"/>
      <c r="D338" s="24"/>
      <c r="E338" s="51"/>
      <c r="F338" s="12"/>
      <c r="G338" s="76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3.5" customHeight="1">
      <c r="A339" s="11"/>
      <c r="B339" s="11"/>
      <c r="C339" s="24"/>
      <c r="D339" s="24"/>
      <c r="E339" s="51"/>
      <c r="F339" s="12"/>
      <c r="G339" s="76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3.5" customHeight="1">
      <c r="A340" s="11"/>
      <c r="B340" s="11"/>
      <c r="C340" s="24"/>
      <c r="D340" s="24"/>
      <c r="E340" s="51"/>
      <c r="F340" s="12"/>
      <c r="G340" s="76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3.5" customHeight="1">
      <c r="A341" s="11"/>
      <c r="B341" s="11"/>
      <c r="C341" s="24"/>
      <c r="D341" s="24"/>
      <c r="E341" s="51"/>
      <c r="F341" s="12"/>
      <c r="G341" s="76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3.5" customHeight="1">
      <c r="A342" s="11"/>
      <c r="B342" s="11"/>
      <c r="C342" s="24"/>
      <c r="D342" s="24"/>
      <c r="E342" s="51"/>
      <c r="F342" s="12"/>
      <c r="G342" s="76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3.5" customHeight="1">
      <c r="A343" s="11"/>
      <c r="B343" s="11"/>
      <c r="C343" s="24"/>
      <c r="D343" s="24"/>
      <c r="E343" s="51"/>
      <c r="F343" s="12"/>
      <c r="G343" s="76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3.5" customHeight="1">
      <c r="A344" s="11"/>
      <c r="B344" s="11"/>
      <c r="C344" s="24"/>
      <c r="D344" s="24"/>
      <c r="E344" s="51"/>
      <c r="F344" s="12"/>
      <c r="G344" s="76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3.5" customHeight="1">
      <c r="A345" s="11"/>
      <c r="B345" s="11"/>
      <c r="C345" s="24"/>
      <c r="D345" s="24"/>
      <c r="E345" s="51"/>
      <c r="F345" s="12"/>
      <c r="G345" s="76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3.5" customHeight="1">
      <c r="A346" s="11"/>
      <c r="B346" s="11"/>
      <c r="C346" s="24"/>
      <c r="D346" s="24"/>
      <c r="E346" s="51"/>
      <c r="F346" s="12"/>
      <c r="G346" s="76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3.5" customHeight="1">
      <c r="A347" s="11"/>
      <c r="B347" s="11"/>
      <c r="C347" s="24"/>
      <c r="D347" s="24"/>
      <c r="E347" s="51"/>
      <c r="F347" s="12"/>
      <c r="G347" s="76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3.5" customHeight="1">
      <c r="A348" s="11"/>
      <c r="B348" s="11"/>
      <c r="C348" s="24"/>
      <c r="D348" s="24"/>
      <c r="E348" s="51"/>
      <c r="F348" s="12"/>
      <c r="G348" s="76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3.5" customHeight="1">
      <c r="A349" s="11"/>
      <c r="B349" s="11"/>
      <c r="C349" s="24"/>
      <c r="D349" s="24"/>
      <c r="E349" s="51"/>
      <c r="F349" s="12"/>
      <c r="G349" s="76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3.5" customHeight="1">
      <c r="A350" s="11"/>
      <c r="B350" s="11"/>
      <c r="C350" s="24"/>
      <c r="D350" s="24"/>
      <c r="E350" s="51"/>
      <c r="F350" s="12"/>
      <c r="G350" s="76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3.5" customHeight="1">
      <c r="A351" s="11"/>
      <c r="B351" s="11"/>
      <c r="C351" s="24"/>
      <c r="D351" s="24"/>
      <c r="E351" s="51"/>
      <c r="F351" s="12"/>
      <c r="G351" s="76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3.5" customHeight="1">
      <c r="A352" s="11"/>
      <c r="B352" s="11"/>
      <c r="C352" s="24"/>
      <c r="D352" s="24"/>
      <c r="E352" s="51"/>
      <c r="F352" s="12"/>
      <c r="G352" s="76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3.5" customHeight="1">
      <c r="A353" s="11"/>
      <c r="B353" s="11"/>
      <c r="C353" s="24"/>
      <c r="D353" s="24"/>
      <c r="E353" s="51"/>
      <c r="F353" s="12"/>
      <c r="G353" s="76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3.5" customHeight="1">
      <c r="A354" s="11"/>
      <c r="B354" s="11"/>
      <c r="C354" s="24"/>
      <c r="D354" s="24"/>
      <c r="E354" s="51"/>
      <c r="F354" s="12"/>
      <c r="G354" s="76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3.5" customHeight="1">
      <c r="A355" s="11"/>
      <c r="B355" s="11"/>
      <c r="C355" s="24"/>
      <c r="D355" s="24"/>
      <c r="E355" s="51"/>
      <c r="F355" s="12"/>
      <c r="G355" s="76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3.5" customHeight="1">
      <c r="A356" s="11"/>
      <c r="B356" s="11"/>
      <c r="C356" s="24"/>
      <c r="D356" s="24"/>
      <c r="E356" s="51"/>
      <c r="F356" s="12"/>
      <c r="G356" s="76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3.5" customHeight="1">
      <c r="A357" s="11"/>
      <c r="B357" s="11"/>
      <c r="C357" s="24"/>
      <c r="D357" s="24"/>
      <c r="E357" s="51"/>
      <c r="F357" s="12"/>
      <c r="G357" s="76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3.5" customHeight="1">
      <c r="A358" s="11"/>
      <c r="B358" s="11"/>
      <c r="C358" s="24"/>
      <c r="D358" s="24"/>
      <c r="E358" s="51"/>
      <c r="F358" s="12"/>
      <c r="G358" s="76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3.5" customHeight="1">
      <c r="A359" s="11"/>
      <c r="B359" s="11"/>
      <c r="C359" s="24"/>
      <c r="D359" s="24"/>
      <c r="E359" s="51"/>
      <c r="F359" s="12"/>
      <c r="G359" s="76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3.5" customHeight="1">
      <c r="A360" s="11"/>
      <c r="B360" s="11"/>
      <c r="C360" s="24"/>
      <c r="D360" s="24"/>
      <c r="E360" s="51"/>
      <c r="F360" s="12"/>
      <c r="G360" s="76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3.5" customHeight="1">
      <c r="A361" s="11"/>
      <c r="B361" s="11"/>
      <c r="C361" s="24"/>
      <c r="D361" s="24"/>
      <c r="E361" s="51"/>
      <c r="F361" s="12"/>
      <c r="G361" s="76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3.5" customHeight="1">
      <c r="A362" s="11"/>
      <c r="B362" s="11"/>
      <c r="C362" s="24"/>
      <c r="D362" s="24"/>
      <c r="E362" s="51"/>
      <c r="F362" s="12"/>
      <c r="G362" s="76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3.5" customHeight="1">
      <c r="A363" s="11"/>
      <c r="B363" s="11"/>
      <c r="C363" s="24"/>
      <c r="D363" s="24"/>
      <c r="E363" s="51"/>
      <c r="F363" s="12"/>
      <c r="G363" s="76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3.5" customHeight="1">
      <c r="A364" s="11"/>
      <c r="B364" s="11"/>
      <c r="C364" s="24"/>
      <c r="D364" s="24"/>
      <c r="E364" s="51"/>
      <c r="F364" s="12"/>
      <c r="G364" s="76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3.5" customHeight="1">
      <c r="A365" s="11"/>
      <c r="B365" s="11"/>
      <c r="C365" s="24"/>
      <c r="D365" s="24"/>
      <c r="E365" s="51"/>
      <c r="F365" s="12"/>
      <c r="G365" s="76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3.5" customHeight="1">
      <c r="A366" s="11"/>
      <c r="B366" s="11"/>
      <c r="C366" s="24"/>
      <c r="D366" s="24"/>
      <c r="E366" s="51"/>
      <c r="F366" s="12"/>
      <c r="G366" s="76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3.5" customHeight="1">
      <c r="A367" s="11"/>
      <c r="B367" s="11"/>
      <c r="C367" s="24"/>
      <c r="D367" s="24"/>
      <c r="E367" s="51"/>
      <c r="F367" s="12"/>
      <c r="G367" s="76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3.5" customHeight="1">
      <c r="A368" s="11"/>
      <c r="B368" s="11"/>
      <c r="C368" s="24"/>
      <c r="D368" s="24"/>
      <c r="E368" s="51"/>
      <c r="F368" s="12"/>
      <c r="G368" s="76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3.5" customHeight="1">
      <c r="A369" s="11"/>
      <c r="B369" s="11"/>
      <c r="C369" s="24"/>
      <c r="D369" s="24"/>
      <c r="E369" s="51"/>
      <c r="F369" s="12"/>
      <c r="G369" s="76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3.5" customHeight="1">
      <c r="A370" s="11"/>
      <c r="B370" s="11"/>
      <c r="C370" s="24"/>
      <c r="D370" s="24"/>
      <c r="E370" s="51"/>
      <c r="F370" s="12"/>
      <c r="G370" s="76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3.5" customHeight="1">
      <c r="A371" s="11"/>
      <c r="B371" s="11"/>
      <c r="C371" s="24"/>
      <c r="D371" s="24"/>
      <c r="E371" s="51"/>
      <c r="F371" s="12"/>
      <c r="G371" s="76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3.5" customHeight="1">
      <c r="A372" s="11"/>
      <c r="B372" s="11"/>
      <c r="C372" s="24"/>
      <c r="D372" s="24"/>
      <c r="E372" s="51"/>
      <c r="F372" s="12"/>
      <c r="G372" s="76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3.5" customHeight="1">
      <c r="A373" s="11"/>
      <c r="B373" s="11"/>
      <c r="C373" s="24"/>
      <c r="D373" s="24"/>
      <c r="E373" s="51"/>
      <c r="F373" s="12"/>
      <c r="G373" s="76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3.5" customHeight="1">
      <c r="A374" s="11"/>
      <c r="B374" s="11"/>
      <c r="C374" s="24"/>
      <c r="D374" s="24"/>
      <c r="E374" s="51"/>
      <c r="F374" s="12"/>
      <c r="G374" s="76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3.5" customHeight="1">
      <c r="A375" s="11"/>
      <c r="B375" s="11"/>
      <c r="C375" s="24"/>
      <c r="D375" s="24"/>
      <c r="E375" s="51"/>
      <c r="F375" s="12"/>
      <c r="G375" s="76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3.5" customHeight="1">
      <c r="A376" s="11"/>
      <c r="B376" s="11"/>
      <c r="C376" s="24"/>
      <c r="D376" s="24"/>
      <c r="E376" s="51"/>
      <c r="F376" s="12"/>
      <c r="G376" s="76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3.5" customHeight="1">
      <c r="A377" s="11"/>
      <c r="B377" s="11"/>
      <c r="C377" s="24"/>
      <c r="D377" s="24"/>
      <c r="E377" s="51"/>
      <c r="F377" s="12"/>
      <c r="G377" s="76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3.5" customHeight="1">
      <c r="A378" s="11"/>
      <c r="B378" s="11"/>
      <c r="C378" s="24"/>
      <c r="D378" s="24"/>
      <c r="E378" s="51"/>
      <c r="F378" s="12"/>
      <c r="G378" s="76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3.5" customHeight="1">
      <c r="A379" s="11"/>
      <c r="B379" s="11"/>
      <c r="C379" s="24"/>
      <c r="D379" s="24"/>
      <c r="E379" s="51"/>
      <c r="F379" s="12"/>
      <c r="G379" s="76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3.5" customHeight="1">
      <c r="A380" s="11"/>
      <c r="B380" s="11"/>
      <c r="C380" s="24"/>
      <c r="D380" s="24"/>
      <c r="E380" s="51"/>
      <c r="F380" s="12"/>
      <c r="G380" s="76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3.5" customHeight="1">
      <c r="A381" s="11"/>
      <c r="B381" s="11"/>
      <c r="C381" s="24"/>
      <c r="D381" s="24"/>
      <c r="E381" s="51"/>
      <c r="F381" s="12"/>
      <c r="G381" s="76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3.5" customHeight="1">
      <c r="A382" s="11"/>
      <c r="B382" s="11"/>
      <c r="C382" s="24"/>
      <c r="D382" s="24"/>
      <c r="E382" s="51"/>
      <c r="F382" s="12"/>
      <c r="G382" s="76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3.5" customHeight="1">
      <c r="A383" s="11"/>
      <c r="B383" s="11"/>
      <c r="C383" s="24"/>
      <c r="D383" s="24"/>
      <c r="E383" s="51"/>
      <c r="F383" s="12"/>
      <c r="G383" s="76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3.5" customHeight="1">
      <c r="A384" s="11"/>
      <c r="B384" s="11"/>
      <c r="C384" s="24"/>
      <c r="D384" s="24"/>
      <c r="E384" s="51"/>
      <c r="F384" s="12"/>
      <c r="G384" s="76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3.5" customHeight="1">
      <c r="A385" s="11"/>
      <c r="B385" s="11"/>
      <c r="C385" s="24"/>
      <c r="D385" s="24"/>
      <c r="E385" s="51"/>
      <c r="F385" s="12"/>
      <c r="G385" s="76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3.5" customHeight="1">
      <c r="A386" s="11"/>
      <c r="B386" s="11"/>
      <c r="C386" s="24"/>
      <c r="D386" s="24"/>
      <c r="E386" s="51"/>
      <c r="F386" s="12"/>
      <c r="G386" s="76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3.5" customHeight="1">
      <c r="A387" s="11"/>
      <c r="B387" s="11"/>
      <c r="C387" s="24"/>
      <c r="D387" s="24"/>
      <c r="E387" s="51"/>
      <c r="F387" s="12"/>
      <c r="G387" s="76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3.5" customHeight="1">
      <c r="A388" s="11"/>
      <c r="B388" s="11"/>
      <c r="C388" s="24"/>
      <c r="D388" s="24"/>
      <c r="E388" s="51"/>
      <c r="F388" s="12"/>
      <c r="G388" s="76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3.5" customHeight="1">
      <c r="A389" s="11"/>
      <c r="B389" s="11"/>
      <c r="C389" s="24"/>
      <c r="D389" s="24"/>
      <c r="E389" s="51"/>
      <c r="F389" s="12"/>
      <c r="G389" s="76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3.5" customHeight="1">
      <c r="A390" s="11"/>
      <c r="B390" s="11"/>
      <c r="C390" s="24"/>
      <c r="D390" s="24"/>
      <c r="E390" s="51"/>
      <c r="F390" s="12"/>
      <c r="G390" s="76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3.5" customHeight="1">
      <c r="A391" s="11"/>
      <c r="B391" s="11"/>
      <c r="C391" s="24"/>
      <c r="D391" s="24"/>
      <c r="E391" s="51"/>
      <c r="F391" s="12"/>
      <c r="G391" s="76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3.5" customHeight="1">
      <c r="A392" s="11"/>
      <c r="B392" s="11"/>
      <c r="C392" s="24"/>
      <c r="D392" s="24"/>
      <c r="E392" s="51"/>
      <c r="F392" s="12"/>
      <c r="G392" s="76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3.5" customHeight="1">
      <c r="A393" s="11"/>
      <c r="B393" s="11"/>
      <c r="C393" s="24"/>
      <c r="D393" s="24"/>
      <c r="E393" s="51"/>
      <c r="F393" s="12"/>
      <c r="G393" s="76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3.5" customHeight="1">
      <c r="A394" s="11"/>
      <c r="B394" s="11"/>
      <c r="C394" s="24"/>
      <c r="D394" s="24"/>
      <c r="E394" s="51"/>
      <c r="F394" s="12"/>
      <c r="G394" s="76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3.5" customHeight="1">
      <c r="A395" s="11"/>
      <c r="B395" s="11"/>
      <c r="C395" s="24"/>
      <c r="D395" s="24"/>
      <c r="E395" s="51"/>
      <c r="F395" s="12"/>
      <c r="G395" s="76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3.5" customHeight="1">
      <c r="A396" s="11"/>
      <c r="B396" s="11"/>
      <c r="C396" s="24"/>
      <c r="D396" s="24"/>
      <c r="E396" s="51"/>
      <c r="F396" s="12"/>
      <c r="G396" s="76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3.5" customHeight="1">
      <c r="A397" s="11"/>
      <c r="B397" s="11"/>
      <c r="C397" s="24"/>
      <c r="D397" s="24"/>
      <c r="E397" s="51"/>
      <c r="F397" s="12"/>
      <c r="G397" s="76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3.5" customHeight="1">
      <c r="A398" s="11"/>
      <c r="B398" s="11"/>
      <c r="C398" s="24"/>
      <c r="D398" s="24"/>
      <c r="E398" s="51"/>
      <c r="F398" s="12"/>
      <c r="G398" s="76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3.5" customHeight="1">
      <c r="A399" s="11"/>
      <c r="B399" s="11"/>
      <c r="C399" s="24"/>
      <c r="D399" s="24"/>
      <c r="E399" s="51"/>
      <c r="F399" s="12"/>
      <c r="G399" s="76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3.5" customHeight="1">
      <c r="A400" s="11"/>
      <c r="B400" s="11"/>
      <c r="C400" s="24"/>
      <c r="D400" s="24"/>
      <c r="E400" s="51"/>
      <c r="F400" s="12"/>
      <c r="G400" s="76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3.5" customHeight="1">
      <c r="A401" s="11"/>
      <c r="B401" s="11"/>
      <c r="C401" s="24"/>
      <c r="D401" s="24"/>
      <c r="E401" s="51"/>
      <c r="F401" s="12"/>
      <c r="G401" s="76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3.5" customHeight="1">
      <c r="A402" s="11"/>
      <c r="B402" s="11"/>
      <c r="C402" s="24"/>
      <c r="D402" s="24"/>
      <c r="E402" s="51"/>
      <c r="F402" s="12"/>
      <c r="G402" s="76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3.5" customHeight="1">
      <c r="A403" s="11"/>
      <c r="B403" s="11"/>
      <c r="C403" s="24"/>
      <c r="D403" s="24"/>
      <c r="E403" s="51"/>
      <c r="F403" s="12"/>
      <c r="G403" s="76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3.5" customHeight="1">
      <c r="A404" s="11"/>
      <c r="B404" s="11"/>
      <c r="C404" s="24"/>
      <c r="D404" s="24"/>
      <c r="E404" s="51"/>
      <c r="F404" s="12"/>
      <c r="G404" s="76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3.5" customHeight="1">
      <c r="A405" s="11"/>
      <c r="B405" s="11"/>
      <c r="C405" s="24"/>
      <c r="D405" s="24"/>
      <c r="E405" s="51"/>
      <c r="F405" s="12"/>
      <c r="G405" s="76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3.5" customHeight="1">
      <c r="A406" s="11"/>
      <c r="B406" s="11"/>
      <c r="C406" s="24"/>
      <c r="D406" s="24"/>
      <c r="E406" s="51"/>
      <c r="F406" s="12"/>
      <c r="G406" s="76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3.5" customHeight="1">
      <c r="A407" s="11"/>
      <c r="B407" s="11"/>
      <c r="C407" s="24"/>
      <c r="D407" s="24"/>
      <c r="E407" s="51"/>
      <c r="F407" s="12"/>
      <c r="G407" s="76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3.5" customHeight="1">
      <c r="A408" s="11"/>
      <c r="B408" s="11"/>
      <c r="C408" s="24"/>
      <c r="D408" s="24"/>
      <c r="E408" s="51"/>
      <c r="F408" s="12"/>
      <c r="G408" s="76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3.5" customHeight="1">
      <c r="A409" s="11"/>
      <c r="B409" s="11"/>
      <c r="C409" s="24"/>
      <c r="D409" s="24"/>
      <c r="E409" s="51"/>
      <c r="F409" s="12"/>
      <c r="G409" s="76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3.5" customHeight="1">
      <c r="A410" s="11"/>
      <c r="B410" s="11"/>
      <c r="C410" s="24"/>
      <c r="D410" s="24"/>
      <c r="E410" s="51"/>
      <c r="F410" s="12"/>
      <c r="G410" s="76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3.5" customHeight="1">
      <c r="A411" s="11"/>
      <c r="B411" s="11"/>
      <c r="C411" s="24"/>
      <c r="D411" s="24"/>
      <c r="E411" s="51"/>
      <c r="F411" s="12"/>
      <c r="G411" s="76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3.5" customHeight="1">
      <c r="A412" s="11"/>
      <c r="B412" s="11"/>
      <c r="C412" s="24"/>
      <c r="D412" s="24"/>
      <c r="E412" s="51"/>
      <c r="F412" s="12"/>
      <c r="G412" s="76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3.5" customHeight="1">
      <c r="A413" s="11"/>
      <c r="B413" s="11"/>
      <c r="C413" s="24"/>
      <c r="D413" s="24"/>
      <c r="E413" s="51"/>
      <c r="F413" s="12"/>
      <c r="G413" s="76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3.5" customHeight="1">
      <c r="A414" s="11"/>
      <c r="B414" s="11"/>
      <c r="C414" s="24"/>
      <c r="D414" s="24"/>
      <c r="E414" s="51"/>
      <c r="F414" s="12"/>
      <c r="G414" s="76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3.5" customHeight="1">
      <c r="A415" s="11"/>
      <c r="B415" s="11"/>
      <c r="C415" s="24"/>
      <c r="D415" s="24"/>
      <c r="E415" s="51"/>
      <c r="F415" s="12"/>
      <c r="G415" s="76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3.5" customHeight="1">
      <c r="A416" s="11"/>
      <c r="B416" s="11"/>
      <c r="C416" s="24"/>
      <c r="D416" s="24"/>
      <c r="E416" s="51"/>
      <c r="F416" s="12"/>
      <c r="G416" s="76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3.5" customHeight="1">
      <c r="A417" s="11"/>
      <c r="B417" s="11"/>
      <c r="C417" s="24"/>
      <c r="D417" s="24"/>
      <c r="E417" s="51"/>
      <c r="F417" s="12"/>
      <c r="G417" s="76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3.5" customHeight="1">
      <c r="A418" s="11"/>
      <c r="B418" s="11"/>
      <c r="C418" s="24"/>
      <c r="D418" s="24"/>
      <c r="E418" s="51"/>
      <c r="F418" s="12"/>
      <c r="G418" s="76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3.5" customHeight="1">
      <c r="A419" s="11"/>
      <c r="B419" s="11"/>
      <c r="C419" s="24"/>
      <c r="D419" s="24"/>
      <c r="E419" s="51"/>
      <c r="F419" s="12"/>
      <c r="G419" s="76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3.5" customHeight="1">
      <c r="A420" s="11"/>
      <c r="B420" s="11"/>
      <c r="C420" s="24"/>
      <c r="D420" s="24"/>
      <c r="E420" s="51"/>
      <c r="F420" s="12"/>
      <c r="G420" s="76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3.5" customHeight="1">
      <c r="A421" s="11"/>
      <c r="B421" s="11"/>
      <c r="C421" s="24"/>
      <c r="D421" s="24"/>
      <c r="E421" s="51"/>
      <c r="F421" s="12"/>
      <c r="G421" s="76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3.5" customHeight="1">
      <c r="A422" s="11"/>
      <c r="B422" s="11"/>
      <c r="C422" s="24"/>
      <c r="D422" s="24"/>
      <c r="E422" s="51"/>
      <c r="F422" s="12"/>
      <c r="G422" s="76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3.5" customHeight="1">
      <c r="A423" s="11"/>
      <c r="B423" s="11"/>
      <c r="C423" s="24"/>
      <c r="D423" s="24"/>
      <c r="E423" s="51"/>
      <c r="F423" s="12"/>
      <c r="G423" s="76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3.5" customHeight="1">
      <c r="A424" s="11"/>
      <c r="B424" s="11"/>
      <c r="C424" s="24"/>
      <c r="D424" s="24"/>
      <c r="E424" s="51"/>
      <c r="F424" s="12"/>
      <c r="G424" s="76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3.5" customHeight="1">
      <c r="A425" s="11"/>
      <c r="B425" s="11"/>
      <c r="C425" s="24"/>
      <c r="D425" s="24"/>
      <c r="E425" s="51"/>
      <c r="F425" s="12"/>
      <c r="G425" s="76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3.5" customHeight="1">
      <c r="A426" s="11"/>
      <c r="B426" s="11"/>
      <c r="C426" s="24"/>
      <c r="D426" s="24"/>
      <c r="E426" s="51"/>
      <c r="F426" s="12"/>
      <c r="G426" s="76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3.5" customHeight="1">
      <c r="A427" s="11"/>
      <c r="B427" s="11"/>
      <c r="C427" s="24"/>
      <c r="D427" s="24"/>
      <c r="E427" s="51"/>
      <c r="F427" s="12"/>
      <c r="G427" s="76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3.5" customHeight="1">
      <c r="A428" s="11"/>
      <c r="B428" s="11"/>
      <c r="C428" s="24"/>
      <c r="D428" s="24"/>
      <c r="E428" s="51"/>
      <c r="F428" s="12"/>
      <c r="G428" s="76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3.5" customHeight="1">
      <c r="A429" s="11"/>
      <c r="B429" s="11"/>
      <c r="C429" s="24"/>
      <c r="D429" s="24"/>
      <c r="E429" s="51"/>
      <c r="F429" s="12"/>
      <c r="G429" s="76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3.5" customHeight="1">
      <c r="A430" s="11"/>
      <c r="B430" s="11"/>
      <c r="C430" s="24"/>
      <c r="D430" s="24"/>
      <c r="E430" s="51"/>
      <c r="F430" s="12"/>
      <c r="G430" s="76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3.5" customHeight="1">
      <c r="A431" s="11"/>
      <c r="B431" s="11"/>
      <c r="C431" s="24"/>
      <c r="D431" s="24"/>
      <c r="E431" s="51"/>
      <c r="F431" s="12"/>
      <c r="G431" s="76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3.5" customHeight="1">
      <c r="A432" s="11"/>
      <c r="B432" s="11"/>
      <c r="C432" s="24"/>
      <c r="D432" s="24"/>
      <c r="E432" s="51"/>
      <c r="F432" s="12"/>
      <c r="G432" s="76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3.5" customHeight="1">
      <c r="A433" s="11"/>
      <c r="B433" s="11"/>
      <c r="C433" s="24"/>
      <c r="D433" s="24"/>
      <c r="E433" s="51"/>
      <c r="F433" s="12"/>
      <c r="G433" s="76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3.5" customHeight="1">
      <c r="A434" s="11"/>
      <c r="B434" s="11"/>
      <c r="C434" s="24"/>
      <c r="D434" s="24"/>
      <c r="E434" s="51"/>
      <c r="F434" s="12"/>
      <c r="G434" s="76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3.5" customHeight="1">
      <c r="A435" s="11"/>
      <c r="B435" s="11"/>
      <c r="C435" s="24"/>
      <c r="D435" s="24"/>
      <c r="E435" s="51"/>
      <c r="F435" s="12"/>
      <c r="G435" s="76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3.5" customHeight="1">
      <c r="A436" s="11"/>
      <c r="B436" s="11"/>
      <c r="C436" s="24"/>
      <c r="D436" s="24"/>
      <c r="E436" s="51"/>
      <c r="F436" s="12"/>
      <c r="G436" s="76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3.5" customHeight="1">
      <c r="A437" s="11"/>
      <c r="B437" s="11"/>
      <c r="C437" s="24"/>
      <c r="D437" s="24"/>
      <c r="E437" s="51"/>
      <c r="F437" s="12"/>
      <c r="G437" s="76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3.5" customHeight="1">
      <c r="A438" s="11"/>
      <c r="B438" s="11"/>
      <c r="C438" s="24"/>
      <c r="D438" s="24"/>
      <c r="E438" s="51"/>
      <c r="F438" s="12"/>
      <c r="G438" s="76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3.5" customHeight="1">
      <c r="A439" s="11"/>
      <c r="B439" s="11"/>
      <c r="C439" s="24"/>
      <c r="D439" s="24"/>
      <c r="E439" s="51"/>
      <c r="F439" s="12"/>
      <c r="G439" s="76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3.5" customHeight="1">
      <c r="A440" s="11"/>
      <c r="B440" s="11"/>
      <c r="C440" s="24"/>
      <c r="D440" s="24"/>
      <c r="E440" s="51"/>
      <c r="F440" s="12"/>
      <c r="G440" s="76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3.5" customHeight="1">
      <c r="A441" s="11"/>
      <c r="B441" s="11"/>
      <c r="C441" s="24"/>
      <c r="D441" s="24"/>
      <c r="E441" s="51"/>
      <c r="F441" s="12"/>
      <c r="G441" s="76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3.5" customHeight="1">
      <c r="A442" s="11"/>
      <c r="B442" s="11"/>
      <c r="C442" s="24"/>
      <c r="D442" s="24"/>
      <c r="E442" s="51"/>
      <c r="F442" s="12"/>
      <c r="G442" s="76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3.5" customHeight="1">
      <c r="A443" s="11"/>
      <c r="B443" s="11"/>
      <c r="C443" s="24"/>
      <c r="D443" s="24"/>
      <c r="E443" s="51"/>
      <c r="F443" s="12"/>
      <c r="G443" s="76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3.5" customHeight="1">
      <c r="A444" s="11"/>
      <c r="B444" s="11"/>
      <c r="C444" s="24"/>
      <c r="D444" s="24"/>
      <c r="E444" s="51"/>
      <c r="F444" s="12"/>
      <c r="G444" s="76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3.5" customHeight="1">
      <c r="A445" s="11"/>
      <c r="B445" s="11"/>
      <c r="C445" s="24"/>
      <c r="D445" s="24"/>
      <c r="E445" s="51"/>
      <c r="F445" s="12"/>
      <c r="G445" s="76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3.5" customHeight="1">
      <c r="A446" s="11"/>
      <c r="B446" s="11"/>
      <c r="C446" s="24"/>
      <c r="D446" s="24"/>
      <c r="E446" s="51"/>
      <c r="F446" s="12"/>
      <c r="G446" s="76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3.5" customHeight="1">
      <c r="A447" s="11"/>
      <c r="B447" s="11"/>
      <c r="C447" s="24"/>
      <c r="D447" s="24"/>
      <c r="E447" s="51"/>
      <c r="F447" s="12"/>
      <c r="G447" s="76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3.5" customHeight="1">
      <c r="A448" s="11"/>
      <c r="B448" s="11"/>
      <c r="C448" s="24"/>
      <c r="D448" s="24"/>
      <c r="E448" s="51"/>
      <c r="F448" s="12"/>
      <c r="G448" s="76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3.5" customHeight="1">
      <c r="A449" s="11"/>
      <c r="B449" s="11"/>
      <c r="C449" s="24"/>
      <c r="D449" s="24"/>
      <c r="E449" s="51"/>
      <c r="F449" s="12"/>
      <c r="G449" s="76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3.5" customHeight="1">
      <c r="A450" s="11"/>
      <c r="B450" s="11"/>
      <c r="C450" s="24"/>
      <c r="D450" s="24"/>
      <c r="E450" s="51"/>
      <c r="F450" s="12"/>
      <c r="G450" s="76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3.5" customHeight="1">
      <c r="A451" s="11"/>
      <c r="B451" s="11"/>
      <c r="C451" s="24"/>
      <c r="D451" s="24"/>
      <c r="E451" s="51"/>
      <c r="F451" s="12"/>
      <c r="G451" s="76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3.5" customHeight="1">
      <c r="A452" s="11"/>
      <c r="B452" s="11"/>
      <c r="C452" s="24"/>
      <c r="D452" s="24"/>
      <c r="E452" s="51"/>
      <c r="F452" s="12"/>
      <c r="G452" s="76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3.5" customHeight="1">
      <c r="A453" s="11"/>
      <c r="B453" s="11"/>
      <c r="C453" s="24"/>
      <c r="D453" s="24"/>
      <c r="E453" s="51"/>
      <c r="F453" s="12"/>
      <c r="G453" s="76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3.5" customHeight="1">
      <c r="A454" s="11"/>
      <c r="B454" s="11"/>
      <c r="C454" s="24"/>
      <c r="D454" s="24"/>
      <c r="E454" s="51"/>
      <c r="F454" s="12"/>
      <c r="G454" s="76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3.5" customHeight="1">
      <c r="A455" s="11"/>
      <c r="B455" s="11"/>
      <c r="C455" s="24"/>
      <c r="D455" s="24"/>
      <c r="E455" s="51"/>
      <c r="F455" s="12"/>
      <c r="G455" s="76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3.5" customHeight="1">
      <c r="A456" s="11"/>
      <c r="B456" s="11"/>
      <c r="C456" s="24"/>
      <c r="D456" s="24"/>
      <c r="E456" s="51"/>
      <c r="F456" s="12"/>
      <c r="G456" s="76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3.5" customHeight="1">
      <c r="A457" s="11"/>
      <c r="B457" s="11"/>
      <c r="C457" s="24"/>
      <c r="D457" s="24"/>
      <c r="E457" s="51"/>
      <c r="F457" s="12"/>
      <c r="G457" s="76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3.5" customHeight="1">
      <c r="A458" s="11"/>
      <c r="B458" s="11"/>
      <c r="C458" s="24"/>
      <c r="D458" s="24"/>
      <c r="E458" s="51"/>
      <c r="F458" s="12"/>
      <c r="G458" s="76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3.5" customHeight="1">
      <c r="A459" s="11"/>
      <c r="B459" s="11"/>
      <c r="C459" s="24"/>
      <c r="D459" s="24"/>
      <c r="E459" s="51"/>
      <c r="F459" s="12"/>
      <c r="G459" s="76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3.5" customHeight="1">
      <c r="A460" s="11"/>
      <c r="B460" s="11"/>
      <c r="C460" s="24"/>
      <c r="D460" s="24"/>
      <c r="E460" s="51"/>
      <c r="F460" s="12"/>
      <c r="G460" s="76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3.5" customHeight="1">
      <c r="A461" s="11"/>
      <c r="B461" s="11"/>
      <c r="C461" s="24"/>
      <c r="D461" s="24"/>
      <c r="E461" s="51"/>
      <c r="F461" s="12"/>
      <c r="G461" s="76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3.5" customHeight="1">
      <c r="A462" s="11"/>
      <c r="B462" s="11"/>
      <c r="C462" s="24"/>
      <c r="D462" s="24"/>
      <c r="E462" s="51"/>
      <c r="F462" s="12"/>
      <c r="G462" s="76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3.5" customHeight="1">
      <c r="A463" s="11"/>
      <c r="B463" s="11"/>
      <c r="C463" s="24"/>
      <c r="D463" s="24"/>
      <c r="E463" s="51"/>
      <c r="F463" s="12"/>
      <c r="G463" s="76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3.5" customHeight="1">
      <c r="A464" s="11"/>
      <c r="B464" s="11"/>
      <c r="C464" s="24"/>
      <c r="D464" s="24"/>
      <c r="E464" s="51"/>
      <c r="F464" s="12"/>
      <c r="G464" s="76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3.5" customHeight="1">
      <c r="A465" s="11"/>
      <c r="B465" s="11"/>
      <c r="C465" s="24"/>
      <c r="D465" s="24"/>
      <c r="E465" s="51"/>
      <c r="F465" s="12"/>
      <c r="G465" s="76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3.5" customHeight="1">
      <c r="A466" s="11"/>
      <c r="B466" s="11"/>
      <c r="C466" s="24"/>
      <c r="D466" s="24"/>
      <c r="E466" s="51"/>
      <c r="F466" s="12"/>
      <c r="G466" s="76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3.5" customHeight="1">
      <c r="A467" s="11"/>
      <c r="B467" s="11"/>
      <c r="C467" s="24"/>
      <c r="D467" s="24"/>
      <c r="E467" s="51"/>
      <c r="F467" s="12"/>
      <c r="G467" s="76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3.5" customHeight="1">
      <c r="A468" s="11"/>
      <c r="B468" s="11"/>
      <c r="C468" s="24"/>
      <c r="D468" s="24"/>
      <c r="E468" s="51"/>
      <c r="F468" s="12"/>
      <c r="G468" s="76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3.5" customHeight="1">
      <c r="A469" s="11"/>
      <c r="B469" s="11"/>
      <c r="C469" s="24"/>
      <c r="D469" s="24"/>
      <c r="E469" s="51"/>
      <c r="F469" s="12"/>
      <c r="G469" s="76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3.5" customHeight="1">
      <c r="A470" s="11"/>
      <c r="B470" s="11"/>
      <c r="C470" s="24"/>
      <c r="D470" s="24"/>
      <c r="E470" s="51"/>
      <c r="F470" s="12"/>
      <c r="G470" s="76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3.5" customHeight="1">
      <c r="A471" s="11"/>
      <c r="B471" s="11"/>
      <c r="C471" s="24"/>
      <c r="D471" s="24"/>
      <c r="E471" s="51"/>
      <c r="F471" s="12"/>
      <c r="G471" s="76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3.5" customHeight="1">
      <c r="A472" s="11"/>
      <c r="B472" s="11"/>
      <c r="C472" s="24"/>
      <c r="D472" s="24"/>
      <c r="E472" s="51"/>
      <c r="F472" s="12"/>
      <c r="G472" s="76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3.5" customHeight="1">
      <c r="A473" s="11"/>
      <c r="B473" s="11"/>
      <c r="C473" s="24"/>
      <c r="D473" s="24"/>
      <c r="E473" s="51"/>
      <c r="F473" s="12"/>
      <c r="G473" s="76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3.5" customHeight="1">
      <c r="A474" s="11"/>
      <c r="B474" s="11"/>
      <c r="C474" s="24"/>
      <c r="D474" s="24"/>
      <c r="E474" s="51"/>
      <c r="F474" s="12"/>
      <c r="G474" s="76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3.5" customHeight="1">
      <c r="A475" s="11"/>
      <c r="B475" s="11"/>
      <c r="C475" s="24"/>
      <c r="D475" s="24"/>
      <c r="E475" s="51"/>
      <c r="F475" s="12"/>
      <c r="G475" s="76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3.5" customHeight="1">
      <c r="A476" s="11"/>
      <c r="B476" s="11"/>
      <c r="C476" s="24"/>
      <c r="D476" s="24"/>
      <c r="E476" s="51"/>
      <c r="F476" s="12"/>
      <c r="G476" s="76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3.5" customHeight="1">
      <c r="A477" s="11"/>
      <c r="B477" s="11"/>
      <c r="C477" s="24"/>
      <c r="D477" s="24"/>
      <c r="E477" s="51"/>
      <c r="F477" s="12"/>
      <c r="G477" s="76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3.5" customHeight="1">
      <c r="A478" s="11"/>
      <c r="B478" s="11"/>
      <c r="C478" s="24"/>
      <c r="D478" s="24"/>
      <c r="E478" s="51"/>
      <c r="F478" s="12"/>
      <c r="G478" s="76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3.5" customHeight="1">
      <c r="A479" s="11"/>
      <c r="B479" s="11"/>
      <c r="C479" s="24"/>
      <c r="D479" s="24"/>
      <c r="E479" s="51"/>
      <c r="F479" s="12"/>
      <c r="G479" s="76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3.5" customHeight="1">
      <c r="A480" s="11"/>
      <c r="B480" s="11"/>
      <c r="C480" s="24"/>
      <c r="D480" s="24"/>
      <c r="E480" s="51"/>
      <c r="F480" s="12"/>
      <c r="G480" s="76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3.5" customHeight="1">
      <c r="A481" s="11"/>
      <c r="B481" s="11"/>
      <c r="C481" s="24"/>
      <c r="D481" s="24"/>
      <c r="E481" s="51"/>
      <c r="F481" s="12"/>
      <c r="G481" s="76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3.5" customHeight="1">
      <c r="A482" s="11"/>
      <c r="B482" s="11"/>
      <c r="C482" s="24"/>
      <c r="D482" s="24"/>
      <c r="E482" s="51"/>
      <c r="F482" s="12"/>
      <c r="G482" s="76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3.5" customHeight="1">
      <c r="A483" s="11"/>
      <c r="B483" s="11"/>
      <c r="C483" s="24"/>
      <c r="D483" s="24"/>
      <c r="E483" s="51"/>
      <c r="F483" s="12"/>
      <c r="G483" s="76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3.5" customHeight="1">
      <c r="A484" s="11"/>
      <c r="B484" s="11"/>
      <c r="C484" s="24"/>
      <c r="D484" s="24"/>
      <c r="E484" s="51"/>
      <c r="F484" s="12"/>
      <c r="G484" s="76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3.5" customHeight="1">
      <c r="A485" s="11"/>
      <c r="B485" s="11"/>
      <c r="C485" s="24"/>
      <c r="D485" s="24"/>
      <c r="E485" s="51"/>
      <c r="F485" s="12"/>
      <c r="G485" s="76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3.5" customHeight="1">
      <c r="A486" s="11"/>
      <c r="B486" s="11"/>
      <c r="C486" s="24"/>
      <c r="D486" s="24"/>
      <c r="E486" s="51"/>
      <c r="F486" s="12"/>
      <c r="G486" s="76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3.5" customHeight="1">
      <c r="A487" s="11"/>
      <c r="B487" s="11"/>
      <c r="C487" s="24"/>
      <c r="D487" s="24"/>
      <c r="E487" s="51"/>
      <c r="F487" s="12"/>
      <c r="G487" s="76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3.5" customHeight="1">
      <c r="A488" s="11"/>
      <c r="B488" s="11"/>
      <c r="C488" s="24"/>
      <c r="D488" s="24"/>
      <c r="E488" s="51"/>
      <c r="F488" s="12"/>
      <c r="G488" s="76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3.5" customHeight="1">
      <c r="A489" s="11"/>
      <c r="B489" s="11"/>
      <c r="C489" s="24"/>
      <c r="D489" s="24"/>
      <c r="E489" s="51"/>
      <c r="F489" s="12"/>
      <c r="G489" s="76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3.5" customHeight="1">
      <c r="A490" s="11"/>
      <c r="B490" s="11"/>
      <c r="C490" s="24"/>
      <c r="D490" s="24"/>
      <c r="E490" s="51"/>
      <c r="F490" s="12"/>
      <c r="G490" s="76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3.5" customHeight="1">
      <c r="A491" s="11"/>
      <c r="B491" s="11"/>
      <c r="C491" s="24"/>
      <c r="D491" s="24"/>
      <c r="E491" s="51"/>
      <c r="F491" s="12"/>
      <c r="G491" s="76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3.5" customHeight="1">
      <c r="A492" s="11"/>
      <c r="B492" s="11"/>
      <c r="C492" s="24"/>
      <c r="D492" s="24"/>
      <c r="E492" s="51"/>
      <c r="F492" s="12"/>
      <c r="G492" s="76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3.5" customHeight="1">
      <c r="A493" s="11"/>
      <c r="B493" s="11"/>
      <c r="C493" s="24"/>
      <c r="D493" s="24"/>
      <c r="E493" s="51"/>
      <c r="F493" s="12"/>
      <c r="G493" s="76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3.5" customHeight="1">
      <c r="A494" s="11"/>
      <c r="B494" s="11"/>
      <c r="C494" s="24"/>
      <c r="D494" s="24"/>
      <c r="E494" s="51"/>
      <c r="F494" s="12"/>
      <c r="G494" s="76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3.5" customHeight="1">
      <c r="A495" s="11"/>
      <c r="B495" s="11"/>
      <c r="C495" s="24"/>
      <c r="D495" s="24"/>
      <c r="E495" s="51"/>
      <c r="F495" s="12"/>
      <c r="G495" s="76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3.5" customHeight="1">
      <c r="A496" s="11"/>
      <c r="B496" s="11"/>
      <c r="C496" s="24"/>
      <c r="D496" s="24"/>
      <c r="E496" s="51"/>
      <c r="F496" s="12"/>
      <c r="G496" s="76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3.5" customHeight="1">
      <c r="A497" s="11"/>
      <c r="B497" s="11"/>
      <c r="C497" s="24"/>
      <c r="D497" s="24"/>
      <c r="E497" s="51"/>
      <c r="F497" s="12"/>
      <c r="G497" s="76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3.5" customHeight="1">
      <c r="A498" s="11"/>
      <c r="B498" s="11"/>
      <c r="C498" s="24"/>
      <c r="D498" s="24"/>
      <c r="E498" s="51"/>
      <c r="F498" s="12"/>
      <c r="G498" s="76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3.5" customHeight="1">
      <c r="A499" s="11"/>
      <c r="B499" s="11"/>
      <c r="C499" s="24"/>
      <c r="D499" s="24"/>
      <c r="E499" s="51"/>
      <c r="F499" s="12"/>
      <c r="G499" s="76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3.5" customHeight="1">
      <c r="A500" s="11"/>
      <c r="B500" s="11"/>
      <c r="C500" s="24"/>
      <c r="D500" s="24"/>
      <c r="E500" s="51"/>
      <c r="F500" s="12"/>
      <c r="G500" s="76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3.5" customHeight="1">
      <c r="A501" s="11"/>
      <c r="B501" s="11"/>
      <c r="C501" s="24"/>
      <c r="D501" s="24"/>
      <c r="E501" s="51"/>
      <c r="F501" s="12"/>
      <c r="G501" s="76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3.5" customHeight="1">
      <c r="A502" s="11"/>
      <c r="B502" s="11"/>
      <c r="C502" s="24"/>
      <c r="D502" s="24"/>
      <c r="E502" s="51"/>
      <c r="F502" s="12"/>
      <c r="G502" s="76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3.5" customHeight="1">
      <c r="A503" s="11"/>
      <c r="B503" s="11"/>
      <c r="C503" s="24"/>
      <c r="D503" s="24"/>
      <c r="E503" s="51"/>
      <c r="F503" s="12"/>
      <c r="G503" s="76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3.5" customHeight="1">
      <c r="A504" s="11"/>
      <c r="B504" s="11"/>
      <c r="C504" s="24"/>
      <c r="D504" s="24"/>
      <c r="E504" s="51"/>
      <c r="F504" s="12"/>
      <c r="G504" s="76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3.5" customHeight="1">
      <c r="A505" s="11"/>
      <c r="B505" s="11"/>
      <c r="C505" s="24"/>
      <c r="D505" s="24"/>
      <c r="E505" s="51"/>
      <c r="F505" s="12"/>
      <c r="G505" s="76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3.5" customHeight="1">
      <c r="A506" s="11"/>
      <c r="B506" s="11"/>
      <c r="C506" s="24"/>
      <c r="D506" s="24"/>
      <c r="E506" s="51"/>
      <c r="F506" s="12"/>
      <c r="G506" s="76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3.5" customHeight="1">
      <c r="A507" s="11"/>
      <c r="B507" s="11"/>
      <c r="C507" s="24"/>
      <c r="D507" s="24"/>
      <c r="E507" s="51"/>
      <c r="F507" s="12"/>
      <c r="G507" s="76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3.5" customHeight="1">
      <c r="A508" s="11"/>
      <c r="B508" s="11"/>
      <c r="C508" s="24"/>
      <c r="D508" s="24"/>
      <c r="E508" s="51"/>
      <c r="F508" s="12"/>
      <c r="G508" s="76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3.5" customHeight="1">
      <c r="A509" s="11"/>
      <c r="B509" s="11"/>
      <c r="C509" s="24"/>
      <c r="D509" s="24"/>
      <c r="E509" s="51"/>
      <c r="F509" s="12"/>
      <c r="G509" s="76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3.5" customHeight="1">
      <c r="A510" s="11"/>
      <c r="B510" s="11"/>
      <c r="C510" s="24"/>
      <c r="D510" s="24"/>
      <c r="E510" s="51"/>
      <c r="F510" s="12"/>
      <c r="G510" s="76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3.5" customHeight="1">
      <c r="A511" s="11"/>
      <c r="B511" s="11"/>
      <c r="C511" s="24"/>
      <c r="D511" s="24"/>
      <c r="E511" s="51"/>
      <c r="F511" s="12"/>
      <c r="G511" s="76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3.5" customHeight="1">
      <c r="A512" s="11"/>
      <c r="B512" s="11"/>
      <c r="C512" s="24"/>
      <c r="D512" s="24"/>
      <c r="E512" s="51"/>
      <c r="F512" s="12"/>
      <c r="G512" s="76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3.5" customHeight="1">
      <c r="A513" s="11"/>
      <c r="B513" s="11"/>
      <c r="C513" s="24"/>
      <c r="D513" s="24"/>
      <c r="E513" s="51"/>
      <c r="F513" s="12"/>
      <c r="G513" s="76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3.5" customHeight="1">
      <c r="A514" s="11"/>
      <c r="B514" s="11"/>
      <c r="C514" s="24"/>
      <c r="D514" s="24"/>
      <c r="E514" s="51"/>
      <c r="F514" s="12"/>
      <c r="G514" s="76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3.5" customHeight="1">
      <c r="A515" s="11"/>
      <c r="B515" s="11"/>
      <c r="C515" s="24"/>
      <c r="D515" s="24"/>
      <c r="E515" s="51"/>
      <c r="F515" s="12"/>
      <c r="G515" s="76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3.5" customHeight="1">
      <c r="A516" s="11"/>
      <c r="B516" s="11"/>
      <c r="C516" s="24"/>
      <c r="D516" s="24"/>
      <c r="E516" s="51"/>
      <c r="F516" s="12"/>
      <c r="G516" s="76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3.5" customHeight="1">
      <c r="A517" s="11"/>
      <c r="B517" s="11"/>
      <c r="C517" s="24"/>
      <c r="D517" s="24"/>
      <c r="E517" s="51"/>
      <c r="F517" s="12"/>
      <c r="G517" s="76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3.5" customHeight="1">
      <c r="A518" s="11"/>
      <c r="B518" s="11"/>
      <c r="C518" s="24"/>
      <c r="D518" s="24"/>
      <c r="E518" s="51"/>
      <c r="F518" s="12"/>
      <c r="G518" s="76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3.5" customHeight="1">
      <c r="A519" s="11"/>
      <c r="B519" s="11"/>
      <c r="C519" s="24"/>
      <c r="D519" s="24"/>
      <c r="E519" s="51"/>
      <c r="F519" s="12"/>
      <c r="G519" s="76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3.5" customHeight="1">
      <c r="A520" s="11"/>
      <c r="B520" s="11"/>
      <c r="C520" s="24"/>
      <c r="D520" s="24"/>
      <c r="E520" s="51"/>
      <c r="F520" s="12"/>
      <c r="G520" s="76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3.5" customHeight="1">
      <c r="A521" s="11"/>
      <c r="B521" s="11"/>
      <c r="C521" s="24"/>
      <c r="D521" s="24"/>
      <c r="E521" s="51"/>
      <c r="F521" s="12"/>
      <c r="G521" s="76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3.5" customHeight="1">
      <c r="A522" s="11"/>
      <c r="B522" s="11"/>
      <c r="C522" s="24"/>
      <c r="D522" s="24"/>
      <c r="E522" s="51"/>
      <c r="F522" s="12"/>
      <c r="G522" s="76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3.5" customHeight="1">
      <c r="A523" s="11"/>
      <c r="B523" s="11"/>
      <c r="C523" s="24"/>
      <c r="D523" s="24"/>
      <c r="E523" s="51"/>
      <c r="F523" s="12"/>
      <c r="G523" s="76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3.5" customHeight="1">
      <c r="A524" s="11"/>
      <c r="B524" s="11"/>
      <c r="C524" s="24"/>
      <c r="D524" s="24"/>
      <c r="E524" s="51"/>
      <c r="F524" s="12"/>
      <c r="G524" s="76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3.5" customHeight="1">
      <c r="A525" s="11"/>
      <c r="B525" s="11"/>
      <c r="C525" s="24"/>
      <c r="D525" s="24"/>
      <c r="E525" s="51"/>
      <c r="F525" s="12"/>
      <c r="G525" s="76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3.5" customHeight="1">
      <c r="A526" s="11"/>
      <c r="B526" s="11"/>
      <c r="C526" s="24"/>
      <c r="D526" s="24"/>
      <c r="E526" s="51"/>
      <c r="F526" s="12"/>
      <c r="G526" s="76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3.5" customHeight="1">
      <c r="A527" s="11"/>
      <c r="B527" s="11"/>
      <c r="C527" s="24"/>
      <c r="D527" s="24"/>
      <c r="E527" s="51"/>
      <c r="F527" s="12"/>
      <c r="G527" s="76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3.5" customHeight="1">
      <c r="A528" s="11"/>
      <c r="B528" s="11"/>
      <c r="C528" s="24"/>
      <c r="D528" s="24"/>
      <c r="E528" s="51"/>
      <c r="F528" s="12"/>
      <c r="G528" s="76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3.5" customHeight="1">
      <c r="A529" s="11"/>
      <c r="B529" s="11"/>
      <c r="C529" s="24"/>
      <c r="D529" s="24"/>
      <c r="E529" s="51"/>
      <c r="F529" s="12"/>
      <c r="G529" s="76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3.5" customHeight="1">
      <c r="A530" s="11"/>
      <c r="B530" s="11"/>
      <c r="C530" s="24"/>
      <c r="D530" s="24"/>
      <c r="E530" s="51"/>
      <c r="F530" s="12"/>
      <c r="G530" s="76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3.5" customHeight="1">
      <c r="A531" s="11"/>
      <c r="B531" s="11"/>
      <c r="C531" s="24"/>
      <c r="D531" s="24"/>
      <c r="E531" s="51"/>
      <c r="F531" s="12"/>
      <c r="G531" s="76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3.5" customHeight="1">
      <c r="A532" s="11"/>
      <c r="B532" s="11"/>
      <c r="C532" s="24"/>
      <c r="D532" s="24"/>
      <c r="E532" s="51"/>
      <c r="F532" s="12"/>
      <c r="G532" s="76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3.5" customHeight="1">
      <c r="A533" s="11"/>
      <c r="B533" s="11"/>
      <c r="C533" s="24"/>
      <c r="D533" s="24"/>
      <c r="E533" s="51"/>
      <c r="F533" s="12"/>
      <c r="G533" s="76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3.5" customHeight="1">
      <c r="A534" s="11"/>
      <c r="B534" s="11"/>
      <c r="C534" s="24"/>
      <c r="D534" s="24"/>
      <c r="E534" s="51"/>
      <c r="F534" s="12"/>
      <c r="G534" s="76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3.5" customHeight="1">
      <c r="A535" s="11"/>
      <c r="B535" s="11"/>
      <c r="C535" s="24"/>
      <c r="D535" s="24"/>
      <c r="E535" s="51"/>
      <c r="F535" s="12"/>
      <c r="G535" s="76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3.5" customHeight="1">
      <c r="A536" s="11"/>
      <c r="B536" s="11"/>
      <c r="C536" s="24"/>
      <c r="D536" s="24"/>
      <c r="E536" s="51"/>
      <c r="F536" s="12"/>
      <c r="G536" s="76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3.5" customHeight="1">
      <c r="A537" s="11"/>
      <c r="B537" s="11"/>
      <c r="C537" s="24"/>
      <c r="D537" s="24"/>
      <c r="E537" s="51"/>
      <c r="F537" s="12"/>
      <c r="G537" s="76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3.5" customHeight="1">
      <c r="A538" s="11"/>
      <c r="B538" s="11"/>
      <c r="C538" s="24"/>
      <c r="D538" s="24"/>
      <c r="E538" s="51"/>
      <c r="F538" s="12"/>
      <c r="G538" s="76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3.5" customHeight="1">
      <c r="A539" s="11"/>
      <c r="B539" s="11"/>
      <c r="C539" s="24"/>
      <c r="D539" s="24"/>
      <c r="E539" s="51"/>
      <c r="F539" s="12"/>
      <c r="G539" s="76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3.5" customHeight="1">
      <c r="A540" s="11"/>
      <c r="B540" s="11"/>
      <c r="C540" s="24"/>
      <c r="D540" s="24"/>
      <c r="E540" s="51"/>
      <c r="F540" s="12"/>
      <c r="G540" s="76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3.5" customHeight="1">
      <c r="A541" s="11"/>
      <c r="B541" s="11"/>
      <c r="C541" s="24"/>
      <c r="D541" s="24"/>
      <c r="E541" s="51"/>
      <c r="F541" s="12"/>
      <c r="G541" s="76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3.5" customHeight="1">
      <c r="A542" s="11"/>
      <c r="B542" s="11"/>
      <c r="C542" s="24"/>
      <c r="D542" s="24"/>
      <c r="E542" s="51"/>
      <c r="F542" s="12"/>
      <c r="G542" s="76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3.5" customHeight="1">
      <c r="A543" s="11"/>
      <c r="B543" s="11"/>
      <c r="C543" s="24"/>
      <c r="D543" s="24"/>
      <c r="E543" s="51"/>
      <c r="F543" s="12"/>
      <c r="G543" s="76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3.5" customHeight="1">
      <c r="A544" s="11"/>
      <c r="B544" s="11"/>
      <c r="C544" s="24"/>
      <c r="D544" s="24"/>
      <c r="E544" s="51"/>
      <c r="F544" s="12"/>
      <c r="G544" s="76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3.5" customHeight="1">
      <c r="A545" s="11"/>
      <c r="B545" s="11"/>
      <c r="C545" s="24"/>
      <c r="D545" s="24"/>
      <c r="E545" s="51"/>
      <c r="F545" s="12"/>
      <c r="G545" s="76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3.5" customHeight="1">
      <c r="A546" s="11"/>
      <c r="B546" s="11"/>
      <c r="C546" s="24"/>
      <c r="D546" s="24"/>
      <c r="E546" s="51"/>
      <c r="F546" s="12"/>
      <c r="G546" s="76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3.5" customHeight="1">
      <c r="A547" s="11"/>
      <c r="B547" s="11"/>
      <c r="C547" s="24"/>
      <c r="D547" s="24"/>
      <c r="E547" s="51"/>
      <c r="F547" s="12"/>
      <c r="G547" s="76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3.5" customHeight="1">
      <c r="A548" s="11"/>
      <c r="B548" s="11"/>
      <c r="C548" s="24"/>
      <c r="D548" s="24"/>
      <c r="E548" s="51"/>
      <c r="F548" s="12"/>
      <c r="G548" s="76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3.5" customHeight="1">
      <c r="A549" s="11"/>
      <c r="B549" s="11"/>
      <c r="C549" s="24"/>
      <c r="D549" s="24"/>
      <c r="E549" s="51"/>
      <c r="F549" s="12"/>
      <c r="G549" s="76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3.5" customHeight="1">
      <c r="A550" s="11"/>
      <c r="B550" s="11"/>
      <c r="C550" s="24"/>
      <c r="D550" s="24"/>
      <c r="E550" s="51"/>
      <c r="F550" s="12"/>
      <c r="G550" s="76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3.5" customHeight="1">
      <c r="A551" s="11"/>
      <c r="B551" s="11"/>
      <c r="C551" s="24"/>
      <c r="D551" s="24"/>
      <c r="E551" s="51"/>
      <c r="F551" s="12"/>
      <c r="G551" s="76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3.5" customHeight="1">
      <c r="A552" s="11"/>
      <c r="B552" s="11"/>
      <c r="C552" s="24"/>
      <c r="D552" s="24"/>
      <c r="E552" s="51"/>
      <c r="F552" s="12"/>
      <c r="G552" s="76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3.5" customHeight="1">
      <c r="A553" s="11"/>
      <c r="B553" s="11"/>
      <c r="C553" s="24"/>
      <c r="D553" s="24"/>
      <c r="E553" s="51"/>
      <c r="F553" s="12"/>
      <c r="G553" s="76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3.5" customHeight="1">
      <c r="A554" s="11"/>
      <c r="B554" s="11"/>
      <c r="C554" s="24"/>
      <c r="D554" s="24"/>
      <c r="E554" s="51"/>
      <c r="F554" s="12"/>
      <c r="G554" s="76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3.5" customHeight="1">
      <c r="A555" s="11"/>
      <c r="B555" s="11"/>
      <c r="C555" s="24"/>
      <c r="D555" s="24"/>
      <c r="E555" s="51"/>
      <c r="F555" s="12"/>
      <c r="G555" s="76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3.5" customHeight="1">
      <c r="A556" s="11"/>
      <c r="B556" s="11"/>
      <c r="C556" s="24"/>
      <c r="D556" s="24"/>
      <c r="E556" s="51"/>
      <c r="F556" s="12"/>
      <c r="G556" s="76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3.5" customHeight="1">
      <c r="A557" s="11"/>
      <c r="B557" s="11"/>
      <c r="C557" s="24"/>
      <c r="D557" s="24"/>
      <c r="E557" s="51"/>
      <c r="F557" s="12"/>
      <c r="G557" s="76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3.5" customHeight="1">
      <c r="A558" s="11"/>
      <c r="B558" s="11"/>
      <c r="C558" s="24"/>
      <c r="D558" s="24"/>
      <c r="E558" s="51"/>
      <c r="F558" s="12"/>
      <c r="G558" s="76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3.5" customHeight="1">
      <c r="A559" s="11"/>
      <c r="B559" s="11"/>
      <c r="C559" s="24"/>
      <c r="D559" s="24"/>
      <c r="E559" s="51"/>
      <c r="F559" s="12"/>
      <c r="G559" s="76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3.5" customHeight="1">
      <c r="A560" s="11"/>
      <c r="B560" s="11"/>
      <c r="C560" s="24"/>
      <c r="D560" s="24"/>
      <c r="E560" s="51"/>
      <c r="F560" s="12"/>
      <c r="G560" s="76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3.5" customHeight="1">
      <c r="A561" s="11"/>
      <c r="B561" s="11"/>
      <c r="C561" s="24"/>
      <c r="D561" s="24"/>
      <c r="E561" s="51"/>
      <c r="F561" s="12"/>
      <c r="G561" s="76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3.5" customHeight="1">
      <c r="A562" s="11"/>
      <c r="B562" s="11"/>
      <c r="C562" s="24"/>
      <c r="D562" s="24"/>
      <c r="E562" s="51"/>
      <c r="F562" s="12"/>
      <c r="G562" s="76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3.5" customHeight="1">
      <c r="A563" s="11"/>
      <c r="B563" s="11"/>
      <c r="C563" s="24"/>
      <c r="D563" s="24"/>
      <c r="E563" s="51"/>
      <c r="F563" s="12"/>
      <c r="G563" s="76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3.5" customHeight="1">
      <c r="A564" s="11"/>
      <c r="B564" s="11"/>
      <c r="C564" s="24"/>
      <c r="D564" s="24"/>
      <c r="E564" s="51"/>
      <c r="F564" s="12"/>
      <c r="G564" s="76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3.5" customHeight="1">
      <c r="A565" s="11"/>
      <c r="B565" s="11"/>
      <c r="C565" s="24"/>
      <c r="D565" s="24"/>
      <c r="E565" s="51"/>
      <c r="F565" s="12"/>
      <c r="G565" s="76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3.5" customHeight="1">
      <c r="A566" s="11"/>
      <c r="B566" s="11"/>
      <c r="C566" s="24"/>
      <c r="D566" s="24"/>
      <c r="E566" s="51"/>
      <c r="F566" s="12"/>
      <c r="G566" s="76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3.5" customHeight="1">
      <c r="A567" s="11"/>
      <c r="B567" s="11"/>
      <c r="C567" s="24"/>
      <c r="D567" s="24"/>
      <c r="E567" s="51"/>
      <c r="F567" s="12"/>
      <c r="G567" s="76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3.5" customHeight="1">
      <c r="A568" s="11"/>
      <c r="B568" s="11"/>
      <c r="C568" s="24"/>
      <c r="D568" s="24"/>
      <c r="E568" s="51"/>
      <c r="F568" s="12"/>
      <c r="G568" s="76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3.5" customHeight="1">
      <c r="A569" s="11"/>
      <c r="B569" s="11"/>
      <c r="C569" s="24"/>
      <c r="D569" s="24"/>
      <c r="E569" s="51"/>
      <c r="F569" s="12"/>
      <c r="G569" s="76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3.5" customHeight="1">
      <c r="A570" s="11"/>
      <c r="B570" s="11"/>
      <c r="C570" s="24"/>
      <c r="D570" s="24"/>
      <c r="E570" s="51"/>
      <c r="F570" s="12"/>
      <c r="G570" s="76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3.5" customHeight="1">
      <c r="A571" s="11"/>
      <c r="B571" s="11"/>
      <c r="C571" s="24"/>
      <c r="D571" s="24"/>
      <c r="E571" s="51"/>
      <c r="F571" s="12"/>
      <c r="G571" s="76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3.5" customHeight="1">
      <c r="A572" s="11"/>
      <c r="B572" s="11"/>
      <c r="C572" s="24"/>
      <c r="D572" s="24"/>
      <c r="E572" s="51"/>
      <c r="F572" s="12"/>
      <c r="G572" s="76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3.5" customHeight="1">
      <c r="A573" s="11"/>
      <c r="B573" s="11"/>
      <c r="C573" s="24"/>
      <c r="D573" s="24"/>
      <c r="E573" s="51"/>
      <c r="F573" s="12"/>
      <c r="G573" s="76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3.5" customHeight="1">
      <c r="A574" s="11"/>
      <c r="B574" s="11"/>
      <c r="C574" s="24"/>
      <c r="D574" s="24"/>
      <c r="E574" s="51"/>
      <c r="F574" s="12"/>
      <c r="G574" s="76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3.5" customHeight="1">
      <c r="A575" s="11"/>
      <c r="B575" s="11"/>
      <c r="C575" s="24"/>
      <c r="D575" s="24"/>
      <c r="E575" s="51"/>
      <c r="F575" s="12"/>
      <c r="G575" s="76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3.5" customHeight="1">
      <c r="A576" s="11"/>
      <c r="B576" s="11"/>
      <c r="C576" s="24"/>
      <c r="D576" s="24"/>
      <c r="E576" s="51"/>
      <c r="F576" s="12"/>
      <c r="G576" s="76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3.5" customHeight="1">
      <c r="A577" s="11"/>
      <c r="B577" s="11"/>
      <c r="C577" s="24"/>
      <c r="D577" s="24"/>
      <c r="E577" s="51"/>
      <c r="F577" s="12"/>
      <c r="G577" s="76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3.5" customHeight="1">
      <c r="A578" s="11"/>
      <c r="B578" s="11"/>
      <c r="C578" s="24"/>
      <c r="D578" s="24"/>
      <c r="E578" s="51"/>
      <c r="F578" s="12"/>
      <c r="G578" s="76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3.5" customHeight="1">
      <c r="A579" s="11"/>
      <c r="B579" s="11"/>
      <c r="C579" s="24"/>
      <c r="D579" s="24"/>
      <c r="E579" s="51"/>
      <c r="F579" s="12"/>
      <c r="G579" s="76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3.5" customHeight="1">
      <c r="A580" s="11"/>
      <c r="B580" s="11"/>
      <c r="C580" s="24"/>
      <c r="D580" s="24"/>
      <c r="E580" s="51"/>
      <c r="F580" s="12"/>
      <c r="G580" s="76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3.5" customHeight="1">
      <c r="A581" s="11"/>
      <c r="B581" s="11"/>
      <c r="C581" s="24"/>
      <c r="D581" s="24"/>
      <c r="E581" s="51"/>
      <c r="F581" s="12"/>
      <c r="G581" s="76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3.5" customHeight="1">
      <c r="A582" s="11"/>
      <c r="B582" s="11"/>
      <c r="C582" s="24"/>
      <c r="D582" s="24"/>
      <c r="E582" s="51"/>
      <c r="F582" s="12"/>
      <c r="G582" s="76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3.5" customHeight="1">
      <c r="A583" s="11"/>
      <c r="B583" s="11"/>
      <c r="C583" s="24"/>
      <c r="D583" s="24"/>
      <c r="E583" s="51"/>
      <c r="F583" s="12"/>
      <c r="G583" s="76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3.5" customHeight="1">
      <c r="A584" s="11"/>
      <c r="B584" s="11"/>
      <c r="C584" s="24"/>
      <c r="D584" s="24"/>
      <c r="E584" s="51"/>
      <c r="F584" s="12"/>
      <c r="G584" s="76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3.5" customHeight="1">
      <c r="A585" s="11"/>
      <c r="B585" s="11"/>
      <c r="C585" s="24"/>
      <c r="D585" s="24"/>
      <c r="E585" s="51"/>
      <c r="F585" s="12"/>
      <c r="G585" s="76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3.5" customHeight="1">
      <c r="A586" s="11"/>
      <c r="B586" s="11"/>
      <c r="C586" s="24"/>
      <c r="D586" s="24"/>
      <c r="E586" s="51"/>
      <c r="F586" s="12"/>
      <c r="G586" s="76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3.5" customHeight="1">
      <c r="A587" s="11"/>
      <c r="B587" s="11"/>
      <c r="C587" s="24"/>
      <c r="D587" s="24"/>
      <c r="E587" s="51"/>
      <c r="F587" s="12"/>
      <c r="G587" s="76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3.5" customHeight="1">
      <c r="A588" s="11"/>
      <c r="B588" s="11"/>
      <c r="C588" s="24"/>
      <c r="D588" s="24"/>
      <c r="E588" s="51"/>
      <c r="F588" s="12"/>
      <c r="G588" s="76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3.5" customHeight="1">
      <c r="A589" s="11"/>
      <c r="B589" s="11"/>
      <c r="C589" s="24"/>
      <c r="D589" s="24"/>
      <c r="E589" s="51"/>
      <c r="F589" s="12"/>
      <c r="G589" s="76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3.5" customHeight="1">
      <c r="A590" s="11"/>
      <c r="B590" s="11"/>
      <c r="C590" s="24"/>
      <c r="D590" s="24"/>
      <c r="E590" s="51"/>
      <c r="F590" s="12"/>
      <c r="G590" s="76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3.5" customHeight="1">
      <c r="A591" s="11"/>
      <c r="B591" s="11"/>
      <c r="C591" s="24"/>
      <c r="D591" s="24"/>
      <c r="E591" s="51"/>
      <c r="F591" s="12"/>
      <c r="G591" s="76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3.5" customHeight="1">
      <c r="A592" s="11"/>
      <c r="B592" s="11"/>
      <c r="C592" s="24"/>
      <c r="D592" s="24"/>
      <c r="E592" s="51"/>
      <c r="F592" s="12"/>
      <c r="G592" s="76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3.5" customHeight="1">
      <c r="A593" s="11"/>
      <c r="B593" s="11"/>
      <c r="C593" s="24"/>
      <c r="D593" s="24"/>
      <c r="E593" s="51"/>
      <c r="F593" s="12"/>
      <c r="G593" s="76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3.5" customHeight="1">
      <c r="A594" s="11"/>
      <c r="B594" s="11"/>
      <c r="C594" s="24"/>
      <c r="D594" s="24"/>
      <c r="E594" s="51"/>
      <c r="F594" s="12"/>
      <c r="G594" s="76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3.5" customHeight="1">
      <c r="A595" s="11"/>
      <c r="B595" s="11"/>
      <c r="C595" s="24"/>
      <c r="D595" s="24"/>
      <c r="E595" s="51"/>
      <c r="F595" s="12"/>
      <c r="G595" s="76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3.5" customHeight="1">
      <c r="A596" s="11"/>
      <c r="B596" s="11"/>
      <c r="C596" s="24"/>
      <c r="D596" s="24"/>
      <c r="E596" s="51"/>
      <c r="F596" s="12"/>
      <c r="G596" s="76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3.5" customHeight="1">
      <c r="A597" s="11"/>
      <c r="B597" s="11"/>
      <c r="C597" s="24"/>
      <c r="D597" s="24"/>
      <c r="E597" s="51"/>
      <c r="F597" s="12"/>
      <c r="G597" s="76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3.5" customHeight="1">
      <c r="A598" s="11"/>
      <c r="B598" s="11"/>
      <c r="C598" s="24"/>
      <c r="D598" s="24"/>
      <c r="E598" s="51"/>
      <c r="F598" s="12"/>
      <c r="G598" s="76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3.5" customHeight="1">
      <c r="A599" s="11"/>
      <c r="B599" s="11"/>
      <c r="C599" s="24"/>
      <c r="D599" s="24"/>
      <c r="E599" s="51"/>
      <c r="F599" s="12"/>
      <c r="G599" s="76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3.5" customHeight="1">
      <c r="A600" s="11"/>
      <c r="B600" s="11"/>
      <c r="C600" s="24"/>
      <c r="D600" s="24"/>
      <c r="E600" s="51"/>
      <c r="F600" s="12"/>
      <c r="G600" s="76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3.5" customHeight="1">
      <c r="A601" s="11"/>
      <c r="B601" s="11"/>
      <c r="C601" s="24"/>
      <c r="D601" s="24"/>
      <c r="E601" s="51"/>
      <c r="F601" s="12"/>
      <c r="G601" s="76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3.5" customHeight="1">
      <c r="A602" s="11"/>
      <c r="B602" s="11"/>
      <c r="C602" s="24"/>
      <c r="D602" s="24"/>
      <c r="E602" s="51"/>
      <c r="F602" s="12"/>
      <c r="G602" s="76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3.5" customHeight="1">
      <c r="A603" s="11"/>
      <c r="B603" s="11"/>
      <c r="C603" s="24"/>
      <c r="D603" s="24"/>
      <c r="E603" s="51"/>
      <c r="F603" s="12"/>
      <c r="G603" s="76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3.5" customHeight="1">
      <c r="A604" s="11"/>
      <c r="B604" s="11"/>
      <c r="C604" s="24"/>
      <c r="D604" s="24"/>
      <c r="E604" s="51"/>
      <c r="F604" s="12"/>
      <c r="G604" s="76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3.5" customHeight="1">
      <c r="A605" s="11"/>
      <c r="B605" s="11"/>
      <c r="C605" s="24"/>
      <c r="D605" s="24"/>
      <c r="E605" s="51"/>
      <c r="F605" s="12"/>
      <c r="G605" s="76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3.5" customHeight="1">
      <c r="A606" s="11"/>
      <c r="B606" s="11"/>
      <c r="C606" s="24"/>
      <c r="D606" s="24"/>
      <c r="E606" s="51"/>
      <c r="F606" s="12"/>
      <c r="G606" s="76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3.5" customHeight="1">
      <c r="A607" s="11"/>
      <c r="B607" s="11"/>
      <c r="C607" s="24"/>
      <c r="D607" s="24"/>
      <c r="E607" s="51"/>
      <c r="F607" s="12"/>
      <c r="G607" s="76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3.5" customHeight="1">
      <c r="A608" s="11"/>
      <c r="B608" s="11"/>
      <c r="C608" s="24"/>
      <c r="D608" s="24"/>
      <c r="E608" s="51"/>
      <c r="F608" s="12"/>
      <c r="G608" s="76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3.5" customHeight="1">
      <c r="A609" s="11"/>
      <c r="B609" s="11"/>
      <c r="C609" s="24"/>
      <c r="D609" s="24"/>
      <c r="E609" s="51"/>
      <c r="F609" s="12"/>
      <c r="G609" s="76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3.5" customHeight="1">
      <c r="A610" s="11"/>
      <c r="B610" s="11"/>
      <c r="C610" s="24"/>
      <c r="D610" s="24"/>
      <c r="E610" s="51"/>
      <c r="F610" s="12"/>
      <c r="G610" s="76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3.5" customHeight="1">
      <c r="A611" s="11"/>
      <c r="B611" s="11"/>
      <c r="C611" s="24"/>
      <c r="D611" s="24"/>
      <c r="E611" s="51"/>
      <c r="F611" s="12"/>
      <c r="G611" s="76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3.5" customHeight="1">
      <c r="A612" s="11"/>
      <c r="B612" s="11"/>
      <c r="C612" s="24"/>
      <c r="D612" s="24"/>
      <c r="E612" s="51"/>
      <c r="F612" s="12"/>
      <c r="G612" s="76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3.5" customHeight="1">
      <c r="A613" s="11"/>
      <c r="B613" s="11"/>
      <c r="C613" s="24"/>
      <c r="D613" s="24"/>
      <c r="E613" s="51"/>
      <c r="F613" s="12"/>
      <c r="G613" s="76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3.5" customHeight="1">
      <c r="A614" s="11"/>
      <c r="B614" s="11"/>
      <c r="C614" s="24"/>
      <c r="D614" s="24"/>
      <c r="E614" s="51"/>
      <c r="F614" s="12"/>
      <c r="G614" s="76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3.5" customHeight="1">
      <c r="A615" s="11"/>
      <c r="B615" s="11"/>
      <c r="C615" s="24"/>
      <c r="D615" s="24"/>
      <c r="E615" s="51"/>
      <c r="F615" s="12"/>
      <c r="G615" s="76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3.5" customHeight="1">
      <c r="A616" s="11"/>
      <c r="B616" s="11"/>
      <c r="C616" s="24"/>
      <c r="D616" s="24"/>
      <c r="E616" s="51"/>
      <c r="F616" s="12"/>
      <c r="G616" s="76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3.5" customHeight="1">
      <c r="A617" s="11"/>
      <c r="B617" s="11"/>
      <c r="C617" s="24"/>
      <c r="D617" s="24"/>
      <c r="E617" s="51"/>
      <c r="F617" s="12"/>
      <c r="G617" s="76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3.5" customHeight="1">
      <c r="A618" s="11"/>
      <c r="B618" s="11"/>
      <c r="C618" s="24"/>
      <c r="D618" s="24"/>
      <c r="E618" s="51"/>
      <c r="F618" s="12"/>
      <c r="G618" s="76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3.5" customHeight="1">
      <c r="A619" s="11"/>
      <c r="B619" s="11"/>
      <c r="C619" s="24"/>
      <c r="D619" s="24"/>
      <c r="E619" s="51"/>
      <c r="F619" s="12"/>
      <c r="G619" s="76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3.5" customHeight="1">
      <c r="A620" s="11"/>
      <c r="B620" s="11"/>
      <c r="C620" s="24"/>
      <c r="D620" s="24"/>
      <c r="E620" s="51"/>
      <c r="F620" s="12"/>
      <c r="G620" s="76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3.5" customHeight="1">
      <c r="A621" s="11"/>
      <c r="B621" s="11"/>
      <c r="C621" s="24"/>
      <c r="D621" s="24"/>
      <c r="E621" s="51"/>
      <c r="F621" s="12"/>
      <c r="G621" s="76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3.5" customHeight="1">
      <c r="A622" s="11"/>
      <c r="B622" s="11"/>
      <c r="C622" s="24"/>
      <c r="D622" s="24"/>
      <c r="E622" s="51"/>
      <c r="F622" s="12"/>
      <c r="G622" s="76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3.5" customHeight="1">
      <c r="A623" s="11"/>
      <c r="B623" s="11"/>
      <c r="C623" s="24"/>
      <c r="D623" s="24"/>
      <c r="E623" s="51"/>
      <c r="F623" s="12"/>
      <c r="G623" s="76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3.5" customHeight="1">
      <c r="A624" s="11"/>
      <c r="B624" s="11"/>
      <c r="C624" s="24"/>
      <c r="D624" s="24"/>
      <c r="E624" s="51"/>
      <c r="F624" s="12"/>
      <c r="G624" s="76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3.5" customHeight="1">
      <c r="A625" s="11"/>
      <c r="B625" s="11"/>
      <c r="C625" s="24"/>
      <c r="D625" s="24"/>
      <c r="E625" s="51"/>
      <c r="F625" s="12"/>
      <c r="G625" s="76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3.5" customHeight="1">
      <c r="A626" s="11"/>
      <c r="B626" s="11"/>
      <c r="C626" s="24"/>
      <c r="D626" s="24"/>
      <c r="E626" s="51"/>
      <c r="F626" s="12"/>
      <c r="G626" s="76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3.5" customHeight="1">
      <c r="A627" s="11"/>
      <c r="B627" s="11"/>
      <c r="C627" s="24"/>
      <c r="D627" s="24"/>
      <c r="E627" s="51"/>
      <c r="F627" s="12"/>
      <c r="G627" s="76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3.5" customHeight="1">
      <c r="A628" s="11"/>
      <c r="B628" s="11"/>
      <c r="C628" s="24"/>
      <c r="D628" s="24"/>
      <c r="E628" s="51"/>
      <c r="F628" s="12"/>
      <c r="G628" s="76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3.5" customHeight="1">
      <c r="A629" s="11"/>
      <c r="B629" s="11"/>
      <c r="C629" s="24"/>
      <c r="D629" s="24"/>
      <c r="E629" s="51"/>
      <c r="F629" s="12"/>
      <c r="G629" s="76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3.5" customHeight="1">
      <c r="A630" s="11"/>
      <c r="B630" s="11"/>
      <c r="C630" s="24"/>
      <c r="D630" s="24"/>
      <c r="E630" s="51"/>
      <c r="F630" s="12"/>
      <c r="G630" s="76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3.5" customHeight="1">
      <c r="A631" s="11"/>
      <c r="B631" s="11"/>
      <c r="C631" s="24"/>
      <c r="D631" s="24"/>
      <c r="E631" s="51"/>
      <c r="F631" s="12"/>
      <c r="G631" s="76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3.5" customHeight="1">
      <c r="A632" s="11"/>
      <c r="B632" s="11"/>
      <c r="C632" s="24"/>
      <c r="D632" s="24"/>
      <c r="E632" s="51"/>
      <c r="F632" s="12"/>
      <c r="G632" s="76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3.5" customHeight="1">
      <c r="A633" s="11"/>
      <c r="B633" s="11"/>
      <c r="C633" s="24"/>
      <c r="D633" s="24"/>
      <c r="E633" s="51"/>
      <c r="F633" s="12"/>
      <c r="G633" s="76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3.5" customHeight="1">
      <c r="A634" s="11"/>
      <c r="B634" s="11"/>
      <c r="C634" s="24"/>
      <c r="D634" s="24"/>
      <c r="E634" s="51"/>
      <c r="F634" s="12"/>
      <c r="G634" s="76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3.5" customHeight="1">
      <c r="A635" s="11"/>
      <c r="B635" s="11"/>
      <c r="C635" s="24"/>
      <c r="D635" s="24"/>
      <c r="E635" s="51"/>
      <c r="F635" s="12"/>
      <c r="G635" s="76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3.5" customHeight="1">
      <c r="A636" s="11"/>
      <c r="B636" s="11"/>
      <c r="C636" s="24"/>
      <c r="D636" s="24"/>
      <c r="E636" s="51"/>
      <c r="F636" s="12"/>
      <c r="G636" s="76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3.5" customHeight="1">
      <c r="A637" s="11"/>
      <c r="B637" s="11"/>
      <c r="C637" s="24"/>
      <c r="D637" s="24"/>
      <c r="E637" s="51"/>
      <c r="F637" s="12"/>
      <c r="G637" s="76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3.5" customHeight="1">
      <c r="A638" s="11"/>
      <c r="B638" s="11"/>
      <c r="C638" s="24"/>
      <c r="D638" s="24"/>
      <c r="E638" s="51"/>
      <c r="F638" s="12"/>
      <c r="G638" s="76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3.5" customHeight="1">
      <c r="A639" s="11"/>
      <c r="B639" s="11"/>
      <c r="C639" s="24"/>
      <c r="D639" s="24"/>
      <c r="E639" s="51"/>
      <c r="F639" s="12"/>
      <c r="G639" s="76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3.5" customHeight="1">
      <c r="A640" s="11"/>
      <c r="B640" s="11"/>
      <c r="C640" s="24"/>
      <c r="D640" s="24"/>
      <c r="E640" s="51"/>
      <c r="F640" s="12"/>
      <c r="G640" s="76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3.5" customHeight="1">
      <c r="A641" s="11"/>
      <c r="B641" s="11"/>
      <c r="C641" s="24"/>
      <c r="D641" s="24"/>
      <c r="E641" s="51"/>
      <c r="F641" s="12"/>
      <c r="G641" s="76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3.5" customHeight="1">
      <c r="A642" s="11"/>
      <c r="B642" s="11"/>
      <c r="C642" s="24"/>
      <c r="D642" s="24"/>
      <c r="E642" s="51"/>
      <c r="F642" s="12"/>
      <c r="G642" s="76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3.5" customHeight="1">
      <c r="A643" s="11"/>
      <c r="B643" s="11"/>
      <c r="C643" s="24"/>
      <c r="D643" s="24"/>
      <c r="E643" s="51"/>
      <c r="F643" s="12"/>
      <c r="G643" s="76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3.5" customHeight="1">
      <c r="A644" s="11"/>
      <c r="B644" s="11"/>
      <c r="C644" s="24"/>
      <c r="D644" s="24"/>
      <c r="E644" s="51"/>
      <c r="F644" s="12"/>
      <c r="G644" s="76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3.5" customHeight="1">
      <c r="A645" s="11"/>
      <c r="B645" s="11"/>
      <c r="C645" s="24"/>
      <c r="D645" s="24"/>
      <c r="E645" s="51"/>
      <c r="F645" s="12"/>
      <c r="G645" s="76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3.5" customHeight="1">
      <c r="A646" s="11"/>
      <c r="B646" s="11"/>
      <c r="C646" s="24"/>
      <c r="D646" s="24"/>
      <c r="E646" s="51"/>
      <c r="F646" s="12"/>
      <c r="G646" s="76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3.5" customHeight="1">
      <c r="A647" s="11"/>
      <c r="B647" s="11"/>
      <c r="C647" s="24"/>
      <c r="D647" s="24"/>
      <c r="E647" s="51"/>
      <c r="F647" s="12"/>
      <c r="G647" s="76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3.5" customHeight="1">
      <c r="A648" s="11"/>
      <c r="B648" s="11"/>
      <c r="C648" s="24"/>
      <c r="D648" s="24"/>
      <c r="E648" s="51"/>
      <c r="F648" s="12"/>
      <c r="G648" s="76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3.5" customHeight="1">
      <c r="A649" s="11"/>
      <c r="B649" s="11"/>
      <c r="C649" s="24"/>
      <c r="D649" s="24"/>
      <c r="E649" s="51"/>
      <c r="F649" s="12"/>
      <c r="G649" s="76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3.5" customHeight="1">
      <c r="A650" s="11"/>
      <c r="B650" s="11"/>
      <c r="C650" s="24"/>
      <c r="D650" s="24"/>
      <c r="E650" s="51"/>
      <c r="F650" s="12"/>
      <c r="G650" s="76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3.5" customHeight="1">
      <c r="A651" s="11"/>
      <c r="B651" s="11"/>
      <c r="C651" s="24"/>
      <c r="D651" s="24"/>
      <c r="E651" s="51"/>
      <c r="F651" s="12"/>
      <c r="G651" s="76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3.5" customHeight="1">
      <c r="A652" s="11"/>
      <c r="B652" s="11"/>
      <c r="C652" s="24"/>
      <c r="D652" s="24"/>
      <c r="E652" s="51"/>
      <c r="F652" s="12"/>
      <c r="G652" s="76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3.5" customHeight="1">
      <c r="A653" s="11"/>
      <c r="B653" s="11"/>
      <c r="C653" s="24"/>
      <c r="D653" s="24"/>
      <c r="E653" s="51"/>
      <c r="F653" s="12"/>
      <c r="G653" s="76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3.5" customHeight="1">
      <c r="A654" s="11"/>
      <c r="B654" s="11"/>
      <c r="C654" s="24"/>
      <c r="D654" s="24"/>
      <c r="E654" s="51"/>
      <c r="F654" s="12"/>
      <c r="G654" s="76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3.5" customHeight="1">
      <c r="A655" s="11"/>
      <c r="B655" s="11"/>
      <c r="C655" s="24"/>
      <c r="D655" s="24"/>
      <c r="E655" s="51"/>
      <c r="F655" s="12"/>
      <c r="G655" s="76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3.5" customHeight="1">
      <c r="A656" s="11"/>
      <c r="B656" s="11"/>
      <c r="C656" s="24"/>
      <c r="D656" s="24"/>
      <c r="E656" s="51"/>
      <c r="F656" s="12"/>
      <c r="G656" s="76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3.5" customHeight="1">
      <c r="A657" s="11"/>
      <c r="B657" s="11"/>
      <c r="C657" s="24"/>
      <c r="D657" s="24"/>
      <c r="E657" s="51"/>
      <c r="F657" s="12"/>
      <c r="G657" s="76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3.5" customHeight="1">
      <c r="A658" s="11"/>
      <c r="B658" s="11"/>
      <c r="C658" s="24"/>
      <c r="D658" s="24"/>
      <c r="E658" s="51"/>
      <c r="F658" s="12"/>
      <c r="G658" s="76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3.5" customHeight="1">
      <c r="A659" s="11"/>
      <c r="B659" s="11"/>
      <c r="C659" s="24"/>
      <c r="D659" s="24"/>
      <c r="E659" s="51"/>
      <c r="F659" s="12"/>
      <c r="G659" s="76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3.5" customHeight="1">
      <c r="A660" s="11"/>
      <c r="B660" s="11"/>
      <c r="C660" s="24"/>
      <c r="D660" s="24"/>
      <c r="E660" s="51"/>
      <c r="F660" s="12"/>
      <c r="G660" s="76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3.5" customHeight="1">
      <c r="A661" s="11"/>
      <c r="B661" s="11"/>
      <c r="C661" s="24"/>
      <c r="D661" s="24"/>
      <c r="E661" s="51"/>
      <c r="F661" s="12"/>
      <c r="G661" s="76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3.5" customHeight="1">
      <c r="A662" s="11"/>
      <c r="B662" s="11"/>
      <c r="C662" s="24"/>
      <c r="D662" s="24"/>
      <c r="E662" s="51"/>
      <c r="F662" s="12"/>
      <c r="G662" s="76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3.5" customHeight="1">
      <c r="A663" s="11"/>
      <c r="B663" s="11"/>
      <c r="C663" s="24"/>
      <c r="D663" s="24"/>
      <c r="E663" s="51"/>
      <c r="F663" s="12"/>
      <c r="G663" s="76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3.5" customHeight="1">
      <c r="A664" s="11"/>
      <c r="B664" s="11"/>
      <c r="C664" s="24"/>
      <c r="D664" s="24"/>
      <c r="E664" s="51"/>
      <c r="F664" s="12"/>
      <c r="G664" s="76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3.5" customHeight="1">
      <c r="A665" s="11"/>
      <c r="B665" s="11"/>
      <c r="C665" s="24"/>
      <c r="D665" s="24"/>
      <c r="E665" s="51"/>
      <c r="F665" s="12"/>
      <c r="G665" s="76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3.5" customHeight="1">
      <c r="A666" s="11"/>
      <c r="B666" s="11"/>
      <c r="C666" s="24"/>
      <c r="D666" s="24"/>
      <c r="E666" s="51"/>
      <c r="F666" s="12"/>
      <c r="G666" s="76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3.5" customHeight="1">
      <c r="A667" s="11"/>
      <c r="B667" s="11"/>
      <c r="C667" s="24"/>
      <c r="D667" s="24"/>
      <c r="E667" s="51"/>
      <c r="F667" s="12"/>
      <c r="G667" s="76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3.5" customHeight="1">
      <c r="A668" s="11"/>
      <c r="B668" s="11"/>
      <c r="C668" s="24"/>
      <c r="D668" s="24"/>
      <c r="E668" s="51"/>
      <c r="F668" s="12"/>
      <c r="G668" s="76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3.5" customHeight="1">
      <c r="A669" s="11"/>
      <c r="B669" s="11"/>
      <c r="C669" s="24"/>
      <c r="D669" s="24"/>
      <c r="E669" s="51"/>
      <c r="F669" s="12"/>
      <c r="G669" s="76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3.5" customHeight="1">
      <c r="A670" s="11"/>
      <c r="B670" s="11"/>
      <c r="C670" s="24"/>
      <c r="D670" s="24"/>
      <c r="E670" s="51"/>
      <c r="F670" s="12"/>
      <c r="G670" s="76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3.5" customHeight="1">
      <c r="A671" s="11"/>
      <c r="B671" s="11"/>
      <c r="C671" s="24"/>
      <c r="D671" s="24"/>
      <c r="E671" s="51"/>
      <c r="F671" s="12"/>
      <c r="G671" s="76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3.5" customHeight="1">
      <c r="A672" s="11"/>
      <c r="B672" s="11"/>
      <c r="C672" s="24"/>
      <c r="D672" s="24"/>
      <c r="E672" s="51"/>
      <c r="F672" s="12"/>
      <c r="G672" s="76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3.5" customHeight="1">
      <c r="A673" s="11"/>
      <c r="B673" s="11"/>
      <c r="C673" s="24"/>
      <c r="D673" s="24"/>
      <c r="E673" s="51"/>
      <c r="F673" s="12"/>
      <c r="G673" s="76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3.5" customHeight="1">
      <c r="A674" s="11"/>
      <c r="B674" s="11"/>
      <c r="C674" s="24"/>
      <c r="D674" s="24"/>
      <c r="E674" s="51"/>
      <c r="F674" s="12"/>
      <c r="G674" s="76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3.5" customHeight="1">
      <c r="A675" s="11"/>
      <c r="B675" s="11"/>
      <c r="C675" s="24"/>
      <c r="D675" s="24"/>
      <c r="E675" s="51"/>
      <c r="F675" s="12"/>
      <c r="G675" s="76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3.5" customHeight="1">
      <c r="A676" s="11"/>
      <c r="B676" s="11"/>
      <c r="C676" s="24"/>
      <c r="D676" s="24"/>
      <c r="E676" s="51"/>
      <c r="F676" s="12"/>
      <c r="G676" s="76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3.5" customHeight="1">
      <c r="A677" s="11"/>
      <c r="B677" s="11"/>
      <c r="C677" s="24"/>
      <c r="D677" s="24"/>
      <c r="E677" s="51"/>
      <c r="F677" s="12"/>
      <c r="G677" s="76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3.5" customHeight="1">
      <c r="A678" s="11"/>
      <c r="B678" s="11"/>
      <c r="C678" s="24"/>
      <c r="D678" s="24"/>
      <c r="E678" s="51"/>
      <c r="F678" s="12"/>
      <c r="G678" s="76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3.5" customHeight="1">
      <c r="A679" s="11"/>
      <c r="B679" s="11"/>
      <c r="C679" s="24"/>
      <c r="D679" s="24"/>
      <c r="E679" s="51"/>
      <c r="F679" s="12"/>
      <c r="G679" s="76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3.5" customHeight="1">
      <c r="A680" s="11"/>
      <c r="B680" s="11"/>
      <c r="C680" s="24"/>
      <c r="D680" s="24"/>
      <c r="E680" s="51"/>
      <c r="F680" s="12"/>
      <c r="G680" s="76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3.5" customHeight="1">
      <c r="A681" s="11"/>
      <c r="B681" s="11"/>
      <c r="C681" s="24"/>
      <c r="D681" s="24"/>
      <c r="E681" s="51"/>
      <c r="F681" s="12"/>
      <c r="G681" s="76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3.5" customHeight="1">
      <c r="A682" s="11"/>
      <c r="B682" s="11"/>
      <c r="C682" s="24"/>
      <c r="D682" s="24"/>
      <c r="E682" s="51"/>
      <c r="F682" s="12"/>
      <c r="G682" s="76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3.5" customHeight="1">
      <c r="A683" s="11"/>
      <c r="B683" s="11"/>
      <c r="C683" s="24"/>
      <c r="D683" s="24"/>
      <c r="E683" s="51"/>
      <c r="F683" s="12"/>
      <c r="G683" s="76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3.5" customHeight="1">
      <c r="A684" s="11"/>
      <c r="B684" s="11"/>
      <c r="C684" s="24"/>
      <c r="D684" s="24"/>
      <c r="E684" s="51"/>
      <c r="F684" s="12"/>
      <c r="G684" s="76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3.5" customHeight="1">
      <c r="A685" s="11"/>
      <c r="B685" s="11"/>
      <c r="C685" s="24"/>
      <c r="D685" s="24"/>
      <c r="E685" s="51"/>
      <c r="F685" s="12"/>
      <c r="G685" s="76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3.5" customHeight="1">
      <c r="A686" s="11"/>
      <c r="B686" s="11"/>
      <c r="C686" s="24"/>
      <c r="D686" s="24"/>
      <c r="E686" s="51"/>
      <c r="F686" s="12"/>
      <c r="G686" s="76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3.5" customHeight="1">
      <c r="A687" s="11"/>
      <c r="B687" s="11"/>
      <c r="C687" s="24"/>
      <c r="D687" s="24"/>
      <c r="E687" s="51"/>
      <c r="F687" s="12"/>
      <c r="G687" s="76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3.5" customHeight="1">
      <c r="A688" s="11"/>
      <c r="B688" s="11"/>
      <c r="C688" s="24"/>
      <c r="D688" s="24"/>
      <c r="E688" s="51"/>
      <c r="F688" s="12"/>
      <c r="G688" s="76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3.5" customHeight="1">
      <c r="A689" s="11"/>
      <c r="B689" s="11"/>
      <c r="C689" s="24"/>
      <c r="D689" s="24"/>
      <c r="E689" s="51"/>
      <c r="F689" s="12"/>
      <c r="G689" s="76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3.5" customHeight="1">
      <c r="A690" s="11"/>
      <c r="B690" s="11"/>
      <c r="C690" s="24"/>
      <c r="D690" s="24"/>
      <c r="E690" s="51"/>
      <c r="F690" s="12"/>
      <c r="G690" s="76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3.5" customHeight="1">
      <c r="A691" s="11"/>
      <c r="B691" s="11"/>
      <c r="C691" s="24"/>
      <c r="D691" s="24"/>
      <c r="E691" s="51"/>
      <c r="F691" s="12"/>
      <c r="G691" s="76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3.5" customHeight="1">
      <c r="A692" s="11"/>
      <c r="B692" s="11"/>
      <c r="C692" s="24"/>
      <c r="D692" s="24"/>
      <c r="E692" s="51"/>
      <c r="F692" s="12"/>
      <c r="G692" s="76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3.5" customHeight="1">
      <c r="A693" s="11"/>
      <c r="B693" s="11"/>
      <c r="C693" s="24"/>
      <c r="D693" s="24"/>
      <c r="E693" s="51"/>
      <c r="F693" s="12"/>
      <c r="G693" s="76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3.5" customHeight="1">
      <c r="A694" s="11"/>
      <c r="B694" s="11"/>
      <c r="C694" s="24"/>
      <c r="D694" s="24"/>
      <c r="E694" s="51"/>
      <c r="F694" s="12"/>
      <c r="G694" s="76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3.5" customHeight="1">
      <c r="A695" s="11"/>
      <c r="B695" s="11"/>
      <c r="C695" s="24"/>
      <c r="D695" s="24"/>
      <c r="E695" s="51"/>
      <c r="F695" s="12"/>
      <c r="G695" s="76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3.5" customHeight="1">
      <c r="A696" s="11"/>
      <c r="B696" s="11"/>
      <c r="C696" s="24"/>
      <c r="D696" s="24"/>
      <c r="E696" s="51"/>
      <c r="F696" s="12"/>
      <c r="G696" s="76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3.5" customHeight="1">
      <c r="A697" s="11"/>
      <c r="B697" s="11"/>
      <c r="C697" s="24"/>
      <c r="D697" s="24"/>
      <c r="E697" s="51"/>
      <c r="F697" s="12"/>
      <c r="G697" s="76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3.5" customHeight="1">
      <c r="A698" s="11"/>
      <c r="B698" s="11"/>
      <c r="C698" s="24"/>
      <c r="D698" s="24"/>
      <c r="E698" s="51"/>
      <c r="F698" s="12"/>
      <c r="G698" s="76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3.5" customHeight="1">
      <c r="A699" s="11"/>
      <c r="B699" s="11"/>
      <c r="C699" s="24"/>
      <c r="D699" s="24"/>
      <c r="E699" s="51"/>
      <c r="F699" s="12"/>
      <c r="G699" s="76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3.5" customHeight="1">
      <c r="A700" s="11"/>
      <c r="B700" s="11"/>
      <c r="C700" s="24"/>
      <c r="D700" s="24"/>
      <c r="E700" s="51"/>
      <c r="F700" s="12"/>
      <c r="G700" s="76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3.5" customHeight="1">
      <c r="A701" s="11"/>
      <c r="B701" s="11"/>
      <c r="C701" s="24"/>
      <c r="D701" s="24"/>
      <c r="E701" s="51"/>
      <c r="F701" s="12"/>
      <c r="G701" s="76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3.5" customHeight="1">
      <c r="A702" s="11"/>
      <c r="B702" s="11"/>
      <c r="C702" s="24"/>
      <c r="D702" s="24"/>
      <c r="E702" s="51"/>
      <c r="F702" s="12"/>
      <c r="G702" s="76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3.5" customHeight="1">
      <c r="A703" s="11"/>
      <c r="B703" s="11"/>
      <c r="C703" s="24"/>
      <c r="D703" s="24"/>
      <c r="E703" s="51"/>
      <c r="F703" s="12"/>
      <c r="G703" s="76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3.5" customHeight="1">
      <c r="A704" s="11"/>
      <c r="B704" s="11"/>
      <c r="C704" s="24"/>
      <c r="D704" s="24"/>
      <c r="E704" s="51"/>
      <c r="F704" s="12"/>
      <c r="G704" s="76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3.5" customHeight="1">
      <c r="A705" s="11"/>
      <c r="B705" s="11"/>
      <c r="C705" s="24"/>
      <c r="D705" s="24"/>
      <c r="E705" s="51"/>
      <c r="F705" s="12"/>
      <c r="G705" s="76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3.5" customHeight="1">
      <c r="A706" s="11"/>
      <c r="B706" s="11"/>
      <c r="C706" s="24"/>
      <c r="D706" s="24"/>
      <c r="E706" s="51"/>
      <c r="F706" s="12"/>
      <c r="G706" s="76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3.5" customHeight="1">
      <c r="A707" s="11"/>
      <c r="B707" s="11"/>
      <c r="C707" s="24"/>
      <c r="D707" s="24"/>
      <c r="E707" s="51"/>
      <c r="F707" s="12"/>
      <c r="G707" s="76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3.5" customHeight="1">
      <c r="A708" s="11"/>
      <c r="B708" s="11"/>
      <c r="C708" s="24"/>
      <c r="D708" s="24"/>
      <c r="E708" s="51"/>
      <c r="F708" s="12"/>
      <c r="G708" s="76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3.5" customHeight="1">
      <c r="A709" s="11"/>
      <c r="B709" s="11"/>
      <c r="C709" s="24"/>
      <c r="D709" s="24"/>
      <c r="E709" s="51"/>
      <c r="F709" s="12"/>
      <c r="G709" s="76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3.5" customHeight="1">
      <c r="A710" s="11"/>
      <c r="B710" s="11"/>
      <c r="C710" s="24"/>
      <c r="D710" s="24"/>
      <c r="E710" s="51"/>
      <c r="F710" s="12"/>
      <c r="G710" s="76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3.5" customHeight="1">
      <c r="A711" s="11"/>
      <c r="B711" s="11"/>
      <c r="C711" s="24"/>
      <c r="D711" s="24"/>
      <c r="E711" s="51"/>
      <c r="F711" s="12"/>
      <c r="G711" s="76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3.5" customHeight="1">
      <c r="A712" s="11"/>
      <c r="B712" s="11"/>
      <c r="C712" s="24"/>
      <c r="D712" s="24"/>
      <c r="E712" s="51"/>
      <c r="F712" s="12"/>
      <c r="G712" s="76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3.5" customHeight="1">
      <c r="A713" s="11"/>
      <c r="B713" s="11"/>
      <c r="C713" s="24"/>
      <c r="D713" s="24"/>
      <c r="E713" s="51"/>
      <c r="F713" s="12"/>
      <c r="G713" s="76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3.5" customHeight="1">
      <c r="A714" s="11"/>
      <c r="B714" s="11"/>
      <c r="C714" s="24"/>
      <c r="D714" s="24"/>
      <c r="E714" s="51"/>
      <c r="F714" s="12"/>
      <c r="G714" s="76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3.5" customHeight="1">
      <c r="A715" s="11"/>
      <c r="B715" s="11"/>
      <c r="C715" s="24"/>
      <c r="D715" s="24"/>
      <c r="E715" s="51"/>
      <c r="F715" s="12"/>
      <c r="G715" s="76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3.5" customHeight="1">
      <c r="A716" s="11"/>
      <c r="B716" s="11"/>
      <c r="C716" s="24"/>
      <c r="D716" s="24"/>
      <c r="E716" s="51"/>
      <c r="F716" s="12"/>
      <c r="G716" s="76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3.5" customHeight="1">
      <c r="A717" s="11"/>
      <c r="B717" s="11"/>
      <c r="C717" s="24"/>
      <c r="D717" s="24"/>
      <c r="E717" s="51"/>
      <c r="F717" s="12"/>
      <c r="G717" s="76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3.5" customHeight="1">
      <c r="A718" s="11"/>
      <c r="B718" s="11"/>
      <c r="C718" s="24"/>
      <c r="D718" s="24"/>
      <c r="E718" s="51"/>
      <c r="F718" s="12"/>
      <c r="G718" s="76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3.5" customHeight="1">
      <c r="A719" s="11"/>
      <c r="B719" s="11"/>
      <c r="C719" s="24"/>
      <c r="D719" s="24"/>
      <c r="E719" s="51"/>
      <c r="F719" s="12"/>
      <c r="G719" s="76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3.5" customHeight="1">
      <c r="A720" s="11"/>
      <c r="B720" s="11"/>
      <c r="C720" s="24"/>
      <c r="D720" s="24"/>
      <c r="E720" s="51"/>
      <c r="F720" s="12"/>
      <c r="G720" s="76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3.5" customHeight="1">
      <c r="A721" s="11"/>
      <c r="B721" s="11"/>
      <c r="C721" s="24"/>
      <c r="D721" s="24"/>
      <c r="E721" s="51"/>
      <c r="F721" s="12"/>
      <c r="G721" s="76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3.5" customHeight="1">
      <c r="A722" s="11"/>
      <c r="B722" s="11"/>
      <c r="C722" s="24"/>
      <c r="D722" s="24"/>
      <c r="E722" s="51"/>
      <c r="F722" s="12"/>
      <c r="G722" s="76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3.5" customHeight="1">
      <c r="A723" s="11"/>
      <c r="B723" s="11"/>
      <c r="C723" s="24"/>
      <c r="D723" s="24"/>
      <c r="E723" s="51"/>
      <c r="F723" s="12"/>
      <c r="G723" s="76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3.5" customHeight="1">
      <c r="A724" s="11"/>
      <c r="B724" s="11"/>
      <c r="C724" s="24"/>
      <c r="D724" s="24"/>
      <c r="E724" s="51"/>
      <c r="F724" s="12"/>
      <c r="G724" s="76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3.5" customHeight="1">
      <c r="A725" s="11"/>
      <c r="B725" s="11"/>
      <c r="C725" s="24"/>
      <c r="D725" s="24"/>
      <c r="E725" s="51"/>
      <c r="F725" s="12"/>
      <c r="G725" s="76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3.5" customHeight="1">
      <c r="A726" s="11"/>
      <c r="B726" s="11"/>
      <c r="C726" s="24"/>
      <c r="D726" s="24"/>
      <c r="E726" s="51"/>
      <c r="F726" s="12"/>
      <c r="G726" s="76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3.5" customHeight="1">
      <c r="A727" s="11"/>
      <c r="B727" s="11"/>
      <c r="C727" s="24"/>
      <c r="D727" s="24"/>
      <c r="E727" s="51"/>
      <c r="F727" s="12"/>
      <c r="G727" s="76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3.5" customHeight="1">
      <c r="A728" s="11"/>
      <c r="B728" s="11"/>
      <c r="C728" s="24"/>
      <c r="D728" s="24"/>
      <c r="E728" s="51"/>
      <c r="F728" s="12"/>
      <c r="G728" s="76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3.5" customHeight="1">
      <c r="A729" s="11"/>
      <c r="B729" s="11"/>
      <c r="C729" s="24"/>
      <c r="D729" s="24"/>
      <c r="E729" s="51"/>
      <c r="F729" s="12"/>
      <c r="G729" s="76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3.5" customHeight="1">
      <c r="A730" s="11"/>
      <c r="B730" s="11"/>
      <c r="C730" s="24"/>
      <c r="D730" s="24"/>
      <c r="E730" s="51"/>
      <c r="F730" s="12"/>
      <c r="G730" s="76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3.5" customHeight="1">
      <c r="A731" s="11"/>
      <c r="B731" s="11"/>
      <c r="C731" s="24"/>
      <c r="D731" s="24"/>
      <c r="E731" s="51"/>
      <c r="F731" s="12"/>
      <c r="G731" s="76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3.5" customHeight="1">
      <c r="A732" s="11"/>
      <c r="B732" s="11"/>
      <c r="C732" s="24"/>
      <c r="D732" s="24"/>
      <c r="E732" s="51"/>
      <c r="F732" s="12"/>
      <c r="G732" s="76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3.5" customHeight="1">
      <c r="A733" s="11"/>
      <c r="B733" s="11"/>
      <c r="C733" s="24"/>
      <c r="D733" s="24"/>
      <c r="E733" s="51"/>
      <c r="F733" s="12"/>
      <c r="G733" s="76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3.5" customHeight="1">
      <c r="A734" s="11"/>
      <c r="B734" s="11"/>
      <c r="C734" s="24"/>
      <c r="D734" s="24"/>
      <c r="E734" s="51"/>
      <c r="F734" s="12"/>
      <c r="G734" s="76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3.5" customHeight="1">
      <c r="A735" s="11"/>
      <c r="B735" s="11"/>
      <c r="C735" s="24"/>
      <c r="D735" s="24"/>
      <c r="E735" s="51"/>
      <c r="F735" s="12"/>
      <c r="G735" s="76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3.5" customHeight="1">
      <c r="A736" s="11"/>
      <c r="B736" s="11"/>
      <c r="C736" s="24"/>
      <c r="D736" s="24"/>
      <c r="E736" s="51"/>
      <c r="F736" s="12"/>
      <c r="G736" s="76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3.5" customHeight="1">
      <c r="A737" s="11"/>
      <c r="B737" s="11"/>
      <c r="C737" s="24"/>
      <c r="D737" s="24"/>
      <c r="E737" s="51"/>
      <c r="F737" s="12"/>
      <c r="G737" s="76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3.5" customHeight="1">
      <c r="A738" s="11"/>
      <c r="B738" s="11"/>
      <c r="C738" s="24"/>
      <c r="D738" s="24"/>
      <c r="E738" s="51"/>
      <c r="F738" s="12"/>
      <c r="G738" s="76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3.5" customHeight="1">
      <c r="A739" s="11"/>
      <c r="B739" s="11"/>
      <c r="C739" s="24"/>
      <c r="D739" s="24"/>
      <c r="E739" s="51"/>
      <c r="F739" s="12"/>
      <c r="G739" s="76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3.5" customHeight="1">
      <c r="A740" s="11"/>
      <c r="B740" s="11"/>
      <c r="C740" s="24"/>
      <c r="D740" s="24"/>
      <c r="E740" s="51"/>
      <c r="F740" s="12"/>
      <c r="G740" s="76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3.5" customHeight="1">
      <c r="A741" s="11"/>
      <c r="B741" s="11"/>
      <c r="C741" s="24"/>
      <c r="D741" s="24"/>
      <c r="E741" s="51"/>
      <c r="F741" s="12"/>
      <c r="G741" s="76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3.5" customHeight="1">
      <c r="A742" s="11"/>
      <c r="B742" s="11"/>
      <c r="C742" s="24"/>
      <c r="D742" s="24"/>
      <c r="E742" s="51"/>
      <c r="F742" s="12"/>
      <c r="G742" s="76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3.5" customHeight="1">
      <c r="A743" s="11"/>
      <c r="B743" s="11"/>
      <c r="C743" s="24"/>
      <c r="D743" s="24"/>
      <c r="E743" s="51"/>
      <c r="F743" s="12"/>
      <c r="G743" s="76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3.5" customHeight="1">
      <c r="A744" s="11"/>
      <c r="B744" s="11"/>
      <c r="C744" s="24"/>
      <c r="D744" s="24"/>
      <c r="E744" s="51"/>
      <c r="F744" s="12"/>
      <c r="G744" s="76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3.5" customHeight="1">
      <c r="A745" s="11"/>
      <c r="B745" s="11"/>
      <c r="C745" s="24"/>
      <c r="D745" s="24"/>
      <c r="E745" s="51"/>
      <c r="F745" s="12"/>
      <c r="G745" s="76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3.5" customHeight="1">
      <c r="A746" s="11"/>
      <c r="B746" s="11"/>
      <c r="C746" s="24"/>
      <c r="D746" s="24"/>
      <c r="E746" s="51"/>
      <c r="F746" s="12"/>
      <c r="G746" s="76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3.5" customHeight="1">
      <c r="A747" s="11"/>
      <c r="B747" s="11"/>
      <c r="C747" s="24"/>
      <c r="D747" s="24"/>
      <c r="E747" s="51"/>
      <c r="F747" s="12"/>
      <c r="G747" s="76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3.5" customHeight="1">
      <c r="A748" s="11"/>
      <c r="B748" s="11"/>
      <c r="C748" s="24"/>
      <c r="D748" s="24"/>
      <c r="E748" s="51"/>
      <c r="F748" s="12"/>
      <c r="G748" s="76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3.5" customHeight="1">
      <c r="A749" s="11"/>
      <c r="B749" s="11"/>
      <c r="C749" s="24"/>
      <c r="D749" s="24"/>
      <c r="E749" s="51"/>
      <c r="F749" s="12"/>
      <c r="G749" s="76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3.5" customHeight="1">
      <c r="A750" s="11"/>
      <c r="B750" s="11"/>
      <c r="C750" s="24"/>
      <c r="D750" s="24"/>
      <c r="E750" s="51"/>
      <c r="F750" s="12"/>
      <c r="G750" s="76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3.5" customHeight="1">
      <c r="A751" s="11"/>
      <c r="B751" s="11"/>
      <c r="C751" s="24"/>
      <c r="D751" s="24"/>
      <c r="E751" s="51"/>
      <c r="F751" s="12"/>
      <c r="G751" s="76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3.5" customHeight="1">
      <c r="A752" s="11"/>
      <c r="B752" s="11"/>
      <c r="C752" s="24"/>
      <c r="D752" s="24"/>
      <c r="E752" s="51"/>
      <c r="F752" s="12"/>
      <c r="G752" s="76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3.5" customHeight="1">
      <c r="A753" s="11"/>
      <c r="B753" s="11"/>
      <c r="C753" s="24"/>
      <c r="D753" s="24"/>
      <c r="E753" s="51"/>
      <c r="F753" s="12"/>
      <c r="G753" s="76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3.5" customHeight="1">
      <c r="A754" s="11"/>
      <c r="B754" s="11"/>
      <c r="C754" s="24"/>
      <c r="D754" s="24"/>
      <c r="E754" s="51"/>
      <c r="F754" s="12"/>
      <c r="G754" s="76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3.5" customHeight="1">
      <c r="A755" s="11"/>
      <c r="B755" s="11"/>
      <c r="C755" s="24"/>
      <c r="D755" s="24"/>
      <c r="E755" s="51"/>
      <c r="F755" s="12"/>
      <c r="G755" s="76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3.5" customHeight="1">
      <c r="A756" s="11"/>
      <c r="B756" s="11"/>
      <c r="C756" s="24"/>
      <c r="D756" s="24"/>
      <c r="E756" s="51"/>
      <c r="F756" s="12"/>
      <c r="G756" s="76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3.5" customHeight="1">
      <c r="A757" s="11"/>
      <c r="B757" s="11"/>
      <c r="C757" s="24"/>
      <c r="D757" s="24"/>
      <c r="E757" s="51"/>
      <c r="F757" s="12"/>
      <c r="G757" s="76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3.5" customHeight="1">
      <c r="A758" s="11"/>
      <c r="B758" s="11"/>
      <c r="C758" s="24"/>
      <c r="D758" s="24"/>
      <c r="E758" s="51"/>
      <c r="F758" s="12"/>
      <c r="G758" s="76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3.5" customHeight="1">
      <c r="A759" s="11"/>
      <c r="B759" s="11"/>
      <c r="C759" s="24"/>
      <c r="D759" s="24"/>
      <c r="E759" s="51"/>
      <c r="F759" s="12"/>
      <c r="G759" s="76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3.5" customHeight="1">
      <c r="A760" s="11"/>
      <c r="B760" s="11"/>
      <c r="C760" s="24"/>
      <c r="D760" s="24"/>
      <c r="E760" s="51"/>
      <c r="F760" s="12"/>
      <c r="G760" s="76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3.5" customHeight="1">
      <c r="A761" s="11"/>
      <c r="B761" s="11"/>
      <c r="C761" s="24"/>
      <c r="D761" s="24"/>
      <c r="E761" s="51"/>
      <c r="F761" s="12"/>
      <c r="G761" s="76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3.5" customHeight="1">
      <c r="A762" s="11"/>
      <c r="B762" s="11"/>
      <c r="C762" s="24"/>
      <c r="D762" s="24"/>
      <c r="E762" s="51"/>
      <c r="F762" s="12"/>
      <c r="G762" s="76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3.5" customHeight="1">
      <c r="A763" s="11"/>
      <c r="B763" s="11"/>
      <c r="C763" s="24"/>
      <c r="D763" s="24"/>
      <c r="E763" s="51"/>
      <c r="F763" s="12"/>
      <c r="G763" s="76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3.5" customHeight="1">
      <c r="A764" s="11"/>
      <c r="B764" s="11"/>
      <c r="C764" s="24"/>
      <c r="D764" s="24"/>
      <c r="E764" s="51"/>
      <c r="F764" s="12"/>
      <c r="G764" s="76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3.5" customHeight="1">
      <c r="A765" s="11"/>
      <c r="B765" s="11"/>
      <c r="C765" s="24"/>
      <c r="D765" s="24"/>
      <c r="E765" s="51"/>
      <c r="F765" s="12"/>
      <c r="G765" s="76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3.5" customHeight="1">
      <c r="A766" s="11"/>
      <c r="B766" s="11"/>
      <c r="C766" s="24"/>
      <c r="D766" s="24"/>
      <c r="E766" s="51"/>
      <c r="F766" s="12"/>
      <c r="G766" s="76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3.5" customHeight="1">
      <c r="A767" s="11"/>
      <c r="B767" s="11"/>
      <c r="C767" s="24"/>
      <c r="D767" s="24"/>
      <c r="E767" s="51"/>
      <c r="F767" s="12"/>
      <c r="G767" s="76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3.5" customHeight="1">
      <c r="A768" s="11"/>
      <c r="B768" s="11"/>
      <c r="C768" s="24"/>
      <c r="D768" s="24"/>
      <c r="E768" s="51"/>
      <c r="F768" s="12"/>
      <c r="G768" s="76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3.5" customHeight="1">
      <c r="A769" s="11"/>
      <c r="B769" s="11"/>
      <c r="C769" s="24"/>
      <c r="D769" s="24"/>
      <c r="E769" s="51"/>
      <c r="F769" s="12"/>
      <c r="G769" s="76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3.5" customHeight="1">
      <c r="A770" s="11"/>
      <c r="B770" s="11"/>
      <c r="C770" s="24"/>
      <c r="D770" s="24"/>
      <c r="E770" s="51"/>
      <c r="F770" s="12"/>
      <c r="G770" s="76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3.5" customHeight="1">
      <c r="A771" s="11"/>
      <c r="B771" s="11"/>
      <c r="C771" s="24"/>
      <c r="D771" s="24"/>
      <c r="E771" s="51"/>
      <c r="F771" s="12"/>
      <c r="G771" s="76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3.5" customHeight="1">
      <c r="A772" s="11"/>
      <c r="B772" s="11"/>
      <c r="C772" s="24"/>
      <c r="D772" s="24"/>
      <c r="E772" s="51"/>
      <c r="F772" s="12"/>
      <c r="G772" s="76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3.5" customHeight="1">
      <c r="A773" s="11"/>
      <c r="B773" s="11"/>
      <c r="C773" s="24"/>
      <c r="D773" s="24"/>
      <c r="E773" s="51"/>
      <c r="F773" s="12"/>
      <c r="G773" s="76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3.5" customHeight="1">
      <c r="A774" s="11"/>
      <c r="B774" s="11"/>
      <c r="C774" s="24"/>
      <c r="D774" s="24"/>
      <c r="E774" s="51"/>
      <c r="F774" s="12"/>
      <c r="G774" s="76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3.5" customHeight="1">
      <c r="A775" s="11"/>
      <c r="B775" s="11"/>
      <c r="C775" s="24"/>
      <c r="D775" s="24"/>
      <c r="E775" s="51"/>
      <c r="F775" s="12"/>
      <c r="G775" s="76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3.5" customHeight="1">
      <c r="A776" s="11"/>
      <c r="B776" s="11"/>
      <c r="C776" s="24"/>
      <c r="D776" s="24"/>
      <c r="E776" s="51"/>
      <c r="F776" s="12"/>
      <c r="G776" s="76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3.5" customHeight="1">
      <c r="A777" s="11"/>
      <c r="B777" s="11"/>
      <c r="C777" s="24"/>
      <c r="D777" s="24"/>
      <c r="E777" s="51"/>
      <c r="F777" s="12"/>
      <c r="G777" s="76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3.5" customHeight="1">
      <c r="A778" s="11"/>
      <c r="B778" s="11"/>
      <c r="C778" s="24"/>
      <c r="D778" s="24"/>
      <c r="E778" s="51"/>
      <c r="F778" s="12"/>
      <c r="G778" s="76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3.5" customHeight="1">
      <c r="A779" s="11"/>
      <c r="B779" s="11"/>
      <c r="C779" s="24"/>
      <c r="D779" s="24"/>
      <c r="E779" s="51"/>
      <c r="F779" s="12"/>
      <c r="G779" s="76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3.5" customHeight="1">
      <c r="A780" s="11"/>
      <c r="B780" s="11"/>
      <c r="C780" s="24"/>
      <c r="D780" s="24"/>
      <c r="E780" s="51"/>
      <c r="F780" s="12"/>
      <c r="G780" s="76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3.5" customHeight="1">
      <c r="A781" s="11"/>
      <c r="B781" s="11"/>
      <c r="C781" s="24"/>
      <c r="D781" s="24"/>
      <c r="E781" s="51"/>
      <c r="F781" s="12"/>
      <c r="G781" s="76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3.5" customHeight="1">
      <c r="A782" s="11"/>
      <c r="B782" s="11"/>
      <c r="C782" s="24"/>
      <c r="D782" s="24"/>
      <c r="E782" s="51"/>
      <c r="F782" s="12"/>
      <c r="G782" s="76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3.5" customHeight="1">
      <c r="A783" s="11"/>
      <c r="B783" s="11"/>
      <c r="C783" s="24"/>
      <c r="D783" s="24"/>
      <c r="E783" s="51"/>
      <c r="F783" s="12"/>
      <c r="G783" s="76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3.5" customHeight="1">
      <c r="A784" s="11"/>
      <c r="B784" s="11"/>
      <c r="C784" s="24"/>
      <c r="D784" s="24"/>
      <c r="E784" s="51"/>
      <c r="F784" s="12"/>
      <c r="G784" s="76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3.5" customHeight="1">
      <c r="A785" s="11"/>
      <c r="B785" s="11"/>
      <c r="C785" s="24"/>
      <c r="D785" s="24"/>
      <c r="E785" s="51"/>
      <c r="F785" s="12"/>
      <c r="G785" s="76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3.5" customHeight="1">
      <c r="A786" s="11"/>
      <c r="B786" s="11"/>
      <c r="C786" s="24"/>
      <c r="D786" s="24"/>
      <c r="E786" s="51"/>
      <c r="F786" s="12"/>
      <c r="G786" s="76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3.5" customHeight="1">
      <c r="A787" s="11"/>
      <c r="B787" s="11"/>
      <c r="C787" s="24"/>
      <c r="D787" s="24"/>
      <c r="E787" s="51"/>
      <c r="F787" s="12"/>
      <c r="G787" s="76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3.5" customHeight="1">
      <c r="A788" s="11"/>
      <c r="B788" s="11"/>
      <c r="C788" s="24"/>
      <c r="D788" s="24"/>
      <c r="E788" s="51"/>
      <c r="F788" s="12"/>
      <c r="G788" s="76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3.5" customHeight="1">
      <c r="A789" s="11"/>
      <c r="B789" s="11"/>
      <c r="C789" s="24"/>
      <c r="D789" s="24"/>
      <c r="E789" s="51"/>
      <c r="F789" s="12"/>
      <c r="G789" s="76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3.5" customHeight="1">
      <c r="A790" s="11"/>
      <c r="B790" s="11"/>
      <c r="C790" s="24"/>
      <c r="D790" s="24"/>
      <c r="E790" s="51"/>
      <c r="F790" s="12"/>
      <c r="G790" s="76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3.5" customHeight="1">
      <c r="A791" s="11"/>
      <c r="B791" s="11"/>
      <c r="C791" s="24"/>
      <c r="D791" s="24"/>
      <c r="E791" s="51"/>
      <c r="F791" s="12"/>
      <c r="G791" s="76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3.5" customHeight="1">
      <c r="A792" s="11"/>
      <c r="B792" s="11"/>
      <c r="C792" s="24"/>
      <c r="D792" s="24"/>
      <c r="E792" s="51"/>
      <c r="F792" s="12"/>
      <c r="G792" s="76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3.5" customHeight="1">
      <c r="A793" s="11"/>
      <c r="B793" s="11"/>
      <c r="C793" s="24"/>
      <c r="D793" s="24"/>
      <c r="E793" s="51"/>
      <c r="F793" s="12"/>
      <c r="G793" s="76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3.5" customHeight="1">
      <c r="A794" s="11"/>
      <c r="B794" s="11"/>
      <c r="C794" s="24"/>
      <c r="D794" s="24"/>
      <c r="E794" s="51"/>
      <c r="F794" s="12"/>
      <c r="G794" s="76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3.5" customHeight="1">
      <c r="A795" s="11"/>
      <c r="B795" s="11"/>
      <c r="C795" s="24"/>
      <c r="D795" s="24"/>
      <c r="E795" s="51"/>
      <c r="F795" s="12"/>
      <c r="G795" s="76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3.5" customHeight="1">
      <c r="A796" s="11"/>
      <c r="B796" s="11"/>
      <c r="C796" s="24"/>
      <c r="D796" s="24"/>
      <c r="E796" s="51"/>
      <c r="F796" s="12"/>
      <c r="G796" s="76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3.5" customHeight="1">
      <c r="A797" s="11"/>
      <c r="B797" s="11"/>
      <c r="C797" s="24"/>
      <c r="D797" s="24"/>
      <c r="E797" s="51"/>
      <c r="F797" s="12"/>
      <c r="G797" s="76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3.5" customHeight="1">
      <c r="A798" s="11"/>
      <c r="B798" s="11"/>
      <c r="C798" s="24"/>
      <c r="D798" s="24"/>
      <c r="E798" s="51"/>
      <c r="F798" s="12"/>
      <c r="G798" s="76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3.5" customHeight="1">
      <c r="A799" s="11"/>
      <c r="B799" s="11"/>
      <c r="C799" s="24"/>
      <c r="D799" s="24"/>
      <c r="E799" s="51"/>
      <c r="F799" s="12"/>
      <c r="G799" s="76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3.5" customHeight="1">
      <c r="A800" s="11"/>
      <c r="B800" s="11"/>
      <c r="C800" s="24"/>
      <c r="D800" s="24"/>
      <c r="E800" s="51"/>
      <c r="F800" s="12"/>
      <c r="G800" s="76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3.5" customHeight="1">
      <c r="A801" s="11"/>
      <c r="B801" s="11"/>
      <c r="C801" s="24"/>
      <c r="D801" s="24"/>
      <c r="E801" s="51"/>
      <c r="F801" s="12"/>
      <c r="G801" s="76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3.5" customHeight="1">
      <c r="A802" s="11"/>
      <c r="B802" s="11"/>
      <c r="C802" s="24"/>
      <c r="D802" s="24"/>
      <c r="E802" s="51"/>
      <c r="F802" s="12"/>
      <c r="G802" s="76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3.5" customHeight="1">
      <c r="A803" s="11"/>
      <c r="B803" s="11"/>
      <c r="C803" s="24"/>
      <c r="D803" s="24"/>
      <c r="E803" s="51"/>
      <c r="F803" s="12"/>
      <c r="G803" s="76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3.5" customHeight="1">
      <c r="A804" s="11"/>
      <c r="B804" s="11"/>
      <c r="C804" s="24"/>
      <c r="D804" s="24"/>
      <c r="E804" s="51"/>
      <c r="F804" s="12"/>
      <c r="G804" s="76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3.5" customHeight="1">
      <c r="A805" s="11"/>
      <c r="B805" s="11"/>
      <c r="C805" s="24"/>
      <c r="D805" s="24"/>
      <c r="E805" s="51"/>
      <c r="F805" s="12"/>
      <c r="G805" s="76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3.5" customHeight="1">
      <c r="A806" s="11"/>
      <c r="B806" s="11"/>
      <c r="C806" s="24"/>
      <c r="D806" s="24"/>
      <c r="E806" s="51"/>
      <c r="F806" s="12"/>
      <c r="G806" s="76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3.5" customHeight="1">
      <c r="A807" s="11"/>
      <c r="B807" s="11"/>
      <c r="C807" s="24"/>
      <c r="D807" s="24"/>
      <c r="E807" s="51"/>
      <c r="F807" s="12"/>
      <c r="G807" s="76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3.5" customHeight="1">
      <c r="A808" s="11"/>
      <c r="B808" s="11"/>
      <c r="C808" s="24"/>
      <c r="D808" s="24"/>
      <c r="E808" s="51"/>
      <c r="F808" s="12"/>
      <c r="G808" s="76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3.5" customHeight="1">
      <c r="A809" s="11"/>
      <c r="B809" s="11"/>
      <c r="C809" s="24"/>
      <c r="D809" s="24"/>
      <c r="E809" s="51"/>
      <c r="F809" s="12"/>
      <c r="G809" s="76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3.5" customHeight="1">
      <c r="A810" s="11"/>
      <c r="B810" s="11"/>
      <c r="C810" s="24"/>
      <c r="D810" s="24"/>
      <c r="E810" s="51"/>
      <c r="F810" s="12"/>
      <c r="G810" s="76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3.5" customHeight="1">
      <c r="A811" s="11"/>
      <c r="B811" s="11"/>
      <c r="C811" s="24"/>
      <c r="D811" s="24"/>
      <c r="E811" s="51"/>
      <c r="F811" s="12"/>
      <c r="G811" s="76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3.5" customHeight="1">
      <c r="A812" s="11"/>
      <c r="B812" s="11"/>
      <c r="C812" s="24"/>
      <c r="D812" s="24"/>
      <c r="E812" s="51"/>
      <c r="F812" s="12"/>
      <c r="G812" s="76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3.5" customHeight="1">
      <c r="A813" s="11"/>
      <c r="B813" s="11"/>
      <c r="C813" s="24"/>
      <c r="D813" s="24"/>
      <c r="E813" s="51"/>
      <c r="F813" s="12"/>
      <c r="G813" s="76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3.5" customHeight="1">
      <c r="A814" s="11"/>
      <c r="B814" s="11"/>
      <c r="C814" s="24"/>
      <c r="D814" s="24"/>
      <c r="E814" s="51"/>
      <c r="F814" s="12"/>
      <c r="G814" s="76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3.5" customHeight="1">
      <c r="A815" s="11"/>
      <c r="B815" s="11"/>
      <c r="C815" s="24"/>
      <c r="D815" s="24"/>
      <c r="E815" s="51"/>
      <c r="F815" s="12"/>
      <c r="G815" s="76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3.5" customHeight="1">
      <c r="A816" s="11"/>
      <c r="B816" s="11"/>
      <c r="C816" s="24"/>
      <c r="D816" s="24"/>
      <c r="E816" s="51"/>
      <c r="F816" s="12"/>
      <c r="G816" s="76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3.5" customHeight="1">
      <c r="A817" s="11"/>
      <c r="B817" s="11"/>
      <c r="C817" s="24"/>
      <c r="D817" s="24"/>
      <c r="E817" s="51"/>
      <c r="F817" s="12"/>
      <c r="G817" s="76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3.5" customHeight="1">
      <c r="A818" s="11"/>
      <c r="B818" s="11"/>
      <c r="C818" s="24"/>
      <c r="D818" s="24"/>
      <c r="E818" s="51"/>
      <c r="F818" s="12"/>
      <c r="G818" s="76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3.5" customHeight="1">
      <c r="A819" s="11"/>
      <c r="B819" s="11"/>
      <c r="C819" s="24"/>
      <c r="D819" s="24"/>
      <c r="E819" s="51"/>
      <c r="F819" s="12"/>
      <c r="G819" s="76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3.5" customHeight="1">
      <c r="A820" s="11"/>
      <c r="B820" s="11"/>
      <c r="C820" s="24"/>
      <c r="D820" s="24"/>
      <c r="E820" s="51"/>
      <c r="F820" s="12"/>
      <c r="G820" s="76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3.5" customHeight="1">
      <c r="A821" s="11"/>
      <c r="B821" s="11"/>
      <c r="C821" s="24"/>
      <c r="D821" s="24"/>
      <c r="E821" s="51"/>
      <c r="F821" s="12"/>
      <c r="G821" s="76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3.5" customHeight="1">
      <c r="A822" s="11"/>
      <c r="B822" s="11"/>
      <c r="C822" s="24"/>
      <c r="D822" s="24"/>
      <c r="E822" s="51"/>
      <c r="F822" s="12"/>
      <c r="G822" s="76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3.5" customHeight="1">
      <c r="A823" s="11"/>
      <c r="B823" s="11"/>
      <c r="C823" s="24"/>
      <c r="D823" s="24"/>
      <c r="E823" s="51"/>
      <c r="F823" s="12"/>
      <c r="G823" s="76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3.5" customHeight="1">
      <c r="A824" s="11"/>
      <c r="B824" s="11"/>
      <c r="C824" s="24"/>
      <c r="D824" s="24"/>
      <c r="E824" s="51"/>
      <c r="F824" s="12"/>
      <c r="G824" s="76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3.5" customHeight="1">
      <c r="A825" s="11"/>
      <c r="B825" s="11"/>
      <c r="C825" s="24"/>
      <c r="D825" s="24"/>
      <c r="E825" s="51"/>
      <c r="F825" s="12"/>
      <c r="G825" s="76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3.5" customHeight="1">
      <c r="A826" s="11"/>
      <c r="B826" s="11"/>
      <c r="C826" s="24"/>
      <c r="D826" s="24"/>
      <c r="E826" s="51"/>
      <c r="F826" s="12"/>
      <c r="G826" s="76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3.5" customHeight="1">
      <c r="A827" s="11"/>
      <c r="B827" s="11"/>
      <c r="C827" s="24"/>
      <c r="D827" s="24"/>
      <c r="E827" s="51"/>
      <c r="F827" s="12"/>
      <c r="G827" s="76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3.5" customHeight="1">
      <c r="A828" s="11"/>
      <c r="B828" s="11"/>
      <c r="C828" s="24"/>
      <c r="D828" s="24"/>
      <c r="E828" s="51"/>
      <c r="F828" s="12"/>
      <c r="G828" s="76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3.5" customHeight="1">
      <c r="A829" s="11"/>
      <c r="B829" s="11"/>
      <c r="C829" s="24"/>
      <c r="D829" s="24"/>
      <c r="E829" s="51"/>
      <c r="F829" s="12"/>
      <c r="G829" s="76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3.5" customHeight="1">
      <c r="A830" s="11"/>
      <c r="B830" s="11"/>
      <c r="C830" s="24"/>
      <c r="D830" s="24"/>
      <c r="E830" s="51"/>
      <c r="F830" s="12"/>
      <c r="G830" s="76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3.5" customHeight="1">
      <c r="A831" s="11"/>
      <c r="B831" s="11"/>
      <c r="C831" s="24"/>
      <c r="D831" s="24"/>
      <c r="E831" s="51"/>
      <c r="F831" s="12"/>
      <c r="G831" s="76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3.5" customHeight="1">
      <c r="A832" s="11"/>
      <c r="B832" s="11"/>
      <c r="C832" s="24"/>
      <c r="D832" s="24"/>
      <c r="E832" s="51"/>
      <c r="F832" s="12"/>
      <c r="G832" s="76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3.5" customHeight="1">
      <c r="A833" s="11"/>
      <c r="B833" s="11"/>
      <c r="C833" s="24"/>
      <c r="D833" s="24"/>
      <c r="E833" s="51"/>
      <c r="F833" s="12"/>
      <c r="G833" s="76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3.5" customHeight="1">
      <c r="A834" s="11"/>
      <c r="B834" s="11"/>
      <c r="C834" s="24"/>
      <c r="D834" s="24"/>
      <c r="E834" s="51"/>
      <c r="F834" s="12"/>
      <c r="G834" s="76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3.5" customHeight="1">
      <c r="A835" s="11"/>
      <c r="B835" s="11"/>
      <c r="C835" s="24"/>
      <c r="D835" s="24"/>
      <c r="E835" s="51"/>
      <c r="F835" s="12"/>
      <c r="G835" s="76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3.5" customHeight="1">
      <c r="A836" s="11"/>
      <c r="B836" s="11"/>
      <c r="C836" s="24"/>
      <c r="D836" s="24"/>
      <c r="E836" s="51"/>
      <c r="F836" s="12"/>
      <c r="G836" s="76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3.5" customHeight="1">
      <c r="A837" s="11"/>
      <c r="B837" s="11"/>
      <c r="C837" s="24"/>
      <c r="D837" s="24"/>
      <c r="E837" s="51"/>
      <c r="F837" s="12"/>
      <c r="G837" s="76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3.5" customHeight="1">
      <c r="A838" s="11"/>
      <c r="B838" s="11"/>
      <c r="C838" s="24"/>
      <c r="D838" s="24"/>
      <c r="E838" s="51"/>
      <c r="F838" s="12"/>
      <c r="G838" s="76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3.5" customHeight="1">
      <c r="A839" s="11"/>
      <c r="B839" s="11"/>
      <c r="C839" s="24"/>
      <c r="D839" s="24"/>
      <c r="E839" s="51"/>
      <c r="F839" s="12"/>
      <c r="G839" s="76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3.5" customHeight="1">
      <c r="A840" s="11"/>
      <c r="B840" s="11"/>
      <c r="C840" s="24"/>
      <c r="D840" s="24"/>
      <c r="E840" s="51"/>
      <c r="F840" s="12"/>
      <c r="G840" s="76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3.5" customHeight="1">
      <c r="A841" s="11"/>
      <c r="B841" s="11"/>
      <c r="C841" s="24"/>
      <c r="D841" s="24"/>
      <c r="E841" s="51"/>
      <c r="F841" s="12"/>
      <c r="G841" s="76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3.5" customHeight="1">
      <c r="A842" s="11"/>
      <c r="B842" s="11"/>
      <c r="C842" s="24"/>
      <c r="D842" s="24"/>
      <c r="E842" s="51"/>
      <c r="F842" s="12"/>
      <c r="G842" s="76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3.5" customHeight="1">
      <c r="A843" s="11"/>
      <c r="B843" s="11"/>
      <c r="C843" s="24"/>
      <c r="D843" s="24"/>
      <c r="E843" s="51"/>
      <c r="F843" s="12"/>
      <c r="G843" s="76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3.5" customHeight="1">
      <c r="A844" s="11"/>
      <c r="B844" s="11"/>
      <c r="C844" s="24"/>
      <c r="D844" s="24"/>
      <c r="E844" s="51"/>
      <c r="F844" s="12"/>
      <c r="G844" s="76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3.5" customHeight="1">
      <c r="A845" s="11"/>
      <c r="B845" s="11"/>
      <c r="C845" s="24"/>
      <c r="D845" s="24"/>
      <c r="E845" s="51"/>
      <c r="F845" s="12"/>
      <c r="G845" s="76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3.5" customHeight="1">
      <c r="A846" s="11"/>
      <c r="B846" s="11"/>
      <c r="C846" s="24"/>
      <c r="D846" s="24"/>
      <c r="E846" s="51"/>
      <c r="F846" s="12"/>
      <c r="G846" s="76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3.5" customHeight="1">
      <c r="A847" s="11"/>
      <c r="B847" s="11"/>
      <c r="C847" s="24"/>
      <c r="D847" s="24"/>
      <c r="E847" s="51"/>
      <c r="F847" s="12"/>
      <c r="G847" s="76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3.5" customHeight="1">
      <c r="A848" s="11"/>
      <c r="B848" s="11"/>
      <c r="C848" s="24"/>
      <c r="D848" s="24"/>
      <c r="E848" s="51"/>
      <c r="F848" s="12"/>
      <c r="G848" s="76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3.5" customHeight="1">
      <c r="A849" s="11"/>
      <c r="B849" s="11"/>
      <c r="C849" s="24"/>
      <c r="D849" s="24"/>
      <c r="E849" s="51"/>
      <c r="F849" s="12"/>
      <c r="G849" s="76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3.5" customHeight="1">
      <c r="A850" s="11"/>
      <c r="B850" s="11"/>
      <c r="C850" s="24"/>
      <c r="D850" s="24"/>
      <c r="E850" s="51"/>
      <c r="F850" s="12"/>
      <c r="G850" s="76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3.5" customHeight="1">
      <c r="A851" s="11"/>
      <c r="B851" s="11"/>
      <c r="C851" s="24"/>
      <c r="D851" s="24"/>
      <c r="E851" s="51"/>
      <c r="F851" s="12"/>
      <c r="G851" s="76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3.5" customHeight="1">
      <c r="A852" s="11"/>
      <c r="B852" s="11"/>
      <c r="C852" s="24"/>
      <c r="D852" s="24"/>
      <c r="E852" s="51"/>
      <c r="F852" s="12"/>
      <c r="G852" s="76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3.5" customHeight="1">
      <c r="A853" s="11"/>
      <c r="B853" s="11"/>
      <c r="C853" s="24"/>
      <c r="D853" s="24"/>
      <c r="E853" s="51"/>
      <c r="F853" s="12"/>
      <c r="G853" s="76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3.5" customHeight="1">
      <c r="A854" s="11"/>
      <c r="B854" s="11"/>
      <c r="C854" s="24"/>
      <c r="D854" s="24"/>
      <c r="E854" s="51"/>
      <c r="F854" s="12"/>
      <c r="G854" s="76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3.5" customHeight="1">
      <c r="A855" s="11"/>
      <c r="B855" s="11"/>
      <c r="C855" s="24"/>
      <c r="D855" s="24"/>
      <c r="E855" s="51"/>
      <c r="F855" s="12"/>
      <c r="G855" s="76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3.5" customHeight="1">
      <c r="A856" s="11"/>
      <c r="B856" s="11"/>
      <c r="C856" s="24"/>
      <c r="D856" s="24"/>
      <c r="E856" s="51"/>
      <c r="F856" s="12"/>
      <c r="G856" s="76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3.5" customHeight="1">
      <c r="A857" s="11"/>
      <c r="B857" s="11"/>
      <c r="C857" s="24"/>
      <c r="D857" s="24"/>
      <c r="E857" s="51"/>
      <c r="F857" s="12"/>
      <c r="G857" s="76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3.5" customHeight="1">
      <c r="A858" s="11"/>
      <c r="B858" s="11"/>
      <c r="C858" s="24"/>
      <c r="D858" s="24"/>
      <c r="E858" s="51"/>
      <c r="F858" s="12"/>
      <c r="G858" s="76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3.5" customHeight="1">
      <c r="A859" s="11"/>
      <c r="B859" s="11"/>
      <c r="C859" s="24"/>
      <c r="D859" s="24"/>
      <c r="E859" s="51"/>
      <c r="F859" s="12"/>
      <c r="G859" s="76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3.5" customHeight="1">
      <c r="A860" s="11"/>
      <c r="B860" s="11"/>
      <c r="C860" s="24"/>
      <c r="D860" s="24"/>
      <c r="E860" s="51"/>
      <c r="F860" s="12"/>
      <c r="G860" s="76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3.5" customHeight="1">
      <c r="A861" s="11"/>
      <c r="B861" s="11"/>
      <c r="C861" s="24"/>
      <c r="D861" s="24"/>
      <c r="E861" s="51"/>
      <c r="F861" s="12"/>
      <c r="G861" s="76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3.5" customHeight="1">
      <c r="A862" s="11"/>
      <c r="B862" s="11"/>
      <c r="C862" s="24"/>
      <c r="D862" s="24"/>
      <c r="E862" s="51"/>
      <c r="F862" s="12"/>
      <c r="G862" s="76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3.5" customHeight="1">
      <c r="A863" s="11"/>
      <c r="B863" s="11"/>
      <c r="C863" s="24"/>
      <c r="D863" s="24"/>
      <c r="E863" s="51"/>
      <c r="F863" s="12"/>
      <c r="G863" s="76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3.5" customHeight="1">
      <c r="A864" s="11"/>
      <c r="B864" s="11"/>
      <c r="C864" s="24"/>
      <c r="D864" s="24"/>
      <c r="E864" s="51"/>
      <c r="F864" s="12"/>
      <c r="G864" s="76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3.5" customHeight="1">
      <c r="A865" s="11"/>
      <c r="B865" s="11"/>
      <c r="C865" s="24"/>
      <c r="D865" s="24"/>
      <c r="E865" s="51"/>
      <c r="F865" s="12"/>
      <c r="G865" s="76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3.5" customHeight="1">
      <c r="A866" s="11"/>
      <c r="B866" s="11"/>
      <c r="C866" s="24"/>
      <c r="D866" s="24"/>
      <c r="E866" s="51"/>
      <c r="F866" s="12"/>
      <c r="G866" s="76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3.5" customHeight="1">
      <c r="A867" s="11"/>
      <c r="B867" s="11"/>
      <c r="C867" s="24"/>
      <c r="D867" s="24"/>
      <c r="E867" s="51"/>
      <c r="F867" s="12"/>
      <c r="G867" s="76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3.5" customHeight="1">
      <c r="A868" s="11"/>
      <c r="B868" s="11"/>
      <c r="C868" s="24"/>
      <c r="D868" s="24"/>
      <c r="E868" s="51"/>
      <c r="F868" s="12"/>
      <c r="G868" s="76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3.5" customHeight="1">
      <c r="A869" s="11"/>
      <c r="B869" s="11"/>
      <c r="C869" s="24"/>
      <c r="D869" s="24"/>
      <c r="E869" s="51"/>
      <c r="F869" s="12"/>
      <c r="G869" s="76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3.5" customHeight="1">
      <c r="A870" s="11"/>
      <c r="B870" s="11"/>
      <c r="C870" s="24"/>
      <c r="D870" s="24"/>
      <c r="E870" s="51"/>
      <c r="F870" s="12"/>
      <c r="G870" s="76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3.5" customHeight="1">
      <c r="A871" s="11"/>
      <c r="B871" s="11"/>
      <c r="C871" s="24"/>
      <c r="D871" s="24"/>
      <c r="E871" s="51"/>
      <c r="F871" s="12"/>
      <c r="G871" s="76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3.5" customHeight="1">
      <c r="A872" s="11"/>
      <c r="B872" s="11"/>
      <c r="C872" s="24"/>
      <c r="D872" s="24"/>
      <c r="E872" s="51"/>
      <c r="F872" s="12"/>
      <c r="G872" s="76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3.5" customHeight="1">
      <c r="A873" s="11"/>
      <c r="B873" s="11"/>
      <c r="C873" s="24"/>
      <c r="D873" s="24"/>
      <c r="E873" s="51"/>
      <c r="F873" s="12"/>
      <c r="G873" s="76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3.5" customHeight="1">
      <c r="A874" s="11"/>
      <c r="B874" s="11"/>
      <c r="C874" s="24"/>
      <c r="D874" s="24"/>
      <c r="E874" s="51"/>
      <c r="F874" s="12"/>
      <c r="G874" s="76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3.5" customHeight="1">
      <c r="A875" s="11"/>
      <c r="B875" s="11"/>
      <c r="C875" s="24"/>
      <c r="D875" s="24"/>
      <c r="E875" s="51"/>
      <c r="F875" s="12"/>
      <c r="G875" s="76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3.5" customHeight="1">
      <c r="A876" s="11"/>
      <c r="B876" s="11"/>
      <c r="C876" s="24"/>
      <c r="D876" s="24"/>
      <c r="E876" s="51"/>
      <c r="F876" s="12"/>
      <c r="G876" s="76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3.5" customHeight="1">
      <c r="A877" s="11"/>
      <c r="B877" s="11"/>
      <c r="C877" s="24"/>
      <c r="D877" s="24"/>
      <c r="E877" s="51"/>
      <c r="F877" s="12"/>
      <c r="G877" s="76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3.5" customHeight="1">
      <c r="A878" s="11"/>
      <c r="B878" s="11"/>
      <c r="C878" s="24"/>
      <c r="D878" s="24"/>
      <c r="E878" s="51"/>
      <c r="F878" s="12"/>
      <c r="G878" s="76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3.5" customHeight="1">
      <c r="A879" s="11"/>
      <c r="B879" s="11"/>
      <c r="C879" s="24"/>
      <c r="D879" s="24"/>
      <c r="E879" s="51"/>
      <c r="F879" s="12"/>
      <c r="G879" s="76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3.5" customHeight="1">
      <c r="A880" s="11"/>
      <c r="B880" s="11"/>
      <c r="C880" s="24"/>
      <c r="D880" s="24"/>
      <c r="E880" s="51"/>
      <c r="F880" s="12"/>
      <c r="G880" s="76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3.5" customHeight="1">
      <c r="A881" s="11"/>
      <c r="B881" s="11"/>
      <c r="C881" s="24"/>
      <c r="D881" s="24"/>
      <c r="E881" s="51"/>
      <c r="F881" s="12"/>
      <c r="G881" s="76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3.5" customHeight="1">
      <c r="A882" s="11"/>
      <c r="B882" s="11"/>
      <c r="C882" s="24"/>
      <c r="D882" s="24"/>
      <c r="E882" s="51"/>
      <c r="F882" s="12"/>
      <c r="G882" s="76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3.5" customHeight="1">
      <c r="A883" s="11"/>
      <c r="B883" s="11"/>
      <c r="C883" s="24"/>
      <c r="D883" s="24"/>
      <c r="E883" s="51"/>
      <c r="F883" s="12"/>
      <c r="G883" s="76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3.5" customHeight="1">
      <c r="A884" s="11"/>
      <c r="B884" s="11"/>
      <c r="C884" s="24"/>
      <c r="D884" s="24"/>
      <c r="E884" s="51"/>
      <c r="F884" s="12"/>
      <c r="G884" s="76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3.5" customHeight="1">
      <c r="A885" s="11"/>
      <c r="B885" s="11"/>
      <c r="C885" s="24"/>
      <c r="D885" s="24"/>
      <c r="E885" s="51"/>
      <c r="F885" s="12"/>
      <c r="G885" s="76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3.5" customHeight="1">
      <c r="A886" s="11"/>
      <c r="B886" s="11"/>
      <c r="C886" s="24"/>
      <c r="D886" s="24"/>
      <c r="E886" s="51"/>
      <c r="F886" s="12"/>
      <c r="G886" s="76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3.5" customHeight="1">
      <c r="A887" s="11"/>
      <c r="B887" s="11"/>
      <c r="C887" s="24"/>
      <c r="D887" s="24"/>
      <c r="E887" s="51"/>
      <c r="F887" s="12"/>
      <c r="G887" s="76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3.5" customHeight="1">
      <c r="A888" s="11"/>
      <c r="B888" s="11"/>
      <c r="C888" s="24"/>
      <c r="D888" s="24"/>
      <c r="E888" s="51"/>
      <c r="F888" s="12"/>
      <c r="G888" s="76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3.5" customHeight="1">
      <c r="A889" s="11"/>
      <c r="B889" s="11"/>
      <c r="C889" s="24"/>
      <c r="D889" s="24"/>
      <c r="E889" s="51"/>
      <c r="F889" s="12"/>
      <c r="G889" s="76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3.5" customHeight="1">
      <c r="A890" s="11"/>
      <c r="B890" s="11"/>
      <c r="C890" s="24"/>
      <c r="D890" s="24"/>
      <c r="E890" s="51"/>
      <c r="F890" s="12"/>
      <c r="G890" s="76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3.5" customHeight="1">
      <c r="A891" s="11"/>
      <c r="B891" s="11"/>
      <c r="C891" s="24"/>
      <c r="D891" s="24"/>
      <c r="E891" s="51"/>
      <c r="F891" s="12"/>
      <c r="G891" s="76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3.5" customHeight="1">
      <c r="A892" s="11"/>
      <c r="B892" s="11"/>
      <c r="C892" s="24"/>
      <c r="D892" s="24"/>
      <c r="E892" s="51"/>
      <c r="F892" s="12"/>
      <c r="G892" s="76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3.5" customHeight="1">
      <c r="A893" s="11"/>
      <c r="B893" s="11"/>
      <c r="C893" s="24"/>
      <c r="D893" s="24"/>
      <c r="E893" s="51"/>
      <c r="F893" s="12"/>
      <c r="G893" s="76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3.5" customHeight="1">
      <c r="A894" s="11"/>
      <c r="B894" s="11"/>
      <c r="C894" s="24"/>
      <c r="D894" s="24"/>
      <c r="E894" s="51"/>
      <c r="F894" s="12"/>
      <c r="G894" s="76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3.5" customHeight="1">
      <c r="A895" s="11"/>
      <c r="B895" s="11"/>
      <c r="C895" s="24"/>
      <c r="D895" s="24"/>
      <c r="E895" s="51"/>
      <c r="F895" s="12"/>
      <c r="G895" s="76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3.5" customHeight="1">
      <c r="A896" s="11"/>
      <c r="B896" s="11"/>
      <c r="C896" s="24"/>
      <c r="D896" s="24"/>
      <c r="E896" s="51"/>
      <c r="F896" s="12"/>
      <c r="G896" s="76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3.5" customHeight="1">
      <c r="A897" s="11"/>
      <c r="B897" s="11"/>
      <c r="C897" s="24"/>
      <c r="D897" s="24"/>
      <c r="E897" s="51"/>
      <c r="F897" s="12"/>
      <c r="G897" s="76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3.5" customHeight="1">
      <c r="A898" s="11"/>
      <c r="B898" s="11"/>
      <c r="C898" s="24"/>
      <c r="D898" s="24"/>
      <c r="E898" s="51"/>
      <c r="F898" s="12"/>
      <c r="G898" s="76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3.5" customHeight="1">
      <c r="A899" s="11"/>
      <c r="B899" s="11"/>
      <c r="C899" s="24"/>
      <c r="D899" s="24"/>
      <c r="E899" s="51"/>
      <c r="F899" s="12"/>
      <c r="G899" s="76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3.5" customHeight="1">
      <c r="A900" s="11"/>
      <c r="B900" s="11"/>
      <c r="C900" s="24"/>
      <c r="D900" s="24"/>
      <c r="E900" s="51"/>
      <c r="F900" s="12"/>
      <c r="G900" s="76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3.5" customHeight="1">
      <c r="A901" s="11"/>
      <c r="B901" s="11"/>
      <c r="C901" s="24"/>
      <c r="D901" s="24"/>
      <c r="E901" s="51"/>
      <c r="F901" s="12"/>
      <c r="G901" s="76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3.5" customHeight="1">
      <c r="A902" s="11"/>
      <c r="B902" s="11"/>
      <c r="C902" s="24"/>
      <c r="D902" s="24"/>
      <c r="E902" s="51"/>
      <c r="F902" s="12"/>
      <c r="G902" s="76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3.5" customHeight="1">
      <c r="A903" s="11"/>
      <c r="B903" s="11"/>
      <c r="C903" s="24"/>
      <c r="D903" s="24"/>
      <c r="E903" s="51"/>
      <c r="F903" s="12"/>
      <c r="G903" s="76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3.5" customHeight="1">
      <c r="A904" s="11"/>
      <c r="B904" s="11"/>
      <c r="C904" s="24"/>
      <c r="D904" s="24"/>
      <c r="E904" s="51"/>
      <c r="F904" s="12"/>
      <c r="G904" s="76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3.5" customHeight="1">
      <c r="A905" s="11"/>
      <c r="B905" s="11"/>
      <c r="C905" s="24"/>
      <c r="D905" s="24"/>
      <c r="E905" s="51"/>
      <c r="F905" s="12"/>
      <c r="G905" s="76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3.5" customHeight="1">
      <c r="A906" s="11"/>
      <c r="B906" s="11"/>
      <c r="C906" s="24"/>
      <c r="D906" s="24"/>
      <c r="E906" s="51"/>
      <c r="F906" s="12"/>
      <c r="G906" s="76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3.5" customHeight="1">
      <c r="A907" s="11"/>
      <c r="B907" s="11"/>
      <c r="C907" s="24"/>
      <c r="D907" s="24"/>
      <c r="E907" s="51"/>
      <c r="F907" s="12"/>
      <c r="G907" s="76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3.5" customHeight="1">
      <c r="A908" s="11"/>
      <c r="B908" s="11"/>
      <c r="C908" s="24"/>
      <c r="D908" s="24"/>
      <c r="E908" s="51"/>
      <c r="F908" s="12"/>
      <c r="G908" s="76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3.5" customHeight="1">
      <c r="A909" s="11"/>
      <c r="B909" s="11"/>
      <c r="C909" s="24"/>
      <c r="D909" s="24"/>
      <c r="E909" s="51"/>
      <c r="F909" s="12"/>
      <c r="G909" s="76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3.5" customHeight="1">
      <c r="A910" s="11"/>
      <c r="B910" s="11"/>
      <c r="C910" s="24"/>
      <c r="D910" s="24"/>
      <c r="E910" s="51"/>
      <c r="F910" s="12"/>
      <c r="G910" s="76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3.5" customHeight="1">
      <c r="A911" s="11"/>
      <c r="B911" s="11"/>
      <c r="C911" s="24"/>
      <c r="D911" s="24"/>
      <c r="E911" s="51"/>
      <c r="F911" s="12"/>
      <c r="G911" s="76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3.5" customHeight="1">
      <c r="A912" s="11"/>
      <c r="B912" s="11"/>
      <c r="C912" s="24"/>
      <c r="D912" s="24"/>
      <c r="E912" s="51"/>
      <c r="F912" s="12"/>
      <c r="G912" s="76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3.5" customHeight="1">
      <c r="A913" s="11"/>
      <c r="B913" s="11"/>
      <c r="C913" s="24"/>
      <c r="D913" s="24"/>
      <c r="E913" s="51"/>
      <c r="F913" s="12"/>
      <c r="G913" s="76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3.5" customHeight="1">
      <c r="A914" s="11"/>
      <c r="B914" s="11"/>
      <c r="C914" s="24"/>
      <c r="D914" s="24"/>
      <c r="E914" s="51"/>
      <c r="F914" s="12"/>
      <c r="G914" s="76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3.5" customHeight="1">
      <c r="A915" s="11"/>
      <c r="B915" s="11"/>
      <c r="C915" s="24"/>
      <c r="D915" s="24"/>
      <c r="E915" s="51"/>
      <c r="F915" s="12"/>
      <c r="G915" s="76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3.5" customHeight="1">
      <c r="A916" s="11"/>
      <c r="B916" s="11"/>
      <c r="C916" s="24"/>
      <c r="D916" s="24"/>
      <c r="E916" s="51"/>
      <c r="F916" s="12"/>
      <c r="G916" s="76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3.5" customHeight="1">
      <c r="A917" s="11"/>
      <c r="B917" s="11"/>
      <c r="C917" s="24"/>
      <c r="D917" s="24"/>
      <c r="E917" s="51"/>
      <c r="F917" s="12"/>
      <c r="G917" s="76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3.5" customHeight="1">
      <c r="A918" s="11"/>
      <c r="B918" s="11"/>
      <c r="C918" s="24"/>
      <c r="D918" s="24"/>
      <c r="E918" s="51"/>
      <c r="F918" s="12"/>
      <c r="G918" s="76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3.5" customHeight="1">
      <c r="A919" s="11"/>
      <c r="B919" s="11"/>
      <c r="C919" s="24"/>
      <c r="D919" s="24"/>
      <c r="E919" s="51"/>
      <c r="F919" s="12"/>
      <c r="G919" s="76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3.5" customHeight="1">
      <c r="A920" s="11"/>
      <c r="B920" s="11"/>
      <c r="C920" s="24"/>
      <c r="D920" s="24"/>
      <c r="E920" s="51"/>
      <c r="F920" s="12"/>
      <c r="G920" s="76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3.5" customHeight="1">
      <c r="A921" s="11"/>
      <c r="B921" s="11"/>
      <c r="C921" s="24"/>
      <c r="D921" s="24"/>
      <c r="E921" s="51"/>
      <c r="F921" s="12"/>
      <c r="G921" s="76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3.5" customHeight="1">
      <c r="A922" s="11"/>
      <c r="B922" s="11"/>
      <c r="C922" s="24"/>
      <c r="D922" s="24"/>
      <c r="E922" s="51"/>
      <c r="F922" s="12"/>
      <c r="G922" s="76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3.5" customHeight="1">
      <c r="A923" s="11"/>
      <c r="B923" s="11"/>
      <c r="C923" s="24"/>
      <c r="D923" s="24"/>
      <c r="E923" s="51"/>
      <c r="F923" s="12"/>
      <c r="G923" s="76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3.5" customHeight="1">
      <c r="A924" s="11"/>
      <c r="B924" s="11"/>
      <c r="C924" s="24"/>
      <c r="D924" s="24"/>
      <c r="E924" s="51"/>
      <c r="F924" s="12"/>
      <c r="G924" s="76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3.5" customHeight="1">
      <c r="A925" s="11"/>
      <c r="B925" s="11"/>
      <c r="C925" s="24"/>
      <c r="D925" s="24"/>
      <c r="E925" s="51"/>
      <c r="F925" s="12"/>
      <c r="G925" s="76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3.5" customHeight="1">
      <c r="A926" s="11"/>
      <c r="B926" s="11"/>
      <c r="C926" s="24"/>
      <c r="D926" s="24"/>
      <c r="E926" s="51"/>
      <c r="F926" s="12"/>
      <c r="G926" s="76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3.5" customHeight="1">
      <c r="A927" s="11"/>
      <c r="B927" s="11"/>
      <c r="C927" s="24"/>
      <c r="D927" s="24"/>
      <c r="E927" s="51"/>
      <c r="F927" s="12"/>
      <c r="G927" s="76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3.5" customHeight="1">
      <c r="A928" s="11"/>
      <c r="B928" s="11"/>
      <c r="C928" s="24"/>
      <c r="D928" s="24"/>
      <c r="E928" s="51"/>
      <c r="F928" s="12"/>
      <c r="G928" s="76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3.5" customHeight="1">
      <c r="A929" s="11"/>
      <c r="B929" s="11"/>
      <c r="C929" s="24"/>
      <c r="D929" s="24"/>
      <c r="E929" s="51"/>
      <c r="F929" s="12"/>
      <c r="G929" s="76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3.5" customHeight="1">
      <c r="A930" s="11"/>
      <c r="B930" s="11"/>
      <c r="C930" s="24"/>
      <c r="D930" s="24"/>
      <c r="E930" s="51"/>
      <c r="F930" s="12"/>
      <c r="G930" s="76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3.5" customHeight="1">
      <c r="A931" s="11"/>
      <c r="B931" s="11"/>
      <c r="C931" s="24"/>
      <c r="D931" s="24"/>
      <c r="E931" s="51"/>
      <c r="F931" s="12"/>
      <c r="G931" s="76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3.5" customHeight="1">
      <c r="A932" s="11"/>
      <c r="B932" s="11"/>
      <c r="C932" s="24"/>
      <c r="D932" s="24"/>
      <c r="E932" s="51"/>
      <c r="F932" s="12"/>
      <c r="G932" s="76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3.5" customHeight="1">
      <c r="A933" s="11"/>
      <c r="B933" s="11"/>
      <c r="C933" s="24"/>
      <c r="D933" s="24"/>
      <c r="E933" s="51"/>
      <c r="F933" s="12"/>
      <c r="G933" s="76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3.5" customHeight="1">
      <c r="A934" s="11"/>
      <c r="B934" s="11"/>
      <c r="C934" s="24"/>
      <c r="D934" s="24"/>
      <c r="E934" s="51"/>
      <c r="F934" s="12"/>
      <c r="G934" s="76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3.5" customHeight="1">
      <c r="A935" s="11"/>
      <c r="B935" s="11"/>
      <c r="C935" s="24"/>
      <c r="D935" s="24"/>
      <c r="E935" s="51"/>
      <c r="F935" s="12"/>
      <c r="G935" s="76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3.5" customHeight="1">
      <c r="A936" s="11"/>
      <c r="B936" s="11"/>
      <c r="C936" s="24"/>
      <c r="D936" s="24"/>
      <c r="E936" s="51"/>
      <c r="F936" s="12"/>
      <c r="G936" s="76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3.5" customHeight="1">
      <c r="A937" s="11"/>
      <c r="B937" s="11"/>
      <c r="C937" s="24"/>
      <c r="D937" s="24"/>
      <c r="E937" s="51"/>
      <c r="F937" s="12"/>
      <c r="G937" s="76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3.5" customHeight="1">
      <c r="A938" s="11"/>
      <c r="B938" s="11"/>
      <c r="C938" s="24"/>
      <c r="D938" s="24"/>
      <c r="E938" s="51"/>
      <c r="F938" s="12"/>
      <c r="G938" s="76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3.5" customHeight="1">
      <c r="A939" s="11"/>
      <c r="B939" s="11"/>
      <c r="C939" s="24"/>
      <c r="D939" s="24"/>
      <c r="E939" s="51"/>
      <c r="F939" s="12"/>
      <c r="G939" s="76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3.5" customHeight="1">
      <c r="A940" s="11"/>
      <c r="B940" s="11"/>
      <c r="C940" s="24"/>
      <c r="D940" s="24"/>
      <c r="E940" s="51"/>
      <c r="F940" s="12"/>
      <c r="G940" s="76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3.5" customHeight="1">
      <c r="A941" s="11"/>
      <c r="B941" s="11"/>
      <c r="C941" s="24"/>
      <c r="D941" s="24"/>
      <c r="E941" s="51"/>
      <c r="F941" s="12"/>
      <c r="G941" s="76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3.5" customHeight="1">
      <c r="A942" s="11"/>
      <c r="B942" s="11"/>
      <c r="C942" s="24"/>
      <c r="D942" s="24"/>
      <c r="E942" s="51"/>
      <c r="F942" s="12"/>
      <c r="G942" s="76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3.5" customHeight="1">
      <c r="A943" s="11"/>
      <c r="B943" s="11"/>
      <c r="C943" s="24"/>
      <c r="D943" s="24"/>
      <c r="E943" s="51"/>
      <c r="F943" s="12"/>
      <c r="G943" s="76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3.5" customHeight="1">
      <c r="A944" s="11"/>
      <c r="B944" s="11"/>
      <c r="C944" s="24"/>
      <c r="D944" s="24"/>
      <c r="E944" s="51"/>
      <c r="F944" s="12"/>
      <c r="G944" s="76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3.5" customHeight="1">
      <c r="A945" s="11"/>
      <c r="B945" s="11"/>
      <c r="C945" s="24"/>
      <c r="D945" s="24"/>
      <c r="E945" s="51"/>
      <c r="F945" s="12"/>
      <c r="G945" s="76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3.5" customHeight="1">
      <c r="A946" s="11"/>
      <c r="B946" s="11"/>
      <c r="C946" s="24"/>
      <c r="D946" s="24"/>
      <c r="E946" s="51"/>
      <c r="F946" s="12"/>
      <c r="G946" s="76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3.5" customHeight="1">
      <c r="A947" s="11"/>
      <c r="B947" s="11"/>
      <c r="C947" s="24"/>
      <c r="D947" s="24"/>
      <c r="E947" s="51"/>
      <c r="F947" s="12"/>
      <c r="G947" s="76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3.5" customHeight="1">
      <c r="A948" s="11"/>
      <c r="B948" s="11"/>
      <c r="C948" s="24"/>
      <c r="D948" s="24"/>
      <c r="E948" s="51"/>
      <c r="F948" s="12"/>
      <c r="G948" s="76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3.5" customHeight="1">
      <c r="A949" s="11"/>
      <c r="B949" s="11"/>
      <c r="C949" s="24"/>
      <c r="D949" s="24"/>
      <c r="E949" s="51"/>
      <c r="F949" s="12"/>
      <c r="G949" s="76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3.5" customHeight="1">
      <c r="A950" s="11"/>
      <c r="B950" s="11"/>
      <c r="C950" s="24"/>
      <c r="D950" s="24"/>
      <c r="E950" s="51"/>
      <c r="F950" s="12"/>
      <c r="G950" s="76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3.5" customHeight="1">
      <c r="A951" s="11"/>
      <c r="B951" s="11"/>
      <c r="C951" s="24"/>
      <c r="D951" s="24"/>
      <c r="E951" s="51"/>
      <c r="F951" s="12"/>
      <c r="G951" s="76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3.5" customHeight="1">
      <c r="A952" s="11"/>
      <c r="B952" s="11"/>
      <c r="C952" s="24"/>
      <c r="D952" s="24"/>
      <c r="E952" s="51"/>
      <c r="F952" s="12"/>
      <c r="G952" s="76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3.5" customHeight="1">
      <c r="A953" s="11"/>
      <c r="B953" s="11"/>
      <c r="C953" s="24"/>
      <c r="D953" s="24"/>
      <c r="E953" s="51"/>
      <c r="F953" s="12"/>
      <c r="G953" s="76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3.5" customHeight="1">
      <c r="A954" s="11"/>
      <c r="B954" s="11"/>
      <c r="C954" s="24"/>
      <c r="D954" s="24"/>
      <c r="E954" s="51"/>
      <c r="F954" s="12"/>
      <c r="G954" s="76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3.5" customHeight="1">
      <c r="A955" s="11"/>
      <c r="B955" s="11"/>
      <c r="C955" s="24"/>
      <c r="D955" s="24"/>
      <c r="E955" s="51"/>
      <c r="F955" s="12"/>
      <c r="G955" s="76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3.5" customHeight="1">
      <c r="A956" s="11"/>
      <c r="B956" s="11"/>
      <c r="C956" s="24"/>
      <c r="D956" s="24"/>
      <c r="E956" s="51"/>
      <c r="F956" s="12"/>
      <c r="G956" s="76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3.5" customHeight="1">
      <c r="A957" s="11"/>
      <c r="B957" s="11"/>
      <c r="C957" s="24"/>
      <c r="D957" s="24"/>
      <c r="E957" s="51"/>
      <c r="F957" s="12"/>
      <c r="G957" s="76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3.5" customHeight="1">
      <c r="A958" s="11"/>
      <c r="B958" s="11"/>
      <c r="C958" s="24"/>
      <c r="D958" s="24"/>
      <c r="E958" s="51"/>
      <c r="F958" s="12"/>
      <c r="G958" s="76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3.5" customHeight="1">
      <c r="A959" s="11"/>
      <c r="B959" s="11"/>
      <c r="C959" s="24"/>
      <c r="D959" s="24"/>
      <c r="E959" s="51"/>
      <c r="F959" s="12"/>
      <c r="G959" s="76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3.5" customHeight="1">
      <c r="A960" s="11"/>
      <c r="B960" s="11"/>
      <c r="C960" s="24"/>
      <c r="D960" s="24"/>
      <c r="E960" s="51"/>
      <c r="F960" s="12"/>
      <c r="G960" s="76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3.5" customHeight="1">
      <c r="A961" s="11"/>
      <c r="B961" s="11"/>
      <c r="C961" s="24"/>
      <c r="D961" s="24"/>
      <c r="E961" s="51"/>
      <c r="F961" s="12"/>
      <c r="G961" s="76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3.5" customHeight="1">
      <c r="A962" s="11"/>
      <c r="B962" s="11"/>
      <c r="C962" s="24"/>
      <c r="D962" s="24"/>
      <c r="E962" s="51"/>
      <c r="F962" s="12"/>
      <c r="G962" s="76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3.5" customHeight="1">
      <c r="A963" s="11"/>
      <c r="B963" s="11"/>
      <c r="C963" s="24"/>
      <c r="D963" s="24"/>
      <c r="E963" s="51"/>
      <c r="F963" s="12"/>
      <c r="G963" s="76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3.5" customHeight="1">
      <c r="A964" s="11"/>
      <c r="B964" s="11"/>
      <c r="C964" s="24"/>
      <c r="D964" s="24"/>
      <c r="E964" s="51"/>
      <c r="F964" s="12"/>
      <c r="G964" s="76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3.5" customHeight="1">
      <c r="A965" s="11"/>
      <c r="B965" s="11"/>
      <c r="C965" s="24"/>
      <c r="D965" s="24"/>
      <c r="E965" s="51"/>
      <c r="F965" s="12"/>
      <c r="G965" s="76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3.5" customHeight="1">
      <c r="A966" s="11"/>
      <c r="B966" s="11"/>
      <c r="C966" s="24"/>
      <c r="D966" s="24"/>
      <c r="E966" s="51"/>
      <c r="F966" s="12"/>
      <c r="G966" s="76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3.5" customHeight="1">
      <c r="A967" s="11"/>
      <c r="B967" s="11"/>
      <c r="C967" s="24"/>
      <c r="D967" s="24"/>
      <c r="E967" s="51"/>
      <c r="F967" s="12"/>
      <c r="G967" s="76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3.5" customHeight="1">
      <c r="A968" s="11"/>
      <c r="B968" s="11"/>
      <c r="C968" s="24"/>
      <c r="D968" s="24"/>
      <c r="E968" s="51"/>
      <c r="F968" s="12"/>
      <c r="G968" s="76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3.5" customHeight="1">
      <c r="A969" s="11"/>
      <c r="B969" s="11"/>
      <c r="C969" s="24"/>
      <c r="D969" s="24"/>
      <c r="E969" s="51"/>
      <c r="F969" s="12"/>
      <c r="G969" s="76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3.5" customHeight="1">
      <c r="A970" s="11"/>
      <c r="B970" s="11"/>
      <c r="C970" s="24"/>
      <c r="D970" s="24"/>
      <c r="E970" s="51"/>
      <c r="F970" s="12"/>
      <c r="G970" s="76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3.5" customHeight="1">
      <c r="A971" s="11"/>
      <c r="B971" s="11"/>
      <c r="C971" s="24"/>
      <c r="D971" s="24"/>
      <c r="E971" s="51"/>
      <c r="F971" s="12"/>
      <c r="G971" s="76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3.5" customHeight="1">
      <c r="A972" s="11"/>
      <c r="B972" s="11"/>
      <c r="C972" s="24"/>
      <c r="D972" s="24"/>
      <c r="E972" s="51"/>
      <c r="F972" s="12"/>
      <c r="G972" s="76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3.5" customHeight="1">
      <c r="A973" s="11"/>
      <c r="B973" s="11"/>
      <c r="C973" s="24"/>
      <c r="D973" s="24"/>
      <c r="E973" s="51"/>
      <c r="F973" s="12"/>
      <c r="G973" s="76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3.5" customHeight="1">
      <c r="A974" s="11"/>
      <c r="B974" s="11"/>
      <c r="C974" s="24"/>
      <c r="D974" s="24"/>
      <c r="E974" s="51"/>
      <c r="F974" s="12"/>
      <c r="G974" s="76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3.5" customHeight="1">
      <c r="A975" s="11"/>
      <c r="B975" s="11"/>
      <c r="C975" s="24"/>
      <c r="D975" s="24"/>
      <c r="E975" s="51"/>
      <c r="F975" s="12"/>
      <c r="G975" s="76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3.5" customHeight="1">
      <c r="A976" s="11"/>
      <c r="B976" s="11"/>
      <c r="C976" s="24"/>
      <c r="D976" s="24"/>
      <c r="E976" s="51"/>
      <c r="F976" s="12"/>
      <c r="G976" s="76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3.5" customHeight="1">
      <c r="A977" s="11"/>
      <c r="B977" s="11"/>
      <c r="C977" s="24"/>
      <c r="D977" s="24"/>
      <c r="E977" s="51"/>
      <c r="F977" s="12"/>
      <c r="G977" s="76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3.5" customHeight="1">
      <c r="A978" s="11"/>
      <c r="B978" s="11"/>
      <c r="C978" s="24"/>
      <c r="D978" s="24"/>
      <c r="E978" s="51"/>
      <c r="F978" s="12"/>
      <c r="G978" s="76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3.5" customHeight="1">
      <c r="A979" s="11"/>
      <c r="B979" s="11"/>
      <c r="C979" s="24"/>
      <c r="D979" s="24"/>
      <c r="E979" s="51"/>
      <c r="F979" s="12"/>
      <c r="G979" s="76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3.5" customHeight="1">
      <c r="A980" s="11"/>
      <c r="B980" s="11"/>
      <c r="C980" s="24"/>
      <c r="D980" s="24"/>
      <c r="E980" s="51"/>
      <c r="F980" s="12"/>
      <c r="G980" s="76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3.5" customHeight="1">
      <c r="A981" s="11"/>
      <c r="B981" s="11"/>
      <c r="C981" s="24"/>
      <c r="D981" s="24"/>
      <c r="E981" s="51"/>
      <c r="F981" s="12"/>
      <c r="G981" s="76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3.5" customHeight="1">
      <c r="A982" s="11"/>
      <c r="B982" s="11"/>
      <c r="C982" s="24"/>
      <c r="D982" s="24"/>
      <c r="E982" s="51"/>
      <c r="F982" s="12"/>
      <c r="G982" s="76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3.5" customHeight="1">
      <c r="A983" s="11"/>
      <c r="B983" s="11"/>
      <c r="C983" s="24"/>
      <c r="D983" s="24"/>
      <c r="E983" s="51"/>
      <c r="F983" s="12"/>
      <c r="G983" s="76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3.5" customHeight="1">
      <c r="A984" s="11"/>
      <c r="B984" s="11"/>
      <c r="C984" s="24"/>
      <c r="D984" s="24"/>
      <c r="E984" s="51"/>
      <c r="F984" s="12"/>
      <c r="G984" s="76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3.5" customHeight="1">
      <c r="A985" s="11"/>
      <c r="B985" s="11"/>
      <c r="C985" s="24"/>
      <c r="D985" s="24"/>
      <c r="E985" s="51"/>
      <c r="F985" s="12"/>
      <c r="G985" s="76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3.5" customHeight="1">
      <c r="A986" s="11"/>
      <c r="B986" s="11"/>
      <c r="C986" s="24"/>
      <c r="D986" s="24"/>
      <c r="E986" s="51"/>
      <c r="F986" s="12"/>
      <c r="G986" s="76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3.5" customHeight="1">
      <c r="A987" s="11"/>
      <c r="B987" s="11"/>
      <c r="C987" s="24"/>
      <c r="D987" s="24"/>
      <c r="E987" s="51"/>
      <c r="F987" s="12"/>
      <c r="G987" s="76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3.5" customHeight="1">
      <c r="A988" s="11"/>
      <c r="B988" s="11"/>
      <c r="C988" s="24"/>
      <c r="D988" s="24"/>
      <c r="E988" s="51"/>
      <c r="F988" s="12"/>
      <c r="G988" s="76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3.5" customHeight="1">
      <c r="A989" s="11"/>
      <c r="B989" s="11"/>
      <c r="C989" s="24"/>
      <c r="D989" s="24"/>
      <c r="E989" s="51"/>
      <c r="F989" s="12"/>
      <c r="G989" s="76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3.5" customHeight="1">
      <c r="A990" s="11"/>
      <c r="B990" s="11"/>
      <c r="C990" s="24"/>
      <c r="D990" s="24"/>
      <c r="E990" s="51"/>
      <c r="F990" s="12"/>
      <c r="G990" s="76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3.5" customHeight="1">
      <c r="A991" s="11"/>
      <c r="B991" s="11"/>
      <c r="C991" s="24"/>
      <c r="D991" s="24"/>
      <c r="E991" s="51"/>
      <c r="F991" s="12"/>
      <c r="G991" s="76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3.5" customHeight="1">
      <c r="A992" s="11"/>
      <c r="B992" s="11"/>
      <c r="C992" s="24"/>
      <c r="D992" s="24"/>
      <c r="E992" s="51"/>
      <c r="F992" s="12"/>
      <c r="G992" s="76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3.5" customHeight="1">
      <c r="A993" s="11"/>
      <c r="B993" s="11"/>
      <c r="C993" s="24"/>
      <c r="D993" s="24"/>
      <c r="E993" s="51"/>
      <c r="F993" s="12"/>
      <c r="G993" s="76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3.5" customHeight="1">
      <c r="A994" s="11"/>
      <c r="B994" s="11"/>
      <c r="C994" s="24"/>
      <c r="D994" s="24"/>
      <c r="E994" s="51"/>
      <c r="F994" s="12"/>
      <c r="G994" s="76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3.5" customHeight="1">
      <c r="A995" s="11"/>
      <c r="B995" s="11"/>
      <c r="C995" s="24"/>
      <c r="D995" s="24"/>
      <c r="E995" s="51"/>
      <c r="F995" s="12"/>
      <c r="G995" s="76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3.5" customHeight="1">
      <c r="A996" s="11"/>
      <c r="B996" s="11"/>
      <c r="C996" s="24"/>
      <c r="D996" s="24"/>
      <c r="E996" s="51"/>
      <c r="F996" s="12"/>
      <c r="G996" s="76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3.5" customHeight="1">
      <c r="A997" s="11"/>
      <c r="B997" s="11"/>
      <c r="C997" s="24"/>
      <c r="D997" s="24"/>
      <c r="E997" s="51"/>
      <c r="F997" s="12"/>
      <c r="G997" s="76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3.5" customHeight="1">
      <c r="A998" s="11"/>
      <c r="B998" s="11"/>
      <c r="C998" s="24"/>
      <c r="D998" s="24"/>
      <c r="E998" s="51"/>
      <c r="F998" s="12"/>
      <c r="G998" s="76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3.5" customHeight="1">
      <c r="A999" s="11"/>
      <c r="B999" s="11"/>
      <c r="C999" s="24"/>
      <c r="D999" s="24"/>
      <c r="E999" s="51"/>
      <c r="F999" s="12"/>
      <c r="G999" s="76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3.5" customHeight="1">
      <c r="A1000" s="11"/>
      <c r="B1000" s="11"/>
      <c r="C1000" s="24"/>
      <c r="D1000" s="24"/>
      <c r="E1000" s="51"/>
      <c r="F1000" s="12"/>
      <c r="G1000" s="76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5.13"/>
    <col customWidth="1" min="3" max="3" width="10.5"/>
    <col customWidth="1" min="4" max="4" width="12.88"/>
    <col customWidth="1" min="5" max="5" width="15.5"/>
    <col customWidth="1" min="6" max="6" width="21.13"/>
    <col customWidth="1" min="7" max="7" width="27.13"/>
    <col customWidth="1" min="8" max="8" width="36.38"/>
    <col customWidth="1" min="9" max="9" width="4.75"/>
    <col customWidth="1" min="10" max="10" width="47.75"/>
    <col customWidth="1" min="11" max="11" width="24.5"/>
    <col customWidth="1" min="12" max="12" width="12.63"/>
    <col customWidth="1" min="13" max="13" width="16.13"/>
    <col customWidth="1" min="14" max="14" width="26.75"/>
    <col customWidth="1" min="15" max="15" width="4.38"/>
    <col customWidth="1" min="16" max="26" width="21.38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82">
        <v>1.0</v>
      </c>
      <c r="B2" s="82" t="s">
        <v>9</v>
      </c>
      <c r="C2" s="82">
        <v>2130870.0</v>
      </c>
      <c r="D2" s="83">
        <v>46210.0</v>
      </c>
      <c r="E2" s="84">
        <v>1445.06</v>
      </c>
      <c r="F2" s="82" t="s">
        <v>17</v>
      </c>
      <c r="G2" s="15" t="s">
        <v>19</v>
      </c>
      <c r="H2" s="14"/>
      <c r="I2" s="14"/>
      <c r="J2" s="21">
        <v>183181.0</v>
      </c>
      <c r="K2" s="29">
        <v>104604.79999999997</v>
      </c>
      <c r="L2" s="14"/>
    </row>
    <row r="3" ht="13.5" customHeight="1">
      <c r="A3" s="82">
        <v>2.0</v>
      </c>
      <c r="B3" s="82" t="s">
        <v>9</v>
      </c>
      <c r="C3" s="82">
        <v>2130870.0</v>
      </c>
      <c r="D3" s="83">
        <v>46210.0</v>
      </c>
      <c r="E3" s="84">
        <v>16309.01</v>
      </c>
      <c r="F3" s="82" t="s">
        <v>49</v>
      </c>
      <c r="G3" s="15" t="s">
        <v>19</v>
      </c>
      <c r="H3" s="14"/>
      <c r="I3" s="14"/>
      <c r="J3" s="21">
        <v>183184.0</v>
      </c>
      <c r="K3" s="29">
        <v>1474732.2300000002</v>
      </c>
      <c r="L3" s="14"/>
    </row>
    <row r="4" ht="13.5" customHeight="1">
      <c r="A4" s="82">
        <v>3.0</v>
      </c>
      <c r="B4" s="82" t="s">
        <v>9</v>
      </c>
      <c r="C4" s="82">
        <v>2060855.0</v>
      </c>
      <c r="D4" s="83">
        <v>46210.0</v>
      </c>
      <c r="E4" s="84">
        <v>8900000.0</v>
      </c>
      <c r="F4" s="82" t="s">
        <v>13</v>
      </c>
      <c r="G4" s="15" t="s">
        <v>19</v>
      </c>
      <c r="H4" s="14"/>
      <c r="I4" s="14"/>
      <c r="J4" s="21">
        <v>183224.0</v>
      </c>
      <c r="K4" s="29">
        <v>11868.99</v>
      </c>
      <c r="L4" s="14"/>
    </row>
    <row r="5" ht="13.5" customHeight="1">
      <c r="A5" s="82">
        <v>4.0</v>
      </c>
      <c r="B5" s="82" t="s">
        <v>9</v>
      </c>
      <c r="C5" s="82">
        <v>2050900.0</v>
      </c>
      <c r="D5" s="83">
        <v>46210.0</v>
      </c>
      <c r="E5" s="84">
        <v>15119.29</v>
      </c>
      <c r="F5" s="82" t="s">
        <v>17</v>
      </c>
      <c r="G5" s="15" t="s">
        <v>19</v>
      </c>
      <c r="H5" s="14"/>
      <c r="I5" s="14"/>
      <c r="J5" s="21">
        <v>183225.0</v>
      </c>
      <c r="K5" s="29">
        <v>4670.87</v>
      </c>
      <c r="L5" s="14"/>
    </row>
    <row r="6" ht="13.5" customHeight="1">
      <c r="A6" s="82">
        <v>5.0</v>
      </c>
      <c r="B6" s="82" t="s">
        <v>16</v>
      </c>
      <c r="C6" s="82">
        <v>2050752.0</v>
      </c>
      <c r="D6" s="83">
        <v>46210.0</v>
      </c>
      <c r="E6" s="84">
        <v>2073807.07</v>
      </c>
      <c r="F6" s="82" t="s">
        <v>50</v>
      </c>
      <c r="G6" s="15" t="s">
        <v>19</v>
      </c>
      <c r="H6" s="14"/>
      <c r="I6" s="14"/>
      <c r="J6" s="14" t="s">
        <v>51</v>
      </c>
      <c r="K6" s="56">
        <v>4166840.67</v>
      </c>
      <c r="L6" s="14"/>
    </row>
    <row r="7" ht="13.5" customHeight="1">
      <c r="A7" s="82">
        <v>6.0</v>
      </c>
      <c r="B7" s="82" t="s">
        <v>16</v>
      </c>
      <c r="C7" s="82">
        <v>2050752.0</v>
      </c>
      <c r="D7" s="83">
        <v>46210.0</v>
      </c>
      <c r="E7" s="84">
        <v>159503.82</v>
      </c>
      <c r="F7" s="82" t="s">
        <v>50</v>
      </c>
      <c r="G7" s="15" t="s">
        <v>19</v>
      </c>
      <c r="H7" s="14"/>
      <c r="I7" s="14"/>
      <c r="J7" s="85" t="s">
        <v>52</v>
      </c>
      <c r="K7" s="85" t="s">
        <v>53</v>
      </c>
      <c r="L7" s="86" t="s">
        <v>54</v>
      </c>
      <c r="M7" s="87" t="s">
        <v>55</v>
      </c>
      <c r="N7" s="24"/>
    </row>
    <row r="8" ht="13.5" customHeight="1">
      <c r="A8" s="88">
        <v>7.0</v>
      </c>
      <c r="B8" s="88" t="s">
        <v>9</v>
      </c>
      <c r="C8" s="88">
        <v>2050900.0</v>
      </c>
      <c r="D8" s="89">
        <v>46210.0</v>
      </c>
      <c r="E8" s="90">
        <v>8978.91</v>
      </c>
      <c r="F8" s="88" t="s">
        <v>56</v>
      </c>
      <c r="G8" s="91" t="s">
        <v>19</v>
      </c>
      <c r="H8" s="14"/>
      <c r="I8" s="14"/>
      <c r="J8" s="92" t="s">
        <v>57</v>
      </c>
      <c r="K8" s="85" t="s">
        <v>58</v>
      </c>
      <c r="L8" s="86">
        <v>397.18</v>
      </c>
      <c r="M8" s="93" t="s">
        <v>19</v>
      </c>
      <c r="N8" s="94"/>
    </row>
    <row r="9" ht="13.5" customHeight="1">
      <c r="A9" s="82">
        <v>10.0</v>
      </c>
      <c r="B9" s="82" t="s">
        <v>20</v>
      </c>
      <c r="C9" s="82">
        <v>1170470.0</v>
      </c>
      <c r="D9" s="83">
        <v>46210.0</v>
      </c>
      <c r="E9" s="84">
        <v>241628.34</v>
      </c>
      <c r="F9" s="82"/>
      <c r="G9" s="15" t="s">
        <v>19</v>
      </c>
      <c r="H9" s="14"/>
      <c r="I9" s="14"/>
      <c r="J9" s="92" t="s">
        <v>59</v>
      </c>
      <c r="K9" s="85" t="s">
        <v>58</v>
      </c>
      <c r="L9" s="86"/>
      <c r="M9" s="93" t="s">
        <v>19</v>
      </c>
      <c r="N9" s="95"/>
    </row>
    <row r="10" ht="13.5" customHeight="1">
      <c r="A10" s="82">
        <v>11.0</v>
      </c>
      <c r="B10" s="82" t="s">
        <v>20</v>
      </c>
      <c r="C10" s="82">
        <v>1170470.0</v>
      </c>
      <c r="D10" s="83">
        <v>46210.0</v>
      </c>
      <c r="E10" s="84">
        <v>1820.82</v>
      </c>
      <c r="F10" s="82"/>
      <c r="G10" s="15" t="s">
        <v>19</v>
      </c>
      <c r="H10" s="14"/>
      <c r="I10" s="14"/>
      <c r="J10" s="92" t="s">
        <v>60</v>
      </c>
      <c r="K10" s="85" t="s">
        <v>58</v>
      </c>
      <c r="L10" s="86">
        <v>14569.07</v>
      </c>
      <c r="M10" s="93" t="s">
        <v>19</v>
      </c>
      <c r="N10" s="95"/>
    </row>
    <row r="11" ht="13.5" customHeight="1">
      <c r="A11" s="82">
        <v>12.0</v>
      </c>
      <c r="B11" s="82" t="s">
        <v>20</v>
      </c>
      <c r="C11" s="82">
        <v>1170470.0</v>
      </c>
      <c r="D11" s="83">
        <v>46210.0</v>
      </c>
      <c r="E11" s="84">
        <v>86.4</v>
      </c>
      <c r="F11" s="82"/>
      <c r="G11" s="15" t="s">
        <v>19</v>
      </c>
      <c r="H11" s="14"/>
      <c r="I11" s="14"/>
      <c r="J11" s="92" t="s">
        <v>61</v>
      </c>
      <c r="K11" s="85" t="s">
        <v>58</v>
      </c>
      <c r="L11" s="86">
        <v>602418.21</v>
      </c>
      <c r="M11" s="93" t="s">
        <v>19</v>
      </c>
      <c r="N11" s="95"/>
    </row>
    <row r="12" ht="13.5" customHeight="1">
      <c r="A12" s="53">
        <v>13.0</v>
      </c>
      <c r="B12" s="53" t="s">
        <v>20</v>
      </c>
      <c r="C12" s="53">
        <v>1040211.0</v>
      </c>
      <c r="D12" s="96">
        <v>46210.0</v>
      </c>
      <c r="E12" s="28">
        <v>1415537.36</v>
      </c>
      <c r="F12" s="53"/>
      <c r="G12" s="33" t="s">
        <v>19</v>
      </c>
      <c r="H12" s="14"/>
      <c r="I12" s="14"/>
      <c r="J12" s="92" t="s">
        <v>62</v>
      </c>
      <c r="K12" s="85" t="s">
        <v>63</v>
      </c>
      <c r="L12" s="86"/>
      <c r="M12" s="97"/>
      <c r="N12" s="95"/>
    </row>
    <row r="13" ht="13.5" customHeight="1">
      <c r="A13" s="53">
        <v>14.0</v>
      </c>
      <c r="B13" s="53" t="s">
        <v>20</v>
      </c>
      <c r="C13" s="53">
        <v>1040211.0</v>
      </c>
      <c r="D13" s="96">
        <v>46210.0</v>
      </c>
      <c r="E13" s="28">
        <v>93752.77</v>
      </c>
      <c r="F13" s="53"/>
      <c r="G13" s="33" t="s">
        <v>19</v>
      </c>
      <c r="H13" s="14"/>
      <c r="I13" s="14"/>
      <c r="J13" s="92" t="s">
        <v>64</v>
      </c>
      <c r="K13" s="85" t="s">
        <v>65</v>
      </c>
      <c r="L13" s="86"/>
      <c r="M13" s="98"/>
      <c r="N13" s="95"/>
    </row>
    <row r="14" ht="13.5" customHeight="1">
      <c r="A14" s="53">
        <v>18.0</v>
      </c>
      <c r="B14" s="53" t="s">
        <v>20</v>
      </c>
      <c r="C14" s="53">
        <v>1200393.0</v>
      </c>
      <c r="D14" s="96">
        <v>46210.0</v>
      </c>
      <c r="E14" s="28">
        <v>7863.43</v>
      </c>
      <c r="F14" s="53"/>
      <c r="G14" s="33" t="s">
        <v>19</v>
      </c>
      <c r="H14" s="14"/>
      <c r="I14" s="14"/>
      <c r="J14" s="92" t="s">
        <v>66</v>
      </c>
      <c r="K14" s="85" t="s">
        <v>65</v>
      </c>
      <c r="L14" s="86"/>
      <c r="M14" s="99"/>
      <c r="N14" s="95" t="s">
        <v>67</v>
      </c>
    </row>
    <row r="15" ht="13.5" customHeight="1">
      <c r="A15" s="53">
        <v>19.0</v>
      </c>
      <c r="B15" s="53" t="s">
        <v>20</v>
      </c>
      <c r="C15" s="53">
        <v>1040211.0</v>
      </c>
      <c r="D15" s="96">
        <v>46210.0</v>
      </c>
      <c r="E15" s="28">
        <v>4670.87</v>
      </c>
      <c r="F15" s="53"/>
      <c r="G15" s="33" t="s">
        <v>19</v>
      </c>
      <c r="H15" s="14"/>
      <c r="I15" s="14"/>
      <c r="J15" s="92" t="s">
        <v>68</v>
      </c>
      <c r="K15" s="85" t="s">
        <v>65</v>
      </c>
      <c r="L15" s="86">
        <v>100758.4</v>
      </c>
      <c r="M15" s="99" t="s">
        <v>19</v>
      </c>
      <c r="N15" s="76" t="s">
        <v>69</v>
      </c>
    </row>
    <row r="16" ht="13.5" customHeight="1">
      <c r="A16" s="53">
        <v>20.0</v>
      </c>
      <c r="B16" s="53" t="s">
        <v>20</v>
      </c>
      <c r="C16" s="53">
        <v>1040211.0</v>
      </c>
      <c r="D16" s="96">
        <v>46210.0</v>
      </c>
      <c r="E16" s="28">
        <v>4005.56</v>
      </c>
      <c r="F16" s="53"/>
      <c r="G16" s="33" t="s">
        <v>19</v>
      </c>
      <c r="H16" s="14"/>
      <c r="I16" s="14"/>
      <c r="J16" s="92" t="s">
        <v>70</v>
      </c>
      <c r="K16" s="85" t="s">
        <v>65</v>
      </c>
      <c r="L16" s="86">
        <v>24972.43</v>
      </c>
      <c r="M16" s="99" t="s">
        <v>19</v>
      </c>
      <c r="N16" s="95" t="s">
        <v>71</v>
      </c>
    </row>
    <row r="17" ht="13.5" customHeight="1">
      <c r="A17" s="53">
        <v>21.0</v>
      </c>
      <c r="B17" s="53" t="s">
        <v>20</v>
      </c>
      <c r="C17" s="53">
        <v>1200393.0</v>
      </c>
      <c r="D17" s="96">
        <v>46210.0</v>
      </c>
      <c r="E17" s="28">
        <v>5580.24</v>
      </c>
      <c r="F17" s="53"/>
      <c r="G17" s="33" t="s">
        <v>19</v>
      </c>
      <c r="H17" s="14"/>
      <c r="I17" s="14"/>
      <c r="J17" s="92" t="s">
        <v>72</v>
      </c>
      <c r="K17" s="85" t="s">
        <v>65</v>
      </c>
      <c r="L17" s="86">
        <v>27987.59</v>
      </c>
      <c r="M17" s="99" t="s">
        <v>19</v>
      </c>
      <c r="N17" s="95" t="s">
        <v>73</v>
      </c>
      <c r="O17" s="55" t="str">
        <f>-'[1]07.07.26'!$DOK$10</f>
        <v>#REF!</v>
      </c>
    </row>
    <row r="18" ht="13.5" customHeight="1">
      <c r="A18" s="53">
        <v>22.0</v>
      </c>
      <c r="B18" s="53" t="s">
        <v>20</v>
      </c>
      <c r="C18" s="53">
        <v>1200393.0</v>
      </c>
      <c r="D18" s="96">
        <v>46210.0</v>
      </c>
      <c r="E18" s="28">
        <v>53614.63</v>
      </c>
      <c r="F18" s="53"/>
      <c r="G18" s="33" t="s">
        <v>19</v>
      </c>
      <c r="H18" s="14"/>
      <c r="I18" s="14"/>
      <c r="J18" s="92" t="s">
        <v>74</v>
      </c>
      <c r="K18" s="85" t="s">
        <v>65</v>
      </c>
      <c r="L18" s="100">
        <v>82586.62</v>
      </c>
      <c r="M18" s="101" t="s">
        <v>19</v>
      </c>
      <c r="N18" s="76" t="s">
        <v>75</v>
      </c>
    </row>
    <row r="19" ht="13.5" customHeight="1">
      <c r="A19" s="53">
        <v>23.0</v>
      </c>
      <c r="B19" s="53" t="s">
        <v>20</v>
      </c>
      <c r="C19" s="53">
        <v>1200393.0</v>
      </c>
      <c r="D19" s="96">
        <v>46210.0</v>
      </c>
      <c r="E19" s="28">
        <v>10852.03</v>
      </c>
      <c r="F19" s="53"/>
      <c r="G19" s="33" t="s">
        <v>19</v>
      </c>
      <c r="H19" s="14"/>
      <c r="I19" s="14"/>
      <c r="J19" s="92" t="s">
        <v>76</v>
      </c>
      <c r="K19" s="85" t="s">
        <v>63</v>
      </c>
      <c r="L19" s="86">
        <v>7046.4</v>
      </c>
      <c r="M19" s="102" t="s">
        <v>19</v>
      </c>
      <c r="N19" s="103"/>
    </row>
    <row r="20" ht="13.5" customHeight="1">
      <c r="A20" s="82">
        <v>26.0</v>
      </c>
      <c r="B20" s="82" t="s">
        <v>20</v>
      </c>
      <c r="C20" s="82">
        <v>1060345.0</v>
      </c>
      <c r="D20" s="83">
        <v>46210.0</v>
      </c>
      <c r="E20" s="84">
        <v>9809.61</v>
      </c>
      <c r="F20" s="82"/>
      <c r="G20" s="15" t="s">
        <v>19</v>
      </c>
      <c r="H20" s="14"/>
      <c r="I20" s="14"/>
      <c r="J20" s="104" t="s">
        <v>77</v>
      </c>
      <c r="K20" s="85"/>
      <c r="L20" s="105">
        <f>SUM(L8:L19)</f>
        <v>860735.9</v>
      </c>
      <c r="M20" s="92"/>
      <c r="N20" s="103"/>
    </row>
    <row r="21" ht="13.5" customHeight="1">
      <c r="A21" s="82">
        <v>27.0</v>
      </c>
      <c r="B21" s="82" t="s">
        <v>20</v>
      </c>
      <c r="C21" s="82">
        <v>1040221.0</v>
      </c>
      <c r="D21" s="83">
        <v>46210.0</v>
      </c>
      <c r="E21" s="84">
        <v>860735.9</v>
      </c>
      <c r="F21" s="82"/>
      <c r="G21" s="15" t="s">
        <v>19</v>
      </c>
      <c r="H21" s="14"/>
      <c r="I21" s="14"/>
      <c r="J21" s="103"/>
      <c r="K21" s="103"/>
      <c r="L21" s="106">
        <f>SUMIF(M8:M19,"OK",L8:L19)</f>
        <v>860735.9</v>
      </c>
      <c r="M21" s="107" t="s">
        <v>78</v>
      </c>
      <c r="N21" s="103"/>
    </row>
    <row r="22" ht="13.5" customHeight="1">
      <c r="A22" s="53">
        <v>54.0</v>
      </c>
      <c r="B22" s="53" t="s">
        <v>47</v>
      </c>
      <c r="C22" s="53">
        <v>1040500.0</v>
      </c>
      <c r="D22" s="96">
        <v>46210.0</v>
      </c>
      <c r="E22" s="28">
        <v>87602.95</v>
      </c>
      <c r="F22" s="53"/>
      <c r="G22" s="33" t="s">
        <v>19</v>
      </c>
      <c r="H22" s="14"/>
      <c r="I22" s="14"/>
      <c r="J22" s="108"/>
      <c r="K22" s="17"/>
      <c r="L22" s="106">
        <f>L20-L21</f>
        <v>0</v>
      </c>
      <c r="M22" s="109" t="s">
        <v>79</v>
      </c>
    </row>
    <row r="23" ht="13.5" customHeight="1">
      <c r="A23" s="53">
        <v>55.0</v>
      </c>
      <c r="B23" s="53" t="s">
        <v>47</v>
      </c>
      <c r="C23" s="53">
        <v>1040500.0</v>
      </c>
      <c r="D23" s="96">
        <v>46210.0</v>
      </c>
      <c r="E23" s="28">
        <v>91342.19</v>
      </c>
      <c r="F23" s="53"/>
      <c r="G23" s="33" t="s">
        <v>19</v>
      </c>
      <c r="H23" s="14"/>
      <c r="I23" s="14"/>
      <c r="J23" s="14"/>
      <c r="K23" s="14"/>
      <c r="L23" s="14"/>
    </row>
    <row r="24" ht="13.5" customHeight="1">
      <c r="A24" s="53">
        <v>56.0</v>
      </c>
      <c r="B24" s="53" t="s">
        <v>47</v>
      </c>
      <c r="C24" s="53">
        <v>1040500.0</v>
      </c>
      <c r="D24" s="96">
        <v>46210.0</v>
      </c>
      <c r="E24" s="28">
        <v>86497.72</v>
      </c>
      <c r="F24" s="53"/>
      <c r="G24" s="33" t="s">
        <v>19</v>
      </c>
      <c r="H24" s="14"/>
      <c r="I24" s="14"/>
      <c r="J24" s="14"/>
      <c r="K24" s="14"/>
      <c r="L24" s="14"/>
    </row>
    <row r="25" ht="13.5" customHeight="1">
      <c r="A25" s="53">
        <v>57.0</v>
      </c>
      <c r="B25" s="53" t="s">
        <v>47</v>
      </c>
      <c r="C25" s="53">
        <v>1040500.0</v>
      </c>
      <c r="D25" s="96">
        <v>46210.0</v>
      </c>
      <c r="E25" s="28">
        <v>82886.83</v>
      </c>
      <c r="F25" s="53"/>
      <c r="G25" s="33" t="s">
        <v>19</v>
      </c>
      <c r="H25" s="14"/>
      <c r="I25" s="14"/>
      <c r="J25" s="14"/>
      <c r="K25" s="14"/>
      <c r="L25" s="14"/>
    </row>
    <row r="26" ht="13.5" customHeight="1">
      <c r="A26" s="53">
        <v>58.0</v>
      </c>
      <c r="B26" s="53" t="s">
        <v>47</v>
      </c>
      <c r="C26" s="53">
        <v>1040500.0</v>
      </c>
      <c r="D26" s="96">
        <v>46210.0</v>
      </c>
      <c r="E26" s="28">
        <v>101342.93</v>
      </c>
      <c r="F26" s="53"/>
      <c r="G26" s="33" t="s">
        <v>19</v>
      </c>
      <c r="H26" s="14"/>
      <c r="I26" s="14"/>
      <c r="J26" s="14"/>
      <c r="K26" s="14"/>
      <c r="L26" s="14"/>
    </row>
    <row r="27" ht="13.5" customHeight="1">
      <c r="A27" s="53">
        <v>59.0</v>
      </c>
      <c r="B27" s="53" t="s">
        <v>47</v>
      </c>
      <c r="C27" s="53">
        <v>1040500.0</v>
      </c>
      <c r="D27" s="96">
        <v>46210.0</v>
      </c>
      <c r="E27" s="28">
        <v>38336.35</v>
      </c>
      <c r="F27" s="53"/>
      <c r="G27" s="33" t="s">
        <v>19</v>
      </c>
      <c r="H27" s="14"/>
      <c r="I27" s="14"/>
      <c r="J27" s="14"/>
      <c r="K27" s="14"/>
      <c r="L27" s="14"/>
    </row>
    <row r="28" ht="13.5" customHeight="1">
      <c r="A28" s="53">
        <v>60.0</v>
      </c>
      <c r="B28" s="53" t="s">
        <v>47</v>
      </c>
      <c r="C28" s="53">
        <v>1040500.0</v>
      </c>
      <c r="D28" s="96">
        <v>46210.0</v>
      </c>
      <c r="E28" s="28">
        <v>35367.15</v>
      </c>
      <c r="F28" s="53"/>
      <c r="G28" s="33" t="s">
        <v>19</v>
      </c>
      <c r="H28" s="14"/>
      <c r="I28" s="14"/>
      <c r="J28" s="14"/>
      <c r="K28" s="14"/>
      <c r="L28" s="14"/>
    </row>
    <row r="29" ht="13.5" customHeight="1">
      <c r="A29" s="53">
        <v>61.0</v>
      </c>
      <c r="B29" s="53" t="s">
        <v>47</v>
      </c>
      <c r="C29" s="53">
        <v>1040500.0</v>
      </c>
      <c r="D29" s="96">
        <v>46210.0</v>
      </c>
      <c r="E29" s="28">
        <v>74289.01</v>
      </c>
      <c r="F29" s="53"/>
      <c r="G29" s="33" t="s">
        <v>19</v>
      </c>
      <c r="H29" s="14"/>
      <c r="I29" s="14"/>
      <c r="J29" s="14"/>
      <c r="K29" s="14"/>
      <c r="L29" s="14"/>
    </row>
    <row r="30" ht="13.5" customHeight="1">
      <c r="A30" s="53">
        <v>62.0</v>
      </c>
      <c r="B30" s="53" t="s">
        <v>47</v>
      </c>
      <c r="C30" s="53">
        <v>1040500.0</v>
      </c>
      <c r="D30" s="96">
        <v>46210.0</v>
      </c>
      <c r="E30" s="28">
        <v>48969.28</v>
      </c>
      <c r="F30" s="53"/>
      <c r="G30" s="33" t="s">
        <v>19</v>
      </c>
      <c r="H30" s="14"/>
      <c r="I30" s="14"/>
      <c r="J30" s="14"/>
      <c r="K30" s="14"/>
      <c r="L30" s="14"/>
    </row>
    <row r="31" ht="13.5" customHeight="1">
      <c r="A31" s="53">
        <v>63.0</v>
      </c>
      <c r="B31" s="53" t="s">
        <v>47</v>
      </c>
      <c r="C31" s="53">
        <v>1040500.0</v>
      </c>
      <c r="D31" s="96">
        <v>46210.0</v>
      </c>
      <c r="E31" s="28">
        <v>67500.02</v>
      </c>
      <c r="F31" s="53"/>
      <c r="G31" s="33" t="s">
        <v>19</v>
      </c>
      <c r="H31" s="14"/>
      <c r="I31" s="14"/>
      <c r="J31" s="14"/>
      <c r="K31" s="14"/>
      <c r="L31" s="14"/>
    </row>
    <row r="32" ht="13.5" customHeight="1">
      <c r="A32" s="53">
        <v>64.0</v>
      </c>
      <c r="B32" s="53" t="s">
        <v>47</v>
      </c>
      <c r="C32" s="53">
        <v>1040500.0</v>
      </c>
      <c r="D32" s="96">
        <v>46210.0</v>
      </c>
      <c r="E32" s="28">
        <v>72414.23</v>
      </c>
      <c r="F32" s="53"/>
      <c r="G32" s="33" t="s">
        <v>19</v>
      </c>
      <c r="H32" s="14"/>
      <c r="I32" s="14"/>
      <c r="J32" s="14"/>
      <c r="K32" s="14"/>
      <c r="L32" s="14"/>
    </row>
    <row r="33" ht="13.5" customHeight="1">
      <c r="A33" s="53">
        <v>65.0</v>
      </c>
      <c r="B33" s="53" t="s">
        <v>47</v>
      </c>
      <c r="C33" s="53">
        <v>1040500.0</v>
      </c>
      <c r="D33" s="96">
        <v>46210.0</v>
      </c>
      <c r="E33" s="28">
        <v>76811.95</v>
      </c>
      <c r="F33" s="53"/>
      <c r="G33" s="33" t="s">
        <v>19</v>
      </c>
      <c r="H33" s="14"/>
      <c r="I33" s="14"/>
      <c r="J33" s="14"/>
      <c r="K33" s="14"/>
      <c r="L33" s="14"/>
    </row>
    <row r="34" ht="13.5" customHeight="1">
      <c r="A34" s="53">
        <v>66.0</v>
      </c>
      <c r="B34" s="53" t="s">
        <v>47</v>
      </c>
      <c r="C34" s="53">
        <v>1040500.0</v>
      </c>
      <c r="D34" s="96">
        <v>46210.0</v>
      </c>
      <c r="E34" s="28">
        <v>38933.72</v>
      </c>
      <c r="F34" s="53"/>
      <c r="G34" s="33" t="s">
        <v>19</v>
      </c>
      <c r="H34" s="14"/>
      <c r="I34" s="14"/>
      <c r="J34" s="14"/>
      <c r="K34" s="14"/>
      <c r="L34" s="14"/>
    </row>
    <row r="35" ht="13.5" customHeight="1">
      <c r="A35" s="53">
        <v>67.0</v>
      </c>
      <c r="B35" s="53" t="s">
        <v>47</v>
      </c>
      <c r="C35" s="53">
        <v>1040500.0</v>
      </c>
      <c r="D35" s="96">
        <v>46210.0</v>
      </c>
      <c r="E35" s="28">
        <v>85594.99</v>
      </c>
      <c r="F35" s="53"/>
      <c r="G35" s="33" t="s">
        <v>19</v>
      </c>
      <c r="H35" s="14"/>
      <c r="I35" s="14"/>
      <c r="J35" s="14"/>
      <c r="K35" s="14"/>
      <c r="L35" s="14"/>
    </row>
    <row r="36" ht="13.5" customHeight="1">
      <c r="A36" s="53">
        <v>68.0</v>
      </c>
      <c r="B36" s="53" t="s">
        <v>47</v>
      </c>
      <c r="C36" s="53">
        <v>1040500.0</v>
      </c>
      <c r="D36" s="96">
        <v>46210.0</v>
      </c>
      <c r="E36" s="28">
        <v>40165.28</v>
      </c>
      <c r="F36" s="53"/>
      <c r="G36" s="33" t="s">
        <v>19</v>
      </c>
      <c r="H36" s="14"/>
      <c r="I36" s="14"/>
      <c r="J36" s="14"/>
      <c r="K36" s="14"/>
      <c r="L36" s="14"/>
    </row>
    <row r="37" ht="13.5" customHeight="1">
      <c r="A37" s="53">
        <v>69.0</v>
      </c>
      <c r="B37" s="53" t="s">
        <v>47</v>
      </c>
      <c r="C37" s="53">
        <v>1040500.0</v>
      </c>
      <c r="D37" s="96">
        <v>46210.0</v>
      </c>
      <c r="E37" s="28">
        <v>65321.47</v>
      </c>
      <c r="F37" s="53"/>
      <c r="G37" s="33" t="s">
        <v>19</v>
      </c>
      <c r="H37" s="14"/>
      <c r="I37" s="14"/>
      <c r="J37" s="14"/>
      <c r="K37" s="14"/>
      <c r="L37" s="14"/>
    </row>
    <row r="38" ht="13.5" customHeight="1">
      <c r="A38" s="53">
        <v>70.0</v>
      </c>
      <c r="B38" s="53" t="s">
        <v>47</v>
      </c>
      <c r="C38" s="53">
        <v>1040500.0</v>
      </c>
      <c r="D38" s="96">
        <v>46210.0</v>
      </c>
      <c r="E38" s="28">
        <v>76827.35</v>
      </c>
      <c r="F38" s="53"/>
      <c r="G38" s="33" t="s">
        <v>19</v>
      </c>
      <c r="H38" s="14"/>
      <c r="I38" s="14"/>
      <c r="J38" s="14"/>
      <c r="K38" s="14"/>
      <c r="L38" s="14"/>
    </row>
    <row r="39" ht="13.5" customHeight="1">
      <c r="A39" s="53">
        <v>71.0</v>
      </c>
      <c r="B39" s="53" t="s">
        <v>47</v>
      </c>
      <c r="C39" s="53">
        <v>1040500.0</v>
      </c>
      <c r="D39" s="96">
        <v>46210.0</v>
      </c>
      <c r="E39" s="28">
        <v>45720.07</v>
      </c>
      <c r="F39" s="53"/>
      <c r="G39" s="33" t="s">
        <v>19</v>
      </c>
      <c r="H39" s="14"/>
      <c r="I39" s="14"/>
      <c r="J39" s="14"/>
      <c r="K39" s="14"/>
      <c r="L39" s="14"/>
    </row>
    <row r="40" ht="13.5" customHeight="1">
      <c r="A40" s="53">
        <v>72.0</v>
      </c>
      <c r="B40" s="53" t="s">
        <v>47</v>
      </c>
      <c r="C40" s="53">
        <v>1040500.0</v>
      </c>
      <c r="D40" s="96">
        <v>46210.0</v>
      </c>
      <c r="E40" s="28">
        <v>30998.81</v>
      </c>
      <c r="F40" s="53"/>
      <c r="G40" s="33" t="s">
        <v>19</v>
      </c>
      <c r="H40" s="14"/>
      <c r="I40" s="14"/>
      <c r="J40" s="14"/>
      <c r="K40" s="14"/>
      <c r="L40" s="14"/>
    </row>
    <row r="41" ht="13.5" customHeight="1">
      <c r="A41" s="53">
        <v>73.0</v>
      </c>
      <c r="B41" s="53" t="s">
        <v>47</v>
      </c>
      <c r="C41" s="53">
        <v>1040500.0</v>
      </c>
      <c r="D41" s="96">
        <v>46210.0</v>
      </c>
      <c r="E41" s="28">
        <v>40926.5</v>
      </c>
      <c r="F41" s="53"/>
      <c r="G41" s="33" t="s">
        <v>19</v>
      </c>
      <c r="H41" s="14"/>
      <c r="I41" s="14"/>
      <c r="J41" s="14"/>
      <c r="K41" s="14"/>
      <c r="L41" s="14"/>
    </row>
    <row r="42" ht="13.5" customHeight="1">
      <c r="A42" s="53">
        <v>74.0</v>
      </c>
      <c r="B42" s="53" t="s">
        <v>47</v>
      </c>
      <c r="C42" s="53">
        <v>1040500.0</v>
      </c>
      <c r="D42" s="96">
        <v>46210.0</v>
      </c>
      <c r="E42" s="28">
        <v>63630.92</v>
      </c>
      <c r="F42" s="53"/>
      <c r="G42" s="33" t="s">
        <v>19</v>
      </c>
      <c r="H42" s="14"/>
      <c r="I42" s="14"/>
      <c r="J42" s="14"/>
      <c r="K42" s="14"/>
      <c r="L42" s="14"/>
    </row>
    <row r="43" ht="13.5" customHeight="1">
      <c r="A43" s="53">
        <v>75.0</v>
      </c>
      <c r="B43" s="53" t="s">
        <v>47</v>
      </c>
      <c r="C43" s="53">
        <v>1040500.0</v>
      </c>
      <c r="D43" s="96">
        <v>46210.0</v>
      </c>
      <c r="E43" s="28">
        <v>62593.74</v>
      </c>
      <c r="F43" s="53"/>
      <c r="G43" s="33" t="s">
        <v>19</v>
      </c>
      <c r="H43" s="14"/>
      <c r="I43" s="14"/>
      <c r="J43" s="14"/>
      <c r="K43" s="14"/>
      <c r="L43" s="14"/>
    </row>
    <row r="44" ht="13.5" customHeight="1">
      <c r="A44" s="53">
        <v>76.0</v>
      </c>
      <c r="B44" s="53" t="s">
        <v>47</v>
      </c>
      <c r="C44" s="53">
        <v>1040500.0</v>
      </c>
      <c r="D44" s="96">
        <v>46210.0</v>
      </c>
      <c r="E44" s="28">
        <v>74997.63</v>
      </c>
      <c r="F44" s="53"/>
      <c r="G44" s="33" t="s">
        <v>19</v>
      </c>
      <c r="H44" s="14"/>
      <c r="I44" s="14"/>
      <c r="J44" s="14"/>
      <c r="K44" s="14"/>
      <c r="L44" s="14"/>
    </row>
    <row r="45" ht="13.5" customHeight="1">
      <c r="A45" s="53">
        <v>77.0</v>
      </c>
      <c r="B45" s="53" t="s">
        <v>47</v>
      </c>
      <c r="C45" s="53">
        <v>1040500.0</v>
      </c>
      <c r="D45" s="96">
        <v>46210.0</v>
      </c>
      <c r="E45" s="28">
        <v>64983.35</v>
      </c>
      <c r="F45" s="53"/>
      <c r="G45" s="33" t="s">
        <v>19</v>
      </c>
      <c r="H45" s="14"/>
      <c r="I45" s="14"/>
      <c r="J45" s="14"/>
      <c r="K45" s="14"/>
      <c r="L45" s="14"/>
    </row>
    <row r="46" ht="13.5" customHeight="1">
      <c r="A46" s="53">
        <v>78.0</v>
      </c>
      <c r="B46" s="53" t="s">
        <v>47</v>
      </c>
      <c r="C46" s="53">
        <v>1040500.0</v>
      </c>
      <c r="D46" s="96">
        <v>46210.0</v>
      </c>
      <c r="E46" s="28">
        <v>37378.29</v>
      </c>
      <c r="F46" s="53"/>
      <c r="G46" s="33" t="s">
        <v>19</v>
      </c>
      <c r="H46" s="14"/>
      <c r="I46" s="14"/>
      <c r="J46" s="14"/>
      <c r="K46" s="14"/>
      <c r="L46" s="14"/>
    </row>
    <row r="47" ht="13.5" customHeight="1">
      <c r="A47" s="53">
        <v>79.0</v>
      </c>
      <c r="B47" s="53" t="s">
        <v>47</v>
      </c>
      <c r="C47" s="53">
        <v>1040500.0</v>
      </c>
      <c r="D47" s="96">
        <v>46210.0</v>
      </c>
      <c r="E47" s="28">
        <v>84330.87</v>
      </c>
      <c r="F47" s="53"/>
      <c r="G47" s="33" t="s">
        <v>19</v>
      </c>
      <c r="H47" s="14"/>
      <c r="I47" s="14"/>
      <c r="J47" s="14"/>
      <c r="K47" s="14"/>
      <c r="L47" s="14"/>
    </row>
    <row r="48" ht="13.5" customHeight="1">
      <c r="A48" s="53">
        <v>80.0</v>
      </c>
      <c r="B48" s="53" t="s">
        <v>47</v>
      </c>
      <c r="C48" s="53">
        <v>1040500.0</v>
      </c>
      <c r="D48" s="96">
        <v>46210.0</v>
      </c>
      <c r="E48" s="28">
        <v>51425.69</v>
      </c>
      <c r="F48" s="53"/>
      <c r="G48" s="33" t="s">
        <v>19</v>
      </c>
      <c r="H48" s="14"/>
      <c r="I48" s="14"/>
      <c r="J48" s="14"/>
      <c r="K48" s="14"/>
      <c r="L48" s="14"/>
    </row>
    <row r="49" ht="13.5" customHeight="1">
      <c r="A49" s="53">
        <v>81.0</v>
      </c>
      <c r="B49" s="53" t="s">
        <v>47</v>
      </c>
      <c r="C49" s="53">
        <v>1040500.0</v>
      </c>
      <c r="D49" s="96">
        <v>46210.0</v>
      </c>
      <c r="E49" s="28">
        <v>66647.76</v>
      </c>
      <c r="F49" s="53"/>
      <c r="G49" s="33" t="s">
        <v>19</v>
      </c>
      <c r="H49" s="14"/>
      <c r="I49" s="14"/>
      <c r="J49" s="14"/>
      <c r="K49" s="14"/>
      <c r="L49" s="14"/>
    </row>
    <row r="50" ht="13.5" customHeight="1">
      <c r="A50" s="53">
        <v>82.0</v>
      </c>
      <c r="B50" s="53" t="s">
        <v>47</v>
      </c>
      <c r="C50" s="53">
        <v>1040500.0</v>
      </c>
      <c r="D50" s="96">
        <v>46210.0</v>
      </c>
      <c r="E50" s="28">
        <v>65321.48</v>
      </c>
      <c r="F50" s="53"/>
      <c r="G50" s="33" t="s">
        <v>19</v>
      </c>
      <c r="H50" s="14"/>
      <c r="I50" s="14"/>
      <c r="J50" s="14"/>
      <c r="K50" s="14"/>
      <c r="L50" s="14"/>
    </row>
    <row r="51" ht="13.5" customHeight="1">
      <c r="A51" s="53">
        <v>83.0</v>
      </c>
      <c r="B51" s="53" t="s">
        <v>47</v>
      </c>
      <c r="C51" s="53">
        <v>1040500.0</v>
      </c>
      <c r="D51" s="96">
        <v>46210.0</v>
      </c>
      <c r="E51" s="28">
        <v>38074.16</v>
      </c>
      <c r="F51" s="53"/>
      <c r="G51" s="33" t="s">
        <v>19</v>
      </c>
      <c r="H51" s="14"/>
      <c r="I51" s="14"/>
      <c r="J51" s="14"/>
      <c r="K51" s="14"/>
      <c r="L51" s="14"/>
    </row>
    <row r="52" ht="13.5" customHeight="1">
      <c r="A52" s="53">
        <v>84.0</v>
      </c>
      <c r="B52" s="53" t="s">
        <v>47</v>
      </c>
      <c r="C52" s="53">
        <v>1040500.0</v>
      </c>
      <c r="D52" s="96">
        <v>46210.0</v>
      </c>
      <c r="E52" s="28">
        <v>40076.84</v>
      </c>
      <c r="F52" s="53"/>
      <c r="G52" s="33" t="s">
        <v>19</v>
      </c>
      <c r="H52" s="14"/>
      <c r="I52" s="14"/>
      <c r="J52" s="14"/>
      <c r="K52" s="14"/>
      <c r="L52" s="14"/>
    </row>
    <row r="53" ht="13.5" customHeight="1">
      <c r="A53" s="53">
        <v>85.0</v>
      </c>
      <c r="B53" s="53" t="s">
        <v>47</v>
      </c>
      <c r="C53" s="53">
        <v>1040500.0</v>
      </c>
      <c r="D53" s="96">
        <v>46210.0</v>
      </c>
      <c r="E53" s="28">
        <v>38933.72</v>
      </c>
      <c r="F53" s="53"/>
      <c r="G53" s="33" t="s">
        <v>19</v>
      </c>
      <c r="H53" s="14"/>
      <c r="I53" s="14"/>
      <c r="J53" s="14"/>
      <c r="K53" s="14"/>
      <c r="L53" s="14"/>
    </row>
    <row r="54" ht="13.5" customHeight="1">
      <c r="A54" s="53">
        <v>86.0</v>
      </c>
      <c r="B54" s="53" t="s">
        <v>47</v>
      </c>
      <c r="C54" s="53">
        <v>1040500.0</v>
      </c>
      <c r="D54" s="96">
        <v>46210.0</v>
      </c>
      <c r="E54" s="28">
        <v>64983.35</v>
      </c>
      <c r="F54" s="53"/>
      <c r="G54" s="33" t="s">
        <v>19</v>
      </c>
      <c r="H54" s="14"/>
      <c r="I54" s="14"/>
      <c r="J54" s="14"/>
      <c r="K54" s="14"/>
      <c r="L54" s="14"/>
    </row>
    <row r="55" ht="13.5" customHeight="1">
      <c r="A55" s="53">
        <v>87.0</v>
      </c>
      <c r="B55" s="53" t="s">
        <v>47</v>
      </c>
      <c r="C55" s="53">
        <v>1040500.0</v>
      </c>
      <c r="D55" s="96">
        <v>46210.0</v>
      </c>
      <c r="E55" s="28">
        <v>40714.99</v>
      </c>
      <c r="F55" s="53"/>
      <c r="G55" s="33" t="s">
        <v>19</v>
      </c>
      <c r="H55" s="14"/>
      <c r="I55" s="14"/>
      <c r="J55" s="14"/>
      <c r="K55" s="14"/>
      <c r="L55" s="14"/>
    </row>
    <row r="56" ht="13.5" customHeight="1">
      <c r="A56" s="53">
        <v>88.0</v>
      </c>
      <c r="B56" s="53" t="s">
        <v>47</v>
      </c>
      <c r="C56" s="53">
        <v>1040500.0</v>
      </c>
      <c r="D56" s="96">
        <v>46210.0</v>
      </c>
      <c r="E56" s="28">
        <v>37732.26</v>
      </c>
      <c r="F56" s="53"/>
      <c r="G56" s="33" t="s">
        <v>19</v>
      </c>
      <c r="H56" s="14"/>
      <c r="I56" s="14"/>
      <c r="J56" s="14"/>
      <c r="K56" s="14"/>
      <c r="L56" s="14"/>
    </row>
    <row r="57" ht="13.5" customHeight="1">
      <c r="A57" s="53">
        <v>89.0</v>
      </c>
      <c r="B57" s="53" t="s">
        <v>47</v>
      </c>
      <c r="C57" s="53">
        <v>1040500.0</v>
      </c>
      <c r="D57" s="96">
        <v>46210.0</v>
      </c>
      <c r="E57" s="28">
        <v>74748.93</v>
      </c>
      <c r="F57" s="53"/>
      <c r="G57" s="33" t="s">
        <v>19</v>
      </c>
      <c r="H57" s="14"/>
      <c r="I57" s="14"/>
      <c r="J57" s="14"/>
      <c r="K57" s="14"/>
      <c r="L57" s="14"/>
    </row>
    <row r="58" ht="13.5" customHeight="1">
      <c r="A58" s="53">
        <v>90.0</v>
      </c>
      <c r="B58" s="53" t="s">
        <v>47</v>
      </c>
      <c r="C58" s="53">
        <v>1040500.0</v>
      </c>
      <c r="D58" s="96">
        <v>46210.0</v>
      </c>
      <c r="E58" s="28">
        <v>39538.61</v>
      </c>
      <c r="F58" s="53"/>
      <c r="G58" s="33" t="s">
        <v>19</v>
      </c>
      <c r="H58" s="14"/>
      <c r="I58" s="14"/>
      <c r="J58" s="14"/>
      <c r="K58" s="14"/>
      <c r="L58" s="14"/>
    </row>
    <row r="59" ht="13.5" customHeight="1">
      <c r="A59" s="53">
        <v>91.0</v>
      </c>
      <c r="B59" s="53" t="s">
        <v>47</v>
      </c>
      <c r="C59" s="53">
        <v>1040500.0</v>
      </c>
      <c r="D59" s="96">
        <v>46210.0</v>
      </c>
      <c r="E59" s="28">
        <v>65321.48</v>
      </c>
      <c r="F59" s="53"/>
      <c r="G59" s="33" t="s">
        <v>19</v>
      </c>
      <c r="H59" s="14"/>
      <c r="I59" s="14"/>
      <c r="J59" s="14"/>
      <c r="K59" s="14"/>
      <c r="L59" s="14"/>
    </row>
    <row r="60" ht="13.5" customHeight="1">
      <c r="A60" s="53">
        <v>92.0</v>
      </c>
      <c r="B60" s="53" t="s">
        <v>47</v>
      </c>
      <c r="C60" s="53">
        <v>1040500.0</v>
      </c>
      <c r="D60" s="96">
        <v>46210.0</v>
      </c>
      <c r="E60" s="28">
        <v>58259.16</v>
      </c>
      <c r="F60" s="53"/>
      <c r="G60" s="33" t="s">
        <v>19</v>
      </c>
      <c r="H60" s="14"/>
      <c r="I60" s="14"/>
      <c r="J60" s="14"/>
      <c r="K60" s="14"/>
      <c r="L60" s="14"/>
    </row>
    <row r="61" ht="13.5" customHeight="1">
      <c r="A61" s="53">
        <v>93.0</v>
      </c>
      <c r="B61" s="53" t="s">
        <v>47</v>
      </c>
      <c r="C61" s="53">
        <v>1040500.0</v>
      </c>
      <c r="D61" s="96">
        <v>46210.0</v>
      </c>
      <c r="E61" s="28">
        <v>66399.56</v>
      </c>
      <c r="F61" s="53"/>
      <c r="G61" s="33" t="s">
        <v>19</v>
      </c>
      <c r="H61" s="14"/>
      <c r="I61" s="14"/>
      <c r="J61" s="14"/>
      <c r="K61" s="14"/>
      <c r="L61" s="14"/>
    </row>
    <row r="62" ht="13.5" customHeight="1">
      <c r="A62" s="53">
        <v>94.0</v>
      </c>
      <c r="B62" s="53" t="s">
        <v>47</v>
      </c>
      <c r="C62" s="53">
        <v>1040500.0</v>
      </c>
      <c r="D62" s="96">
        <v>46210.0</v>
      </c>
      <c r="E62" s="28">
        <v>21799.6</v>
      </c>
      <c r="F62" s="53"/>
      <c r="G62" s="33" t="s">
        <v>19</v>
      </c>
      <c r="H62" s="14"/>
      <c r="I62" s="14"/>
      <c r="J62" s="14"/>
      <c r="K62" s="14"/>
      <c r="L62" s="14"/>
    </row>
    <row r="63" ht="13.5" customHeight="1">
      <c r="A63" s="53">
        <v>95.0</v>
      </c>
      <c r="B63" s="53" t="s">
        <v>47</v>
      </c>
      <c r="C63" s="53">
        <v>1040500.0</v>
      </c>
      <c r="D63" s="96">
        <v>46210.0</v>
      </c>
      <c r="E63" s="28">
        <v>90536.46</v>
      </c>
      <c r="F63" s="53"/>
      <c r="G63" s="33" t="s">
        <v>19</v>
      </c>
      <c r="H63" s="14"/>
      <c r="I63" s="14"/>
      <c r="J63" s="14"/>
      <c r="K63" s="14"/>
      <c r="L63" s="14"/>
    </row>
    <row r="64" ht="13.5" customHeight="1">
      <c r="A64" s="53">
        <v>96.0</v>
      </c>
      <c r="B64" s="53" t="s">
        <v>47</v>
      </c>
      <c r="C64" s="53">
        <v>1040500.0</v>
      </c>
      <c r="D64" s="96">
        <v>46210.0</v>
      </c>
      <c r="E64" s="28">
        <v>46104.78</v>
      </c>
      <c r="F64" s="53"/>
      <c r="G64" s="33" t="s">
        <v>19</v>
      </c>
      <c r="H64" s="14"/>
      <c r="I64" s="14"/>
      <c r="J64" s="14"/>
      <c r="K64" s="14"/>
      <c r="L64" s="14"/>
    </row>
    <row r="65" ht="13.5" customHeight="1">
      <c r="A65" s="53">
        <v>97.0</v>
      </c>
      <c r="B65" s="53" t="s">
        <v>47</v>
      </c>
      <c r="C65" s="53">
        <v>1040500.0</v>
      </c>
      <c r="D65" s="96">
        <v>46210.0</v>
      </c>
      <c r="E65" s="28">
        <v>66135.13</v>
      </c>
      <c r="F65" s="53"/>
      <c r="G65" s="33" t="s">
        <v>19</v>
      </c>
      <c r="H65" s="14"/>
      <c r="I65" s="14"/>
      <c r="J65" s="14"/>
      <c r="K65" s="14"/>
      <c r="L65" s="14"/>
    </row>
    <row r="66" ht="13.5" customHeight="1">
      <c r="A66" s="53">
        <v>98.0</v>
      </c>
      <c r="B66" s="53" t="s">
        <v>47</v>
      </c>
      <c r="C66" s="53">
        <v>1040500.0</v>
      </c>
      <c r="D66" s="96">
        <v>46210.0</v>
      </c>
      <c r="E66" s="28">
        <v>59133.6</v>
      </c>
      <c r="F66" s="53"/>
      <c r="G66" s="33" t="s">
        <v>19</v>
      </c>
      <c r="H66" s="14"/>
      <c r="I66" s="14"/>
      <c r="J66" s="14"/>
      <c r="K66" s="14"/>
      <c r="L66" s="14"/>
    </row>
    <row r="67" ht="13.5" customHeight="1">
      <c r="A67" s="53">
        <v>99.0</v>
      </c>
      <c r="B67" s="53" t="s">
        <v>47</v>
      </c>
      <c r="C67" s="53">
        <v>1040500.0</v>
      </c>
      <c r="D67" s="96">
        <v>46210.0</v>
      </c>
      <c r="E67" s="28">
        <v>66335.81</v>
      </c>
      <c r="F67" s="53"/>
      <c r="G67" s="33" t="s">
        <v>19</v>
      </c>
      <c r="H67" s="14"/>
      <c r="I67" s="14"/>
      <c r="J67" s="14"/>
      <c r="K67" s="14"/>
      <c r="L67" s="14"/>
    </row>
    <row r="68" ht="13.5" customHeight="1">
      <c r="A68" s="53">
        <v>100.0</v>
      </c>
      <c r="B68" s="53" t="s">
        <v>47</v>
      </c>
      <c r="C68" s="53">
        <v>1040500.0</v>
      </c>
      <c r="D68" s="96">
        <v>46210.0</v>
      </c>
      <c r="E68" s="28">
        <v>77425.41</v>
      </c>
      <c r="F68" s="53"/>
      <c r="G68" s="33" t="s">
        <v>19</v>
      </c>
      <c r="H68" s="14"/>
      <c r="I68" s="14"/>
      <c r="J68" s="14"/>
      <c r="K68" s="14"/>
      <c r="L68" s="14"/>
    </row>
    <row r="69" ht="13.5" customHeight="1">
      <c r="A69" s="53">
        <v>101.0</v>
      </c>
      <c r="B69" s="53" t="s">
        <v>47</v>
      </c>
      <c r="C69" s="53">
        <v>1040500.0</v>
      </c>
      <c r="D69" s="96">
        <v>46210.0</v>
      </c>
      <c r="E69" s="28">
        <v>63969.02</v>
      </c>
      <c r="F69" s="53"/>
      <c r="G69" s="33" t="s">
        <v>19</v>
      </c>
      <c r="H69" s="14"/>
      <c r="I69" s="14"/>
      <c r="J69" s="14"/>
      <c r="K69" s="14"/>
      <c r="L69" s="14"/>
    </row>
    <row r="70" ht="13.5" customHeight="1">
      <c r="A70" s="53">
        <v>102.0</v>
      </c>
      <c r="B70" s="53" t="s">
        <v>47</v>
      </c>
      <c r="C70" s="53">
        <v>1040500.0</v>
      </c>
      <c r="D70" s="96">
        <v>46210.0</v>
      </c>
      <c r="E70" s="28">
        <v>35537.8</v>
      </c>
      <c r="F70" s="53"/>
      <c r="G70" s="33" t="s">
        <v>19</v>
      </c>
      <c r="H70" s="14"/>
      <c r="I70" s="14"/>
      <c r="J70" s="14"/>
      <c r="K70" s="14"/>
      <c r="L70" s="14"/>
    </row>
    <row r="71" ht="13.5" customHeight="1">
      <c r="A71" s="53">
        <v>103.0</v>
      </c>
      <c r="B71" s="53" t="s">
        <v>47</v>
      </c>
      <c r="C71" s="53">
        <v>1040500.0</v>
      </c>
      <c r="D71" s="96">
        <v>46210.0</v>
      </c>
      <c r="E71" s="28">
        <v>86988.94</v>
      </c>
      <c r="F71" s="53"/>
      <c r="G71" s="33" t="s">
        <v>19</v>
      </c>
      <c r="H71" s="14"/>
      <c r="I71" s="14"/>
      <c r="J71" s="14"/>
      <c r="K71" s="14"/>
      <c r="L71" s="14"/>
    </row>
    <row r="72" ht="13.5" customHeight="1">
      <c r="A72" s="53">
        <v>104.0</v>
      </c>
      <c r="B72" s="53" t="s">
        <v>47</v>
      </c>
      <c r="C72" s="53">
        <v>1040500.0</v>
      </c>
      <c r="D72" s="96">
        <v>46210.0</v>
      </c>
      <c r="E72" s="28">
        <v>65828.64</v>
      </c>
      <c r="F72" s="53"/>
      <c r="G72" s="33" t="s">
        <v>19</v>
      </c>
      <c r="H72" s="14"/>
      <c r="I72" s="14"/>
      <c r="J72" s="14"/>
      <c r="K72" s="14"/>
      <c r="L72" s="14"/>
    </row>
    <row r="73" ht="13.5" customHeight="1">
      <c r="A73" s="53">
        <v>105.0</v>
      </c>
      <c r="B73" s="53" t="s">
        <v>47</v>
      </c>
      <c r="C73" s="53">
        <v>1040500.0</v>
      </c>
      <c r="D73" s="96">
        <v>46210.0</v>
      </c>
      <c r="E73" s="28">
        <v>87646.2</v>
      </c>
      <c r="F73" s="53"/>
      <c r="G73" s="33" t="s">
        <v>19</v>
      </c>
      <c r="H73" s="14"/>
      <c r="I73" s="14"/>
      <c r="J73" s="14"/>
      <c r="K73" s="14"/>
      <c r="L73" s="14"/>
    </row>
    <row r="74" ht="13.5" customHeight="1">
      <c r="A74" s="53">
        <v>106.0</v>
      </c>
      <c r="B74" s="53" t="s">
        <v>47</v>
      </c>
      <c r="C74" s="53">
        <v>1040500.0</v>
      </c>
      <c r="D74" s="96">
        <v>46210.0</v>
      </c>
      <c r="E74" s="28">
        <v>65321.48</v>
      </c>
      <c r="F74" s="53"/>
      <c r="G74" s="33" t="s">
        <v>19</v>
      </c>
      <c r="H74" s="14"/>
      <c r="I74" s="14"/>
      <c r="J74" s="14"/>
      <c r="K74" s="14"/>
      <c r="L74" s="14"/>
    </row>
    <row r="75" ht="13.5" customHeight="1">
      <c r="A75" s="53">
        <v>107.0</v>
      </c>
      <c r="B75" s="53" t="s">
        <v>47</v>
      </c>
      <c r="C75" s="53">
        <v>1040500.0</v>
      </c>
      <c r="D75" s="96">
        <v>46210.0</v>
      </c>
      <c r="E75" s="28">
        <v>38311.7</v>
      </c>
      <c r="F75" s="53"/>
      <c r="G75" s="33" t="s">
        <v>19</v>
      </c>
      <c r="H75" s="14"/>
      <c r="I75" s="14"/>
      <c r="J75" s="14"/>
      <c r="K75" s="14"/>
      <c r="L75" s="14"/>
    </row>
    <row r="76" ht="13.5" customHeight="1">
      <c r="A76" s="53">
        <v>108.0</v>
      </c>
      <c r="B76" s="53" t="s">
        <v>47</v>
      </c>
      <c r="C76" s="53">
        <v>1040500.0</v>
      </c>
      <c r="D76" s="96">
        <v>46210.0</v>
      </c>
      <c r="E76" s="28">
        <v>47388.76</v>
      </c>
      <c r="F76" s="53"/>
      <c r="G76" s="33" t="s">
        <v>19</v>
      </c>
      <c r="H76" s="14"/>
      <c r="I76" s="14"/>
      <c r="J76" s="14"/>
      <c r="K76" s="14"/>
      <c r="L76" s="14"/>
    </row>
    <row r="77" ht="13.5" customHeight="1">
      <c r="A77" s="53">
        <v>109.0</v>
      </c>
      <c r="B77" s="53" t="s">
        <v>47</v>
      </c>
      <c r="C77" s="53">
        <v>1040500.0</v>
      </c>
      <c r="D77" s="96">
        <v>46210.0</v>
      </c>
      <c r="E77" s="28">
        <v>67071.16</v>
      </c>
      <c r="F77" s="53"/>
      <c r="G77" s="33" t="s">
        <v>19</v>
      </c>
      <c r="H77" s="14"/>
      <c r="I77" s="14"/>
      <c r="J77" s="14"/>
      <c r="K77" s="14"/>
      <c r="L77" s="14"/>
    </row>
    <row r="78" ht="13.5" customHeight="1">
      <c r="A78" s="53">
        <v>110.0</v>
      </c>
      <c r="B78" s="53" t="s">
        <v>47</v>
      </c>
      <c r="C78" s="53">
        <v>1040500.0</v>
      </c>
      <c r="D78" s="96">
        <v>46210.0</v>
      </c>
      <c r="E78" s="28">
        <v>68744.41</v>
      </c>
      <c r="F78" s="53"/>
      <c r="G78" s="33" t="s">
        <v>19</v>
      </c>
      <c r="H78" s="14"/>
      <c r="I78" s="14"/>
      <c r="J78" s="14"/>
      <c r="K78" s="14"/>
      <c r="L78" s="14"/>
    </row>
    <row r="79" ht="13.5" customHeight="1">
      <c r="A79" s="53">
        <v>111.0</v>
      </c>
      <c r="B79" s="53" t="s">
        <v>47</v>
      </c>
      <c r="C79" s="53">
        <v>1040500.0</v>
      </c>
      <c r="D79" s="96">
        <v>46210.0</v>
      </c>
      <c r="E79" s="28">
        <v>34120.67</v>
      </c>
      <c r="F79" s="53"/>
      <c r="G79" s="33" t="s">
        <v>19</v>
      </c>
      <c r="H79" s="14"/>
      <c r="I79" s="14"/>
      <c r="J79" s="14"/>
      <c r="K79" s="14"/>
      <c r="L79" s="14"/>
    </row>
    <row r="80" ht="13.5" customHeight="1">
      <c r="A80" s="53">
        <v>112.0</v>
      </c>
      <c r="B80" s="53" t="s">
        <v>47</v>
      </c>
      <c r="C80" s="53">
        <v>1040500.0</v>
      </c>
      <c r="D80" s="96">
        <v>46210.0</v>
      </c>
      <c r="E80" s="28">
        <v>61548.75</v>
      </c>
      <c r="F80" s="53"/>
      <c r="G80" s="33" t="s">
        <v>19</v>
      </c>
      <c r="H80" s="14"/>
      <c r="I80" s="14"/>
      <c r="J80" s="14"/>
      <c r="K80" s="14"/>
      <c r="L80" s="14"/>
    </row>
    <row r="81" ht="13.5" customHeight="1">
      <c r="A81" s="53">
        <v>113.0</v>
      </c>
      <c r="B81" s="53" t="s">
        <v>47</v>
      </c>
      <c r="C81" s="53">
        <v>1040500.0</v>
      </c>
      <c r="D81" s="96">
        <v>46210.0</v>
      </c>
      <c r="E81" s="28">
        <v>65321.47</v>
      </c>
      <c r="F81" s="53"/>
      <c r="G81" s="33" t="s">
        <v>19</v>
      </c>
      <c r="H81" s="14"/>
      <c r="I81" s="14"/>
      <c r="J81" s="14"/>
      <c r="K81" s="14"/>
      <c r="L81" s="14"/>
    </row>
    <row r="82" ht="13.5" customHeight="1">
      <c r="A82" s="53">
        <v>114.0</v>
      </c>
      <c r="B82" s="53" t="s">
        <v>47</v>
      </c>
      <c r="C82" s="53">
        <v>1040500.0</v>
      </c>
      <c r="D82" s="96">
        <v>46210.0</v>
      </c>
      <c r="E82" s="28">
        <v>65152.42</v>
      </c>
      <c r="F82" s="53"/>
      <c r="G82" s="33" t="s">
        <v>19</v>
      </c>
      <c r="H82" s="14"/>
      <c r="I82" s="14"/>
      <c r="J82" s="14"/>
      <c r="K82" s="14"/>
      <c r="L82" s="14"/>
    </row>
    <row r="83" ht="13.5" customHeight="1">
      <c r="A83" s="53">
        <v>115.0</v>
      </c>
      <c r="B83" s="53" t="s">
        <v>47</v>
      </c>
      <c r="C83" s="53">
        <v>1040500.0</v>
      </c>
      <c r="D83" s="96">
        <v>46210.0</v>
      </c>
      <c r="E83" s="28">
        <v>40365.14</v>
      </c>
      <c r="F83" s="53"/>
      <c r="G83" s="33" t="s">
        <v>19</v>
      </c>
      <c r="H83" s="14"/>
      <c r="I83" s="14"/>
      <c r="J83" s="14"/>
      <c r="K83" s="14"/>
      <c r="L83" s="14"/>
    </row>
    <row r="84" ht="13.5" customHeight="1">
      <c r="A84" s="53">
        <v>116.0</v>
      </c>
      <c r="B84" s="53" t="s">
        <v>47</v>
      </c>
      <c r="C84" s="53">
        <v>1040500.0</v>
      </c>
      <c r="D84" s="96">
        <v>46210.0</v>
      </c>
      <c r="E84" s="28">
        <v>65415.17</v>
      </c>
      <c r="F84" s="53"/>
      <c r="G84" s="33" t="s">
        <v>19</v>
      </c>
      <c r="H84" s="14"/>
      <c r="I84" s="14"/>
      <c r="J84" s="14"/>
      <c r="K84" s="14"/>
      <c r="L84" s="14"/>
    </row>
    <row r="85" ht="13.5" customHeight="1">
      <c r="A85" s="53">
        <v>117.0</v>
      </c>
      <c r="B85" s="53" t="s">
        <v>47</v>
      </c>
      <c r="C85" s="53">
        <v>1040500.0</v>
      </c>
      <c r="D85" s="96">
        <v>46210.0</v>
      </c>
      <c r="E85" s="28">
        <v>39531.09</v>
      </c>
      <c r="F85" s="53"/>
      <c r="G85" s="33" t="s">
        <v>19</v>
      </c>
      <c r="H85" s="14"/>
      <c r="I85" s="14"/>
      <c r="J85" s="14"/>
      <c r="K85" s="14"/>
      <c r="L85" s="14"/>
    </row>
    <row r="86" ht="13.5" customHeight="1">
      <c r="A86" s="53">
        <v>118.0</v>
      </c>
      <c r="B86" s="53" t="s">
        <v>47</v>
      </c>
      <c r="C86" s="53">
        <v>1040500.0</v>
      </c>
      <c r="D86" s="96">
        <v>46210.0</v>
      </c>
      <c r="E86" s="28">
        <v>96864.09</v>
      </c>
      <c r="F86" s="53"/>
      <c r="G86" s="33" t="s">
        <v>19</v>
      </c>
      <c r="H86" s="14"/>
      <c r="I86" s="14"/>
      <c r="J86" s="14"/>
      <c r="K86" s="14"/>
      <c r="L86" s="14"/>
    </row>
    <row r="87" ht="13.5" customHeight="1">
      <c r="A87" s="53">
        <v>119.0</v>
      </c>
      <c r="B87" s="53" t="s">
        <v>47</v>
      </c>
      <c r="C87" s="53">
        <v>1040500.0</v>
      </c>
      <c r="D87" s="96">
        <v>46210.0</v>
      </c>
      <c r="E87" s="28">
        <v>104880.93</v>
      </c>
      <c r="F87" s="53"/>
      <c r="G87" s="33" t="s">
        <v>19</v>
      </c>
      <c r="H87" s="14"/>
      <c r="I87" s="14"/>
      <c r="J87" s="14"/>
      <c r="K87" s="14"/>
      <c r="L87" s="14"/>
    </row>
    <row r="88" ht="13.5" customHeight="1">
      <c r="A88" s="53">
        <v>120.0</v>
      </c>
      <c r="B88" s="53" t="s">
        <v>47</v>
      </c>
      <c r="C88" s="53">
        <v>1040500.0</v>
      </c>
      <c r="D88" s="96">
        <v>46210.0</v>
      </c>
      <c r="E88" s="28">
        <v>124399.36</v>
      </c>
      <c r="F88" s="53"/>
      <c r="G88" s="33" t="s">
        <v>19</v>
      </c>
      <c r="H88" s="14"/>
      <c r="I88" s="14"/>
      <c r="J88" s="14"/>
      <c r="K88" s="14"/>
      <c r="L88" s="14"/>
    </row>
    <row r="89" ht="13.5" customHeight="1">
      <c r="A89" s="14"/>
      <c r="B89" s="14"/>
      <c r="C89" s="14"/>
      <c r="D89" s="14"/>
      <c r="E89" s="17"/>
      <c r="F89" s="14"/>
      <c r="G89" s="181"/>
      <c r="H89" s="14"/>
      <c r="I89" s="14"/>
      <c r="J89" s="14"/>
      <c r="K89" s="14"/>
      <c r="L89" s="14"/>
    </row>
    <row r="90" ht="13.5" customHeight="1">
      <c r="A90" s="14"/>
      <c r="B90" s="14"/>
      <c r="C90" s="14"/>
      <c r="D90" s="14"/>
      <c r="E90" s="17"/>
      <c r="F90" s="14"/>
      <c r="G90" s="181"/>
      <c r="H90" s="14"/>
      <c r="I90" s="14"/>
      <c r="J90" s="14"/>
      <c r="K90" s="14"/>
      <c r="L90" s="14"/>
    </row>
    <row r="91" ht="13.5" customHeight="1">
      <c r="A91" s="14"/>
      <c r="B91" s="14"/>
      <c r="C91" s="14"/>
      <c r="D91" s="14"/>
      <c r="E91" s="17"/>
      <c r="F91" s="14"/>
      <c r="G91" s="181"/>
      <c r="H91" s="14"/>
      <c r="I91" s="14"/>
      <c r="J91" s="14"/>
      <c r="K91" s="14"/>
      <c r="L91" s="14"/>
    </row>
    <row r="92" ht="13.5" customHeight="1">
      <c r="A92" s="14"/>
      <c r="B92" s="14"/>
      <c r="C92" s="14"/>
      <c r="D92" s="14"/>
      <c r="E92" s="17"/>
      <c r="F92" s="14"/>
      <c r="G92" s="181"/>
      <c r="H92" s="14"/>
      <c r="I92" s="14"/>
      <c r="J92" s="14"/>
      <c r="K92" s="14"/>
      <c r="L92" s="14"/>
    </row>
    <row r="93" ht="13.5" customHeight="1">
      <c r="A93" s="14"/>
      <c r="B93" s="14"/>
      <c r="C93" s="14"/>
      <c r="D93" s="14"/>
      <c r="E93" s="17"/>
      <c r="F93" s="14"/>
      <c r="G93" s="181"/>
      <c r="H93" s="14"/>
      <c r="I93" s="14"/>
      <c r="J93" s="14"/>
      <c r="K93" s="14"/>
      <c r="L93" s="14"/>
    </row>
    <row r="94" ht="13.5" customHeight="1">
      <c r="A94" s="14"/>
      <c r="B94" s="14"/>
      <c r="C94" s="14"/>
      <c r="D94" s="14"/>
      <c r="E94" s="17"/>
      <c r="F94" s="14"/>
      <c r="G94" s="181"/>
      <c r="H94" s="14"/>
      <c r="I94" s="14"/>
      <c r="J94" s="14"/>
      <c r="K94" s="14"/>
      <c r="L94" s="14"/>
    </row>
    <row r="95" ht="13.5" customHeight="1">
      <c r="A95" s="14"/>
      <c r="B95" s="14"/>
      <c r="C95" s="14"/>
      <c r="D95" s="14"/>
      <c r="E95" s="17"/>
      <c r="F95" s="14"/>
      <c r="G95" s="181"/>
      <c r="H95" s="14"/>
      <c r="I95" s="14"/>
      <c r="J95" s="14"/>
      <c r="K95" s="14"/>
      <c r="L95" s="14"/>
    </row>
    <row r="96" ht="13.5" customHeight="1">
      <c r="A96" s="14"/>
      <c r="B96" s="14"/>
      <c r="C96" s="14"/>
      <c r="D96" s="14"/>
      <c r="E96" s="17"/>
      <c r="F96" s="14"/>
      <c r="G96" s="181"/>
      <c r="H96" s="14"/>
      <c r="I96" s="14"/>
      <c r="J96" s="14"/>
      <c r="K96" s="14"/>
      <c r="L96" s="14"/>
    </row>
    <row r="97" ht="13.5" customHeight="1">
      <c r="E97" s="51"/>
      <c r="G97" s="74"/>
    </row>
    <row r="98" ht="13.5" customHeight="1">
      <c r="E98" s="51"/>
      <c r="G98" s="74"/>
    </row>
    <row r="99" ht="13.5" customHeight="1">
      <c r="E99" s="51"/>
      <c r="G99" s="74"/>
    </row>
    <row r="100" ht="13.5" customHeight="1">
      <c r="E100" s="51"/>
      <c r="G100" s="74"/>
    </row>
    <row r="101" ht="13.5" customHeight="1">
      <c r="E101" s="51"/>
      <c r="G101" s="74"/>
    </row>
    <row r="102" ht="13.5" customHeight="1">
      <c r="E102" s="51"/>
      <c r="G102" s="74"/>
    </row>
    <row r="103" ht="13.5" customHeight="1">
      <c r="E103" s="51"/>
      <c r="G103" s="74"/>
    </row>
    <row r="104" ht="13.5" customHeight="1">
      <c r="E104" s="51"/>
      <c r="G104" s="74"/>
    </row>
    <row r="105" ht="13.5" customHeight="1">
      <c r="E105" s="51"/>
      <c r="G105" s="74"/>
    </row>
    <row r="106" ht="13.5" customHeight="1">
      <c r="E106" s="51"/>
      <c r="G106" s="74"/>
    </row>
    <row r="107" ht="13.5" customHeight="1">
      <c r="E107" s="51"/>
      <c r="G107" s="74"/>
    </row>
    <row r="108" ht="13.5" customHeight="1">
      <c r="E108" s="51"/>
      <c r="G108" s="74"/>
    </row>
    <row r="109" ht="13.5" customHeight="1">
      <c r="E109" s="51"/>
      <c r="G109" s="74"/>
    </row>
    <row r="110" ht="13.5" customHeight="1">
      <c r="E110" s="51"/>
      <c r="G110" s="74"/>
    </row>
    <row r="111" ht="13.5" customHeight="1">
      <c r="E111" s="51"/>
      <c r="G111" s="74"/>
    </row>
    <row r="112" ht="13.5" customHeight="1">
      <c r="E112" s="51"/>
      <c r="G112" s="74"/>
    </row>
    <row r="113" ht="13.5" customHeight="1">
      <c r="E113" s="51"/>
      <c r="G113" s="74"/>
    </row>
    <row r="114" ht="13.5" customHeight="1">
      <c r="E114" s="51"/>
      <c r="G114" s="74"/>
    </row>
    <row r="115" ht="13.5" customHeight="1">
      <c r="E115" s="51"/>
      <c r="G115" s="74"/>
    </row>
    <row r="116" ht="13.5" customHeight="1">
      <c r="E116" s="51"/>
      <c r="G116" s="74"/>
    </row>
    <row r="117" ht="13.5" customHeight="1">
      <c r="E117" s="51"/>
      <c r="G117" s="74"/>
    </row>
    <row r="118" ht="13.5" customHeight="1">
      <c r="E118" s="51"/>
      <c r="G118" s="74"/>
    </row>
    <row r="119" ht="13.5" customHeight="1">
      <c r="E119" s="51"/>
      <c r="G119" s="74"/>
    </row>
    <row r="120" ht="13.5" customHeight="1">
      <c r="E120" s="51"/>
      <c r="G120" s="74"/>
    </row>
    <row r="121" ht="13.5" customHeight="1">
      <c r="E121" s="51"/>
      <c r="G121" s="74"/>
    </row>
    <row r="122" ht="13.5" customHeight="1">
      <c r="E122" s="51"/>
      <c r="G122" s="74"/>
    </row>
    <row r="123" ht="13.5" customHeight="1">
      <c r="E123" s="51"/>
      <c r="G123" s="74"/>
    </row>
    <row r="124" ht="13.5" customHeight="1">
      <c r="E124" s="51"/>
      <c r="F124" s="12"/>
      <c r="G124" s="74"/>
    </row>
    <row r="125" ht="13.5" customHeight="1">
      <c r="E125" s="51"/>
      <c r="F125" s="12"/>
      <c r="G125" s="74"/>
    </row>
    <row r="126" ht="13.5" customHeight="1">
      <c r="E126" s="51"/>
      <c r="F126" s="12"/>
      <c r="G126" s="74"/>
    </row>
    <row r="127" ht="13.5" customHeight="1">
      <c r="E127" s="51"/>
      <c r="F127" s="12"/>
      <c r="G127" s="74"/>
    </row>
    <row r="128" ht="13.5" customHeight="1">
      <c r="E128" s="51"/>
      <c r="F128" s="12"/>
      <c r="G128" s="74"/>
    </row>
    <row r="129" ht="13.5" customHeight="1">
      <c r="E129" s="51"/>
      <c r="F129" s="12"/>
      <c r="G129" s="74"/>
    </row>
    <row r="130" ht="13.5" customHeight="1">
      <c r="E130" s="51"/>
      <c r="F130" s="12"/>
      <c r="G130" s="74"/>
    </row>
    <row r="131" ht="13.5" customHeight="1">
      <c r="E131" s="51"/>
      <c r="F131" s="12"/>
      <c r="G131" s="74"/>
    </row>
    <row r="132" ht="13.5" customHeight="1">
      <c r="E132" s="51"/>
      <c r="F132" s="12"/>
      <c r="G132" s="74"/>
    </row>
    <row r="133" ht="13.5" customHeight="1">
      <c r="E133" s="51"/>
      <c r="F133" s="12"/>
      <c r="G133" s="74"/>
    </row>
    <row r="134" ht="13.5" customHeight="1">
      <c r="E134" s="51"/>
      <c r="F134" s="12"/>
      <c r="G134" s="74"/>
    </row>
    <row r="135" ht="13.5" customHeight="1">
      <c r="E135" s="51"/>
      <c r="F135" s="12"/>
      <c r="G135" s="74"/>
    </row>
    <row r="136" ht="13.5" customHeight="1">
      <c r="E136" s="51"/>
      <c r="F136" s="12"/>
      <c r="G136" s="74"/>
    </row>
    <row r="137" ht="13.5" customHeight="1">
      <c r="E137" s="51"/>
      <c r="F137" s="12"/>
      <c r="G137" s="74"/>
    </row>
    <row r="138" ht="13.5" customHeight="1">
      <c r="E138" s="51"/>
      <c r="F138" s="12"/>
      <c r="G138" s="74"/>
    </row>
    <row r="139" ht="13.5" customHeight="1">
      <c r="E139" s="51"/>
      <c r="F139" s="12"/>
      <c r="G139" s="74"/>
    </row>
    <row r="140" ht="13.5" customHeight="1">
      <c r="E140" s="51"/>
      <c r="F140" s="12"/>
      <c r="G140" s="74"/>
    </row>
    <row r="141" ht="13.5" customHeight="1">
      <c r="E141" s="51"/>
      <c r="F141" s="12"/>
      <c r="G141" s="74"/>
    </row>
    <row r="142" ht="13.5" customHeight="1">
      <c r="E142" s="51"/>
      <c r="F142" s="12"/>
      <c r="G142" s="74"/>
    </row>
    <row r="143" ht="13.5" customHeight="1">
      <c r="E143" s="51"/>
      <c r="F143" s="12"/>
      <c r="G143" s="74"/>
    </row>
    <row r="144" ht="13.5" customHeight="1">
      <c r="E144" s="51"/>
      <c r="F144" s="12"/>
      <c r="G144" s="74"/>
    </row>
    <row r="145" ht="13.5" customHeight="1">
      <c r="E145" s="51"/>
      <c r="F145" s="12"/>
      <c r="G145" s="74"/>
    </row>
    <row r="146" ht="13.5" customHeight="1">
      <c r="E146" s="51"/>
      <c r="F146" s="12"/>
      <c r="G146" s="74"/>
    </row>
    <row r="147" ht="13.5" customHeight="1">
      <c r="E147" s="51"/>
      <c r="F147" s="12"/>
      <c r="G147" s="74"/>
    </row>
    <row r="148" ht="13.5" customHeight="1">
      <c r="E148" s="51"/>
      <c r="F148" s="12"/>
      <c r="G148" s="74"/>
    </row>
    <row r="149" ht="13.5" customHeight="1">
      <c r="E149" s="51"/>
      <c r="F149" s="12"/>
      <c r="G149" s="74"/>
    </row>
    <row r="150" ht="13.5" customHeight="1">
      <c r="E150" s="51"/>
      <c r="F150" s="12"/>
      <c r="G150" s="74"/>
    </row>
    <row r="151" ht="13.5" customHeight="1">
      <c r="E151" s="51"/>
      <c r="F151" s="12"/>
      <c r="G151" s="74"/>
    </row>
    <row r="152" ht="13.5" customHeight="1">
      <c r="E152" s="51"/>
      <c r="F152" s="12"/>
      <c r="G152" s="74"/>
    </row>
    <row r="153" ht="13.5" customHeight="1">
      <c r="E153" s="51"/>
      <c r="F153" s="12"/>
      <c r="G153" s="74"/>
    </row>
    <row r="154" ht="13.5" customHeight="1">
      <c r="E154" s="51"/>
      <c r="F154" s="12"/>
      <c r="G154" s="74"/>
    </row>
    <row r="155" ht="13.5" customHeight="1">
      <c r="E155" s="51"/>
      <c r="F155" s="12"/>
      <c r="G155" s="74"/>
    </row>
    <row r="156" ht="13.5" customHeight="1">
      <c r="E156" s="51"/>
      <c r="F156" s="12"/>
      <c r="G156" s="74"/>
    </row>
    <row r="157" ht="13.5" customHeight="1">
      <c r="E157" s="51"/>
      <c r="F157" s="12"/>
      <c r="G157" s="74"/>
    </row>
    <row r="158" ht="13.5" customHeight="1">
      <c r="E158" s="51"/>
      <c r="F158" s="12"/>
      <c r="G158" s="74"/>
    </row>
    <row r="159" ht="13.5" customHeight="1">
      <c r="E159" s="51"/>
      <c r="F159" s="12"/>
      <c r="G159" s="74"/>
    </row>
    <row r="160" ht="13.5" customHeight="1">
      <c r="E160" s="51"/>
      <c r="F160" s="12"/>
      <c r="G160" s="74"/>
    </row>
    <row r="161" ht="13.5" customHeight="1">
      <c r="E161" s="51"/>
      <c r="F161" s="12"/>
      <c r="G161" s="74"/>
    </row>
    <row r="162" ht="13.5" customHeight="1">
      <c r="E162" s="51"/>
      <c r="F162" s="12"/>
      <c r="G162" s="74"/>
    </row>
    <row r="163" ht="13.5" customHeight="1">
      <c r="E163" s="51"/>
      <c r="F163" s="12"/>
      <c r="G163" s="74"/>
    </row>
    <row r="164" ht="13.5" customHeight="1">
      <c r="E164" s="51"/>
      <c r="F164" s="12"/>
      <c r="G164" s="74"/>
    </row>
    <row r="165" ht="13.5" customHeight="1">
      <c r="E165" s="51"/>
      <c r="F165" s="12"/>
      <c r="G165" s="74"/>
    </row>
    <row r="166" ht="13.5" customHeight="1">
      <c r="E166" s="51"/>
      <c r="F166" s="12"/>
      <c r="G166" s="74"/>
    </row>
    <row r="167" ht="13.5" customHeight="1">
      <c r="E167" s="51"/>
      <c r="F167" s="12"/>
      <c r="G167" s="74"/>
    </row>
    <row r="168" ht="13.5" customHeight="1">
      <c r="E168" s="51"/>
      <c r="F168" s="12"/>
      <c r="G168" s="74"/>
    </row>
    <row r="169" ht="13.5" customHeight="1">
      <c r="E169" s="51"/>
      <c r="F169" s="12"/>
      <c r="G169" s="74"/>
    </row>
    <row r="170" ht="13.5" customHeight="1">
      <c r="E170" s="51"/>
      <c r="F170" s="12"/>
      <c r="G170" s="74"/>
    </row>
    <row r="171" ht="13.5" customHeight="1">
      <c r="E171" s="51"/>
      <c r="F171" s="12"/>
      <c r="G171" s="74"/>
    </row>
    <row r="172" ht="13.5" customHeight="1">
      <c r="E172" s="51"/>
      <c r="F172" s="12"/>
      <c r="G172" s="74"/>
    </row>
    <row r="173" ht="13.5" customHeight="1">
      <c r="E173" s="51"/>
      <c r="F173" s="12"/>
      <c r="G173" s="74"/>
    </row>
    <row r="174" ht="13.5" customHeight="1">
      <c r="E174" s="51"/>
      <c r="F174" s="12"/>
      <c r="G174" s="74"/>
    </row>
    <row r="175" ht="13.5" customHeight="1">
      <c r="E175" s="51"/>
      <c r="F175" s="12"/>
      <c r="G175" s="74"/>
    </row>
    <row r="176" ht="13.5" customHeight="1">
      <c r="E176" s="51"/>
      <c r="F176" s="12"/>
      <c r="G176" s="74"/>
    </row>
    <row r="177" ht="13.5" customHeight="1">
      <c r="E177" s="51"/>
      <c r="F177" s="12"/>
      <c r="G177" s="74"/>
    </row>
    <row r="178" ht="13.5" customHeight="1">
      <c r="E178" s="51"/>
      <c r="F178" s="12"/>
      <c r="G178" s="74"/>
    </row>
    <row r="179" ht="13.5" customHeight="1">
      <c r="E179" s="51"/>
      <c r="F179" s="12"/>
      <c r="G179" s="74"/>
    </row>
    <row r="180" ht="13.5" customHeight="1">
      <c r="E180" s="51"/>
      <c r="F180" s="12"/>
      <c r="G180" s="74"/>
    </row>
    <row r="181" ht="13.5" customHeight="1">
      <c r="E181" s="51"/>
      <c r="F181" s="12"/>
      <c r="G181" s="74"/>
    </row>
    <row r="182" ht="13.5" customHeight="1">
      <c r="E182" s="51"/>
      <c r="F182" s="12"/>
      <c r="G182" s="74"/>
    </row>
    <row r="183" ht="13.5" customHeight="1">
      <c r="E183" s="51"/>
      <c r="F183" s="12"/>
      <c r="G183" s="74"/>
    </row>
    <row r="184" ht="13.5" customHeight="1">
      <c r="E184" s="51"/>
      <c r="F184" s="12"/>
      <c r="G184" s="74"/>
    </row>
    <row r="185" ht="13.5" customHeight="1">
      <c r="E185" s="51"/>
      <c r="F185" s="12"/>
      <c r="G185" s="74"/>
    </row>
    <row r="186" ht="13.5" customHeight="1">
      <c r="E186" s="51"/>
      <c r="F186" s="12"/>
      <c r="G186" s="74"/>
    </row>
    <row r="187" ht="13.5" customHeight="1">
      <c r="E187" s="51"/>
      <c r="F187" s="12"/>
      <c r="G187" s="74"/>
    </row>
    <row r="188" ht="13.5" customHeight="1">
      <c r="E188" s="51"/>
      <c r="F188" s="12"/>
      <c r="G188" s="74"/>
    </row>
    <row r="189" ht="13.5" customHeight="1">
      <c r="E189" s="51"/>
      <c r="F189" s="12"/>
      <c r="G189" s="74"/>
    </row>
    <row r="190" ht="13.5" customHeight="1">
      <c r="E190" s="51"/>
      <c r="F190" s="12"/>
      <c r="G190" s="74"/>
    </row>
    <row r="191" ht="13.5" customHeight="1">
      <c r="E191" s="51"/>
      <c r="F191" s="12"/>
      <c r="G191" s="74"/>
    </row>
    <row r="192" ht="13.5" customHeight="1">
      <c r="E192" s="51"/>
      <c r="F192" s="12"/>
      <c r="G192" s="74"/>
    </row>
    <row r="193" ht="13.5" customHeight="1">
      <c r="E193" s="51"/>
      <c r="F193" s="12"/>
      <c r="G193" s="74"/>
    </row>
    <row r="194" ht="13.5" customHeight="1">
      <c r="E194" s="51"/>
      <c r="F194" s="12"/>
      <c r="G194" s="74"/>
    </row>
    <row r="195" ht="13.5" customHeight="1">
      <c r="E195" s="51"/>
      <c r="F195" s="12"/>
      <c r="G195" s="74"/>
    </row>
    <row r="196" ht="13.5" customHeight="1">
      <c r="E196" s="51"/>
      <c r="F196" s="12"/>
      <c r="G196" s="74"/>
    </row>
    <row r="197" ht="13.5" customHeight="1">
      <c r="E197" s="51"/>
      <c r="F197" s="12"/>
      <c r="G197" s="74"/>
    </row>
    <row r="198" ht="13.5" customHeight="1">
      <c r="E198" s="51"/>
      <c r="F198" s="12"/>
      <c r="G198" s="74"/>
    </row>
    <row r="199" ht="13.5" customHeight="1">
      <c r="E199" s="51"/>
      <c r="F199" s="12"/>
      <c r="G199" s="74"/>
    </row>
    <row r="200" ht="13.5" customHeight="1">
      <c r="E200" s="51"/>
      <c r="F200" s="12"/>
      <c r="G200" s="74"/>
    </row>
    <row r="201" ht="13.5" customHeight="1">
      <c r="E201" s="51"/>
      <c r="F201" s="12"/>
      <c r="G201" s="74"/>
    </row>
    <row r="202" ht="13.5" customHeight="1">
      <c r="E202" s="51"/>
      <c r="F202" s="12"/>
      <c r="G202" s="74"/>
    </row>
    <row r="203" ht="13.5" customHeight="1">
      <c r="E203" s="51"/>
      <c r="F203" s="12"/>
      <c r="G203" s="74"/>
    </row>
    <row r="204" ht="13.5" customHeight="1">
      <c r="E204" s="51"/>
      <c r="F204" s="12"/>
      <c r="G204" s="74"/>
    </row>
    <row r="205" ht="13.5" customHeight="1">
      <c r="E205" s="51"/>
      <c r="F205" s="12"/>
      <c r="G205" s="74"/>
    </row>
    <row r="206" ht="13.5" customHeight="1">
      <c r="E206" s="51"/>
      <c r="F206" s="12"/>
      <c r="G206" s="74"/>
    </row>
    <row r="207" ht="13.5" customHeight="1">
      <c r="E207" s="51"/>
      <c r="F207" s="12"/>
      <c r="G207" s="74"/>
    </row>
    <row r="208" ht="13.5" customHeight="1">
      <c r="E208" s="51"/>
      <c r="F208" s="12"/>
      <c r="G208" s="74"/>
    </row>
    <row r="209" ht="13.5" customHeight="1">
      <c r="E209" s="51"/>
      <c r="F209" s="12"/>
      <c r="G209" s="74"/>
    </row>
    <row r="210" ht="13.5" customHeight="1">
      <c r="E210" s="51"/>
      <c r="F210" s="12"/>
      <c r="G210" s="74"/>
    </row>
    <row r="211" ht="13.5" customHeight="1">
      <c r="E211" s="51"/>
      <c r="F211" s="12"/>
      <c r="G211" s="74"/>
    </row>
    <row r="212" ht="13.5" customHeight="1">
      <c r="E212" s="51"/>
      <c r="F212" s="12"/>
      <c r="G212" s="74"/>
    </row>
    <row r="213" ht="13.5" customHeight="1">
      <c r="E213" s="51"/>
      <c r="F213" s="12"/>
      <c r="G213" s="74"/>
    </row>
    <row r="214" ht="13.5" customHeight="1">
      <c r="E214" s="51"/>
      <c r="F214" s="12"/>
      <c r="G214" s="74"/>
    </row>
    <row r="215" ht="13.5" customHeight="1">
      <c r="E215" s="51"/>
      <c r="F215" s="12"/>
      <c r="G215" s="74"/>
    </row>
    <row r="216" ht="13.5" customHeight="1">
      <c r="E216" s="51"/>
      <c r="F216" s="12"/>
      <c r="G216" s="74"/>
    </row>
    <row r="217" ht="13.5" customHeight="1">
      <c r="E217" s="51"/>
      <c r="F217" s="12"/>
      <c r="G217" s="74"/>
    </row>
    <row r="218" ht="13.5" customHeight="1">
      <c r="E218" s="51"/>
      <c r="F218" s="12"/>
      <c r="G218" s="74"/>
    </row>
    <row r="219" ht="13.5" customHeight="1">
      <c r="E219" s="51"/>
      <c r="F219" s="12"/>
      <c r="G219" s="74"/>
    </row>
    <row r="220" ht="13.5" customHeight="1">
      <c r="E220" s="51"/>
      <c r="F220" s="12"/>
      <c r="G220" s="74"/>
    </row>
    <row r="221" ht="13.5" customHeight="1">
      <c r="E221" s="51"/>
      <c r="F221" s="12"/>
      <c r="G221" s="74"/>
    </row>
    <row r="222" ht="13.5" customHeight="1">
      <c r="E222" s="51"/>
      <c r="F222" s="12"/>
      <c r="G222" s="74"/>
    </row>
    <row r="223" ht="13.5" customHeight="1">
      <c r="E223" s="51"/>
      <c r="F223" s="12"/>
      <c r="G223" s="74"/>
    </row>
    <row r="224" ht="13.5" customHeight="1">
      <c r="E224" s="51"/>
      <c r="F224" s="12"/>
      <c r="G224" s="74"/>
    </row>
    <row r="225" ht="13.5" customHeight="1">
      <c r="E225" s="51"/>
      <c r="F225" s="12"/>
      <c r="G225" s="74"/>
    </row>
    <row r="226" ht="13.5" customHeight="1">
      <c r="E226" s="51"/>
      <c r="F226" s="12"/>
      <c r="G226" s="74"/>
    </row>
    <row r="227" ht="13.5" customHeight="1">
      <c r="E227" s="51"/>
      <c r="F227" s="12"/>
      <c r="G227" s="74"/>
    </row>
    <row r="228" ht="13.5" customHeight="1">
      <c r="E228" s="51"/>
      <c r="F228" s="12"/>
      <c r="G228" s="74"/>
    </row>
    <row r="229" ht="13.5" customHeight="1">
      <c r="E229" s="51"/>
      <c r="F229" s="12"/>
      <c r="G229" s="74"/>
    </row>
    <row r="230" ht="13.5" customHeight="1">
      <c r="E230" s="51"/>
      <c r="F230" s="12"/>
      <c r="G230" s="74"/>
    </row>
    <row r="231" ht="13.5" customHeight="1">
      <c r="E231" s="51"/>
      <c r="F231" s="12"/>
      <c r="G231" s="74"/>
    </row>
    <row r="232" ht="13.5" customHeight="1">
      <c r="E232" s="51"/>
      <c r="F232" s="12"/>
      <c r="G232" s="74"/>
    </row>
    <row r="233" ht="13.5" customHeight="1">
      <c r="E233" s="51"/>
      <c r="F233" s="12"/>
      <c r="G233" s="74"/>
    </row>
    <row r="234" ht="13.5" customHeight="1">
      <c r="E234" s="51"/>
      <c r="F234" s="12"/>
      <c r="G234" s="74"/>
    </row>
    <row r="235" ht="13.5" customHeight="1">
      <c r="E235" s="51"/>
      <c r="F235" s="12"/>
      <c r="G235" s="74"/>
    </row>
    <row r="236" ht="13.5" customHeight="1">
      <c r="E236" s="51"/>
      <c r="F236" s="12"/>
      <c r="G236" s="74"/>
    </row>
    <row r="237" ht="13.5" customHeight="1">
      <c r="E237" s="51"/>
      <c r="F237" s="12"/>
      <c r="G237" s="74"/>
    </row>
    <row r="238" ht="13.5" customHeight="1">
      <c r="E238" s="51"/>
      <c r="F238" s="12"/>
      <c r="G238" s="74"/>
    </row>
    <row r="239" ht="13.5" customHeight="1">
      <c r="E239" s="51"/>
      <c r="F239" s="12"/>
      <c r="G239" s="74"/>
    </row>
    <row r="240" ht="13.5" customHeight="1">
      <c r="E240" s="51"/>
      <c r="F240" s="12"/>
      <c r="G240" s="74"/>
    </row>
    <row r="241" ht="13.5" customHeight="1">
      <c r="E241" s="51"/>
      <c r="F241" s="12"/>
      <c r="G241" s="74"/>
    </row>
    <row r="242" ht="13.5" customHeight="1">
      <c r="E242" s="51"/>
      <c r="F242" s="12"/>
      <c r="G242" s="74"/>
    </row>
    <row r="243" ht="13.5" customHeight="1">
      <c r="E243" s="51"/>
      <c r="F243" s="12"/>
      <c r="G243" s="74"/>
    </row>
    <row r="244" ht="13.5" customHeight="1">
      <c r="E244" s="51"/>
      <c r="F244" s="12"/>
      <c r="G244" s="74"/>
    </row>
    <row r="245" ht="13.5" customHeight="1">
      <c r="E245" s="51"/>
      <c r="F245" s="12"/>
      <c r="G245" s="74"/>
    </row>
    <row r="246" ht="13.5" customHeight="1">
      <c r="E246" s="51"/>
      <c r="F246" s="12"/>
      <c r="G246" s="74"/>
    </row>
    <row r="247" ht="13.5" customHeight="1">
      <c r="E247" s="51"/>
      <c r="F247" s="12"/>
      <c r="G247" s="74"/>
    </row>
    <row r="248" ht="13.5" customHeight="1">
      <c r="E248" s="51"/>
      <c r="F248" s="12"/>
      <c r="G248" s="74"/>
    </row>
    <row r="249" ht="13.5" customHeight="1">
      <c r="E249" s="51"/>
      <c r="F249" s="12"/>
      <c r="G249" s="74"/>
    </row>
    <row r="250" ht="13.5" customHeight="1">
      <c r="E250" s="51"/>
      <c r="F250" s="12"/>
      <c r="G250" s="74"/>
    </row>
    <row r="251" ht="13.5" customHeight="1">
      <c r="E251" s="51"/>
      <c r="F251" s="12"/>
      <c r="G251" s="74"/>
    </row>
    <row r="252" ht="13.5" customHeight="1">
      <c r="E252" s="51"/>
      <c r="F252" s="12"/>
      <c r="G252" s="74"/>
    </row>
    <row r="253" ht="13.5" customHeight="1">
      <c r="E253" s="51"/>
      <c r="F253" s="12"/>
      <c r="G253" s="74"/>
    </row>
    <row r="254" ht="13.5" customHeight="1">
      <c r="E254" s="51"/>
      <c r="F254" s="12"/>
      <c r="G254" s="74"/>
    </row>
    <row r="255" ht="13.5" customHeight="1">
      <c r="E255" s="51"/>
      <c r="F255" s="12"/>
      <c r="G255" s="74"/>
    </row>
    <row r="256" ht="13.5" customHeight="1">
      <c r="E256" s="51"/>
      <c r="F256" s="12"/>
      <c r="G256" s="74"/>
    </row>
    <row r="257" ht="13.5" customHeight="1">
      <c r="E257" s="51"/>
      <c r="F257" s="12"/>
      <c r="G257" s="74"/>
    </row>
    <row r="258" ht="13.5" customHeight="1">
      <c r="E258" s="51"/>
      <c r="F258" s="12"/>
      <c r="G258" s="74"/>
    </row>
    <row r="259" ht="13.5" customHeight="1">
      <c r="E259" s="51"/>
      <c r="F259" s="12"/>
      <c r="G259" s="74"/>
    </row>
    <row r="260" ht="13.5" customHeight="1">
      <c r="E260" s="51"/>
      <c r="F260" s="12"/>
      <c r="G260" s="74"/>
    </row>
    <row r="261" ht="13.5" customHeight="1">
      <c r="E261" s="51"/>
      <c r="F261" s="12"/>
      <c r="G261" s="74"/>
    </row>
    <row r="262" ht="13.5" customHeight="1">
      <c r="E262" s="51"/>
      <c r="F262" s="12"/>
      <c r="G262" s="74"/>
    </row>
    <row r="263" ht="13.5" customHeight="1">
      <c r="E263" s="51"/>
      <c r="F263" s="12"/>
      <c r="G263" s="74"/>
    </row>
    <row r="264" ht="13.5" customHeight="1">
      <c r="E264" s="182"/>
      <c r="F264" s="22"/>
      <c r="G264" s="74"/>
    </row>
    <row r="265" ht="13.5" customHeight="1">
      <c r="E265" s="182"/>
      <c r="F265" s="22"/>
      <c r="G265" s="74"/>
    </row>
    <row r="266" ht="13.5" customHeight="1">
      <c r="E266" s="182"/>
      <c r="F266" s="22"/>
      <c r="G266" s="74"/>
    </row>
    <row r="267" ht="13.5" customHeight="1">
      <c r="E267" s="182"/>
      <c r="F267" s="22"/>
      <c r="G267" s="74"/>
    </row>
    <row r="268" ht="13.5" customHeight="1">
      <c r="E268" s="182"/>
      <c r="F268" s="22"/>
      <c r="G268" s="74"/>
    </row>
    <row r="269" ht="13.5" customHeight="1">
      <c r="E269" s="182"/>
      <c r="F269" s="22"/>
      <c r="G269" s="74"/>
    </row>
    <row r="270" ht="13.5" customHeight="1">
      <c r="E270" s="182"/>
      <c r="F270" s="22"/>
      <c r="G270" s="74"/>
    </row>
    <row r="271" ht="13.5" customHeight="1">
      <c r="E271" s="182"/>
      <c r="F271" s="22"/>
      <c r="G271" s="74"/>
    </row>
    <row r="272" ht="13.5" customHeight="1">
      <c r="E272" s="182"/>
      <c r="F272" s="22"/>
      <c r="G272" s="74"/>
    </row>
    <row r="273" ht="13.5" customHeight="1">
      <c r="E273" s="182"/>
      <c r="F273" s="22"/>
      <c r="G273" s="74"/>
    </row>
    <row r="274" ht="13.5" customHeight="1">
      <c r="E274" s="182"/>
      <c r="F274" s="22"/>
      <c r="G274" s="74"/>
    </row>
    <row r="275" ht="13.5" customHeight="1">
      <c r="E275" s="182"/>
      <c r="F275" s="22"/>
      <c r="G275" s="74"/>
    </row>
    <row r="276" ht="13.5" customHeight="1">
      <c r="E276" s="182"/>
      <c r="F276" s="22"/>
      <c r="G276" s="74"/>
    </row>
    <row r="277" ht="13.5" customHeight="1">
      <c r="E277" s="182"/>
      <c r="F277" s="22"/>
      <c r="G277" s="74"/>
    </row>
    <row r="278" ht="13.5" customHeight="1">
      <c r="E278" s="182"/>
      <c r="F278" s="22"/>
      <c r="G278" s="74"/>
    </row>
    <row r="279" ht="13.5" customHeight="1">
      <c r="E279" s="182"/>
      <c r="F279" s="22"/>
      <c r="G279" s="74"/>
    </row>
    <row r="280" ht="13.5" customHeight="1">
      <c r="E280" s="182"/>
      <c r="F280" s="22"/>
      <c r="G280" s="74"/>
    </row>
    <row r="281" ht="13.5" customHeight="1">
      <c r="E281" s="182"/>
      <c r="F281" s="22"/>
      <c r="G281" s="74"/>
    </row>
    <row r="282" ht="13.5" customHeight="1">
      <c r="E282" s="182"/>
      <c r="F282" s="22"/>
      <c r="G282" s="74"/>
    </row>
    <row r="283" ht="13.5" customHeight="1">
      <c r="E283" s="182"/>
      <c r="F283" s="22"/>
      <c r="G283" s="74"/>
    </row>
    <row r="284" ht="13.5" customHeight="1">
      <c r="E284" s="182"/>
      <c r="F284" s="22"/>
      <c r="G284" s="74"/>
    </row>
    <row r="285" ht="13.5" customHeight="1">
      <c r="E285" s="182"/>
      <c r="F285" s="22"/>
      <c r="G285" s="74"/>
    </row>
    <row r="286" ht="13.5" customHeight="1">
      <c r="E286" s="182"/>
      <c r="F286" s="22"/>
      <c r="G286" s="74"/>
    </row>
    <row r="287" ht="13.5" customHeight="1">
      <c r="E287" s="182"/>
      <c r="F287" s="22"/>
      <c r="G287" s="74"/>
    </row>
    <row r="288" ht="13.5" customHeight="1">
      <c r="E288" s="182"/>
      <c r="F288" s="22"/>
      <c r="G288" s="74"/>
    </row>
    <row r="289" ht="13.5" customHeight="1">
      <c r="E289" s="182"/>
      <c r="F289" s="22"/>
      <c r="G289" s="74"/>
    </row>
    <row r="290" ht="13.5" customHeight="1">
      <c r="E290" s="182"/>
      <c r="F290" s="22"/>
      <c r="G290" s="74"/>
    </row>
    <row r="291" ht="13.5" customHeight="1">
      <c r="E291" s="182"/>
      <c r="F291" s="22"/>
      <c r="G291" s="74"/>
    </row>
    <row r="292" ht="13.5" customHeight="1">
      <c r="E292" s="182"/>
      <c r="F292" s="22"/>
      <c r="G292" s="74"/>
    </row>
    <row r="293" ht="13.5" customHeight="1">
      <c r="E293" s="182"/>
      <c r="F293" s="22"/>
      <c r="G293" s="74"/>
    </row>
    <row r="294" ht="13.5" customHeight="1">
      <c r="E294" s="182"/>
      <c r="F294" s="22"/>
      <c r="G294" s="74"/>
    </row>
    <row r="295" ht="13.5" customHeight="1">
      <c r="E295" s="182"/>
      <c r="F295" s="22"/>
      <c r="G295" s="74"/>
    </row>
    <row r="296" ht="13.5" customHeight="1">
      <c r="E296" s="182"/>
      <c r="F296" s="22"/>
      <c r="G296" s="74"/>
    </row>
    <row r="297" ht="13.5" customHeight="1">
      <c r="E297" s="182"/>
      <c r="F297" s="22"/>
      <c r="G297" s="74"/>
    </row>
    <row r="298" ht="13.5" customHeight="1">
      <c r="E298" s="182"/>
      <c r="F298" s="22"/>
      <c r="G298" s="74"/>
    </row>
    <row r="299" ht="13.5" customHeight="1">
      <c r="E299" s="182"/>
      <c r="F299" s="22"/>
      <c r="G299" s="74"/>
    </row>
    <row r="300" ht="13.5" customHeight="1">
      <c r="E300" s="182"/>
      <c r="F300" s="22"/>
      <c r="G300" s="74"/>
    </row>
    <row r="301" ht="13.5" customHeight="1">
      <c r="E301" s="182"/>
      <c r="F301" s="22"/>
      <c r="G301" s="74"/>
    </row>
    <row r="302" ht="13.5" customHeight="1">
      <c r="E302" s="182"/>
      <c r="F302" s="22"/>
      <c r="G302" s="74"/>
    </row>
    <row r="303" ht="13.5" customHeight="1">
      <c r="E303" s="182"/>
      <c r="F303" s="22"/>
      <c r="G303" s="74"/>
    </row>
    <row r="304" ht="13.5" customHeight="1">
      <c r="E304" s="182"/>
      <c r="F304" s="22"/>
      <c r="G304" s="74"/>
    </row>
    <row r="305" ht="13.5" customHeight="1">
      <c r="E305" s="182"/>
      <c r="F305" s="22"/>
      <c r="G305" s="74"/>
    </row>
    <row r="306" ht="13.5" customHeight="1">
      <c r="E306" s="182"/>
      <c r="F306" s="22"/>
      <c r="G306" s="74"/>
    </row>
    <row r="307" ht="13.5" customHeight="1">
      <c r="E307" s="182"/>
      <c r="F307" s="22"/>
      <c r="G307" s="74"/>
    </row>
    <row r="308" ht="13.5" customHeight="1">
      <c r="E308" s="182"/>
      <c r="F308" s="22"/>
      <c r="G308" s="74"/>
    </row>
    <row r="309" ht="13.5" customHeight="1">
      <c r="E309" s="182"/>
      <c r="F309" s="22"/>
      <c r="G309" s="74"/>
    </row>
    <row r="310" ht="13.5" customHeight="1">
      <c r="E310" s="182"/>
      <c r="F310" s="22"/>
      <c r="G310" s="74"/>
    </row>
    <row r="311" ht="13.5" customHeight="1">
      <c r="E311" s="182"/>
      <c r="F311" s="22"/>
      <c r="G311" s="74"/>
    </row>
    <row r="312" ht="13.5" customHeight="1">
      <c r="E312" s="182"/>
      <c r="F312" s="22"/>
      <c r="G312" s="74"/>
    </row>
    <row r="313" ht="13.5" customHeight="1">
      <c r="E313" s="182"/>
      <c r="F313" s="22"/>
      <c r="G313" s="74"/>
    </row>
    <row r="314" ht="13.5" customHeight="1">
      <c r="E314" s="182"/>
      <c r="F314" s="22"/>
      <c r="G314" s="74"/>
    </row>
    <row r="315" ht="13.5" customHeight="1">
      <c r="E315" s="182"/>
      <c r="F315" s="22"/>
      <c r="G315" s="74"/>
    </row>
    <row r="316" ht="13.5" customHeight="1">
      <c r="E316" s="182"/>
      <c r="F316" s="22"/>
      <c r="G316" s="74"/>
    </row>
    <row r="317" ht="13.5" customHeight="1">
      <c r="E317" s="182"/>
      <c r="F317" s="22"/>
      <c r="G317" s="74"/>
    </row>
    <row r="318" ht="13.5" customHeight="1">
      <c r="E318" s="182"/>
      <c r="F318" s="22"/>
      <c r="G318" s="74"/>
    </row>
    <row r="319" ht="13.5" customHeight="1">
      <c r="E319" s="182"/>
      <c r="F319" s="22"/>
      <c r="G319" s="74"/>
    </row>
    <row r="320" ht="13.5" customHeight="1">
      <c r="E320" s="182"/>
      <c r="F320" s="22"/>
      <c r="G320" s="74"/>
    </row>
    <row r="321" ht="13.5" customHeight="1">
      <c r="E321" s="182"/>
      <c r="F321" s="22"/>
      <c r="G321" s="74"/>
    </row>
    <row r="322" ht="13.5" customHeight="1">
      <c r="E322" s="182"/>
      <c r="F322" s="22"/>
      <c r="G322" s="74"/>
    </row>
    <row r="323" ht="13.5" customHeight="1">
      <c r="E323" s="182"/>
      <c r="F323" s="22"/>
      <c r="G323" s="74"/>
    </row>
    <row r="324" ht="13.5" customHeight="1">
      <c r="E324" s="182"/>
      <c r="F324" s="22"/>
      <c r="G324" s="74"/>
    </row>
    <row r="325" ht="13.5" customHeight="1">
      <c r="E325" s="182"/>
      <c r="F325" s="22"/>
      <c r="G325" s="74"/>
    </row>
    <row r="326" ht="13.5" customHeight="1">
      <c r="E326" s="182"/>
      <c r="F326" s="22"/>
      <c r="G326" s="74"/>
    </row>
    <row r="327" ht="13.5" customHeight="1">
      <c r="E327" s="182"/>
      <c r="F327" s="22"/>
      <c r="G327" s="74"/>
    </row>
    <row r="328" ht="13.5" customHeight="1">
      <c r="E328" s="182"/>
      <c r="F328" s="22"/>
      <c r="G328" s="74"/>
    </row>
    <row r="329" ht="13.5" customHeight="1">
      <c r="E329" s="182"/>
      <c r="F329" s="22"/>
      <c r="G329" s="74"/>
    </row>
    <row r="330" ht="13.5" customHeight="1">
      <c r="E330" s="182"/>
      <c r="F330" s="22"/>
      <c r="G330" s="74"/>
    </row>
    <row r="331" ht="13.5" customHeight="1">
      <c r="E331" s="182"/>
      <c r="F331" s="22"/>
      <c r="G331" s="74"/>
    </row>
    <row r="332" ht="13.5" customHeight="1">
      <c r="E332" s="182"/>
      <c r="F332" s="22"/>
      <c r="G332" s="74"/>
    </row>
    <row r="333" ht="13.5" customHeight="1">
      <c r="E333" s="182"/>
      <c r="F333" s="22"/>
      <c r="G333" s="74"/>
    </row>
    <row r="334" ht="13.5" customHeight="1">
      <c r="E334" s="182"/>
      <c r="F334" s="22"/>
      <c r="G334" s="74"/>
    </row>
    <row r="335" ht="13.5" customHeight="1">
      <c r="E335" s="182"/>
      <c r="F335" s="22"/>
      <c r="G335" s="74"/>
    </row>
    <row r="336" ht="13.5" customHeight="1">
      <c r="E336" s="182"/>
      <c r="F336" s="22"/>
      <c r="G336" s="74"/>
    </row>
    <row r="337" ht="13.5" customHeight="1">
      <c r="E337" s="182"/>
      <c r="F337" s="22"/>
      <c r="G337" s="74"/>
    </row>
    <row r="338" ht="13.5" customHeight="1">
      <c r="E338" s="182"/>
      <c r="F338" s="22"/>
      <c r="G338" s="74"/>
    </row>
    <row r="339" ht="13.5" customHeight="1">
      <c r="E339" s="182"/>
      <c r="F339" s="22"/>
      <c r="G339" s="74"/>
    </row>
    <row r="340" ht="13.5" customHeight="1">
      <c r="E340" s="182"/>
      <c r="F340" s="22"/>
      <c r="G340" s="74"/>
    </row>
    <row r="341" ht="13.5" customHeight="1">
      <c r="E341" s="182"/>
      <c r="F341" s="22"/>
      <c r="G341" s="74"/>
    </row>
    <row r="342" ht="13.5" customHeight="1">
      <c r="E342" s="182"/>
      <c r="F342" s="22"/>
      <c r="G342" s="74"/>
    </row>
    <row r="343" ht="13.5" customHeight="1">
      <c r="E343" s="182"/>
      <c r="F343" s="22"/>
      <c r="G343" s="74"/>
    </row>
    <row r="344" ht="13.5" customHeight="1">
      <c r="E344" s="182"/>
      <c r="F344" s="22"/>
      <c r="G344" s="74"/>
    </row>
    <row r="345" ht="13.5" customHeight="1">
      <c r="E345" s="182"/>
      <c r="F345" s="22"/>
      <c r="G345" s="74"/>
    </row>
    <row r="346" ht="13.5" customHeight="1">
      <c r="E346" s="182"/>
      <c r="F346" s="22"/>
      <c r="G346" s="74"/>
    </row>
    <row r="347" ht="13.5" customHeight="1">
      <c r="E347" s="182"/>
      <c r="F347" s="22"/>
      <c r="G347" s="74"/>
    </row>
    <row r="348" ht="13.5" customHeight="1">
      <c r="E348" s="182"/>
      <c r="F348" s="22"/>
      <c r="G348" s="74"/>
    </row>
    <row r="349" ht="13.5" customHeight="1">
      <c r="E349" s="182"/>
      <c r="F349" s="22"/>
      <c r="G349" s="74"/>
    </row>
    <row r="350" ht="13.5" customHeight="1">
      <c r="E350" s="182"/>
      <c r="F350" s="22"/>
      <c r="G350" s="74"/>
    </row>
    <row r="351" ht="13.5" customHeight="1">
      <c r="E351" s="182"/>
      <c r="F351" s="22"/>
      <c r="G351" s="74"/>
    </row>
    <row r="352" ht="13.5" customHeight="1">
      <c r="E352" s="182"/>
      <c r="F352" s="22"/>
      <c r="G352" s="74"/>
    </row>
    <row r="353" ht="13.5" customHeight="1">
      <c r="E353" s="182"/>
      <c r="F353" s="22"/>
      <c r="G353" s="74"/>
    </row>
    <row r="354" ht="13.5" customHeight="1">
      <c r="E354" s="182"/>
      <c r="F354" s="22"/>
      <c r="G354" s="74"/>
    </row>
    <row r="355" ht="13.5" customHeight="1">
      <c r="E355" s="182"/>
      <c r="F355" s="22"/>
      <c r="G355" s="74"/>
    </row>
    <row r="356" ht="13.5" customHeight="1">
      <c r="E356" s="182"/>
      <c r="F356" s="22"/>
      <c r="G356" s="74"/>
    </row>
    <row r="357" ht="13.5" customHeight="1">
      <c r="E357" s="182"/>
      <c r="F357" s="22"/>
      <c r="G357" s="74"/>
    </row>
    <row r="358" ht="13.5" customHeight="1">
      <c r="E358" s="182"/>
      <c r="F358" s="22"/>
      <c r="G358" s="74"/>
    </row>
    <row r="359" ht="13.5" customHeight="1">
      <c r="E359" s="182"/>
      <c r="F359" s="22"/>
      <c r="G359" s="74"/>
    </row>
    <row r="360" ht="13.5" customHeight="1">
      <c r="E360" s="182"/>
      <c r="F360" s="22"/>
      <c r="G360" s="74"/>
    </row>
    <row r="361" ht="13.5" customHeight="1">
      <c r="E361" s="182"/>
      <c r="F361" s="22"/>
      <c r="G361" s="74"/>
    </row>
    <row r="362" ht="13.5" customHeight="1">
      <c r="E362" s="182"/>
      <c r="F362" s="22"/>
      <c r="G362" s="74"/>
    </row>
    <row r="363" ht="13.5" customHeight="1">
      <c r="E363" s="182"/>
      <c r="F363" s="22"/>
      <c r="G363" s="74"/>
    </row>
    <row r="364" ht="13.5" customHeight="1">
      <c r="E364" s="182"/>
      <c r="F364" s="22"/>
      <c r="G364" s="74"/>
    </row>
    <row r="365" ht="13.5" customHeight="1">
      <c r="E365" s="182"/>
      <c r="F365" s="22"/>
      <c r="G365" s="74"/>
    </row>
    <row r="366" ht="13.5" customHeight="1">
      <c r="E366" s="182"/>
      <c r="F366" s="22"/>
      <c r="G366" s="74"/>
    </row>
    <row r="367" ht="13.5" customHeight="1">
      <c r="E367" s="182"/>
      <c r="F367" s="22"/>
      <c r="G367" s="74"/>
    </row>
    <row r="368" ht="13.5" customHeight="1">
      <c r="E368" s="182"/>
      <c r="F368" s="22"/>
      <c r="G368" s="74"/>
    </row>
    <row r="369" ht="13.5" customHeight="1">
      <c r="E369" s="182"/>
      <c r="F369" s="22"/>
      <c r="G369" s="74"/>
    </row>
    <row r="370" ht="13.5" customHeight="1">
      <c r="E370" s="182"/>
      <c r="F370" s="22"/>
      <c r="G370" s="74"/>
    </row>
    <row r="371" ht="13.5" customHeight="1">
      <c r="E371" s="182"/>
      <c r="F371" s="22"/>
      <c r="G371" s="74"/>
    </row>
    <row r="372" ht="13.5" customHeight="1">
      <c r="E372" s="182"/>
      <c r="F372" s="22"/>
      <c r="G372" s="74"/>
    </row>
    <row r="373" ht="13.5" customHeight="1">
      <c r="E373" s="182"/>
      <c r="F373" s="22"/>
      <c r="G373" s="74"/>
    </row>
    <row r="374" ht="13.5" customHeight="1">
      <c r="E374" s="182"/>
      <c r="F374" s="22"/>
      <c r="G374" s="74"/>
    </row>
    <row r="375" ht="13.5" customHeight="1">
      <c r="E375" s="182"/>
      <c r="F375" s="22"/>
      <c r="G375" s="74"/>
    </row>
    <row r="376" ht="13.5" customHeight="1">
      <c r="E376" s="182"/>
      <c r="F376" s="22"/>
      <c r="G376" s="74"/>
    </row>
    <row r="377" ht="13.5" customHeight="1">
      <c r="E377" s="182"/>
      <c r="F377" s="22"/>
      <c r="G377" s="74"/>
    </row>
    <row r="378" ht="13.5" customHeight="1">
      <c r="E378" s="182"/>
      <c r="F378" s="22"/>
      <c r="G378" s="74"/>
    </row>
    <row r="379" ht="13.5" customHeight="1">
      <c r="E379" s="182"/>
      <c r="F379" s="22"/>
      <c r="G379" s="74"/>
    </row>
    <row r="380" ht="13.5" customHeight="1">
      <c r="E380" s="182"/>
      <c r="F380" s="22"/>
      <c r="G380" s="74"/>
    </row>
    <row r="381" ht="13.5" customHeight="1">
      <c r="E381" s="182"/>
      <c r="F381" s="22"/>
      <c r="G381" s="74"/>
    </row>
    <row r="382" ht="13.5" customHeight="1">
      <c r="E382" s="182"/>
      <c r="F382" s="22"/>
      <c r="G382" s="74"/>
    </row>
    <row r="383" ht="13.5" customHeight="1">
      <c r="E383" s="182"/>
      <c r="F383" s="22"/>
      <c r="G383" s="74"/>
    </row>
    <row r="384" ht="13.5" customHeight="1">
      <c r="E384" s="182"/>
      <c r="F384" s="22"/>
      <c r="G384" s="74"/>
    </row>
    <row r="385" ht="13.5" customHeight="1">
      <c r="E385" s="182"/>
      <c r="F385" s="22"/>
      <c r="G385" s="74"/>
    </row>
    <row r="386" ht="13.5" customHeight="1">
      <c r="E386" s="182"/>
      <c r="F386" s="22"/>
      <c r="G386" s="74"/>
    </row>
    <row r="387" ht="13.5" customHeight="1">
      <c r="E387" s="182"/>
      <c r="F387" s="22"/>
      <c r="G387" s="74"/>
    </row>
    <row r="388" ht="13.5" customHeight="1">
      <c r="E388" s="182"/>
      <c r="F388" s="22"/>
      <c r="G388" s="74"/>
    </row>
    <row r="389" ht="13.5" customHeight="1">
      <c r="E389" s="182"/>
      <c r="F389" s="22"/>
      <c r="G389" s="74"/>
    </row>
    <row r="390" ht="13.5" customHeight="1">
      <c r="E390" s="182"/>
      <c r="F390" s="22"/>
      <c r="G390" s="74"/>
    </row>
    <row r="391" ht="13.5" customHeight="1">
      <c r="E391" s="182"/>
      <c r="F391" s="22"/>
      <c r="G391" s="74"/>
    </row>
    <row r="392" ht="13.5" customHeight="1">
      <c r="E392" s="182"/>
      <c r="F392" s="22"/>
      <c r="G392" s="74"/>
    </row>
    <row r="393" ht="13.5" customHeight="1">
      <c r="E393" s="182"/>
      <c r="F393" s="22"/>
      <c r="G393" s="74"/>
    </row>
    <row r="394" ht="13.5" customHeight="1">
      <c r="E394" s="182"/>
      <c r="F394" s="22"/>
      <c r="G394" s="74"/>
    </row>
    <row r="395" ht="13.5" customHeight="1">
      <c r="E395" s="182"/>
      <c r="F395" s="22"/>
      <c r="G395" s="74"/>
    </row>
    <row r="396" ht="13.5" customHeight="1">
      <c r="E396" s="182"/>
      <c r="F396" s="22"/>
      <c r="G396" s="74"/>
    </row>
    <row r="397" ht="13.5" customHeight="1">
      <c r="E397" s="182"/>
      <c r="F397" s="22"/>
      <c r="G397" s="74"/>
    </row>
    <row r="398" ht="13.5" customHeight="1">
      <c r="E398" s="182"/>
      <c r="F398" s="22"/>
      <c r="G398" s="74"/>
    </row>
    <row r="399" ht="13.5" customHeight="1">
      <c r="E399" s="182"/>
      <c r="F399" s="22"/>
      <c r="G399" s="74"/>
    </row>
    <row r="400" ht="13.5" customHeight="1">
      <c r="E400" s="182"/>
      <c r="F400" s="22"/>
      <c r="G400" s="74"/>
    </row>
    <row r="401" ht="13.5" customHeight="1">
      <c r="E401" s="182"/>
      <c r="F401" s="22"/>
      <c r="G401" s="74"/>
    </row>
    <row r="402" ht="13.5" customHeight="1">
      <c r="E402" s="182"/>
      <c r="F402" s="22"/>
      <c r="G402" s="74"/>
    </row>
    <row r="403" ht="13.5" customHeight="1">
      <c r="E403" s="182"/>
      <c r="F403" s="22"/>
      <c r="G403" s="74"/>
    </row>
    <row r="404" ht="13.5" customHeight="1">
      <c r="E404" s="182"/>
      <c r="F404" s="22"/>
      <c r="G404" s="74"/>
    </row>
    <row r="405" ht="13.5" customHeight="1">
      <c r="E405" s="182"/>
      <c r="F405" s="22"/>
      <c r="G405" s="74"/>
    </row>
    <row r="406" ht="13.5" customHeight="1">
      <c r="E406" s="182"/>
      <c r="F406" s="22"/>
      <c r="G406" s="74"/>
    </row>
    <row r="407" ht="13.5" customHeight="1">
      <c r="E407" s="182"/>
      <c r="F407" s="22"/>
      <c r="G407" s="74"/>
    </row>
    <row r="408" ht="13.5" customHeight="1">
      <c r="E408" s="182"/>
      <c r="F408" s="22"/>
      <c r="G408" s="74"/>
    </row>
    <row r="409" ht="13.5" customHeight="1">
      <c r="E409" s="182"/>
      <c r="F409" s="22"/>
      <c r="G409" s="74"/>
    </row>
    <row r="410" ht="13.5" customHeight="1">
      <c r="E410" s="182"/>
      <c r="F410" s="22"/>
      <c r="G410" s="74"/>
    </row>
    <row r="411" ht="13.5" customHeight="1">
      <c r="E411" s="182"/>
      <c r="F411" s="22"/>
      <c r="G411" s="74"/>
    </row>
    <row r="412" ht="13.5" customHeight="1">
      <c r="E412" s="182"/>
      <c r="F412" s="22"/>
      <c r="G412" s="74"/>
    </row>
    <row r="413" ht="13.5" customHeight="1">
      <c r="E413" s="182"/>
      <c r="F413" s="22"/>
      <c r="G413" s="74"/>
    </row>
    <row r="414" ht="13.5" customHeight="1">
      <c r="E414" s="182"/>
      <c r="F414" s="22"/>
      <c r="G414" s="74"/>
    </row>
    <row r="415" ht="13.5" customHeight="1">
      <c r="E415" s="182"/>
      <c r="F415" s="22"/>
      <c r="G415" s="74"/>
    </row>
    <row r="416" ht="13.5" customHeight="1">
      <c r="E416" s="182"/>
      <c r="F416" s="22"/>
      <c r="G416" s="74"/>
    </row>
    <row r="417" ht="13.5" customHeight="1">
      <c r="E417" s="182"/>
      <c r="F417" s="22"/>
      <c r="G417" s="74"/>
    </row>
    <row r="418" ht="13.5" customHeight="1">
      <c r="E418" s="182"/>
      <c r="F418" s="22"/>
      <c r="G418" s="74"/>
    </row>
    <row r="419" ht="13.5" customHeight="1">
      <c r="E419" s="182"/>
      <c r="F419" s="22"/>
      <c r="G419" s="74"/>
    </row>
    <row r="420" ht="13.5" customHeight="1">
      <c r="E420" s="182"/>
      <c r="F420" s="22"/>
      <c r="G420" s="74"/>
    </row>
    <row r="421" ht="13.5" customHeight="1">
      <c r="E421" s="182"/>
      <c r="F421" s="22"/>
      <c r="G421" s="74"/>
    </row>
    <row r="422" ht="13.5" customHeight="1">
      <c r="E422" s="182"/>
      <c r="F422" s="22"/>
      <c r="G422" s="74"/>
    </row>
    <row r="423" ht="13.5" customHeight="1">
      <c r="E423" s="182"/>
      <c r="F423" s="22"/>
      <c r="G423" s="74"/>
    </row>
    <row r="424" ht="13.5" customHeight="1">
      <c r="E424" s="182"/>
      <c r="F424" s="22"/>
      <c r="G424" s="74"/>
    </row>
    <row r="425" ht="13.5" customHeight="1">
      <c r="E425" s="182"/>
      <c r="F425" s="22"/>
      <c r="G425" s="74"/>
    </row>
    <row r="426" ht="13.5" customHeight="1">
      <c r="E426" s="182"/>
      <c r="F426" s="22"/>
      <c r="G426" s="74"/>
    </row>
    <row r="427" ht="13.5" customHeight="1">
      <c r="E427" s="182"/>
      <c r="F427" s="22"/>
      <c r="G427" s="74"/>
    </row>
    <row r="428" ht="13.5" customHeight="1">
      <c r="E428" s="182"/>
      <c r="F428" s="22"/>
      <c r="G428" s="74"/>
    </row>
    <row r="429" ht="13.5" customHeight="1">
      <c r="E429" s="182"/>
      <c r="F429" s="22"/>
      <c r="G429" s="74"/>
    </row>
    <row r="430" ht="13.5" customHeight="1">
      <c r="E430" s="182"/>
      <c r="F430" s="22"/>
      <c r="G430" s="74"/>
    </row>
    <row r="431" ht="13.5" customHeight="1">
      <c r="E431" s="182"/>
      <c r="F431" s="22"/>
      <c r="G431" s="74"/>
    </row>
    <row r="432" ht="13.5" customHeight="1">
      <c r="E432" s="182"/>
      <c r="F432" s="22"/>
      <c r="G432" s="74"/>
    </row>
    <row r="433" ht="13.5" customHeight="1">
      <c r="E433" s="182"/>
      <c r="F433" s="22"/>
      <c r="G433" s="74"/>
    </row>
    <row r="434" ht="13.5" customHeight="1">
      <c r="E434" s="182"/>
      <c r="F434" s="22"/>
      <c r="G434" s="74"/>
    </row>
    <row r="435" ht="13.5" customHeight="1">
      <c r="E435" s="182"/>
      <c r="F435" s="22"/>
      <c r="G435" s="74"/>
    </row>
    <row r="436" ht="13.5" customHeight="1">
      <c r="E436" s="182"/>
      <c r="F436" s="22"/>
      <c r="G436" s="74"/>
    </row>
    <row r="437" ht="13.5" customHeight="1">
      <c r="E437" s="182"/>
      <c r="F437" s="22"/>
      <c r="G437" s="74"/>
    </row>
    <row r="438" ht="13.5" customHeight="1">
      <c r="E438" s="182"/>
      <c r="F438" s="22"/>
      <c r="G438" s="74"/>
    </row>
    <row r="439" ht="13.5" customHeight="1">
      <c r="E439" s="182"/>
      <c r="F439" s="22"/>
      <c r="G439" s="74"/>
    </row>
    <row r="440" ht="13.5" customHeight="1">
      <c r="E440" s="182"/>
      <c r="F440" s="22"/>
      <c r="G440" s="74"/>
    </row>
    <row r="441" ht="13.5" customHeight="1">
      <c r="E441" s="182"/>
      <c r="F441" s="22"/>
      <c r="G441" s="74"/>
    </row>
    <row r="442" ht="13.5" customHeight="1">
      <c r="E442" s="182"/>
      <c r="F442" s="22"/>
      <c r="G442" s="74"/>
    </row>
    <row r="443" ht="13.5" customHeight="1">
      <c r="E443" s="182"/>
      <c r="F443" s="22"/>
      <c r="G443" s="74"/>
    </row>
    <row r="444" ht="13.5" customHeight="1">
      <c r="E444" s="182"/>
      <c r="F444" s="22"/>
      <c r="G444" s="74"/>
    </row>
    <row r="445" ht="13.5" customHeight="1">
      <c r="E445" s="182"/>
      <c r="F445" s="22"/>
      <c r="G445" s="74"/>
    </row>
    <row r="446" ht="13.5" customHeight="1">
      <c r="E446" s="182"/>
      <c r="F446" s="22"/>
      <c r="G446" s="74"/>
    </row>
    <row r="447" ht="13.5" customHeight="1">
      <c r="E447" s="182"/>
      <c r="F447" s="22"/>
      <c r="G447" s="74"/>
    </row>
    <row r="448" ht="13.5" customHeight="1">
      <c r="E448" s="182"/>
      <c r="F448" s="22"/>
      <c r="G448" s="74"/>
    </row>
    <row r="449" ht="13.5" customHeight="1">
      <c r="E449" s="182"/>
      <c r="F449" s="22"/>
      <c r="G449" s="74"/>
    </row>
    <row r="450" ht="13.5" customHeight="1">
      <c r="E450" s="182"/>
      <c r="F450" s="22"/>
      <c r="G450" s="74"/>
    </row>
    <row r="451" ht="13.5" customHeight="1">
      <c r="E451" s="182"/>
      <c r="F451" s="22"/>
      <c r="G451" s="74"/>
    </row>
    <row r="452" ht="13.5" customHeight="1">
      <c r="E452" s="182"/>
      <c r="F452" s="22"/>
      <c r="G452" s="74"/>
    </row>
    <row r="453" ht="13.5" customHeight="1">
      <c r="E453" s="182"/>
      <c r="F453" s="22"/>
      <c r="G453" s="74"/>
    </row>
    <row r="454" ht="13.5" customHeight="1">
      <c r="E454" s="182"/>
      <c r="F454" s="22"/>
      <c r="G454" s="74"/>
    </row>
    <row r="455" ht="13.5" customHeight="1">
      <c r="E455" s="182"/>
      <c r="F455" s="22"/>
      <c r="G455" s="74"/>
    </row>
    <row r="456" ht="13.5" customHeight="1">
      <c r="E456" s="182"/>
      <c r="F456" s="22"/>
      <c r="G456" s="74"/>
    </row>
    <row r="457" ht="13.5" customHeight="1">
      <c r="E457" s="182"/>
      <c r="F457" s="22"/>
      <c r="G457" s="74"/>
    </row>
    <row r="458" ht="13.5" customHeight="1">
      <c r="E458" s="182"/>
      <c r="F458" s="22"/>
      <c r="G458" s="74"/>
    </row>
    <row r="459" ht="13.5" customHeight="1">
      <c r="E459" s="182"/>
      <c r="F459" s="22"/>
      <c r="G459" s="74"/>
    </row>
    <row r="460" ht="13.5" customHeight="1">
      <c r="E460" s="182"/>
      <c r="F460" s="22"/>
      <c r="G460" s="74"/>
    </row>
    <row r="461" ht="13.5" customHeight="1">
      <c r="E461" s="182"/>
      <c r="F461" s="22"/>
      <c r="G461" s="74"/>
    </row>
    <row r="462" ht="13.5" customHeight="1">
      <c r="E462" s="182"/>
      <c r="F462" s="22"/>
      <c r="G462" s="74"/>
    </row>
    <row r="463" ht="13.5" customHeight="1">
      <c r="E463" s="182"/>
      <c r="F463" s="22"/>
      <c r="G463" s="74"/>
    </row>
    <row r="464" ht="13.5" customHeight="1">
      <c r="E464" s="182"/>
      <c r="F464" s="22"/>
      <c r="G464" s="74"/>
    </row>
    <row r="465" ht="13.5" customHeight="1">
      <c r="E465" s="182"/>
      <c r="F465" s="22"/>
      <c r="G465" s="74"/>
    </row>
    <row r="466" ht="13.5" customHeight="1">
      <c r="E466" s="182"/>
      <c r="F466" s="22"/>
      <c r="G466" s="74"/>
    </row>
    <row r="467" ht="13.5" customHeight="1">
      <c r="E467" s="182"/>
      <c r="F467" s="22"/>
      <c r="G467" s="74"/>
    </row>
    <row r="468" ht="13.5" customHeight="1">
      <c r="E468" s="182"/>
      <c r="F468" s="22"/>
      <c r="G468" s="74"/>
    </row>
    <row r="469" ht="13.5" customHeight="1">
      <c r="E469" s="182"/>
      <c r="F469" s="22"/>
      <c r="G469" s="74"/>
    </row>
    <row r="470" ht="13.5" customHeight="1">
      <c r="E470" s="182"/>
      <c r="F470" s="22"/>
      <c r="G470" s="74"/>
    </row>
    <row r="471" ht="13.5" customHeight="1">
      <c r="E471" s="182"/>
      <c r="F471" s="22"/>
      <c r="G471" s="74"/>
    </row>
    <row r="472" ht="13.5" customHeight="1">
      <c r="E472" s="182"/>
      <c r="F472" s="22"/>
      <c r="G472" s="74"/>
    </row>
    <row r="473" ht="13.5" customHeight="1">
      <c r="E473" s="182"/>
      <c r="F473" s="22"/>
      <c r="G473" s="74"/>
    </row>
    <row r="474" ht="13.5" customHeight="1">
      <c r="E474" s="182"/>
      <c r="F474" s="22"/>
      <c r="G474" s="74"/>
    </row>
    <row r="475" ht="13.5" customHeight="1">
      <c r="E475" s="182"/>
      <c r="F475" s="22"/>
      <c r="G475" s="74"/>
    </row>
    <row r="476" ht="13.5" customHeight="1">
      <c r="E476" s="182"/>
      <c r="F476" s="22"/>
      <c r="G476" s="74"/>
    </row>
    <row r="477" ht="13.5" customHeight="1">
      <c r="E477" s="182"/>
      <c r="F477" s="22"/>
      <c r="G477" s="74"/>
    </row>
    <row r="478" ht="13.5" customHeight="1">
      <c r="E478" s="182"/>
      <c r="F478" s="22"/>
      <c r="G478" s="74"/>
    </row>
    <row r="479" ht="13.5" customHeight="1">
      <c r="E479" s="182"/>
      <c r="F479" s="22"/>
      <c r="G479" s="74"/>
    </row>
    <row r="480" ht="13.5" customHeight="1">
      <c r="E480" s="182"/>
      <c r="F480" s="22"/>
      <c r="G480" s="74"/>
    </row>
    <row r="481" ht="13.5" customHeight="1">
      <c r="E481" s="182"/>
      <c r="F481" s="22"/>
      <c r="G481" s="74"/>
    </row>
    <row r="482" ht="13.5" customHeight="1">
      <c r="E482" s="182"/>
      <c r="F482" s="22"/>
      <c r="G482" s="74"/>
    </row>
    <row r="483" ht="13.5" customHeight="1">
      <c r="E483" s="182"/>
      <c r="F483" s="22"/>
      <c r="G483" s="74"/>
    </row>
    <row r="484" ht="13.5" customHeight="1">
      <c r="E484" s="182"/>
      <c r="F484" s="22"/>
      <c r="G484" s="74"/>
    </row>
    <row r="485" ht="13.5" customHeight="1">
      <c r="E485" s="182"/>
      <c r="F485" s="22"/>
      <c r="G485" s="74"/>
    </row>
    <row r="486" ht="13.5" customHeight="1">
      <c r="E486" s="182"/>
      <c r="F486" s="22"/>
      <c r="G486" s="74"/>
    </row>
    <row r="487" ht="13.5" customHeight="1">
      <c r="E487" s="182"/>
      <c r="F487" s="22"/>
      <c r="G487" s="74"/>
    </row>
    <row r="488" ht="13.5" customHeight="1">
      <c r="E488" s="182"/>
      <c r="F488" s="22"/>
      <c r="G488" s="74"/>
    </row>
    <row r="489" ht="13.5" customHeight="1">
      <c r="E489" s="182"/>
      <c r="F489" s="22"/>
      <c r="G489" s="74"/>
    </row>
    <row r="490" ht="13.5" customHeight="1">
      <c r="E490" s="182"/>
      <c r="F490" s="22"/>
      <c r="G490" s="74"/>
    </row>
    <row r="491" ht="13.5" customHeight="1">
      <c r="E491" s="182"/>
      <c r="F491" s="22"/>
      <c r="G491" s="74"/>
    </row>
    <row r="492" ht="13.5" customHeight="1">
      <c r="E492" s="182"/>
      <c r="F492" s="22"/>
      <c r="G492" s="74"/>
    </row>
    <row r="493" ht="13.5" customHeight="1">
      <c r="E493" s="182"/>
      <c r="F493" s="22"/>
      <c r="G493" s="74"/>
    </row>
    <row r="494" ht="13.5" customHeight="1">
      <c r="E494" s="182"/>
      <c r="F494" s="22"/>
      <c r="G494" s="74"/>
    </row>
    <row r="495" ht="13.5" customHeight="1">
      <c r="E495" s="182"/>
      <c r="F495" s="22"/>
      <c r="G495" s="74"/>
    </row>
    <row r="496" ht="13.5" customHeight="1">
      <c r="E496" s="182"/>
      <c r="F496" s="22"/>
      <c r="G496" s="74"/>
    </row>
    <row r="497" ht="13.5" customHeight="1">
      <c r="E497" s="182"/>
      <c r="F497" s="22"/>
      <c r="G497" s="74"/>
    </row>
    <row r="498" ht="13.5" customHeight="1">
      <c r="E498" s="182"/>
      <c r="F498" s="22"/>
      <c r="G498" s="74"/>
    </row>
    <row r="499" ht="13.5" customHeight="1">
      <c r="E499" s="182"/>
      <c r="F499" s="22"/>
      <c r="G499" s="74"/>
    </row>
    <row r="500" ht="13.5" customHeight="1">
      <c r="E500" s="182"/>
      <c r="F500" s="22"/>
      <c r="G500" s="74"/>
    </row>
    <row r="501" ht="13.5" customHeight="1">
      <c r="E501" s="182"/>
      <c r="F501" s="22"/>
      <c r="G501" s="74"/>
    </row>
    <row r="502" ht="13.5" customHeight="1">
      <c r="E502" s="182"/>
      <c r="F502" s="22"/>
      <c r="G502" s="74"/>
    </row>
    <row r="503" ht="13.5" customHeight="1">
      <c r="E503" s="182"/>
      <c r="F503" s="22"/>
      <c r="G503" s="74"/>
    </row>
    <row r="504" ht="13.5" customHeight="1">
      <c r="E504" s="182"/>
      <c r="F504" s="22"/>
      <c r="G504" s="74"/>
    </row>
    <row r="505" ht="13.5" customHeight="1">
      <c r="E505" s="182"/>
      <c r="F505" s="22"/>
      <c r="G505" s="74"/>
    </row>
    <row r="506" ht="13.5" customHeight="1">
      <c r="E506" s="182"/>
      <c r="F506" s="22"/>
      <c r="G506" s="74"/>
    </row>
    <row r="507" ht="13.5" customHeight="1">
      <c r="E507" s="182"/>
      <c r="F507" s="22"/>
      <c r="G507" s="74"/>
    </row>
    <row r="508" ht="13.5" customHeight="1">
      <c r="E508" s="182"/>
      <c r="F508" s="22"/>
      <c r="G508" s="74"/>
    </row>
    <row r="509" ht="13.5" customHeight="1">
      <c r="E509" s="182"/>
      <c r="F509" s="22"/>
      <c r="G509" s="74"/>
    </row>
    <row r="510" ht="13.5" customHeight="1">
      <c r="E510" s="182"/>
      <c r="F510" s="22"/>
      <c r="G510" s="74"/>
    </row>
    <row r="511" ht="13.5" customHeight="1">
      <c r="E511" s="182"/>
      <c r="F511" s="22"/>
      <c r="G511" s="74"/>
    </row>
    <row r="512" ht="13.5" customHeight="1">
      <c r="E512" s="182"/>
      <c r="F512" s="22"/>
      <c r="G512" s="74"/>
    </row>
    <row r="513" ht="13.5" customHeight="1">
      <c r="E513" s="182"/>
      <c r="F513" s="22"/>
      <c r="G513" s="74"/>
    </row>
    <row r="514" ht="13.5" customHeight="1">
      <c r="E514" s="182"/>
      <c r="F514" s="22"/>
      <c r="G514" s="74"/>
    </row>
    <row r="515" ht="13.5" customHeight="1">
      <c r="E515" s="182"/>
      <c r="F515" s="22"/>
      <c r="G515" s="74"/>
    </row>
    <row r="516" ht="13.5" customHeight="1">
      <c r="E516" s="182"/>
      <c r="F516" s="22"/>
      <c r="G516" s="74"/>
    </row>
    <row r="517" ht="13.5" customHeight="1">
      <c r="E517" s="182"/>
      <c r="F517" s="22"/>
      <c r="G517" s="74"/>
    </row>
    <row r="518" ht="13.5" customHeight="1">
      <c r="E518" s="182"/>
      <c r="F518" s="22"/>
      <c r="G518" s="74"/>
    </row>
    <row r="519" ht="13.5" customHeight="1">
      <c r="E519" s="182"/>
      <c r="F519" s="22"/>
      <c r="G519" s="74"/>
    </row>
    <row r="520" ht="13.5" customHeight="1">
      <c r="E520" s="182"/>
      <c r="F520" s="22"/>
      <c r="G520" s="74"/>
    </row>
    <row r="521" ht="13.5" customHeight="1">
      <c r="E521" s="182"/>
      <c r="F521" s="22"/>
      <c r="G521" s="74"/>
    </row>
    <row r="522" ht="13.5" customHeight="1">
      <c r="E522" s="182"/>
      <c r="F522" s="22"/>
      <c r="G522" s="74"/>
    </row>
    <row r="523" ht="13.5" customHeight="1">
      <c r="E523" s="182"/>
      <c r="F523" s="22"/>
      <c r="G523" s="74"/>
    </row>
    <row r="524" ht="13.5" customHeight="1">
      <c r="E524" s="182"/>
      <c r="F524" s="22"/>
      <c r="G524" s="74"/>
    </row>
    <row r="525" ht="13.5" customHeight="1">
      <c r="E525" s="182"/>
      <c r="F525" s="22"/>
      <c r="G525" s="74"/>
    </row>
    <row r="526" ht="13.5" customHeight="1">
      <c r="E526" s="182"/>
      <c r="F526" s="22"/>
      <c r="G526" s="74"/>
    </row>
    <row r="527" ht="13.5" customHeight="1">
      <c r="E527" s="182"/>
      <c r="F527" s="22"/>
      <c r="G527" s="74"/>
    </row>
    <row r="528" ht="13.5" customHeight="1">
      <c r="E528" s="182"/>
      <c r="F528" s="22"/>
      <c r="G528" s="74"/>
    </row>
    <row r="529" ht="13.5" customHeight="1">
      <c r="E529" s="182"/>
      <c r="F529" s="22"/>
      <c r="G529" s="74"/>
    </row>
    <row r="530" ht="13.5" customHeight="1">
      <c r="E530" s="182"/>
      <c r="F530" s="22"/>
      <c r="G530" s="74"/>
    </row>
    <row r="531" ht="13.5" customHeight="1">
      <c r="E531" s="182"/>
      <c r="F531" s="22"/>
      <c r="G531" s="74"/>
    </row>
    <row r="532" ht="13.5" customHeight="1">
      <c r="E532" s="182"/>
      <c r="F532" s="22"/>
      <c r="G532" s="74"/>
    </row>
    <row r="533" ht="13.5" customHeight="1">
      <c r="E533" s="182"/>
      <c r="F533" s="22"/>
      <c r="G533" s="74"/>
    </row>
    <row r="534" ht="13.5" customHeight="1">
      <c r="E534" s="182"/>
      <c r="F534" s="22"/>
      <c r="G534" s="74"/>
    </row>
    <row r="535" ht="13.5" customHeight="1">
      <c r="E535" s="182"/>
      <c r="F535" s="22"/>
      <c r="G535" s="74"/>
    </row>
    <row r="536" ht="13.5" customHeight="1">
      <c r="E536" s="182"/>
      <c r="F536" s="22"/>
      <c r="G536" s="74"/>
    </row>
    <row r="537" ht="13.5" customHeight="1">
      <c r="E537" s="182"/>
      <c r="F537" s="22"/>
      <c r="G537" s="74"/>
    </row>
    <row r="538" ht="13.5" customHeight="1">
      <c r="E538" s="182"/>
      <c r="F538" s="22"/>
      <c r="G538" s="74"/>
    </row>
    <row r="539" ht="13.5" customHeight="1">
      <c r="E539" s="182"/>
      <c r="F539" s="22"/>
      <c r="G539" s="74"/>
    </row>
    <row r="540" ht="13.5" customHeight="1">
      <c r="E540" s="182"/>
      <c r="F540" s="22"/>
      <c r="G540" s="74"/>
    </row>
    <row r="541" ht="13.5" customHeight="1">
      <c r="E541" s="182"/>
      <c r="F541" s="22"/>
      <c r="G541" s="74"/>
    </row>
    <row r="542" ht="13.5" customHeight="1">
      <c r="E542" s="182"/>
      <c r="F542" s="22"/>
      <c r="G542" s="74"/>
    </row>
    <row r="543" ht="13.5" customHeight="1">
      <c r="E543" s="182"/>
      <c r="F543" s="22"/>
      <c r="G543" s="74"/>
    </row>
    <row r="544" ht="13.5" customHeight="1">
      <c r="E544" s="182"/>
      <c r="F544" s="22"/>
      <c r="G544" s="74"/>
    </row>
    <row r="545" ht="13.5" customHeight="1">
      <c r="E545" s="182"/>
      <c r="F545" s="22"/>
      <c r="G545" s="74"/>
    </row>
    <row r="546" ht="13.5" customHeight="1">
      <c r="E546" s="182"/>
      <c r="F546" s="22"/>
      <c r="G546" s="74"/>
    </row>
    <row r="547" ht="13.5" customHeight="1">
      <c r="E547" s="182"/>
      <c r="F547" s="22"/>
      <c r="G547" s="74"/>
    </row>
    <row r="548" ht="13.5" customHeight="1">
      <c r="E548" s="182"/>
      <c r="F548" s="22"/>
      <c r="G548" s="74"/>
    </row>
    <row r="549" ht="13.5" customHeight="1">
      <c r="E549" s="182"/>
      <c r="F549" s="22"/>
      <c r="G549" s="74"/>
    </row>
    <row r="550" ht="13.5" customHeight="1">
      <c r="E550" s="182"/>
      <c r="F550" s="22"/>
      <c r="G550" s="74"/>
    </row>
    <row r="551" ht="13.5" customHeight="1">
      <c r="E551" s="182"/>
      <c r="F551" s="22"/>
      <c r="G551" s="74"/>
    </row>
    <row r="552" ht="13.5" customHeight="1">
      <c r="E552" s="182"/>
      <c r="F552" s="22"/>
      <c r="G552" s="74"/>
    </row>
    <row r="553" ht="13.5" customHeight="1">
      <c r="E553" s="182"/>
      <c r="F553" s="22"/>
      <c r="G553" s="74"/>
    </row>
    <row r="554" ht="13.5" customHeight="1">
      <c r="E554" s="182"/>
      <c r="F554" s="22"/>
      <c r="G554" s="74"/>
    </row>
    <row r="555" ht="13.5" customHeight="1">
      <c r="E555" s="182"/>
      <c r="F555" s="22"/>
      <c r="G555" s="74"/>
    </row>
    <row r="556" ht="13.5" customHeight="1">
      <c r="E556" s="182"/>
      <c r="F556" s="22"/>
      <c r="G556" s="74"/>
    </row>
    <row r="557" ht="13.5" customHeight="1">
      <c r="E557" s="182"/>
      <c r="F557" s="22"/>
      <c r="G557" s="74"/>
    </row>
    <row r="558" ht="13.5" customHeight="1">
      <c r="E558" s="182"/>
      <c r="F558" s="22"/>
      <c r="G558" s="74"/>
    </row>
    <row r="559" ht="13.5" customHeight="1">
      <c r="E559" s="182"/>
      <c r="F559" s="22"/>
      <c r="G559" s="74"/>
    </row>
    <row r="560" ht="13.5" customHeight="1">
      <c r="E560" s="182"/>
      <c r="F560" s="22"/>
      <c r="G560" s="74"/>
    </row>
    <row r="561" ht="13.5" customHeight="1">
      <c r="E561" s="182"/>
      <c r="F561" s="22"/>
      <c r="G561" s="74"/>
    </row>
    <row r="562" ht="13.5" customHeight="1">
      <c r="E562" s="182"/>
      <c r="F562" s="22"/>
      <c r="G562" s="74"/>
    </row>
    <row r="563" ht="13.5" customHeight="1">
      <c r="E563" s="182"/>
      <c r="F563" s="22"/>
      <c r="G563" s="74"/>
    </row>
    <row r="564" ht="13.5" customHeight="1">
      <c r="E564" s="182"/>
      <c r="F564" s="22"/>
      <c r="G564" s="74"/>
    </row>
    <row r="565" ht="13.5" customHeight="1">
      <c r="E565" s="182"/>
      <c r="F565" s="22"/>
      <c r="G565" s="74"/>
    </row>
    <row r="566" ht="13.5" customHeight="1">
      <c r="E566" s="182"/>
      <c r="F566" s="22"/>
      <c r="G566" s="74"/>
    </row>
    <row r="567" ht="13.5" customHeight="1">
      <c r="E567" s="182"/>
      <c r="F567" s="22"/>
      <c r="G567" s="74"/>
    </row>
    <row r="568" ht="13.5" customHeight="1">
      <c r="E568" s="182"/>
      <c r="F568" s="22"/>
      <c r="G568" s="74"/>
    </row>
    <row r="569" ht="13.5" customHeight="1">
      <c r="E569" s="182"/>
      <c r="F569" s="22"/>
      <c r="G569" s="74"/>
    </row>
    <row r="570" ht="13.5" customHeight="1">
      <c r="E570" s="182"/>
      <c r="F570" s="22"/>
      <c r="G570" s="74"/>
    </row>
    <row r="571" ht="13.5" customHeight="1">
      <c r="E571" s="182"/>
      <c r="F571" s="22"/>
      <c r="G571" s="74"/>
    </row>
    <row r="572" ht="13.5" customHeight="1">
      <c r="E572" s="182"/>
      <c r="F572" s="22"/>
      <c r="G572" s="74"/>
    </row>
    <row r="573" ht="13.5" customHeight="1">
      <c r="E573" s="182"/>
      <c r="F573" s="22"/>
      <c r="G573" s="74"/>
    </row>
    <row r="574" ht="13.5" customHeight="1">
      <c r="E574" s="182"/>
      <c r="F574" s="22"/>
      <c r="G574" s="74"/>
    </row>
    <row r="575" ht="13.5" customHeight="1">
      <c r="E575" s="182"/>
      <c r="F575" s="22"/>
      <c r="G575" s="74"/>
    </row>
    <row r="576" ht="13.5" customHeight="1">
      <c r="E576" s="182"/>
      <c r="F576" s="22"/>
      <c r="G576" s="74"/>
    </row>
    <row r="577" ht="13.5" customHeight="1">
      <c r="E577" s="182"/>
      <c r="F577" s="22"/>
      <c r="G577" s="74"/>
    </row>
    <row r="578" ht="13.5" customHeight="1">
      <c r="E578" s="182"/>
      <c r="F578" s="22"/>
      <c r="G578" s="74"/>
    </row>
    <row r="579" ht="13.5" customHeight="1">
      <c r="E579" s="182"/>
      <c r="F579" s="22"/>
      <c r="G579" s="74"/>
    </row>
    <row r="580" ht="13.5" customHeight="1">
      <c r="E580" s="182"/>
      <c r="F580" s="22"/>
      <c r="G580" s="74"/>
    </row>
    <row r="581" ht="13.5" customHeight="1">
      <c r="E581" s="182"/>
      <c r="F581" s="22"/>
      <c r="G581" s="74"/>
    </row>
    <row r="582" ht="13.5" customHeight="1">
      <c r="E582" s="182"/>
      <c r="F582" s="22"/>
      <c r="G582" s="74"/>
    </row>
    <row r="583" ht="13.5" customHeight="1">
      <c r="E583" s="182"/>
      <c r="F583" s="22"/>
      <c r="G583" s="74"/>
    </row>
    <row r="584" ht="13.5" customHeight="1">
      <c r="E584" s="182"/>
      <c r="F584" s="22"/>
      <c r="G584" s="74"/>
    </row>
    <row r="585" ht="13.5" customHeight="1">
      <c r="E585" s="182"/>
      <c r="F585" s="22"/>
      <c r="G585" s="74"/>
    </row>
    <row r="586" ht="13.5" customHeight="1">
      <c r="E586" s="182"/>
      <c r="F586" s="22"/>
      <c r="G586" s="74"/>
    </row>
    <row r="587" ht="13.5" customHeight="1">
      <c r="E587" s="182"/>
      <c r="F587" s="22"/>
      <c r="G587" s="74"/>
    </row>
    <row r="588" ht="13.5" customHeight="1">
      <c r="E588" s="182"/>
      <c r="F588" s="22"/>
      <c r="G588" s="74"/>
    </row>
    <row r="589" ht="13.5" customHeight="1">
      <c r="E589" s="182"/>
      <c r="F589" s="22"/>
      <c r="G589" s="74"/>
    </row>
    <row r="590" ht="13.5" customHeight="1">
      <c r="E590" s="182"/>
      <c r="F590" s="22"/>
      <c r="G590" s="74"/>
    </row>
    <row r="591" ht="13.5" customHeight="1">
      <c r="E591" s="182"/>
      <c r="F591" s="22"/>
      <c r="G591" s="74"/>
    </row>
    <row r="592" ht="13.5" customHeight="1">
      <c r="E592" s="182"/>
      <c r="F592" s="22"/>
      <c r="G592" s="74"/>
    </row>
    <row r="593" ht="13.5" customHeight="1">
      <c r="E593" s="182"/>
      <c r="F593" s="22"/>
      <c r="G593" s="74"/>
    </row>
    <row r="594" ht="13.5" customHeight="1">
      <c r="E594" s="182"/>
      <c r="F594" s="22"/>
      <c r="G594" s="74"/>
    </row>
    <row r="595" ht="13.5" customHeight="1">
      <c r="E595" s="182"/>
      <c r="F595" s="22"/>
      <c r="G595" s="74"/>
    </row>
    <row r="596" ht="13.5" customHeight="1">
      <c r="E596" s="182"/>
      <c r="F596" s="22"/>
      <c r="G596" s="74"/>
    </row>
    <row r="597" ht="13.5" customHeight="1">
      <c r="E597" s="182"/>
      <c r="F597" s="22"/>
      <c r="G597" s="74"/>
    </row>
    <row r="598" ht="13.5" customHeight="1">
      <c r="E598" s="182"/>
      <c r="F598" s="22"/>
      <c r="G598" s="74"/>
    </row>
    <row r="599" ht="13.5" customHeight="1">
      <c r="E599" s="182"/>
      <c r="F599" s="22"/>
      <c r="G599" s="74"/>
    </row>
    <row r="600" ht="13.5" customHeight="1">
      <c r="E600" s="182"/>
      <c r="F600" s="22"/>
      <c r="G600" s="74"/>
    </row>
    <row r="601" ht="13.5" customHeight="1">
      <c r="E601" s="182"/>
      <c r="F601" s="22"/>
      <c r="G601" s="74"/>
    </row>
    <row r="602" ht="13.5" customHeight="1">
      <c r="E602" s="182"/>
      <c r="F602" s="22"/>
      <c r="G602" s="74"/>
    </row>
    <row r="603" ht="13.5" customHeight="1">
      <c r="E603" s="182"/>
      <c r="F603" s="22"/>
      <c r="G603" s="74"/>
    </row>
    <row r="604" ht="13.5" customHeight="1">
      <c r="E604" s="182"/>
      <c r="F604" s="22"/>
      <c r="G604" s="74"/>
    </row>
    <row r="605" ht="13.5" customHeight="1">
      <c r="E605" s="182"/>
      <c r="F605" s="22"/>
      <c r="G605" s="74"/>
    </row>
    <row r="606" ht="13.5" customHeight="1">
      <c r="E606" s="182"/>
      <c r="F606" s="22"/>
      <c r="G606" s="74"/>
    </row>
    <row r="607" ht="13.5" customHeight="1">
      <c r="E607" s="182"/>
      <c r="F607" s="22"/>
      <c r="G607" s="74"/>
    </row>
    <row r="608" ht="13.5" customHeight="1">
      <c r="E608" s="182"/>
      <c r="F608" s="22"/>
      <c r="G608" s="74"/>
    </row>
    <row r="609" ht="13.5" customHeight="1">
      <c r="E609" s="182"/>
      <c r="F609" s="22"/>
      <c r="G609" s="74"/>
    </row>
    <row r="610" ht="13.5" customHeight="1">
      <c r="E610" s="182"/>
      <c r="F610" s="22"/>
      <c r="G610" s="74"/>
    </row>
    <row r="611" ht="13.5" customHeight="1">
      <c r="E611" s="182"/>
      <c r="F611" s="22"/>
      <c r="G611" s="74"/>
    </row>
    <row r="612" ht="13.5" customHeight="1">
      <c r="E612" s="182"/>
      <c r="F612" s="22"/>
      <c r="G612" s="74"/>
    </row>
    <row r="613" ht="13.5" customHeight="1">
      <c r="E613" s="182"/>
      <c r="F613" s="22"/>
      <c r="G613" s="74"/>
    </row>
    <row r="614" ht="13.5" customHeight="1">
      <c r="E614" s="182"/>
      <c r="F614" s="22"/>
      <c r="G614" s="74"/>
    </row>
    <row r="615" ht="13.5" customHeight="1">
      <c r="E615" s="182"/>
      <c r="F615" s="22"/>
      <c r="G615" s="74"/>
    </row>
    <row r="616" ht="13.5" customHeight="1">
      <c r="E616" s="182"/>
      <c r="F616" s="22"/>
      <c r="G616" s="74"/>
    </row>
    <row r="617" ht="13.5" customHeight="1">
      <c r="E617" s="182"/>
      <c r="F617" s="22"/>
      <c r="G617" s="74"/>
    </row>
    <row r="618" ht="13.5" customHeight="1">
      <c r="E618" s="182"/>
      <c r="F618" s="22"/>
      <c r="G618" s="74"/>
    </row>
    <row r="619" ht="13.5" customHeight="1">
      <c r="E619" s="182"/>
      <c r="F619" s="22"/>
      <c r="G619" s="74"/>
    </row>
    <row r="620" ht="13.5" customHeight="1">
      <c r="E620" s="182"/>
      <c r="F620" s="22"/>
      <c r="G620" s="74"/>
    </row>
    <row r="621" ht="13.5" customHeight="1">
      <c r="E621" s="182"/>
      <c r="F621" s="22"/>
      <c r="G621" s="74"/>
    </row>
    <row r="622" ht="13.5" customHeight="1">
      <c r="E622" s="182"/>
      <c r="F622" s="22"/>
      <c r="G622" s="74"/>
    </row>
    <row r="623" ht="13.5" customHeight="1">
      <c r="E623" s="182"/>
      <c r="F623" s="22"/>
      <c r="G623" s="74"/>
    </row>
    <row r="624" ht="13.5" customHeight="1">
      <c r="E624" s="182"/>
      <c r="F624" s="22"/>
      <c r="G624" s="74"/>
    </row>
    <row r="625" ht="13.5" customHeight="1">
      <c r="E625" s="182"/>
      <c r="F625" s="22"/>
      <c r="G625" s="74"/>
    </row>
    <row r="626" ht="13.5" customHeight="1">
      <c r="E626" s="182"/>
      <c r="F626" s="22"/>
      <c r="G626" s="74"/>
    </row>
    <row r="627" ht="13.5" customHeight="1">
      <c r="E627" s="182"/>
      <c r="F627" s="22"/>
      <c r="G627" s="74"/>
    </row>
    <row r="628" ht="13.5" customHeight="1">
      <c r="E628" s="182"/>
      <c r="F628" s="22"/>
      <c r="G628" s="74"/>
    </row>
    <row r="629" ht="13.5" customHeight="1">
      <c r="E629" s="182"/>
      <c r="F629" s="22"/>
      <c r="G629" s="74"/>
    </row>
    <row r="630" ht="13.5" customHeight="1">
      <c r="E630" s="182"/>
      <c r="F630" s="22"/>
      <c r="G630" s="74"/>
    </row>
    <row r="631" ht="13.5" customHeight="1">
      <c r="E631" s="182"/>
      <c r="F631" s="22"/>
      <c r="G631" s="74"/>
    </row>
    <row r="632" ht="13.5" customHeight="1">
      <c r="E632" s="182"/>
      <c r="F632" s="22"/>
      <c r="G632" s="74"/>
    </row>
    <row r="633" ht="13.5" customHeight="1">
      <c r="E633" s="182"/>
      <c r="F633" s="22"/>
      <c r="G633" s="74"/>
    </row>
    <row r="634" ht="13.5" customHeight="1">
      <c r="E634" s="182"/>
      <c r="F634" s="22"/>
      <c r="G634" s="74"/>
    </row>
    <row r="635" ht="13.5" customHeight="1">
      <c r="E635" s="182"/>
      <c r="F635" s="22"/>
      <c r="G635" s="74"/>
    </row>
    <row r="636" ht="13.5" customHeight="1">
      <c r="E636" s="182"/>
      <c r="F636" s="22"/>
      <c r="G636" s="74"/>
    </row>
    <row r="637" ht="13.5" customHeight="1">
      <c r="E637" s="182"/>
      <c r="F637" s="22"/>
      <c r="G637" s="74"/>
    </row>
    <row r="638" ht="13.5" customHeight="1">
      <c r="E638" s="182"/>
      <c r="F638" s="22"/>
      <c r="G638" s="74"/>
    </row>
    <row r="639" ht="13.5" customHeight="1">
      <c r="E639" s="182"/>
      <c r="F639" s="22"/>
      <c r="G639" s="74"/>
    </row>
    <row r="640" ht="13.5" customHeight="1">
      <c r="E640" s="182"/>
      <c r="F640" s="22"/>
      <c r="G640" s="74"/>
    </row>
    <row r="641" ht="13.5" customHeight="1">
      <c r="E641" s="182"/>
      <c r="F641" s="22"/>
      <c r="G641" s="74"/>
    </row>
    <row r="642" ht="13.5" customHeight="1">
      <c r="E642" s="182"/>
      <c r="F642" s="22"/>
      <c r="G642" s="74"/>
    </row>
    <row r="643" ht="13.5" customHeight="1">
      <c r="E643" s="182"/>
      <c r="F643" s="22"/>
      <c r="G643" s="74"/>
    </row>
    <row r="644" ht="13.5" customHeight="1">
      <c r="E644" s="182"/>
      <c r="F644" s="22"/>
      <c r="G644" s="74"/>
    </row>
    <row r="645" ht="13.5" customHeight="1">
      <c r="E645" s="182"/>
      <c r="F645" s="22"/>
      <c r="G645" s="74"/>
    </row>
    <row r="646" ht="13.5" customHeight="1">
      <c r="E646" s="182"/>
      <c r="F646" s="22"/>
      <c r="G646" s="74"/>
    </row>
    <row r="647" ht="13.5" customHeight="1">
      <c r="E647" s="182"/>
      <c r="F647" s="22"/>
      <c r="G647" s="74"/>
    </row>
    <row r="648" ht="13.5" customHeight="1">
      <c r="E648" s="182"/>
      <c r="F648" s="22"/>
      <c r="G648" s="74"/>
    </row>
    <row r="649" ht="13.5" customHeight="1">
      <c r="E649" s="182"/>
      <c r="F649" s="22"/>
      <c r="G649" s="74"/>
    </row>
    <row r="650" ht="13.5" customHeight="1">
      <c r="E650" s="182"/>
      <c r="F650" s="22"/>
      <c r="G650" s="74"/>
    </row>
    <row r="651" ht="13.5" customHeight="1">
      <c r="E651" s="182"/>
      <c r="F651" s="22"/>
      <c r="G651" s="74"/>
    </row>
    <row r="652" ht="13.5" customHeight="1">
      <c r="E652" s="182"/>
      <c r="F652" s="22"/>
      <c r="G652" s="74"/>
    </row>
    <row r="653" ht="13.5" customHeight="1">
      <c r="E653" s="182"/>
      <c r="F653" s="22"/>
      <c r="G653" s="74"/>
    </row>
    <row r="654" ht="13.5" customHeight="1">
      <c r="E654" s="182"/>
      <c r="F654" s="22"/>
      <c r="G654" s="74"/>
    </row>
    <row r="655" ht="13.5" customHeight="1">
      <c r="E655" s="182"/>
      <c r="F655" s="22"/>
      <c r="G655" s="74"/>
    </row>
    <row r="656" ht="13.5" customHeight="1">
      <c r="E656" s="182"/>
      <c r="F656" s="22"/>
      <c r="G656" s="74"/>
    </row>
    <row r="657" ht="13.5" customHeight="1">
      <c r="E657" s="182"/>
      <c r="F657" s="22"/>
      <c r="G657" s="74"/>
    </row>
    <row r="658" ht="13.5" customHeight="1">
      <c r="E658" s="182"/>
      <c r="F658" s="22"/>
      <c r="G658" s="74"/>
    </row>
    <row r="659" ht="13.5" customHeight="1">
      <c r="E659" s="182"/>
      <c r="F659" s="22"/>
      <c r="G659" s="74"/>
    </row>
    <row r="660" ht="13.5" customHeight="1">
      <c r="E660" s="182"/>
      <c r="F660" s="22"/>
      <c r="G660" s="74"/>
    </row>
    <row r="661" ht="13.5" customHeight="1">
      <c r="E661" s="182"/>
      <c r="F661" s="22"/>
      <c r="G661" s="74"/>
    </row>
    <row r="662" ht="13.5" customHeight="1">
      <c r="E662" s="182"/>
      <c r="F662" s="22"/>
      <c r="G662" s="74"/>
    </row>
    <row r="663" ht="13.5" customHeight="1">
      <c r="E663" s="182"/>
      <c r="F663" s="22"/>
      <c r="G663" s="74"/>
    </row>
    <row r="664" ht="13.5" customHeight="1">
      <c r="E664" s="182"/>
      <c r="F664" s="22"/>
      <c r="G664" s="74"/>
    </row>
    <row r="665" ht="13.5" customHeight="1">
      <c r="E665" s="182"/>
      <c r="F665" s="22"/>
      <c r="G665" s="74"/>
    </row>
    <row r="666" ht="13.5" customHeight="1">
      <c r="E666" s="182"/>
      <c r="F666" s="22"/>
      <c r="G666" s="74"/>
    </row>
    <row r="667" ht="13.5" customHeight="1">
      <c r="E667" s="182"/>
      <c r="F667" s="22"/>
      <c r="G667" s="74"/>
    </row>
    <row r="668" ht="13.5" customHeight="1">
      <c r="E668" s="182"/>
      <c r="F668" s="22"/>
      <c r="G668" s="74"/>
    </row>
    <row r="669" ht="13.5" customHeight="1">
      <c r="E669" s="182"/>
      <c r="F669" s="22"/>
      <c r="G669" s="74"/>
    </row>
    <row r="670" ht="13.5" customHeight="1">
      <c r="E670" s="182"/>
      <c r="F670" s="22"/>
      <c r="G670" s="74"/>
    </row>
    <row r="671" ht="13.5" customHeight="1">
      <c r="E671" s="182"/>
      <c r="F671" s="22"/>
      <c r="G671" s="74"/>
    </row>
    <row r="672" ht="13.5" customHeight="1">
      <c r="E672" s="182"/>
      <c r="F672" s="22"/>
      <c r="G672" s="74"/>
    </row>
    <row r="673" ht="13.5" customHeight="1">
      <c r="E673" s="182"/>
      <c r="F673" s="22"/>
      <c r="G673" s="74"/>
    </row>
    <row r="674" ht="13.5" customHeight="1">
      <c r="E674" s="182"/>
      <c r="F674" s="22"/>
      <c r="G674" s="74"/>
    </row>
    <row r="675" ht="13.5" customHeight="1">
      <c r="E675" s="182"/>
      <c r="F675" s="22"/>
      <c r="G675" s="74"/>
    </row>
    <row r="676" ht="13.5" customHeight="1">
      <c r="E676" s="182"/>
      <c r="F676" s="22"/>
      <c r="G676" s="74"/>
    </row>
    <row r="677" ht="13.5" customHeight="1">
      <c r="E677" s="182"/>
      <c r="F677" s="22"/>
      <c r="G677" s="74"/>
    </row>
    <row r="678" ht="13.5" customHeight="1">
      <c r="E678" s="182"/>
      <c r="F678" s="22"/>
      <c r="G678" s="74"/>
    </row>
    <row r="679" ht="13.5" customHeight="1">
      <c r="E679" s="182"/>
      <c r="F679" s="22"/>
      <c r="G679" s="74"/>
    </row>
    <row r="680" ht="13.5" customHeight="1">
      <c r="E680" s="182"/>
      <c r="F680" s="22"/>
      <c r="G680" s="74"/>
    </row>
    <row r="681" ht="13.5" customHeight="1">
      <c r="E681" s="182"/>
      <c r="F681" s="22"/>
      <c r="G681" s="74"/>
    </row>
    <row r="682" ht="13.5" customHeight="1">
      <c r="E682" s="182"/>
      <c r="F682" s="22"/>
      <c r="G682" s="74"/>
    </row>
    <row r="683" ht="13.5" customHeight="1">
      <c r="E683" s="182"/>
      <c r="F683" s="22"/>
      <c r="G683" s="74"/>
    </row>
    <row r="684" ht="13.5" customHeight="1">
      <c r="E684" s="182"/>
      <c r="F684" s="22"/>
      <c r="G684" s="74"/>
    </row>
    <row r="685" ht="13.5" customHeight="1">
      <c r="E685" s="182"/>
      <c r="F685" s="22"/>
      <c r="G685" s="74"/>
    </row>
    <row r="686" ht="13.5" customHeight="1">
      <c r="E686" s="182"/>
      <c r="F686" s="22"/>
      <c r="G686" s="74"/>
    </row>
    <row r="687" ht="13.5" customHeight="1">
      <c r="E687" s="182"/>
      <c r="F687" s="22"/>
      <c r="G687" s="74"/>
    </row>
    <row r="688" ht="13.5" customHeight="1">
      <c r="E688" s="182"/>
      <c r="F688" s="22"/>
      <c r="G688" s="74"/>
    </row>
    <row r="689" ht="13.5" customHeight="1">
      <c r="E689" s="182"/>
      <c r="F689" s="22"/>
      <c r="G689" s="74"/>
    </row>
    <row r="690" ht="13.5" customHeight="1">
      <c r="E690" s="182"/>
      <c r="F690" s="22"/>
      <c r="G690" s="74"/>
    </row>
    <row r="691" ht="13.5" customHeight="1">
      <c r="E691" s="182"/>
      <c r="F691" s="22"/>
      <c r="G691" s="74"/>
    </row>
    <row r="692" ht="13.5" customHeight="1">
      <c r="E692" s="182"/>
      <c r="F692" s="22"/>
      <c r="G692" s="74"/>
    </row>
    <row r="693" ht="13.5" customHeight="1">
      <c r="E693" s="182"/>
      <c r="F693" s="22"/>
      <c r="G693" s="74"/>
    </row>
    <row r="694" ht="13.5" customHeight="1">
      <c r="E694" s="182"/>
      <c r="F694" s="22"/>
      <c r="G694" s="74"/>
    </row>
    <row r="695" ht="13.5" customHeight="1">
      <c r="E695" s="182"/>
      <c r="F695" s="22"/>
      <c r="G695" s="74"/>
    </row>
    <row r="696" ht="13.5" customHeight="1">
      <c r="E696" s="182"/>
      <c r="F696" s="22"/>
      <c r="G696" s="74"/>
    </row>
    <row r="697" ht="13.5" customHeight="1">
      <c r="E697" s="182"/>
      <c r="F697" s="22"/>
      <c r="G697" s="74"/>
    </row>
    <row r="698" ht="13.5" customHeight="1">
      <c r="E698" s="182"/>
      <c r="F698" s="22"/>
      <c r="G698" s="74"/>
    </row>
    <row r="699" ht="13.5" customHeight="1">
      <c r="E699" s="182"/>
      <c r="F699" s="22"/>
      <c r="G699" s="74"/>
    </row>
    <row r="700" ht="13.5" customHeight="1">
      <c r="E700" s="182"/>
      <c r="F700" s="22"/>
      <c r="G700" s="74"/>
    </row>
    <row r="701" ht="13.5" customHeight="1">
      <c r="E701" s="182"/>
      <c r="F701" s="22"/>
      <c r="G701" s="74"/>
    </row>
    <row r="702" ht="13.5" customHeight="1">
      <c r="E702" s="182"/>
      <c r="F702" s="22"/>
      <c r="G702" s="74"/>
    </row>
    <row r="703" ht="13.5" customHeight="1">
      <c r="E703" s="182"/>
      <c r="F703" s="22"/>
      <c r="G703" s="74"/>
    </row>
    <row r="704" ht="13.5" customHeight="1">
      <c r="E704" s="182"/>
      <c r="F704" s="22"/>
      <c r="G704" s="74"/>
    </row>
    <row r="705" ht="13.5" customHeight="1">
      <c r="E705" s="182"/>
      <c r="F705" s="22"/>
      <c r="G705" s="74"/>
    </row>
    <row r="706" ht="13.5" customHeight="1">
      <c r="E706" s="182"/>
      <c r="F706" s="22"/>
      <c r="G706" s="74"/>
    </row>
    <row r="707" ht="13.5" customHeight="1">
      <c r="E707" s="182"/>
      <c r="F707" s="22"/>
      <c r="G707" s="74"/>
    </row>
    <row r="708" ht="13.5" customHeight="1">
      <c r="E708" s="182"/>
      <c r="F708" s="22"/>
      <c r="G708" s="74"/>
    </row>
    <row r="709" ht="13.5" customHeight="1">
      <c r="E709" s="182"/>
      <c r="F709" s="22"/>
      <c r="G709" s="74"/>
    </row>
    <row r="710" ht="13.5" customHeight="1">
      <c r="E710" s="182"/>
      <c r="F710" s="22"/>
      <c r="G710" s="74"/>
    </row>
    <row r="711" ht="13.5" customHeight="1">
      <c r="E711" s="182"/>
      <c r="F711" s="22"/>
      <c r="G711" s="74"/>
    </row>
    <row r="712" ht="13.5" customHeight="1">
      <c r="E712" s="182"/>
      <c r="F712" s="22"/>
      <c r="G712" s="74"/>
    </row>
    <row r="713" ht="13.5" customHeight="1">
      <c r="E713" s="182"/>
      <c r="F713" s="22"/>
      <c r="G713" s="74"/>
    </row>
    <row r="714" ht="13.5" customHeight="1">
      <c r="E714" s="182"/>
      <c r="F714" s="22"/>
      <c r="G714" s="74"/>
    </row>
    <row r="715" ht="13.5" customHeight="1">
      <c r="E715" s="182"/>
      <c r="F715" s="22"/>
      <c r="G715" s="74"/>
    </row>
    <row r="716" ht="13.5" customHeight="1">
      <c r="E716" s="182"/>
      <c r="F716" s="22"/>
      <c r="G716" s="74"/>
    </row>
    <row r="717" ht="13.5" customHeight="1">
      <c r="E717" s="182"/>
      <c r="F717" s="22"/>
      <c r="G717" s="74"/>
    </row>
    <row r="718" ht="13.5" customHeight="1">
      <c r="E718" s="182"/>
      <c r="F718" s="22"/>
      <c r="G718" s="74"/>
    </row>
    <row r="719" ht="13.5" customHeight="1">
      <c r="E719" s="182"/>
      <c r="F719" s="22"/>
      <c r="G719" s="74"/>
    </row>
    <row r="720" ht="13.5" customHeight="1">
      <c r="E720" s="182"/>
      <c r="F720" s="22"/>
      <c r="G720" s="74"/>
    </row>
    <row r="721" ht="13.5" customHeight="1">
      <c r="E721" s="182"/>
      <c r="F721" s="22"/>
      <c r="G721" s="74"/>
    </row>
    <row r="722" ht="13.5" customHeight="1">
      <c r="E722" s="182"/>
      <c r="F722" s="22"/>
      <c r="G722" s="74"/>
    </row>
    <row r="723" ht="13.5" customHeight="1">
      <c r="E723" s="182"/>
      <c r="F723" s="22"/>
      <c r="G723" s="74"/>
    </row>
    <row r="724" ht="13.5" customHeight="1">
      <c r="E724" s="182"/>
      <c r="F724" s="22"/>
      <c r="G724" s="74"/>
    </row>
    <row r="725" ht="13.5" customHeight="1">
      <c r="E725" s="182"/>
      <c r="F725" s="22"/>
      <c r="G725" s="74"/>
    </row>
    <row r="726" ht="13.5" customHeight="1">
      <c r="E726" s="182"/>
      <c r="F726" s="22"/>
      <c r="G726" s="74"/>
    </row>
    <row r="727" ht="13.5" customHeight="1">
      <c r="E727" s="182"/>
      <c r="F727" s="22"/>
      <c r="G727" s="74"/>
    </row>
    <row r="728" ht="13.5" customHeight="1">
      <c r="E728" s="182"/>
      <c r="F728" s="22"/>
      <c r="G728" s="74"/>
    </row>
    <row r="729" ht="13.5" customHeight="1">
      <c r="E729" s="182"/>
      <c r="F729" s="22"/>
      <c r="G729" s="74"/>
    </row>
    <row r="730" ht="13.5" customHeight="1">
      <c r="E730" s="182"/>
      <c r="F730" s="22"/>
      <c r="G730" s="74"/>
    </row>
    <row r="731" ht="13.5" customHeight="1">
      <c r="E731" s="182"/>
      <c r="F731" s="22"/>
      <c r="G731" s="74"/>
    </row>
    <row r="732" ht="13.5" customHeight="1">
      <c r="E732" s="182"/>
      <c r="F732" s="22"/>
      <c r="G732" s="74"/>
    </row>
    <row r="733" ht="13.5" customHeight="1">
      <c r="E733" s="182"/>
      <c r="F733" s="22"/>
      <c r="G733" s="74"/>
    </row>
    <row r="734" ht="13.5" customHeight="1">
      <c r="E734" s="182"/>
      <c r="F734" s="22"/>
      <c r="G734" s="74"/>
    </row>
    <row r="735" ht="13.5" customHeight="1">
      <c r="E735" s="182"/>
      <c r="F735" s="22"/>
      <c r="G735" s="74"/>
    </row>
    <row r="736" ht="13.5" customHeight="1">
      <c r="E736" s="182"/>
      <c r="F736" s="22"/>
      <c r="G736" s="74"/>
    </row>
    <row r="737" ht="13.5" customHeight="1">
      <c r="E737" s="182"/>
      <c r="F737" s="22"/>
      <c r="G737" s="74"/>
    </row>
    <row r="738" ht="13.5" customHeight="1">
      <c r="E738" s="182"/>
      <c r="F738" s="22"/>
      <c r="G738" s="74"/>
    </row>
    <row r="739" ht="13.5" customHeight="1">
      <c r="E739" s="182"/>
      <c r="F739" s="22"/>
      <c r="G739" s="74"/>
    </row>
    <row r="740" ht="13.5" customHeight="1">
      <c r="E740" s="182"/>
      <c r="F740" s="22"/>
      <c r="G740" s="74"/>
    </row>
    <row r="741" ht="13.5" customHeight="1">
      <c r="E741" s="182"/>
      <c r="F741" s="22"/>
      <c r="G741" s="74"/>
    </row>
    <row r="742" ht="13.5" customHeight="1">
      <c r="E742" s="182"/>
      <c r="F742" s="22"/>
      <c r="G742" s="74"/>
    </row>
    <row r="743" ht="13.5" customHeight="1">
      <c r="E743" s="182"/>
      <c r="F743" s="22"/>
      <c r="G743" s="74"/>
    </row>
    <row r="744" ht="13.5" customHeight="1">
      <c r="E744" s="182"/>
      <c r="F744" s="22"/>
      <c r="G744" s="74"/>
    </row>
    <row r="745" ht="13.5" customHeight="1">
      <c r="E745" s="182"/>
      <c r="F745" s="22"/>
      <c r="G745" s="74"/>
    </row>
    <row r="746" ht="13.5" customHeight="1">
      <c r="E746" s="182"/>
      <c r="F746" s="22"/>
      <c r="G746" s="74"/>
    </row>
    <row r="747" ht="13.5" customHeight="1">
      <c r="E747" s="182"/>
      <c r="F747" s="22"/>
      <c r="G747" s="74"/>
    </row>
    <row r="748" ht="13.5" customHeight="1">
      <c r="E748" s="182"/>
      <c r="F748" s="22"/>
      <c r="G748" s="74"/>
    </row>
    <row r="749" ht="13.5" customHeight="1">
      <c r="E749" s="182"/>
      <c r="F749" s="22"/>
      <c r="G749" s="74"/>
    </row>
    <row r="750" ht="13.5" customHeight="1">
      <c r="E750" s="182"/>
      <c r="F750" s="22"/>
      <c r="G750" s="74"/>
    </row>
    <row r="751" ht="13.5" customHeight="1">
      <c r="E751" s="182"/>
      <c r="F751" s="22"/>
      <c r="G751" s="74"/>
    </row>
    <row r="752" ht="13.5" customHeight="1">
      <c r="E752" s="182"/>
      <c r="F752" s="22"/>
      <c r="G752" s="74"/>
    </row>
    <row r="753" ht="13.5" customHeight="1">
      <c r="E753" s="182"/>
      <c r="F753" s="22"/>
      <c r="G753" s="74"/>
    </row>
    <row r="754" ht="13.5" customHeight="1">
      <c r="E754" s="182"/>
      <c r="F754" s="22"/>
      <c r="G754" s="74"/>
    </row>
    <row r="755" ht="13.5" customHeight="1">
      <c r="E755" s="182"/>
      <c r="F755" s="22"/>
      <c r="G755" s="74"/>
    </row>
    <row r="756" ht="13.5" customHeight="1">
      <c r="E756" s="182"/>
      <c r="F756" s="22"/>
      <c r="G756" s="74"/>
    </row>
    <row r="757" ht="13.5" customHeight="1">
      <c r="E757" s="182"/>
      <c r="F757" s="22"/>
      <c r="G757" s="74"/>
    </row>
    <row r="758" ht="13.5" customHeight="1">
      <c r="E758" s="182"/>
      <c r="F758" s="22"/>
      <c r="G758" s="74"/>
    </row>
    <row r="759" ht="13.5" customHeight="1">
      <c r="E759" s="182"/>
      <c r="F759" s="22"/>
      <c r="G759" s="74"/>
    </row>
    <row r="760" ht="13.5" customHeight="1">
      <c r="E760" s="182"/>
      <c r="F760" s="22"/>
      <c r="G760" s="74"/>
    </row>
    <row r="761" ht="13.5" customHeight="1">
      <c r="E761" s="182"/>
      <c r="F761" s="22"/>
      <c r="G761" s="74"/>
    </row>
    <row r="762" ht="13.5" customHeight="1">
      <c r="E762" s="182"/>
      <c r="F762" s="22"/>
      <c r="G762" s="74"/>
    </row>
    <row r="763" ht="13.5" customHeight="1">
      <c r="E763" s="182"/>
      <c r="F763" s="22"/>
      <c r="G763" s="74"/>
    </row>
    <row r="764" ht="13.5" customHeight="1">
      <c r="E764" s="182"/>
      <c r="F764" s="22"/>
      <c r="G764" s="74"/>
    </row>
    <row r="765" ht="13.5" customHeight="1">
      <c r="E765" s="182"/>
      <c r="F765" s="22"/>
      <c r="G765" s="74"/>
    </row>
    <row r="766" ht="13.5" customHeight="1">
      <c r="E766" s="182"/>
      <c r="F766" s="22"/>
      <c r="G766" s="74"/>
    </row>
    <row r="767" ht="13.5" customHeight="1">
      <c r="E767" s="182"/>
      <c r="F767" s="22"/>
      <c r="G767" s="74"/>
    </row>
    <row r="768" ht="13.5" customHeight="1">
      <c r="E768" s="182"/>
      <c r="F768" s="22"/>
      <c r="G768" s="74"/>
    </row>
    <row r="769" ht="13.5" customHeight="1">
      <c r="E769" s="182"/>
      <c r="F769" s="22"/>
      <c r="G769" s="74"/>
    </row>
    <row r="770" ht="13.5" customHeight="1">
      <c r="E770" s="182"/>
      <c r="F770" s="22"/>
      <c r="G770" s="74"/>
    </row>
    <row r="771" ht="13.5" customHeight="1">
      <c r="E771" s="182"/>
      <c r="F771" s="22"/>
      <c r="G771" s="74"/>
    </row>
    <row r="772" ht="13.5" customHeight="1">
      <c r="E772" s="182"/>
      <c r="F772" s="22"/>
      <c r="G772" s="74"/>
    </row>
    <row r="773" ht="13.5" customHeight="1">
      <c r="E773" s="182"/>
      <c r="F773" s="22"/>
      <c r="G773" s="74"/>
    </row>
    <row r="774" ht="13.5" customHeight="1">
      <c r="E774" s="182"/>
      <c r="F774" s="22"/>
      <c r="G774" s="74"/>
    </row>
    <row r="775" ht="13.5" customHeight="1">
      <c r="E775" s="182"/>
      <c r="F775" s="22"/>
      <c r="G775" s="74"/>
    </row>
    <row r="776" ht="13.5" customHeight="1">
      <c r="E776" s="182"/>
      <c r="F776" s="22"/>
      <c r="G776" s="74"/>
    </row>
    <row r="777" ht="13.5" customHeight="1">
      <c r="E777" s="182"/>
      <c r="F777" s="22"/>
      <c r="G777" s="74"/>
    </row>
    <row r="778" ht="13.5" customHeight="1">
      <c r="E778" s="182"/>
      <c r="F778" s="22"/>
      <c r="G778" s="74"/>
    </row>
    <row r="779" ht="13.5" customHeight="1">
      <c r="E779" s="182"/>
      <c r="F779" s="22"/>
      <c r="G779" s="74"/>
    </row>
    <row r="780" ht="13.5" customHeight="1">
      <c r="E780" s="182"/>
      <c r="F780" s="22"/>
      <c r="G780" s="74"/>
    </row>
    <row r="781" ht="13.5" customHeight="1">
      <c r="E781" s="182"/>
      <c r="F781" s="22"/>
      <c r="G781" s="74"/>
    </row>
    <row r="782" ht="13.5" customHeight="1">
      <c r="E782" s="182"/>
      <c r="F782" s="22"/>
      <c r="G782" s="74"/>
    </row>
    <row r="783" ht="13.5" customHeight="1">
      <c r="E783" s="182"/>
      <c r="F783" s="22"/>
      <c r="G783" s="74"/>
    </row>
    <row r="784" ht="13.5" customHeight="1">
      <c r="E784" s="182"/>
      <c r="F784" s="22"/>
      <c r="G784" s="74"/>
    </row>
    <row r="785" ht="13.5" customHeight="1">
      <c r="E785" s="182"/>
      <c r="F785" s="22"/>
      <c r="G785" s="74"/>
    </row>
    <row r="786" ht="13.5" customHeight="1">
      <c r="E786" s="182"/>
      <c r="F786" s="22"/>
      <c r="G786" s="74"/>
    </row>
    <row r="787" ht="13.5" customHeight="1">
      <c r="E787" s="182"/>
      <c r="F787" s="22"/>
      <c r="G787" s="74"/>
    </row>
    <row r="788" ht="13.5" customHeight="1">
      <c r="E788" s="182"/>
      <c r="F788" s="22"/>
      <c r="G788" s="74"/>
    </row>
    <row r="789" ht="13.5" customHeight="1">
      <c r="E789" s="182"/>
      <c r="F789" s="22"/>
      <c r="G789" s="74"/>
    </row>
    <row r="790" ht="13.5" customHeight="1">
      <c r="E790" s="182"/>
      <c r="F790" s="22"/>
      <c r="G790" s="74"/>
    </row>
    <row r="791" ht="13.5" customHeight="1">
      <c r="E791" s="182"/>
      <c r="F791" s="22"/>
      <c r="G791" s="74"/>
    </row>
    <row r="792" ht="13.5" customHeight="1">
      <c r="E792" s="182"/>
      <c r="F792" s="22"/>
      <c r="G792" s="74"/>
    </row>
    <row r="793" ht="13.5" customHeight="1">
      <c r="E793" s="182"/>
      <c r="F793" s="22"/>
      <c r="G793" s="74"/>
    </row>
    <row r="794" ht="13.5" customHeight="1">
      <c r="E794" s="182"/>
      <c r="F794" s="22"/>
      <c r="G794" s="74"/>
    </row>
    <row r="795" ht="13.5" customHeight="1">
      <c r="E795" s="182"/>
      <c r="F795" s="22"/>
      <c r="G795" s="74"/>
    </row>
    <row r="796" ht="13.5" customHeight="1">
      <c r="E796" s="182"/>
      <c r="F796" s="22"/>
      <c r="G796" s="74"/>
    </row>
    <row r="797" ht="13.5" customHeight="1">
      <c r="E797" s="182"/>
      <c r="F797" s="22"/>
      <c r="G797" s="74"/>
    </row>
    <row r="798" ht="13.5" customHeight="1">
      <c r="E798" s="182"/>
      <c r="F798" s="22"/>
      <c r="G798" s="74"/>
    </row>
    <row r="799" ht="13.5" customHeight="1">
      <c r="E799" s="182"/>
      <c r="F799" s="22"/>
      <c r="G799" s="74"/>
    </row>
    <row r="800" ht="13.5" customHeight="1">
      <c r="E800" s="182"/>
      <c r="F800" s="22"/>
      <c r="G800" s="74"/>
    </row>
    <row r="801" ht="13.5" customHeight="1">
      <c r="E801" s="182"/>
      <c r="F801" s="22"/>
      <c r="G801" s="74"/>
    </row>
    <row r="802" ht="13.5" customHeight="1">
      <c r="E802" s="182"/>
      <c r="F802" s="22"/>
      <c r="G802" s="74"/>
    </row>
    <row r="803" ht="13.5" customHeight="1">
      <c r="E803" s="182"/>
      <c r="F803" s="22"/>
      <c r="G803" s="74"/>
    </row>
    <row r="804" ht="13.5" customHeight="1">
      <c r="E804" s="182"/>
      <c r="F804" s="22"/>
      <c r="G804" s="74"/>
    </row>
    <row r="805" ht="13.5" customHeight="1">
      <c r="E805" s="182"/>
      <c r="F805" s="22"/>
      <c r="G805" s="74"/>
    </row>
    <row r="806" ht="13.5" customHeight="1">
      <c r="E806" s="182"/>
      <c r="F806" s="22"/>
      <c r="G806" s="74"/>
    </row>
    <row r="807" ht="13.5" customHeight="1">
      <c r="E807" s="182"/>
      <c r="F807" s="22"/>
      <c r="G807" s="74"/>
    </row>
    <row r="808" ht="13.5" customHeight="1">
      <c r="E808" s="182"/>
      <c r="F808" s="22"/>
      <c r="G808" s="74"/>
    </row>
    <row r="809" ht="13.5" customHeight="1">
      <c r="E809" s="182"/>
      <c r="F809" s="22"/>
      <c r="G809" s="74"/>
    </row>
    <row r="810" ht="13.5" customHeight="1">
      <c r="E810" s="182"/>
      <c r="F810" s="22"/>
      <c r="G810" s="74"/>
    </row>
    <row r="811" ht="13.5" customHeight="1">
      <c r="E811" s="182"/>
      <c r="F811" s="22"/>
      <c r="G811" s="74"/>
    </row>
    <row r="812" ht="13.5" customHeight="1">
      <c r="E812" s="182"/>
      <c r="F812" s="22"/>
      <c r="G812" s="74"/>
    </row>
    <row r="813" ht="13.5" customHeight="1">
      <c r="E813" s="182"/>
      <c r="F813" s="22"/>
      <c r="G813" s="74"/>
    </row>
    <row r="814" ht="13.5" customHeight="1">
      <c r="E814" s="182"/>
      <c r="F814" s="22"/>
      <c r="G814" s="74"/>
    </row>
    <row r="815" ht="13.5" customHeight="1">
      <c r="E815" s="182"/>
      <c r="F815" s="22"/>
      <c r="G815" s="74"/>
    </row>
    <row r="816" ht="13.5" customHeight="1">
      <c r="E816" s="182"/>
      <c r="F816" s="22"/>
      <c r="G816" s="74"/>
    </row>
    <row r="817" ht="13.5" customHeight="1">
      <c r="E817" s="182"/>
      <c r="F817" s="22"/>
      <c r="G817" s="74"/>
    </row>
    <row r="818" ht="13.5" customHeight="1">
      <c r="E818" s="182"/>
      <c r="F818" s="22"/>
      <c r="G818" s="74"/>
    </row>
    <row r="819" ht="13.5" customHeight="1">
      <c r="E819" s="182"/>
      <c r="F819" s="22"/>
      <c r="G819" s="74"/>
    </row>
    <row r="820" ht="13.5" customHeight="1">
      <c r="E820" s="182"/>
      <c r="F820" s="22"/>
      <c r="G820" s="74"/>
    </row>
    <row r="821" ht="13.5" customHeight="1">
      <c r="E821" s="182"/>
      <c r="F821" s="22"/>
      <c r="G821" s="74"/>
    </row>
    <row r="822" ht="13.5" customHeight="1">
      <c r="E822" s="182"/>
      <c r="F822" s="22"/>
      <c r="G822" s="74"/>
    </row>
    <row r="823" ht="13.5" customHeight="1">
      <c r="E823" s="182"/>
      <c r="F823" s="22"/>
      <c r="G823" s="74"/>
    </row>
    <row r="824" ht="13.5" customHeight="1">
      <c r="E824" s="182"/>
      <c r="F824" s="22"/>
      <c r="G824" s="74"/>
    </row>
    <row r="825" ht="13.5" customHeight="1">
      <c r="E825" s="182"/>
      <c r="F825" s="22"/>
      <c r="G825" s="74"/>
    </row>
    <row r="826" ht="13.5" customHeight="1">
      <c r="E826" s="182"/>
      <c r="F826" s="22"/>
      <c r="G826" s="74"/>
    </row>
    <row r="827" ht="13.5" customHeight="1">
      <c r="E827" s="182"/>
      <c r="F827" s="22"/>
      <c r="G827" s="74"/>
    </row>
    <row r="828" ht="13.5" customHeight="1">
      <c r="E828" s="182"/>
      <c r="F828" s="22"/>
      <c r="G828" s="74"/>
    </row>
    <row r="829" ht="13.5" customHeight="1">
      <c r="E829" s="182"/>
      <c r="F829" s="22"/>
      <c r="G829" s="74"/>
    </row>
    <row r="830" ht="13.5" customHeight="1">
      <c r="E830" s="182"/>
      <c r="F830" s="22"/>
      <c r="G830" s="74"/>
    </row>
    <row r="831" ht="13.5" customHeight="1">
      <c r="E831" s="182"/>
      <c r="F831" s="22"/>
      <c r="G831" s="74"/>
    </row>
    <row r="832" ht="13.5" customHeight="1">
      <c r="E832" s="182"/>
      <c r="F832" s="22"/>
      <c r="G832" s="74"/>
    </row>
    <row r="833" ht="13.5" customHeight="1">
      <c r="E833" s="182"/>
      <c r="F833" s="22"/>
      <c r="G833" s="74"/>
    </row>
    <row r="834" ht="13.5" customHeight="1">
      <c r="E834" s="182"/>
      <c r="F834" s="22"/>
      <c r="G834" s="74"/>
    </row>
    <row r="835" ht="13.5" customHeight="1">
      <c r="E835" s="182"/>
      <c r="F835" s="22"/>
      <c r="G835" s="74"/>
    </row>
    <row r="836" ht="13.5" customHeight="1">
      <c r="E836" s="182"/>
      <c r="F836" s="22"/>
      <c r="G836" s="74"/>
    </row>
    <row r="837" ht="13.5" customHeight="1">
      <c r="E837" s="182"/>
      <c r="F837" s="22"/>
      <c r="G837" s="74"/>
    </row>
    <row r="838" ht="13.5" customHeight="1">
      <c r="E838" s="182"/>
      <c r="F838" s="22"/>
      <c r="G838" s="74"/>
    </row>
    <row r="839" ht="13.5" customHeight="1">
      <c r="E839" s="182"/>
      <c r="F839" s="22"/>
      <c r="G839" s="74"/>
    </row>
    <row r="840" ht="13.5" customHeight="1">
      <c r="E840" s="182"/>
      <c r="F840" s="22"/>
      <c r="G840" s="74"/>
    </row>
    <row r="841" ht="13.5" customHeight="1">
      <c r="E841" s="182"/>
      <c r="F841" s="22"/>
      <c r="G841" s="74"/>
    </row>
    <row r="842" ht="13.5" customHeight="1">
      <c r="E842" s="182"/>
      <c r="F842" s="22"/>
      <c r="G842" s="74"/>
    </row>
    <row r="843" ht="13.5" customHeight="1">
      <c r="E843" s="182"/>
      <c r="F843" s="22"/>
      <c r="G843" s="74"/>
    </row>
    <row r="844" ht="13.5" customHeight="1">
      <c r="E844" s="182"/>
      <c r="F844" s="22"/>
      <c r="G844" s="74"/>
    </row>
    <row r="845" ht="13.5" customHeight="1">
      <c r="E845" s="182"/>
      <c r="F845" s="22"/>
      <c r="G845" s="74"/>
    </row>
    <row r="846" ht="13.5" customHeight="1">
      <c r="E846" s="182"/>
      <c r="F846" s="22"/>
      <c r="G846" s="74"/>
    </row>
    <row r="847" ht="13.5" customHeight="1">
      <c r="E847" s="182"/>
      <c r="F847" s="22"/>
      <c r="G847" s="74"/>
    </row>
    <row r="848" ht="13.5" customHeight="1">
      <c r="E848" s="182"/>
      <c r="F848" s="22"/>
      <c r="G848" s="74"/>
    </row>
    <row r="849" ht="13.5" customHeight="1">
      <c r="E849" s="182"/>
      <c r="F849" s="22"/>
      <c r="G849" s="74"/>
    </row>
    <row r="850" ht="13.5" customHeight="1">
      <c r="E850" s="182"/>
      <c r="F850" s="22"/>
      <c r="G850" s="74"/>
    </row>
    <row r="851" ht="13.5" customHeight="1">
      <c r="E851" s="182"/>
      <c r="F851" s="22"/>
      <c r="G851" s="74"/>
    </row>
    <row r="852" ht="13.5" customHeight="1">
      <c r="E852" s="182"/>
      <c r="F852" s="22"/>
      <c r="G852" s="74"/>
    </row>
    <row r="853" ht="13.5" customHeight="1">
      <c r="E853" s="182"/>
      <c r="F853" s="22"/>
      <c r="G853" s="74"/>
    </row>
    <row r="854" ht="13.5" customHeight="1">
      <c r="E854" s="182"/>
      <c r="F854" s="22"/>
      <c r="G854" s="74"/>
    </row>
    <row r="855" ht="13.5" customHeight="1">
      <c r="E855" s="182"/>
      <c r="F855" s="22"/>
      <c r="G855" s="74"/>
    </row>
    <row r="856" ht="13.5" customHeight="1">
      <c r="E856" s="182"/>
      <c r="F856" s="22"/>
      <c r="G856" s="74"/>
    </row>
    <row r="857" ht="13.5" customHeight="1">
      <c r="E857" s="182"/>
      <c r="F857" s="22"/>
      <c r="G857" s="74"/>
    </row>
    <row r="858" ht="13.5" customHeight="1">
      <c r="E858" s="182"/>
      <c r="F858" s="22"/>
      <c r="G858" s="74"/>
    </row>
    <row r="859" ht="13.5" customHeight="1">
      <c r="E859" s="182"/>
      <c r="F859" s="22"/>
      <c r="G859" s="74"/>
    </row>
    <row r="860" ht="13.5" customHeight="1">
      <c r="E860" s="182"/>
      <c r="F860" s="22"/>
      <c r="G860" s="74"/>
    </row>
    <row r="861" ht="13.5" customHeight="1">
      <c r="E861" s="182"/>
      <c r="F861" s="22"/>
      <c r="G861" s="74"/>
    </row>
    <row r="862" ht="13.5" customHeight="1">
      <c r="E862" s="182"/>
      <c r="F862" s="22"/>
      <c r="G862" s="74"/>
    </row>
    <row r="863" ht="13.5" customHeight="1">
      <c r="E863" s="182"/>
      <c r="F863" s="22"/>
      <c r="G863" s="74"/>
    </row>
    <row r="864" ht="13.5" customHeight="1">
      <c r="E864" s="182"/>
      <c r="F864" s="22"/>
      <c r="G864" s="74"/>
    </row>
    <row r="865" ht="13.5" customHeight="1">
      <c r="E865" s="182"/>
      <c r="F865" s="22"/>
      <c r="G865" s="74"/>
    </row>
    <row r="866" ht="13.5" customHeight="1">
      <c r="E866" s="182"/>
      <c r="F866" s="22"/>
      <c r="G866" s="74"/>
    </row>
    <row r="867" ht="13.5" customHeight="1">
      <c r="E867" s="182"/>
      <c r="F867" s="22"/>
      <c r="G867" s="74"/>
    </row>
    <row r="868" ht="13.5" customHeight="1">
      <c r="E868" s="182"/>
      <c r="F868" s="22"/>
      <c r="G868" s="74"/>
    </row>
    <row r="869" ht="13.5" customHeight="1">
      <c r="E869" s="182"/>
      <c r="F869" s="22"/>
      <c r="G869" s="74"/>
    </row>
    <row r="870" ht="13.5" customHeight="1">
      <c r="E870" s="182"/>
      <c r="F870" s="22"/>
      <c r="G870" s="74"/>
    </row>
    <row r="871" ht="13.5" customHeight="1">
      <c r="E871" s="182"/>
      <c r="F871" s="22"/>
      <c r="G871" s="74"/>
    </row>
    <row r="872" ht="13.5" customHeight="1">
      <c r="E872" s="182"/>
      <c r="F872" s="22"/>
      <c r="G872" s="74"/>
    </row>
    <row r="873" ht="13.5" customHeight="1">
      <c r="E873" s="182"/>
      <c r="F873" s="22"/>
      <c r="G873" s="74"/>
    </row>
    <row r="874" ht="13.5" customHeight="1">
      <c r="E874" s="182"/>
      <c r="F874" s="22"/>
      <c r="G874" s="74"/>
    </row>
    <row r="875" ht="13.5" customHeight="1">
      <c r="E875" s="182"/>
      <c r="F875" s="22"/>
      <c r="G875" s="74"/>
    </row>
    <row r="876" ht="13.5" customHeight="1">
      <c r="E876" s="182"/>
      <c r="F876" s="22"/>
      <c r="G876" s="74"/>
    </row>
    <row r="877" ht="13.5" customHeight="1">
      <c r="E877" s="182"/>
      <c r="F877" s="22"/>
      <c r="G877" s="74"/>
    </row>
    <row r="878" ht="13.5" customHeight="1">
      <c r="E878" s="182"/>
      <c r="F878" s="22"/>
      <c r="G878" s="74"/>
    </row>
    <row r="879" ht="13.5" customHeight="1">
      <c r="E879" s="182"/>
      <c r="F879" s="22"/>
      <c r="G879" s="74"/>
    </row>
    <row r="880" ht="13.5" customHeight="1">
      <c r="E880" s="182"/>
      <c r="F880" s="22"/>
      <c r="G880" s="74"/>
    </row>
    <row r="881" ht="13.5" customHeight="1">
      <c r="E881" s="182"/>
      <c r="F881" s="22"/>
      <c r="G881" s="74"/>
    </row>
    <row r="882" ht="13.5" customHeight="1">
      <c r="E882" s="182"/>
      <c r="F882" s="22"/>
      <c r="G882" s="74"/>
    </row>
    <row r="883" ht="13.5" customHeight="1">
      <c r="E883" s="182"/>
      <c r="F883" s="22"/>
      <c r="G883" s="74"/>
    </row>
    <row r="884" ht="13.5" customHeight="1">
      <c r="E884" s="182"/>
      <c r="F884" s="22"/>
      <c r="G884" s="74"/>
    </row>
    <row r="885" ht="13.5" customHeight="1">
      <c r="E885" s="182"/>
      <c r="F885" s="22"/>
      <c r="G885" s="74"/>
    </row>
    <row r="886" ht="13.5" customHeight="1">
      <c r="E886" s="182"/>
      <c r="F886" s="22"/>
      <c r="G886" s="74"/>
    </row>
    <row r="887" ht="13.5" customHeight="1">
      <c r="E887" s="182"/>
      <c r="F887" s="22"/>
      <c r="G887" s="74"/>
    </row>
    <row r="888" ht="13.5" customHeight="1">
      <c r="E888" s="182"/>
      <c r="F888" s="22"/>
      <c r="G888" s="74"/>
    </row>
    <row r="889" ht="13.5" customHeight="1">
      <c r="E889" s="182"/>
      <c r="F889" s="22"/>
      <c r="G889" s="74"/>
    </row>
    <row r="890" ht="13.5" customHeight="1">
      <c r="E890" s="182"/>
      <c r="F890" s="22"/>
      <c r="G890" s="74"/>
    </row>
    <row r="891" ht="13.5" customHeight="1">
      <c r="E891" s="182"/>
      <c r="F891" s="22"/>
      <c r="G891" s="74"/>
    </row>
    <row r="892" ht="13.5" customHeight="1">
      <c r="E892" s="182"/>
      <c r="F892" s="22"/>
      <c r="G892" s="74"/>
    </row>
    <row r="893" ht="13.5" customHeight="1">
      <c r="E893" s="182"/>
      <c r="F893" s="22"/>
      <c r="G893" s="74"/>
    </row>
    <row r="894" ht="13.5" customHeight="1">
      <c r="E894" s="182"/>
      <c r="F894" s="22"/>
      <c r="G894" s="74"/>
    </row>
    <row r="895" ht="13.5" customHeight="1">
      <c r="E895" s="182"/>
      <c r="F895" s="22"/>
      <c r="G895" s="74"/>
    </row>
    <row r="896" ht="13.5" customHeight="1">
      <c r="E896" s="182"/>
      <c r="F896" s="22"/>
      <c r="G896" s="74"/>
    </row>
    <row r="897" ht="13.5" customHeight="1">
      <c r="E897" s="182"/>
      <c r="F897" s="22"/>
      <c r="G897" s="74"/>
    </row>
    <row r="898" ht="13.5" customHeight="1">
      <c r="E898" s="182"/>
      <c r="F898" s="22"/>
      <c r="G898" s="74"/>
    </row>
    <row r="899" ht="13.5" customHeight="1">
      <c r="E899" s="182"/>
      <c r="F899" s="22"/>
      <c r="G899" s="74"/>
    </row>
    <row r="900" ht="13.5" customHeight="1">
      <c r="E900" s="182"/>
      <c r="F900" s="22"/>
      <c r="G900" s="74"/>
    </row>
    <row r="901" ht="13.5" customHeight="1">
      <c r="E901" s="182"/>
      <c r="F901" s="22"/>
      <c r="G901" s="74"/>
    </row>
    <row r="902" ht="13.5" customHeight="1">
      <c r="E902" s="182"/>
      <c r="F902" s="22"/>
      <c r="G902" s="74"/>
    </row>
    <row r="903" ht="13.5" customHeight="1">
      <c r="E903" s="182"/>
      <c r="F903" s="22"/>
      <c r="G903" s="74"/>
    </row>
    <row r="904" ht="13.5" customHeight="1">
      <c r="E904" s="182"/>
      <c r="F904" s="22"/>
      <c r="G904" s="74"/>
    </row>
    <row r="905" ht="13.5" customHeight="1">
      <c r="E905" s="182"/>
      <c r="F905" s="22"/>
      <c r="G905" s="74"/>
    </row>
    <row r="906" ht="13.5" customHeight="1">
      <c r="E906" s="182"/>
      <c r="F906" s="22"/>
      <c r="G906" s="74"/>
    </row>
    <row r="907" ht="13.5" customHeight="1">
      <c r="E907" s="182"/>
      <c r="F907" s="22"/>
      <c r="G907" s="74"/>
    </row>
    <row r="908" ht="13.5" customHeight="1">
      <c r="E908" s="182"/>
      <c r="F908" s="22"/>
      <c r="G908" s="74"/>
    </row>
    <row r="909" ht="13.5" customHeight="1">
      <c r="E909" s="182"/>
      <c r="F909" s="22"/>
      <c r="G909" s="74"/>
    </row>
    <row r="910" ht="13.5" customHeight="1">
      <c r="E910" s="182"/>
      <c r="F910" s="22"/>
      <c r="G910" s="74"/>
    </row>
    <row r="911" ht="13.5" customHeight="1">
      <c r="E911" s="182"/>
      <c r="F911" s="22"/>
      <c r="G911" s="74"/>
    </row>
    <row r="912" ht="13.5" customHeight="1">
      <c r="E912" s="182"/>
      <c r="F912" s="22"/>
      <c r="G912" s="74"/>
    </row>
    <row r="913" ht="13.5" customHeight="1">
      <c r="E913" s="182"/>
      <c r="F913" s="22"/>
      <c r="G913" s="74"/>
    </row>
    <row r="914" ht="13.5" customHeight="1">
      <c r="E914" s="182"/>
      <c r="F914" s="22"/>
      <c r="G914" s="74"/>
    </row>
    <row r="915" ht="13.5" customHeight="1">
      <c r="E915" s="182"/>
      <c r="F915" s="22"/>
      <c r="G915" s="74"/>
    </row>
    <row r="916" ht="13.5" customHeight="1">
      <c r="E916" s="182"/>
      <c r="F916" s="22"/>
      <c r="G916" s="74"/>
    </row>
    <row r="917" ht="13.5" customHeight="1">
      <c r="E917" s="182"/>
      <c r="F917" s="22"/>
      <c r="G917" s="74"/>
    </row>
    <row r="918" ht="13.5" customHeight="1">
      <c r="E918" s="182"/>
      <c r="F918" s="22"/>
      <c r="G918" s="74"/>
    </row>
    <row r="919" ht="13.5" customHeight="1">
      <c r="E919" s="182"/>
      <c r="F919" s="22"/>
      <c r="G919" s="74"/>
    </row>
    <row r="920" ht="13.5" customHeight="1">
      <c r="E920" s="182"/>
      <c r="F920" s="22"/>
      <c r="G920" s="74"/>
    </row>
    <row r="921" ht="13.5" customHeight="1">
      <c r="E921" s="182"/>
      <c r="F921" s="22"/>
      <c r="G921" s="74"/>
    </row>
    <row r="922" ht="13.5" customHeight="1">
      <c r="E922" s="182"/>
      <c r="F922" s="22"/>
      <c r="G922" s="74"/>
    </row>
    <row r="923" ht="13.5" customHeight="1">
      <c r="E923" s="182"/>
      <c r="F923" s="22"/>
      <c r="G923" s="74"/>
    </row>
    <row r="924" ht="13.5" customHeight="1">
      <c r="E924" s="182"/>
      <c r="F924" s="22"/>
      <c r="G924" s="74"/>
    </row>
    <row r="925" ht="13.5" customHeight="1">
      <c r="E925" s="182"/>
      <c r="F925" s="22"/>
      <c r="G925" s="74"/>
    </row>
    <row r="926" ht="13.5" customHeight="1">
      <c r="E926" s="182"/>
      <c r="F926" s="22"/>
      <c r="G926" s="74"/>
    </row>
    <row r="927" ht="13.5" customHeight="1">
      <c r="E927" s="182"/>
      <c r="F927" s="22"/>
      <c r="G927" s="74"/>
    </row>
    <row r="928" ht="13.5" customHeight="1">
      <c r="E928" s="182"/>
      <c r="F928" s="22"/>
      <c r="G928" s="74"/>
    </row>
    <row r="929" ht="13.5" customHeight="1">
      <c r="E929" s="182"/>
      <c r="F929" s="22"/>
      <c r="G929" s="74"/>
    </row>
    <row r="930" ht="13.5" customHeight="1">
      <c r="E930" s="182"/>
      <c r="F930" s="22"/>
      <c r="G930" s="74"/>
    </row>
    <row r="931" ht="13.5" customHeight="1">
      <c r="E931" s="182"/>
      <c r="F931" s="22"/>
      <c r="G931" s="74"/>
    </row>
    <row r="932" ht="13.5" customHeight="1">
      <c r="E932" s="182"/>
      <c r="F932" s="22"/>
      <c r="G932" s="74"/>
    </row>
    <row r="933" ht="13.5" customHeight="1">
      <c r="E933" s="182"/>
      <c r="F933" s="22"/>
      <c r="G933" s="74"/>
    </row>
    <row r="934" ht="13.5" customHeight="1">
      <c r="E934" s="182"/>
      <c r="F934" s="22"/>
      <c r="G934" s="74"/>
    </row>
    <row r="935" ht="13.5" customHeight="1">
      <c r="E935" s="182"/>
      <c r="F935" s="22"/>
      <c r="G935" s="74"/>
    </row>
    <row r="936" ht="13.5" customHeight="1">
      <c r="E936" s="182"/>
      <c r="F936" s="22"/>
      <c r="G936" s="74"/>
    </row>
    <row r="937" ht="13.5" customHeight="1">
      <c r="E937" s="182"/>
      <c r="F937" s="22"/>
      <c r="G937" s="74"/>
    </row>
    <row r="938" ht="13.5" customHeight="1">
      <c r="E938" s="182"/>
      <c r="F938" s="22"/>
      <c r="G938" s="74"/>
    </row>
    <row r="939" ht="13.5" customHeight="1">
      <c r="E939" s="182"/>
      <c r="F939" s="22"/>
      <c r="G939" s="74"/>
    </row>
    <row r="940" ht="13.5" customHeight="1">
      <c r="E940" s="182"/>
      <c r="F940" s="22"/>
      <c r="G940" s="74"/>
    </row>
    <row r="941" ht="13.5" customHeight="1">
      <c r="E941" s="182"/>
      <c r="F941" s="22"/>
      <c r="G941" s="74"/>
    </row>
    <row r="942" ht="13.5" customHeight="1">
      <c r="E942" s="182"/>
      <c r="F942" s="22"/>
      <c r="G942" s="74"/>
    </row>
    <row r="943" ht="13.5" customHeight="1">
      <c r="E943" s="182"/>
      <c r="F943" s="22"/>
      <c r="G943" s="74"/>
    </row>
    <row r="944" ht="13.5" customHeight="1">
      <c r="E944" s="182"/>
      <c r="F944" s="22"/>
      <c r="G944" s="74"/>
    </row>
    <row r="945" ht="13.5" customHeight="1">
      <c r="E945" s="182"/>
      <c r="F945" s="22"/>
      <c r="G945" s="74"/>
    </row>
    <row r="946" ht="13.5" customHeight="1">
      <c r="E946" s="182"/>
      <c r="F946" s="22"/>
      <c r="G946" s="74"/>
    </row>
    <row r="947" ht="13.5" customHeight="1">
      <c r="E947" s="182"/>
      <c r="F947" s="22"/>
      <c r="G947" s="74"/>
    </row>
    <row r="948" ht="13.5" customHeight="1">
      <c r="E948" s="182"/>
      <c r="F948" s="22"/>
      <c r="G948" s="74"/>
    </row>
    <row r="949" ht="13.5" customHeight="1">
      <c r="E949" s="182"/>
      <c r="F949" s="22"/>
      <c r="G949" s="74"/>
    </row>
    <row r="950" ht="13.5" customHeight="1">
      <c r="E950" s="182"/>
      <c r="F950" s="22"/>
      <c r="G950" s="74"/>
    </row>
    <row r="951" ht="13.5" customHeight="1">
      <c r="E951" s="182"/>
      <c r="F951" s="22"/>
      <c r="G951" s="74"/>
    </row>
    <row r="952" ht="13.5" customHeight="1">
      <c r="E952" s="182"/>
      <c r="F952" s="22"/>
      <c r="G952" s="74"/>
    </row>
    <row r="953" ht="13.5" customHeight="1">
      <c r="E953" s="182"/>
      <c r="F953" s="22"/>
      <c r="G953" s="74"/>
    </row>
    <row r="954" ht="13.5" customHeight="1">
      <c r="E954" s="182"/>
      <c r="F954" s="22"/>
      <c r="G954" s="74"/>
    </row>
    <row r="955" ht="13.5" customHeight="1">
      <c r="E955" s="182"/>
      <c r="F955" s="22"/>
      <c r="G955" s="74"/>
    </row>
    <row r="956" ht="13.5" customHeight="1">
      <c r="E956" s="182"/>
      <c r="F956" s="22"/>
      <c r="G956" s="74"/>
    </row>
    <row r="957" ht="13.5" customHeight="1">
      <c r="E957" s="182"/>
      <c r="F957" s="22"/>
      <c r="G957" s="74"/>
    </row>
    <row r="958" ht="13.5" customHeight="1">
      <c r="E958" s="182"/>
      <c r="F958" s="22"/>
      <c r="G958" s="74"/>
    </row>
    <row r="959" ht="13.5" customHeight="1">
      <c r="E959" s="182"/>
      <c r="F959" s="22"/>
      <c r="G959" s="74"/>
    </row>
    <row r="960" ht="13.5" customHeight="1">
      <c r="E960" s="182"/>
      <c r="F960" s="22"/>
      <c r="G960" s="74"/>
    </row>
    <row r="961" ht="13.5" customHeight="1">
      <c r="E961" s="182"/>
      <c r="F961" s="22"/>
      <c r="G961" s="74"/>
    </row>
    <row r="962" ht="13.5" customHeight="1">
      <c r="E962" s="182"/>
      <c r="F962" s="22"/>
      <c r="G962" s="74"/>
    </row>
    <row r="963" ht="13.5" customHeight="1">
      <c r="E963" s="182"/>
      <c r="F963" s="22"/>
      <c r="G963" s="74"/>
    </row>
    <row r="964" ht="13.5" customHeight="1">
      <c r="E964" s="182"/>
      <c r="F964" s="22"/>
      <c r="G964" s="74"/>
    </row>
    <row r="965" ht="13.5" customHeight="1">
      <c r="E965" s="182"/>
      <c r="F965" s="22"/>
      <c r="G965" s="74"/>
    </row>
    <row r="966" ht="13.5" customHeight="1">
      <c r="E966" s="182"/>
      <c r="F966" s="22"/>
      <c r="G966" s="74"/>
    </row>
    <row r="967" ht="13.5" customHeight="1">
      <c r="E967" s="182"/>
      <c r="F967" s="22"/>
      <c r="G967" s="74"/>
    </row>
    <row r="968" ht="13.5" customHeight="1">
      <c r="E968" s="182"/>
      <c r="F968" s="22"/>
      <c r="G968" s="74"/>
    </row>
    <row r="969" ht="13.5" customHeight="1">
      <c r="E969" s="182"/>
      <c r="F969" s="22"/>
      <c r="G969" s="74"/>
    </row>
    <row r="970" ht="13.5" customHeight="1">
      <c r="E970" s="182"/>
      <c r="F970" s="22"/>
      <c r="G970" s="74"/>
    </row>
    <row r="971" ht="13.5" customHeight="1">
      <c r="E971" s="182"/>
      <c r="F971" s="22"/>
      <c r="G971" s="74"/>
    </row>
    <row r="972" ht="13.5" customHeight="1">
      <c r="E972" s="182"/>
      <c r="F972" s="22"/>
      <c r="G972" s="74"/>
    </row>
    <row r="973" ht="13.5" customHeight="1">
      <c r="E973" s="182"/>
      <c r="F973" s="22"/>
      <c r="G973" s="74"/>
    </row>
    <row r="974" ht="13.5" customHeight="1">
      <c r="E974" s="182"/>
      <c r="F974" s="22"/>
      <c r="G974" s="74"/>
    </row>
    <row r="975" ht="13.5" customHeight="1">
      <c r="E975" s="182"/>
      <c r="F975" s="22"/>
      <c r="G975" s="74"/>
    </row>
    <row r="976" ht="13.5" customHeight="1">
      <c r="E976" s="182"/>
      <c r="F976" s="22"/>
      <c r="G976" s="74"/>
    </row>
    <row r="977" ht="13.5" customHeight="1">
      <c r="E977" s="182"/>
      <c r="F977" s="22"/>
      <c r="G977" s="74"/>
    </row>
    <row r="978" ht="13.5" customHeight="1">
      <c r="E978" s="182"/>
      <c r="F978" s="22"/>
      <c r="G978" s="74"/>
    </row>
    <row r="979" ht="13.5" customHeight="1">
      <c r="E979" s="182"/>
      <c r="F979" s="22"/>
      <c r="G979" s="74"/>
    </row>
    <row r="980" ht="13.5" customHeight="1">
      <c r="E980" s="182"/>
      <c r="F980" s="22"/>
      <c r="G980" s="74"/>
    </row>
    <row r="981" ht="13.5" customHeight="1">
      <c r="E981" s="182"/>
      <c r="F981" s="22"/>
      <c r="G981" s="74"/>
    </row>
    <row r="982" ht="13.5" customHeight="1">
      <c r="E982" s="182"/>
      <c r="F982" s="22"/>
      <c r="G982" s="74"/>
    </row>
    <row r="983" ht="13.5" customHeight="1">
      <c r="E983" s="182"/>
      <c r="F983" s="22"/>
      <c r="G983" s="74"/>
    </row>
    <row r="984" ht="13.5" customHeight="1">
      <c r="E984" s="182"/>
      <c r="F984" s="22"/>
      <c r="G984" s="74"/>
    </row>
    <row r="985" ht="13.5" customHeight="1">
      <c r="E985" s="182"/>
      <c r="F985" s="22"/>
      <c r="G985" s="74"/>
    </row>
    <row r="986" ht="13.5" customHeight="1">
      <c r="E986" s="182"/>
      <c r="F986" s="22"/>
      <c r="G986" s="74"/>
    </row>
    <row r="987" ht="13.5" customHeight="1">
      <c r="E987" s="182"/>
      <c r="F987" s="22"/>
      <c r="G987" s="74"/>
    </row>
    <row r="988" ht="13.5" customHeight="1">
      <c r="E988" s="182"/>
      <c r="F988" s="22"/>
      <c r="G988" s="74"/>
    </row>
    <row r="989" ht="13.5" customHeight="1">
      <c r="E989" s="182"/>
      <c r="F989" s="22"/>
      <c r="G989" s="74"/>
    </row>
    <row r="990" ht="13.5" customHeight="1">
      <c r="E990" s="182"/>
      <c r="F990" s="22"/>
      <c r="G990" s="74"/>
    </row>
    <row r="991" ht="13.5" customHeight="1">
      <c r="E991" s="182"/>
      <c r="F991" s="22"/>
      <c r="G991" s="74"/>
    </row>
    <row r="992" ht="13.5" customHeight="1">
      <c r="E992" s="182"/>
      <c r="F992" s="22"/>
      <c r="G992" s="74"/>
    </row>
    <row r="993" ht="13.5" customHeight="1">
      <c r="E993" s="182"/>
      <c r="F993" s="22"/>
      <c r="G993" s="74"/>
    </row>
    <row r="994" ht="13.5" customHeight="1">
      <c r="E994" s="182"/>
      <c r="F994" s="22"/>
      <c r="G994" s="74"/>
    </row>
    <row r="995" ht="13.5" customHeight="1">
      <c r="E995" s="182"/>
      <c r="F995" s="22"/>
      <c r="G995" s="74"/>
    </row>
    <row r="996" ht="13.5" customHeight="1">
      <c r="E996" s="182"/>
      <c r="F996" s="22"/>
      <c r="G996" s="74"/>
    </row>
    <row r="997" ht="13.5" customHeight="1">
      <c r="E997" s="182"/>
      <c r="F997" s="22"/>
      <c r="G997" s="74"/>
    </row>
    <row r="998" ht="13.5" customHeight="1">
      <c r="E998" s="182"/>
      <c r="F998" s="22"/>
      <c r="G998" s="74"/>
    </row>
    <row r="999" ht="13.5" customHeight="1">
      <c r="E999" s="182"/>
      <c r="F999" s="22"/>
      <c r="G999" s="74"/>
    </row>
    <row r="1000" ht="13.5" customHeight="1">
      <c r="E1000" s="182"/>
      <c r="F1000" s="22"/>
      <c r="G1000" s="74"/>
    </row>
  </sheetData>
  <autoFilter ref="$A$1:$O$1"/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15.13"/>
    <col customWidth="1" min="3" max="3" width="8.13"/>
    <col customWidth="1" min="4" max="4" width="13.38"/>
    <col customWidth="1" min="5" max="5" width="19.75"/>
    <col customWidth="1" min="6" max="6" width="11.38"/>
    <col customWidth="1" min="7" max="7" width="26.13"/>
    <col customWidth="1" min="8" max="8" width="13.0"/>
    <col customWidth="1" min="9" max="9" width="8.63"/>
    <col customWidth="1" min="10" max="10" width="25.5"/>
    <col customWidth="1" min="11" max="11" width="14.63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5.0" customHeight="1">
      <c r="A2" s="14">
        <v>1.0</v>
      </c>
      <c r="B2" s="14" t="s">
        <v>9</v>
      </c>
      <c r="C2" s="14">
        <v>2130870.0</v>
      </c>
      <c r="D2" s="16">
        <v>46211.0</v>
      </c>
      <c r="E2" s="17">
        <v>13797.36</v>
      </c>
      <c r="F2" s="14" t="s">
        <v>80</v>
      </c>
      <c r="G2" s="14" t="s">
        <v>19</v>
      </c>
      <c r="H2" s="14"/>
      <c r="I2" s="14"/>
      <c r="J2" s="21">
        <v>183228.0</v>
      </c>
      <c r="K2" s="29">
        <v>125061.53000000004</v>
      </c>
    </row>
    <row r="3" ht="13.5" customHeight="1">
      <c r="A3" s="14">
        <v>2.0</v>
      </c>
      <c r="B3" s="14" t="s">
        <v>9</v>
      </c>
      <c r="C3" s="14">
        <v>2150983.0</v>
      </c>
      <c r="D3" s="16">
        <v>46211.0</v>
      </c>
      <c r="E3" s="17">
        <v>354.49</v>
      </c>
      <c r="F3" s="14" t="s">
        <v>33</v>
      </c>
      <c r="G3" s="14" t="s">
        <v>19</v>
      </c>
      <c r="H3" s="14"/>
      <c r="I3" s="14"/>
      <c r="J3" s="21">
        <v>183229.0</v>
      </c>
      <c r="K3" s="29">
        <v>2764153.2999999984</v>
      </c>
    </row>
    <row r="4" ht="13.5" customHeight="1">
      <c r="A4" s="14">
        <v>3.0</v>
      </c>
      <c r="B4" s="14" t="s">
        <v>9</v>
      </c>
      <c r="C4" s="14">
        <v>2060855.0</v>
      </c>
      <c r="D4" s="16">
        <v>46211.0</v>
      </c>
      <c r="E4" s="17">
        <v>6000000.0</v>
      </c>
      <c r="F4" s="14" t="s">
        <v>13</v>
      </c>
      <c r="G4" s="14" t="s">
        <v>19</v>
      </c>
      <c r="H4" s="14"/>
      <c r="I4" s="14"/>
      <c r="J4" s="21">
        <v>183233.0</v>
      </c>
      <c r="K4" s="29">
        <v>104056.17</v>
      </c>
    </row>
    <row r="5" ht="13.5" customHeight="1">
      <c r="A5" s="14">
        <v>4.0</v>
      </c>
      <c r="B5" s="14" t="s">
        <v>16</v>
      </c>
      <c r="C5" s="14">
        <v>2090821.0</v>
      </c>
      <c r="D5" s="16">
        <v>46211.0</v>
      </c>
      <c r="E5" s="17">
        <v>380.18</v>
      </c>
      <c r="F5" s="14"/>
      <c r="G5" s="14" t="s">
        <v>19</v>
      </c>
      <c r="H5" s="14"/>
      <c r="I5" s="14"/>
      <c r="J5" s="21" t="s">
        <v>81</v>
      </c>
      <c r="K5" s="29">
        <v>24877.0</v>
      </c>
    </row>
    <row r="6" ht="13.5" customHeight="1">
      <c r="A6" s="30">
        <v>5.0</v>
      </c>
      <c r="B6" s="30" t="s">
        <v>16</v>
      </c>
      <c r="C6" s="30">
        <v>2090821.0</v>
      </c>
      <c r="D6" s="31">
        <v>46211.0</v>
      </c>
      <c r="E6" s="32">
        <v>234.32</v>
      </c>
      <c r="F6" s="30"/>
      <c r="G6" s="30" t="s">
        <v>19</v>
      </c>
      <c r="H6" s="14"/>
      <c r="I6" s="14"/>
      <c r="J6" s="14"/>
      <c r="K6" s="14"/>
    </row>
    <row r="7" ht="13.5" customHeight="1">
      <c r="A7" s="23">
        <v>9.0</v>
      </c>
      <c r="B7" s="23" t="s">
        <v>20</v>
      </c>
      <c r="C7" s="23">
        <v>1040211.0</v>
      </c>
      <c r="D7" s="49">
        <v>46211.0</v>
      </c>
      <c r="E7" s="29">
        <v>1383807.77</v>
      </c>
      <c r="F7" s="23"/>
      <c r="G7" s="23" t="s">
        <v>19</v>
      </c>
      <c r="H7" s="14"/>
      <c r="I7" s="14"/>
      <c r="J7" s="14"/>
      <c r="K7" s="14"/>
    </row>
    <row r="8" ht="13.5" customHeight="1">
      <c r="A8" s="23">
        <v>12.0</v>
      </c>
      <c r="B8" s="23" t="s">
        <v>20</v>
      </c>
      <c r="C8" s="23">
        <v>1040211.0</v>
      </c>
      <c r="D8" s="49">
        <v>46211.0</v>
      </c>
      <c r="E8" s="29">
        <v>104056.17</v>
      </c>
      <c r="F8" s="23"/>
      <c r="G8" s="23" t="s">
        <v>19</v>
      </c>
      <c r="H8" s="14"/>
      <c r="I8" s="14"/>
      <c r="J8" s="14"/>
      <c r="K8" s="14"/>
    </row>
    <row r="9" ht="13.5" customHeight="1">
      <c r="A9" s="23">
        <v>20.0</v>
      </c>
      <c r="B9" s="23" t="s">
        <v>20</v>
      </c>
      <c r="C9" s="23">
        <v>1200393.0</v>
      </c>
      <c r="D9" s="49">
        <v>46211.0</v>
      </c>
      <c r="E9" s="29">
        <v>9048.82</v>
      </c>
      <c r="F9" s="23"/>
      <c r="G9" s="23" t="s">
        <v>19</v>
      </c>
      <c r="H9" s="14"/>
      <c r="I9" s="14"/>
      <c r="J9" s="14"/>
      <c r="K9" s="14"/>
    </row>
    <row r="10" ht="13.5" customHeight="1">
      <c r="A10" s="23">
        <v>21.0</v>
      </c>
      <c r="B10" s="23" t="s">
        <v>20</v>
      </c>
      <c r="C10" s="23">
        <v>1040211.0</v>
      </c>
      <c r="D10" s="49">
        <v>46211.0</v>
      </c>
      <c r="E10" s="29">
        <v>116012.71</v>
      </c>
      <c r="F10" s="23"/>
      <c r="G10" s="23" t="s">
        <v>19</v>
      </c>
      <c r="H10" s="14"/>
      <c r="I10" s="14"/>
      <c r="J10" s="14"/>
      <c r="K10" s="14"/>
    </row>
    <row r="11" ht="13.5" customHeight="1">
      <c r="A11" s="23">
        <v>23.0</v>
      </c>
      <c r="B11" s="23" t="s">
        <v>20</v>
      </c>
      <c r="C11" s="23">
        <v>1200393.0</v>
      </c>
      <c r="D11" s="49">
        <v>46211.0</v>
      </c>
      <c r="E11" s="29">
        <v>1380345.53</v>
      </c>
      <c r="F11" s="23"/>
      <c r="G11" s="23" t="s">
        <v>19</v>
      </c>
      <c r="H11" s="14"/>
      <c r="I11" s="14"/>
      <c r="J11" s="14"/>
      <c r="K11" s="14"/>
    </row>
    <row r="12" ht="13.5" customHeight="1">
      <c r="A12" s="14">
        <v>28.0</v>
      </c>
      <c r="B12" s="14" t="s">
        <v>20</v>
      </c>
      <c r="C12" s="14">
        <v>1040375.0</v>
      </c>
      <c r="D12" s="16">
        <v>46211.0</v>
      </c>
      <c r="E12" s="17">
        <v>5469.29</v>
      </c>
      <c r="F12" s="14"/>
      <c r="G12" s="14" t="s">
        <v>19</v>
      </c>
      <c r="H12" s="14"/>
      <c r="I12" s="14"/>
      <c r="J12" s="14"/>
      <c r="K12" s="14"/>
    </row>
    <row r="13" ht="13.5" customHeight="1">
      <c r="A13" s="23">
        <v>36.0</v>
      </c>
      <c r="B13" s="23" t="s">
        <v>20</v>
      </c>
      <c r="C13" s="23">
        <v>1040109.0</v>
      </c>
      <c r="D13" s="49">
        <v>46211.0</v>
      </c>
      <c r="E13" s="29">
        <v>21979.0</v>
      </c>
      <c r="F13" s="23"/>
      <c r="G13" s="23" t="s">
        <v>19</v>
      </c>
      <c r="H13" s="14"/>
      <c r="I13" s="14"/>
      <c r="J13" s="17"/>
      <c r="K13" s="14"/>
    </row>
    <row r="14" ht="13.5" customHeight="1">
      <c r="A14" s="23">
        <v>37.0</v>
      </c>
      <c r="B14" s="23" t="s">
        <v>20</v>
      </c>
      <c r="C14" s="23">
        <v>1040109.0</v>
      </c>
      <c r="D14" s="49">
        <v>46211.0</v>
      </c>
      <c r="E14" s="29">
        <v>2898.0</v>
      </c>
      <c r="F14" s="23"/>
      <c r="G14" s="23" t="s">
        <v>19</v>
      </c>
      <c r="H14" s="14"/>
      <c r="I14" s="14"/>
      <c r="J14" s="14"/>
      <c r="K14" s="14"/>
    </row>
    <row r="15" ht="13.5" customHeight="1">
      <c r="A15" s="14"/>
      <c r="B15" s="14"/>
      <c r="C15" s="14"/>
      <c r="D15" s="14"/>
      <c r="E15" s="17"/>
      <c r="F15" s="15"/>
      <c r="G15" s="14"/>
      <c r="H15" s="14"/>
      <c r="I15" s="14"/>
      <c r="J15" s="14"/>
      <c r="K15" s="14"/>
    </row>
    <row r="16" ht="13.5" customHeight="1">
      <c r="E16" s="51"/>
      <c r="F16" s="12"/>
    </row>
    <row r="17" ht="13.5" customHeight="1">
      <c r="E17" s="51"/>
      <c r="F17" s="12"/>
    </row>
    <row r="18" ht="13.5" customHeight="1">
      <c r="E18" s="51"/>
      <c r="F18" s="12"/>
    </row>
    <row r="19" ht="13.5" customHeight="1">
      <c r="E19" s="51"/>
      <c r="F19" s="12"/>
    </row>
    <row r="20" ht="13.5" customHeight="1">
      <c r="E20" s="51"/>
      <c r="F20" s="12"/>
    </row>
    <row r="21" ht="13.5" customHeight="1">
      <c r="E21" s="51"/>
      <c r="F21" s="12"/>
    </row>
    <row r="22" ht="13.5" customHeight="1">
      <c r="E22" s="51"/>
      <c r="F22" s="12"/>
    </row>
    <row r="23" ht="13.5" customHeight="1">
      <c r="E23" s="51"/>
      <c r="F23" s="12"/>
    </row>
    <row r="24" ht="13.5" customHeight="1">
      <c r="E24" s="51"/>
      <c r="F24" s="12"/>
    </row>
    <row r="25" ht="13.5" customHeight="1">
      <c r="E25" s="51"/>
      <c r="F25" s="12"/>
    </row>
    <row r="26" ht="13.5" customHeight="1">
      <c r="E26" s="51"/>
      <c r="F26" s="12"/>
    </row>
    <row r="27" ht="13.5" customHeight="1">
      <c r="E27" s="51"/>
      <c r="F27" s="12"/>
    </row>
    <row r="28" ht="13.5" customHeight="1">
      <c r="E28" s="51"/>
      <c r="F28" s="12"/>
    </row>
    <row r="29" ht="13.5" customHeight="1">
      <c r="E29" s="51"/>
      <c r="F29" s="12"/>
    </row>
    <row r="30" ht="13.5" customHeight="1">
      <c r="E30" s="51"/>
      <c r="F30" s="12"/>
    </row>
    <row r="31" ht="13.5" customHeight="1">
      <c r="E31" s="51"/>
      <c r="F31" s="12"/>
    </row>
    <row r="32" ht="13.5" customHeight="1">
      <c r="E32" s="51"/>
      <c r="F32" s="12"/>
    </row>
    <row r="33" ht="13.5" customHeight="1">
      <c r="E33" s="51"/>
      <c r="F33" s="12"/>
      <c r="J33" s="61"/>
      <c r="K33" s="61"/>
    </row>
    <row r="34" ht="13.5" customHeight="1">
      <c r="E34" s="51"/>
      <c r="F34" s="12"/>
      <c r="J34" s="61"/>
      <c r="K34" s="61"/>
    </row>
    <row r="35" ht="13.5" customHeight="1">
      <c r="E35" s="51"/>
      <c r="F35" s="12"/>
      <c r="J35" s="61"/>
      <c r="K35" s="61"/>
    </row>
    <row r="36" ht="13.5" customHeight="1">
      <c r="E36" s="51"/>
      <c r="F36" s="12"/>
      <c r="J36" s="61"/>
      <c r="K36" s="61"/>
    </row>
    <row r="37" ht="13.5" customHeight="1">
      <c r="A37" s="61"/>
      <c r="B37" s="61"/>
      <c r="C37" s="61"/>
      <c r="D37" s="61"/>
      <c r="E37" s="75"/>
      <c r="F37" s="69"/>
      <c r="G37" s="61"/>
      <c r="H37" s="61"/>
      <c r="I37" s="61"/>
      <c r="J37" s="61"/>
      <c r="K37" s="61"/>
      <c r="L37" s="61"/>
    </row>
    <row r="38" ht="13.5" customHeight="1">
      <c r="A38" s="61"/>
      <c r="B38" s="61"/>
      <c r="C38" s="61"/>
      <c r="D38" s="61"/>
      <c r="E38" s="75"/>
      <c r="F38" s="69"/>
      <c r="G38" s="61"/>
      <c r="H38" s="61"/>
      <c r="I38" s="61"/>
      <c r="J38" s="61"/>
      <c r="K38" s="61"/>
      <c r="L38" s="61"/>
    </row>
    <row r="39" ht="13.5" customHeight="1">
      <c r="A39" s="61"/>
      <c r="B39" s="61"/>
      <c r="C39" s="61"/>
      <c r="D39" s="61"/>
      <c r="E39" s="75"/>
      <c r="F39" s="69"/>
      <c r="G39" s="61"/>
      <c r="H39" s="61"/>
      <c r="I39" s="61"/>
      <c r="J39" s="61"/>
      <c r="K39" s="61"/>
      <c r="L39" s="61"/>
    </row>
    <row r="40" ht="13.5" customHeight="1">
      <c r="A40" s="61"/>
      <c r="B40" s="61"/>
      <c r="C40" s="61"/>
      <c r="D40" s="61"/>
      <c r="E40" s="75"/>
      <c r="F40" s="69"/>
      <c r="G40" s="61"/>
      <c r="H40" s="61"/>
      <c r="I40" s="61"/>
      <c r="J40" s="61"/>
      <c r="K40" s="61"/>
      <c r="L40" s="61"/>
    </row>
    <row r="41" ht="13.5" customHeight="1">
      <c r="A41" s="61"/>
      <c r="B41" s="61"/>
      <c r="C41" s="61"/>
      <c r="D41" s="61"/>
      <c r="E41" s="75"/>
      <c r="F41" s="69"/>
      <c r="G41" s="61"/>
      <c r="H41" s="61"/>
      <c r="I41" s="61"/>
      <c r="J41" s="61"/>
      <c r="K41" s="61"/>
      <c r="L41" s="61"/>
    </row>
    <row r="42" ht="13.5" customHeight="1">
      <c r="A42" s="61"/>
      <c r="B42" s="61"/>
      <c r="C42" s="61"/>
      <c r="D42" s="61"/>
      <c r="E42" s="75"/>
      <c r="F42" s="69"/>
      <c r="G42" s="61"/>
      <c r="H42" s="61"/>
      <c r="I42" s="61"/>
      <c r="J42" s="61"/>
      <c r="K42" s="61"/>
      <c r="L42" s="61"/>
    </row>
    <row r="43" ht="13.5" customHeight="1">
      <c r="A43" s="61"/>
      <c r="B43" s="61"/>
      <c r="C43" s="61"/>
      <c r="D43" s="61"/>
      <c r="E43" s="75"/>
      <c r="F43" s="69"/>
      <c r="G43" s="61"/>
      <c r="H43" s="61"/>
      <c r="I43" s="61"/>
      <c r="J43" s="61"/>
      <c r="K43" s="61"/>
      <c r="L43" s="61"/>
    </row>
    <row r="44" ht="13.5" customHeight="1">
      <c r="A44" s="61"/>
      <c r="B44" s="61"/>
      <c r="C44" s="61"/>
      <c r="D44" s="61"/>
      <c r="E44" s="75"/>
      <c r="F44" s="69"/>
      <c r="G44" s="61"/>
      <c r="H44" s="61"/>
      <c r="I44" s="61"/>
      <c r="J44" s="61"/>
      <c r="K44" s="61"/>
      <c r="L44" s="61"/>
    </row>
    <row r="45" ht="13.5" customHeight="1">
      <c r="A45" s="61"/>
      <c r="B45" s="61"/>
      <c r="C45" s="61"/>
      <c r="D45" s="61"/>
      <c r="E45" s="75"/>
      <c r="F45" s="69"/>
      <c r="G45" s="61"/>
      <c r="H45" s="61"/>
      <c r="I45" s="61"/>
      <c r="J45" s="61"/>
      <c r="K45" s="61"/>
      <c r="L45" s="61"/>
    </row>
    <row r="46" ht="13.5" customHeight="1">
      <c r="A46" s="61"/>
      <c r="B46" s="61"/>
      <c r="C46" s="61"/>
      <c r="D46" s="61"/>
      <c r="E46" s="75"/>
      <c r="F46" s="69"/>
      <c r="G46" s="61"/>
      <c r="H46" s="61"/>
      <c r="I46" s="61"/>
      <c r="J46" s="61"/>
      <c r="K46" s="61"/>
      <c r="L46" s="61"/>
    </row>
    <row r="47" ht="13.5" customHeight="1">
      <c r="A47" s="61"/>
      <c r="B47" s="61"/>
      <c r="C47" s="61"/>
      <c r="D47" s="61"/>
      <c r="E47" s="75"/>
      <c r="F47" s="69"/>
      <c r="G47" s="61"/>
      <c r="H47" s="61"/>
      <c r="I47" s="61"/>
      <c r="J47" s="61"/>
      <c r="K47" s="61"/>
      <c r="L47" s="61"/>
    </row>
    <row r="48" ht="13.5" customHeight="1">
      <c r="A48" s="61"/>
      <c r="B48" s="61"/>
      <c r="C48" s="61"/>
      <c r="D48" s="61"/>
      <c r="E48" s="75"/>
      <c r="F48" s="69"/>
      <c r="G48" s="61"/>
      <c r="H48" s="61"/>
      <c r="I48" s="61"/>
      <c r="J48" s="61"/>
      <c r="K48" s="61"/>
      <c r="L48" s="61"/>
    </row>
    <row r="49" ht="13.5" customHeight="1">
      <c r="A49" s="61"/>
      <c r="B49" s="61"/>
      <c r="C49" s="61"/>
      <c r="D49" s="61"/>
      <c r="E49" s="75"/>
      <c r="F49" s="69"/>
      <c r="G49" s="61"/>
      <c r="H49" s="61"/>
      <c r="I49" s="61"/>
      <c r="J49" s="61"/>
      <c r="K49" s="61"/>
      <c r="L49" s="61"/>
    </row>
    <row r="50" ht="13.5" customHeight="1">
      <c r="A50" s="61"/>
      <c r="B50" s="61"/>
      <c r="C50" s="61"/>
      <c r="D50" s="61"/>
      <c r="E50" s="75"/>
      <c r="F50" s="69"/>
      <c r="G50" s="61"/>
      <c r="H50" s="61"/>
      <c r="I50" s="61"/>
      <c r="J50" s="61"/>
      <c r="K50" s="61"/>
      <c r="L50" s="61"/>
    </row>
    <row r="51" ht="13.5" customHeight="1">
      <c r="A51" s="61"/>
      <c r="B51" s="61"/>
      <c r="C51" s="61"/>
      <c r="D51" s="61"/>
      <c r="E51" s="75"/>
      <c r="F51" s="69"/>
      <c r="G51" s="61"/>
      <c r="H51" s="61"/>
      <c r="I51" s="61"/>
      <c r="J51" s="61"/>
      <c r="K51" s="61"/>
      <c r="L51" s="61"/>
    </row>
    <row r="52" ht="13.5" customHeight="1">
      <c r="A52" s="61"/>
      <c r="B52" s="61"/>
      <c r="C52" s="61"/>
      <c r="D52" s="61"/>
      <c r="E52" s="75"/>
      <c r="F52" s="69"/>
      <c r="G52" s="61"/>
      <c r="H52" s="61"/>
      <c r="I52" s="61"/>
      <c r="J52" s="61"/>
      <c r="K52" s="61"/>
      <c r="L52" s="61"/>
    </row>
    <row r="53" ht="13.5" customHeight="1">
      <c r="A53" s="61"/>
      <c r="B53" s="61"/>
      <c r="C53" s="61"/>
      <c r="D53" s="61"/>
      <c r="E53" s="75"/>
      <c r="F53" s="69"/>
      <c r="G53" s="61"/>
      <c r="H53" s="61"/>
      <c r="I53" s="61"/>
      <c r="J53" s="61"/>
      <c r="K53" s="61"/>
      <c r="L53" s="61"/>
    </row>
    <row r="54" ht="13.5" customHeight="1">
      <c r="A54" s="61"/>
      <c r="B54" s="61"/>
      <c r="C54" s="61"/>
      <c r="D54" s="61"/>
      <c r="E54" s="75"/>
      <c r="F54" s="69"/>
      <c r="G54" s="61"/>
      <c r="H54" s="61"/>
      <c r="I54" s="61"/>
      <c r="J54" s="61"/>
      <c r="K54" s="61"/>
      <c r="L54" s="61"/>
    </row>
    <row r="55" ht="13.5" customHeight="1">
      <c r="A55" s="61"/>
      <c r="B55" s="61"/>
      <c r="C55" s="61"/>
      <c r="D55" s="61"/>
      <c r="E55" s="75"/>
      <c r="F55" s="69"/>
      <c r="G55" s="61"/>
      <c r="H55" s="61"/>
      <c r="I55" s="61"/>
      <c r="J55" s="61"/>
      <c r="K55" s="61"/>
      <c r="L55" s="61"/>
    </row>
    <row r="56" ht="13.5" customHeight="1">
      <c r="A56" s="61"/>
      <c r="B56" s="61"/>
      <c r="C56" s="61"/>
      <c r="D56" s="61"/>
      <c r="E56" s="75"/>
      <c r="F56" s="69"/>
      <c r="G56" s="61"/>
      <c r="H56" s="61"/>
      <c r="I56" s="61"/>
      <c r="J56" s="61"/>
      <c r="K56" s="61"/>
      <c r="L56" s="61"/>
    </row>
    <row r="57" ht="13.5" customHeight="1">
      <c r="A57" s="61"/>
      <c r="B57" s="61"/>
      <c r="C57" s="61"/>
      <c r="D57" s="61"/>
      <c r="E57" s="75"/>
      <c r="F57" s="69"/>
      <c r="G57" s="61"/>
      <c r="H57" s="61"/>
      <c r="I57" s="61"/>
      <c r="J57" s="61"/>
      <c r="K57" s="61"/>
      <c r="L57" s="61"/>
    </row>
    <row r="58" ht="13.5" customHeight="1">
      <c r="A58" s="61"/>
      <c r="B58" s="61"/>
      <c r="C58" s="61"/>
      <c r="D58" s="61"/>
      <c r="E58" s="75"/>
      <c r="F58" s="69"/>
      <c r="G58" s="61"/>
      <c r="H58" s="61"/>
      <c r="I58" s="61"/>
      <c r="J58" s="61"/>
      <c r="K58" s="61"/>
      <c r="L58" s="61"/>
    </row>
    <row r="59" ht="13.5" customHeight="1">
      <c r="A59" s="61"/>
      <c r="B59" s="61"/>
      <c r="C59" s="61"/>
      <c r="D59" s="61"/>
      <c r="E59" s="75"/>
      <c r="F59" s="69"/>
      <c r="G59" s="61"/>
      <c r="H59" s="61"/>
      <c r="I59" s="61"/>
      <c r="J59" s="61"/>
      <c r="K59" s="61"/>
      <c r="L59" s="61"/>
    </row>
    <row r="60" ht="13.5" customHeight="1">
      <c r="A60" s="61"/>
      <c r="B60" s="61"/>
      <c r="C60" s="61"/>
      <c r="D60" s="61"/>
      <c r="E60" s="75"/>
      <c r="F60" s="69"/>
      <c r="G60" s="61"/>
      <c r="H60" s="61"/>
      <c r="I60" s="61"/>
      <c r="J60" s="61"/>
      <c r="K60" s="61"/>
      <c r="L60" s="61"/>
    </row>
    <row r="61" ht="13.5" customHeight="1">
      <c r="A61" s="61"/>
      <c r="B61" s="61"/>
      <c r="C61" s="61"/>
      <c r="D61" s="61"/>
      <c r="E61" s="75"/>
      <c r="F61" s="69"/>
      <c r="G61" s="61"/>
      <c r="H61" s="61"/>
      <c r="I61" s="61"/>
      <c r="J61" s="61"/>
      <c r="K61" s="61"/>
      <c r="L61" s="61"/>
    </row>
    <row r="62" ht="13.5" customHeight="1">
      <c r="A62" s="61"/>
      <c r="B62" s="61"/>
      <c r="C62" s="61"/>
      <c r="D62" s="61"/>
      <c r="E62" s="75"/>
      <c r="F62" s="69"/>
      <c r="G62" s="61"/>
      <c r="H62" s="61"/>
      <c r="I62" s="61"/>
      <c r="J62" s="61"/>
      <c r="K62" s="61"/>
      <c r="L62" s="61"/>
    </row>
    <row r="63" ht="13.5" customHeight="1">
      <c r="A63" s="61"/>
      <c r="B63" s="61"/>
      <c r="C63" s="61"/>
      <c r="D63" s="61"/>
      <c r="E63" s="75"/>
      <c r="F63" s="69"/>
      <c r="G63" s="61"/>
      <c r="H63" s="61"/>
      <c r="I63" s="61"/>
      <c r="J63" s="61"/>
      <c r="K63" s="61"/>
      <c r="L63" s="61"/>
    </row>
    <row r="64" ht="13.5" customHeight="1">
      <c r="A64" s="61"/>
      <c r="B64" s="61"/>
      <c r="C64" s="61"/>
      <c r="D64" s="61"/>
      <c r="E64" s="75"/>
      <c r="F64" s="69"/>
      <c r="G64" s="61"/>
      <c r="H64" s="61"/>
      <c r="I64" s="61"/>
      <c r="J64" s="61"/>
      <c r="K64" s="61"/>
      <c r="L64" s="61"/>
    </row>
    <row r="65" ht="13.5" customHeight="1">
      <c r="A65" s="61"/>
      <c r="B65" s="61"/>
      <c r="C65" s="61"/>
      <c r="D65" s="61"/>
      <c r="E65" s="75"/>
      <c r="F65" s="69"/>
      <c r="G65" s="61"/>
      <c r="H65" s="61"/>
      <c r="I65" s="61"/>
      <c r="J65" s="61"/>
      <c r="K65" s="61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61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61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61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61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61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61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61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61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61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61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61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61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61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61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61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61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61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61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61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61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61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61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61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61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61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61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61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61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61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61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61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61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61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61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61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61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61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61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61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61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61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61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61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61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61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61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61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61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61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61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61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61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61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61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61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61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61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61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61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61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61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61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61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61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61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61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61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61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61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61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61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61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61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61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61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61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61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61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61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61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61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L147" s="61"/>
    </row>
    <row r="148" ht="13.5" customHeight="1">
      <c r="A148" s="61"/>
      <c r="B148" s="61"/>
      <c r="C148" s="61"/>
      <c r="D148" s="61"/>
      <c r="E148" s="75"/>
      <c r="F148" s="69"/>
      <c r="H148" s="61"/>
      <c r="I148" s="61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L150" s="61"/>
    </row>
    <row r="151" ht="13.5" customHeight="1">
      <c r="E151" s="51"/>
      <c r="F151" s="12"/>
    </row>
    <row r="152" ht="13.5" customHeight="1">
      <c r="E152" s="51"/>
      <c r="F152" s="12"/>
    </row>
    <row r="153" ht="13.5" customHeight="1">
      <c r="E153" s="51"/>
      <c r="F153" s="12"/>
    </row>
    <row r="154" ht="13.5" customHeight="1">
      <c r="E154" s="51"/>
      <c r="F154" s="12"/>
    </row>
    <row r="155" ht="13.5" customHeight="1">
      <c r="E155" s="51"/>
      <c r="F155" s="12"/>
    </row>
    <row r="156" ht="13.5" customHeight="1">
      <c r="E156" s="51"/>
      <c r="F156" s="12"/>
    </row>
    <row r="157" ht="13.5" customHeight="1">
      <c r="E157" s="51"/>
      <c r="F157" s="12"/>
    </row>
    <row r="158" ht="13.5" customHeight="1">
      <c r="E158" s="51"/>
      <c r="F158" s="12"/>
    </row>
    <row r="159" ht="13.5" customHeight="1">
      <c r="E159" s="51"/>
      <c r="F159" s="12"/>
    </row>
    <row r="160" ht="13.5" customHeight="1">
      <c r="E160" s="51"/>
      <c r="F160" s="12"/>
    </row>
    <row r="161" ht="13.5" customHeight="1">
      <c r="E161" s="51"/>
      <c r="F161" s="12"/>
    </row>
    <row r="162" ht="13.5" customHeight="1">
      <c r="E162" s="51"/>
      <c r="F162" s="12"/>
    </row>
    <row r="163" ht="13.5" customHeight="1">
      <c r="E163" s="51"/>
      <c r="F163" s="12"/>
    </row>
    <row r="164" ht="13.5" customHeight="1">
      <c r="E164" s="51"/>
      <c r="F164" s="12"/>
    </row>
    <row r="165" ht="13.5" customHeight="1">
      <c r="E165" s="51"/>
      <c r="F165" s="12"/>
    </row>
    <row r="166" ht="13.5" customHeight="1">
      <c r="E166" s="51"/>
      <c r="F166" s="12"/>
    </row>
    <row r="167" ht="13.5" customHeight="1">
      <c r="E167" s="51"/>
      <c r="F167" s="12"/>
    </row>
    <row r="168" ht="13.5" customHeight="1">
      <c r="E168" s="51"/>
      <c r="F168" s="12"/>
    </row>
    <row r="169" ht="13.5" customHeight="1">
      <c r="E169" s="51"/>
      <c r="F169" s="12"/>
    </row>
    <row r="170" ht="13.5" customHeight="1">
      <c r="E170" s="51"/>
      <c r="F170" s="12"/>
    </row>
    <row r="171" ht="13.5" customHeight="1">
      <c r="E171" s="51"/>
      <c r="F171" s="12"/>
    </row>
    <row r="172" ht="13.5" customHeight="1">
      <c r="E172" s="51"/>
      <c r="F172" s="12"/>
    </row>
    <row r="173" ht="13.5" customHeight="1">
      <c r="E173" s="51"/>
      <c r="F173" s="12"/>
    </row>
    <row r="174" ht="13.5" customHeight="1">
      <c r="E174" s="51"/>
      <c r="F174" s="12"/>
    </row>
    <row r="175" ht="13.5" customHeight="1">
      <c r="E175" s="51"/>
      <c r="F175" s="12"/>
    </row>
    <row r="176" ht="13.5" customHeight="1">
      <c r="E176" s="51"/>
      <c r="F176" s="12"/>
    </row>
    <row r="177" ht="13.5" customHeight="1">
      <c r="E177" s="51"/>
      <c r="F177" s="12"/>
    </row>
    <row r="178" ht="13.5" customHeight="1">
      <c r="E178" s="51"/>
      <c r="F178" s="12"/>
    </row>
    <row r="179" ht="13.5" customHeight="1">
      <c r="E179" s="51"/>
      <c r="F179" s="12"/>
    </row>
    <row r="180" ht="13.5" customHeight="1">
      <c r="E180" s="51"/>
      <c r="F180" s="12"/>
    </row>
    <row r="181" ht="13.5" customHeight="1">
      <c r="E181" s="51"/>
      <c r="F181" s="12"/>
    </row>
    <row r="182" ht="13.5" customHeight="1">
      <c r="E182" s="51"/>
      <c r="F182" s="12"/>
    </row>
    <row r="183" ht="13.5" customHeight="1">
      <c r="E183" s="51"/>
      <c r="F183" s="12"/>
    </row>
    <row r="184" ht="13.5" customHeight="1">
      <c r="E184" s="51"/>
      <c r="F184" s="12"/>
    </row>
    <row r="185" ht="13.5" customHeight="1">
      <c r="E185" s="51"/>
      <c r="F185" s="12"/>
    </row>
    <row r="186" ht="13.5" customHeight="1">
      <c r="E186" s="51"/>
      <c r="F186" s="12"/>
    </row>
    <row r="187" ht="13.5" customHeight="1">
      <c r="E187" s="51"/>
      <c r="F187" s="12"/>
    </row>
    <row r="188" ht="13.5" customHeight="1">
      <c r="E188" s="51"/>
      <c r="F188" s="12"/>
    </row>
    <row r="189" ht="13.5" customHeight="1">
      <c r="E189" s="51"/>
      <c r="F189" s="12"/>
    </row>
    <row r="190" ht="13.5" customHeight="1">
      <c r="E190" s="51"/>
      <c r="F190" s="12"/>
    </row>
    <row r="191" ht="13.5" customHeight="1">
      <c r="E191" s="51"/>
      <c r="F191" s="12"/>
    </row>
    <row r="192" ht="13.5" customHeight="1">
      <c r="E192" s="51"/>
      <c r="F192" s="12"/>
    </row>
    <row r="193" ht="13.5" customHeight="1">
      <c r="E193" s="51"/>
      <c r="F193" s="12"/>
    </row>
    <row r="194" ht="13.5" customHeight="1">
      <c r="E194" s="51"/>
      <c r="F194" s="12"/>
    </row>
    <row r="195" ht="13.5" customHeight="1">
      <c r="E195" s="51"/>
      <c r="F195" s="12"/>
    </row>
    <row r="196" ht="13.5" customHeight="1">
      <c r="E196" s="51"/>
      <c r="F196" s="12"/>
    </row>
    <row r="197" ht="13.5" customHeight="1">
      <c r="E197" s="51"/>
      <c r="F197" s="12"/>
    </row>
    <row r="198" ht="13.5" customHeight="1">
      <c r="E198" s="51"/>
      <c r="F198" s="12"/>
    </row>
    <row r="199" ht="13.5" customHeight="1">
      <c r="E199" s="51"/>
      <c r="F199" s="12"/>
    </row>
    <row r="200" ht="13.5" customHeight="1">
      <c r="E200" s="51"/>
      <c r="F200" s="12"/>
    </row>
    <row r="201" ht="13.5" customHeight="1">
      <c r="E201" s="51"/>
      <c r="F201" s="12"/>
    </row>
    <row r="202" ht="13.5" customHeight="1">
      <c r="E202" s="51"/>
      <c r="F202" s="12"/>
    </row>
    <row r="203" ht="13.5" customHeight="1">
      <c r="E203" s="51"/>
      <c r="F203" s="12"/>
    </row>
    <row r="204" ht="13.5" customHeight="1">
      <c r="E204" s="51"/>
      <c r="F204" s="12"/>
    </row>
    <row r="205" ht="13.5" customHeight="1">
      <c r="E205" s="51"/>
      <c r="F205" s="12"/>
    </row>
    <row r="206" ht="13.5" customHeight="1">
      <c r="E206" s="51"/>
      <c r="F206" s="12"/>
    </row>
    <row r="207" ht="13.5" customHeight="1">
      <c r="E207" s="51"/>
      <c r="F207" s="12"/>
    </row>
    <row r="208" ht="13.5" customHeight="1">
      <c r="E208" s="51"/>
      <c r="F208" s="12"/>
    </row>
    <row r="209" ht="13.5" customHeight="1">
      <c r="E209" s="51"/>
      <c r="F209" s="12"/>
    </row>
    <row r="210" ht="13.5" customHeight="1">
      <c r="E210" s="51"/>
      <c r="F210" s="12"/>
    </row>
    <row r="211" ht="13.5" customHeight="1">
      <c r="E211" s="51"/>
      <c r="F211" s="12"/>
    </row>
    <row r="212" ht="13.5" customHeight="1">
      <c r="E212" s="51"/>
      <c r="F212" s="12"/>
    </row>
    <row r="213" ht="13.5" customHeight="1">
      <c r="E213" s="51"/>
      <c r="F213" s="12"/>
    </row>
    <row r="214" ht="13.5" customHeight="1">
      <c r="E214" s="51"/>
      <c r="F214" s="12"/>
    </row>
    <row r="215" ht="13.5" customHeight="1">
      <c r="E215" s="51"/>
      <c r="F215" s="12"/>
    </row>
    <row r="216" ht="13.5" customHeight="1">
      <c r="E216" s="51"/>
      <c r="F216" s="12"/>
    </row>
    <row r="217" ht="13.5" customHeight="1">
      <c r="E217" s="51"/>
      <c r="F217" s="12"/>
    </row>
    <row r="218" ht="13.5" customHeight="1">
      <c r="E218" s="51"/>
      <c r="F218" s="12"/>
    </row>
    <row r="219" ht="13.5" customHeight="1">
      <c r="E219" s="51"/>
      <c r="F219" s="12"/>
    </row>
    <row r="220" ht="13.5" customHeight="1">
      <c r="E220" s="51"/>
      <c r="F220" s="12"/>
    </row>
    <row r="221" ht="13.5" customHeight="1">
      <c r="E221" s="51"/>
      <c r="F221" s="12"/>
    </row>
    <row r="222" ht="13.5" customHeight="1">
      <c r="E222" s="51"/>
      <c r="F222" s="12"/>
    </row>
    <row r="223" ht="13.5" customHeight="1">
      <c r="E223" s="51"/>
      <c r="F223" s="12"/>
    </row>
    <row r="224" ht="13.5" customHeight="1">
      <c r="E224" s="51"/>
      <c r="F224" s="12"/>
    </row>
    <row r="225" ht="13.5" customHeight="1">
      <c r="E225" s="51"/>
      <c r="F225" s="12"/>
    </row>
    <row r="226" ht="13.5" customHeight="1">
      <c r="E226" s="51"/>
      <c r="F226" s="12"/>
    </row>
    <row r="227" ht="13.5" customHeight="1">
      <c r="E227" s="51"/>
      <c r="F227" s="12"/>
    </row>
    <row r="228" ht="13.5" customHeight="1">
      <c r="E228" s="51"/>
      <c r="F228" s="12"/>
    </row>
    <row r="229" ht="13.5" customHeight="1">
      <c r="E229" s="51"/>
      <c r="F229" s="12"/>
    </row>
    <row r="230" ht="13.5" customHeight="1">
      <c r="E230" s="51"/>
      <c r="F230" s="12"/>
    </row>
    <row r="231" ht="13.5" customHeight="1">
      <c r="E231" s="51"/>
      <c r="F231" s="12"/>
    </row>
    <row r="232" ht="13.5" customHeight="1">
      <c r="E232" s="51"/>
      <c r="F232" s="12"/>
    </row>
    <row r="233" ht="13.5" customHeight="1">
      <c r="E233" s="51"/>
      <c r="F233" s="12"/>
    </row>
    <row r="234" ht="13.5" customHeight="1">
      <c r="E234" s="51"/>
      <c r="F234" s="12"/>
    </row>
    <row r="235" ht="13.5" customHeight="1">
      <c r="E235" s="51"/>
      <c r="F235" s="12"/>
    </row>
    <row r="236" ht="13.5" customHeight="1">
      <c r="E236" s="51"/>
      <c r="F236" s="12"/>
    </row>
    <row r="237" ht="13.5" customHeight="1">
      <c r="E237" s="51"/>
      <c r="F237" s="12"/>
    </row>
    <row r="238" ht="13.5" customHeight="1">
      <c r="E238" s="51"/>
      <c r="F238" s="12"/>
    </row>
    <row r="239" ht="13.5" customHeight="1">
      <c r="E239" s="51"/>
      <c r="F239" s="12"/>
    </row>
    <row r="240" ht="13.5" customHeight="1">
      <c r="E240" s="51"/>
      <c r="F240" s="12"/>
    </row>
    <row r="241" ht="13.5" customHeight="1">
      <c r="E241" s="51"/>
      <c r="F241" s="12"/>
    </row>
    <row r="242" ht="13.5" customHeight="1">
      <c r="E242" s="51"/>
      <c r="F242" s="12"/>
    </row>
    <row r="243" ht="13.5" customHeight="1">
      <c r="E243" s="51"/>
      <c r="F243" s="12"/>
    </row>
    <row r="244" ht="13.5" customHeight="1">
      <c r="E244" s="51"/>
      <c r="F244" s="12"/>
    </row>
    <row r="245" ht="13.5" customHeight="1">
      <c r="E245" s="51"/>
      <c r="F245" s="12"/>
    </row>
    <row r="246" ht="13.5" customHeight="1">
      <c r="E246" s="51"/>
      <c r="F246" s="12"/>
    </row>
    <row r="247" ht="13.5" customHeight="1">
      <c r="E247" s="51"/>
      <c r="F247" s="12"/>
    </row>
    <row r="248" ht="13.5" customHeight="1">
      <c r="E248" s="51"/>
      <c r="F248" s="12"/>
    </row>
    <row r="249" ht="13.5" customHeight="1">
      <c r="E249" s="51"/>
      <c r="F249" s="12"/>
    </row>
    <row r="250" ht="13.5" customHeight="1">
      <c r="E250" s="51"/>
      <c r="F250" s="12"/>
    </row>
    <row r="251" ht="13.5" customHeight="1">
      <c r="E251" s="51"/>
      <c r="F251" s="12"/>
    </row>
    <row r="252" ht="13.5" customHeight="1">
      <c r="E252" s="51"/>
      <c r="F252" s="12"/>
    </row>
    <row r="253" ht="13.5" customHeight="1">
      <c r="E253" s="51"/>
      <c r="F253" s="12"/>
    </row>
    <row r="254" ht="13.5" customHeight="1">
      <c r="E254" s="51"/>
      <c r="F254" s="12"/>
    </row>
    <row r="255" ht="13.5" customHeight="1">
      <c r="E255" s="51"/>
      <c r="F255" s="12"/>
    </row>
    <row r="256" ht="13.5" customHeight="1">
      <c r="E256" s="51"/>
      <c r="F256" s="12"/>
    </row>
    <row r="257" ht="13.5" customHeight="1">
      <c r="E257" s="51"/>
      <c r="F257" s="12"/>
    </row>
    <row r="258" ht="13.5" customHeight="1">
      <c r="E258" s="51"/>
      <c r="F258" s="12"/>
    </row>
    <row r="259" ht="13.5" customHeight="1">
      <c r="E259" s="51"/>
      <c r="F259" s="12"/>
    </row>
    <row r="260" ht="13.5" customHeight="1">
      <c r="E260" s="51"/>
      <c r="F260" s="12"/>
    </row>
    <row r="261" ht="13.5" customHeight="1">
      <c r="E261" s="51"/>
      <c r="F261" s="12"/>
    </row>
    <row r="262" ht="13.5" customHeight="1">
      <c r="E262" s="51"/>
      <c r="F262" s="12"/>
    </row>
    <row r="263" ht="13.5" customHeight="1">
      <c r="E263" s="51"/>
      <c r="F263" s="12"/>
    </row>
    <row r="264" ht="13.5" customHeight="1">
      <c r="E264" s="51"/>
      <c r="F264" s="12"/>
    </row>
    <row r="265" ht="13.5" customHeight="1">
      <c r="E265" s="51"/>
      <c r="F265" s="12"/>
    </row>
    <row r="266" ht="13.5" customHeight="1">
      <c r="E266" s="51"/>
      <c r="F266" s="12"/>
    </row>
    <row r="267" ht="13.5" customHeight="1">
      <c r="E267" s="51"/>
      <c r="F267" s="12"/>
    </row>
    <row r="268" ht="13.5" customHeight="1">
      <c r="E268" s="51"/>
      <c r="F268" s="12"/>
    </row>
    <row r="269" ht="13.5" customHeight="1">
      <c r="E269" s="51"/>
      <c r="F269" s="12"/>
    </row>
    <row r="270" ht="13.5" customHeight="1">
      <c r="E270" s="51"/>
      <c r="F270" s="12"/>
    </row>
    <row r="271" ht="13.5" customHeight="1">
      <c r="E271" s="51"/>
      <c r="F271" s="12"/>
    </row>
    <row r="272" ht="13.5" customHeight="1">
      <c r="E272" s="51"/>
      <c r="F272" s="12"/>
    </row>
    <row r="273" ht="13.5" customHeight="1">
      <c r="E273" s="51"/>
      <c r="F273" s="12"/>
    </row>
    <row r="274" ht="13.5" customHeight="1">
      <c r="E274" s="51"/>
      <c r="F274" s="12"/>
    </row>
    <row r="275" ht="13.5" customHeight="1">
      <c r="E275" s="51"/>
      <c r="F275" s="12"/>
    </row>
    <row r="276" ht="13.5" customHeight="1">
      <c r="E276" s="51"/>
      <c r="F276" s="12"/>
    </row>
    <row r="277" ht="13.5" customHeight="1">
      <c r="E277" s="51"/>
      <c r="F277" s="12"/>
    </row>
    <row r="278" ht="13.5" customHeight="1">
      <c r="E278" s="51"/>
      <c r="F278" s="12"/>
    </row>
    <row r="279" ht="13.5" customHeight="1">
      <c r="E279" s="51"/>
      <c r="F279" s="12"/>
    </row>
    <row r="280" ht="13.5" customHeight="1">
      <c r="E280" s="51"/>
      <c r="F280" s="12"/>
    </row>
    <row r="281" ht="13.5" customHeight="1">
      <c r="E281" s="51"/>
      <c r="F281" s="12"/>
    </row>
    <row r="282" ht="13.5" customHeight="1">
      <c r="E282" s="51"/>
      <c r="F282" s="12"/>
    </row>
    <row r="283" ht="13.5" customHeight="1">
      <c r="E283" s="51"/>
      <c r="F283" s="12"/>
    </row>
    <row r="284" ht="13.5" customHeight="1">
      <c r="E284" s="51"/>
      <c r="F284" s="12"/>
    </row>
    <row r="285" ht="13.5" customHeight="1">
      <c r="E285" s="51"/>
      <c r="F285" s="12"/>
    </row>
    <row r="286" ht="13.5" customHeight="1">
      <c r="E286" s="51"/>
      <c r="F286" s="12"/>
    </row>
    <row r="287" ht="13.5" customHeight="1">
      <c r="E287" s="51"/>
      <c r="F287" s="12"/>
    </row>
    <row r="288" ht="13.5" customHeight="1">
      <c r="E288" s="51"/>
      <c r="F288" s="12"/>
    </row>
    <row r="289" ht="13.5" customHeight="1">
      <c r="E289" s="51"/>
      <c r="F289" s="12"/>
    </row>
    <row r="290" ht="13.5" customHeight="1">
      <c r="E290" s="51"/>
      <c r="F290" s="12"/>
    </row>
    <row r="291" ht="13.5" customHeight="1">
      <c r="E291" s="51"/>
      <c r="F291" s="12"/>
    </row>
    <row r="292" ht="13.5" customHeight="1">
      <c r="E292" s="51"/>
      <c r="F292" s="12"/>
    </row>
    <row r="293" ht="13.5" customHeight="1">
      <c r="E293" s="51"/>
      <c r="F293" s="12"/>
    </row>
    <row r="294" ht="13.5" customHeight="1">
      <c r="E294" s="51"/>
      <c r="F294" s="12"/>
    </row>
    <row r="295" ht="13.5" customHeight="1">
      <c r="E295" s="51"/>
      <c r="F295" s="12"/>
    </row>
    <row r="296" ht="13.5" customHeight="1">
      <c r="E296" s="51"/>
      <c r="F296" s="12"/>
    </row>
    <row r="297" ht="13.5" customHeight="1">
      <c r="E297" s="51"/>
      <c r="F297" s="12"/>
    </row>
    <row r="298" ht="13.5" customHeight="1">
      <c r="E298" s="51"/>
      <c r="F298" s="12"/>
    </row>
    <row r="299" ht="13.5" customHeight="1">
      <c r="E299" s="51"/>
      <c r="F299" s="12"/>
    </row>
    <row r="300" ht="13.5" customHeight="1">
      <c r="E300" s="51"/>
      <c r="F300" s="12"/>
    </row>
    <row r="301" ht="13.5" customHeight="1">
      <c r="E301" s="51"/>
      <c r="F301" s="12"/>
    </row>
    <row r="302" ht="13.5" customHeight="1">
      <c r="E302" s="51"/>
      <c r="F302" s="12"/>
    </row>
    <row r="303" ht="13.5" customHeight="1">
      <c r="E303" s="51"/>
      <c r="F303" s="12"/>
    </row>
    <row r="304" ht="13.5" customHeight="1">
      <c r="E304" s="51"/>
      <c r="F304" s="12"/>
    </row>
    <row r="305" ht="13.5" customHeight="1">
      <c r="E305" s="51"/>
      <c r="F305" s="12"/>
    </row>
    <row r="306" ht="13.5" customHeight="1">
      <c r="E306" s="51"/>
      <c r="F306" s="12"/>
    </row>
    <row r="307" ht="13.5" customHeight="1">
      <c r="E307" s="51"/>
      <c r="F307" s="12"/>
    </row>
    <row r="308" ht="13.5" customHeight="1">
      <c r="E308" s="51"/>
      <c r="F308" s="12"/>
    </row>
    <row r="309" ht="13.5" customHeight="1">
      <c r="E309" s="51"/>
      <c r="F309" s="12"/>
    </row>
    <row r="310" ht="13.5" customHeight="1">
      <c r="E310" s="51"/>
      <c r="F310" s="12"/>
    </row>
    <row r="311" ht="13.5" customHeight="1">
      <c r="E311" s="51"/>
      <c r="F311" s="12"/>
    </row>
    <row r="312" ht="13.5" customHeight="1">
      <c r="E312" s="51"/>
      <c r="F312" s="12"/>
    </row>
    <row r="313" ht="13.5" customHeight="1">
      <c r="E313" s="51"/>
      <c r="F313" s="12"/>
    </row>
    <row r="314" ht="13.5" customHeight="1">
      <c r="E314" s="51"/>
      <c r="F314" s="12"/>
    </row>
    <row r="315" ht="13.5" customHeight="1">
      <c r="E315" s="51"/>
      <c r="F315" s="12"/>
    </row>
    <row r="316" ht="13.5" customHeight="1">
      <c r="E316" s="51"/>
      <c r="F316" s="12"/>
    </row>
    <row r="317" ht="13.5" customHeight="1">
      <c r="E317" s="51"/>
      <c r="F317" s="12"/>
    </row>
    <row r="318" ht="13.5" customHeight="1">
      <c r="E318" s="51"/>
      <c r="F318" s="12"/>
    </row>
    <row r="319" ht="13.5" customHeight="1">
      <c r="E319" s="51"/>
      <c r="F319" s="12"/>
    </row>
    <row r="320" ht="13.5" customHeight="1">
      <c r="E320" s="51"/>
      <c r="F320" s="12"/>
    </row>
    <row r="321" ht="13.5" customHeight="1">
      <c r="E321" s="51"/>
      <c r="F321" s="12"/>
    </row>
    <row r="322" ht="13.5" customHeight="1">
      <c r="E322" s="51"/>
      <c r="F322" s="12"/>
    </row>
    <row r="323" ht="13.5" customHeight="1">
      <c r="E323" s="51"/>
      <c r="F323" s="12"/>
    </row>
    <row r="324" ht="13.5" customHeight="1">
      <c r="E324" s="51"/>
      <c r="F324" s="12"/>
    </row>
    <row r="325" ht="13.5" customHeight="1">
      <c r="E325" s="51"/>
      <c r="F325" s="12"/>
    </row>
    <row r="326" ht="13.5" customHeight="1">
      <c r="E326" s="51"/>
      <c r="F326" s="12"/>
    </row>
    <row r="327" ht="13.5" customHeight="1">
      <c r="E327" s="51"/>
      <c r="F327" s="12"/>
    </row>
    <row r="328" ht="13.5" customHeight="1">
      <c r="E328" s="51"/>
      <c r="F328" s="12"/>
    </row>
    <row r="329" ht="13.5" customHeight="1">
      <c r="E329" s="51"/>
      <c r="F329" s="12"/>
    </row>
    <row r="330" ht="13.5" customHeight="1">
      <c r="E330" s="51"/>
      <c r="F330" s="12"/>
    </row>
    <row r="331" ht="13.5" customHeight="1">
      <c r="E331" s="51"/>
      <c r="F331" s="12"/>
    </row>
    <row r="332" ht="13.5" customHeight="1">
      <c r="E332" s="51"/>
      <c r="F332" s="12"/>
    </row>
    <row r="333" ht="13.5" customHeight="1">
      <c r="E333" s="51"/>
      <c r="F333" s="12"/>
    </row>
    <row r="334" ht="13.5" customHeight="1">
      <c r="E334" s="51"/>
      <c r="F334" s="12"/>
    </row>
    <row r="335" ht="13.5" customHeight="1">
      <c r="E335" s="51"/>
      <c r="F335" s="12"/>
    </row>
    <row r="336" ht="13.5" customHeight="1">
      <c r="E336" s="51"/>
      <c r="F336" s="12"/>
    </row>
    <row r="337" ht="13.5" customHeight="1">
      <c r="E337" s="51"/>
      <c r="F337" s="12"/>
    </row>
    <row r="338" ht="13.5" customHeight="1">
      <c r="E338" s="51"/>
      <c r="F338" s="12"/>
    </row>
    <row r="339" ht="13.5" customHeight="1">
      <c r="E339" s="51"/>
      <c r="F339" s="12"/>
    </row>
    <row r="340" ht="13.5" customHeight="1">
      <c r="E340" s="51"/>
      <c r="F340" s="12"/>
    </row>
    <row r="341" ht="13.5" customHeight="1">
      <c r="E341" s="51"/>
      <c r="F341" s="12"/>
    </row>
    <row r="342" ht="13.5" customHeight="1">
      <c r="E342" s="51"/>
      <c r="F342" s="12"/>
    </row>
    <row r="343" ht="13.5" customHeight="1">
      <c r="E343" s="51"/>
      <c r="F343" s="12"/>
    </row>
    <row r="344" ht="13.5" customHeight="1">
      <c r="E344" s="51"/>
      <c r="F344" s="12"/>
    </row>
    <row r="345" ht="13.5" customHeight="1">
      <c r="E345" s="51"/>
      <c r="F345" s="12"/>
    </row>
    <row r="346" ht="13.5" customHeight="1">
      <c r="E346" s="51"/>
      <c r="F346" s="12"/>
    </row>
    <row r="347" ht="13.5" customHeight="1">
      <c r="E347" s="51"/>
      <c r="F347" s="12"/>
    </row>
    <row r="348" ht="13.5" customHeight="1">
      <c r="E348" s="51"/>
      <c r="F348" s="12"/>
    </row>
    <row r="349" ht="13.5" customHeight="1">
      <c r="E349" s="51"/>
      <c r="F349" s="12"/>
    </row>
    <row r="350" ht="13.5" customHeight="1">
      <c r="E350" s="51"/>
      <c r="F350" s="12"/>
    </row>
    <row r="351" ht="13.5" customHeight="1">
      <c r="E351" s="51"/>
      <c r="F351" s="12"/>
    </row>
    <row r="352" ht="13.5" customHeight="1">
      <c r="E352" s="51"/>
      <c r="F352" s="12"/>
    </row>
    <row r="353" ht="13.5" customHeight="1">
      <c r="E353" s="51"/>
      <c r="F353" s="12"/>
    </row>
    <row r="354" ht="13.5" customHeight="1">
      <c r="E354" s="51"/>
      <c r="F354" s="12"/>
    </row>
    <row r="355" ht="13.5" customHeight="1">
      <c r="E355" s="51"/>
      <c r="F355" s="12"/>
    </row>
    <row r="356" ht="13.5" customHeight="1">
      <c r="E356" s="51"/>
      <c r="F356" s="12"/>
    </row>
    <row r="357" ht="13.5" customHeight="1">
      <c r="E357" s="51"/>
      <c r="F357" s="12"/>
    </row>
    <row r="358" ht="13.5" customHeight="1">
      <c r="E358" s="51"/>
      <c r="F358" s="12"/>
    </row>
    <row r="359" ht="13.5" customHeight="1">
      <c r="E359" s="51"/>
      <c r="F359" s="12"/>
    </row>
    <row r="360" ht="13.5" customHeight="1">
      <c r="E360" s="51"/>
      <c r="F360" s="12"/>
    </row>
    <row r="361" ht="13.5" customHeight="1">
      <c r="E361" s="51"/>
      <c r="F361" s="12"/>
    </row>
    <row r="362" ht="13.5" customHeight="1">
      <c r="E362" s="51"/>
      <c r="F362" s="12"/>
    </row>
    <row r="363" ht="13.5" customHeight="1">
      <c r="E363" s="51"/>
      <c r="F363" s="12"/>
    </row>
    <row r="364" ht="13.5" customHeight="1">
      <c r="E364" s="51"/>
      <c r="F364" s="12"/>
    </row>
    <row r="365" ht="13.5" customHeight="1">
      <c r="E365" s="51"/>
      <c r="F365" s="12"/>
    </row>
    <row r="366" ht="13.5" customHeight="1">
      <c r="E366" s="51"/>
      <c r="F366" s="12"/>
    </row>
    <row r="367" ht="13.5" customHeight="1">
      <c r="E367" s="51"/>
      <c r="F367" s="12"/>
    </row>
    <row r="368" ht="13.5" customHeight="1">
      <c r="E368" s="51"/>
      <c r="F368" s="12"/>
    </row>
    <row r="369" ht="13.5" customHeight="1">
      <c r="E369" s="51"/>
      <c r="F369" s="12"/>
    </row>
    <row r="370" ht="13.5" customHeight="1">
      <c r="E370" s="51"/>
      <c r="F370" s="12"/>
    </row>
    <row r="371" ht="13.5" customHeight="1">
      <c r="E371" s="51"/>
      <c r="F371" s="12"/>
    </row>
    <row r="372" ht="13.5" customHeight="1">
      <c r="E372" s="51"/>
      <c r="F372" s="12"/>
    </row>
    <row r="373" ht="13.5" customHeight="1">
      <c r="E373" s="51"/>
      <c r="F373" s="12"/>
    </row>
    <row r="374" ht="13.5" customHeight="1">
      <c r="E374" s="51"/>
      <c r="F374" s="12"/>
    </row>
    <row r="375" ht="13.5" customHeight="1">
      <c r="E375" s="51"/>
      <c r="F375" s="12"/>
    </row>
    <row r="376" ht="13.5" customHeight="1">
      <c r="E376" s="51"/>
      <c r="F376" s="12"/>
    </row>
    <row r="377" ht="13.5" customHeight="1">
      <c r="E377" s="51"/>
      <c r="F377" s="12"/>
    </row>
    <row r="378" ht="13.5" customHeight="1">
      <c r="E378" s="51"/>
      <c r="F378" s="12"/>
    </row>
    <row r="379" ht="13.5" customHeight="1">
      <c r="E379" s="51"/>
      <c r="F379" s="12"/>
    </row>
    <row r="380" ht="13.5" customHeight="1">
      <c r="E380" s="51"/>
      <c r="F380" s="12"/>
    </row>
    <row r="381" ht="13.5" customHeight="1">
      <c r="E381" s="51"/>
      <c r="F381" s="12"/>
    </row>
    <row r="382" ht="13.5" customHeight="1">
      <c r="E382" s="51"/>
      <c r="F382" s="12"/>
    </row>
    <row r="383" ht="13.5" customHeight="1">
      <c r="E383" s="51"/>
      <c r="F383" s="12"/>
    </row>
    <row r="384" ht="13.5" customHeight="1">
      <c r="E384" s="51"/>
      <c r="F384" s="12"/>
    </row>
    <row r="385" ht="13.5" customHeight="1">
      <c r="E385" s="51"/>
      <c r="F385" s="12"/>
    </row>
    <row r="386" ht="13.5" customHeight="1">
      <c r="E386" s="51"/>
      <c r="F386" s="12"/>
    </row>
    <row r="387" ht="13.5" customHeight="1">
      <c r="E387" s="51"/>
      <c r="F387" s="12"/>
    </row>
    <row r="388" ht="13.5" customHeight="1">
      <c r="E388" s="51"/>
      <c r="F388" s="12"/>
    </row>
    <row r="389" ht="13.5" customHeight="1">
      <c r="E389" s="51"/>
      <c r="F389" s="12"/>
    </row>
    <row r="390" ht="13.5" customHeight="1">
      <c r="E390" s="51"/>
      <c r="F390" s="12"/>
    </row>
    <row r="391" ht="13.5" customHeight="1">
      <c r="E391" s="51"/>
      <c r="F391" s="12"/>
    </row>
    <row r="392" ht="13.5" customHeight="1">
      <c r="E392" s="51"/>
      <c r="F392" s="12"/>
    </row>
    <row r="393" ht="13.5" customHeight="1">
      <c r="E393" s="51"/>
      <c r="F393" s="12"/>
    </row>
    <row r="394" ht="13.5" customHeight="1">
      <c r="E394" s="51"/>
      <c r="F394" s="12"/>
    </row>
    <row r="395" ht="13.5" customHeight="1">
      <c r="E395" s="51"/>
      <c r="F395" s="12"/>
    </row>
    <row r="396" ht="13.5" customHeight="1">
      <c r="E396" s="51"/>
      <c r="F396" s="12"/>
    </row>
    <row r="397" ht="13.5" customHeight="1">
      <c r="E397" s="51"/>
      <c r="F397" s="12"/>
    </row>
    <row r="398" ht="13.5" customHeight="1">
      <c r="E398" s="51"/>
      <c r="F398" s="12"/>
    </row>
    <row r="399" ht="13.5" customHeight="1">
      <c r="E399" s="51"/>
      <c r="F399" s="12"/>
    </row>
    <row r="400" ht="13.5" customHeight="1">
      <c r="E400" s="51"/>
      <c r="F400" s="12"/>
    </row>
    <row r="401" ht="13.5" customHeight="1">
      <c r="E401" s="51"/>
      <c r="F401" s="12"/>
    </row>
    <row r="402" ht="13.5" customHeight="1">
      <c r="E402" s="51"/>
      <c r="F402" s="12"/>
    </row>
    <row r="403" ht="13.5" customHeight="1">
      <c r="E403" s="51"/>
      <c r="F403" s="12"/>
    </row>
    <row r="404" ht="13.5" customHeight="1">
      <c r="E404" s="51"/>
      <c r="F404" s="12"/>
    </row>
    <row r="405" ht="13.5" customHeight="1">
      <c r="E405" s="51"/>
      <c r="F405" s="12"/>
    </row>
    <row r="406" ht="13.5" customHeight="1">
      <c r="E406" s="51"/>
      <c r="F406" s="12"/>
    </row>
    <row r="407" ht="13.5" customHeight="1">
      <c r="E407" s="51"/>
      <c r="F407" s="12"/>
    </row>
    <row r="408" ht="13.5" customHeight="1">
      <c r="E408" s="51"/>
      <c r="F408" s="12"/>
    </row>
    <row r="409" ht="13.5" customHeight="1">
      <c r="E409" s="51"/>
      <c r="F409" s="12"/>
    </row>
    <row r="410" ht="13.5" customHeight="1">
      <c r="E410" s="51"/>
      <c r="F410" s="12"/>
    </row>
    <row r="411" ht="13.5" customHeight="1">
      <c r="E411" s="51"/>
      <c r="F411" s="12"/>
    </row>
    <row r="412" ht="13.5" customHeight="1">
      <c r="E412" s="51"/>
      <c r="F412" s="12"/>
    </row>
    <row r="413" ht="13.5" customHeight="1">
      <c r="E413" s="51"/>
      <c r="F413" s="12"/>
    </row>
    <row r="414" ht="13.5" customHeight="1">
      <c r="E414" s="51"/>
      <c r="F414" s="12"/>
    </row>
    <row r="415" ht="13.5" customHeight="1">
      <c r="E415" s="51"/>
      <c r="F415" s="12"/>
    </row>
    <row r="416" ht="13.5" customHeight="1">
      <c r="E416" s="51"/>
      <c r="F416" s="12"/>
    </row>
    <row r="417" ht="13.5" customHeight="1">
      <c r="E417" s="51"/>
      <c r="F417" s="12"/>
    </row>
    <row r="418" ht="13.5" customHeight="1">
      <c r="E418" s="51"/>
      <c r="F418" s="12"/>
    </row>
    <row r="419" ht="13.5" customHeight="1">
      <c r="E419" s="51"/>
      <c r="F419" s="12"/>
    </row>
    <row r="420" ht="13.5" customHeight="1">
      <c r="E420" s="51"/>
      <c r="F420" s="12"/>
    </row>
    <row r="421" ht="13.5" customHeight="1">
      <c r="E421" s="51"/>
      <c r="F421" s="12"/>
    </row>
    <row r="422" ht="13.5" customHeight="1">
      <c r="E422" s="51"/>
      <c r="F422" s="12"/>
    </row>
    <row r="423" ht="13.5" customHeight="1">
      <c r="E423" s="51"/>
      <c r="F423" s="12"/>
    </row>
    <row r="424" ht="13.5" customHeight="1">
      <c r="E424" s="51"/>
      <c r="F424" s="12"/>
    </row>
    <row r="425" ht="13.5" customHeight="1">
      <c r="E425" s="51"/>
      <c r="F425" s="12"/>
    </row>
    <row r="426" ht="13.5" customHeight="1">
      <c r="E426" s="51"/>
      <c r="F426" s="12"/>
    </row>
    <row r="427" ht="13.5" customHeight="1">
      <c r="E427" s="51"/>
      <c r="F427" s="12"/>
    </row>
    <row r="428" ht="13.5" customHeight="1">
      <c r="E428" s="51"/>
      <c r="F428" s="12"/>
    </row>
    <row r="429" ht="13.5" customHeight="1">
      <c r="E429" s="51"/>
      <c r="F429" s="12"/>
    </row>
    <row r="430" ht="13.5" customHeight="1">
      <c r="E430" s="51"/>
      <c r="F430" s="12"/>
    </row>
    <row r="431" ht="13.5" customHeight="1">
      <c r="E431" s="51"/>
      <c r="F431" s="12"/>
    </row>
    <row r="432" ht="13.5" customHeight="1">
      <c r="E432" s="51"/>
      <c r="F432" s="12"/>
    </row>
    <row r="433" ht="13.5" customHeight="1">
      <c r="E433" s="51"/>
      <c r="F433" s="12"/>
    </row>
    <row r="434" ht="13.5" customHeight="1">
      <c r="E434" s="51"/>
      <c r="F434" s="12"/>
    </row>
    <row r="435" ht="13.5" customHeight="1">
      <c r="E435" s="51"/>
      <c r="F435" s="12"/>
    </row>
    <row r="436" ht="13.5" customHeight="1">
      <c r="E436" s="51"/>
      <c r="F436" s="12"/>
    </row>
    <row r="437" ht="13.5" customHeight="1">
      <c r="E437" s="51"/>
      <c r="F437" s="12"/>
    </row>
    <row r="438" ht="13.5" customHeight="1">
      <c r="E438" s="51"/>
      <c r="F438" s="12"/>
    </row>
    <row r="439" ht="13.5" customHeight="1">
      <c r="E439" s="51"/>
      <c r="F439" s="12"/>
    </row>
    <row r="440" ht="13.5" customHeight="1">
      <c r="E440" s="51"/>
      <c r="F440" s="12"/>
    </row>
    <row r="441" ht="13.5" customHeight="1">
      <c r="E441" s="51"/>
      <c r="F441" s="12"/>
    </row>
    <row r="442" ht="13.5" customHeight="1">
      <c r="E442" s="51"/>
      <c r="F442" s="12"/>
    </row>
    <row r="443" ht="13.5" customHeight="1">
      <c r="E443" s="51"/>
      <c r="F443" s="12"/>
    </row>
    <row r="444" ht="13.5" customHeight="1">
      <c r="E444" s="51"/>
      <c r="F444" s="12"/>
    </row>
    <row r="445" ht="13.5" customHeight="1">
      <c r="E445" s="51"/>
      <c r="F445" s="12"/>
    </row>
    <row r="446" ht="13.5" customHeight="1">
      <c r="E446" s="51"/>
      <c r="F446" s="12"/>
    </row>
    <row r="447" ht="13.5" customHeight="1">
      <c r="E447" s="51"/>
      <c r="F447" s="12"/>
    </row>
    <row r="448" ht="13.5" customHeight="1">
      <c r="E448" s="51"/>
      <c r="F448" s="12"/>
    </row>
    <row r="449" ht="13.5" customHeight="1">
      <c r="E449" s="51"/>
      <c r="F449" s="12"/>
    </row>
    <row r="450" ht="13.5" customHeight="1">
      <c r="E450" s="51"/>
      <c r="F450" s="12"/>
    </row>
    <row r="451" ht="13.5" customHeight="1">
      <c r="E451" s="51"/>
      <c r="F451" s="12"/>
    </row>
    <row r="452" ht="13.5" customHeight="1">
      <c r="E452" s="51"/>
      <c r="F452" s="12"/>
    </row>
    <row r="453" ht="13.5" customHeight="1">
      <c r="E453" s="51"/>
      <c r="F453" s="12"/>
    </row>
    <row r="454" ht="13.5" customHeight="1">
      <c r="E454" s="51"/>
      <c r="F454" s="12"/>
    </row>
    <row r="455" ht="13.5" customHeight="1">
      <c r="E455" s="51"/>
      <c r="F455" s="12"/>
    </row>
    <row r="456" ht="13.5" customHeight="1">
      <c r="E456" s="51"/>
      <c r="F456" s="12"/>
    </row>
    <row r="457" ht="13.5" customHeight="1">
      <c r="E457" s="51"/>
      <c r="F457" s="12"/>
    </row>
    <row r="458" ht="13.5" customHeight="1">
      <c r="E458" s="51"/>
      <c r="F458" s="12"/>
    </row>
    <row r="459" ht="13.5" customHeight="1">
      <c r="E459" s="51"/>
      <c r="F459" s="12"/>
    </row>
    <row r="460" ht="13.5" customHeight="1">
      <c r="E460" s="51"/>
      <c r="F460" s="12"/>
    </row>
    <row r="461" ht="13.5" customHeight="1">
      <c r="E461" s="51"/>
      <c r="F461" s="12"/>
    </row>
    <row r="462" ht="13.5" customHeight="1">
      <c r="E462" s="51"/>
      <c r="F462" s="12"/>
    </row>
    <row r="463" ht="13.5" customHeight="1">
      <c r="E463" s="51"/>
      <c r="F463" s="12"/>
    </row>
    <row r="464" ht="13.5" customHeight="1">
      <c r="E464" s="51"/>
      <c r="F464" s="12"/>
    </row>
    <row r="465" ht="13.5" customHeight="1">
      <c r="E465" s="51"/>
      <c r="F465" s="12"/>
    </row>
    <row r="466" ht="13.5" customHeight="1">
      <c r="E466" s="51"/>
      <c r="F466" s="12"/>
    </row>
    <row r="467" ht="13.5" customHeight="1">
      <c r="E467" s="51"/>
      <c r="F467" s="12"/>
    </row>
    <row r="468" ht="13.5" customHeight="1">
      <c r="E468" s="51"/>
      <c r="F468" s="12"/>
    </row>
    <row r="469" ht="13.5" customHeight="1">
      <c r="E469" s="51"/>
      <c r="F469" s="12"/>
    </row>
    <row r="470" ht="13.5" customHeight="1">
      <c r="E470" s="51"/>
      <c r="F470" s="12"/>
    </row>
    <row r="471" ht="13.5" customHeight="1">
      <c r="E471" s="51"/>
      <c r="F471" s="12"/>
    </row>
    <row r="472" ht="13.5" customHeight="1">
      <c r="E472" s="51"/>
      <c r="F472" s="12"/>
    </row>
    <row r="473" ht="13.5" customHeight="1">
      <c r="E473" s="51"/>
      <c r="F473" s="12"/>
    </row>
    <row r="474" ht="13.5" customHeight="1">
      <c r="E474" s="51"/>
      <c r="F474" s="12"/>
    </row>
    <row r="475" ht="13.5" customHeight="1">
      <c r="E475" s="51"/>
      <c r="F475" s="12"/>
    </row>
    <row r="476" ht="13.5" customHeight="1">
      <c r="E476" s="51"/>
      <c r="F476" s="12"/>
    </row>
    <row r="477" ht="13.5" customHeight="1">
      <c r="E477" s="51"/>
      <c r="F477" s="12"/>
    </row>
    <row r="478" ht="13.5" customHeight="1">
      <c r="E478" s="51"/>
      <c r="F478" s="12"/>
    </row>
    <row r="479" ht="13.5" customHeight="1">
      <c r="E479" s="51"/>
      <c r="F479" s="12"/>
    </row>
    <row r="480" ht="13.5" customHeight="1">
      <c r="E480" s="51"/>
      <c r="F480" s="12"/>
    </row>
    <row r="481" ht="13.5" customHeight="1">
      <c r="E481" s="51"/>
      <c r="F481" s="12"/>
    </row>
    <row r="482" ht="13.5" customHeight="1">
      <c r="E482" s="51"/>
      <c r="F482" s="12"/>
    </row>
    <row r="483" ht="13.5" customHeight="1">
      <c r="E483" s="51"/>
      <c r="F483" s="12"/>
    </row>
    <row r="484" ht="13.5" customHeight="1">
      <c r="E484" s="51"/>
      <c r="F484" s="12"/>
    </row>
    <row r="485" ht="13.5" customHeight="1">
      <c r="E485" s="51"/>
      <c r="F485" s="12"/>
    </row>
    <row r="486" ht="13.5" customHeight="1">
      <c r="E486" s="51"/>
      <c r="F486" s="12"/>
    </row>
    <row r="487" ht="13.5" customHeight="1">
      <c r="E487" s="51"/>
      <c r="F487" s="12"/>
    </row>
    <row r="488" ht="13.5" customHeight="1">
      <c r="E488" s="51"/>
      <c r="F488" s="12"/>
    </row>
    <row r="489" ht="13.5" customHeight="1">
      <c r="E489" s="51"/>
      <c r="F489" s="12"/>
    </row>
    <row r="490" ht="13.5" customHeight="1">
      <c r="E490" s="51"/>
      <c r="F490" s="12"/>
    </row>
    <row r="491" ht="13.5" customHeight="1">
      <c r="E491" s="51"/>
      <c r="F491" s="12"/>
    </row>
    <row r="492" ht="13.5" customHeight="1">
      <c r="E492" s="51"/>
      <c r="F492" s="12"/>
    </row>
    <row r="493" ht="13.5" customHeight="1">
      <c r="E493" s="51"/>
      <c r="F493" s="12"/>
    </row>
    <row r="494" ht="13.5" customHeight="1">
      <c r="E494" s="51"/>
      <c r="F494" s="12"/>
    </row>
    <row r="495" ht="13.5" customHeight="1">
      <c r="E495" s="51"/>
      <c r="F495" s="12"/>
    </row>
    <row r="496" ht="13.5" customHeight="1">
      <c r="E496" s="51"/>
      <c r="F496" s="12"/>
    </row>
    <row r="497" ht="13.5" customHeight="1">
      <c r="E497" s="51"/>
      <c r="F497" s="12"/>
    </row>
    <row r="498" ht="13.5" customHeight="1">
      <c r="E498" s="51"/>
      <c r="F498" s="12"/>
    </row>
    <row r="499" ht="13.5" customHeight="1">
      <c r="E499" s="51"/>
      <c r="F499" s="12"/>
    </row>
    <row r="500" ht="13.5" customHeight="1">
      <c r="E500" s="51"/>
      <c r="F500" s="12"/>
    </row>
    <row r="501" ht="13.5" customHeight="1">
      <c r="E501" s="51"/>
      <c r="F501" s="12"/>
    </row>
    <row r="502" ht="13.5" customHeight="1">
      <c r="E502" s="51"/>
      <c r="F502" s="12"/>
    </row>
    <row r="503" ht="13.5" customHeight="1">
      <c r="E503" s="51"/>
      <c r="F503" s="12"/>
    </row>
    <row r="504" ht="13.5" customHeight="1">
      <c r="E504" s="51"/>
      <c r="F504" s="12"/>
    </row>
    <row r="505" ht="13.5" customHeight="1">
      <c r="E505" s="51"/>
      <c r="F505" s="12"/>
    </row>
    <row r="506" ht="13.5" customHeight="1">
      <c r="E506" s="51"/>
      <c r="F506" s="12"/>
    </row>
    <row r="507" ht="13.5" customHeight="1">
      <c r="E507" s="51"/>
      <c r="F507" s="12"/>
    </row>
    <row r="508" ht="13.5" customHeight="1">
      <c r="E508" s="51"/>
      <c r="F508" s="12"/>
    </row>
    <row r="509" ht="13.5" customHeight="1">
      <c r="E509" s="51"/>
      <c r="F509" s="12"/>
    </row>
    <row r="510" ht="13.5" customHeight="1">
      <c r="E510" s="51"/>
      <c r="F510" s="12"/>
    </row>
    <row r="511" ht="13.5" customHeight="1">
      <c r="E511" s="51"/>
      <c r="F511" s="12"/>
    </row>
    <row r="512" ht="13.5" customHeight="1">
      <c r="E512" s="51"/>
      <c r="F512" s="12"/>
    </row>
    <row r="513" ht="13.5" customHeight="1">
      <c r="E513" s="51"/>
      <c r="F513" s="12"/>
    </row>
    <row r="514" ht="13.5" customHeight="1">
      <c r="E514" s="51"/>
      <c r="F514" s="12"/>
    </row>
    <row r="515" ht="13.5" customHeight="1">
      <c r="E515" s="51"/>
      <c r="F515" s="12"/>
    </row>
    <row r="516" ht="13.5" customHeight="1">
      <c r="E516" s="51"/>
      <c r="F516" s="12"/>
    </row>
    <row r="517" ht="13.5" customHeight="1">
      <c r="E517" s="51"/>
      <c r="F517" s="12"/>
    </row>
    <row r="518" ht="13.5" customHeight="1">
      <c r="E518" s="51"/>
      <c r="F518" s="12"/>
    </row>
    <row r="519" ht="13.5" customHeight="1">
      <c r="E519" s="51"/>
      <c r="F519" s="12"/>
    </row>
    <row r="520" ht="13.5" customHeight="1">
      <c r="E520" s="51"/>
      <c r="F520" s="12"/>
    </row>
    <row r="521" ht="13.5" customHeight="1">
      <c r="E521" s="51"/>
      <c r="F521" s="12"/>
    </row>
    <row r="522" ht="13.5" customHeight="1">
      <c r="E522" s="51"/>
      <c r="F522" s="12"/>
    </row>
    <row r="523" ht="13.5" customHeight="1">
      <c r="E523" s="51"/>
      <c r="F523" s="12"/>
    </row>
    <row r="524" ht="13.5" customHeight="1">
      <c r="E524" s="51"/>
      <c r="F524" s="12"/>
    </row>
    <row r="525" ht="13.5" customHeight="1">
      <c r="E525" s="51"/>
      <c r="F525" s="12"/>
    </row>
    <row r="526" ht="13.5" customHeight="1">
      <c r="E526" s="51"/>
      <c r="F526" s="12"/>
    </row>
    <row r="527" ht="13.5" customHeight="1">
      <c r="E527" s="51"/>
      <c r="F527" s="12"/>
    </row>
    <row r="528" ht="13.5" customHeight="1">
      <c r="E528" s="51"/>
      <c r="F528" s="12"/>
    </row>
    <row r="529" ht="13.5" customHeight="1">
      <c r="E529" s="51"/>
      <c r="F529" s="12"/>
    </row>
    <row r="530" ht="13.5" customHeight="1">
      <c r="E530" s="51"/>
      <c r="F530" s="12"/>
    </row>
    <row r="531" ht="13.5" customHeight="1">
      <c r="E531" s="51"/>
      <c r="F531" s="12"/>
    </row>
    <row r="532" ht="13.5" customHeight="1">
      <c r="E532" s="51"/>
      <c r="F532" s="12"/>
    </row>
    <row r="533" ht="13.5" customHeight="1">
      <c r="E533" s="51"/>
      <c r="F533" s="12"/>
    </row>
    <row r="534" ht="13.5" customHeight="1">
      <c r="E534" s="51"/>
      <c r="F534" s="12"/>
    </row>
    <row r="535" ht="13.5" customHeight="1">
      <c r="E535" s="51"/>
      <c r="F535" s="12"/>
    </row>
    <row r="536" ht="13.5" customHeight="1">
      <c r="E536" s="51"/>
      <c r="F536" s="12"/>
    </row>
    <row r="537" ht="13.5" customHeight="1">
      <c r="E537" s="51"/>
      <c r="F537" s="12"/>
    </row>
    <row r="538" ht="13.5" customHeight="1">
      <c r="E538" s="51"/>
      <c r="F538" s="12"/>
    </row>
    <row r="539" ht="13.5" customHeight="1">
      <c r="E539" s="51"/>
      <c r="F539" s="12"/>
    </row>
    <row r="540" ht="13.5" customHeight="1">
      <c r="E540" s="51"/>
      <c r="F540" s="12"/>
    </row>
    <row r="541" ht="13.5" customHeight="1">
      <c r="E541" s="51"/>
      <c r="F541" s="12"/>
    </row>
    <row r="542" ht="13.5" customHeight="1">
      <c r="E542" s="51"/>
      <c r="F542" s="12"/>
    </row>
    <row r="543" ht="13.5" customHeight="1">
      <c r="E543" s="51"/>
      <c r="F543" s="12"/>
    </row>
    <row r="544" ht="13.5" customHeight="1">
      <c r="E544" s="51"/>
      <c r="F544" s="12"/>
    </row>
    <row r="545" ht="13.5" customHeight="1">
      <c r="E545" s="51"/>
      <c r="F545" s="12"/>
    </row>
    <row r="546" ht="13.5" customHeight="1">
      <c r="E546" s="51"/>
      <c r="F546" s="12"/>
    </row>
    <row r="547" ht="13.5" customHeight="1">
      <c r="E547" s="51"/>
      <c r="F547" s="12"/>
    </row>
    <row r="548" ht="13.5" customHeight="1">
      <c r="E548" s="51"/>
      <c r="F548" s="12"/>
    </row>
    <row r="549" ht="13.5" customHeight="1">
      <c r="E549" s="51"/>
      <c r="F549" s="12"/>
    </row>
    <row r="550" ht="13.5" customHeight="1">
      <c r="E550" s="51"/>
      <c r="F550" s="12"/>
    </row>
    <row r="551" ht="13.5" customHeight="1">
      <c r="E551" s="51"/>
      <c r="F551" s="12"/>
    </row>
    <row r="552" ht="13.5" customHeight="1">
      <c r="E552" s="51"/>
      <c r="F552" s="12"/>
    </row>
    <row r="553" ht="13.5" customHeight="1">
      <c r="E553" s="51"/>
      <c r="F553" s="12"/>
    </row>
    <row r="554" ht="13.5" customHeight="1">
      <c r="E554" s="51"/>
      <c r="F554" s="12"/>
    </row>
    <row r="555" ht="13.5" customHeight="1">
      <c r="E555" s="51"/>
      <c r="F555" s="12"/>
    </row>
    <row r="556" ht="13.5" customHeight="1">
      <c r="E556" s="51"/>
      <c r="F556" s="12"/>
    </row>
    <row r="557" ht="13.5" customHeight="1">
      <c r="E557" s="51"/>
      <c r="F557" s="12"/>
    </row>
    <row r="558" ht="13.5" customHeight="1">
      <c r="E558" s="51"/>
      <c r="F558" s="12"/>
    </row>
    <row r="559" ht="13.5" customHeight="1">
      <c r="E559" s="51"/>
      <c r="F559" s="12"/>
    </row>
    <row r="560" ht="13.5" customHeight="1">
      <c r="E560" s="51"/>
      <c r="F560" s="12"/>
    </row>
    <row r="561" ht="13.5" customHeight="1">
      <c r="E561" s="51"/>
      <c r="F561" s="12"/>
    </row>
    <row r="562" ht="13.5" customHeight="1">
      <c r="E562" s="51"/>
      <c r="F562" s="12"/>
    </row>
    <row r="563" ht="13.5" customHeight="1">
      <c r="E563" s="51"/>
      <c r="F563" s="12"/>
    </row>
    <row r="564" ht="13.5" customHeight="1">
      <c r="E564" s="51"/>
      <c r="F564" s="12"/>
    </row>
    <row r="565" ht="13.5" customHeight="1">
      <c r="E565" s="51"/>
      <c r="F565" s="12"/>
    </row>
    <row r="566" ht="13.5" customHeight="1">
      <c r="E566" s="51"/>
      <c r="F566" s="12"/>
    </row>
    <row r="567" ht="13.5" customHeight="1">
      <c r="E567" s="51"/>
      <c r="F567" s="12"/>
    </row>
    <row r="568" ht="13.5" customHeight="1">
      <c r="E568" s="51"/>
      <c r="F568" s="12"/>
    </row>
    <row r="569" ht="13.5" customHeight="1">
      <c r="E569" s="51"/>
      <c r="F569" s="12"/>
    </row>
    <row r="570" ht="13.5" customHeight="1">
      <c r="E570" s="51"/>
      <c r="F570" s="12"/>
    </row>
    <row r="571" ht="13.5" customHeight="1">
      <c r="E571" s="51"/>
      <c r="F571" s="12"/>
    </row>
    <row r="572" ht="13.5" customHeight="1">
      <c r="E572" s="51"/>
      <c r="F572" s="12"/>
    </row>
    <row r="573" ht="13.5" customHeight="1">
      <c r="E573" s="51"/>
      <c r="F573" s="12"/>
    </row>
    <row r="574" ht="13.5" customHeight="1">
      <c r="E574" s="51"/>
      <c r="F574" s="12"/>
    </row>
    <row r="575" ht="13.5" customHeight="1">
      <c r="E575" s="51"/>
      <c r="F575" s="12"/>
    </row>
    <row r="576" ht="13.5" customHeight="1">
      <c r="E576" s="51"/>
      <c r="F576" s="12"/>
    </row>
    <row r="577" ht="13.5" customHeight="1">
      <c r="E577" s="51"/>
      <c r="F577" s="12"/>
    </row>
    <row r="578" ht="13.5" customHeight="1">
      <c r="E578" s="51"/>
      <c r="F578" s="12"/>
    </row>
    <row r="579" ht="13.5" customHeight="1">
      <c r="E579" s="51"/>
      <c r="F579" s="12"/>
    </row>
    <row r="580" ht="13.5" customHeight="1">
      <c r="E580" s="51"/>
      <c r="F580" s="12"/>
    </row>
    <row r="581" ht="13.5" customHeight="1">
      <c r="E581" s="51"/>
      <c r="F581" s="12"/>
    </row>
    <row r="582" ht="13.5" customHeight="1">
      <c r="E582" s="51"/>
      <c r="F582" s="12"/>
    </row>
    <row r="583" ht="13.5" customHeight="1">
      <c r="E583" s="51"/>
      <c r="F583" s="12"/>
    </row>
    <row r="584" ht="13.5" customHeight="1">
      <c r="E584" s="51"/>
      <c r="F584" s="12"/>
    </row>
    <row r="585" ht="13.5" customHeight="1">
      <c r="E585" s="51"/>
      <c r="F585" s="12"/>
    </row>
    <row r="586" ht="13.5" customHeight="1">
      <c r="E586" s="51"/>
      <c r="F586" s="12"/>
    </row>
    <row r="587" ht="13.5" customHeight="1">
      <c r="E587" s="51"/>
      <c r="F587" s="12"/>
    </row>
    <row r="588" ht="13.5" customHeight="1">
      <c r="E588" s="51"/>
      <c r="F588" s="12"/>
    </row>
    <row r="589" ht="13.5" customHeight="1">
      <c r="E589" s="51"/>
      <c r="F589" s="12"/>
    </row>
    <row r="590" ht="13.5" customHeight="1">
      <c r="E590" s="51"/>
      <c r="F590" s="12"/>
    </row>
    <row r="591" ht="13.5" customHeight="1">
      <c r="E591" s="51"/>
      <c r="F591" s="12"/>
    </row>
    <row r="592" ht="13.5" customHeight="1">
      <c r="E592" s="51"/>
      <c r="F592" s="12"/>
    </row>
    <row r="593" ht="13.5" customHeight="1">
      <c r="E593" s="51"/>
      <c r="F593" s="12"/>
    </row>
    <row r="594" ht="13.5" customHeight="1">
      <c r="E594" s="51"/>
      <c r="F594" s="12"/>
    </row>
    <row r="595" ht="13.5" customHeight="1">
      <c r="E595" s="51"/>
      <c r="F595" s="12"/>
    </row>
    <row r="596" ht="13.5" customHeight="1">
      <c r="E596" s="51"/>
      <c r="F596" s="12"/>
    </row>
    <row r="597" ht="13.5" customHeight="1">
      <c r="E597" s="51"/>
      <c r="F597" s="12"/>
    </row>
    <row r="598" ht="13.5" customHeight="1">
      <c r="E598" s="51"/>
      <c r="F598" s="12"/>
    </row>
    <row r="599" ht="13.5" customHeight="1">
      <c r="E599" s="51"/>
      <c r="F599" s="12"/>
    </row>
    <row r="600" ht="13.5" customHeight="1">
      <c r="E600" s="51"/>
      <c r="F600" s="12"/>
    </row>
    <row r="601" ht="13.5" customHeight="1">
      <c r="E601" s="51"/>
      <c r="F601" s="12"/>
    </row>
    <row r="602" ht="13.5" customHeight="1">
      <c r="E602" s="51"/>
      <c r="F602" s="12"/>
    </row>
    <row r="603" ht="13.5" customHeight="1">
      <c r="E603" s="51"/>
      <c r="F603" s="12"/>
    </row>
    <row r="604" ht="13.5" customHeight="1">
      <c r="E604" s="51"/>
      <c r="F604" s="12"/>
    </row>
    <row r="605" ht="13.5" customHeight="1">
      <c r="E605" s="51"/>
      <c r="F605" s="12"/>
    </row>
    <row r="606" ht="13.5" customHeight="1">
      <c r="E606" s="51"/>
      <c r="F606" s="12"/>
    </row>
    <row r="607" ht="13.5" customHeight="1">
      <c r="E607" s="51"/>
      <c r="F607" s="12"/>
    </row>
    <row r="608" ht="13.5" customHeight="1">
      <c r="E608" s="51"/>
      <c r="F608" s="12"/>
    </row>
    <row r="609" ht="13.5" customHeight="1">
      <c r="E609" s="51"/>
      <c r="F609" s="12"/>
    </row>
    <row r="610" ht="13.5" customHeight="1">
      <c r="E610" s="51"/>
      <c r="F610" s="12"/>
    </row>
    <row r="611" ht="13.5" customHeight="1">
      <c r="E611" s="51"/>
      <c r="F611" s="12"/>
    </row>
    <row r="612" ht="13.5" customHeight="1">
      <c r="E612" s="51"/>
      <c r="F612" s="12"/>
    </row>
    <row r="613" ht="13.5" customHeight="1">
      <c r="E613" s="51"/>
      <c r="F613" s="12"/>
    </row>
    <row r="614" ht="13.5" customHeight="1">
      <c r="E614" s="51"/>
      <c r="F614" s="12"/>
    </row>
    <row r="615" ht="13.5" customHeight="1">
      <c r="E615" s="51"/>
      <c r="F615" s="12"/>
    </row>
    <row r="616" ht="13.5" customHeight="1">
      <c r="E616" s="51"/>
      <c r="F616" s="12"/>
    </row>
    <row r="617" ht="13.5" customHeight="1">
      <c r="E617" s="51"/>
      <c r="F617" s="12"/>
    </row>
    <row r="618" ht="13.5" customHeight="1">
      <c r="E618" s="51"/>
      <c r="F618" s="12"/>
    </row>
    <row r="619" ht="13.5" customHeight="1">
      <c r="E619" s="51"/>
      <c r="F619" s="12"/>
    </row>
    <row r="620" ht="13.5" customHeight="1">
      <c r="E620" s="51"/>
      <c r="F620" s="12"/>
    </row>
    <row r="621" ht="13.5" customHeight="1">
      <c r="E621" s="51"/>
      <c r="F621" s="12"/>
    </row>
    <row r="622" ht="13.5" customHeight="1">
      <c r="E622" s="51"/>
      <c r="F622" s="12"/>
    </row>
    <row r="623" ht="13.5" customHeight="1">
      <c r="E623" s="51"/>
      <c r="F623" s="12"/>
    </row>
    <row r="624" ht="13.5" customHeight="1">
      <c r="E624" s="51"/>
      <c r="F624" s="12"/>
    </row>
    <row r="625" ht="13.5" customHeight="1">
      <c r="E625" s="51"/>
      <c r="F625" s="12"/>
    </row>
    <row r="626" ht="13.5" customHeight="1">
      <c r="E626" s="51"/>
      <c r="F626" s="12"/>
    </row>
    <row r="627" ht="13.5" customHeight="1">
      <c r="E627" s="51"/>
      <c r="F627" s="12"/>
    </row>
    <row r="628" ht="13.5" customHeight="1">
      <c r="E628" s="51"/>
      <c r="F628" s="12"/>
    </row>
    <row r="629" ht="13.5" customHeight="1">
      <c r="E629" s="51"/>
      <c r="F629" s="12"/>
    </row>
    <row r="630" ht="13.5" customHeight="1">
      <c r="E630" s="51"/>
      <c r="F630" s="12"/>
    </row>
    <row r="631" ht="13.5" customHeight="1">
      <c r="E631" s="51"/>
      <c r="F631" s="12"/>
    </row>
    <row r="632" ht="13.5" customHeight="1">
      <c r="E632" s="51"/>
      <c r="F632" s="12"/>
    </row>
    <row r="633" ht="13.5" customHeight="1">
      <c r="E633" s="51"/>
      <c r="F633" s="12"/>
    </row>
    <row r="634" ht="13.5" customHeight="1">
      <c r="E634" s="51"/>
      <c r="F634" s="12"/>
    </row>
    <row r="635" ht="13.5" customHeight="1">
      <c r="E635" s="51"/>
      <c r="F635" s="12"/>
    </row>
    <row r="636" ht="13.5" customHeight="1">
      <c r="E636" s="51"/>
      <c r="F636" s="12"/>
    </row>
    <row r="637" ht="13.5" customHeight="1">
      <c r="E637" s="51"/>
      <c r="F637" s="12"/>
    </row>
    <row r="638" ht="13.5" customHeight="1">
      <c r="E638" s="51"/>
      <c r="F638" s="12"/>
    </row>
    <row r="639" ht="13.5" customHeight="1">
      <c r="E639" s="51"/>
      <c r="F639" s="12"/>
    </row>
    <row r="640" ht="13.5" customHeight="1">
      <c r="E640" s="51"/>
      <c r="F640" s="12"/>
    </row>
    <row r="641" ht="13.5" customHeight="1">
      <c r="E641" s="51"/>
      <c r="F641" s="12"/>
    </row>
    <row r="642" ht="13.5" customHeight="1">
      <c r="E642" s="51"/>
      <c r="F642" s="12"/>
    </row>
    <row r="643" ht="13.5" customHeight="1">
      <c r="E643" s="51"/>
      <c r="F643" s="12"/>
    </row>
    <row r="644" ht="13.5" customHeight="1">
      <c r="E644" s="51"/>
      <c r="F644" s="12"/>
    </row>
    <row r="645" ht="13.5" customHeight="1">
      <c r="E645" s="51"/>
      <c r="F645" s="12"/>
    </row>
    <row r="646" ht="13.5" customHeight="1">
      <c r="E646" s="51"/>
      <c r="F646" s="12"/>
    </row>
    <row r="647" ht="13.5" customHeight="1">
      <c r="E647" s="51"/>
      <c r="F647" s="12"/>
    </row>
    <row r="648" ht="13.5" customHeight="1">
      <c r="E648" s="51"/>
      <c r="F648" s="12"/>
    </row>
    <row r="649" ht="13.5" customHeight="1">
      <c r="E649" s="51"/>
      <c r="F649" s="12"/>
    </row>
    <row r="650" ht="13.5" customHeight="1">
      <c r="E650" s="51"/>
      <c r="F650" s="12"/>
    </row>
    <row r="651" ht="13.5" customHeight="1">
      <c r="E651" s="51"/>
      <c r="F651" s="12"/>
    </row>
    <row r="652" ht="13.5" customHeight="1">
      <c r="E652" s="51"/>
      <c r="F652" s="12"/>
    </row>
    <row r="653" ht="13.5" customHeight="1">
      <c r="E653" s="51"/>
      <c r="F653" s="12"/>
    </row>
    <row r="654" ht="13.5" customHeight="1">
      <c r="E654" s="51"/>
      <c r="F654" s="12"/>
    </row>
    <row r="655" ht="13.5" customHeight="1">
      <c r="E655" s="51"/>
      <c r="F655" s="12"/>
    </row>
    <row r="656" ht="13.5" customHeight="1">
      <c r="E656" s="51"/>
      <c r="F656" s="12"/>
    </row>
    <row r="657" ht="13.5" customHeight="1">
      <c r="E657" s="51"/>
      <c r="F657" s="12"/>
    </row>
    <row r="658" ht="13.5" customHeight="1">
      <c r="E658" s="51"/>
      <c r="F658" s="12"/>
    </row>
    <row r="659" ht="13.5" customHeight="1">
      <c r="E659" s="51"/>
      <c r="F659" s="12"/>
    </row>
    <row r="660" ht="13.5" customHeight="1">
      <c r="E660" s="51"/>
      <c r="F660" s="12"/>
    </row>
    <row r="661" ht="13.5" customHeight="1">
      <c r="E661" s="51"/>
      <c r="F661" s="12"/>
    </row>
    <row r="662" ht="13.5" customHeight="1">
      <c r="E662" s="51"/>
      <c r="F662" s="12"/>
    </row>
    <row r="663" ht="13.5" customHeight="1">
      <c r="E663" s="51"/>
      <c r="F663" s="12"/>
    </row>
    <row r="664" ht="13.5" customHeight="1">
      <c r="E664" s="51"/>
      <c r="F664" s="12"/>
    </row>
    <row r="665" ht="13.5" customHeight="1">
      <c r="E665" s="51"/>
      <c r="F665" s="12"/>
    </row>
    <row r="666" ht="13.5" customHeight="1">
      <c r="E666" s="51"/>
      <c r="F666" s="12"/>
    </row>
    <row r="667" ht="13.5" customHeight="1">
      <c r="E667" s="51"/>
      <c r="F667" s="12"/>
    </row>
    <row r="668" ht="13.5" customHeight="1">
      <c r="E668" s="51"/>
      <c r="F668" s="12"/>
    </row>
    <row r="669" ht="13.5" customHeight="1">
      <c r="E669" s="51"/>
      <c r="F669" s="12"/>
    </row>
    <row r="670" ht="13.5" customHeight="1">
      <c r="E670" s="51"/>
      <c r="F670" s="12"/>
    </row>
    <row r="671" ht="13.5" customHeight="1">
      <c r="E671" s="51"/>
      <c r="F671" s="12"/>
    </row>
    <row r="672" ht="13.5" customHeight="1">
      <c r="E672" s="51"/>
      <c r="F672" s="12"/>
    </row>
    <row r="673" ht="13.5" customHeight="1">
      <c r="E673" s="51"/>
      <c r="F673" s="12"/>
    </row>
    <row r="674" ht="13.5" customHeight="1">
      <c r="E674" s="51"/>
      <c r="F674" s="12"/>
    </row>
    <row r="675" ht="13.5" customHeight="1">
      <c r="E675" s="51"/>
      <c r="F675" s="12"/>
    </row>
    <row r="676" ht="13.5" customHeight="1">
      <c r="E676" s="51"/>
      <c r="F676" s="12"/>
    </row>
    <row r="677" ht="13.5" customHeight="1">
      <c r="E677" s="51"/>
      <c r="F677" s="12"/>
    </row>
    <row r="678" ht="13.5" customHeight="1">
      <c r="E678" s="51"/>
      <c r="F678" s="12"/>
    </row>
    <row r="679" ht="13.5" customHeight="1">
      <c r="E679" s="51"/>
      <c r="F679" s="12"/>
    </row>
    <row r="680" ht="13.5" customHeight="1">
      <c r="E680" s="51"/>
      <c r="F680" s="12"/>
    </row>
    <row r="681" ht="13.5" customHeight="1">
      <c r="E681" s="51"/>
      <c r="F681" s="12"/>
    </row>
    <row r="682" ht="13.5" customHeight="1">
      <c r="E682" s="51"/>
      <c r="F682" s="12"/>
    </row>
    <row r="683" ht="13.5" customHeight="1">
      <c r="E683" s="51"/>
      <c r="F683" s="12"/>
    </row>
    <row r="684" ht="13.5" customHeight="1">
      <c r="E684" s="51"/>
      <c r="F684" s="12"/>
    </row>
    <row r="685" ht="13.5" customHeight="1">
      <c r="E685" s="51"/>
      <c r="F685" s="12"/>
    </row>
    <row r="686" ht="13.5" customHeight="1">
      <c r="E686" s="51"/>
      <c r="F686" s="12"/>
    </row>
    <row r="687" ht="13.5" customHeight="1">
      <c r="E687" s="51"/>
      <c r="F687" s="12"/>
    </row>
    <row r="688" ht="13.5" customHeight="1">
      <c r="E688" s="51"/>
      <c r="F688" s="12"/>
    </row>
    <row r="689" ht="13.5" customHeight="1">
      <c r="E689" s="51"/>
      <c r="F689" s="12"/>
    </row>
    <row r="690" ht="13.5" customHeight="1">
      <c r="E690" s="51"/>
      <c r="F690" s="12"/>
    </row>
    <row r="691" ht="13.5" customHeight="1">
      <c r="E691" s="51"/>
      <c r="F691" s="12"/>
    </row>
    <row r="692" ht="13.5" customHeight="1">
      <c r="E692" s="51"/>
      <c r="F692" s="12"/>
    </row>
    <row r="693" ht="13.5" customHeight="1">
      <c r="E693" s="51"/>
      <c r="F693" s="12"/>
    </row>
    <row r="694" ht="13.5" customHeight="1">
      <c r="E694" s="51"/>
      <c r="F694" s="12"/>
    </row>
    <row r="695" ht="13.5" customHeight="1">
      <c r="E695" s="51"/>
      <c r="F695" s="12"/>
    </row>
    <row r="696" ht="13.5" customHeight="1">
      <c r="E696" s="51"/>
      <c r="F696" s="12"/>
    </row>
    <row r="697" ht="13.5" customHeight="1">
      <c r="E697" s="51"/>
      <c r="F697" s="12"/>
    </row>
    <row r="698" ht="13.5" customHeight="1">
      <c r="E698" s="51"/>
      <c r="F698" s="12"/>
    </row>
    <row r="699" ht="13.5" customHeight="1">
      <c r="E699" s="51"/>
      <c r="F699" s="12"/>
    </row>
    <row r="700" ht="13.5" customHeight="1">
      <c r="E700" s="51"/>
      <c r="F700" s="12"/>
    </row>
    <row r="701" ht="13.5" customHeight="1">
      <c r="E701" s="51"/>
      <c r="F701" s="12"/>
    </row>
    <row r="702" ht="13.5" customHeight="1">
      <c r="E702" s="51"/>
      <c r="F702" s="12"/>
    </row>
    <row r="703" ht="13.5" customHeight="1">
      <c r="E703" s="51"/>
      <c r="F703" s="12"/>
    </row>
    <row r="704" ht="13.5" customHeight="1">
      <c r="E704" s="51"/>
      <c r="F704" s="12"/>
    </row>
    <row r="705" ht="13.5" customHeight="1">
      <c r="E705" s="51"/>
      <c r="F705" s="12"/>
    </row>
    <row r="706" ht="13.5" customHeight="1">
      <c r="E706" s="51"/>
      <c r="F706" s="12"/>
    </row>
    <row r="707" ht="13.5" customHeight="1">
      <c r="E707" s="51"/>
      <c r="F707" s="12"/>
    </row>
    <row r="708" ht="13.5" customHeight="1">
      <c r="E708" s="51"/>
      <c r="F708" s="12"/>
    </row>
    <row r="709" ht="13.5" customHeight="1">
      <c r="E709" s="51"/>
      <c r="F709" s="12"/>
    </row>
    <row r="710" ht="13.5" customHeight="1">
      <c r="E710" s="51"/>
      <c r="F710" s="12"/>
    </row>
    <row r="711" ht="13.5" customHeight="1">
      <c r="E711" s="51"/>
      <c r="F711" s="12"/>
    </row>
    <row r="712" ht="13.5" customHeight="1">
      <c r="E712" s="51"/>
      <c r="F712" s="12"/>
    </row>
    <row r="713" ht="13.5" customHeight="1">
      <c r="E713" s="51"/>
      <c r="F713" s="12"/>
    </row>
    <row r="714" ht="13.5" customHeight="1">
      <c r="E714" s="51"/>
      <c r="F714" s="12"/>
    </row>
    <row r="715" ht="13.5" customHeight="1">
      <c r="E715" s="51"/>
      <c r="F715" s="12"/>
    </row>
    <row r="716" ht="13.5" customHeight="1">
      <c r="E716" s="51"/>
      <c r="F716" s="12"/>
    </row>
    <row r="717" ht="13.5" customHeight="1">
      <c r="E717" s="51"/>
      <c r="F717" s="12"/>
    </row>
    <row r="718" ht="13.5" customHeight="1">
      <c r="E718" s="51"/>
      <c r="F718" s="12"/>
    </row>
    <row r="719" ht="13.5" customHeight="1">
      <c r="E719" s="51"/>
      <c r="F719" s="12"/>
    </row>
    <row r="720" ht="13.5" customHeight="1">
      <c r="E720" s="51"/>
      <c r="F720" s="12"/>
    </row>
    <row r="721" ht="13.5" customHeight="1">
      <c r="E721" s="51"/>
      <c r="F721" s="12"/>
    </row>
    <row r="722" ht="13.5" customHeight="1">
      <c r="E722" s="51"/>
      <c r="F722" s="12"/>
    </row>
    <row r="723" ht="13.5" customHeight="1">
      <c r="E723" s="51"/>
      <c r="F723" s="12"/>
    </row>
    <row r="724" ht="13.5" customHeight="1">
      <c r="E724" s="51"/>
      <c r="F724" s="12"/>
    </row>
    <row r="725" ht="13.5" customHeight="1">
      <c r="E725" s="51"/>
      <c r="F725" s="12"/>
    </row>
    <row r="726" ht="13.5" customHeight="1">
      <c r="E726" s="51"/>
      <c r="F726" s="12"/>
    </row>
    <row r="727" ht="13.5" customHeight="1">
      <c r="E727" s="51"/>
      <c r="F727" s="12"/>
    </row>
    <row r="728" ht="13.5" customHeight="1">
      <c r="E728" s="51"/>
      <c r="F728" s="12"/>
    </row>
    <row r="729" ht="13.5" customHeight="1">
      <c r="E729" s="51"/>
      <c r="F729" s="12"/>
    </row>
    <row r="730" ht="13.5" customHeight="1">
      <c r="E730" s="51"/>
      <c r="F730" s="12"/>
    </row>
    <row r="731" ht="13.5" customHeight="1">
      <c r="E731" s="51"/>
      <c r="F731" s="12"/>
    </row>
    <row r="732" ht="13.5" customHeight="1">
      <c r="E732" s="51"/>
      <c r="F732" s="12"/>
    </row>
    <row r="733" ht="13.5" customHeight="1">
      <c r="E733" s="51"/>
      <c r="F733" s="12"/>
    </row>
    <row r="734" ht="13.5" customHeight="1">
      <c r="E734" s="51"/>
      <c r="F734" s="12"/>
    </row>
    <row r="735" ht="13.5" customHeight="1">
      <c r="E735" s="51"/>
      <c r="F735" s="12"/>
    </row>
    <row r="736" ht="13.5" customHeight="1">
      <c r="E736" s="51"/>
      <c r="F736" s="12"/>
    </row>
    <row r="737" ht="13.5" customHeight="1">
      <c r="E737" s="51"/>
      <c r="F737" s="12"/>
    </row>
    <row r="738" ht="13.5" customHeight="1">
      <c r="E738" s="51"/>
      <c r="F738" s="12"/>
    </row>
    <row r="739" ht="13.5" customHeight="1">
      <c r="E739" s="51"/>
      <c r="F739" s="12"/>
    </row>
    <row r="740" ht="13.5" customHeight="1">
      <c r="E740" s="51"/>
      <c r="F740" s="12"/>
    </row>
    <row r="741" ht="13.5" customHeight="1">
      <c r="E741" s="51"/>
      <c r="F741" s="12"/>
    </row>
    <row r="742" ht="13.5" customHeight="1">
      <c r="E742" s="51"/>
      <c r="F742" s="12"/>
    </row>
    <row r="743" ht="13.5" customHeight="1">
      <c r="E743" s="51"/>
      <c r="F743" s="12"/>
    </row>
    <row r="744" ht="13.5" customHeight="1">
      <c r="E744" s="51"/>
      <c r="F744" s="12"/>
    </row>
    <row r="745" ht="13.5" customHeight="1">
      <c r="E745" s="51"/>
      <c r="F745" s="12"/>
    </row>
    <row r="746" ht="13.5" customHeight="1">
      <c r="E746" s="51"/>
      <c r="F746" s="12"/>
    </row>
    <row r="747" ht="13.5" customHeight="1">
      <c r="E747" s="51"/>
      <c r="F747" s="12"/>
    </row>
    <row r="748" ht="13.5" customHeight="1">
      <c r="E748" s="51"/>
      <c r="F748" s="12"/>
    </row>
    <row r="749" ht="13.5" customHeight="1">
      <c r="E749" s="51"/>
      <c r="F749" s="12"/>
    </row>
    <row r="750" ht="13.5" customHeight="1">
      <c r="E750" s="51"/>
      <c r="F750" s="12"/>
    </row>
    <row r="751" ht="13.5" customHeight="1">
      <c r="E751" s="51"/>
      <c r="F751" s="12"/>
    </row>
    <row r="752" ht="13.5" customHeight="1">
      <c r="E752" s="51"/>
      <c r="F752" s="12"/>
    </row>
    <row r="753" ht="13.5" customHeight="1">
      <c r="E753" s="51"/>
      <c r="F753" s="12"/>
    </row>
    <row r="754" ht="13.5" customHeight="1">
      <c r="E754" s="51"/>
      <c r="F754" s="12"/>
    </row>
    <row r="755" ht="13.5" customHeight="1">
      <c r="E755" s="51"/>
      <c r="F755" s="12"/>
    </row>
    <row r="756" ht="13.5" customHeight="1">
      <c r="E756" s="51"/>
      <c r="F756" s="12"/>
    </row>
    <row r="757" ht="13.5" customHeight="1">
      <c r="E757" s="51"/>
      <c r="F757" s="12"/>
    </row>
    <row r="758" ht="13.5" customHeight="1">
      <c r="E758" s="51"/>
      <c r="F758" s="12"/>
    </row>
    <row r="759" ht="13.5" customHeight="1">
      <c r="E759" s="51"/>
      <c r="F759" s="12"/>
    </row>
    <row r="760" ht="13.5" customHeight="1">
      <c r="E760" s="51"/>
      <c r="F760" s="12"/>
    </row>
    <row r="761" ht="13.5" customHeight="1">
      <c r="E761" s="51"/>
      <c r="F761" s="12"/>
    </row>
    <row r="762" ht="13.5" customHeight="1">
      <c r="E762" s="51"/>
      <c r="F762" s="12"/>
    </row>
    <row r="763" ht="13.5" customHeight="1">
      <c r="E763" s="51"/>
      <c r="F763" s="12"/>
    </row>
    <row r="764" ht="13.5" customHeight="1">
      <c r="E764" s="51"/>
      <c r="F764" s="12"/>
    </row>
    <row r="765" ht="13.5" customHeight="1">
      <c r="E765" s="51"/>
      <c r="F765" s="12"/>
    </row>
    <row r="766" ht="13.5" customHeight="1">
      <c r="E766" s="51"/>
      <c r="F766" s="12"/>
    </row>
    <row r="767" ht="13.5" customHeight="1">
      <c r="E767" s="51"/>
      <c r="F767" s="12"/>
    </row>
    <row r="768" ht="13.5" customHeight="1">
      <c r="E768" s="51"/>
      <c r="F768" s="12"/>
    </row>
    <row r="769" ht="13.5" customHeight="1">
      <c r="E769" s="51"/>
      <c r="F769" s="12"/>
    </row>
    <row r="770" ht="13.5" customHeight="1">
      <c r="E770" s="51"/>
      <c r="F770" s="12"/>
    </row>
    <row r="771" ht="13.5" customHeight="1">
      <c r="E771" s="51"/>
      <c r="F771" s="12"/>
    </row>
    <row r="772" ht="13.5" customHeight="1">
      <c r="E772" s="51"/>
      <c r="F772" s="12"/>
    </row>
    <row r="773" ht="13.5" customHeight="1">
      <c r="E773" s="51"/>
      <c r="F773" s="12"/>
    </row>
    <row r="774" ht="13.5" customHeight="1">
      <c r="E774" s="51"/>
      <c r="F774" s="12"/>
    </row>
    <row r="775" ht="13.5" customHeight="1">
      <c r="E775" s="51"/>
      <c r="F775" s="12"/>
    </row>
    <row r="776" ht="13.5" customHeight="1">
      <c r="E776" s="51"/>
      <c r="F776" s="12"/>
    </row>
    <row r="777" ht="13.5" customHeight="1">
      <c r="E777" s="51"/>
      <c r="F777" s="12"/>
    </row>
    <row r="778" ht="13.5" customHeight="1">
      <c r="E778" s="51"/>
      <c r="F778" s="12"/>
    </row>
    <row r="779" ht="13.5" customHeight="1">
      <c r="E779" s="51"/>
      <c r="F779" s="12"/>
    </row>
    <row r="780" ht="13.5" customHeight="1">
      <c r="E780" s="51"/>
      <c r="F780" s="12"/>
    </row>
    <row r="781" ht="13.5" customHeight="1">
      <c r="E781" s="51"/>
      <c r="F781" s="12"/>
    </row>
    <row r="782" ht="13.5" customHeight="1">
      <c r="E782" s="51"/>
      <c r="F782" s="12"/>
    </row>
    <row r="783" ht="13.5" customHeight="1">
      <c r="E783" s="51"/>
      <c r="F783" s="12"/>
    </row>
    <row r="784" ht="13.5" customHeight="1">
      <c r="E784" s="51"/>
      <c r="F784" s="12"/>
    </row>
    <row r="785" ht="13.5" customHeight="1">
      <c r="E785" s="51"/>
      <c r="F785" s="12"/>
    </row>
    <row r="786" ht="13.5" customHeight="1">
      <c r="E786" s="51"/>
      <c r="F786" s="12"/>
    </row>
    <row r="787" ht="13.5" customHeight="1">
      <c r="E787" s="51"/>
      <c r="F787" s="12"/>
    </row>
    <row r="788" ht="13.5" customHeight="1">
      <c r="E788" s="51"/>
      <c r="F788" s="12"/>
    </row>
    <row r="789" ht="13.5" customHeight="1">
      <c r="E789" s="51"/>
      <c r="F789" s="12"/>
    </row>
    <row r="790" ht="13.5" customHeight="1">
      <c r="E790" s="51"/>
      <c r="F790" s="12"/>
    </row>
    <row r="791" ht="13.5" customHeight="1">
      <c r="E791" s="51"/>
      <c r="F791" s="12"/>
    </row>
    <row r="792" ht="13.5" customHeight="1">
      <c r="E792" s="51"/>
      <c r="F792" s="12"/>
    </row>
    <row r="793" ht="13.5" customHeight="1">
      <c r="E793" s="51"/>
      <c r="F793" s="12"/>
    </row>
    <row r="794" ht="13.5" customHeight="1">
      <c r="E794" s="51"/>
      <c r="F794" s="12"/>
    </row>
    <row r="795" ht="13.5" customHeight="1">
      <c r="E795" s="51"/>
      <c r="F795" s="12"/>
    </row>
    <row r="796" ht="13.5" customHeight="1">
      <c r="E796" s="51"/>
      <c r="F796" s="12"/>
    </row>
    <row r="797" ht="13.5" customHeight="1">
      <c r="E797" s="51"/>
      <c r="F797" s="12"/>
    </row>
    <row r="798" ht="13.5" customHeight="1">
      <c r="E798" s="51"/>
      <c r="F798" s="12"/>
    </row>
    <row r="799" ht="13.5" customHeight="1">
      <c r="E799" s="51"/>
      <c r="F799" s="12"/>
    </row>
    <row r="800" ht="13.5" customHeight="1">
      <c r="E800" s="51"/>
      <c r="F800" s="12"/>
    </row>
    <row r="801" ht="13.5" customHeight="1">
      <c r="E801" s="51"/>
      <c r="F801" s="12"/>
    </row>
    <row r="802" ht="13.5" customHeight="1">
      <c r="E802" s="51"/>
      <c r="F802" s="12"/>
    </row>
    <row r="803" ht="13.5" customHeight="1">
      <c r="E803" s="51"/>
      <c r="F803" s="12"/>
    </row>
    <row r="804" ht="13.5" customHeight="1">
      <c r="E804" s="51"/>
      <c r="F804" s="12"/>
    </row>
    <row r="805" ht="13.5" customHeight="1">
      <c r="E805" s="51"/>
      <c r="F805" s="12"/>
    </row>
    <row r="806" ht="13.5" customHeight="1">
      <c r="E806" s="51"/>
      <c r="F806" s="12"/>
    </row>
    <row r="807" ht="13.5" customHeight="1">
      <c r="E807" s="51"/>
      <c r="F807" s="12"/>
    </row>
    <row r="808" ht="13.5" customHeight="1">
      <c r="E808" s="51"/>
      <c r="F808" s="12"/>
    </row>
    <row r="809" ht="13.5" customHeight="1">
      <c r="E809" s="51"/>
      <c r="F809" s="12"/>
    </row>
    <row r="810" ht="13.5" customHeight="1">
      <c r="E810" s="51"/>
      <c r="F810" s="12"/>
    </row>
    <row r="811" ht="13.5" customHeight="1">
      <c r="E811" s="51"/>
      <c r="F811" s="12"/>
    </row>
    <row r="812" ht="13.5" customHeight="1">
      <c r="E812" s="51"/>
      <c r="F812" s="12"/>
    </row>
    <row r="813" ht="13.5" customHeight="1">
      <c r="E813" s="51"/>
      <c r="F813" s="12"/>
    </row>
    <row r="814" ht="13.5" customHeight="1">
      <c r="E814" s="51"/>
      <c r="F814" s="12"/>
    </row>
    <row r="815" ht="13.5" customHeight="1">
      <c r="E815" s="51"/>
      <c r="F815" s="12"/>
    </row>
    <row r="816" ht="13.5" customHeight="1">
      <c r="E816" s="51"/>
      <c r="F816" s="12"/>
    </row>
    <row r="817" ht="13.5" customHeight="1">
      <c r="E817" s="51"/>
      <c r="F817" s="12"/>
    </row>
    <row r="818" ht="13.5" customHeight="1">
      <c r="E818" s="51"/>
      <c r="F818" s="12"/>
    </row>
    <row r="819" ht="13.5" customHeight="1">
      <c r="E819" s="51"/>
      <c r="F819" s="12"/>
    </row>
    <row r="820" ht="13.5" customHeight="1">
      <c r="E820" s="51"/>
      <c r="F820" s="12"/>
    </row>
    <row r="821" ht="13.5" customHeight="1">
      <c r="E821" s="51"/>
      <c r="F821" s="12"/>
    </row>
    <row r="822" ht="13.5" customHeight="1">
      <c r="E822" s="51"/>
      <c r="F822" s="12"/>
    </row>
    <row r="823" ht="13.5" customHeight="1">
      <c r="E823" s="51"/>
      <c r="F823" s="12"/>
    </row>
    <row r="824" ht="13.5" customHeight="1">
      <c r="E824" s="51"/>
      <c r="F824" s="12"/>
    </row>
    <row r="825" ht="13.5" customHeight="1">
      <c r="E825" s="51"/>
      <c r="F825" s="12"/>
    </row>
    <row r="826" ht="13.5" customHeight="1">
      <c r="E826" s="51"/>
      <c r="F826" s="12"/>
    </row>
    <row r="827" ht="13.5" customHeight="1">
      <c r="E827" s="51"/>
      <c r="F827" s="12"/>
    </row>
    <row r="828" ht="13.5" customHeight="1">
      <c r="E828" s="51"/>
      <c r="F828" s="12"/>
    </row>
    <row r="829" ht="13.5" customHeight="1">
      <c r="E829" s="51"/>
      <c r="F829" s="12"/>
    </row>
    <row r="830" ht="13.5" customHeight="1">
      <c r="E830" s="51"/>
      <c r="F830" s="12"/>
    </row>
    <row r="831" ht="13.5" customHeight="1">
      <c r="E831" s="51"/>
      <c r="F831" s="12"/>
    </row>
    <row r="832" ht="13.5" customHeight="1">
      <c r="E832" s="51"/>
      <c r="F832" s="12"/>
    </row>
    <row r="833" ht="13.5" customHeight="1">
      <c r="E833" s="51"/>
      <c r="F833" s="12"/>
    </row>
    <row r="834" ht="13.5" customHeight="1">
      <c r="E834" s="51"/>
      <c r="F834" s="12"/>
    </row>
    <row r="835" ht="13.5" customHeight="1">
      <c r="E835" s="51"/>
      <c r="F835" s="12"/>
    </row>
    <row r="836" ht="13.5" customHeight="1">
      <c r="E836" s="51"/>
      <c r="F836" s="12"/>
    </row>
    <row r="837" ht="13.5" customHeight="1">
      <c r="E837" s="51"/>
      <c r="F837" s="12"/>
    </row>
    <row r="838" ht="13.5" customHeight="1">
      <c r="E838" s="51"/>
      <c r="F838" s="12"/>
    </row>
    <row r="839" ht="13.5" customHeight="1">
      <c r="E839" s="51"/>
      <c r="F839" s="12"/>
    </row>
    <row r="840" ht="13.5" customHeight="1">
      <c r="E840" s="51"/>
      <c r="F840" s="12"/>
    </row>
    <row r="841" ht="13.5" customHeight="1">
      <c r="E841" s="51"/>
      <c r="F841" s="12"/>
    </row>
    <row r="842" ht="13.5" customHeight="1">
      <c r="E842" s="51"/>
      <c r="F842" s="12"/>
    </row>
    <row r="843" ht="13.5" customHeight="1">
      <c r="E843" s="51"/>
      <c r="F843" s="12"/>
    </row>
    <row r="844" ht="13.5" customHeight="1">
      <c r="E844" s="51"/>
      <c r="F844" s="12"/>
    </row>
    <row r="845" ht="13.5" customHeight="1">
      <c r="E845" s="51"/>
      <c r="F845" s="12"/>
    </row>
    <row r="846" ht="13.5" customHeight="1">
      <c r="E846" s="51"/>
      <c r="F846" s="12"/>
    </row>
    <row r="847" ht="13.5" customHeight="1">
      <c r="E847" s="51"/>
      <c r="F847" s="12"/>
    </row>
    <row r="848" ht="13.5" customHeight="1">
      <c r="E848" s="51"/>
      <c r="F848" s="12"/>
    </row>
    <row r="849" ht="13.5" customHeight="1">
      <c r="E849" s="51"/>
      <c r="F849" s="12"/>
    </row>
    <row r="850" ht="13.5" customHeight="1">
      <c r="E850" s="51"/>
      <c r="F850" s="12"/>
    </row>
    <row r="851" ht="13.5" customHeight="1">
      <c r="E851" s="51"/>
      <c r="F851" s="12"/>
    </row>
    <row r="852" ht="13.5" customHeight="1">
      <c r="E852" s="51"/>
      <c r="F852" s="12"/>
    </row>
    <row r="853" ht="13.5" customHeight="1">
      <c r="E853" s="51"/>
      <c r="F853" s="12"/>
    </row>
    <row r="854" ht="13.5" customHeight="1">
      <c r="E854" s="51"/>
      <c r="F854" s="12"/>
    </row>
    <row r="855" ht="13.5" customHeight="1">
      <c r="E855" s="51"/>
      <c r="F855" s="12"/>
    </row>
    <row r="856" ht="13.5" customHeight="1">
      <c r="E856" s="51"/>
      <c r="F856" s="12"/>
    </row>
    <row r="857" ht="13.5" customHeight="1">
      <c r="E857" s="51"/>
      <c r="F857" s="12"/>
    </row>
    <row r="858" ht="13.5" customHeight="1">
      <c r="E858" s="51"/>
      <c r="F858" s="12"/>
    </row>
    <row r="859" ht="13.5" customHeight="1">
      <c r="E859" s="51"/>
      <c r="F859" s="12"/>
    </row>
    <row r="860" ht="13.5" customHeight="1">
      <c r="E860" s="51"/>
      <c r="F860" s="12"/>
    </row>
    <row r="861" ht="13.5" customHeight="1">
      <c r="E861" s="51"/>
      <c r="F861" s="12"/>
    </row>
    <row r="862" ht="13.5" customHeight="1">
      <c r="E862" s="51"/>
      <c r="F862" s="12"/>
    </row>
    <row r="863" ht="13.5" customHeight="1">
      <c r="E863" s="51"/>
      <c r="F863" s="12"/>
    </row>
    <row r="864" ht="13.5" customHeight="1">
      <c r="E864" s="51"/>
      <c r="F864" s="12"/>
    </row>
    <row r="865" ht="13.5" customHeight="1">
      <c r="E865" s="51"/>
      <c r="F865" s="12"/>
    </row>
    <row r="866" ht="13.5" customHeight="1">
      <c r="E866" s="51"/>
      <c r="F866" s="12"/>
    </row>
    <row r="867" ht="13.5" customHeight="1">
      <c r="E867" s="51"/>
      <c r="F867" s="12"/>
    </row>
    <row r="868" ht="13.5" customHeight="1">
      <c r="E868" s="51"/>
      <c r="F868" s="12"/>
    </row>
    <row r="869" ht="13.5" customHeight="1">
      <c r="E869" s="51"/>
      <c r="F869" s="12"/>
    </row>
    <row r="870" ht="13.5" customHeight="1">
      <c r="E870" s="51"/>
      <c r="F870" s="12"/>
    </row>
    <row r="871" ht="13.5" customHeight="1">
      <c r="E871" s="51"/>
      <c r="F871" s="12"/>
    </row>
    <row r="872" ht="13.5" customHeight="1">
      <c r="E872" s="51"/>
      <c r="F872" s="12"/>
    </row>
    <row r="873" ht="13.5" customHeight="1">
      <c r="E873" s="51"/>
      <c r="F873" s="12"/>
    </row>
    <row r="874" ht="13.5" customHeight="1">
      <c r="E874" s="51"/>
      <c r="F874" s="12"/>
    </row>
    <row r="875" ht="13.5" customHeight="1">
      <c r="E875" s="51"/>
      <c r="F875" s="12"/>
    </row>
    <row r="876" ht="13.5" customHeight="1">
      <c r="E876" s="51"/>
      <c r="F876" s="12"/>
    </row>
    <row r="877" ht="13.5" customHeight="1">
      <c r="E877" s="51"/>
      <c r="F877" s="12"/>
    </row>
    <row r="878" ht="13.5" customHeight="1">
      <c r="E878" s="51"/>
      <c r="F878" s="12"/>
    </row>
    <row r="879" ht="13.5" customHeight="1">
      <c r="E879" s="51"/>
      <c r="F879" s="12"/>
    </row>
    <row r="880" ht="13.5" customHeight="1">
      <c r="E880" s="51"/>
      <c r="F880" s="12"/>
    </row>
    <row r="881" ht="13.5" customHeight="1">
      <c r="E881" s="51"/>
      <c r="F881" s="12"/>
    </row>
    <row r="882" ht="13.5" customHeight="1">
      <c r="E882" s="51"/>
      <c r="F882" s="12"/>
    </row>
    <row r="883" ht="13.5" customHeight="1">
      <c r="E883" s="51"/>
      <c r="F883" s="12"/>
    </row>
    <row r="884" ht="13.5" customHeight="1">
      <c r="E884" s="51"/>
      <c r="F884" s="12"/>
    </row>
    <row r="885" ht="13.5" customHeight="1">
      <c r="E885" s="51"/>
      <c r="F885" s="12"/>
    </row>
    <row r="886" ht="13.5" customHeight="1">
      <c r="E886" s="51"/>
      <c r="F886" s="12"/>
    </row>
    <row r="887" ht="13.5" customHeight="1">
      <c r="E887" s="51"/>
      <c r="F887" s="12"/>
    </row>
    <row r="888" ht="13.5" customHeight="1">
      <c r="E888" s="51"/>
      <c r="F888" s="12"/>
    </row>
    <row r="889" ht="13.5" customHeight="1">
      <c r="E889" s="51"/>
      <c r="F889" s="12"/>
    </row>
    <row r="890" ht="13.5" customHeight="1">
      <c r="E890" s="51"/>
      <c r="F890" s="12"/>
    </row>
    <row r="891" ht="13.5" customHeight="1">
      <c r="E891" s="51"/>
      <c r="F891" s="12"/>
    </row>
    <row r="892" ht="13.5" customHeight="1">
      <c r="E892" s="51"/>
      <c r="F892" s="12"/>
    </row>
    <row r="893" ht="13.5" customHeight="1">
      <c r="E893" s="51"/>
      <c r="F893" s="12"/>
    </row>
    <row r="894" ht="13.5" customHeight="1">
      <c r="E894" s="51"/>
      <c r="F894" s="12"/>
    </row>
    <row r="895" ht="13.5" customHeight="1">
      <c r="E895" s="51"/>
      <c r="F895" s="12"/>
    </row>
    <row r="896" ht="13.5" customHeight="1">
      <c r="E896" s="51"/>
      <c r="F896" s="12"/>
    </row>
    <row r="897" ht="13.5" customHeight="1">
      <c r="E897" s="51"/>
      <c r="F897" s="12"/>
    </row>
    <row r="898" ht="13.5" customHeight="1">
      <c r="E898" s="51"/>
      <c r="F898" s="12"/>
    </row>
    <row r="899" ht="13.5" customHeight="1">
      <c r="E899" s="51"/>
      <c r="F899" s="12"/>
    </row>
    <row r="900" ht="13.5" customHeight="1">
      <c r="E900" s="51"/>
      <c r="F900" s="12"/>
    </row>
    <row r="901" ht="13.5" customHeight="1">
      <c r="E901" s="51"/>
      <c r="F901" s="12"/>
    </row>
    <row r="902" ht="13.5" customHeight="1">
      <c r="E902" s="51"/>
      <c r="F902" s="12"/>
    </row>
    <row r="903" ht="13.5" customHeight="1">
      <c r="E903" s="51"/>
      <c r="F903" s="12"/>
    </row>
    <row r="904" ht="13.5" customHeight="1">
      <c r="E904" s="51"/>
      <c r="F904" s="12"/>
    </row>
    <row r="905" ht="13.5" customHeight="1">
      <c r="E905" s="51"/>
      <c r="F905" s="12"/>
    </row>
    <row r="906" ht="13.5" customHeight="1">
      <c r="E906" s="51"/>
      <c r="F906" s="12"/>
    </row>
    <row r="907" ht="13.5" customHeight="1">
      <c r="E907" s="51"/>
      <c r="F907" s="12"/>
    </row>
    <row r="908" ht="13.5" customHeight="1">
      <c r="E908" s="51"/>
      <c r="F908" s="12"/>
    </row>
    <row r="909" ht="13.5" customHeight="1">
      <c r="E909" s="51"/>
      <c r="F909" s="12"/>
    </row>
    <row r="910" ht="13.5" customHeight="1">
      <c r="E910" s="51"/>
      <c r="F910" s="12"/>
    </row>
    <row r="911" ht="13.5" customHeight="1">
      <c r="E911" s="51"/>
      <c r="F911" s="12"/>
    </row>
    <row r="912" ht="13.5" customHeight="1">
      <c r="E912" s="51"/>
      <c r="F912" s="12"/>
    </row>
    <row r="913" ht="13.5" customHeight="1">
      <c r="E913" s="51"/>
      <c r="F913" s="12"/>
    </row>
    <row r="914" ht="13.5" customHeight="1">
      <c r="E914" s="51"/>
      <c r="F914" s="12"/>
    </row>
    <row r="915" ht="13.5" customHeight="1">
      <c r="E915" s="51"/>
      <c r="F915" s="12"/>
    </row>
    <row r="916" ht="13.5" customHeight="1">
      <c r="E916" s="51"/>
      <c r="F916" s="12"/>
    </row>
    <row r="917" ht="13.5" customHeight="1">
      <c r="E917" s="51"/>
      <c r="F917" s="12"/>
    </row>
    <row r="918" ht="13.5" customHeight="1">
      <c r="E918" s="51"/>
      <c r="F918" s="12"/>
    </row>
    <row r="919" ht="13.5" customHeight="1">
      <c r="E919" s="51"/>
      <c r="F919" s="12"/>
    </row>
    <row r="920" ht="13.5" customHeight="1">
      <c r="E920" s="51"/>
      <c r="F920" s="12"/>
    </row>
    <row r="921" ht="13.5" customHeight="1">
      <c r="E921" s="51"/>
      <c r="F921" s="12"/>
    </row>
    <row r="922" ht="13.5" customHeight="1">
      <c r="E922" s="51"/>
      <c r="F922" s="12"/>
    </row>
    <row r="923" ht="13.5" customHeight="1">
      <c r="E923" s="51"/>
      <c r="F923" s="12"/>
    </row>
    <row r="924" ht="13.5" customHeight="1">
      <c r="E924" s="51"/>
      <c r="F924" s="12"/>
    </row>
    <row r="925" ht="13.5" customHeight="1">
      <c r="E925" s="51"/>
      <c r="F925" s="12"/>
    </row>
    <row r="926" ht="13.5" customHeight="1">
      <c r="E926" s="51"/>
      <c r="F926" s="12"/>
    </row>
    <row r="927" ht="13.5" customHeight="1">
      <c r="E927" s="51"/>
      <c r="F927" s="12"/>
    </row>
    <row r="928" ht="13.5" customHeight="1">
      <c r="E928" s="51"/>
      <c r="F928" s="12"/>
    </row>
    <row r="929" ht="13.5" customHeight="1">
      <c r="E929" s="51"/>
      <c r="F929" s="12"/>
    </row>
    <row r="930" ht="13.5" customHeight="1">
      <c r="E930" s="51"/>
      <c r="F930" s="12"/>
    </row>
    <row r="931" ht="13.5" customHeight="1">
      <c r="E931" s="51"/>
      <c r="F931" s="12"/>
    </row>
    <row r="932" ht="13.5" customHeight="1">
      <c r="E932" s="51"/>
      <c r="F932" s="12"/>
    </row>
    <row r="933" ht="13.5" customHeight="1">
      <c r="E933" s="51"/>
      <c r="F933" s="12"/>
    </row>
    <row r="934" ht="13.5" customHeight="1">
      <c r="E934" s="51"/>
      <c r="F934" s="12"/>
    </row>
    <row r="935" ht="13.5" customHeight="1">
      <c r="E935" s="51"/>
      <c r="F935" s="12"/>
    </row>
    <row r="936" ht="13.5" customHeight="1">
      <c r="E936" s="51"/>
      <c r="F936" s="12"/>
    </row>
    <row r="937" ht="13.5" customHeight="1">
      <c r="E937" s="51"/>
      <c r="F937" s="12"/>
    </row>
    <row r="938" ht="13.5" customHeight="1">
      <c r="E938" s="51"/>
      <c r="F938" s="12"/>
    </row>
    <row r="939" ht="13.5" customHeight="1">
      <c r="E939" s="51"/>
      <c r="F939" s="12"/>
    </row>
    <row r="940" ht="13.5" customHeight="1">
      <c r="E940" s="51"/>
      <c r="F940" s="12"/>
    </row>
    <row r="941" ht="13.5" customHeight="1">
      <c r="E941" s="51"/>
      <c r="F941" s="12"/>
    </row>
    <row r="942" ht="13.5" customHeight="1">
      <c r="E942" s="51"/>
      <c r="F942" s="12"/>
    </row>
    <row r="943" ht="13.5" customHeight="1">
      <c r="E943" s="51"/>
      <c r="F943" s="12"/>
    </row>
    <row r="944" ht="13.5" customHeight="1">
      <c r="E944" s="51"/>
      <c r="F944" s="12"/>
    </row>
    <row r="945" ht="13.5" customHeight="1">
      <c r="E945" s="51"/>
      <c r="F945" s="12"/>
    </row>
    <row r="946" ht="13.5" customHeight="1">
      <c r="E946" s="51"/>
      <c r="F946" s="12"/>
    </row>
    <row r="947" ht="13.5" customHeight="1">
      <c r="E947" s="51"/>
      <c r="F947" s="12"/>
    </row>
    <row r="948" ht="13.5" customHeight="1">
      <c r="E948" s="51"/>
      <c r="F948" s="12"/>
    </row>
    <row r="949" ht="13.5" customHeight="1">
      <c r="E949" s="51"/>
      <c r="F949" s="12"/>
    </row>
    <row r="950" ht="13.5" customHeight="1">
      <c r="E950" s="51"/>
      <c r="F950" s="12"/>
    </row>
    <row r="951" ht="13.5" customHeight="1">
      <c r="E951" s="51"/>
      <c r="F951" s="12"/>
    </row>
    <row r="952" ht="13.5" customHeight="1">
      <c r="E952" s="51"/>
      <c r="F952" s="12"/>
    </row>
    <row r="953" ht="13.5" customHeight="1">
      <c r="E953" s="51"/>
      <c r="F953" s="12"/>
    </row>
    <row r="954" ht="13.5" customHeight="1">
      <c r="E954" s="51"/>
      <c r="F954" s="12"/>
    </row>
    <row r="955" ht="13.5" customHeight="1">
      <c r="E955" s="51"/>
      <c r="F955" s="12"/>
    </row>
    <row r="956" ht="13.5" customHeight="1">
      <c r="E956" s="51"/>
      <c r="F956" s="12"/>
    </row>
    <row r="957" ht="13.5" customHeight="1">
      <c r="E957" s="51"/>
      <c r="F957" s="12"/>
    </row>
    <row r="958" ht="13.5" customHeight="1">
      <c r="E958" s="51"/>
      <c r="F958" s="12"/>
    </row>
    <row r="959" ht="13.5" customHeight="1">
      <c r="E959" s="51"/>
      <c r="F959" s="12"/>
    </row>
    <row r="960" ht="13.5" customHeight="1">
      <c r="E960" s="51"/>
      <c r="F960" s="12"/>
    </row>
    <row r="961" ht="13.5" customHeight="1">
      <c r="E961" s="51"/>
      <c r="F961" s="12"/>
    </row>
    <row r="962" ht="13.5" customHeight="1">
      <c r="E962" s="51"/>
      <c r="F962" s="12"/>
    </row>
    <row r="963" ht="13.5" customHeight="1">
      <c r="E963" s="51"/>
      <c r="F963" s="12"/>
    </row>
    <row r="964" ht="13.5" customHeight="1">
      <c r="E964" s="51"/>
      <c r="F964" s="12"/>
    </row>
    <row r="965" ht="13.5" customHeight="1">
      <c r="E965" s="51"/>
      <c r="F965" s="12"/>
    </row>
    <row r="966" ht="13.5" customHeight="1">
      <c r="E966" s="51"/>
      <c r="F966" s="12"/>
    </row>
    <row r="967" ht="13.5" customHeight="1">
      <c r="E967" s="51"/>
      <c r="F967" s="12"/>
    </row>
    <row r="968" ht="13.5" customHeight="1">
      <c r="E968" s="51"/>
      <c r="F968" s="12"/>
    </row>
    <row r="969" ht="13.5" customHeight="1">
      <c r="E969" s="51"/>
      <c r="F969" s="12"/>
    </row>
    <row r="970" ht="13.5" customHeight="1">
      <c r="E970" s="51"/>
      <c r="F970" s="12"/>
    </row>
    <row r="971" ht="13.5" customHeight="1">
      <c r="E971" s="51"/>
      <c r="F971" s="12"/>
    </row>
    <row r="972" ht="13.5" customHeight="1">
      <c r="E972" s="51"/>
      <c r="F972" s="12"/>
    </row>
    <row r="973" ht="13.5" customHeight="1">
      <c r="E973" s="51"/>
      <c r="F973" s="12"/>
    </row>
    <row r="974" ht="13.5" customHeight="1">
      <c r="E974" s="51"/>
      <c r="F974" s="12"/>
    </row>
    <row r="975" ht="13.5" customHeight="1">
      <c r="E975" s="51"/>
      <c r="F975" s="12"/>
    </row>
    <row r="976" ht="13.5" customHeight="1">
      <c r="E976" s="51"/>
      <c r="F976" s="12"/>
    </row>
    <row r="977" ht="13.5" customHeight="1">
      <c r="E977" s="51"/>
      <c r="F977" s="12"/>
    </row>
    <row r="978" ht="13.5" customHeight="1">
      <c r="E978" s="51"/>
      <c r="F978" s="12"/>
    </row>
    <row r="979" ht="13.5" customHeight="1">
      <c r="E979" s="51"/>
      <c r="F979" s="12"/>
    </row>
    <row r="980" ht="13.5" customHeight="1">
      <c r="E980" s="51"/>
      <c r="F980" s="12"/>
    </row>
    <row r="981" ht="13.5" customHeight="1">
      <c r="E981" s="51"/>
      <c r="F981" s="12"/>
    </row>
    <row r="982" ht="13.5" customHeight="1">
      <c r="E982" s="51"/>
      <c r="F982" s="12"/>
    </row>
    <row r="983" ht="13.5" customHeight="1">
      <c r="E983" s="51"/>
      <c r="F983" s="12"/>
    </row>
    <row r="984" ht="13.5" customHeight="1">
      <c r="E984" s="51"/>
      <c r="F984" s="12"/>
    </row>
    <row r="985" ht="13.5" customHeight="1">
      <c r="E985" s="51"/>
      <c r="F985" s="12"/>
    </row>
    <row r="986" ht="13.5" customHeight="1">
      <c r="E986" s="51"/>
      <c r="F986" s="12"/>
    </row>
    <row r="987" ht="13.5" customHeight="1">
      <c r="E987" s="51"/>
      <c r="F987" s="12"/>
    </row>
    <row r="988" ht="13.5" customHeight="1">
      <c r="E988" s="51"/>
      <c r="F988" s="12"/>
    </row>
    <row r="989" ht="13.5" customHeight="1">
      <c r="E989" s="51"/>
      <c r="F989" s="12"/>
    </row>
    <row r="990" ht="13.5" customHeight="1">
      <c r="E990" s="51"/>
      <c r="F990" s="12"/>
    </row>
    <row r="991" ht="13.5" customHeight="1">
      <c r="E991" s="51"/>
      <c r="F991" s="12"/>
    </row>
    <row r="992" ht="13.5" customHeight="1">
      <c r="E992" s="51"/>
      <c r="F992" s="12"/>
    </row>
    <row r="993" ht="13.5" customHeight="1">
      <c r="E993" s="51"/>
      <c r="F993" s="12"/>
    </row>
    <row r="994" ht="13.5" customHeight="1">
      <c r="E994" s="51"/>
      <c r="F994" s="12"/>
    </row>
    <row r="995" ht="13.5" customHeight="1">
      <c r="E995" s="51"/>
      <c r="F995" s="12"/>
    </row>
    <row r="996" ht="13.5" customHeight="1">
      <c r="E996" s="51"/>
      <c r="F996" s="12"/>
    </row>
    <row r="997" ht="13.5" customHeight="1">
      <c r="E997" s="51"/>
      <c r="F997" s="12"/>
    </row>
    <row r="998" ht="13.5" customHeight="1">
      <c r="E998" s="51"/>
      <c r="F998" s="12"/>
    </row>
    <row r="999" ht="13.5" customHeight="1">
      <c r="E999" s="51"/>
      <c r="F999" s="12"/>
    </row>
    <row r="1000" ht="13.5" customHeight="1">
      <c r="E1000" s="51"/>
      <c r="F1000" s="12"/>
    </row>
  </sheetData>
  <autoFilter ref="$A$1:$H$14"/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5.13"/>
    <col customWidth="1" min="3" max="3" width="7.88"/>
    <col customWidth="1" min="4" max="4" width="14.88"/>
    <col customWidth="1" min="5" max="5" width="16.38"/>
    <col customWidth="1" min="6" max="6" width="12.75"/>
    <col customWidth="1" min="7" max="7" width="13.25"/>
    <col customWidth="1" min="8" max="8" width="38.75"/>
    <col customWidth="1" min="9" max="9" width="24.38"/>
    <col customWidth="1" min="10" max="10" width="31.88"/>
    <col customWidth="1" min="11" max="11" width="15.38"/>
    <col customWidth="1" min="12" max="12" width="20.38"/>
    <col customWidth="1" min="13" max="26" width="8.63"/>
  </cols>
  <sheetData>
    <row r="1" ht="13.5" customHeight="1">
      <c r="A1" s="110" t="s">
        <v>0</v>
      </c>
      <c r="B1" s="111" t="s">
        <v>1</v>
      </c>
      <c r="C1" s="111" t="s">
        <v>2</v>
      </c>
      <c r="D1" s="111" t="s">
        <v>82</v>
      </c>
      <c r="E1" s="112" t="s">
        <v>83</v>
      </c>
      <c r="F1" s="113" t="s">
        <v>84</v>
      </c>
      <c r="G1" s="111" t="s">
        <v>5</v>
      </c>
      <c r="H1" s="114" t="s">
        <v>6</v>
      </c>
      <c r="I1" s="115" t="s">
        <v>7</v>
      </c>
      <c r="J1" s="116" t="s">
        <v>54</v>
      </c>
    </row>
    <row r="2" ht="13.5" customHeight="1">
      <c r="A2" s="50">
        <v>1.0</v>
      </c>
      <c r="B2" s="50" t="s">
        <v>9</v>
      </c>
      <c r="C2" s="50">
        <v>2130870.0</v>
      </c>
      <c r="D2" s="117">
        <v>45541.0</v>
      </c>
      <c r="E2" s="51">
        <v>4735.85</v>
      </c>
      <c r="F2" s="50" t="s">
        <v>10</v>
      </c>
      <c r="G2" s="50" t="s">
        <v>19</v>
      </c>
      <c r="I2" s="118">
        <v>165219.0</v>
      </c>
      <c r="J2" s="119">
        <v>12746.179999999998</v>
      </c>
    </row>
    <row r="3" ht="13.5" customHeight="1">
      <c r="A3" s="50">
        <v>2.0</v>
      </c>
      <c r="B3" s="50" t="s">
        <v>9</v>
      </c>
      <c r="C3" s="50">
        <v>2130870.0</v>
      </c>
      <c r="D3" s="117">
        <v>45541.0</v>
      </c>
      <c r="E3" s="51">
        <v>18608.66</v>
      </c>
      <c r="F3" s="50" t="s">
        <v>49</v>
      </c>
      <c r="G3" s="50" t="s">
        <v>19</v>
      </c>
      <c r="I3" s="120">
        <v>165222.0</v>
      </c>
      <c r="J3" s="121">
        <v>92275.84000000001</v>
      </c>
    </row>
    <row r="4" ht="13.5" customHeight="1">
      <c r="A4" s="50">
        <v>3.0</v>
      </c>
      <c r="B4" s="50" t="s">
        <v>16</v>
      </c>
      <c r="C4" s="50">
        <v>2050612.0</v>
      </c>
      <c r="D4" s="117">
        <v>45541.0</v>
      </c>
      <c r="E4" s="51">
        <v>0.86</v>
      </c>
      <c r="G4" s="50" t="s">
        <v>19</v>
      </c>
      <c r="I4" s="122">
        <v>165223.0</v>
      </c>
      <c r="J4" s="123">
        <v>929701.6399999999</v>
      </c>
    </row>
    <row r="5" ht="13.5" customHeight="1">
      <c r="A5" s="50">
        <v>4.0</v>
      </c>
      <c r="B5" s="50" t="s">
        <v>9</v>
      </c>
      <c r="C5" s="50">
        <v>2060855.0</v>
      </c>
      <c r="D5" s="117">
        <v>45541.0</v>
      </c>
      <c r="E5" s="51">
        <v>1.0E7</v>
      </c>
      <c r="F5" s="50" t="s">
        <v>21</v>
      </c>
      <c r="G5" s="50" t="s">
        <v>19</v>
      </c>
      <c r="I5" s="124">
        <v>165226.0</v>
      </c>
      <c r="J5" s="125">
        <v>125.14</v>
      </c>
    </row>
    <row r="6" ht="13.5" customHeight="1">
      <c r="A6" s="50">
        <v>5.0</v>
      </c>
      <c r="B6" s="50" t="s">
        <v>16</v>
      </c>
      <c r="C6" s="50">
        <v>2050752.0</v>
      </c>
      <c r="D6" s="117">
        <v>45541.0</v>
      </c>
      <c r="E6" s="51">
        <v>775749.15</v>
      </c>
      <c r="G6" s="50" t="s">
        <v>19</v>
      </c>
      <c r="I6" s="126">
        <v>165229.0</v>
      </c>
      <c r="J6" s="127">
        <v>125.14</v>
      </c>
    </row>
    <row r="7" ht="13.5" customHeight="1">
      <c r="A7" s="50">
        <v>6.0</v>
      </c>
      <c r="B7" s="50" t="s">
        <v>16</v>
      </c>
      <c r="C7" s="50">
        <v>2050752.0</v>
      </c>
      <c r="D7" s="117">
        <v>45541.0</v>
      </c>
      <c r="E7" s="51">
        <v>113250.88</v>
      </c>
      <c r="G7" s="50" t="s">
        <v>19</v>
      </c>
      <c r="I7" s="128">
        <v>165231.0</v>
      </c>
      <c r="J7" s="129">
        <v>1512.82</v>
      </c>
    </row>
    <row r="8" ht="13.5" customHeight="1">
      <c r="A8" s="130">
        <v>7.0</v>
      </c>
      <c r="B8" s="130" t="s">
        <v>9</v>
      </c>
      <c r="C8" s="130">
        <v>2050900.0</v>
      </c>
      <c r="D8" s="131">
        <v>45541.0</v>
      </c>
      <c r="E8" s="132">
        <v>13044.79</v>
      </c>
      <c r="F8" s="130" t="s">
        <v>85</v>
      </c>
      <c r="G8" s="130" t="s">
        <v>19</v>
      </c>
      <c r="H8" s="130" t="s">
        <v>86</v>
      </c>
      <c r="I8" s="133">
        <v>165232.0</v>
      </c>
      <c r="J8" s="134">
        <v>130.27</v>
      </c>
    </row>
    <row r="9" ht="13.5" customHeight="1">
      <c r="A9" s="135">
        <v>8.0</v>
      </c>
      <c r="B9" s="135" t="s">
        <v>20</v>
      </c>
      <c r="C9" s="135">
        <v>1170470.0</v>
      </c>
      <c r="D9" s="136">
        <v>45541.0</v>
      </c>
      <c r="E9" s="137">
        <v>1880.0</v>
      </c>
      <c r="F9" s="135"/>
      <c r="G9" s="135" t="s">
        <v>19</v>
      </c>
      <c r="I9" s="138">
        <v>165245.0</v>
      </c>
      <c r="J9" s="139">
        <v>14.01</v>
      </c>
    </row>
    <row r="10" ht="13.5" customHeight="1">
      <c r="A10" s="135">
        <v>9.0</v>
      </c>
      <c r="B10" s="135" t="s">
        <v>20</v>
      </c>
      <c r="C10" s="135">
        <v>1170470.0</v>
      </c>
      <c r="D10" s="136">
        <v>45541.0</v>
      </c>
      <c r="E10" s="137">
        <v>1155.0</v>
      </c>
      <c r="F10" s="135"/>
      <c r="G10" s="135" t="s">
        <v>19</v>
      </c>
      <c r="I10" s="140">
        <v>165246.0</v>
      </c>
      <c r="J10" s="141">
        <v>13747.04</v>
      </c>
    </row>
    <row r="11" ht="13.5" customHeight="1">
      <c r="A11" s="135">
        <v>12.0</v>
      </c>
      <c r="B11" s="135" t="s">
        <v>20</v>
      </c>
      <c r="C11" s="135">
        <v>1170470.0</v>
      </c>
      <c r="D11" s="136">
        <v>45541.0</v>
      </c>
      <c r="E11" s="137">
        <v>1155.0</v>
      </c>
      <c r="F11" s="135"/>
      <c r="G11" s="135" t="s">
        <v>19</v>
      </c>
      <c r="I11" s="142">
        <v>165247.0</v>
      </c>
      <c r="J11" s="143">
        <v>567606.01</v>
      </c>
    </row>
    <row r="12" ht="13.5" customHeight="1">
      <c r="A12" s="144">
        <v>13.0</v>
      </c>
      <c r="B12" s="144" t="s">
        <v>20</v>
      </c>
      <c r="C12" s="144">
        <v>1040211.0</v>
      </c>
      <c r="D12" s="145">
        <v>45541.0</v>
      </c>
      <c r="E12" s="123">
        <v>565955.6</v>
      </c>
      <c r="F12" s="144"/>
      <c r="G12" s="144" t="s">
        <v>19</v>
      </c>
      <c r="H12" s="146"/>
      <c r="I12" s="147">
        <v>165249.0</v>
      </c>
      <c r="J12" s="148">
        <v>286.2</v>
      </c>
    </row>
    <row r="13" ht="13.5" customHeight="1">
      <c r="A13" s="149">
        <v>19.0</v>
      </c>
      <c r="B13" s="149" t="s">
        <v>20</v>
      </c>
      <c r="C13" s="149">
        <v>1200393.0</v>
      </c>
      <c r="D13" s="150">
        <v>45541.0</v>
      </c>
      <c r="E13" s="141">
        <v>13507.04</v>
      </c>
      <c r="F13" s="149"/>
      <c r="G13" s="149" t="s">
        <v>19</v>
      </c>
      <c r="I13" s="151">
        <v>165252.0</v>
      </c>
      <c r="J13" s="152">
        <v>812.25</v>
      </c>
    </row>
    <row r="14" ht="13.5" customHeight="1">
      <c r="A14" s="153">
        <v>20.0</v>
      </c>
      <c r="B14" s="153" t="s">
        <v>20</v>
      </c>
      <c r="C14" s="153">
        <v>1200393.0</v>
      </c>
      <c r="D14" s="154">
        <v>45541.0</v>
      </c>
      <c r="E14" s="155">
        <v>4101.64</v>
      </c>
      <c r="F14" s="153"/>
      <c r="G14" s="153" t="s">
        <v>19</v>
      </c>
      <c r="I14" s="156">
        <v>165262.0</v>
      </c>
      <c r="J14" s="155">
        <v>49583.749999999985</v>
      </c>
    </row>
    <row r="15" ht="13.5" customHeight="1">
      <c r="A15" s="153">
        <v>21.0</v>
      </c>
      <c r="B15" s="153" t="s">
        <v>20</v>
      </c>
      <c r="C15" s="153">
        <v>1040211.0</v>
      </c>
      <c r="D15" s="154">
        <v>45541.0</v>
      </c>
      <c r="E15" s="155">
        <v>45482.11</v>
      </c>
      <c r="F15" s="153"/>
      <c r="G15" s="153" t="s">
        <v>19</v>
      </c>
      <c r="I15" s="157">
        <v>165264.0</v>
      </c>
      <c r="J15" s="158">
        <v>233.52</v>
      </c>
    </row>
    <row r="16" ht="13.5" customHeight="1">
      <c r="A16" s="159">
        <v>22.0</v>
      </c>
      <c r="B16" s="159" t="s">
        <v>20</v>
      </c>
      <c r="C16" s="159">
        <v>1040211.0</v>
      </c>
      <c r="D16" s="160">
        <v>45541.0</v>
      </c>
      <c r="E16" s="143">
        <v>567606.01</v>
      </c>
      <c r="F16" s="159"/>
      <c r="G16" s="159" t="s">
        <v>19</v>
      </c>
      <c r="I16" s="161">
        <v>165265.0</v>
      </c>
      <c r="J16" s="162">
        <v>411924.4699999999</v>
      </c>
    </row>
    <row r="17" ht="13.5" customHeight="1">
      <c r="A17" s="163">
        <v>23.0</v>
      </c>
      <c r="B17" s="163" t="s">
        <v>20</v>
      </c>
      <c r="C17" s="163">
        <v>1040211.0</v>
      </c>
      <c r="D17" s="164">
        <v>45541.0</v>
      </c>
      <c r="E17" s="162">
        <v>411924.47</v>
      </c>
      <c r="F17" s="163"/>
      <c r="G17" s="163" t="s">
        <v>19</v>
      </c>
      <c r="I17" s="165">
        <v>165268.0</v>
      </c>
      <c r="J17" s="166">
        <v>763557.01</v>
      </c>
    </row>
    <row r="18" ht="13.5" customHeight="1">
      <c r="A18" s="167">
        <v>25.0</v>
      </c>
      <c r="B18" s="167" t="s">
        <v>20</v>
      </c>
      <c r="C18" s="167">
        <v>1200393.0</v>
      </c>
      <c r="D18" s="168">
        <v>45541.0</v>
      </c>
      <c r="E18" s="121">
        <v>9942.05</v>
      </c>
      <c r="F18" s="167"/>
      <c r="G18" s="167" t="s">
        <v>19</v>
      </c>
      <c r="I18" s="169" t="s">
        <v>87</v>
      </c>
      <c r="J18" s="137">
        <v>6070.0</v>
      </c>
    </row>
    <row r="19" ht="13.5" customHeight="1">
      <c r="A19" s="167">
        <v>26.0</v>
      </c>
      <c r="B19" s="167" t="s">
        <v>20</v>
      </c>
      <c r="C19" s="167">
        <v>1040211.0</v>
      </c>
      <c r="D19" s="168">
        <v>45541.0</v>
      </c>
      <c r="E19" s="121">
        <v>82333.79</v>
      </c>
      <c r="F19" s="167"/>
      <c r="G19" s="167" t="s">
        <v>19</v>
      </c>
      <c r="I19" s="170" t="s">
        <v>88</v>
      </c>
      <c r="J19" s="171">
        <v>29447.3</v>
      </c>
      <c r="K19" s="51"/>
    </row>
    <row r="20" ht="13.5" customHeight="1">
      <c r="A20" s="144">
        <v>27.0</v>
      </c>
      <c r="B20" s="144" t="s">
        <v>20</v>
      </c>
      <c r="C20" s="144">
        <v>1200393.0</v>
      </c>
      <c r="D20" s="145">
        <v>45541.0</v>
      </c>
      <c r="E20" s="123">
        <v>3492.49</v>
      </c>
      <c r="F20" s="144"/>
      <c r="G20" s="144" t="s">
        <v>19</v>
      </c>
      <c r="I20" s="172" t="s">
        <v>89</v>
      </c>
      <c r="J20" s="173">
        <v>4870.1</v>
      </c>
    </row>
    <row r="21" ht="13.5" customHeight="1">
      <c r="A21" s="144">
        <v>28.0</v>
      </c>
      <c r="B21" s="144" t="s">
        <v>20</v>
      </c>
      <c r="C21" s="144">
        <v>1200393.0</v>
      </c>
      <c r="D21" s="145">
        <v>45541.0</v>
      </c>
      <c r="E21" s="123">
        <v>360253.55</v>
      </c>
      <c r="F21" s="144"/>
      <c r="G21" s="144" t="s">
        <v>19</v>
      </c>
      <c r="I21" s="172" t="s">
        <v>90</v>
      </c>
      <c r="J21" s="173">
        <v>29447.3</v>
      </c>
    </row>
    <row r="22" ht="13.5" customHeight="1">
      <c r="A22" s="52">
        <v>30.0</v>
      </c>
      <c r="B22" s="52" t="s">
        <v>20</v>
      </c>
      <c r="C22" s="52">
        <v>1040211.0</v>
      </c>
      <c r="D22" s="174">
        <v>45541.0</v>
      </c>
      <c r="E22" s="119">
        <v>4336.27</v>
      </c>
      <c r="F22" s="52"/>
      <c r="G22" s="52" t="s">
        <v>19</v>
      </c>
      <c r="I22" s="175" t="s">
        <v>91</v>
      </c>
      <c r="J22" s="176">
        <v>76813.09</v>
      </c>
      <c r="K22" s="50" t="s">
        <v>92</v>
      </c>
    </row>
    <row r="23" ht="13.5" customHeight="1">
      <c r="A23" s="52">
        <v>31.0</v>
      </c>
      <c r="B23" s="52" t="s">
        <v>20</v>
      </c>
      <c r="C23" s="52">
        <v>1200393.0</v>
      </c>
      <c r="D23" s="174">
        <v>45541.0</v>
      </c>
      <c r="E23" s="119">
        <v>8409.91</v>
      </c>
      <c r="F23" s="52"/>
      <c r="G23" s="52" t="s">
        <v>19</v>
      </c>
      <c r="I23" s="146" t="s">
        <v>93</v>
      </c>
      <c r="J23" s="177">
        <v>3035121.91</v>
      </c>
    </row>
    <row r="24" ht="13.5" customHeight="1">
      <c r="A24" s="172">
        <v>32.0</v>
      </c>
      <c r="B24" s="172" t="s">
        <v>47</v>
      </c>
      <c r="C24" s="172">
        <v>1040352.0</v>
      </c>
      <c r="D24" s="178">
        <v>45541.0</v>
      </c>
      <c r="E24" s="173">
        <v>596.98</v>
      </c>
      <c r="F24" s="179" t="s">
        <v>94</v>
      </c>
      <c r="G24" s="172" t="s">
        <v>19</v>
      </c>
      <c r="H24" s="180" t="s">
        <v>95</v>
      </c>
      <c r="I24" s="172" t="s">
        <v>96</v>
      </c>
      <c r="J24" s="173">
        <v>765989.83</v>
      </c>
    </row>
    <row r="25" ht="13.5" customHeight="1">
      <c r="A25" s="172">
        <v>33.0</v>
      </c>
      <c r="B25" s="172" t="s">
        <v>47</v>
      </c>
      <c r="C25" s="172">
        <v>1040352.0</v>
      </c>
      <c r="D25" s="178">
        <v>45541.0</v>
      </c>
      <c r="E25" s="173">
        <v>986.43</v>
      </c>
      <c r="F25" s="179" t="s">
        <v>94</v>
      </c>
      <c r="G25" s="172" t="s">
        <v>19</v>
      </c>
      <c r="H25" s="180" t="s">
        <v>95</v>
      </c>
      <c r="I25" s="50" t="s">
        <v>97</v>
      </c>
      <c r="J25" s="51">
        <v>76813.09</v>
      </c>
      <c r="K25" s="50" t="s">
        <v>98</v>
      </c>
    </row>
    <row r="26" ht="13.5" customHeight="1">
      <c r="A26" s="172">
        <v>34.0</v>
      </c>
      <c r="B26" s="172" t="s">
        <v>47</v>
      </c>
      <c r="C26" s="172">
        <v>1040352.0</v>
      </c>
      <c r="D26" s="178">
        <v>45541.0</v>
      </c>
      <c r="E26" s="173">
        <v>870.32</v>
      </c>
      <c r="F26" s="179" t="s">
        <v>94</v>
      </c>
      <c r="G26" s="172" t="s">
        <v>19</v>
      </c>
      <c r="H26" s="180" t="s">
        <v>95</v>
      </c>
      <c r="J26" s="51"/>
    </row>
    <row r="27" ht="13.5" customHeight="1">
      <c r="A27" s="172">
        <v>35.0</v>
      </c>
      <c r="B27" s="172" t="s">
        <v>47</v>
      </c>
      <c r="C27" s="172">
        <v>1040352.0</v>
      </c>
      <c r="D27" s="178">
        <v>45541.0</v>
      </c>
      <c r="E27" s="173">
        <v>105.77</v>
      </c>
      <c r="F27" s="179" t="s">
        <v>94</v>
      </c>
      <c r="G27" s="172" t="s">
        <v>19</v>
      </c>
      <c r="H27" s="180" t="s">
        <v>95</v>
      </c>
      <c r="J27" s="51"/>
    </row>
    <row r="28" ht="13.5" customHeight="1">
      <c r="A28" s="172">
        <v>36.0</v>
      </c>
      <c r="B28" s="172" t="s">
        <v>47</v>
      </c>
      <c r="C28" s="172">
        <v>1040352.0</v>
      </c>
      <c r="D28" s="178">
        <v>45541.0</v>
      </c>
      <c r="E28" s="173">
        <v>689.85</v>
      </c>
      <c r="F28" s="179" t="s">
        <v>94</v>
      </c>
      <c r="G28" s="172" t="s">
        <v>19</v>
      </c>
      <c r="H28" s="180" t="s">
        <v>95</v>
      </c>
      <c r="J28" s="51"/>
    </row>
    <row r="29" ht="13.5" customHeight="1">
      <c r="A29" s="172">
        <v>37.0</v>
      </c>
      <c r="B29" s="172" t="s">
        <v>47</v>
      </c>
      <c r="C29" s="172">
        <v>1040352.0</v>
      </c>
      <c r="D29" s="178">
        <v>45541.0</v>
      </c>
      <c r="E29" s="173">
        <v>49.95</v>
      </c>
      <c r="F29" s="179" t="s">
        <v>94</v>
      </c>
      <c r="G29" s="172" t="s">
        <v>19</v>
      </c>
      <c r="H29" s="180" t="s">
        <v>95</v>
      </c>
      <c r="J29" s="51"/>
    </row>
    <row r="30" ht="13.5" customHeight="1">
      <c r="A30" s="172">
        <v>38.0</v>
      </c>
      <c r="B30" s="172" t="s">
        <v>47</v>
      </c>
      <c r="C30" s="172">
        <v>1040352.0</v>
      </c>
      <c r="D30" s="178">
        <v>45541.0</v>
      </c>
      <c r="E30" s="173">
        <v>104.13</v>
      </c>
      <c r="F30" s="179" t="s">
        <v>94</v>
      </c>
      <c r="G30" s="172" t="s">
        <v>19</v>
      </c>
      <c r="H30" s="180" t="s">
        <v>95</v>
      </c>
      <c r="J30" s="51"/>
    </row>
    <row r="31" ht="13.5" customHeight="1">
      <c r="A31" s="172">
        <v>39.0</v>
      </c>
      <c r="B31" s="172" t="s">
        <v>47</v>
      </c>
      <c r="C31" s="172">
        <v>1040352.0</v>
      </c>
      <c r="D31" s="178">
        <v>45541.0</v>
      </c>
      <c r="E31" s="173">
        <v>2345.4</v>
      </c>
      <c r="F31" s="179" t="s">
        <v>94</v>
      </c>
      <c r="G31" s="172" t="s">
        <v>19</v>
      </c>
      <c r="H31" s="180" t="s">
        <v>95</v>
      </c>
      <c r="J31" s="51"/>
    </row>
    <row r="32" ht="13.5" customHeight="1">
      <c r="A32" s="172">
        <v>40.0</v>
      </c>
      <c r="B32" s="172" t="s">
        <v>47</v>
      </c>
      <c r="C32" s="172">
        <v>1040352.0</v>
      </c>
      <c r="D32" s="178">
        <v>45541.0</v>
      </c>
      <c r="E32" s="173">
        <v>150.0</v>
      </c>
      <c r="F32" s="179" t="s">
        <v>94</v>
      </c>
      <c r="G32" s="172" t="s">
        <v>19</v>
      </c>
      <c r="H32" s="180" t="s">
        <v>95</v>
      </c>
      <c r="J32" s="51"/>
    </row>
    <row r="33" ht="13.5" customHeight="1">
      <c r="A33" s="172">
        <v>41.0</v>
      </c>
      <c r="B33" s="172" t="s">
        <v>47</v>
      </c>
      <c r="C33" s="172">
        <v>1040352.0</v>
      </c>
      <c r="D33" s="178">
        <v>45541.0</v>
      </c>
      <c r="E33" s="173">
        <v>1562.85</v>
      </c>
      <c r="F33" s="179" t="s">
        <v>94</v>
      </c>
      <c r="G33" s="172" t="s">
        <v>19</v>
      </c>
      <c r="H33" s="180" t="s">
        <v>95</v>
      </c>
      <c r="J33" s="51"/>
    </row>
    <row r="34" ht="13.5" customHeight="1">
      <c r="A34" s="172">
        <v>42.0</v>
      </c>
      <c r="B34" s="172" t="s">
        <v>47</v>
      </c>
      <c r="C34" s="172">
        <v>1040352.0</v>
      </c>
      <c r="D34" s="178">
        <v>45541.0</v>
      </c>
      <c r="E34" s="173">
        <v>49.95</v>
      </c>
      <c r="F34" s="179" t="s">
        <v>94</v>
      </c>
      <c r="G34" s="172" t="s">
        <v>19</v>
      </c>
      <c r="H34" s="180" t="s">
        <v>95</v>
      </c>
      <c r="J34" s="51"/>
    </row>
    <row r="35" ht="13.5" customHeight="1">
      <c r="A35" s="172">
        <v>43.0</v>
      </c>
      <c r="B35" s="172" t="s">
        <v>47</v>
      </c>
      <c r="C35" s="172">
        <v>1040352.0</v>
      </c>
      <c r="D35" s="178">
        <v>45541.0</v>
      </c>
      <c r="E35" s="173">
        <v>1280.72</v>
      </c>
      <c r="F35" s="179" t="s">
        <v>94</v>
      </c>
      <c r="G35" s="172" t="s">
        <v>19</v>
      </c>
      <c r="H35" s="180" t="s">
        <v>95</v>
      </c>
      <c r="J35" s="51"/>
    </row>
    <row r="36" ht="13.5" customHeight="1">
      <c r="A36" s="172">
        <v>44.0</v>
      </c>
      <c r="B36" s="172" t="s">
        <v>47</v>
      </c>
      <c r="C36" s="172">
        <v>1040352.0</v>
      </c>
      <c r="D36" s="178">
        <v>45541.0</v>
      </c>
      <c r="E36" s="173">
        <v>703.45</v>
      </c>
      <c r="F36" s="179" t="s">
        <v>94</v>
      </c>
      <c r="G36" s="172" t="s">
        <v>19</v>
      </c>
      <c r="H36" s="180" t="s">
        <v>95</v>
      </c>
      <c r="J36" s="51"/>
    </row>
    <row r="37" ht="13.5" customHeight="1">
      <c r="A37" s="172">
        <v>45.0</v>
      </c>
      <c r="B37" s="172" t="s">
        <v>47</v>
      </c>
      <c r="C37" s="172">
        <v>1040352.0</v>
      </c>
      <c r="D37" s="178">
        <v>45541.0</v>
      </c>
      <c r="E37" s="173">
        <v>810.29</v>
      </c>
      <c r="F37" s="179" t="s">
        <v>94</v>
      </c>
      <c r="G37" s="172" t="s">
        <v>19</v>
      </c>
      <c r="H37" s="180" t="s">
        <v>95</v>
      </c>
      <c r="J37" s="51"/>
    </row>
    <row r="38" ht="13.5" customHeight="1">
      <c r="A38" s="172">
        <v>46.0</v>
      </c>
      <c r="B38" s="172" t="s">
        <v>47</v>
      </c>
      <c r="C38" s="172">
        <v>1040352.0</v>
      </c>
      <c r="D38" s="178">
        <v>45541.0</v>
      </c>
      <c r="E38" s="173">
        <v>49.95</v>
      </c>
      <c r="F38" s="179" t="s">
        <v>94</v>
      </c>
      <c r="G38" s="172" t="s">
        <v>19</v>
      </c>
      <c r="H38" s="180" t="s">
        <v>95</v>
      </c>
      <c r="J38" s="51"/>
    </row>
    <row r="39" ht="13.5" customHeight="1">
      <c r="A39" s="172">
        <v>47.0</v>
      </c>
      <c r="B39" s="172" t="s">
        <v>47</v>
      </c>
      <c r="C39" s="172">
        <v>1040352.0</v>
      </c>
      <c r="D39" s="178">
        <v>45541.0</v>
      </c>
      <c r="E39" s="173">
        <v>49.95</v>
      </c>
      <c r="F39" s="179" t="s">
        <v>94</v>
      </c>
      <c r="G39" s="172" t="s">
        <v>19</v>
      </c>
      <c r="H39" s="180" t="s">
        <v>95</v>
      </c>
      <c r="J39" s="51"/>
    </row>
    <row r="40" ht="13.5" customHeight="1">
      <c r="A40" s="172">
        <v>48.0</v>
      </c>
      <c r="B40" s="172" t="s">
        <v>47</v>
      </c>
      <c r="C40" s="172">
        <v>1040352.0</v>
      </c>
      <c r="D40" s="178">
        <v>45541.0</v>
      </c>
      <c r="E40" s="173">
        <v>1445.75</v>
      </c>
      <c r="F40" s="179" t="s">
        <v>94</v>
      </c>
      <c r="G40" s="172" t="s">
        <v>19</v>
      </c>
      <c r="H40" s="180" t="s">
        <v>95</v>
      </c>
      <c r="J40" s="51"/>
    </row>
    <row r="41" ht="13.5" customHeight="1">
      <c r="A41" s="172">
        <v>49.0</v>
      </c>
      <c r="B41" s="172" t="s">
        <v>47</v>
      </c>
      <c r="C41" s="172">
        <v>1040352.0</v>
      </c>
      <c r="D41" s="178">
        <v>45541.0</v>
      </c>
      <c r="E41" s="173">
        <v>49.95</v>
      </c>
      <c r="F41" s="179" t="s">
        <v>94</v>
      </c>
      <c r="G41" s="172" t="s">
        <v>19</v>
      </c>
      <c r="H41" s="180" t="s">
        <v>95</v>
      </c>
      <c r="J41" s="51"/>
    </row>
    <row r="42" ht="13.5" customHeight="1">
      <c r="A42" s="172">
        <v>50.0</v>
      </c>
      <c r="B42" s="172" t="s">
        <v>47</v>
      </c>
      <c r="C42" s="172">
        <v>1040352.0</v>
      </c>
      <c r="D42" s="178">
        <v>45541.0</v>
      </c>
      <c r="E42" s="173">
        <v>12.4</v>
      </c>
      <c r="F42" s="179" t="s">
        <v>94</v>
      </c>
      <c r="G42" s="172" t="s">
        <v>19</v>
      </c>
      <c r="H42" s="180" t="s">
        <v>95</v>
      </c>
      <c r="J42" s="51"/>
    </row>
    <row r="43" ht="13.5" customHeight="1">
      <c r="A43" s="172">
        <v>51.0</v>
      </c>
      <c r="B43" s="172" t="s">
        <v>47</v>
      </c>
      <c r="C43" s="172">
        <v>1040352.0</v>
      </c>
      <c r="D43" s="178">
        <v>45541.0</v>
      </c>
      <c r="E43" s="173">
        <v>2269.68</v>
      </c>
      <c r="F43" s="179" t="s">
        <v>94</v>
      </c>
      <c r="G43" s="172" t="s">
        <v>19</v>
      </c>
      <c r="H43" s="180" t="s">
        <v>95</v>
      </c>
      <c r="J43" s="51"/>
    </row>
    <row r="44" ht="13.5" customHeight="1">
      <c r="A44" s="172">
        <v>52.0</v>
      </c>
      <c r="B44" s="172" t="s">
        <v>47</v>
      </c>
      <c r="C44" s="172">
        <v>1040352.0</v>
      </c>
      <c r="D44" s="178">
        <v>45541.0</v>
      </c>
      <c r="E44" s="173">
        <v>250.0</v>
      </c>
      <c r="F44" s="179" t="s">
        <v>94</v>
      </c>
      <c r="G44" s="172" t="s">
        <v>19</v>
      </c>
      <c r="H44" s="180" t="s">
        <v>95</v>
      </c>
      <c r="J44" s="51"/>
    </row>
    <row r="45" ht="13.5" customHeight="1">
      <c r="A45" s="172">
        <v>53.0</v>
      </c>
      <c r="B45" s="172" t="s">
        <v>47</v>
      </c>
      <c r="C45" s="172">
        <v>1040352.0</v>
      </c>
      <c r="D45" s="178">
        <v>45541.0</v>
      </c>
      <c r="E45" s="173">
        <v>284.51</v>
      </c>
      <c r="F45" s="179" t="s">
        <v>94</v>
      </c>
      <c r="G45" s="172" t="s">
        <v>19</v>
      </c>
      <c r="H45" s="180" t="s">
        <v>95</v>
      </c>
      <c r="J45" s="51"/>
    </row>
    <row r="46" ht="13.5" customHeight="1">
      <c r="A46" s="172">
        <v>54.0</v>
      </c>
      <c r="B46" s="172" t="s">
        <v>47</v>
      </c>
      <c r="C46" s="172">
        <v>1040352.0</v>
      </c>
      <c r="D46" s="178">
        <v>45541.0</v>
      </c>
      <c r="E46" s="173">
        <v>257.4</v>
      </c>
      <c r="F46" s="179" t="s">
        <v>94</v>
      </c>
      <c r="G46" s="172" t="s">
        <v>19</v>
      </c>
      <c r="H46" s="180" t="s">
        <v>95</v>
      </c>
      <c r="J46" s="51"/>
    </row>
    <row r="47" ht="13.5" customHeight="1">
      <c r="A47" s="172">
        <v>55.0</v>
      </c>
      <c r="B47" s="172" t="s">
        <v>47</v>
      </c>
      <c r="C47" s="172">
        <v>1040352.0</v>
      </c>
      <c r="D47" s="178">
        <v>45541.0</v>
      </c>
      <c r="E47" s="173">
        <v>1373.72</v>
      </c>
      <c r="F47" s="179" t="s">
        <v>94</v>
      </c>
      <c r="G47" s="172" t="s">
        <v>19</v>
      </c>
      <c r="H47" s="180" t="s">
        <v>95</v>
      </c>
      <c r="J47" s="51"/>
    </row>
    <row r="48" ht="13.5" customHeight="1">
      <c r="A48" s="172">
        <v>56.0</v>
      </c>
      <c r="B48" s="172" t="s">
        <v>47</v>
      </c>
      <c r="C48" s="172">
        <v>1040352.0</v>
      </c>
      <c r="D48" s="178">
        <v>45541.0</v>
      </c>
      <c r="E48" s="173">
        <v>49.95</v>
      </c>
      <c r="F48" s="179" t="s">
        <v>94</v>
      </c>
      <c r="G48" s="172" t="s">
        <v>19</v>
      </c>
      <c r="H48" s="180" t="s">
        <v>95</v>
      </c>
      <c r="J48" s="51"/>
    </row>
    <row r="49" ht="13.5" customHeight="1">
      <c r="A49" s="172">
        <v>57.0</v>
      </c>
      <c r="B49" s="172" t="s">
        <v>47</v>
      </c>
      <c r="C49" s="172">
        <v>1040352.0</v>
      </c>
      <c r="D49" s="178">
        <v>45541.0</v>
      </c>
      <c r="E49" s="173">
        <v>581.9</v>
      </c>
      <c r="F49" s="179" t="s">
        <v>94</v>
      </c>
      <c r="G49" s="172" t="s">
        <v>19</v>
      </c>
      <c r="H49" s="180" t="s">
        <v>95</v>
      </c>
      <c r="J49" s="51"/>
    </row>
    <row r="50" ht="13.5" customHeight="1">
      <c r="A50" s="172">
        <v>58.0</v>
      </c>
      <c r="B50" s="172" t="s">
        <v>47</v>
      </c>
      <c r="C50" s="172">
        <v>1040352.0</v>
      </c>
      <c r="D50" s="178">
        <v>45541.0</v>
      </c>
      <c r="E50" s="173">
        <v>49.95</v>
      </c>
      <c r="F50" s="179" t="s">
        <v>94</v>
      </c>
      <c r="G50" s="172" t="s">
        <v>19</v>
      </c>
      <c r="H50" s="180" t="s">
        <v>95</v>
      </c>
      <c r="J50" s="51"/>
    </row>
    <row r="51" ht="13.5" customHeight="1">
      <c r="A51" s="172">
        <v>59.0</v>
      </c>
      <c r="B51" s="172" t="s">
        <v>47</v>
      </c>
      <c r="C51" s="172">
        <v>1040352.0</v>
      </c>
      <c r="D51" s="178">
        <v>45541.0</v>
      </c>
      <c r="E51" s="173">
        <v>437.89</v>
      </c>
      <c r="F51" s="179" t="s">
        <v>94</v>
      </c>
      <c r="G51" s="172" t="s">
        <v>19</v>
      </c>
      <c r="H51" s="180" t="s">
        <v>95</v>
      </c>
      <c r="J51" s="51"/>
    </row>
    <row r="52" ht="13.5" customHeight="1">
      <c r="A52" s="172">
        <v>60.0</v>
      </c>
      <c r="B52" s="172" t="s">
        <v>47</v>
      </c>
      <c r="C52" s="172">
        <v>1040352.0</v>
      </c>
      <c r="D52" s="178">
        <v>45541.0</v>
      </c>
      <c r="E52" s="173">
        <v>49.95</v>
      </c>
      <c r="F52" s="179" t="s">
        <v>94</v>
      </c>
      <c r="G52" s="172" t="s">
        <v>19</v>
      </c>
      <c r="H52" s="180" t="s">
        <v>95</v>
      </c>
      <c r="J52" s="51"/>
    </row>
    <row r="53" ht="13.5" customHeight="1">
      <c r="A53" s="172">
        <v>61.0</v>
      </c>
      <c r="B53" s="172" t="s">
        <v>47</v>
      </c>
      <c r="C53" s="172">
        <v>1040352.0</v>
      </c>
      <c r="D53" s="178">
        <v>45541.0</v>
      </c>
      <c r="E53" s="173">
        <v>529.97</v>
      </c>
      <c r="F53" s="179" t="s">
        <v>94</v>
      </c>
      <c r="G53" s="172" t="s">
        <v>19</v>
      </c>
      <c r="H53" s="180" t="s">
        <v>95</v>
      </c>
      <c r="J53" s="51"/>
    </row>
    <row r="54" ht="13.5" customHeight="1">
      <c r="A54" s="172">
        <v>62.0</v>
      </c>
      <c r="B54" s="172" t="s">
        <v>47</v>
      </c>
      <c r="C54" s="172">
        <v>1040352.0</v>
      </c>
      <c r="D54" s="178">
        <v>45541.0</v>
      </c>
      <c r="E54" s="173">
        <v>49.95</v>
      </c>
      <c r="F54" s="179" t="s">
        <v>94</v>
      </c>
      <c r="G54" s="172" t="s">
        <v>19</v>
      </c>
      <c r="H54" s="180" t="s">
        <v>95</v>
      </c>
      <c r="J54" s="51"/>
    </row>
    <row r="55" ht="13.5" customHeight="1">
      <c r="A55" s="172">
        <v>63.0</v>
      </c>
      <c r="B55" s="172" t="s">
        <v>47</v>
      </c>
      <c r="C55" s="172">
        <v>1040352.0</v>
      </c>
      <c r="D55" s="178">
        <v>45541.0</v>
      </c>
      <c r="E55" s="173">
        <v>766.43</v>
      </c>
      <c r="F55" s="179" t="s">
        <v>94</v>
      </c>
      <c r="G55" s="172" t="s">
        <v>19</v>
      </c>
      <c r="H55" s="180" t="s">
        <v>95</v>
      </c>
      <c r="J55" s="51"/>
    </row>
    <row r="56" ht="13.5" customHeight="1">
      <c r="A56" s="172">
        <v>64.0</v>
      </c>
      <c r="B56" s="172" t="s">
        <v>47</v>
      </c>
      <c r="C56" s="172">
        <v>1040352.0</v>
      </c>
      <c r="D56" s="178">
        <v>45541.0</v>
      </c>
      <c r="E56" s="173">
        <v>49.95</v>
      </c>
      <c r="F56" s="179" t="s">
        <v>94</v>
      </c>
      <c r="G56" s="172" t="s">
        <v>19</v>
      </c>
      <c r="H56" s="180" t="s">
        <v>95</v>
      </c>
      <c r="J56" s="51"/>
    </row>
    <row r="57" ht="13.5" customHeight="1">
      <c r="A57" s="172">
        <v>65.0</v>
      </c>
      <c r="B57" s="172" t="s">
        <v>47</v>
      </c>
      <c r="C57" s="172">
        <v>1040352.0</v>
      </c>
      <c r="D57" s="178">
        <v>45541.0</v>
      </c>
      <c r="E57" s="173">
        <v>704.33</v>
      </c>
      <c r="F57" s="179" t="s">
        <v>94</v>
      </c>
      <c r="G57" s="172" t="s">
        <v>19</v>
      </c>
      <c r="H57" s="180" t="s">
        <v>95</v>
      </c>
      <c r="J57" s="51"/>
    </row>
    <row r="58" ht="13.5" customHeight="1">
      <c r="A58" s="172">
        <v>66.0</v>
      </c>
      <c r="B58" s="172" t="s">
        <v>47</v>
      </c>
      <c r="C58" s="172">
        <v>1040352.0</v>
      </c>
      <c r="D58" s="178">
        <v>45541.0</v>
      </c>
      <c r="E58" s="173">
        <v>1169.45</v>
      </c>
      <c r="F58" s="179" t="s">
        <v>94</v>
      </c>
      <c r="G58" s="172" t="s">
        <v>19</v>
      </c>
      <c r="H58" s="180" t="s">
        <v>95</v>
      </c>
      <c r="J58" s="51"/>
    </row>
    <row r="59" ht="13.5" customHeight="1">
      <c r="A59" s="172">
        <v>67.0</v>
      </c>
      <c r="B59" s="172" t="s">
        <v>47</v>
      </c>
      <c r="C59" s="172">
        <v>1040352.0</v>
      </c>
      <c r="D59" s="178">
        <v>45541.0</v>
      </c>
      <c r="E59" s="173">
        <v>49.95</v>
      </c>
      <c r="F59" s="179" t="s">
        <v>94</v>
      </c>
      <c r="G59" s="172" t="s">
        <v>19</v>
      </c>
      <c r="H59" s="180" t="s">
        <v>95</v>
      </c>
      <c r="J59" s="51"/>
    </row>
    <row r="60" ht="13.5" customHeight="1">
      <c r="A60" s="172">
        <v>68.0</v>
      </c>
      <c r="B60" s="172" t="s">
        <v>47</v>
      </c>
      <c r="C60" s="172">
        <v>1040352.0</v>
      </c>
      <c r="D60" s="178">
        <v>45541.0</v>
      </c>
      <c r="E60" s="173">
        <v>527.84</v>
      </c>
      <c r="F60" s="179" t="s">
        <v>94</v>
      </c>
      <c r="G60" s="172" t="s">
        <v>19</v>
      </c>
      <c r="H60" s="180" t="s">
        <v>95</v>
      </c>
      <c r="J60" s="51"/>
    </row>
    <row r="61" ht="13.5" customHeight="1">
      <c r="A61" s="172">
        <v>69.0</v>
      </c>
      <c r="B61" s="172" t="s">
        <v>47</v>
      </c>
      <c r="C61" s="172">
        <v>1040352.0</v>
      </c>
      <c r="D61" s="178">
        <v>45541.0</v>
      </c>
      <c r="E61" s="173">
        <v>875.73</v>
      </c>
      <c r="F61" s="179" t="s">
        <v>94</v>
      </c>
      <c r="G61" s="172" t="s">
        <v>19</v>
      </c>
      <c r="H61" s="180" t="s">
        <v>95</v>
      </c>
      <c r="J61" s="51"/>
    </row>
    <row r="62" ht="13.5" customHeight="1">
      <c r="A62" s="172">
        <v>70.0</v>
      </c>
      <c r="B62" s="172" t="s">
        <v>47</v>
      </c>
      <c r="C62" s="172">
        <v>1040352.0</v>
      </c>
      <c r="D62" s="178">
        <v>45541.0</v>
      </c>
      <c r="E62" s="173">
        <v>49.95</v>
      </c>
      <c r="F62" s="179" t="s">
        <v>94</v>
      </c>
      <c r="G62" s="172" t="s">
        <v>19</v>
      </c>
      <c r="H62" s="180" t="s">
        <v>95</v>
      </c>
      <c r="J62" s="51"/>
    </row>
    <row r="63" ht="13.5" customHeight="1">
      <c r="A63" s="172">
        <v>71.0</v>
      </c>
      <c r="B63" s="172" t="s">
        <v>47</v>
      </c>
      <c r="C63" s="172">
        <v>1040352.0</v>
      </c>
      <c r="D63" s="178">
        <v>45541.0</v>
      </c>
      <c r="E63" s="173">
        <v>49.95</v>
      </c>
      <c r="F63" s="179" t="s">
        <v>94</v>
      </c>
      <c r="G63" s="172" t="s">
        <v>19</v>
      </c>
      <c r="H63" s="180" t="s">
        <v>95</v>
      </c>
      <c r="J63" s="51"/>
    </row>
    <row r="64" ht="13.5" customHeight="1">
      <c r="A64" s="172">
        <v>72.0</v>
      </c>
      <c r="B64" s="172" t="s">
        <v>47</v>
      </c>
      <c r="C64" s="172">
        <v>1040352.0</v>
      </c>
      <c r="D64" s="178">
        <v>45541.0</v>
      </c>
      <c r="E64" s="173">
        <v>575.95</v>
      </c>
      <c r="F64" s="179" t="s">
        <v>94</v>
      </c>
      <c r="G64" s="172" t="s">
        <v>19</v>
      </c>
      <c r="H64" s="180" t="s">
        <v>95</v>
      </c>
      <c r="J64" s="51"/>
    </row>
    <row r="65" ht="13.5" customHeight="1">
      <c r="A65" s="172">
        <v>73.0</v>
      </c>
      <c r="B65" s="172" t="s">
        <v>47</v>
      </c>
      <c r="C65" s="172">
        <v>1040352.0</v>
      </c>
      <c r="D65" s="178">
        <v>45541.0</v>
      </c>
      <c r="E65" s="173">
        <v>1290.13</v>
      </c>
      <c r="F65" s="179" t="s">
        <v>94</v>
      </c>
      <c r="G65" s="172" t="s">
        <v>19</v>
      </c>
      <c r="H65" s="180" t="s">
        <v>95</v>
      </c>
      <c r="J65" s="51"/>
    </row>
    <row r="66" ht="13.5" customHeight="1">
      <c r="A66" s="172">
        <v>74.0</v>
      </c>
      <c r="B66" s="172" t="s">
        <v>47</v>
      </c>
      <c r="C66" s="172">
        <v>1040352.0</v>
      </c>
      <c r="D66" s="178">
        <v>45541.0</v>
      </c>
      <c r="E66" s="173">
        <v>49.95</v>
      </c>
      <c r="F66" s="179" t="s">
        <v>94</v>
      </c>
      <c r="G66" s="172" t="s">
        <v>19</v>
      </c>
      <c r="H66" s="180" t="s">
        <v>95</v>
      </c>
      <c r="J66" s="51"/>
    </row>
    <row r="67" ht="13.5" customHeight="1">
      <c r="A67" s="172">
        <v>75.0</v>
      </c>
      <c r="B67" s="172" t="s">
        <v>47</v>
      </c>
      <c r="C67" s="172">
        <v>1040352.0</v>
      </c>
      <c r="D67" s="178">
        <v>45541.0</v>
      </c>
      <c r="E67" s="173">
        <v>49.95</v>
      </c>
      <c r="F67" s="179" t="s">
        <v>94</v>
      </c>
      <c r="G67" s="172" t="s">
        <v>19</v>
      </c>
      <c r="H67" s="180" t="s">
        <v>95</v>
      </c>
      <c r="J67" s="51"/>
    </row>
    <row r="68" ht="13.5" customHeight="1">
      <c r="A68" s="172">
        <v>76.0</v>
      </c>
      <c r="B68" s="172" t="s">
        <v>47</v>
      </c>
      <c r="C68" s="172">
        <v>1040352.0</v>
      </c>
      <c r="D68" s="178">
        <v>45541.0</v>
      </c>
      <c r="E68" s="173">
        <v>130.16</v>
      </c>
      <c r="F68" s="179" t="s">
        <v>94</v>
      </c>
      <c r="G68" s="172" t="s">
        <v>19</v>
      </c>
      <c r="H68" s="180" t="s">
        <v>95</v>
      </c>
      <c r="J68" s="51"/>
      <c r="K68" s="51"/>
    </row>
    <row r="69" ht="13.5" customHeight="1">
      <c r="A69" s="172">
        <v>77.0</v>
      </c>
      <c r="B69" s="172" t="s">
        <v>47</v>
      </c>
      <c r="C69" s="172">
        <v>1040352.0</v>
      </c>
      <c r="D69" s="178">
        <v>45541.0</v>
      </c>
      <c r="E69" s="173">
        <v>150.57</v>
      </c>
      <c r="F69" s="179" t="s">
        <v>94</v>
      </c>
      <c r="G69" s="172" t="s">
        <v>19</v>
      </c>
      <c r="H69" s="180" t="s">
        <v>95</v>
      </c>
      <c r="J69" s="51"/>
    </row>
    <row r="70" ht="13.5" customHeight="1">
      <c r="A70" s="172">
        <v>78.0</v>
      </c>
      <c r="B70" s="172" t="s">
        <v>20</v>
      </c>
      <c r="C70" s="172">
        <v>1040221.0</v>
      </c>
      <c r="D70" s="178">
        <v>45541.0</v>
      </c>
      <c r="E70" s="173">
        <v>993417.44</v>
      </c>
      <c r="F70" s="179" t="s">
        <v>99</v>
      </c>
      <c r="G70" s="172" t="s">
        <v>19</v>
      </c>
      <c r="H70" s="180"/>
      <c r="I70" s="87" t="s">
        <v>52</v>
      </c>
      <c r="J70" s="87" t="s">
        <v>53</v>
      </c>
      <c r="K70" s="87" t="s">
        <v>54</v>
      </c>
      <c r="L70" s="87" t="s">
        <v>55</v>
      </c>
      <c r="M70" s="103"/>
    </row>
    <row r="71" ht="13.5" customHeight="1">
      <c r="A71" s="183">
        <v>86.0</v>
      </c>
      <c r="B71" s="183" t="s">
        <v>20</v>
      </c>
      <c r="C71" s="183">
        <v>1040109.0</v>
      </c>
      <c r="D71" s="184">
        <v>45541.0</v>
      </c>
      <c r="E71" s="125">
        <v>62.57</v>
      </c>
      <c r="F71" s="183"/>
      <c r="G71" s="183" t="s">
        <v>19</v>
      </c>
      <c r="I71" s="185" t="s">
        <v>60</v>
      </c>
      <c r="J71" s="186" t="s">
        <v>100</v>
      </c>
      <c r="K71" s="187">
        <v>28517.23</v>
      </c>
      <c r="L71" s="93" t="s">
        <v>19</v>
      </c>
      <c r="M71" s="103"/>
    </row>
    <row r="72" ht="13.5" customHeight="1">
      <c r="A72" s="183">
        <v>87.0</v>
      </c>
      <c r="B72" s="183" t="s">
        <v>20</v>
      </c>
      <c r="C72" s="183">
        <v>1040109.0</v>
      </c>
      <c r="D72" s="184">
        <v>45541.0</v>
      </c>
      <c r="E72" s="125">
        <v>62.57</v>
      </c>
      <c r="F72" s="183"/>
      <c r="G72" s="183" t="s">
        <v>19</v>
      </c>
      <c r="I72" s="185" t="s">
        <v>61</v>
      </c>
      <c r="J72" s="186" t="s">
        <v>100</v>
      </c>
      <c r="K72" s="187">
        <v>712883.35</v>
      </c>
      <c r="L72" s="93" t="s">
        <v>19</v>
      </c>
      <c r="M72" s="103"/>
    </row>
    <row r="73" ht="13.5" customHeight="1">
      <c r="A73" s="188">
        <v>88.0</v>
      </c>
      <c r="B73" s="188" t="s">
        <v>20</v>
      </c>
      <c r="C73" s="188">
        <v>1040109.0</v>
      </c>
      <c r="D73" s="189">
        <v>45541.0</v>
      </c>
      <c r="E73" s="158">
        <v>77.84</v>
      </c>
      <c r="F73" s="188"/>
      <c r="G73" s="188" t="s">
        <v>19</v>
      </c>
      <c r="I73" s="190" t="s">
        <v>101</v>
      </c>
      <c r="J73" s="191" t="s">
        <v>63</v>
      </c>
      <c r="K73" s="192">
        <v>29447.3</v>
      </c>
      <c r="L73" s="97" t="s">
        <v>19</v>
      </c>
      <c r="M73" s="103"/>
    </row>
    <row r="74" ht="13.5" customHeight="1">
      <c r="A74" s="188">
        <v>89.0</v>
      </c>
      <c r="B74" s="188" t="s">
        <v>20</v>
      </c>
      <c r="C74" s="188">
        <v>1040109.0</v>
      </c>
      <c r="D74" s="189">
        <v>45541.0</v>
      </c>
      <c r="E74" s="158">
        <v>77.84</v>
      </c>
      <c r="F74" s="188"/>
      <c r="G74" s="188" t="s">
        <v>19</v>
      </c>
      <c r="I74" s="193" t="s">
        <v>64</v>
      </c>
      <c r="J74" s="98" t="s">
        <v>65</v>
      </c>
      <c r="K74" s="194">
        <v>0.0</v>
      </c>
      <c r="L74" s="98" t="s">
        <v>102</v>
      </c>
      <c r="M74" s="95" t="s">
        <v>103</v>
      </c>
    </row>
    <row r="75" ht="13.5" customHeight="1">
      <c r="A75" s="135">
        <v>90.0</v>
      </c>
      <c r="B75" s="135" t="s">
        <v>20</v>
      </c>
      <c r="C75" s="135">
        <v>1200393.0</v>
      </c>
      <c r="D75" s="136">
        <v>45541.0</v>
      </c>
      <c r="E75" s="137">
        <v>1880.0</v>
      </c>
      <c r="F75" s="135"/>
      <c r="G75" s="135" t="s">
        <v>19</v>
      </c>
      <c r="I75" s="195" t="s">
        <v>66</v>
      </c>
      <c r="J75" s="196" t="s">
        <v>65</v>
      </c>
      <c r="K75" s="197">
        <v>0.0</v>
      </c>
      <c r="L75" s="99" t="s">
        <v>104</v>
      </c>
      <c r="M75" s="95" t="s">
        <v>67</v>
      </c>
    </row>
    <row r="76" ht="13.5" customHeight="1">
      <c r="A76" s="198">
        <v>93.0</v>
      </c>
      <c r="B76" s="198" t="s">
        <v>20</v>
      </c>
      <c r="C76" s="198">
        <v>1040375.0</v>
      </c>
      <c r="D76" s="199">
        <v>45541.0</v>
      </c>
      <c r="E76" s="139">
        <v>10.22</v>
      </c>
      <c r="F76" s="198"/>
      <c r="G76" s="198" t="s">
        <v>19</v>
      </c>
      <c r="I76" s="195" t="s">
        <v>68</v>
      </c>
      <c r="J76" s="196" t="s">
        <v>65</v>
      </c>
      <c r="K76" s="197">
        <v>97761.5</v>
      </c>
      <c r="L76" s="99" t="s">
        <v>19</v>
      </c>
      <c r="M76" s="95" t="s">
        <v>105</v>
      </c>
    </row>
    <row r="77" ht="13.5" customHeight="1">
      <c r="A77" s="198">
        <v>94.0</v>
      </c>
      <c r="B77" s="198" t="s">
        <v>20</v>
      </c>
      <c r="C77" s="198">
        <v>1040375.0</v>
      </c>
      <c r="D77" s="199">
        <v>45541.0</v>
      </c>
      <c r="E77" s="139">
        <v>3.79</v>
      </c>
      <c r="F77" s="198"/>
      <c r="G77" s="198" t="s">
        <v>19</v>
      </c>
      <c r="I77" s="195" t="s">
        <v>70</v>
      </c>
      <c r="J77" s="196" t="s">
        <v>65</v>
      </c>
      <c r="K77" s="197">
        <v>15149.68</v>
      </c>
      <c r="L77" s="99" t="s">
        <v>19</v>
      </c>
      <c r="M77" s="95" t="s">
        <v>71</v>
      </c>
    </row>
    <row r="78" ht="13.5" customHeight="1">
      <c r="A78" s="200">
        <v>95.0</v>
      </c>
      <c r="B78" s="200" t="s">
        <v>20</v>
      </c>
      <c r="C78" s="200">
        <v>1040375.0</v>
      </c>
      <c r="D78" s="201">
        <v>45541.0</v>
      </c>
      <c r="E78" s="129">
        <v>364.02</v>
      </c>
      <c r="F78" s="200"/>
      <c r="G78" s="200" t="s">
        <v>19</v>
      </c>
      <c r="I78" s="195" t="s">
        <v>106</v>
      </c>
      <c r="J78" s="196" t="s">
        <v>65</v>
      </c>
      <c r="K78" s="197">
        <v>27975.19</v>
      </c>
      <c r="L78" s="99" t="s">
        <v>19</v>
      </c>
      <c r="M78" s="95" t="s">
        <v>73</v>
      </c>
    </row>
    <row r="79" ht="13.5" customHeight="1">
      <c r="A79" s="200">
        <v>96.0</v>
      </c>
      <c r="B79" s="200" t="s">
        <v>20</v>
      </c>
      <c r="C79" s="200">
        <v>1040375.0</v>
      </c>
      <c r="D79" s="201">
        <v>45541.0</v>
      </c>
      <c r="E79" s="129">
        <v>364.02</v>
      </c>
      <c r="F79" s="200"/>
      <c r="G79" s="200" t="s">
        <v>19</v>
      </c>
      <c r="I79" s="193" t="s">
        <v>107</v>
      </c>
      <c r="J79" s="98" t="s">
        <v>65</v>
      </c>
      <c r="K79" s="194">
        <v>0.0</v>
      </c>
      <c r="L79" s="98" t="s">
        <v>108</v>
      </c>
    </row>
    <row r="80" ht="13.5" customHeight="1">
      <c r="A80" s="200">
        <v>97.0</v>
      </c>
      <c r="B80" s="200" t="s">
        <v>20</v>
      </c>
      <c r="C80" s="200">
        <v>1040375.0</v>
      </c>
      <c r="D80" s="201">
        <v>45541.0</v>
      </c>
      <c r="E80" s="129">
        <v>364.02</v>
      </c>
      <c r="F80" s="200"/>
      <c r="G80" s="200" t="s">
        <v>19</v>
      </c>
      <c r="I80" s="202" t="s">
        <v>74</v>
      </c>
      <c r="J80" s="203" t="s">
        <v>109</v>
      </c>
      <c r="K80" s="204">
        <v>76813.09</v>
      </c>
      <c r="L80" s="101" t="s">
        <v>19</v>
      </c>
    </row>
    <row r="81" ht="13.5" customHeight="1">
      <c r="A81" s="200">
        <v>98.0</v>
      </c>
      <c r="B81" s="200" t="s">
        <v>20</v>
      </c>
      <c r="C81" s="200">
        <v>1040375.0</v>
      </c>
      <c r="D81" s="201">
        <v>45541.0</v>
      </c>
      <c r="E81" s="129">
        <v>127.52</v>
      </c>
      <c r="F81" s="200"/>
      <c r="G81" s="200" t="s">
        <v>19</v>
      </c>
      <c r="I81" s="205" t="s">
        <v>76</v>
      </c>
      <c r="J81" s="102" t="s">
        <v>63</v>
      </c>
      <c r="K81" s="206">
        <v>4870.1</v>
      </c>
      <c r="L81" s="102" t="s">
        <v>11</v>
      </c>
      <c r="M81" s="103"/>
    </row>
    <row r="82" ht="13.5" customHeight="1">
      <c r="A82" s="200">
        <v>99.0</v>
      </c>
      <c r="B82" s="200" t="s">
        <v>20</v>
      </c>
      <c r="C82" s="200">
        <v>1040375.0</v>
      </c>
      <c r="D82" s="201">
        <v>45541.0</v>
      </c>
      <c r="E82" s="129">
        <v>52.33</v>
      </c>
      <c r="F82" s="200"/>
      <c r="G82" s="200" t="s">
        <v>19</v>
      </c>
      <c r="I82" s="85" t="s">
        <v>77</v>
      </c>
      <c r="J82" s="85"/>
      <c r="K82" s="207">
        <f>SUM(K71:K81)</f>
        <v>993417.44</v>
      </c>
      <c r="L82" s="92"/>
      <c r="M82" s="103"/>
    </row>
    <row r="83" ht="13.5" customHeight="1">
      <c r="A83" s="200">
        <v>100.0</v>
      </c>
      <c r="B83" s="200" t="s">
        <v>20</v>
      </c>
      <c r="C83" s="200">
        <v>1040375.0</v>
      </c>
      <c r="D83" s="201">
        <v>45541.0</v>
      </c>
      <c r="E83" s="129">
        <v>1.02</v>
      </c>
      <c r="F83" s="200"/>
      <c r="G83" s="200" t="s">
        <v>19</v>
      </c>
      <c r="I83" s="103"/>
      <c r="J83" s="103"/>
      <c r="K83" s="208">
        <f>SUMIF(L71:L81,"OK",K71:K81)</f>
        <v>993417.44</v>
      </c>
      <c r="L83" s="107" t="s">
        <v>78</v>
      </c>
      <c r="M83" s="103"/>
    </row>
    <row r="84" ht="13.5" customHeight="1">
      <c r="A84" s="200">
        <v>101.0</v>
      </c>
      <c r="B84" s="200" t="s">
        <v>20</v>
      </c>
      <c r="C84" s="200">
        <v>1040375.0</v>
      </c>
      <c r="D84" s="201">
        <v>45541.0</v>
      </c>
      <c r="E84" s="129">
        <v>24.56</v>
      </c>
      <c r="F84" s="200"/>
      <c r="G84" s="200" t="s">
        <v>19</v>
      </c>
      <c r="I84" s="209"/>
      <c r="J84" s="51"/>
      <c r="K84" s="210">
        <f>K82-K83</f>
        <v>0</v>
      </c>
      <c r="L84" s="211" t="s">
        <v>79</v>
      </c>
    </row>
    <row r="85" ht="13.5" customHeight="1">
      <c r="A85" s="200">
        <v>102.0</v>
      </c>
      <c r="B85" s="200" t="s">
        <v>20</v>
      </c>
      <c r="C85" s="200">
        <v>1040375.0</v>
      </c>
      <c r="D85" s="201">
        <v>45541.0</v>
      </c>
      <c r="E85" s="129">
        <v>130.86</v>
      </c>
      <c r="F85" s="200"/>
      <c r="G85" s="200" t="s">
        <v>19</v>
      </c>
      <c r="J85" s="51"/>
      <c r="K85" s="51"/>
      <c r="L85" s="51"/>
    </row>
    <row r="86" ht="13.5" customHeight="1">
      <c r="A86" s="200">
        <v>103.0</v>
      </c>
      <c r="B86" s="200" t="s">
        <v>20</v>
      </c>
      <c r="C86" s="200">
        <v>1040375.0</v>
      </c>
      <c r="D86" s="201">
        <v>45541.0</v>
      </c>
      <c r="E86" s="129">
        <v>4.83</v>
      </c>
      <c r="F86" s="200"/>
      <c r="G86" s="200" t="s">
        <v>19</v>
      </c>
      <c r="J86" s="51"/>
      <c r="K86" s="212"/>
    </row>
    <row r="87" ht="13.5" customHeight="1">
      <c r="A87" s="200">
        <v>104.0</v>
      </c>
      <c r="B87" s="200" t="s">
        <v>20</v>
      </c>
      <c r="C87" s="200">
        <v>1040375.0</v>
      </c>
      <c r="D87" s="201">
        <v>45541.0</v>
      </c>
      <c r="E87" s="129">
        <v>3.97</v>
      </c>
      <c r="F87" s="200"/>
      <c r="G87" s="200" t="s">
        <v>19</v>
      </c>
      <c r="J87" s="51"/>
      <c r="K87" s="51"/>
    </row>
    <row r="88" ht="13.5" customHeight="1">
      <c r="A88" s="200">
        <v>105.0</v>
      </c>
      <c r="B88" s="200" t="s">
        <v>20</v>
      </c>
      <c r="C88" s="200">
        <v>1040375.0</v>
      </c>
      <c r="D88" s="201">
        <v>45541.0</v>
      </c>
      <c r="E88" s="129">
        <v>51.26</v>
      </c>
      <c r="F88" s="200"/>
      <c r="G88" s="200" t="s">
        <v>19</v>
      </c>
      <c r="J88" s="51"/>
      <c r="L88" s="213"/>
    </row>
    <row r="89" ht="13.5" customHeight="1">
      <c r="A89" s="200">
        <v>106.0</v>
      </c>
      <c r="B89" s="200" t="s">
        <v>20</v>
      </c>
      <c r="C89" s="200">
        <v>1040375.0</v>
      </c>
      <c r="D89" s="201">
        <v>45541.0</v>
      </c>
      <c r="E89" s="129">
        <v>24.41</v>
      </c>
      <c r="F89" s="200"/>
      <c r="G89" s="200" t="s">
        <v>19</v>
      </c>
      <c r="J89" s="51"/>
    </row>
    <row r="90" ht="13.5" customHeight="1">
      <c r="A90" s="214">
        <v>108.0</v>
      </c>
      <c r="B90" s="214" t="s">
        <v>20</v>
      </c>
      <c r="C90" s="214">
        <v>1040375.0</v>
      </c>
      <c r="D90" s="215">
        <v>45541.0</v>
      </c>
      <c r="E90" s="134">
        <v>84.24</v>
      </c>
      <c r="F90" s="214"/>
      <c r="G90" s="214" t="s">
        <v>19</v>
      </c>
      <c r="J90" s="51"/>
    </row>
    <row r="91" ht="13.5" customHeight="1">
      <c r="A91" s="214">
        <v>109.0</v>
      </c>
      <c r="B91" s="214" t="s">
        <v>20</v>
      </c>
      <c r="C91" s="214">
        <v>1040375.0</v>
      </c>
      <c r="D91" s="215">
        <v>45541.0</v>
      </c>
      <c r="E91" s="134">
        <v>5.12</v>
      </c>
      <c r="F91" s="214"/>
      <c r="G91" s="214" t="s">
        <v>19</v>
      </c>
      <c r="J91" s="51"/>
    </row>
    <row r="92" ht="13.5" customHeight="1">
      <c r="A92" s="214">
        <v>110.0</v>
      </c>
      <c r="B92" s="214" t="s">
        <v>20</v>
      </c>
      <c r="C92" s="214">
        <v>1040375.0</v>
      </c>
      <c r="D92" s="215">
        <v>45541.0</v>
      </c>
      <c r="E92" s="134">
        <v>40.91</v>
      </c>
      <c r="F92" s="214"/>
      <c r="G92" s="214" t="s">
        <v>19</v>
      </c>
      <c r="J92" s="51"/>
    </row>
    <row r="93" ht="13.5" customHeight="1">
      <c r="A93" s="188">
        <v>112.0</v>
      </c>
      <c r="B93" s="188" t="s">
        <v>20</v>
      </c>
      <c r="C93" s="188">
        <v>1040109.0</v>
      </c>
      <c r="D93" s="189">
        <v>45541.0</v>
      </c>
      <c r="E93" s="158">
        <v>77.84</v>
      </c>
      <c r="F93" s="188"/>
      <c r="G93" s="188" t="s">
        <v>19</v>
      </c>
      <c r="J93" s="51"/>
    </row>
    <row r="94" ht="13.5" customHeight="1">
      <c r="A94" s="216">
        <v>114.0</v>
      </c>
      <c r="B94" s="216" t="s">
        <v>20</v>
      </c>
      <c r="C94" s="216">
        <v>1040109.0</v>
      </c>
      <c r="D94" s="217">
        <v>45541.0</v>
      </c>
      <c r="E94" s="127">
        <v>62.57</v>
      </c>
      <c r="F94" s="216"/>
      <c r="G94" s="216" t="s">
        <v>19</v>
      </c>
      <c r="J94" s="51"/>
    </row>
    <row r="95" ht="13.5" customHeight="1">
      <c r="A95" s="149">
        <v>115.0</v>
      </c>
      <c r="B95" s="149" t="s">
        <v>20</v>
      </c>
      <c r="C95" s="149">
        <v>1200393.0</v>
      </c>
      <c r="D95" s="150">
        <v>45541.0</v>
      </c>
      <c r="E95" s="141">
        <v>240.0</v>
      </c>
      <c r="F95" s="149"/>
      <c r="G95" s="149" t="s">
        <v>19</v>
      </c>
      <c r="J95" s="51"/>
    </row>
    <row r="96" ht="13.5" customHeight="1">
      <c r="A96" s="218">
        <v>116.0</v>
      </c>
      <c r="B96" s="218" t="s">
        <v>20</v>
      </c>
      <c r="C96" s="218">
        <v>1040375.0</v>
      </c>
      <c r="D96" s="219">
        <v>45541.0</v>
      </c>
      <c r="E96" s="148">
        <v>58.34</v>
      </c>
      <c r="F96" s="218"/>
      <c r="G96" s="218" t="s">
        <v>19</v>
      </c>
      <c r="J96" s="51"/>
    </row>
    <row r="97" ht="13.5" customHeight="1">
      <c r="A97" s="218">
        <v>117.0</v>
      </c>
      <c r="B97" s="218" t="s">
        <v>20</v>
      </c>
      <c r="C97" s="218">
        <v>1040375.0</v>
      </c>
      <c r="D97" s="219">
        <v>45541.0</v>
      </c>
      <c r="E97" s="148">
        <v>78.64</v>
      </c>
      <c r="F97" s="218"/>
      <c r="G97" s="218" t="s">
        <v>19</v>
      </c>
      <c r="J97" s="51"/>
    </row>
    <row r="98" ht="13.5" customHeight="1">
      <c r="A98" s="218">
        <v>118.0</v>
      </c>
      <c r="B98" s="218" t="s">
        <v>20</v>
      </c>
      <c r="C98" s="218">
        <v>1040375.0</v>
      </c>
      <c r="D98" s="219">
        <v>45541.0</v>
      </c>
      <c r="E98" s="148">
        <v>58.34</v>
      </c>
      <c r="F98" s="218"/>
      <c r="G98" s="218" t="s">
        <v>19</v>
      </c>
      <c r="J98" s="51"/>
    </row>
    <row r="99" ht="13.5" customHeight="1">
      <c r="A99" s="218">
        <v>119.0</v>
      </c>
      <c r="B99" s="218" t="s">
        <v>20</v>
      </c>
      <c r="C99" s="218">
        <v>1040375.0</v>
      </c>
      <c r="D99" s="219">
        <v>45541.0</v>
      </c>
      <c r="E99" s="148">
        <v>90.88</v>
      </c>
      <c r="F99" s="218"/>
      <c r="G99" s="218" t="s">
        <v>19</v>
      </c>
      <c r="J99" s="51"/>
    </row>
    <row r="100" ht="13.5" customHeight="1">
      <c r="A100" s="220">
        <v>121.0</v>
      </c>
      <c r="B100" s="220" t="s">
        <v>20</v>
      </c>
      <c r="C100" s="220">
        <v>1040375.0</v>
      </c>
      <c r="D100" s="221">
        <v>45541.0</v>
      </c>
      <c r="E100" s="152">
        <v>9.26</v>
      </c>
      <c r="F100" s="220"/>
      <c r="G100" s="220" t="s">
        <v>19</v>
      </c>
      <c r="J100" s="51"/>
    </row>
    <row r="101" ht="13.5" customHeight="1">
      <c r="A101" s="220">
        <v>122.0</v>
      </c>
      <c r="B101" s="220" t="s">
        <v>20</v>
      </c>
      <c r="C101" s="220">
        <v>1040375.0</v>
      </c>
      <c r="D101" s="221">
        <v>45541.0</v>
      </c>
      <c r="E101" s="152">
        <v>186.84</v>
      </c>
      <c r="F101" s="220"/>
      <c r="G101" s="220" t="s">
        <v>19</v>
      </c>
      <c r="J101" s="51"/>
    </row>
    <row r="102" ht="13.5" customHeight="1">
      <c r="A102" s="220">
        <v>124.0</v>
      </c>
      <c r="B102" s="220" t="s">
        <v>20</v>
      </c>
      <c r="C102" s="220">
        <v>1040375.0</v>
      </c>
      <c r="D102" s="221">
        <v>45541.0</v>
      </c>
      <c r="E102" s="152">
        <v>616.15</v>
      </c>
      <c r="F102" s="220"/>
      <c r="G102" s="220" t="s">
        <v>19</v>
      </c>
      <c r="J102" s="51"/>
    </row>
    <row r="103" ht="13.5" customHeight="1">
      <c r="A103" s="222">
        <v>126.0</v>
      </c>
      <c r="B103" s="222" t="s">
        <v>47</v>
      </c>
      <c r="C103" s="222">
        <v>1170144.0</v>
      </c>
      <c r="D103" s="223">
        <v>45541.0</v>
      </c>
      <c r="E103" s="166">
        <v>763557.01</v>
      </c>
      <c r="F103" s="222"/>
      <c r="G103" s="222" t="s">
        <v>19</v>
      </c>
      <c r="J103" s="51"/>
    </row>
    <row r="104" ht="13.5" customHeight="1">
      <c r="A104" s="216">
        <v>127.0</v>
      </c>
      <c r="B104" s="216" t="s">
        <v>20</v>
      </c>
      <c r="C104" s="216">
        <v>1040109.0</v>
      </c>
      <c r="D104" s="217">
        <v>45541.0</v>
      </c>
      <c r="E104" s="127">
        <v>62.57</v>
      </c>
      <c r="F104" s="216"/>
      <c r="G104" s="216" t="s">
        <v>19</v>
      </c>
      <c r="J104" s="51"/>
    </row>
    <row r="105" ht="13.5" customHeight="1">
      <c r="A105" s="50">
        <v>171.0</v>
      </c>
      <c r="B105" s="50" t="s">
        <v>47</v>
      </c>
      <c r="C105" s="50">
        <v>1040500.0</v>
      </c>
      <c r="D105" s="117">
        <v>45541.0</v>
      </c>
      <c r="E105" s="177">
        <v>79216.58</v>
      </c>
      <c r="F105" s="146"/>
      <c r="G105" s="146" t="s">
        <v>19</v>
      </c>
      <c r="H105" s="146" t="s">
        <v>110</v>
      </c>
      <c r="J105" s="51"/>
    </row>
    <row r="106" ht="13.5" customHeight="1">
      <c r="A106" s="50">
        <v>172.0</v>
      </c>
      <c r="B106" s="50" t="s">
        <v>47</v>
      </c>
      <c r="C106" s="50">
        <v>1040500.0</v>
      </c>
      <c r="D106" s="117">
        <v>45541.0</v>
      </c>
      <c r="E106" s="177">
        <v>78217.13</v>
      </c>
      <c r="F106" s="146"/>
      <c r="G106" s="146" t="s">
        <v>19</v>
      </c>
      <c r="H106" s="146" t="s">
        <v>111</v>
      </c>
      <c r="J106" s="51"/>
    </row>
    <row r="107" ht="13.5" customHeight="1">
      <c r="A107" s="50">
        <v>173.0</v>
      </c>
      <c r="B107" s="50" t="s">
        <v>47</v>
      </c>
      <c r="C107" s="50">
        <v>1040500.0</v>
      </c>
      <c r="D107" s="117">
        <v>45541.0</v>
      </c>
      <c r="E107" s="177">
        <v>91641.18</v>
      </c>
      <c r="F107" s="146"/>
      <c r="G107" s="146" t="s">
        <v>19</v>
      </c>
      <c r="H107" s="146" t="s">
        <v>111</v>
      </c>
      <c r="J107" s="51"/>
    </row>
    <row r="108" ht="13.5" customHeight="1">
      <c r="A108" s="50">
        <v>174.0</v>
      </c>
      <c r="B108" s="50" t="s">
        <v>47</v>
      </c>
      <c r="C108" s="50">
        <v>1040500.0</v>
      </c>
      <c r="D108" s="117">
        <v>45541.0</v>
      </c>
      <c r="E108" s="177">
        <v>35061.25</v>
      </c>
      <c r="F108" s="146"/>
      <c r="G108" s="146" t="s">
        <v>19</v>
      </c>
      <c r="H108" s="146" t="s">
        <v>111</v>
      </c>
      <c r="J108" s="51"/>
    </row>
    <row r="109" ht="13.5" customHeight="1">
      <c r="A109" s="50">
        <v>175.0</v>
      </c>
      <c r="B109" s="50" t="s">
        <v>47</v>
      </c>
      <c r="C109" s="50">
        <v>1040500.0</v>
      </c>
      <c r="D109" s="117">
        <v>45541.0</v>
      </c>
      <c r="E109" s="177">
        <v>34595.05</v>
      </c>
      <c r="F109" s="146"/>
      <c r="G109" s="146" t="s">
        <v>19</v>
      </c>
      <c r="H109" s="146" t="s">
        <v>111</v>
      </c>
      <c r="J109" s="51"/>
    </row>
    <row r="110" ht="13.5" customHeight="1">
      <c r="A110" s="50">
        <v>176.0</v>
      </c>
      <c r="B110" s="50" t="s">
        <v>47</v>
      </c>
      <c r="C110" s="50">
        <v>1040500.0</v>
      </c>
      <c r="D110" s="117">
        <v>45541.0</v>
      </c>
      <c r="E110" s="177">
        <v>61074.39</v>
      </c>
      <c r="F110" s="146"/>
      <c r="G110" s="146" t="s">
        <v>19</v>
      </c>
      <c r="H110" s="146" t="s">
        <v>111</v>
      </c>
      <c r="J110" s="51"/>
    </row>
    <row r="111" ht="13.5" customHeight="1">
      <c r="A111" s="50">
        <v>177.0</v>
      </c>
      <c r="B111" s="50" t="s">
        <v>47</v>
      </c>
      <c r="C111" s="50">
        <v>1040500.0</v>
      </c>
      <c r="D111" s="117">
        <v>45541.0</v>
      </c>
      <c r="E111" s="177">
        <v>78217.13</v>
      </c>
      <c r="F111" s="146"/>
      <c r="G111" s="146" t="s">
        <v>19</v>
      </c>
      <c r="H111" s="146" t="s">
        <v>111</v>
      </c>
      <c r="J111" s="51"/>
    </row>
    <row r="112" ht="13.5" customHeight="1">
      <c r="A112" s="50">
        <v>178.0</v>
      </c>
      <c r="B112" s="50" t="s">
        <v>47</v>
      </c>
      <c r="C112" s="50">
        <v>1040500.0</v>
      </c>
      <c r="D112" s="117">
        <v>45541.0</v>
      </c>
      <c r="E112" s="177">
        <v>34789.58</v>
      </c>
      <c r="F112" s="146"/>
      <c r="G112" s="146" t="s">
        <v>19</v>
      </c>
      <c r="H112" s="146" t="s">
        <v>111</v>
      </c>
      <c r="J112" s="51"/>
    </row>
    <row r="113" ht="13.5" customHeight="1">
      <c r="A113" s="50">
        <v>179.0</v>
      </c>
      <c r="B113" s="50" t="s">
        <v>47</v>
      </c>
      <c r="C113" s="50">
        <v>1040500.0</v>
      </c>
      <c r="D113" s="117">
        <v>45541.0</v>
      </c>
      <c r="E113" s="177">
        <v>37944.48</v>
      </c>
      <c r="F113" s="146"/>
      <c r="G113" s="146" t="s">
        <v>19</v>
      </c>
      <c r="H113" s="146" t="s">
        <v>111</v>
      </c>
      <c r="J113" s="51"/>
    </row>
    <row r="114" ht="13.5" customHeight="1">
      <c r="A114" s="50">
        <v>180.0</v>
      </c>
      <c r="B114" s="50" t="s">
        <v>47</v>
      </c>
      <c r="C114" s="50">
        <v>1040500.0</v>
      </c>
      <c r="D114" s="117">
        <v>45541.0</v>
      </c>
      <c r="E114" s="177">
        <v>85287.82</v>
      </c>
      <c r="F114" s="146"/>
      <c r="G114" s="146" t="s">
        <v>19</v>
      </c>
      <c r="H114" s="146" t="s">
        <v>111</v>
      </c>
      <c r="J114" s="51"/>
    </row>
    <row r="115" ht="13.5" customHeight="1">
      <c r="A115" s="50">
        <v>181.0</v>
      </c>
      <c r="B115" s="50" t="s">
        <v>47</v>
      </c>
      <c r="C115" s="50">
        <v>1040500.0</v>
      </c>
      <c r="D115" s="117">
        <v>45541.0</v>
      </c>
      <c r="E115" s="177">
        <v>80666.09</v>
      </c>
      <c r="F115" s="146"/>
      <c r="G115" s="146" t="s">
        <v>19</v>
      </c>
      <c r="H115" s="146" t="s">
        <v>111</v>
      </c>
      <c r="J115" s="51"/>
    </row>
    <row r="116" ht="13.5" customHeight="1">
      <c r="A116" s="50">
        <v>182.0</v>
      </c>
      <c r="B116" s="50" t="s">
        <v>47</v>
      </c>
      <c r="C116" s="50">
        <v>1040500.0</v>
      </c>
      <c r="D116" s="117">
        <v>45541.0</v>
      </c>
      <c r="E116" s="177">
        <v>36130.33</v>
      </c>
      <c r="F116" s="146"/>
      <c r="G116" s="146" t="s">
        <v>19</v>
      </c>
      <c r="H116" s="146" t="s">
        <v>111</v>
      </c>
      <c r="J116" s="51"/>
    </row>
    <row r="117" ht="13.5" customHeight="1">
      <c r="A117" s="50">
        <v>183.0</v>
      </c>
      <c r="B117" s="50" t="s">
        <v>47</v>
      </c>
      <c r="C117" s="50">
        <v>1040500.0</v>
      </c>
      <c r="D117" s="117">
        <v>45541.0</v>
      </c>
      <c r="E117" s="177">
        <v>59985.34</v>
      </c>
      <c r="F117" s="146"/>
      <c r="G117" s="146" t="s">
        <v>19</v>
      </c>
      <c r="H117" s="146" t="s">
        <v>111</v>
      </c>
      <c r="J117" s="51"/>
    </row>
    <row r="118" ht="13.5" customHeight="1">
      <c r="A118" s="50">
        <v>184.0</v>
      </c>
      <c r="B118" s="50" t="s">
        <v>47</v>
      </c>
      <c r="C118" s="50">
        <v>1040500.0</v>
      </c>
      <c r="D118" s="117">
        <v>45541.0</v>
      </c>
      <c r="E118" s="177">
        <v>69259.5</v>
      </c>
      <c r="F118" s="146"/>
      <c r="G118" s="146" t="s">
        <v>19</v>
      </c>
      <c r="H118" s="146" t="s">
        <v>111</v>
      </c>
      <c r="J118" s="51"/>
    </row>
    <row r="119" ht="13.5" customHeight="1">
      <c r="A119" s="50">
        <v>185.0</v>
      </c>
      <c r="B119" s="50" t="s">
        <v>47</v>
      </c>
      <c r="C119" s="50">
        <v>1040500.0</v>
      </c>
      <c r="D119" s="117">
        <v>45541.0</v>
      </c>
      <c r="E119" s="177">
        <v>61286.6</v>
      </c>
      <c r="F119" s="146"/>
      <c r="G119" s="146" t="s">
        <v>19</v>
      </c>
      <c r="H119" s="146" t="s">
        <v>111</v>
      </c>
      <c r="J119" s="51"/>
    </row>
    <row r="120" ht="13.5" customHeight="1">
      <c r="A120" s="50">
        <v>186.0</v>
      </c>
      <c r="B120" s="50" t="s">
        <v>47</v>
      </c>
      <c r="C120" s="50">
        <v>1040500.0</v>
      </c>
      <c r="D120" s="117">
        <v>45541.0</v>
      </c>
      <c r="E120" s="177">
        <v>32439.76</v>
      </c>
      <c r="F120" s="146"/>
      <c r="G120" s="146" t="s">
        <v>19</v>
      </c>
      <c r="H120" s="146" t="s">
        <v>111</v>
      </c>
      <c r="J120" s="51"/>
    </row>
    <row r="121" ht="13.5" customHeight="1">
      <c r="A121" s="50">
        <v>187.0</v>
      </c>
      <c r="B121" s="50" t="s">
        <v>47</v>
      </c>
      <c r="C121" s="50">
        <v>1040500.0</v>
      </c>
      <c r="D121" s="117">
        <v>45541.0</v>
      </c>
      <c r="E121" s="177">
        <v>57539.34</v>
      </c>
      <c r="F121" s="146"/>
      <c r="G121" s="146" t="s">
        <v>19</v>
      </c>
      <c r="H121" s="146" t="s">
        <v>111</v>
      </c>
      <c r="J121" s="51"/>
    </row>
    <row r="122" ht="13.5" customHeight="1">
      <c r="A122" s="50">
        <v>188.0</v>
      </c>
      <c r="B122" s="50" t="s">
        <v>47</v>
      </c>
      <c r="C122" s="50">
        <v>1040500.0</v>
      </c>
      <c r="D122" s="117">
        <v>45541.0</v>
      </c>
      <c r="E122" s="177">
        <v>59679.6</v>
      </c>
      <c r="F122" s="146"/>
      <c r="G122" s="146" t="s">
        <v>19</v>
      </c>
      <c r="H122" s="146" t="s">
        <v>111</v>
      </c>
      <c r="J122" s="51"/>
    </row>
    <row r="123" ht="13.5" customHeight="1">
      <c r="A123" s="50">
        <v>189.0</v>
      </c>
      <c r="B123" s="50" t="s">
        <v>47</v>
      </c>
      <c r="C123" s="50">
        <v>1040500.0</v>
      </c>
      <c r="D123" s="117">
        <v>45541.0</v>
      </c>
      <c r="E123" s="177">
        <v>74383.17</v>
      </c>
      <c r="F123" s="146"/>
      <c r="G123" s="146" t="s">
        <v>19</v>
      </c>
      <c r="H123" s="146" t="s">
        <v>111</v>
      </c>
      <c r="J123" s="51"/>
    </row>
    <row r="124" ht="13.5" customHeight="1">
      <c r="A124" s="50">
        <v>190.0</v>
      </c>
      <c r="B124" s="50" t="s">
        <v>47</v>
      </c>
      <c r="C124" s="50">
        <v>1040500.0</v>
      </c>
      <c r="D124" s="117">
        <v>45541.0</v>
      </c>
      <c r="E124" s="177">
        <v>58762.33</v>
      </c>
      <c r="F124" s="146"/>
      <c r="G124" s="146" t="s">
        <v>19</v>
      </c>
      <c r="H124" s="146" t="s">
        <v>111</v>
      </c>
      <c r="J124" s="51"/>
    </row>
    <row r="125" ht="13.5" customHeight="1">
      <c r="A125" s="50">
        <v>191.0</v>
      </c>
      <c r="B125" s="50" t="s">
        <v>47</v>
      </c>
      <c r="C125" s="50">
        <v>1040500.0</v>
      </c>
      <c r="D125" s="117">
        <v>45541.0</v>
      </c>
      <c r="E125" s="177">
        <v>34160.93</v>
      </c>
      <c r="F125" s="146"/>
      <c r="G125" s="146" t="s">
        <v>19</v>
      </c>
      <c r="H125" s="146" t="s">
        <v>111</v>
      </c>
      <c r="J125" s="51"/>
    </row>
    <row r="126" ht="13.5" customHeight="1">
      <c r="A126" s="50">
        <v>192.0</v>
      </c>
      <c r="B126" s="50" t="s">
        <v>47</v>
      </c>
      <c r="C126" s="50">
        <v>1040500.0</v>
      </c>
      <c r="D126" s="117">
        <v>45541.0</v>
      </c>
      <c r="E126" s="177">
        <v>41640.34</v>
      </c>
      <c r="F126" s="146"/>
      <c r="G126" s="146" t="s">
        <v>19</v>
      </c>
      <c r="H126" s="146" t="s">
        <v>111</v>
      </c>
      <c r="J126" s="51"/>
    </row>
    <row r="127" ht="13.5" customHeight="1">
      <c r="A127" s="50">
        <v>193.0</v>
      </c>
      <c r="B127" s="50" t="s">
        <v>47</v>
      </c>
      <c r="C127" s="50">
        <v>1040500.0</v>
      </c>
      <c r="D127" s="117">
        <v>45541.0</v>
      </c>
      <c r="E127" s="177">
        <v>44758.41</v>
      </c>
      <c r="F127" s="146"/>
      <c r="G127" s="146" t="s">
        <v>19</v>
      </c>
      <c r="H127" s="146" t="s">
        <v>111</v>
      </c>
      <c r="J127" s="51"/>
    </row>
    <row r="128" ht="13.5" customHeight="1">
      <c r="A128" s="50">
        <v>194.0</v>
      </c>
      <c r="B128" s="50" t="s">
        <v>47</v>
      </c>
      <c r="C128" s="50">
        <v>1040500.0</v>
      </c>
      <c r="D128" s="117">
        <v>45541.0</v>
      </c>
      <c r="E128" s="177">
        <v>60656.18</v>
      </c>
      <c r="F128" s="146"/>
      <c r="G128" s="146" t="s">
        <v>19</v>
      </c>
      <c r="H128" s="146" t="s">
        <v>111</v>
      </c>
      <c r="J128" s="51"/>
    </row>
    <row r="129" ht="13.5" customHeight="1">
      <c r="A129" s="50">
        <v>195.0</v>
      </c>
      <c r="B129" s="50" t="s">
        <v>47</v>
      </c>
      <c r="C129" s="50">
        <v>1040500.0</v>
      </c>
      <c r="D129" s="117">
        <v>45541.0</v>
      </c>
      <c r="E129" s="177">
        <v>58475.5</v>
      </c>
      <c r="F129" s="146"/>
      <c r="G129" s="146" t="s">
        <v>19</v>
      </c>
      <c r="H129" s="146" t="s">
        <v>111</v>
      </c>
      <c r="J129" s="51"/>
    </row>
    <row r="130" ht="13.5" customHeight="1">
      <c r="A130" s="50">
        <v>196.0</v>
      </c>
      <c r="B130" s="50" t="s">
        <v>47</v>
      </c>
      <c r="C130" s="50">
        <v>1040500.0</v>
      </c>
      <c r="D130" s="117">
        <v>45541.0</v>
      </c>
      <c r="E130" s="177">
        <v>36469.21</v>
      </c>
      <c r="F130" s="146"/>
      <c r="G130" s="146" t="s">
        <v>19</v>
      </c>
      <c r="H130" s="146" t="s">
        <v>111</v>
      </c>
      <c r="J130" s="51"/>
    </row>
    <row r="131" ht="13.5" customHeight="1">
      <c r="A131" s="50">
        <v>197.0</v>
      </c>
      <c r="B131" s="50" t="s">
        <v>47</v>
      </c>
      <c r="C131" s="50">
        <v>1040500.0</v>
      </c>
      <c r="D131" s="117">
        <v>45541.0</v>
      </c>
      <c r="E131" s="177">
        <v>58150.84</v>
      </c>
      <c r="F131" s="146"/>
      <c r="G131" s="146" t="s">
        <v>19</v>
      </c>
      <c r="H131" s="146" t="s">
        <v>111</v>
      </c>
      <c r="J131" s="51"/>
    </row>
    <row r="132" ht="13.5" customHeight="1">
      <c r="A132" s="50">
        <v>198.0</v>
      </c>
      <c r="B132" s="50" t="s">
        <v>47</v>
      </c>
      <c r="C132" s="50">
        <v>1040500.0</v>
      </c>
      <c r="D132" s="117">
        <v>45541.0</v>
      </c>
      <c r="E132" s="177">
        <v>58915.22</v>
      </c>
      <c r="F132" s="146"/>
      <c r="G132" s="146" t="s">
        <v>19</v>
      </c>
      <c r="H132" s="146" t="s">
        <v>111</v>
      </c>
      <c r="J132" s="51"/>
    </row>
    <row r="133" ht="13.5" customHeight="1">
      <c r="A133" s="50">
        <v>199.0</v>
      </c>
      <c r="B133" s="50" t="s">
        <v>47</v>
      </c>
      <c r="C133" s="50">
        <v>1040500.0</v>
      </c>
      <c r="D133" s="117">
        <v>45541.0</v>
      </c>
      <c r="E133" s="177">
        <v>82508.58</v>
      </c>
      <c r="F133" s="146"/>
      <c r="G133" s="146" t="s">
        <v>19</v>
      </c>
      <c r="H133" s="146" t="s">
        <v>111</v>
      </c>
      <c r="J133" s="51"/>
    </row>
    <row r="134" ht="13.5" customHeight="1">
      <c r="A134" s="50">
        <v>200.0</v>
      </c>
      <c r="B134" s="50" t="s">
        <v>47</v>
      </c>
      <c r="C134" s="50">
        <v>1040500.0</v>
      </c>
      <c r="D134" s="117">
        <v>45541.0</v>
      </c>
      <c r="E134" s="177">
        <v>63228.41</v>
      </c>
      <c r="F134" s="146"/>
      <c r="G134" s="146" t="s">
        <v>19</v>
      </c>
      <c r="H134" s="146" t="s">
        <v>111</v>
      </c>
      <c r="J134" s="51"/>
    </row>
    <row r="135" ht="13.5" customHeight="1">
      <c r="A135" s="50">
        <v>201.0</v>
      </c>
      <c r="B135" s="50" t="s">
        <v>47</v>
      </c>
      <c r="C135" s="50">
        <v>1040500.0</v>
      </c>
      <c r="D135" s="117">
        <v>45541.0</v>
      </c>
      <c r="E135" s="177">
        <v>1896.83</v>
      </c>
      <c r="F135" s="146"/>
      <c r="G135" s="146" t="s">
        <v>19</v>
      </c>
      <c r="H135" s="146" t="s">
        <v>111</v>
      </c>
      <c r="J135" s="51"/>
    </row>
    <row r="136" ht="13.5" customHeight="1">
      <c r="A136" s="50">
        <v>202.0</v>
      </c>
      <c r="B136" s="50" t="s">
        <v>47</v>
      </c>
      <c r="C136" s="50">
        <v>1040500.0</v>
      </c>
      <c r="D136" s="117">
        <v>45541.0</v>
      </c>
      <c r="E136" s="177">
        <v>55238.84</v>
      </c>
      <c r="F136" s="146"/>
      <c r="G136" s="146" t="s">
        <v>19</v>
      </c>
      <c r="H136" s="146" t="s">
        <v>111</v>
      </c>
      <c r="J136" s="51"/>
    </row>
    <row r="137" ht="13.5" customHeight="1">
      <c r="A137" s="50">
        <v>203.0</v>
      </c>
      <c r="B137" s="50" t="s">
        <v>47</v>
      </c>
      <c r="C137" s="50">
        <v>1040500.0</v>
      </c>
      <c r="D137" s="117">
        <v>45541.0</v>
      </c>
      <c r="E137" s="177">
        <v>60749.72</v>
      </c>
      <c r="F137" s="146"/>
      <c r="G137" s="146" t="s">
        <v>19</v>
      </c>
      <c r="H137" s="146" t="s">
        <v>111</v>
      </c>
      <c r="J137" s="51"/>
    </row>
    <row r="138" ht="13.5" customHeight="1">
      <c r="A138" s="50">
        <v>204.0</v>
      </c>
      <c r="B138" s="50" t="s">
        <v>47</v>
      </c>
      <c r="C138" s="50">
        <v>1040500.0</v>
      </c>
      <c r="D138" s="117">
        <v>45541.0</v>
      </c>
      <c r="E138" s="177">
        <v>68057.79</v>
      </c>
      <c r="F138" s="146"/>
      <c r="G138" s="146" t="s">
        <v>19</v>
      </c>
      <c r="H138" s="146" t="s">
        <v>111</v>
      </c>
      <c r="J138" s="51"/>
    </row>
    <row r="139" ht="13.5" customHeight="1">
      <c r="A139" s="50">
        <v>205.0</v>
      </c>
      <c r="B139" s="50" t="s">
        <v>47</v>
      </c>
      <c r="C139" s="50">
        <v>1040500.0</v>
      </c>
      <c r="D139" s="117">
        <v>45541.0</v>
      </c>
      <c r="E139" s="177">
        <v>60902.6</v>
      </c>
      <c r="F139" s="146"/>
      <c r="G139" s="146" t="s">
        <v>19</v>
      </c>
      <c r="H139" s="146" t="s">
        <v>111</v>
      </c>
      <c r="J139" s="51"/>
    </row>
    <row r="140" ht="13.5" customHeight="1">
      <c r="A140" s="50">
        <v>206.0</v>
      </c>
      <c r="B140" s="50" t="s">
        <v>47</v>
      </c>
      <c r="C140" s="50">
        <v>1040500.0</v>
      </c>
      <c r="D140" s="117">
        <v>45541.0</v>
      </c>
      <c r="E140" s="177">
        <v>58333.34</v>
      </c>
      <c r="F140" s="146"/>
      <c r="G140" s="146" t="s">
        <v>19</v>
      </c>
      <c r="H140" s="146" t="s">
        <v>111</v>
      </c>
      <c r="J140" s="51"/>
    </row>
    <row r="141" ht="13.5" customHeight="1">
      <c r="A141" s="50">
        <v>207.0</v>
      </c>
      <c r="B141" s="50" t="s">
        <v>47</v>
      </c>
      <c r="C141" s="50">
        <v>1040500.0</v>
      </c>
      <c r="D141" s="117">
        <v>45541.0</v>
      </c>
      <c r="E141" s="177">
        <v>60577.65</v>
      </c>
      <c r="F141" s="146"/>
      <c r="G141" s="146" t="s">
        <v>19</v>
      </c>
      <c r="H141" s="146" t="s">
        <v>111</v>
      </c>
      <c r="J141" s="51"/>
    </row>
    <row r="142" ht="13.5" customHeight="1">
      <c r="A142" s="50">
        <v>208.0</v>
      </c>
      <c r="B142" s="50" t="s">
        <v>47</v>
      </c>
      <c r="C142" s="50">
        <v>1040500.0</v>
      </c>
      <c r="D142" s="117">
        <v>45541.0</v>
      </c>
      <c r="E142" s="177">
        <v>83151.41</v>
      </c>
      <c r="F142" s="146"/>
      <c r="G142" s="146" t="s">
        <v>19</v>
      </c>
      <c r="H142" s="146" t="s">
        <v>111</v>
      </c>
      <c r="J142" s="51"/>
    </row>
    <row r="143" ht="13.5" customHeight="1">
      <c r="A143" s="50">
        <v>209.0</v>
      </c>
      <c r="B143" s="50" t="s">
        <v>47</v>
      </c>
      <c r="C143" s="50">
        <v>1040500.0</v>
      </c>
      <c r="D143" s="117">
        <v>45541.0</v>
      </c>
      <c r="E143" s="177">
        <v>59068.09</v>
      </c>
      <c r="F143" s="146"/>
      <c r="G143" s="146" t="s">
        <v>19</v>
      </c>
      <c r="H143" s="146" t="s">
        <v>111</v>
      </c>
      <c r="J143" s="51"/>
    </row>
    <row r="144" ht="13.5" customHeight="1">
      <c r="A144" s="50">
        <v>210.0</v>
      </c>
      <c r="B144" s="50" t="s">
        <v>47</v>
      </c>
      <c r="C144" s="50">
        <v>1040500.0</v>
      </c>
      <c r="D144" s="117">
        <v>45541.0</v>
      </c>
      <c r="E144" s="177">
        <v>79255.7</v>
      </c>
      <c r="F144" s="146"/>
      <c r="G144" s="146" t="s">
        <v>19</v>
      </c>
      <c r="H144" s="146" t="s">
        <v>111</v>
      </c>
      <c r="J144" s="51"/>
    </row>
    <row r="145" ht="13.5" customHeight="1">
      <c r="A145" s="50">
        <v>211.0</v>
      </c>
      <c r="B145" s="50" t="s">
        <v>47</v>
      </c>
      <c r="C145" s="50">
        <v>1040500.0</v>
      </c>
      <c r="D145" s="117">
        <v>45541.0</v>
      </c>
      <c r="E145" s="177">
        <v>41558.67</v>
      </c>
      <c r="F145" s="146"/>
      <c r="G145" s="146" t="s">
        <v>19</v>
      </c>
      <c r="H145" s="146" t="s">
        <v>111</v>
      </c>
      <c r="J145" s="51"/>
    </row>
    <row r="146" ht="13.5" customHeight="1">
      <c r="A146" s="50">
        <v>212.0</v>
      </c>
      <c r="B146" s="50" t="s">
        <v>47</v>
      </c>
      <c r="C146" s="50">
        <v>1040500.0</v>
      </c>
      <c r="D146" s="117">
        <v>45541.0</v>
      </c>
      <c r="E146" s="177">
        <v>42446.6</v>
      </c>
      <c r="F146" s="146"/>
      <c r="G146" s="146" t="s">
        <v>19</v>
      </c>
      <c r="H146" s="146" t="s">
        <v>111</v>
      </c>
      <c r="J146" s="51"/>
    </row>
    <row r="147" ht="13.5" customHeight="1">
      <c r="A147" s="50">
        <v>213.0</v>
      </c>
      <c r="B147" s="50" t="s">
        <v>47</v>
      </c>
      <c r="C147" s="50">
        <v>1040500.0</v>
      </c>
      <c r="D147" s="117">
        <v>45541.0</v>
      </c>
      <c r="E147" s="177">
        <v>42927.27</v>
      </c>
      <c r="F147" s="146"/>
      <c r="G147" s="146" t="s">
        <v>19</v>
      </c>
      <c r="H147" s="146" t="s">
        <v>111</v>
      </c>
      <c r="J147" s="51"/>
    </row>
    <row r="148" ht="13.5" customHeight="1">
      <c r="A148" s="50">
        <v>214.0</v>
      </c>
      <c r="B148" s="50" t="s">
        <v>47</v>
      </c>
      <c r="C148" s="50">
        <v>1040500.0</v>
      </c>
      <c r="D148" s="117">
        <v>45541.0</v>
      </c>
      <c r="E148" s="177">
        <v>42835.8</v>
      </c>
      <c r="F148" s="146"/>
      <c r="G148" s="146" t="s">
        <v>19</v>
      </c>
      <c r="H148" s="146" t="s">
        <v>111</v>
      </c>
      <c r="J148" s="51"/>
    </row>
    <row r="149" ht="13.5" customHeight="1">
      <c r="A149" s="50">
        <v>215.0</v>
      </c>
      <c r="B149" s="50" t="s">
        <v>47</v>
      </c>
      <c r="C149" s="50">
        <v>1040500.0</v>
      </c>
      <c r="D149" s="117">
        <v>45541.0</v>
      </c>
      <c r="E149" s="177">
        <v>41155.73</v>
      </c>
      <c r="F149" s="146"/>
      <c r="G149" s="146" t="s">
        <v>19</v>
      </c>
      <c r="H149" s="146" t="s">
        <v>111</v>
      </c>
      <c r="J149" s="51"/>
    </row>
    <row r="150" ht="13.5" customHeight="1">
      <c r="A150" s="50">
        <v>216.0</v>
      </c>
      <c r="B150" s="50" t="s">
        <v>47</v>
      </c>
      <c r="C150" s="50">
        <v>1040500.0</v>
      </c>
      <c r="D150" s="117">
        <v>45541.0</v>
      </c>
      <c r="E150" s="177">
        <v>60350.31</v>
      </c>
      <c r="F150" s="146"/>
      <c r="G150" s="146" t="s">
        <v>19</v>
      </c>
      <c r="H150" s="146" t="s">
        <v>111</v>
      </c>
      <c r="J150" s="51"/>
    </row>
    <row r="151" ht="13.5" customHeight="1">
      <c r="A151" s="50">
        <v>217.0</v>
      </c>
      <c r="B151" s="50" t="s">
        <v>47</v>
      </c>
      <c r="C151" s="50">
        <v>1040500.0</v>
      </c>
      <c r="D151" s="117">
        <v>45541.0</v>
      </c>
      <c r="E151" s="177">
        <v>41757.95</v>
      </c>
      <c r="F151" s="146"/>
      <c r="G151" s="146" t="s">
        <v>19</v>
      </c>
      <c r="H151" s="146" t="s">
        <v>111</v>
      </c>
      <c r="J151" s="51"/>
    </row>
    <row r="152" ht="13.5" customHeight="1">
      <c r="A152" s="50">
        <v>218.0</v>
      </c>
      <c r="B152" s="50" t="s">
        <v>47</v>
      </c>
      <c r="C152" s="50">
        <v>1040500.0</v>
      </c>
      <c r="D152" s="117">
        <v>45541.0</v>
      </c>
      <c r="E152" s="177">
        <v>58762.35</v>
      </c>
      <c r="F152" s="146"/>
      <c r="G152" s="146" t="s">
        <v>19</v>
      </c>
      <c r="H152" s="146" t="s">
        <v>111</v>
      </c>
      <c r="J152" s="51"/>
    </row>
    <row r="153" ht="13.5" customHeight="1">
      <c r="A153" s="50">
        <v>219.0</v>
      </c>
      <c r="B153" s="50" t="s">
        <v>47</v>
      </c>
      <c r="C153" s="50">
        <v>1040500.0</v>
      </c>
      <c r="D153" s="117">
        <v>45541.0</v>
      </c>
      <c r="E153" s="177">
        <v>78217.13</v>
      </c>
      <c r="F153" s="146"/>
      <c r="G153" s="146" t="s">
        <v>19</v>
      </c>
      <c r="H153" s="146" t="s">
        <v>111</v>
      </c>
      <c r="J153" s="51"/>
    </row>
    <row r="154" ht="13.5" customHeight="1">
      <c r="A154" s="50">
        <v>220.0</v>
      </c>
      <c r="B154" s="50" t="s">
        <v>47</v>
      </c>
      <c r="C154" s="50">
        <v>1040500.0</v>
      </c>
      <c r="D154" s="117">
        <v>45541.0</v>
      </c>
      <c r="E154" s="177">
        <v>80775.55</v>
      </c>
      <c r="F154" s="146"/>
      <c r="G154" s="146" t="s">
        <v>19</v>
      </c>
      <c r="H154" s="146" t="s">
        <v>111</v>
      </c>
      <c r="J154" s="51"/>
    </row>
    <row r="155" ht="13.5" customHeight="1">
      <c r="A155" s="50">
        <v>221.0</v>
      </c>
      <c r="B155" s="50" t="s">
        <v>47</v>
      </c>
      <c r="C155" s="50">
        <v>1040500.0</v>
      </c>
      <c r="D155" s="117">
        <v>45541.0</v>
      </c>
      <c r="E155" s="177">
        <v>87487.09</v>
      </c>
      <c r="F155" s="146"/>
      <c r="G155" s="146" t="s">
        <v>19</v>
      </c>
      <c r="H155" s="146" t="s">
        <v>111</v>
      </c>
      <c r="J155" s="51"/>
    </row>
    <row r="156" ht="13.5" customHeight="1">
      <c r="A156" s="50">
        <v>222.0</v>
      </c>
      <c r="B156" s="50" t="s">
        <v>47</v>
      </c>
      <c r="C156" s="50">
        <v>1040500.0</v>
      </c>
      <c r="D156" s="117">
        <v>45541.0</v>
      </c>
      <c r="E156" s="177">
        <v>97520.01</v>
      </c>
      <c r="F156" s="146"/>
      <c r="G156" s="146" t="s">
        <v>19</v>
      </c>
      <c r="H156" s="146" t="s">
        <v>111</v>
      </c>
      <c r="J156" s="51"/>
    </row>
    <row r="157" ht="13.5" customHeight="1">
      <c r="E157" s="51"/>
      <c r="G157" s="224" t="s">
        <v>19</v>
      </c>
      <c r="J157" s="51"/>
    </row>
    <row r="158" ht="13.5" customHeight="1">
      <c r="E158" s="51"/>
      <c r="J158" s="51"/>
    </row>
    <row r="159" ht="13.5" customHeight="1">
      <c r="E159" s="51"/>
      <c r="J159" s="51"/>
    </row>
    <row r="160" ht="13.5" customHeight="1">
      <c r="E160" s="51"/>
      <c r="J160" s="51"/>
    </row>
    <row r="161" ht="13.5" customHeight="1">
      <c r="E161" s="51"/>
      <c r="J161" s="51"/>
    </row>
    <row r="162" ht="13.5" customHeight="1">
      <c r="E162" s="51"/>
      <c r="J162" s="51"/>
    </row>
    <row r="163" ht="13.5" customHeight="1">
      <c r="E163" s="51"/>
      <c r="J163" s="51"/>
    </row>
    <row r="164" ht="13.5" customHeight="1">
      <c r="E164" s="51"/>
      <c r="J164" s="51"/>
    </row>
    <row r="165" ht="13.5" customHeight="1">
      <c r="E165" s="51"/>
      <c r="J165" s="51"/>
    </row>
    <row r="166" ht="13.5" customHeight="1">
      <c r="E166" s="51"/>
      <c r="J166" s="51"/>
    </row>
    <row r="167" ht="13.5" customHeight="1">
      <c r="E167" s="51"/>
      <c r="J167" s="51"/>
    </row>
    <row r="168" ht="13.5" customHeight="1">
      <c r="E168" s="51"/>
      <c r="J168" s="51"/>
    </row>
    <row r="169" ht="13.5" customHeight="1">
      <c r="E169" s="51"/>
      <c r="J169" s="51"/>
    </row>
    <row r="170" ht="13.5" customHeight="1">
      <c r="E170" s="51"/>
      <c r="J170" s="51"/>
    </row>
    <row r="171" ht="13.5" customHeight="1">
      <c r="E171" s="51"/>
      <c r="J171" s="51"/>
    </row>
    <row r="172" ht="13.5" customHeight="1">
      <c r="E172" s="51"/>
      <c r="J172" s="51"/>
    </row>
    <row r="173" ht="13.5" customHeight="1">
      <c r="E173" s="51"/>
      <c r="J173" s="51"/>
    </row>
    <row r="174" ht="13.5" customHeight="1">
      <c r="E174" s="51"/>
      <c r="J174" s="51"/>
    </row>
    <row r="175" ht="13.5" customHeight="1">
      <c r="E175" s="51"/>
      <c r="J175" s="51"/>
    </row>
    <row r="176" ht="13.5" customHeight="1">
      <c r="E176" s="51"/>
      <c r="J176" s="51"/>
    </row>
    <row r="177" ht="13.5" customHeight="1">
      <c r="E177" s="51"/>
      <c r="J177" s="51"/>
    </row>
    <row r="178" ht="13.5" customHeight="1">
      <c r="E178" s="51"/>
      <c r="J178" s="51"/>
    </row>
    <row r="179" ht="13.5" customHeight="1">
      <c r="E179" s="51"/>
      <c r="J179" s="51"/>
    </row>
    <row r="180" ht="13.5" customHeight="1">
      <c r="E180" s="51"/>
      <c r="J180" s="51"/>
    </row>
    <row r="181" ht="13.5" customHeight="1">
      <c r="E181" s="51"/>
      <c r="J181" s="51"/>
    </row>
    <row r="182" ht="13.5" customHeight="1">
      <c r="E182" s="51"/>
      <c r="J182" s="51"/>
    </row>
    <row r="183" ht="13.5" customHeight="1">
      <c r="E183" s="51"/>
      <c r="J183" s="51"/>
    </row>
    <row r="184" ht="13.5" customHeight="1">
      <c r="E184" s="51"/>
      <c r="J184" s="51"/>
    </row>
    <row r="185" ht="13.5" customHeight="1">
      <c r="E185" s="51"/>
      <c r="J185" s="51"/>
    </row>
    <row r="186" ht="13.5" customHeight="1">
      <c r="E186" s="51"/>
      <c r="J186" s="51"/>
    </row>
    <row r="187" ht="13.5" customHeight="1">
      <c r="E187" s="51"/>
      <c r="J187" s="51"/>
    </row>
    <row r="188" ht="13.5" customHeight="1">
      <c r="E188" s="51"/>
      <c r="J188" s="51"/>
    </row>
    <row r="189" ht="13.5" customHeight="1">
      <c r="E189" s="51"/>
      <c r="J189" s="51"/>
    </row>
    <row r="190" ht="13.5" customHeight="1">
      <c r="E190" s="51"/>
      <c r="J190" s="51"/>
    </row>
    <row r="191" ht="13.5" customHeight="1">
      <c r="E191" s="51"/>
      <c r="J191" s="51"/>
    </row>
    <row r="192" ht="13.5" customHeight="1">
      <c r="E192" s="51"/>
      <c r="J192" s="51"/>
    </row>
    <row r="193" ht="13.5" customHeight="1">
      <c r="E193" s="51"/>
      <c r="J193" s="51"/>
    </row>
    <row r="194" ht="13.5" customHeight="1">
      <c r="E194" s="51"/>
      <c r="J194" s="51"/>
    </row>
    <row r="195" ht="13.5" customHeight="1">
      <c r="E195" s="51"/>
      <c r="J195" s="51"/>
    </row>
    <row r="196" ht="13.5" customHeight="1">
      <c r="E196" s="51"/>
      <c r="J196" s="51"/>
    </row>
    <row r="197" ht="13.5" customHeight="1">
      <c r="E197" s="51"/>
      <c r="J197" s="51"/>
    </row>
    <row r="198" ht="13.5" customHeight="1">
      <c r="E198" s="51"/>
      <c r="J198" s="51"/>
    </row>
    <row r="199" ht="13.5" customHeight="1">
      <c r="E199" s="51"/>
      <c r="J199" s="51"/>
    </row>
    <row r="200" ht="13.5" customHeight="1">
      <c r="E200" s="51"/>
      <c r="J200" s="51"/>
    </row>
    <row r="201" ht="13.5" customHeight="1">
      <c r="E201" s="51"/>
      <c r="J201" s="51"/>
    </row>
    <row r="202" ht="13.5" customHeight="1">
      <c r="E202" s="51"/>
      <c r="J202" s="51"/>
    </row>
    <row r="203" ht="13.5" customHeight="1">
      <c r="E203" s="51"/>
      <c r="J203" s="51"/>
    </row>
    <row r="204" ht="13.5" customHeight="1">
      <c r="E204" s="51"/>
      <c r="J204" s="51"/>
    </row>
    <row r="205" ht="13.5" customHeight="1">
      <c r="E205" s="51"/>
      <c r="J205" s="51"/>
    </row>
    <row r="206" ht="13.5" customHeight="1">
      <c r="E206" s="51"/>
      <c r="J206" s="51"/>
    </row>
    <row r="207" ht="13.5" customHeight="1">
      <c r="E207" s="51"/>
      <c r="J207" s="51"/>
    </row>
    <row r="208" ht="13.5" customHeight="1">
      <c r="E208" s="51"/>
      <c r="J208" s="51"/>
    </row>
    <row r="209" ht="13.5" customHeight="1">
      <c r="E209" s="51"/>
      <c r="J209" s="51"/>
    </row>
    <row r="210" ht="13.5" customHeight="1">
      <c r="E210" s="51"/>
      <c r="J210" s="51"/>
    </row>
    <row r="211" ht="13.5" customHeight="1">
      <c r="E211" s="51"/>
      <c r="J211" s="51"/>
    </row>
    <row r="212" ht="13.5" customHeight="1">
      <c r="E212" s="51"/>
      <c r="J212" s="51"/>
    </row>
    <row r="213" ht="13.5" customHeight="1">
      <c r="E213" s="51"/>
      <c r="J213" s="51"/>
    </row>
    <row r="214" ht="13.5" customHeight="1">
      <c r="E214" s="51"/>
      <c r="J214" s="51"/>
    </row>
    <row r="215" ht="13.5" customHeight="1">
      <c r="E215" s="51"/>
      <c r="J215" s="51"/>
    </row>
    <row r="216" ht="13.5" customHeight="1">
      <c r="E216" s="51"/>
      <c r="J216" s="51"/>
    </row>
    <row r="217" ht="13.5" customHeight="1">
      <c r="E217" s="51"/>
      <c r="J217" s="51"/>
    </row>
    <row r="218" ht="13.5" customHeight="1">
      <c r="E218" s="51"/>
      <c r="J218" s="51"/>
    </row>
    <row r="219" ht="13.5" customHeight="1">
      <c r="E219" s="51"/>
      <c r="J219" s="51"/>
    </row>
    <row r="220" ht="13.5" customHeight="1">
      <c r="E220" s="51"/>
      <c r="J220" s="51"/>
    </row>
    <row r="221" ht="13.5" customHeight="1">
      <c r="E221" s="51"/>
      <c r="J221" s="51"/>
    </row>
    <row r="222" ht="13.5" customHeight="1">
      <c r="E222" s="51"/>
      <c r="J222" s="51"/>
    </row>
    <row r="223" ht="13.5" customHeight="1">
      <c r="E223" s="51"/>
      <c r="J223" s="51"/>
    </row>
    <row r="224" ht="13.5" customHeight="1">
      <c r="E224" s="51"/>
      <c r="J224" s="51"/>
    </row>
    <row r="225" ht="13.5" customHeight="1">
      <c r="E225" s="51"/>
      <c r="J225" s="51"/>
    </row>
    <row r="226" ht="13.5" customHeight="1">
      <c r="E226" s="51"/>
      <c r="J226" s="51"/>
    </row>
    <row r="227" ht="13.5" customHeight="1">
      <c r="E227" s="51"/>
      <c r="J227" s="51"/>
    </row>
    <row r="228" ht="13.5" customHeight="1">
      <c r="E228" s="51"/>
      <c r="J228" s="51"/>
    </row>
    <row r="229" ht="13.5" customHeight="1">
      <c r="E229" s="51"/>
      <c r="J229" s="51"/>
    </row>
    <row r="230" ht="13.5" customHeight="1">
      <c r="E230" s="51"/>
      <c r="J230" s="51"/>
    </row>
    <row r="231" ht="13.5" customHeight="1">
      <c r="E231" s="51"/>
      <c r="J231" s="51"/>
    </row>
    <row r="232" ht="13.5" customHeight="1">
      <c r="E232" s="51"/>
      <c r="J232" s="51"/>
    </row>
    <row r="233" ht="13.5" customHeight="1">
      <c r="E233" s="51"/>
      <c r="J233" s="51"/>
    </row>
    <row r="234" ht="13.5" customHeight="1">
      <c r="E234" s="51"/>
      <c r="J234" s="51"/>
    </row>
    <row r="235" ht="13.5" customHeight="1">
      <c r="E235" s="51"/>
      <c r="J235" s="51"/>
    </row>
    <row r="236" ht="13.5" customHeight="1">
      <c r="E236" s="51"/>
      <c r="J236" s="51"/>
    </row>
    <row r="237" ht="13.5" customHeight="1">
      <c r="E237" s="51"/>
      <c r="J237" s="51"/>
    </row>
    <row r="238" ht="13.5" customHeight="1">
      <c r="E238" s="51"/>
      <c r="J238" s="51"/>
    </row>
    <row r="239" ht="13.5" customHeight="1">
      <c r="E239" s="51"/>
      <c r="J239" s="51"/>
    </row>
    <row r="240" ht="13.5" customHeight="1">
      <c r="E240" s="51"/>
      <c r="J240" s="51"/>
    </row>
    <row r="241" ht="13.5" customHeight="1">
      <c r="E241" s="51"/>
      <c r="J241" s="51"/>
    </row>
    <row r="242" ht="13.5" customHeight="1">
      <c r="E242" s="51"/>
      <c r="J242" s="51"/>
    </row>
    <row r="243" ht="13.5" customHeight="1">
      <c r="E243" s="51"/>
      <c r="J243" s="51"/>
    </row>
    <row r="244" ht="13.5" customHeight="1">
      <c r="E244" s="51"/>
      <c r="J244" s="51"/>
    </row>
    <row r="245" ht="13.5" customHeight="1">
      <c r="E245" s="51"/>
      <c r="J245" s="51"/>
    </row>
    <row r="246" ht="13.5" customHeight="1">
      <c r="E246" s="51"/>
      <c r="J246" s="51"/>
    </row>
    <row r="247" ht="13.5" customHeight="1">
      <c r="E247" s="51"/>
      <c r="J247" s="51"/>
    </row>
    <row r="248" ht="13.5" customHeight="1">
      <c r="E248" s="51"/>
      <c r="J248" s="51"/>
    </row>
    <row r="249" ht="13.5" customHeight="1">
      <c r="E249" s="51"/>
      <c r="J249" s="51"/>
    </row>
    <row r="250" ht="13.5" customHeight="1">
      <c r="E250" s="51"/>
      <c r="J250" s="51"/>
    </row>
    <row r="251" ht="13.5" customHeight="1">
      <c r="E251" s="51"/>
      <c r="J251" s="51"/>
    </row>
    <row r="252" ht="13.5" customHeight="1">
      <c r="E252" s="51"/>
      <c r="J252" s="51"/>
    </row>
    <row r="253" ht="13.5" customHeight="1">
      <c r="E253" s="51"/>
      <c r="J253" s="51"/>
    </row>
    <row r="254" ht="13.5" customHeight="1">
      <c r="E254" s="51"/>
      <c r="J254" s="51"/>
    </row>
    <row r="255" ht="13.5" customHeight="1">
      <c r="E255" s="51"/>
      <c r="J255" s="51"/>
    </row>
    <row r="256" ht="13.5" customHeight="1">
      <c r="E256" s="51"/>
      <c r="J256" s="51"/>
    </row>
    <row r="257" ht="13.5" customHeight="1">
      <c r="E257" s="51"/>
      <c r="J257" s="51"/>
    </row>
    <row r="258" ht="13.5" customHeight="1">
      <c r="E258" s="51"/>
      <c r="J258" s="51"/>
    </row>
    <row r="259" ht="13.5" customHeight="1">
      <c r="E259" s="51"/>
      <c r="J259" s="51"/>
    </row>
    <row r="260" ht="13.5" customHeight="1">
      <c r="E260" s="51"/>
      <c r="J260" s="51"/>
    </row>
    <row r="261" ht="13.5" customHeight="1">
      <c r="E261" s="51"/>
      <c r="J261" s="51"/>
    </row>
    <row r="262" ht="13.5" customHeight="1">
      <c r="E262" s="51"/>
      <c r="J262" s="51"/>
    </row>
    <row r="263" ht="13.5" customHeight="1">
      <c r="E263" s="51"/>
      <c r="J263" s="51"/>
    </row>
    <row r="264" ht="13.5" customHeight="1">
      <c r="E264" s="51"/>
      <c r="J264" s="51"/>
    </row>
    <row r="265" ht="13.5" customHeight="1">
      <c r="E265" s="51"/>
      <c r="J265" s="51"/>
    </row>
    <row r="266" ht="13.5" customHeight="1">
      <c r="E266" s="51"/>
      <c r="J266" s="51"/>
    </row>
    <row r="267" ht="13.5" customHeight="1">
      <c r="E267" s="51"/>
      <c r="J267" s="51"/>
    </row>
    <row r="268" ht="13.5" customHeight="1">
      <c r="E268" s="51"/>
      <c r="J268" s="51"/>
    </row>
    <row r="269" ht="13.5" customHeight="1">
      <c r="E269" s="51"/>
      <c r="J269" s="51"/>
    </row>
    <row r="270" ht="13.5" customHeight="1">
      <c r="E270" s="51"/>
      <c r="J270" s="51"/>
    </row>
    <row r="271" ht="13.5" customHeight="1">
      <c r="E271" s="51"/>
      <c r="J271" s="51"/>
    </row>
    <row r="272" ht="13.5" customHeight="1">
      <c r="E272" s="51"/>
      <c r="J272" s="51"/>
    </row>
    <row r="273" ht="13.5" customHeight="1">
      <c r="E273" s="51"/>
      <c r="J273" s="51"/>
    </row>
    <row r="274" ht="13.5" customHeight="1">
      <c r="E274" s="51"/>
      <c r="J274" s="51"/>
    </row>
    <row r="275" ht="13.5" customHeight="1">
      <c r="E275" s="51"/>
      <c r="J275" s="51"/>
    </row>
    <row r="276" ht="13.5" customHeight="1">
      <c r="E276" s="51"/>
      <c r="J276" s="51"/>
    </row>
    <row r="277" ht="13.5" customHeight="1">
      <c r="E277" s="51"/>
      <c r="J277" s="51"/>
    </row>
    <row r="278" ht="13.5" customHeight="1">
      <c r="E278" s="51"/>
      <c r="J278" s="51"/>
    </row>
    <row r="279" ht="13.5" customHeight="1">
      <c r="E279" s="51"/>
      <c r="J279" s="51"/>
    </row>
    <row r="280" ht="13.5" customHeight="1">
      <c r="E280" s="51"/>
      <c r="J280" s="51"/>
    </row>
    <row r="281" ht="13.5" customHeight="1">
      <c r="E281" s="51"/>
      <c r="J281" s="51"/>
    </row>
    <row r="282" ht="13.5" customHeight="1">
      <c r="E282" s="51"/>
      <c r="J282" s="51"/>
    </row>
    <row r="283" ht="13.5" customHeight="1">
      <c r="E283" s="51"/>
      <c r="J283" s="51"/>
    </row>
    <row r="284" ht="13.5" customHeight="1">
      <c r="E284" s="51"/>
      <c r="J284" s="51"/>
    </row>
    <row r="285" ht="13.5" customHeight="1">
      <c r="E285" s="51"/>
      <c r="J285" s="51"/>
    </row>
    <row r="286" ht="13.5" customHeight="1">
      <c r="E286" s="51"/>
      <c r="J286" s="51"/>
    </row>
    <row r="287" ht="13.5" customHeight="1">
      <c r="E287" s="51"/>
      <c r="J287" s="51"/>
    </row>
    <row r="288" ht="13.5" customHeight="1">
      <c r="E288" s="51"/>
      <c r="J288" s="51"/>
    </row>
    <row r="289" ht="13.5" customHeight="1">
      <c r="E289" s="51"/>
      <c r="J289" s="51"/>
    </row>
    <row r="290" ht="13.5" customHeight="1">
      <c r="E290" s="51"/>
      <c r="J290" s="51"/>
    </row>
    <row r="291" ht="13.5" customHeight="1">
      <c r="E291" s="51"/>
      <c r="J291" s="51"/>
    </row>
    <row r="292" ht="13.5" customHeight="1">
      <c r="E292" s="51"/>
      <c r="J292" s="51"/>
    </row>
    <row r="293" ht="13.5" customHeight="1">
      <c r="E293" s="51"/>
      <c r="J293" s="51"/>
    </row>
    <row r="294" ht="13.5" customHeight="1">
      <c r="E294" s="51"/>
      <c r="J294" s="51"/>
    </row>
    <row r="295" ht="13.5" customHeight="1">
      <c r="E295" s="51"/>
      <c r="J295" s="51"/>
    </row>
    <row r="296" ht="13.5" customHeight="1">
      <c r="E296" s="51"/>
      <c r="J296" s="51"/>
    </row>
    <row r="297" ht="13.5" customHeight="1">
      <c r="E297" s="51"/>
      <c r="J297" s="51"/>
    </row>
    <row r="298" ht="13.5" customHeight="1">
      <c r="E298" s="51"/>
      <c r="J298" s="51"/>
    </row>
    <row r="299" ht="13.5" customHeight="1">
      <c r="E299" s="51"/>
      <c r="J299" s="51"/>
    </row>
    <row r="300" ht="13.5" customHeight="1">
      <c r="E300" s="51"/>
      <c r="J300" s="51"/>
    </row>
    <row r="301" ht="13.5" customHeight="1">
      <c r="E301" s="51"/>
      <c r="J301" s="51"/>
    </row>
    <row r="302" ht="13.5" customHeight="1">
      <c r="E302" s="51"/>
      <c r="J302" s="51"/>
    </row>
    <row r="303" ht="13.5" customHeight="1">
      <c r="E303" s="51"/>
      <c r="J303" s="51"/>
    </row>
    <row r="304" ht="13.5" customHeight="1">
      <c r="E304" s="51"/>
      <c r="J304" s="51"/>
    </row>
    <row r="305" ht="13.5" customHeight="1">
      <c r="E305" s="51"/>
      <c r="J305" s="51"/>
    </row>
    <row r="306" ht="13.5" customHeight="1">
      <c r="E306" s="51"/>
      <c r="J306" s="51"/>
    </row>
    <row r="307" ht="13.5" customHeight="1">
      <c r="E307" s="51"/>
      <c r="J307" s="51"/>
    </row>
    <row r="308" ht="13.5" customHeight="1">
      <c r="E308" s="51"/>
      <c r="J308" s="51"/>
    </row>
    <row r="309" ht="13.5" customHeight="1">
      <c r="E309" s="51"/>
      <c r="J309" s="51"/>
    </row>
    <row r="310" ht="13.5" customHeight="1">
      <c r="E310" s="51"/>
      <c r="J310" s="51"/>
    </row>
    <row r="311" ht="13.5" customHeight="1">
      <c r="E311" s="51"/>
      <c r="J311" s="51"/>
    </row>
    <row r="312" ht="13.5" customHeight="1">
      <c r="E312" s="51"/>
      <c r="J312" s="51"/>
    </row>
    <row r="313" ht="13.5" customHeight="1">
      <c r="E313" s="51"/>
      <c r="J313" s="51"/>
    </row>
    <row r="314" ht="13.5" customHeight="1">
      <c r="E314" s="51"/>
      <c r="J314" s="51"/>
    </row>
    <row r="315" ht="13.5" customHeight="1">
      <c r="E315" s="51"/>
      <c r="J315" s="51"/>
    </row>
    <row r="316" ht="13.5" customHeight="1">
      <c r="E316" s="51"/>
      <c r="J316" s="51"/>
    </row>
    <row r="317" ht="13.5" customHeight="1">
      <c r="E317" s="51"/>
      <c r="J317" s="51"/>
    </row>
    <row r="318" ht="13.5" customHeight="1">
      <c r="E318" s="51"/>
      <c r="J318" s="51"/>
    </row>
    <row r="319" ht="13.5" customHeight="1">
      <c r="E319" s="51"/>
      <c r="J319" s="51"/>
    </row>
    <row r="320" ht="13.5" customHeight="1">
      <c r="E320" s="51"/>
      <c r="J320" s="51"/>
    </row>
    <row r="321" ht="13.5" customHeight="1">
      <c r="E321" s="51"/>
      <c r="J321" s="51"/>
    </row>
    <row r="322" ht="13.5" customHeight="1">
      <c r="E322" s="51"/>
      <c r="J322" s="51"/>
    </row>
    <row r="323" ht="13.5" customHeight="1">
      <c r="E323" s="51"/>
      <c r="J323" s="51"/>
    </row>
    <row r="324" ht="13.5" customHeight="1">
      <c r="E324" s="51"/>
      <c r="J324" s="51"/>
    </row>
    <row r="325" ht="13.5" customHeight="1">
      <c r="E325" s="51"/>
      <c r="J325" s="51"/>
    </row>
    <row r="326" ht="13.5" customHeight="1">
      <c r="E326" s="51"/>
      <c r="J326" s="51"/>
    </row>
    <row r="327" ht="13.5" customHeight="1">
      <c r="E327" s="51"/>
      <c r="J327" s="51"/>
    </row>
    <row r="328" ht="13.5" customHeight="1">
      <c r="E328" s="51"/>
      <c r="J328" s="51"/>
    </row>
    <row r="329" ht="13.5" customHeight="1">
      <c r="E329" s="51"/>
      <c r="J329" s="51"/>
    </row>
    <row r="330" ht="13.5" customHeight="1">
      <c r="E330" s="51"/>
      <c r="J330" s="51"/>
    </row>
    <row r="331" ht="13.5" customHeight="1">
      <c r="E331" s="51"/>
      <c r="J331" s="51"/>
    </row>
    <row r="332" ht="13.5" customHeight="1">
      <c r="E332" s="51"/>
      <c r="J332" s="51"/>
    </row>
    <row r="333" ht="13.5" customHeight="1">
      <c r="E333" s="51"/>
      <c r="J333" s="51"/>
    </row>
    <row r="334" ht="13.5" customHeight="1">
      <c r="E334" s="51"/>
      <c r="J334" s="51"/>
    </row>
    <row r="335" ht="13.5" customHeight="1">
      <c r="E335" s="51"/>
      <c r="J335" s="51"/>
    </row>
    <row r="336" ht="13.5" customHeight="1">
      <c r="E336" s="51"/>
      <c r="J336" s="51"/>
    </row>
    <row r="337" ht="13.5" customHeight="1">
      <c r="E337" s="51"/>
      <c r="J337" s="51"/>
    </row>
    <row r="338" ht="13.5" customHeight="1">
      <c r="E338" s="51"/>
      <c r="J338" s="51"/>
    </row>
    <row r="339" ht="13.5" customHeight="1">
      <c r="E339" s="51"/>
      <c r="J339" s="51"/>
    </row>
    <row r="340" ht="13.5" customHeight="1">
      <c r="E340" s="51"/>
      <c r="J340" s="51"/>
    </row>
    <row r="341" ht="13.5" customHeight="1">
      <c r="E341" s="51"/>
      <c r="J341" s="51"/>
    </row>
    <row r="342" ht="13.5" customHeight="1">
      <c r="E342" s="51"/>
      <c r="J342" s="51"/>
    </row>
    <row r="343" ht="13.5" customHeight="1">
      <c r="E343" s="51"/>
      <c r="J343" s="51"/>
    </row>
    <row r="344" ht="13.5" customHeight="1">
      <c r="E344" s="51"/>
      <c r="J344" s="51"/>
    </row>
    <row r="345" ht="13.5" customHeight="1">
      <c r="E345" s="51"/>
      <c r="J345" s="51"/>
    </row>
    <row r="346" ht="13.5" customHeight="1">
      <c r="E346" s="51"/>
      <c r="J346" s="51"/>
    </row>
    <row r="347" ht="13.5" customHeight="1">
      <c r="E347" s="51"/>
      <c r="J347" s="51"/>
    </row>
    <row r="348" ht="13.5" customHeight="1">
      <c r="E348" s="51"/>
      <c r="J348" s="51"/>
    </row>
    <row r="349" ht="13.5" customHeight="1">
      <c r="E349" s="51"/>
      <c r="J349" s="51"/>
    </row>
    <row r="350" ht="13.5" customHeight="1">
      <c r="E350" s="51"/>
      <c r="J350" s="51"/>
    </row>
    <row r="351" ht="13.5" customHeight="1">
      <c r="E351" s="51"/>
      <c r="J351" s="51"/>
    </row>
    <row r="352" ht="13.5" customHeight="1">
      <c r="E352" s="51"/>
      <c r="J352" s="51"/>
    </row>
    <row r="353" ht="13.5" customHeight="1">
      <c r="E353" s="51"/>
      <c r="J353" s="51"/>
    </row>
    <row r="354" ht="13.5" customHeight="1">
      <c r="E354" s="51"/>
      <c r="J354" s="51"/>
    </row>
    <row r="355" ht="13.5" customHeight="1">
      <c r="E355" s="51"/>
      <c r="J355" s="51"/>
    </row>
    <row r="356" ht="13.5" customHeight="1">
      <c r="E356" s="51"/>
      <c r="J356" s="51"/>
    </row>
    <row r="357" ht="13.5" customHeight="1">
      <c r="E357" s="51"/>
      <c r="J357" s="51"/>
    </row>
    <row r="358" ht="13.5" customHeight="1">
      <c r="E358" s="51"/>
      <c r="J358" s="51"/>
    </row>
    <row r="359" ht="13.5" customHeight="1">
      <c r="E359" s="51"/>
      <c r="J359" s="51"/>
    </row>
    <row r="360" ht="13.5" customHeight="1">
      <c r="E360" s="51"/>
      <c r="J360" s="51"/>
    </row>
    <row r="361" ht="13.5" customHeight="1">
      <c r="E361" s="51"/>
      <c r="J361" s="51"/>
    </row>
    <row r="362" ht="13.5" customHeight="1">
      <c r="E362" s="51"/>
      <c r="J362" s="51"/>
    </row>
    <row r="363" ht="13.5" customHeight="1">
      <c r="E363" s="51"/>
      <c r="J363" s="51"/>
    </row>
    <row r="364" ht="13.5" customHeight="1">
      <c r="E364" s="51"/>
      <c r="J364" s="51"/>
    </row>
    <row r="365" ht="13.5" customHeight="1">
      <c r="E365" s="51"/>
      <c r="J365" s="51"/>
    </row>
    <row r="366" ht="13.5" customHeight="1">
      <c r="E366" s="51"/>
      <c r="J366" s="51"/>
    </row>
    <row r="367" ht="13.5" customHeight="1">
      <c r="E367" s="51"/>
      <c r="J367" s="51"/>
    </row>
    <row r="368" ht="13.5" customHeight="1">
      <c r="E368" s="51"/>
      <c r="J368" s="51"/>
    </row>
    <row r="369" ht="13.5" customHeight="1">
      <c r="E369" s="51"/>
      <c r="J369" s="51"/>
    </row>
    <row r="370" ht="13.5" customHeight="1">
      <c r="E370" s="51"/>
      <c r="J370" s="51"/>
    </row>
    <row r="371" ht="13.5" customHeight="1">
      <c r="E371" s="51"/>
      <c r="J371" s="51"/>
    </row>
    <row r="372" ht="13.5" customHeight="1">
      <c r="E372" s="51"/>
      <c r="J372" s="51"/>
    </row>
    <row r="373" ht="13.5" customHeight="1">
      <c r="E373" s="51"/>
      <c r="J373" s="51"/>
    </row>
    <row r="374" ht="13.5" customHeight="1">
      <c r="E374" s="51"/>
      <c r="J374" s="51"/>
    </row>
    <row r="375" ht="13.5" customHeight="1">
      <c r="E375" s="51"/>
      <c r="J375" s="51"/>
    </row>
    <row r="376" ht="13.5" customHeight="1">
      <c r="E376" s="51"/>
      <c r="J376" s="51"/>
    </row>
    <row r="377" ht="13.5" customHeight="1">
      <c r="E377" s="51"/>
      <c r="J377" s="51"/>
    </row>
    <row r="378" ht="13.5" customHeight="1">
      <c r="E378" s="51"/>
      <c r="J378" s="51"/>
    </row>
    <row r="379" ht="13.5" customHeight="1">
      <c r="E379" s="51"/>
      <c r="J379" s="51"/>
    </row>
    <row r="380" ht="13.5" customHeight="1">
      <c r="E380" s="51"/>
      <c r="J380" s="51"/>
    </row>
    <row r="381" ht="13.5" customHeight="1">
      <c r="E381" s="51"/>
      <c r="J381" s="51"/>
    </row>
    <row r="382" ht="13.5" customHeight="1">
      <c r="E382" s="51"/>
      <c r="J382" s="51"/>
    </row>
    <row r="383" ht="13.5" customHeight="1">
      <c r="E383" s="51"/>
      <c r="J383" s="51"/>
    </row>
    <row r="384" ht="13.5" customHeight="1">
      <c r="E384" s="51"/>
      <c r="J384" s="51"/>
    </row>
    <row r="385" ht="13.5" customHeight="1">
      <c r="E385" s="51"/>
      <c r="J385" s="51"/>
    </row>
    <row r="386" ht="13.5" customHeight="1">
      <c r="E386" s="51"/>
      <c r="J386" s="51"/>
    </row>
    <row r="387" ht="13.5" customHeight="1">
      <c r="E387" s="51"/>
      <c r="J387" s="51"/>
    </row>
    <row r="388" ht="13.5" customHeight="1">
      <c r="E388" s="51"/>
      <c r="J388" s="51"/>
    </row>
    <row r="389" ht="13.5" customHeight="1">
      <c r="E389" s="51"/>
      <c r="J389" s="51"/>
    </row>
    <row r="390" ht="13.5" customHeight="1">
      <c r="E390" s="51"/>
      <c r="J390" s="51"/>
    </row>
    <row r="391" ht="13.5" customHeight="1">
      <c r="E391" s="51"/>
      <c r="J391" s="51"/>
    </row>
    <row r="392" ht="13.5" customHeight="1">
      <c r="E392" s="51"/>
      <c r="J392" s="51"/>
    </row>
    <row r="393" ht="13.5" customHeight="1">
      <c r="E393" s="51"/>
      <c r="J393" s="51"/>
    </row>
    <row r="394" ht="13.5" customHeight="1">
      <c r="E394" s="51"/>
      <c r="J394" s="51"/>
    </row>
    <row r="395" ht="13.5" customHeight="1">
      <c r="E395" s="51"/>
      <c r="J395" s="51"/>
    </row>
    <row r="396" ht="13.5" customHeight="1">
      <c r="E396" s="51"/>
      <c r="J396" s="51"/>
    </row>
    <row r="397" ht="13.5" customHeight="1">
      <c r="E397" s="51"/>
      <c r="J397" s="51"/>
    </row>
    <row r="398" ht="13.5" customHeight="1">
      <c r="E398" s="51"/>
      <c r="J398" s="51"/>
    </row>
    <row r="399" ht="13.5" customHeight="1">
      <c r="E399" s="51"/>
      <c r="J399" s="51"/>
    </row>
    <row r="400" ht="13.5" customHeight="1">
      <c r="E400" s="51"/>
      <c r="J400" s="51"/>
    </row>
    <row r="401" ht="13.5" customHeight="1">
      <c r="E401" s="51"/>
      <c r="J401" s="51"/>
    </row>
    <row r="402" ht="13.5" customHeight="1">
      <c r="E402" s="51"/>
      <c r="J402" s="51"/>
    </row>
    <row r="403" ht="13.5" customHeight="1">
      <c r="E403" s="51"/>
      <c r="J403" s="51"/>
    </row>
    <row r="404" ht="13.5" customHeight="1">
      <c r="E404" s="51"/>
      <c r="J404" s="51"/>
    </row>
    <row r="405" ht="13.5" customHeight="1">
      <c r="E405" s="51"/>
      <c r="J405" s="51"/>
    </row>
    <row r="406" ht="13.5" customHeight="1">
      <c r="E406" s="51"/>
      <c r="J406" s="51"/>
    </row>
    <row r="407" ht="13.5" customHeight="1">
      <c r="E407" s="51"/>
      <c r="J407" s="51"/>
    </row>
    <row r="408" ht="13.5" customHeight="1">
      <c r="E408" s="51"/>
      <c r="J408" s="51"/>
    </row>
    <row r="409" ht="13.5" customHeight="1">
      <c r="E409" s="51"/>
      <c r="J409" s="51"/>
    </row>
    <row r="410" ht="13.5" customHeight="1">
      <c r="E410" s="51"/>
      <c r="J410" s="51"/>
    </row>
    <row r="411" ht="13.5" customHeight="1">
      <c r="E411" s="51"/>
      <c r="J411" s="51"/>
    </row>
    <row r="412" ht="13.5" customHeight="1">
      <c r="E412" s="51"/>
      <c r="J412" s="51"/>
    </row>
    <row r="413" ht="13.5" customHeight="1">
      <c r="E413" s="51"/>
      <c r="J413" s="51"/>
    </row>
    <row r="414" ht="13.5" customHeight="1">
      <c r="E414" s="51"/>
      <c r="J414" s="51"/>
    </row>
    <row r="415" ht="13.5" customHeight="1">
      <c r="E415" s="51"/>
      <c r="J415" s="51"/>
    </row>
    <row r="416" ht="13.5" customHeight="1">
      <c r="E416" s="51"/>
      <c r="J416" s="51"/>
    </row>
    <row r="417" ht="13.5" customHeight="1">
      <c r="E417" s="51"/>
      <c r="J417" s="51"/>
    </row>
    <row r="418" ht="13.5" customHeight="1">
      <c r="E418" s="51"/>
      <c r="J418" s="51"/>
    </row>
    <row r="419" ht="13.5" customHeight="1">
      <c r="E419" s="51"/>
      <c r="J419" s="51"/>
    </row>
    <row r="420" ht="13.5" customHeight="1">
      <c r="E420" s="51"/>
      <c r="J420" s="51"/>
    </row>
    <row r="421" ht="13.5" customHeight="1">
      <c r="E421" s="51"/>
      <c r="J421" s="51"/>
    </row>
    <row r="422" ht="13.5" customHeight="1">
      <c r="E422" s="51"/>
      <c r="J422" s="51"/>
    </row>
    <row r="423" ht="13.5" customHeight="1">
      <c r="E423" s="51"/>
      <c r="J423" s="51"/>
    </row>
    <row r="424" ht="13.5" customHeight="1">
      <c r="E424" s="51"/>
      <c r="J424" s="51"/>
    </row>
    <row r="425" ht="13.5" customHeight="1">
      <c r="E425" s="51"/>
      <c r="J425" s="51"/>
    </row>
    <row r="426" ht="13.5" customHeight="1">
      <c r="E426" s="51"/>
      <c r="J426" s="51"/>
    </row>
    <row r="427" ht="13.5" customHeight="1">
      <c r="E427" s="51"/>
      <c r="J427" s="51"/>
    </row>
    <row r="428" ht="13.5" customHeight="1">
      <c r="E428" s="51"/>
      <c r="J428" s="51"/>
    </row>
    <row r="429" ht="13.5" customHeight="1">
      <c r="E429" s="51"/>
      <c r="J429" s="51"/>
    </row>
    <row r="430" ht="13.5" customHeight="1">
      <c r="E430" s="51"/>
      <c r="J430" s="51"/>
    </row>
    <row r="431" ht="13.5" customHeight="1">
      <c r="E431" s="51"/>
      <c r="J431" s="51"/>
    </row>
    <row r="432" ht="13.5" customHeight="1">
      <c r="E432" s="51"/>
      <c r="J432" s="51"/>
    </row>
    <row r="433" ht="13.5" customHeight="1">
      <c r="E433" s="51"/>
      <c r="J433" s="51"/>
    </row>
    <row r="434" ht="13.5" customHeight="1">
      <c r="E434" s="51"/>
      <c r="J434" s="51"/>
    </row>
    <row r="435" ht="13.5" customHeight="1">
      <c r="E435" s="51"/>
      <c r="J435" s="51"/>
    </row>
    <row r="436" ht="13.5" customHeight="1">
      <c r="E436" s="51"/>
      <c r="J436" s="51"/>
    </row>
    <row r="437" ht="13.5" customHeight="1">
      <c r="E437" s="51"/>
      <c r="J437" s="51"/>
    </row>
    <row r="438" ht="13.5" customHeight="1">
      <c r="E438" s="51"/>
      <c r="J438" s="51"/>
    </row>
    <row r="439" ht="13.5" customHeight="1">
      <c r="E439" s="51"/>
      <c r="J439" s="51"/>
    </row>
    <row r="440" ht="13.5" customHeight="1">
      <c r="E440" s="51"/>
      <c r="J440" s="51"/>
    </row>
    <row r="441" ht="13.5" customHeight="1">
      <c r="E441" s="51"/>
      <c r="J441" s="51"/>
    </row>
    <row r="442" ht="13.5" customHeight="1">
      <c r="E442" s="51"/>
      <c r="J442" s="51"/>
    </row>
    <row r="443" ht="13.5" customHeight="1">
      <c r="E443" s="51"/>
      <c r="J443" s="51"/>
    </row>
    <row r="444" ht="13.5" customHeight="1">
      <c r="E444" s="51"/>
      <c r="J444" s="51"/>
    </row>
    <row r="445" ht="13.5" customHeight="1">
      <c r="E445" s="51"/>
      <c r="J445" s="51"/>
    </row>
    <row r="446" ht="13.5" customHeight="1">
      <c r="E446" s="51"/>
      <c r="J446" s="51"/>
    </row>
    <row r="447" ht="13.5" customHeight="1">
      <c r="E447" s="51"/>
      <c r="J447" s="51"/>
    </row>
    <row r="448" ht="13.5" customHeight="1">
      <c r="E448" s="51"/>
      <c r="J448" s="51"/>
    </row>
    <row r="449" ht="13.5" customHeight="1">
      <c r="E449" s="51"/>
      <c r="J449" s="51"/>
    </row>
    <row r="450" ht="13.5" customHeight="1">
      <c r="E450" s="51"/>
      <c r="J450" s="51"/>
    </row>
    <row r="451" ht="13.5" customHeight="1">
      <c r="E451" s="51"/>
      <c r="J451" s="51"/>
    </row>
    <row r="452" ht="13.5" customHeight="1">
      <c r="E452" s="51"/>
      <c r="J452" s="51"/>
    </row>
    <row r="453" ht="13.5" customHeight="1">
      <c r="E453" s="51"/>
      <c r="J453" s="51"/>
    </row>
    <row r="454" ht="13.5" customHeight="1">
      <c r="E454" s="51"/>
      <c r="J454" s="51"/>
    </row>
    <row r="455" ht="13.5" customHeight="1">
      <c r="E455" s="51"/>
      <c r="J455" s="51"/>
    </row>
    <row r="456" ht="13.5" customHeight="1">
      <c r="E456" s="51"/>
      <c r="J456" s="51"/>
    </row>
    <row r="457" ht="13.5" customHeight="1">
      <c r="E457" s="51"/>
      <c r="J457" s="51"/>
    </row>
    <row r="458" ht="13.5" customHeight="1">
      <c r="E458" s="51"/>
      <c r="J458" s="51"/>
    </row>
    <row r="459" ht="13.5" customHeight="1">
      <c r="E459" s="51"/>
      <c r="J459" s="51"/>
    </row>
    <row r="460" ht="13.5" customHeight="1">
      <c r="E460" s="51"/>
      <c r="J460" s="51"/>
    </row>
    <row r="461" ht="13.5" customHeight="1">
      <c r="E461" s="51"/>
      <c r="J461" s="51"/>
    </row>
    <row r="462" ht="13.5" customHeight="1">
      <c r="E462" s="51"/>
      <c r="J462" s="51"/>
    </row>
    <row r="463" ht="13.5" customHeight="1">
      <c r="E463" s="51"/>
      <c r="J463" s="51"/>
    </row>
    <row r="464" ht="13.5" customHeight="1">
      <c r="E464" s="51"/>
      <c r="J464" s="51"/>
    </row>
    <row r="465" ht="13.5" customHeight="1">
      <c r="E465" s="51"/>
      <c r="J465" s="51"/>
    </row>
    <row r="466" ht="13.5" customHeight="1">
      <c r="E466" s="51"/>
      <c r="J466" s="51"/>
    </row>
    <row r="467" ht="13.5" customHeight="1">
      <c r="E467" s="51"/>
      <c r="J467" s="51"/>
    </row>
    <row r="468" ht="13.5" customHeight="1">
      <c r="E468" s="51"/>
      <c r="J468" s="51"/>
    </row>
    <row r="469" ht="13.5" customHeight="1">
      <c r="E469" s="51"/>
      <c r="J469" s="51"/>
    </row>
    <row r="470" ht="13.5" customHeight="1">
      <c r="E470" s="51"/>
      <c r="J470" s="51"/>
    </row>
    <row r="471" ht="13.5" customHeight="1">
      <c r="E471" s="51"/>
      <c r="J471" s="51"/>
    </row>
    <row r="472" ht="13.5" customHeight="1">
      <c r="E472" s="51"/>
      <c r="J472" s="51"/>
    </row>
    <row r="473" ht="13.5" customHeight="1">
      <c r="E473" s="51"/>
      <c r="J473" s="51"/>
    </row>
    <row r="474" ht="13.5" customHeight="1">
      <c r="E474" s="51"/>
      <c r="J474" s="51"/>
    </row>
    <row r="475" ht="13.5" customHeight="1">
      <c r="E475" s="51"/>
      <c r="J475" s="51"/>
    </row>
    <row r="476" ht="13.5" customHeight="1">
      <c r="E476" s="51"/>
      <c r="J476" s="51"/>
    </row>
    <row r="477" ht="13.5" customHeight="1">
      <c r="E477" s="51"/>
      <c r="J477" s="51"/>
    </row>
    <row r="478" ht="13.5" customHeight="1">
      <c r="E478" s="51"/>
      <c r="J478" s="51"/>
    </row>
    <row r="479" ht="13.5" customHeight="1">
      <c r="E479" s="51"/>
      <c r="J479" s="51"/>
    </row>
    <row r="480" ht="13.5" customHeight="1">
      <c r="E480" s="51"/>
      <c r="J480" s="51"/>
    </row>
    <row r="481" ht="13.5" customHeight="1">
      <c r="E481" s="51"/>
      <c r="J481" s="51"/>
    </row>
    <row r="482" ht="13.5" customHeight="1">
      <c r="E482" s="51"/>
      <c r="J482" s="51"/>
    </row>
    <row r="483" ht="13.5" customHeight="1">
      <c r="E483" s="51"/>
      <c r="J483" s="51"/>
    </row>
    <row r="484" ht="13.5" customHeight="1">
      <c r="E484" s="51"/>
      <c r="J484" s="51"/>
    </row>
    <row r="485" ht="13.5" customHeight="1">
      <c r="E485" s="51"/>
      <c r="J485" s="51"/>
    </row>
    <row r="486" ht="13.5" customHeight="1">
      <c r="E486" s="51"/>
      <c r="J486" s="51"/>
    </row>
    <row r="487" ht="13.5" customHeight="1">
      <c r="E487" s="51"/>
      <c r="J487" s="51"/>
    </row>
    <row r="488" ht="13.5" customHeight="1">
      <c r="E488" s="51"/>
      <c r="J488" s="51"/>
    </row>
    <row r="489" ht="13.5" customHeight="1">
      <c r="E489" s="51"/>
      <c r="J489" s="51"/>
    </row>
    <row r="490" ht="13.5" customHeight="1">
      <c r="E490" s="51"/>
      <c r="J490" s="51"/>
    </row>
    <row r="491" ht="13.5" customHeight="1">
      <c r="E491" s="51"/>
      <c r="J491" s="51"/>
    </row>
    <row r="492" ht="13.5" customHeight="1">
      <c r="E492" s="51"/>
      <c r="J492" s="51"/>
    </row>
    <row r="493" ht="13.5" customHeight="1">
      <c r="E493" s="51"/>
      <c r="J493" s="51"/>
    </row>
    <row r="494" ht="13.5" customHeight="1">
      <c r="E494" s="51"/>
      <c r="J494" s="51"/>
    </row>
    <row r="495" ht="13.5" customHeight="1">
      <c r="E495" s="51"/>
      <c r="J495" s="51"/>
    </row>
    <row r="496" ht="13.5" customHeight="1">
      <c r="E496" s="51"/>
      <c r="J496" s="51"/>
    </row>
    <row r="497" ht="13.5" customHeight="1">
      <c r="E497" s="51"/>
      <c r="J497" s="51"/>
    </row>
    <row r="498" ht="13.5" customHeight="1">
      <c r="E498" s="51"/>
      <c r="J498" s="51"/>
    </row>
    <row r="499" ht="13.5" customHeight="1">
      <c r="E499" s="51"/>
      <c r="J499" s="51"/>
    </row>
    <row r="500" ht="13.5" customHeight="1">
      <c r="E500" s="51"/>
      <c r="J500" s="51"/>
    </row>
    <row r="501" ht="13.5" customHeight="1">
      <c r="E501" s="51"/>
      <c r="J501" s="51"/>
    </row>
    <row r="502" ht="13.5" customHeight="1">
      <c r="E502" s="51"/>
      <c r="J502" s="51"/>
    </row>
    <row r="503" ht="13.5" customHeight="1">
      <c r="E503" s="51"/>
      <c r="J503" s="51"/>
    </row>
    <row r="504" ht="13.5" customHeight="1">
      <c r="E504" s="51"/>
      <c r="J504" s="51"/>
    </row>
    <row r="505" ht="13.5" customHeight="1">
      <c r="E505" s="51"/>
      <c r="J505" s="51"/>
    </row>
    <row r="506" ht="13.5" customHeight="1">
      <c r="E506" s="51"/>
      <c r="J506" s="51"/>
    </row>
    <row r="507" ht="13.5" customHeight="1">
      <c r="E507" s="51"/>
      <c r="J507" s="51"/>
    </row>
    <row r="508" ht="13.5" customHeight="1">
      <c r="E508" s="51"/>
      <c r="J508" s="51"/>
    </row>
    <row r="509" ht="13.5" customHeight="1">
      <c r="E509" s="51"/>
      <c r="J509" s="51"/>
    </row>
    <row r="510" ht="13.5" customHeight="1">
      <c r="E510" s="51"/>
      <c r="J510" s="51"/>
    </row>
    <row r="511" ht="13.5" customHeight="1">
      <c r="E511" s="51"/>
      <c r="J511" s="51"/>
    </row>
    <row r="512" ht="13.5" customHeight="1">
      <c r="E512" s="51"/>
      <c r="J512" s="51"/>
    </row>
    <row r="513" ht="13.5" customHeight="1">
      <c r="E513" s="51"/>
      <c r="J513" s="51"/>
    </row>
    <row r="514" ht="13.5" customHeight="1">
      <c r="E514" s="51"/>
      <c r="J514" s="51"/>
    </row>
    <row r="515" ht="13.5" customHeight="1">
      <c r="E515" s="51"/>
      <c r="J515" s="51"/>
    </row>
    <row r="516" ht="13.5" customHeight="1">
      <c r="E516" s="51"/>
      <c r="J516" s="51"/>
    </row>
    <row r="517" ht="13.5" customHeight="1">
      <c r="E517" s="51"/>
      <c r="J517" s="51"/>
    </row>
    <row r="518" ht="13.5" customHeight="1">
      <c r="E518" s="51"/>
      <c r="J518" s="51"/>
    </row>
    <row r="519" ht="13.5" customHeight="1">
      <c r="E519" s="51"/>
      <c r="J519" s="51"/>
    </row>
    <row r="520" ht="13.5" customHeight="1">
      <c r="E520" s="51"/>
      <c r="J520" s="51"/>
    </row>
    <row r="521" ht="13.5" customHeight="1">
      <c r="E521" s="51"/>
      <c r="J521" s="51"/>
    </row>
    <row r="522" ht="13.5" customHeight="1">
      <c r="E522" s="51"/>
      <c r="J522" s="51"/>
    </row>
    <row r="523" ht="13.5" customHeight="1">
      <c r="E523" s="51"/>
      <c r="J523" s="51"/>
    </row>
    <row r="524" ht="13.5" customHeight="1">
      <c r="E524" s="51"/>
      <c r="J524" s="51"/>
    </row>
    <row r="525" ht="13.5" customHeight="1">
      <c r="E525" s="51"/>
      <c r="J525" s="51"/>
    </row>
    <row r="526" ht="13.5" customHeight="1">
      <c r="E526" s="51"/>
      <c r="J526" s="51"/>
    </row>
    <row r="527" ht="13.5" customHeight="1">
      <c r="E527" s="51"/>
      <c r="J527" s="51"/>
    </row>
    <row r="528" ht="13.5" customHeight="1">
      <c r="E528" s="51"/>
      <c r="J528" s="51"/>
    </row>
    <row r="529" ht="13.5" customHeight="1">
      <c r="E529" s="51"/>
      <c r="J529" s="51"/>
    </row>
    <row r="530" ht="13.5" customHeight="1">
      <c r="E530" s="51"/>
      <c r="J530" s="51"/>
    </row>
    <row r="531" ht="13.5" customHeight="1">
      <c r="E531" s="51"/>
      <c r="J531" s="51"/>
    </row>
    <row r="532" ht="13.5" customHeight="1">
      <c r="E532" s="51"/>
      <c r="J532" s="51"/>
    </row>
    <row r="533" ht="13.5" customHeight="1">
      <c r="E533" s="51"/>
      <c r="J533" s="51"/>
    </row>
    <row r="534" ht="13.5" customHeight="1">
      <c r="E534" s="51"/>
      <c r="J534" s="51"/>
    </row>
    <row r="535" ht="13.5" customHeight="1">
      <c r="E535" s="51"/>
      <c r="J535" s="51"/>
    </row>
    <row r="536" ht="13.5" customHeight="1">
      <c r="E536" s="51"/>
      <c r="J536" s="51"/>
    </row>
    <row r="537" ht="13.5" customHeight="1">
      <c r="E537" s="51"/>
      <c r="J537" s="51"/>
    </row>
    <row r="538" ht="13.5" customHeight="1">
      <c r="E538" s="51"/>
      <c r="J538" s="51"/>
    </row>
    <row r="539" ht="13.5" customHeight="1">
      <c r="E539" s="51"/>
      <c r="J539" s="51"/>
    </row>
    <row r="540" ht="13.5" customHeight="1">
      <c r="E540" s="51"/>
      <c r="J540" s="51"/>
    </row>
    <row r="541" ht="13.5" customHeight="1">
      <c r="E541" s="51"/>
      <c r="J541" s="51"/>
    </row>
    <row r="542" ht="13.5" customHeight="1">
      <c r="E542" s="51"/>
      <c r="J542" s="51"/>
    </row>
    <row r="543" ht="13.5" customHeight="1">
      <c r="E543" s="51"/>
      <c r="J543" s="51"/>
    </row>
    <row r="544" ht="13.5" customHeight="1">
      <c r="E544" s="51"/>
      <c r="J544" s="51"/>
    </row>
    <row r="545" ht="13.5" customHeight="1">
      <c r="E545" s="51"/>
      <c r="J545" s="51"/>
    </row>
    <row r="546" ht="13.5" customHeight="1">
      <c r="E546" s="51"/>
      <c r="J546" s="51"/>
    </row>
    <row r="547" ht="13.5" customHeight="1">
      <c r="E547" s="51"/>
      <c r="J547" s="51"/>
    </row>
    <row r="548" ht="13.5" customHeight="1">
      <c r="E548" s="51"/>
      <c r="J548" s="51"/>
    </row>
    <row r="549" ht="13.5" customHeight="1">
      <c r="E549" s="51"/>
      <c r="J549" s="51"/>
    </row>
    <row r="550" ht="13.5" customHeight="1">
      <c r="E550" s="51"/>
      <c r="J550" s="51"/>
    </row>
    <row r="551" ht="13.5" customHeight="1">
      <c r="E551" s="51"/>
      <c r="J551" s="51"/>
    </row>
    <row r="552" ht="13.5" customHeight="1">
      <c r="E552" s="51"/>
      <c r="J552" s="51"/>
    </row>
    <row r="553" ht="13.5" customHeight="1">
      <c r="E553" s="51"/>
      <c r="J553" s="51"/>
    </row>
    <row r="554" ht="13.5" customHeight="1">
      <c r="E554" s="51"/>
      <c r="J554" s="51"/>
    </row>
    <row r="555" ht="13.5" customHeight="1">
      <c r="E555" s="51"/>
      <c r="J555" s="51"/>
    </row>
    <row r="556" ht="13.5" customHeight="1">
      <c r="E556" s="51"/>
      <c r="J556" s="51"/>
    </row>
    <row r="557" ht="13.5" customHeight="1">
      <c r="E557" s="51"/>
      <c r="J557" s="51"/>
    </row>
    <row r="558" ht="13.5" customHeight="1">
      <c r="E558" s="51"/>
      <c r="J558" s="51"/>
    </row>
    <row r="559" ht="13.5" customHeight="1">
      <c r="E559" s="51"/>
      <c r="J559" s="51"/>
    </row>
    <row r="560" ht="13.5" customHeight="1">
      <c r="E560" s="51"/>
      <c r="J560" s="51"/>
    </row>
    <row r="561" ht="13.5" customHeight="1">
      <c r="E561" s="51"/>
      <c r="J561" s="51"/>
    </row>
    <row r="562" ht="13.5" customHeight="1">
      <c r="E562" s="51"/>
      <c r="J562" s="51"/>
    </row>
    <row r="563" ht="13.5" customHeight="1">
      <c r="E563" s="51"/>
      <c r="J563" s="51"/>
    </row>
    <row r="564" ht="13.5" customHeight="1">
      <c r="E564" s="51"/>
      <c r="J564" s="51"/>
    </row>
    <row r="565" ht="13.5" customHeight="1">
      <c r="E565" s="51"/>
      <c r="J565" s="51"/>
    </row>
    <row r="566" ht="13.5" customHeight="1">
      <c r="E566" s="51"/>
      <c r="J566" s="51"/>
    </row>
    <row r="567" ht="13.5" customHeight="1">
      <c r="E567" s="51"/>
      <c r="J567" s="51"/>
    </row>
    <row r="568" ht="13.5" customHeight="1">
      <c r="E568" s="51"/>
      <c r="J568" s="51"/>
    </row>
    <row r="569" ht="13.5" customHeight="1">
      <c r="E569" s="51"/>
      <c r="J569" s="51"/>
    </row>
    <row r="570" ht="13.5" customHeight="1">
      <c r="E570" s="51"/>
      <c r="J570" s="51"/>
    </row>
    <row r="571" ht="13.5" customHeight="1">
      <c r="E571" s="51"/>
      <c r="J571" s="51"/>
    </row>
    <row r="572" ht="13.5" customHeight="1">
      <c r="E572" s="51"/>
      <c r="J572" s="51"/>
    </row>
    <row r="573" ht="13.5" customHeight="1">
      <c r="E573" s="51"/>
      <c r="J573" s="51"/>
    </row>
    <row r="574" ht="13.5" customHeight="1">
      <c r="E574" s="51"/>
      <c r="J574" s="51"/>
    </row>
    <row r="575" ht="13.5" customHeight="1">
      <c r="E575" s="51"/>
      <c r="J575" s="51"/>
    </row>
    <row r="576" ht="13.5" customHeight="1">
      <c r="E576" s="51"/>
      <c r="J576" s="51"/>
    </row>
    <row r="577" ht="13.5" customHeight="1">
      <c r="E577" s="51"/>
      <c r="J577" s="51"/>
    </row>
    <row r="578" ht="13.5" customHeight="1">
      <c r="E578" s="51"/>
      <c r="J578" s="51"/>
    </row>
    <row r="579" ht="13.5" customHeight="1">
      <c r="E579" s="51"/>
      <c r="J579" s="51"/>
    </row>
    <row r="580" ht="13.5" customHeight="1">
      <c r="E580" s="51"/>
      <c r="J580" s="51"/>
    </row>
    <row r="581" ht="13.5" customHeight="1">
      <c r="E581" s="51"/>
      <c r="J581" s="51"/>
    </row>
    <row r="582" ht="13.5" customHeight="1">
      <c r="E582" s="51"/>
      <c r="J582" s="51"/>
    </row>
    <row r="583" ht="13.5" customHeight="1">
      <c r="E583" s="51"/>
      <c r="J583" s="51"/>
    </row>
    <row r="584" ht="13.5" customHeight="1">
      <c r="E584" s="51"/>
      <c r="J584" s="51"/>
    </row>
    <row r="585" ht="13.5" customHeight="1">
      <c r="E585" s="51"/>
      <c r="J585" s="51"/>
    </row>
    <row r="586" ht="13.5" customHeight="1">
      <c r="E586" s="51"/>
      <c r="J586" s="51"/>
    </row>
    <row r="587" ht="13.5" customHeight="1">
      <c r="E587" s="51"/>
      <c r="J587" s="51"/>
    </row>
    <row r="588" ht="13.5" customHeight="1">
      <c r="E588" s="51"/>
      <c r="J588" s="51"/>
    </row>
    <row r="589" ht="13.5" customHeight="1">
      <c r="E589" s="51"/>
      <c r="J589" s="51"/>
    </row>
    <row r="590" ht="13.5" customHeight="1">
      <c r="E590" s="51"/>
      <c r="J590" s="51"/>
    </row>
    <row r="591" ht="13.5" customHeight="1">
      <c r="E591" s="51"/>
      <c r="J591" s="51"/>
    </row>
    <row r="592" ht="13.5" customHeight="1">
      <c r="E592" s="51"/>
      <c r="J592" s="51"/>
    </row>
    <row r="593" ht="13.5" customHeight="1">
      <c r="E593" s="51"/>
      <c r="J593" s="51"/>
    </row>
    <row r="594" ht="13.5" customHeight="1">
      <c r="E594" s="51"/>
      <c r="J594" s="51"/>
    </row>
    <row r="595" ht="13.5" customHeight="1">
      <c r="E595" s="51"/>
      <c r="J595" s="51"/>
    </row>
    <row r="596" ht="13.5" customHeight="1">
      <c r="E596" s="51"/>
      <c r="J596" s="51"/>
    </row>
    <row r="597" ht="13.5" customHeight="1">
      <c r="E597" s="51"/>
      <c r="J597" s="51"/>
    </row>
    <row r="598" ht="13.5" customHeight="1">
      <c r="E598" s="51"/>
      <c r="J598" s="51"/>
    </row>
    <row r="599" ht="13.5" customHeight="1">
      <c r="E599" s="51"/>
      <c r="J599" s="51"/>
    </row>
    <row r="600" ht="13.5" customHeight="1">
      <c r="E600" s="51"/>
      <c r="J600" s="51"/>
    </row>
    <row r="601" ht="13.5" customHeight="1">
      <c r="E601" s="51"/>
      <c r="J601" s="51"/>
    </row>
    <row r="602" ht="13.5" customHeight="1">
      <c r="E602" s="51"/>
      <c r="J602" s="51"/>
    </row>
    <row r="603" ht="13.5" customHeight="1">
      <c r="E603" s="51"/>
      <c r="J603" s="51"/>
    </row>
    <row r="604" ht="13.5" customHeight="1">
      <c r="E604" s="51"/>
      <c r="J604" s="51"/>
    </row>
    <row r="605" ht="13.5" customHeight="1">
      <c r="E605" s="51"/>
      <c r="J605" s="51"/>
    </row>
    <row r="606" ht="13.5" customHeight="1">
      <c r="E606" s="51"/>
      <c r="J606" s="51"/>
    </row>
    <row r="607" ht="13.5" customHeight="1">
      <c r="E607" s="51"/>
      <c r="J607" s="51"/>
    </row>
    <row r="608" ht="13.5" customHeight="1">
      <c r="E608" s="51"/>
      <c r="J608" s="51"/>
    </row>
    <row r="609" ht="13.5" customHeight="1">
      <c r="E609" s="51"/>
      <c r="J609" s="51"/>
    </row>
    <row r="610" ht="13.5" customHeight="1">
      <c r="E610" s="51"/>
      <c r="J610" s="51"/>
    </row>
    <row r="611" ht="13.5" customHeight="1">
      <c r="E611" s="51"/>
      <c r="J611" s="51"/>
    </row>
    <row r="612" ht="13.5" customHeight="1">
      <c r="E612" s="51"/>
      <c r="J612" s="51"/>
    </row>
    <row r="613" ht="13.5" customHeight="1">
      <c r="E613" s="51"/>
      <c r="J613" s="51"/>
    </row>
    <row r="614" ht="13.5" customHeight="1">
      <c r="E614" s="51"/>
      <c r="J614" s="51"/>
    </row>
    <row r="615" ht="13.5" customHeight="1">
      <c r="E615" s="51"/>
      <c r="J615" s="51"/>
    </row>
    <row r="616" ht="13.5" customHeight="1">
      <c r="E616" s="51"/>
      <c r="J616" s="51"/>
    </row>
    <row r="617" ht="13.5" customHeight="1">
      <c r="E617" s="51"/>
      <c r="J617" s="51"/>
    </row>
    <row r="618" ht="13.5" customHeight="1">
      <c r="E618" s="51"/>
      <c r="J618" s="51"/>
    </row>
    <row r="619" ht="13.5" customHeight="1">
      <c r="E619" s="51"/>
      <c r="J619" s="51"/>
    </row>
    <row r="620" ht="13.5" customHeight="1">
      <c r="E620" s="51"/>
      <c r="J620" s="51"/>
    </row>
    <row r="621" ht="13.5" customHeight="1">
      <c r="E621" s="51"/>
      <c r="J621" s="51"/>
    </row>
    <row r="622" ht="13.5" customHeight="1">
      <c r="E622" s="51"/>
      <c r="J622" s="51"/>
    </row>
    <row r="623" ht="13.5" customHeight="1">
      <c r="E623" s="51"/>
      <c r="J623" s="51"/>
    </row>
    <row r="624" ht="13.5" customHeight="1">
      <c r="E624" s="51"/>
      <c r="J624" s="51"/>
    </row>
    <row r="625" ht="13.5" customHeight="1">
      <c r="E625" s="51"/>
      <c r="J625" s="51"/>
    </row>
    <row r="626" ht="13.5" customHeight="1">
      <c r="E626" s="51"/>
      <c r="J626" s="51"/>
    </row>
    <row r="627" ht="13.5" customHeight="1">
      <c r="E627" s="51"/>
      <c r="J627" s="51"/>
    </row>
    <row r="628" ht="13.5" customHeight="1">
      <c r="E628" s="51"/>
      <c r="J628" s="51"/>
    </row>
    <row r="629" ht="13.5" customHeight="1">
      <c r="E629" s="51"/>
      <c r="J629" s="51"/>
    </row>
    <row r="630" ht="13.5" customHeight="1">
      <c r="E630" s="51"/>
      <c r="J630" s="51"/>
    </row>
    <row r="631" ht="13.5" customHeight="1">
      <c r="E631" s="51"/>
      <c r="J631" s="51"/>
    </row>
    <row r="632" ht="13.5" customHeight="1">
      <c r="E632" s="51"/>
      <c r="J632" s="51"/>
    </row>
    <row r="633" ht="13.5" customHeight="1">
      <c r="E633" s="51"/>
      <c r="J633" s="51"/>
    </row>
    <row r="634" ht="13.5" customHeight="1">
      <c r="E634" s="51"/>
      <c r="J634" s="51"/>
    </row>
    <row r="635" ht="13.5" customHeight="1">
      <c r="E635" s="51"/>
      <c r="J635" s="51"/>
    </row>
    <row r="636" ht="13.5" customHeight="1">
      <c r="E636" s="51"/>
      <c r="J636" s="51"/>
    </row>
    <row r="637" ht="13.5" customHeight="1">
      <c r="E637" s="51"/>
      <c r="J637" s="51"/>
    </row>
    <row r="638" ht="13.5" customHeight="1">
      <c r="E638" s="51"/>
      <c r="J638" s="51"/>
    </row>
    <row r="639" ht="13.5" customHeight="1">
      <c r="E639" s="51"/>
      <c r="J639" s="51"/>
    </row>
    <row r="640" ht="13.5" customHeight="1">
      <c r="E640" s="51"/>
      <c r="J640" s="51"/>
    </row>
    <row r="641" ht="13.5" customHeight="1">
      <c r="E641" s="51"/>
      <c r="J641" s="51"/>
    </row>
    <row r="642" ht="13.5" customHeight="1">
      <c r="E642" s="51"/>
      <c r="J642" s="51"/>
    </row>
    <row r="643" ht="13.5" customHeight="1">
      <c r="E643" s="51"/>
      <c r="J643" s="51"/>
    </row>
    <row r="644" ht="13.5" customHeight="1">
      <c r="E644" s="51"/>
      <c r="J644" s="51"/>
    </row>
    <row r="645" ht="13.5" customHeight="1">
      <c r="E645" s="51"/>
      <c r="J645" s="51"/>
    </row>
    <row r="646" ht="13.5" customHeight="1">
      <c r="E646" s="51"/>
      <c r="J646" s="51"/>
    </row>
    <row r="647" ht="13.5" customHeight="1">
      <c r="E647" s="51"/>
      <c r="J647" s="51"/>
    </row>
    <row r="648" ht="13.5" customHeight="1">
      <c r="E648" s="51"/>
      <c r="J648" s="51"/>
    </row>
    <row r="649" ht="13.5" customHeight="1">
      <c r="E649" s="51"/>
      <c r="J649" s="51"/>
    </row>
    <row r="650" ht="13.5" customHeight="1">
      <c r="E650" s="51"/>
      <c r="J650" s="51"/>
    </row>
    <row r="651" ht="13.5" customHeight="1">
      <c r="E651" s="51"/>
      <c r="J651" s="51"/>
    </row>
    <row r="652" ht="13.5" customHeight="1">
      <c r="E652" s="51"/>
      <c r="J652" s="51"/>
    </row>
    <row r="653" ht="13.5" customHeight="1">
      <c r="E653" s="51"/>
      <c r="J653" s="51"/>
    </row>
    <row r="654" ht="13.5" customHeight="1">
      <c r="E654" s="51"/>
      <c r="J654" s="51"/>
    </row>
    <row r="655" ht="13.5" customHeight="1">
      <c r="E655" s="51"/>
      <c r="J655" s="51"/>
    </row>
    <row r="656" ht="13.5" customHeight="1">
      <c r="E656" s="51"/>
      <c r="J656" s="51"/>
    </row>
    <row r="657" ht="13.5" customHeight="1">
      <c r="E657" s="51"/>
      <c r="J657" s="51"/>
    </row>
    <row r="658" ht="13.5" customHeight="1">
      <c r="E658" s="51"/>
      <c r="J658" s="51"/>
    </row>
    <row r="659" ht="13.5" customHeight="1">
      <c r="E659" s="51"/>
      <c r="J659" s="51"/>
    </row>
    <row r="660" ht="13.5" customHeight="1">
      <c r="E660" s="51"/>
      <c r="J660" s="51"/>
    </row>
    <row r="661" ht="13.5" customHeight="1">
      <c r="E661" s="51"/>
      <c r="J661" s="51"/>
    </row>
    <row r="662" ht="13.5" customHeight="1">
      <c r="E662" s="51"/>
      <c r="J662" s="51"/>
    </row>
    <row r="663" ht="13.5" customHeight="1">
      <c r="E663" s="51"/>
      <c r="J663" s="51"/>
    </row>
    <row r="664" ht="13.5" customHeight="1">
      <c r="E664" s="51"/>
      <c r="J664" s="51"/>
    </row>
    <row r="665" ht="13.5" customHeight="1">
      <c r="E665" s="51"/>
      <c r="J665" s="51"/>
    </row>
    <row r="666" ht="13.5" customHeight="1">
      <c r="E666" s="51"/>
      <c r="J666" s="51"/>
    </row>
    <row r="667" ht="13.5" customHeight="1">
      <c r="E667" s="51"/>
      <c r="J667" s="51"/>
    </row>
    <row r="668" ht="13.5" customHeight="1">
      <c r="E668" s="51"/>
      <c r="J668" s="51"/>
    </row>
    <row r="669" ht="13.5" customHeight="1">
      <c r="E669" s="51"/>
      <c r="J669" s="51"/>
    </row>
    <row r="670" ht="13.5" customHeight="1">
      <c r="E670" s="51"/>
      <c r="J670" s="51"/>
    </row>
    <row r="671" ht="13.5" customHeight="1">
      <c r="E671" s="51"/>
      <c r="J671" s="51"/>
    </row>
    <row r="672" ht="13.5" customHeight="1">
      <c r="E672" s="51"/>
      <c r="J672" s="51"/>
    </row>
    <row r="673" ht="13.5" customHeight="1">
      <c r="E673" s="51"/>
      <c r="J673" s="51"/>
    </row>
    <row r="674" ht="13.5" customHeight="1">
      <c r="E674" s="51"/>
      <c r="J674" s="51"/>
    </row>
    <row r="675" ht="13.5" customHeight="1">
      <c r="E675" s="51"/>
      <c r="J675" s="51"/>
    </row>
    <row r="676" ht="13.5" customHeight="1">
      <c r="E676" s="51"/>
      <c r="J676" s="51"/>
    </row>
    <row r="677" ht="13.5" customHeight="1">
      <c r="E677" s="51"/>
      <c r="J677" s="51"/>
    </row>
    <row r="678" ht="13.5" customHeight="1">
      <c r="E678" s="51"/>
      <c r="J678" s="51"/>
    </row>
    <row r="679" ht="13.5" customHeight="1">
      <c r="E679" s="51"/>
      <c r="J679" s="51"/>
    </row>
    <row r="680" ht="13.5" customHeight="1">
      <c r="E680" s="51"/>
      <c r="J680" s="51"/>
    </row>
    <row r="681" ht="13.5" customHeight="1">
      <c r="E681" s="51"/>
      <c r="J681" s="51"/>
    </row>
    <row r="682" ht="13.5" customHeight="1">
      <c r="E682" s="51"/>
      <c r="J682" s="51"/>
    </row>
    <row r="683" ht="13.5" customHeight="1">
      <c r="E683" s="51"/>
      <c r="J683" s="51"/>
    </row>
    <row r="684" ht="13.5" customHeight="1">
      <c r="E684" s="51"/>
      <c r="J684" s="51"/>
    </row>
    <row r="685" ht="13.5" customHeight="1">
      <c r="E685" s="51"/>
      <c r="J685" s="51"/>
    </row>
    <row r="686" ht="13.5" customHeight="1">
      <c r="E686" s="51"/>
      <c r="J686" s="51"/>
    </row>
    <row r="687" ht="13.5" customHeight="1">
      <c r="E687" s="51"/>
      <c r="J687" s="51"/>
    </row>
    <row r="688" ht="13.5" customHeight="1">
      <c r="E688" s="51"/>
      <c r="J688" s="51"/>
    </row>
    <row r="689" ht="13.5" customHeight="1">
      <c r="E689" s="51"/>
      <c r="J689" s="51"/>
    </row>
    <row r="690" ht="13.5" customHeight="1">
      <c r="E690" s="51"/>
      <c r="J690" s="51"/>
    </row>
    <row r="691" ht="13.5" customHeight="1">
      <c r="E691" s="51"/>
      <c r="J691" s="51"/>
    </row>
    <row r="692" ht="13.5" customHeight="1">
      <c r="E692" s="51"/>
      <c r="J692" s="51"/>
    </row>
    <row r="693" ht="13.5" customHeight="1">
      <c r="E693" s="51"/>
      <c r="J693" s="51"/>
    </row>
    <row r="694" ht="13.5" customHeight="1">
      <c r="E694" s="51"/>
      <c r="J694" s="51"/>
    </row>
    <row r="695" ht="13.5" customHeight="1">
      <c r="E695" s="51"/>
      <c r="J695" s="51"/>
    </row>
    <row r="696" ht="13.5" customHeight="1">
      <c r="E696" s="51"/>
      <c r="J696" s="51"/>
    </row>
    <row r="697" ht="13.5" customHeight="1">
      <c r="E697" s="51"/>
      <c r="J697" s="51"/>
    </row>
    <row r="698" ht="13.5" customHeight="1">
      <c r="E698" s="51"/>
      <c r="J698" s="51"/>
    </row>
    <row r="699" ht="13.5" customHeight="1">
      <c r="E699" s="51"/>
      <c r="J699" s="51"/>
    </row>
    <row r="700" ht="13.5" customHeight="1">
      <c r="E700" s="51"/>
      <c r="J700" s="51"/>
    </row>
    <row r="701" ht="13.5" customHeight="1">
      <c r="E701" s="51"/>
      <c r="J701" s="51"/>
    </row>
    <row r="702" ht="13.5" customHeight="1">
      <c r="E702" s="51"/>
      <c r="J702" s="51"/>
    </row>
    <row r="703" ht="13.5" customHeight="1">
      <c r="E703" s="51"/>
      <c r="J703" s="51"/>
    </row>
    <row r="704" ht="13.5" customHeight="1">
      <c r="E704" s="51"/>
      <c r="J704" s="51"/>
    </row>
    <row r="705" ht="13.5" customHeight="1">
      <c r="E705" s="51"/>
      <c r="J705" s="51"/>
    </row>
    <row r="706" ht="13.5" customHeight="1">
      <c r="E706" s="51"/>
      <c r="J706" s="51"/>
    </row>
    <row r="707" ht="13.5" customHeight="1">
      <c r="E707" s="51"/>
      <c r="J707" s="51"/>
    </row>
    <row r="708" ht="13.5" customHeight="1">
      <c r="E708" s="51"/>
      <c r="J708" s="51"/>
    </row>
    <row r="709" ht="13.5" customHeight="1">
      <c r="E709" s="51"/>
      <c r="J709" s="51"/>
    </row>
    <row r="710" ht="13.5" customHeight="1">
      <c r="E710" s="51"/>
      <c r="J710" s="51"/>
    </row>
    <row r="711" ht="13.5" customHeight="1">
      <c r="E711" s="51"/>
      <c r="J711" s="51"/>
    </row>
    <row r="712" ht="13.5" customHeight="1">
      <c r="E712" s="51"/>
      <c r="J712" s="51"/>
    </row>
    <row r="713" ht="13.5" customHeight="1">
      <c r="E713" s="51"/>
      <c r="J713" s="51"/>
    </row>
    <row r="714" ht="13.5" customHeight="1">
      <c r="E714" s="51"/>
      <c r="J714" s="51"/>
    </row>
    <row r="715" ht="13.5" customHeight="1">
      <c r="E715" s="51"/>
      <c r="J715" s="51"/>
    </row>
    <row r="716" ht="13.5" customHeight="1">
      <c r="E716" s="51"/>
      <c r="J716" s="51"/>
    </row>
    <row r="717" ht="13.5" customHeight="1">
      <c r="E717" s="51"/>
      <c r="J717" s="51"/>
    </row>
    <row r="718" ht="13.5" customHeight="1">
      <c r="E718" s="51"/>
      <c r="J718" s="51"/>
    </row>
    <row r="719" ht="13.5" customHeight="1">
      <c r="E719" s="51"/>
      <c r="J719" s="51"/>
    </row>
    <row r="720" ht="13.5" customHeight="1">
      <c r="E720" s="51"/>
      <c r="J720" s="51"/>
    </row>
    <row r="721" ht="13.5" customHeight="1">
      <c r="E721" s="51"/>
      <c r="J721" s="51"/>
    </row>
    <row r="722" ht="13.5" customHeight="1">
      <c r="E722" s="51"/>
      <c r="J722" s="51"/>
    </row>
    <row r="723" ht="13.5" customHeight="1">
      <c r="E723" s="51"/>
      <c r="J723" s="51"/>
    </row>
    <row r="724" ht="13.5" customHeight="1">
      <c r="E724" s="51"/>
      <c r="J724" s="51"/>
    </row>
    <row r="725" ht="13.5" customHeight="1">
      <c r="E725" s="51"/>
      <c r="J725" s="51"/>
    </row>
    <row r="726" ht="13.5" customHeight="1">
      <c r="E726" s="51"/>
      <c r="J726" s="51"/>
    </row>
    <row r="727" ht="13.5" customHeight="1">
      <c r="E727" s="51"/>
      <c r="J727" s="51"/>
    </row>
    <row r="728" ht="13.5" customHeight="1">
      <c r="E728" s="51"/>
      <c r="J728" s="51"/>
    </row>
    <row r="729" ht="13.5" customHeight="1">
      <c r="E729" s="51"/>
      <c r="J729" s="51"/>
    </row>
    <row r="730" ht="13.5" customHeight="1">
      <c r="E730" s="51"/>
      <c r="J730" s="51"/>
    </row>
    <row r="731" ht="13.5" customHeight="1">
      <c r="E731" s="51"/>
      <c r="J731" s="51"/>
    </row>
    <row r="732" ht="13.5" customHeight="1">
      <c r="E732" s="51"/>
      <c r="J732" s="51"/>
    </row>
    <row r="733" ht="13.5" customHeight="1">
      <c r="E733" s="51"/>
      <c r="J733" s="51"/>
    </row>
    <row r="734" ht="13.5" customHeight="1">
      <c r="E734" s="51"/>
      <c r="J734" s="51"/>
    </row>
    <row r="735" ht="13.5" customHeight="1">
      <c r="E735" s="51"/>
      <c r="J735" s="51"/>
    </row>
    <row r="736" ht="13.5" customHeight="1">
      <c r="E736" s="51"/>
      <c r="J736" s="51"/>
    </row>
    <row r="737" ht="13.5" customHeight="1">
      <c r="E737" s="51"/>
      <c r="J737" s="51"/>
    </row>
    <row r="738" ht="13.5" customHeight="1">
      <c r="E738" s="51"/>
      <c r="J738" s="51"/>
    </row>
    <row r="739" ht="13.5" customHeight="1">
      <c r="E739" s="51"/>
      <c r="J739" s="51"/>
    </row>
    <row r="740" ht="13.5" customHeight="1">
      <c r="E740" s="51"/>
      <c r="J740" s="51"/>
    </row>
    <row r="741" ht="13.5" customHeight="1">
      <c r="E741" s="51"/>
      <c r="J741" s="51"/>
    </row>
    <row r="742" ht="13.5" customHeight="1">
      <c r="E742" s="51"/>
      <c r="J742" s="51"/>
    </row>
    <row r="743" ht="13.5" customHeight="1">
      <c r="E743" s="51"/>
      <c r="J743" s="51"/>
    </row>
    <row r="744" ht="13.5" customHeight="1">
      <c r="E744" s="51"/>
      <c r="J744" s="51"/>
    </row>
    <row r="745" ht="13.5" customHeight="1">
      <c r="E745" s="51"/>
      <c r="J745" s="51"/>
    </row>
    <row r="746" ht="13.5" customHeight="1">
      <c r="E746" s="51"/>
      <c r="J746" s="51"/>
    </row>
    <row r="747" ht="13.5" customHeight="1">
      <c r="E747" s="51"/>
      <c r="J747" s="51"/>
    </row>
    <row r="748" ht="13.5" customHeight="1">
      <c r="E748" s="51"/>
      <c r="J748" s="51"/>
    </row>
    <row r="749" ht="13.5" customHeight="1">
      <c r="E749" s="51"/>
      <c r="J749" s="51"/>
    </row>
    <row r="750" ht="13.5" customHeight="1">
      <c r="E750" s="51"/>
      <c r="J750" s="51"/>
    </row>
    <row r="751" ht="13.5" customHeight="1">
      <c r="E751" s="51"/>
      <c r="J751" s="51"/>
    </row>
    <row r="752" ht="13.5" customHeight="1">
      <c r="E752" s="51"/>
      <c r="J752" s="51"/>
    </row>
    <row r="753" ht="13.5" customHeight="1">
      <c r="E753" s="51"/>
      <c r="J753" s="51"/>
    </row>
    <row r="754" ht="13.5" customHeight="1">
      <c r="E754" s="51"/>
      <c r="J754" s="51"/>
    </row>
    <row r="755" ht="13.5" customHeight="1">
      <c r="E755" s="51"/>
      <c r="J755" s="51"/>
    </row>
    <row r="756" ht="13.5" customHeight="1">
      <c r="E756" s="51"/>
      <c r="J756" s="51"/>
    </row>
    <row r="757" ht="13.5" customHeight="1">
      <c r="E757" s="51"/>
      <c r="J757" s="51"/>
    </row>
    <row r="758" ht="13.5" customHeight="1">
      <c r="E758" s="51"/>
      <c r="J758" s="51"/>
    </row>
    <row r="759" ht="13.5" customHeight="1">
      <c r="E759" s="51"/>
      <c r="J759" s="51"/>
    </row>
    <row r="760" ht="13.5" customHeight="1">
      <c r="E760" s="51"/>
      <c r="J760" s="51"/>
    </row>
    <row r="761" ht="13.5" customHeight="1">
      <c r="E761" s="51"/>
      <c r="J761" s="51"/>
    </row>
    <row r="762" ht="13.5" customHeight="1">
      <c r="E762" s="51"/>
      <c r="J762" s="51"/>
    </row>
    <row r="763" ht="13.5" customHeight="1">
      <c r="E763" s="51"/>
      <c r="J763" s="51"/>
    </row>
    <row r="764" ht="13.5" customHeight="1">
      <c r="E764" s="51"/>
      <c r="J764" s="51"/>
    </row>
    <row r="765" ht="13.5" customHeight="1">
      <c r="E765" s="51"/>
      <c r="J765" s="51"/>
    </row>
    <row r="766" ht="13.5" customHeight="1">
      <c r="E766" s="51"/>
      <c r="J766" s="51"/>
    </row>
    <row r="767" ht="13.5" customHeight="1">
      <c r="E767" s="51"/>
      <c r="J767" s="51"/>
    </row>
    <row r="768" ht="13.5" customHeight="1">
      <c r="E768" s="51"/>
      <c r="J768" s="51"/>
    </row>
    <row r="769" ht="13.5" customHeight="1">
      <c r="E769" s="51"/>
      <c r="J769" s="51"/>
    </row>
    <row r="770" ht="13.5" customHeight="1">
      <c r="E770" s="51"/>
      <c r="J770" s="51"/>
    </row>
    <row r="771" ht="13.5" customHeight="1">
      <c r="E771" s="51"/>
      <c r="J771" s="51"/>
    </row>
    <row r="772" ht="13.5" customHeight="1">
      <c r="E772" s="51"/>
      <c r="J772" s="51"/>
    </row>
    <row r="773" ht="13.5" customHeight="1">
      <c r="E773" s="51"/>
      <c r="J773" s="51"/>
    </row>
    <row r="774" ht="13.5" customHeight="1">
      <c r="E774" s="51"/>
      <c r="J774" s="51"/>
    </row>
    <row r="775" ht="13.5" customHeight="1">
      <c r="E775" s="51"/>
      <c r="J775" s="51"/>
    </row>
    <row r="776" ht="13.5" customHeight="1">
      <c r="E776" s="51"/>
      <c r="J776" s="51"/>
    </row>
    <row r="777" ht="13.5" customHeight="1">
      <c r="E777" s="51"/>
      <c r="J777" s="51"/>
    </row>
    <row r="778" ht="13.5" customHeight="1">
      <c r="E778" s="51"/>
      <c r="J778" s="51"/>
    </row>
    <row r="779" ht="13.5" customHeight="1">
      <c r="E779" s="51"/>
      <c r="J779" s="51"/>
    </row>
    <row r="780" ht="13.5" customHeight="1">
      <c r="E780" s="51"/>
      <c r="J780" s="51"/>
    </row>
    <row r="781" ht="13.5" customHeight="1">
      <c r="E781" s="51"/>
      <c r="J781" s="51"/>
    </row>
    <row r="782" ht="13.5" customHeight="1">
      <c r="E782" s="51"/>
      <c r="J782" s="51"/>
    </row>
    <row r="783" ht="13.5" customHeight="1">
      <c r="E783" s="51"/>
      <c r="J783" s="51"/>
    </row>
    <row r="784" ht="13.5" customHeight="1">
      <c r="E784" s="51"/>
      <c r="J784" s="51"/>
    </row>
    <row r="785" ht="13.5" customHeight="1">
      <c r="E785" s="51"/>
      <c r="J785" s="51"/>
    </row>
    <row r="786" ht="13.5" customHeight="1">
      <c r="E786" s="51"/>
      <c r="J786" s="51"/>
    </row>
    <row r="787" ht="13.5" customHeight="1">
      <c r="E787" s="51"/>
      <c r="J787" s="51"/>
    </row>
    <row r="788" ht="13.5" customHeight="1">
      <c r="E788" s="51"/>
      <c r="J788" s="51"/>
    </row>
    <row r="789" ht="13.5" customHeight="1">
      <c r="E789" s="51"/>
      <c r="J789" s="51"/>
    </row>
    <row r="790" ht="13.5" customHeight="1">
      <c r="E790" s="51"/>
      <c r="J790" s="51"/>
    </row>
    <row r="791" ht="13.5" customHeight="1">
      <c r="E791" s="51"/>
      <c r="J791" s="51"/>
    </row>
    <row r="792" ht="13.5" customHeight="1">
      <c r="E792" s="51"/>
      <c r="J792" s="51"/>
    </row>
    <row r="793" ht="13.5" customHeight="1">
      <c r="E793" s="51"/>
      <c r="J793" s="51"/>
    </row>
    <row r="794" ht="13.5" customHeight="1">
      <c r="E794" s="51"/>
      <c r="J794" s="51"/>
    </row>
    <row r="795" ht="13.5" customHeight="1">
      <c r="E795" s="51"/>
      <c r="J795" s="51"/>
    </row>
    <row r="796" ht="13.5" customHeight="1">
      <c r="E796" s="51"/>
      <c r="J796" s="51"/>
    </row>
    <row r="797" ht="13.5" customHeight="1">
      <c r="E797" s="51"/>
      <c r="J797" s="51"/>
    </row>
    <row r="798" ht="13.5" customHeight="1">
      <c r="E798" s="51"/>
      <c r="J798" s="51"/>
    </row>
    <row r="799" ht="13.5" customHeight="1">
      <c r="E799" s="51"/>
      <c r="J799" s="51"/>
    </row>
    <row r="800" ht="13.5" customHeight="1">
      <c r="E800" s="51"/>
      <c r="J800" s="51"/>
    </row>
    <row r="801" ht="13.5" customHeight="1">
      <c r="E801" s="51"/>
      <c r="J801" s="51"/>
    </row>
    <row r="802" ht="13.5" customHeight="1">
      <c r="E802" s="51"/>
      <c r="J802" s="51"/>
    </row>
    <row r="803" ht="13.5" customHeight="1">
      <c r="E803" s="51"/>
      <c r="J803" s="51"/>
    </row>
    <row r="804" ht="13.5" customHeight="1">
      <c r="E804" s="51"/>
      <c r="J804" s="51"/>
    </row>
    <row r="805" ht="13.5" customHeight="1">
      <c r="E805" s="51"/>
      <c r="J805" s="51"/>
    </row>
    <row r="806" ht="13.5" customHeight="1">
      <c r="E806" s="51"/>
      <c r="J806" s="51"/>
    </row>
    <row r="807" ht="13.5" customHeight="1">
      <c r="E807" s="51"/>
      <c r="J807" s="51"/>
    </row>
    <row r="808" ht="13.5" customHeight="1">
      <c r="E808" s="51"/>
      <c r="J808" s="51"/>
    </row>
    <row r="809" ht="13.5" customHeight="1">
      <c r="E809" s="51"/>
      <c r="J809" s="51"/>
    </row>
    <row r="810" ht="13.5" customHeight="1">
      <c r="E810" s="51"/>
      <c r="J810" s="51"/>
    </row>
    <row r="811" ht="13.5" customHeight="1">
      <c r="E811" s="51"/>
      <c r="J811" s="51"/>
    </row>
    <row r="812" ht="13.5" customHeight="1">
      <c r="E812" s="51"/>
      <c r="J812" s="51"/>
    </row>
    <row r="813" ht="13.5" customHeight="1">
      <c r="E813" s="51"/>
      <c r="J813" s="51"/>
    </row>
    <row r="814" ht="13.5" customHeight="1">
      <c r="E814" s="51"/>
      <c r="J814" s="51"/>
    </row>
    <row r="815" ht="13.5" customHeight="1">
      <c r="E815" s="51"/>
      <c r="J815" s="51"/>
    </row>
    <row r="816" ht="13.5" customHeight="1">
      <c r="E816" s="51"/>
      <c r="J816" s="51"/>
    </row>
    <row r="817" ht="13.5" customHeight="1">
      <c r="E817" s="51"/>
      <c r="J817" s="51"/>
    </row>
    <row r="818" ht="13.5" customHeight="1">
      <c r="E818" s="51"/>
      <c r="J818" s="51"/>
    </row>
    <row r="819" ht="13.5" customHeight="1">
      <c r="E819" s="51"/>
      <c r="J819" s="51"/>
    </row>
    <row r="820" ht="13.5" customHeight="1">
      <c r="E820" s="51"/>
      <c r="J820" s="51"/>
    </row>
    <row r="821" ht="13.5" customHeight="1">
      <c r="E821" s="51"/>
      <c r="J821" s="51"/>
    </row>
    <row r="822" ht="13.5" customHeight="1">
      <c r="E822" s="51"/>
      <c r="J822" s="51"/>
    </row>
    <row r="823" ht="13.5" customHeight="1">
      <c r="E823" s="51"/>
      <c r="J823" s="51"/>
    </row>
    <row r="824" ht="13.5" customHeight="1">
      <c r="E824" s="51"/>
      <c r="J824" s="51"/>
    </row>
    <row r="825" ht="13.5" customHeight="1">
      <c r="E825" s="51"/>
      <c r="J825" s="51"/>
    </row>
    <row r="826" ht="13.5" customHeight="1">
      <c r="E826" s="51"/>
      <c r="J826" s="51"/>
    </row>
    <row r="827" ht="13.5" customHeight="1">
      <c r="E827" s="51"/>
      <c r="J827" s="51"/>
    </row>
    <row r="828" ht="13.5" customHeight="1">
      <c r="E828" s="51"/>
      <c r="J828" s="51"/>
    </row>
    <row r="829" ht="13.5" customHeight="1">
      <c r="E829" s="51"/>
      <c r="J829" s="51"/>
    </row>
    <row r="830" ht="13.5" customHeight="1">
      <c r="E830" s="51"/>
      <c r="J830" s="51"/>
    </row>
    <row r="831" ht="13.5" customHeight="1">
      <c r="E831" s="51"/>
      <c r="J831" s="51"/>
    </row>
    <row r="832" ht="13.5" customHeight="1">
      <c r="E832" s="51"/>
      <c r="J832" s="51"/>
    </row>
    <row r="833" ht="13.5" customHeight="1">
      <c r="E833" s="51"/>
      <c r="J833" s="51"/>
    </row>
    <row r="834" ht="13.5" customHeight="1">
      <c r="E834" s="51"/>
      <c r="J834" s="51"/>
    </row>
    <row r="835" ht="13.5" customHeight="1">
      <c r="E835" s="51"/>
      <c r="J835" s="51"/>
    </row>
    <row r="836" ht="13.5" customHeight="1">
      <c r="E836" s="51"/>
      <c r="J836" s="51"/>
    </row>
    <row r="837" ht="13.5" customHeight="1">
      <c r="E837" s="51"/>
      <c r="J837" s="51"/>
    </row>
    <row r="838" ht="13.5" customHeight="1">
      <c r="E838" s="51"/>
      <c r="J838" s="51"/>
    </row>
    <row r="839" ht="13.5" customHeight="1">
      <c r="E839" s="51"/>
      <c r="J839" s="51"/>
    </row>
    <row r="840" ht="13.5" customHeight="1">
      <c r="E840" s="51"/>
      <c r="J840" s="51"/>
    </row>
    <row r="841" ht="13.5" customHeight="1">
      <c r="E841" s="51"/>
      <c r="J841" s="51"/>
    </row>
    <row r="842" ht="13.5" customHeight="1">
      <c r="E842" s="51"/>
      <c r="J842" s="51"/>
    </row>
    <row r="843" ht="13.5" customHeight="1">
      <c r="E843" s="51"/>
      <c r="J843" s="51"/>
    </row>
    <row r="844" ht="13.5" customHeight="1">
      <c r="E844" s="51"/>
      <c r="J844" s="51"/>
    </row>
    <row r="845" ht="13.5" customHeight="1">
      <c r="E845" s="51"/>
      <c r="J845" s="51"/>
    </row>
    <row r="846" ht="13.5" customHeight="1">
      <c r="E846" s="51"/>
      <c r="J846" s="51"/>
    </row>
    <row r="847" ht="13.5" customHeight="1">
      <c r="E847" s="51"/>
      <c r="J847" s="51"/>
    </row>
    <row r="848" ht="13.5" customHeight="1">
      <c r="E848" s="51"/>
      <c r="J848" s="51"/>
    </row>
    <row r="849" ht="13.5" customHeight="1">
      <c r="E849" s="51"/>
      <c r="J849" s="51"/>
    </row>
    <row r="850" ht="13.5" customHeight="1">
      <c r="E850" s="51"/>
      <c r="J850" s="51"/>
    </row>
    <row r="851" ht="13.5" customHeight="1">
      <c r="E851" s="51"/>
      <c r="J851" s="51"/>
    </row>
    <row r="852" ht="13.5" customHeight="1">
      <c r="E852" s="51"/>
      <c r="J852" s="51"/>
    </row>
    <row r="853" ht="13.5" customHeight="1">
      <c r="E853" s="51"/>
      <c r="J853" s="51"/>
    </row>
    <row r="854" ht="13.5" customHeight="1">
      <c r="E854" s="51"/>
      <c r="J854" s="51"/>
    </row>
    <row r="855" ht="13.5" customHeight="1">
      <c r="E855" s="51"/>
      <c r="J855" s="51"/>
    </row>
    <row r="856" ht="13.5" customHeight="1">
      <c r="E856" s="51"/>
      <c r="J856" s="51"/>
    </row>
    <row r="857" ht="13.5" customHeight="1">
      <c r="E857" s="51"/>
      <c r="J857" s="51"/>
    </row>
    <row r="858" ht="13.5" customHeight="1">
      <c r="E858" s="51"/>
      <c r="J858" s="51"/>
    </row>
    <row r="859" ht="13.5" customHeight="1">
      <c r="E859" s="51"/>
      <c r="J859" s="51"/>
    </row>
    <row r="860" ht="13.5" customHeight="1">
      <c r="E860" s="51"/>
      <c r="J860" s="51"/>
    </row>
    <row r="861" ht="13.5" customHeight="1">
      <c r="E861" s="51"/>
      <c r="J861" s="51"/>
    </row>
    <row r="862" ht="13.5" customHeight="1">
      <c r="E862" s="51"/>
      <c r="J862" s="51"/>
    </row>
    <row r="863" ht="13.5" customHeight="1">
      <c r="E863" s="51"/>
      <c r="J863" s="51"/>
    </row>
    <row r="864" ht="13.5" customHeight="1">
      <c r="E864" s="51"/>
      <c r="J864" s="51"/>
    </row>
    <row r="865" ht="13.5" customHeight="1">
      <c r="E865" s="51"/>
      <c r="J865" s="51"/>
    </row>
    <row r="866" ht="13.5" customHeight="1">
      <c r="E866" s="51"/>
      <c r="J866" s="51"/>
    </row>
    <row r="867" ht="13.5" customHeight="1">
      <c r="E867" s="51"/>
      <c r="J867" s="51"/>
    </row>
    <row r="868" ht="13.5" customHeight="1">
      <c r="E868" s="51"/>
      <c r="J868" s="51"/>
    </row>
    <row r="869" ht="13.5" customHeight="1">
      <c r="E869" s="51"/>
      <c r="J869" s="51"/>
    </row>
    <row r="870" ht="13.5" customHeight="1">
      <c r="E870" s="51"/>
      <c r="J870" s="51"/>
    </row>
    <row r="871" ht="13.5" customHeight="1">
      <c r="E871" s="51"/>
      <c r="J871" s="51"/>
    </row>
    <row r="872" ht="13.5" customHeight="1">
      <c r="E872" s="51"/>
      <c r="J872" s="51"/>
    </row>
    <row r="873" ht="13.5" customHeight="1">
      <c r="E873" s="51"/>
      <c r="J873" s="51"/>
    </row>
    <row r="874" ht="13.5" customHeight="1">
      <c r="E874" s="51"/>
      <c r="J874" s="51"/>
    </row>
    <row r="875" ht="13.5" customHeight="1">
      <c r="E875" s="51"/>
      <c r="J875" s="51"/>
    </row>
    <row r="876" ht="13.5" customHeight="1">
      <c r="E876" s="51"/>
      <c r="J876" s="51"/>
    </row>
    <row r="877" ht="13.5" customHeight="1">
      <c r="E877" s="51"/>
      <c r="J877" s="51"/>
    </row>
    <row r="878" ht="13.5" customHeight="1">
      <c r="E878" s="51"/>
      <c r="J878" s="51"/>
    </row>
    <row r="879" ht="13.5" customHeight="1">
      <c r="E879" s="51"/>
      <c r="J879" s="51"/>
    </row>
    <row r="880" ht="13.5" customHeight="1">
      <c r="E880" s="51"/>
      <c r="J880" s="51"/>
    </row>
    <row r="881" ht="13.5" customHeight="1">
      <c r="E881" s="51"/>
      <c r="J881" s="51"/>
    </row>
    <row r="882" ht="13.5" customHeight="1">
      <c r="E882" s="51"/>
      <c r="J882" s="51"/>
    </row>
    <row r="883" ht="13.5" customHeight="1">
      <c r="E883" s="51"/>
      <c r="J883" s="51"/>
    </row>
    <row r="884" ht="13.5" customHeight="1">
      <c r="E884" s="51"/>
      <c r="J884" s="51"/>
    </row>
    <row r="885" ht="13.5" customHeight="1">
      <c r="E885" s="51"/>
      <c r="J885" s="51"/>
    </row>
    <row r="886" ht="13.5" customHeight="1">
      <c r="E886" s="51"/>
      <c r="J886" s="51"/>
    </row>
    <row r="887" ht="13.5" customHeight="1">
      <c r="E887" s="51"/>
      <c r="J887" s="51"/>
    </row>
    <row r="888" ht="13.5" customHeight="1">
      <c r="E888" s="51"/>
      <c r="J888" s="51"/>
    </row>
    <row r="889" ht="13.5" customHeight="1">
      <c r="E889" s="51"/>
      <c r="J889" s="51"/>
    </row>
    <row r="890" ht="13.5" customHeight="1">
      <c r="E890" s="51"/>
      <c r="J890" s="51"/>
    </row>
    <row r="891" ht="13.5" customHeight="1">
      <c r="E891" s="51"/>
      <c r="J891" s="51"/>
    </row>
    <row r="892" ht="13.5" customHeight="1">
      <c r="E892" s="51"/>
      <c r="J892" s="51"/>
    </row>
    <row r="893" ht="13.5" customHeight="1">
      <c r="E893" s="51"/>
      <c r="J893" s="51"/>
    </row>
    <row r="894" ht="13.5" customHeight="1">
      <c r="E894" s="51"/>
      <c r="J894" s="51"/>
    </row>
    <row r="895" ht="13.5" customHeight="1">
      <c r="E895" s="51"/>
      <c r="J895" s="51"/>
    </row>
    <row r="896" ht="13.5" customHeight="1">
      <c r="E896" s="51"/>
      <c r="J896" s="51"/>
    </row>
    <row r="897" ht="13.5" customHeight="1">
      <c r="E897" s="51"/>
      <c r="J897" s="51"/>
    </row>
    <row r="898" ht="13.5" customHeight="1">
      <c r="E898" s="51"/>
      <c r="J898" s="51"/>
    </row>
    <row r="899" ht="13.5" customHeight="1">
      <c r="E899" s="51"/>
      <c r="J899" s="51"/>
    </row>
    <row r="900" ht="13.5" customHeight="1">
      <c r="E900" s="51"/>
      <c r="J900" s="51"/>
    </row>
    <row r="901" ht="13.5" customHeight="1">
      <c r="E901" s="51"/>
      <c r="J901" s="51"/>
    </row>
    <row r="902" ht="13.5" customHeight="1">
      <c r="E902" s="51"/>
      <c r="J902" s="51"/>
    </row>
    <row r="903" ht="13.5" customHeight="1">
      <c r="E903" s="51"/>
      <c r="J903" s="51"/>
    </row>
    <row r="904" ht="13.5" customHeight="1">
      <c r="E904" s="51"/>
      <c r="J904" s="51"/>
    </row>
    <row r="905" ht="13.5" customHeight="1">
      <c r="E905" s="51"/>
      <c r="J905" s="51"/>
    </row>
    <row r="906" ht="13.5" customHeight="1">
      <c r="E906" s="51"/>
      <c r="J906" s="51"/>
    </row>
    <row r="907" ht="13.5" customHeight="1">
      <c r="E907" s="51"/>
      <c r="J907" s="51"/>
    </row>
    <row r="908" ht="13.5" customHeight="1">
      <c r="E908" s="51"/>
      <c r="J908" s="51"/>
    </row>
    <row r="909" ht="13.5" customHeight="1">
      <c r="E909" s="51"/>
      <c r="J909" s="51"/>
    </row>
    <row r="910" ht="13.5" customHeight="1">
      <c r="E910" s="51"/>
      <c r="J910" s="51"/>
    </row>
    <row r="911" ht="13.5" customHeight="1">
      <c r="E911" s="51"/>
      <c r="J911" s="51"/>
    </row>
    <row r="912" ht="13.5" customHeight="1">
      <c r="E912" s="51"/>
      <c r="J912" s="51"/>
    </row>
    <row r="913" ht="13.5" customHeight="1">
      <c r="E913" s="51"/>
      <c r="J913" s="51"/>
    </row>
    <row r="914" ht="13.5" customHeight="1">
      <c r="E914" s="51"/>
      <c r="J914" s="51"/>
    </row>
    <row r="915" ht="13.5" customHeight="1">
      <c r="E915" s="51"/>
      <c r="J915" s="51"/>
    </row>
    <row r="916" ht="13.5" customHeight="1">
      <c r="E916" s="51"/>
      <c r="J916" s="51"/>
    </row>
    <row r="917" ht="13.5" customHeight="1">
      <c r="E917" s="51"/>
      <c r="J917" s="51"/>
    </row>
    <row r="918" ht="13.5" customHeight="1">
      <c r="E918" s="51"/>
      <c r="J918" s="51"/>
    </row>
    <row r="919" ht="13.5" customHeight="1">
      <c r="E919" s="51"/>
      <c r="J919" s="51"/>
    </row>
    <row r="920" ht="13.5" customHeight="1">
      <c r="E920" s="51"/>
      <c r="J920" s="51"/>
    </row>
    <row r="921" ht="13.5" customHeight="1">
      <c r="E921" s="51"/>
      <c r="J921" s="51"/>
    </row>
    <row r="922" ht="13.5" customHeight="1">
      <c r="E922" s="51"/>
      <c r="J922" s="51"/>
    </row>
    <row r="923" ht="13.5" customHeight="1">
      <c r="E923" s="51"/>
      <c r="J923" s="51"/>
    </row>
    <row r="924" ht="13.5" customHeight="1">
      <c r="E924" s="51"/>
      <c r="J924" s="51"/>
    </row>
    <row r="925" ht="13.5" customHeight="1">
      <c r="E925" s="51"/>
      <c r="J925" s="51"/>
    </row>
    <row r="926" ht="13.5" customHeight="1">
      <c r="E926" s="51"/>
      <c r="J926" s="51"/>
    </row>
    <row r="927" ht="13.5" customHeight="1">
      <c r="E927" s="51"/>
      <c r="J927" s="51"/>
    </row>
    <row r="928" ht="13.5" customHeight="1">
      <c r="E928" s="51"/>
      <c r="J928" s="51"/>
    </row>
    <row r="929" ht="13.5" customHeight="1">
      <c r="E929" s="51"/>
      <c r="J929" s="51"/>
    </row>
    <row r="930" ht="13.5" customHeight="1">
      <c r="E930" s="51"/>
      <c r="J930" s="51"/>
    </row>
    <row r="931" ht="13.5" customHeight="1">
      <c r="E931" s="51"/>
      <c r="J931" s="51"/>
    </row>
    <row r="932" ht="13.5" customHeight="1">
      <c r="E932" s="51"/>
      <c r="J932" s="51"/>
    </row>
    <row r="933" ht="13.5" customHeight="1">
      <c r="E933" s="51"/>
      <c r="J933" s="51"/>
    </row>
    <row r="934" ht="13.5" customHeight="1">
      <c r="E934" s="51"/>
      <c r="J934" s="51"/>
    </row>
    <row r="935" ht="13.5" customHeight="1">
      <c r="E935" s="51"/>
      <c r="J935" s="51"/>
    </row>
    <row r="936" ht="13.5" customHeight="1">
      <c r="E936" s="51"/>
      <c r="J936" s="51"/>
    </row>
    <row r="937" ht="13.5" customHeight="1">
      <c r="E937" s="51"/>
      <c r="J937" s="51"/>
    </row>
    <row r="938" ht="13.5" customHeight="1">
      <c r="E938" s="51"/>
      <c r="J938" s="51"/>
    </row>
    <row r="939" ht="13.5" customHeight="1">
      <c r="E939" s="51"/>
      <c r="J939" s="51"/>
    </row>
    <row r="940" ht="13.5" customHeight="1">
      <c r="E940" s="51"/>
      <c r="J940" s="51"/>
    </row>
    <row r="941" ht="13.5" customHeight="1">
      <c r="E941" s="51"/>
      <c r="J941" s="51"/>
    </row>
    <row r="942" ht="13.5" customHeight="1">
      <c r="E942" s="51"/>
      <c r="J942" s="51"/>
    </row>
    <row r="943" ht="13.5" customHeight="1">
      <c r="E943" s="51"/>
      <c r="J943" s="51"/>
    </row>
    <row r="944" ht="13.5" customHeight="1">
      <c r="E944" s="51"/>
      <c r="J944" s="51"/>
    </row>
    <row r="945" ht="13.5" customHeight="1">
      <c r="E945" s="51"/>
      <c r="J945" s="51"/>
    </row>
    <row r="946" ht="13.5" customHeight="1">
      <c r="E946" s="51"/>
      <c r="J946" s="51"/>
    </row>
    <row r="947" ht="13.5" customHeight="1">
      <c r="E947" s="51"/>
      <c r="J947" s="51"/>
    </row>
    <row r="948" ht="13.5" customHeight="1">
      <c r="E948" s="51"/>
      <c r="J948" s="51"/>
    </row>
    <row r="949" ht="13.5" customHeight="1">
      <c r="E949" s="51"/>
      <c r="J949" s="51"/>
    </row>
    <row r="950" ht="13.5" customHeight="1">
      <c r="E950" s="51"/>
      <c r="J950" s="51"/>
    </row>
    <row r="951" ht="13.5" customHeight="1">
      <c r="E951" s="51"/>
      <c r="J951" s="51"/>
    </row>
    <row r="952" ht="13.5" customHeight="1">
      <c r="E952" s="51"/>
      <c r="J952" s="51"/>
    </row>
    <row r="953" ht="13.5" customHeight="1">
      <c r="E953" s="51"/>
      <c r="J953" s="51"/>
    </row>
    <row r="954" ht="13.5" customHeight="1">
      <c r="E954" s="51"/>
      <c r="J954" s="51"/>
    </row>
    <row r="955" ht="13.5" customHeight="1">
      <c r="E955" s="51"/>
      <c r="J955" s="51"/>
    </row>
    <row r="956" ht="13.5" customHeight="1">
      <c r="E956" s="51"/>
      <c r="J956" s="51"/>
    </row>
    <row r="957" ht="13.5" customHeight="1">
      <c r="E957" s="51"/>
      <c r="J957" s="51"/>
    </row>
    <row r="958" ht="13.5" customHeight="1">
      <c r="E958" s="51"/>
      <c r="J958" s="51"/>
    </row>
    <row r="959" ht="13.5" customHeight="1">
      <c r="E959" s="51"/>
      <c r="J959" s="51"/>
    </row>
    <row r="960" ht="13.5" customHeight="1">
      <c r="E960" s="51"/>
      <c r="J960" s="51"/>
    </row>
    <row r="961" ht="13.5" customHeight="1">
      <c r="E961" s="51"/>
      <c r="J961" s="51"/>
    </row>
    <row r="962" ht="13.5" customHeight="1">
      <c r="E962" s="51"/>
      <c r="J962" s="51"/>
    </row>
    <row r="963" ht="13.5" customHeight="1">
      <c r="E963" s="51"/>
      <c r="J963" s="51"/>
    </row>
    <row r="964" ht="13.5" customHeight="1">
      <c r="E964" s="51"/>
      <c r="J964" s="51"/>
    </row>
    <row r="965" ht="13.5" customHeight="1">
      <c r="E965" s="51"/>
      <c r="J965" s="51"/>
    </row>
    <row r="966" ht="13.5" customHeight="1">
      <c r="E966" s="51"/>
      <c r="J966" s="51"/>
    </row>
    <row r="967" ht="13.5" customHeight="1">
      <c r="E967" s="51"/>
      <c r="J967" s="51"/>
    </row>
    <row r="968" ht="13.5" customHeight="1">
      <c r="E968" s="51"/>
      <c r="J968" s="51"/>
    </row>
    <row r="969" ht="13.5" customHeight="1">
      <c r="E969" s="51"/>
      <c r="J969" s="51"/>
    </row>
    <row r="970" ht="13.5" customHeight="1">
      <c r="E970" s="51"/>
      <c r="J970" s="51"/>
    </row>
    <row r="971" ht="13.5" customHeight="1">
      <c r="E971" s="51"/>
      <c r="J971" s="51"/>
    </row>
    <row r="972" ht="13.5" customHeight="1">
      <c r="E972" s="51"/>
      <c r="J972" s="51"/>
    </row>
    <row r="973" ht="13.5" customHeight="1">
      <c r="E973" s="51"/>
      <c r="J973" s="51"/>
    </row>
    <row r="974" ht="13.5" customHeight="1">
      <c r="E974" s="51"/>
      <c r="J974" s="51"/>
    </row>
    <row r="975" ht="13.5" customHeight="1">
      <c r="E975" s="51"/>
      <c r="J975" s="51"/>
    </row>
    <row r="976" ht="13.5" customHeight="1">
      <c r="E976" s="51"/>
      <c r="J976" s="51"/>
    </row>
    <row r="977" ht="13.5" customHeight="1">
      <c r="E977" s="51"/>
      <c r="J977" s="51"/>
    </row>
    <row r="978" ht="13.5" customHeight="1">
      <c r="E978" s="51"/>
      <c r="J978" s="51"/>
    </row>
    <row r="979" ht="13.5" customHeight="1">
      <c r="E979" s="51"/>
      <c r="J979" s="51"/>
    </row>
    <row r="980" ht="13.5" customHeight="1">
      <c r="E980" s="51"/>
      <c r="J980" s="51"/>
    </row>
    <row r="981" ht="13.5" customHeight="1">
      <c r="E981" s="51"/>
      <c r="J981" s="51"/>
    </row>
    <row r="982" ht="13.5" customHeight="1">
      <c r="E982" s="51"/>
      <c r="J982" s="51"/>
    </row>
    <row r="983" ht="13.5" customHeight="1">
      <c r="E983" s="51"/>
      <c r="J983" s="51"/>
    </row>
    <row r="984" ht="13.5" customHeight="1">
      <c r="E984" s="51"/>
      <c r="J984" s="51"/>
    </row>
    <row r="985" ht="13.5" customHeight="1">
      <c r="E985" s="51"/>
      <c r="J985" s="51"/>
    </row>
    <row r="986" ht="13.5" customHeight="1">
      <c r="E986" s="51"/>
      <c r="J986" s="51"/>
    </row>
    <row r="987" ht="13.5" customHeight="1">
      <c r="E987" s="51"/>
      <c r="J987" s="51"/>
    </row>
    <row r="988" ht="13.5" customHeight="1">
      <c r="E988" s="51"/>
      <c r="J988" s="51"/>
    </row>
    <row r="989" ht="13.5" customHeight="1">
      <c r="E989" s="51"/>
      <c r="J989" s="51"/>
    </row>
    <row r="990" ht="13.5" customHeight="1">
      <c r="E990" s="51"/>
      <c r="J990" s="51"/>
    </row>
    <row r="991" ht="13.5" customHeight="1">
      <c r="E991" s="51"/>
      <c r="J991" s="51"/>
    </row>
    <row r="992" ht="13.5" customHeight="1">
      <c r="E992" s="51"/>
      <c r="J992" s="51"/>
    </row>
    <row r="993" ht="13.5" customHeight="1">
      <c r="E993" s="51"/>
      <c r="J993" s="51"/>
    </row>
    <row r="994" ht="13.5" customHeight="1">
      <c r="E994" s="51"/>
      <c r="J994" s="51"/>
    </row>
    <row r="995" ht="13.5" customHeight="1">
      <c r="E995" s="51"/>
      <c r="J995" s="51"/>
    </row>
    <row r="996" ht="13.5" customHeight="1">
      <c r="E996" s="51"/>
      <c r="J996" s="51"/>
    </row>
    <row r="997" ht="13.5" customHeight="1">
      <c r="E997" s="51"/>
      <c r="J997" s="51"/>
    </row>
    <row r="998" ht="13.5" customHeight="1">
      <c r="E998" s="51"/>
      <c r="J998" s="51"/>
    </row>
    <row r="999" ht="13.5" customHeight="1">
      <c r="E999" s="51"/>
      <c r="J999" s="51"/>
    </row>
    <row r="1000" ht="13.5" customHeight="1">
      <c r="E1000" s="51"/>
      <c r="J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5.13"/>
    <col customWidth="1" min="3" max="3" width="8.88"/>
    <col customWidth="1" min="4" max="4" width="15.25"/>
    <col customWidth="1" min="5" max="5" width="15.5"/>
    <col customWidth="1" min="6" max="6" width="12.5"/>
    <col customWidth="1" min="7" max="7" width="27.5"/>
    <col customWidth="1" min="8" max="8" width="15.25"/>
    <col customWidth="1" min="9" max="9" width="6.5"/>
    <col customWidth="1" min="10" max="10" width="25.5"/>
    <col customWidth="1" min="11" max="11" width="14.25"/>
    <col customWidth="1" min="12" max="26" width="5.0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2150983.0</v>
      </c>
      <c r="D2" s="16">
        <v>46212.0</v>
      </c>
      <c r="E2" s="17">
        <v>354.49</v>
      </c>
      <c r="F2" s="14" t="s">
        <v>112</v>
      </c>
      <c r="G2" s="14" t="s">
        <v>113</v>
      </c>
      <c r="H2" s="14"/>
      <c r="I2" s="14"/>
      <c r="J2" s="21">
        <v>183257.0</v>
      </c>
      <c r="K2" s="29">
        <v>4316252.610000002</v>
      </c>
    </row>
    <row r="3" ht="13.5" customHeight="1">
      <c r="A3" s="30">
        <v>2.0</v>
      </c>
      <c r="B3" s="30" t="s">
        <v>9</v>
      </c>
      <c r="C3" s="30">
        <v>2060855.0</v>
      </c>
      <c r="D3" s="31">
        <v>46212.0</v>
      </c>
      <c r="E3" s="32">
        <v>6700000.0</v>
      </c>
      <c r="F3" s="30" t="s">
        <v>13</v>
      </c>
      <c r="G3" s="30" t="s">
        <v>19</v>
      </c>
      <c r="H3" s="14"/>
      <c r="I3" s="14"/>
      <c r="J3" s="21">
        <v>183277.0</v>
      </c>
      <c r="K3" s="29">
        <v>64607.690000000046</v>
      </c>
    </row>
    <row r="4" ht="13.5" customHeight="1">
      <c r="A4" s="23">
        <v>5.0</v>
      </c>
      <c r="B4" s="23" t="s">
        <v>20</v>
      </c>
      <c r="C4" s="23">
        <v>1200393.0</v>
      </c>
      <c r="D4" s="49">
        <v>46212.0</v>
      </c>
      <c r="E4" s="29">
        <v>2042387.72</v>
      </c>
      <c r="F4" s="23"/>
      <c r="G4" s="23" t="s">
        <v>19</v>
      </c>
      <c r="H4" s="14"/>
      <c r="I4" s="14"/>
      <c r="J4" s="21">
        <v>183280.0</v>
      </c>
      <c r="K4" s="29">
        <v>1224.0</v>
      </c>
    </row>
    <row r="5" ht="13.5" customHeight="1">
      <c r="A5" s="23">
        <v>6.0</v>
      </c>
      <c r="B5" s="23" t="s">
        <v>20</v>
      </c>
      <c r="C5" s="23">
        <v>1040211.0</v>
      </c>
      <c r="D5" s="49">
        <v>46212.0</v>
      </c>
      <c r="E5" s="29">
        <v>2273864.89</v>
      </c>
      <c r="F5" s="23"/>
      <c r="G5" s="23" t="s">
        <v>19</v>
      </c>
      <c r="H5" s="14"/>
      <c r="I5" s="14"/>
      <c r="J5" s="21">
        <v>183282.0</v>
      </c>
      <c r="K5" s="29">
        <v>757195.5800000001</v>
      </c>
    </row>
    <row r="6" ht="13.5" customHeight="1">
      <c r="A6" s="14">
        <v>8.0</v>
      </c>
      <c r="B6" s="14" t="s">
        <v>20</v>
      </c>
      <c r="C6" s="14">
        <v>1200393.0</v>
      </c>
      <c r="D6" s="16">
        <v>46212.0</v>
      </c>
      <c r="E6" s="17">
        <v>354.49</v>
      </c>
      <c r="F6" s="14"/>
      <c r="G6" s="14" t="s">
        <v>114</v>
      </c>
      <c r="H6" s="14"/>
      <c r="I6" s="14"/>
      <c r="J6" s="21">
        <v>183298.0</v>
      </c>
      <c r="K6" s="29">
        <v>3296.66</v>
      </c>
    </row>
    <row r="7" ht="13.5" customHeight="1">
      <c r="A7" s="23">
        <v>19.0</v>
      </c>
      <c r="B7" s="23" t="s">
        <v>20</v>
      </c>
      <c r="C7" s="23">
        <v>1200393.0</v>
      </c>
      <c r="D7" s="49">
        <v>46212.0</v>
      </c>
      <c r="E7" s="29">
        <v>9505.81</v>
      </c>
      <c r="F7" s="23"/>
      <c r="G7" s="23" t="s">
        <v>19</v>
      </c>
      <c r="H7" s="14"/>
      <c r="I7" s="14"/>
      <c r="J7" s="21" t="s">
        <v>115</v>
      </c>
      <c r="K7" s="29">
        <v>189.79</v>
      </c>
    </row>
    <row r="8" ht="13.5" customHeight="1">
      <c r="A8" s="23">
        <v>20.0</v>
      </c>
      <c r="B8" s="23" t="s">
        <v>20</v>
      </c>
      <c r="C8" s="23">
        <v>1040211.0</v>
      </c>
      <c r="D8" s="49">
        <v>46212.0</v>
      </c>
      <c r="E8" s="29">
        <v>55101.88</v>
      </c>
      <c r="F8" s="23"/>
      <c r="G8" s="23" t="s">
        <v>19</v>
      </c>
      <c r="H8" s="14"/>
      <c r="I8" s="14"/>
      <c r="J8" s="225" t="s">
        <v>116</v>
      </c>
      <c r="K8" s="226">
        <v>2072.0</v>
      </c>
    </row>
    <row r="9" ht="13.5" customHeight="1">
      <c r="A9" s="23">
        <v>22.0</v>
      </c>
      <c r="B9" s="23" t="s">
        <v>20</v>
      </c>
      <c r="C9" s="23">
        <v>1200393.0</v>
      </c>
      <c r="D9" s="49">
        <v>46212.0</v>
      </c>
      <c r="E9" s="29">
        <v>134238.03</v>
      </c>
      <c r="F9" s="23"/>
      <c r="G9" s="23" t="s">
        <v>19</v>
      </c>
      <c r="H9" s="14"/>
      <c r="I9" s="14"/>
      <c r="J9" s="23" t="s">
        <v>117</v>
      </c>
      <c r="K9" s="23">
        <v>509.03</v>
      </c>
    </row>
    <row r="10" ht="13.5" customHeight="1">
      <c r="A10" s="23">
        <v>23.0</v>
      </c>
      <c r="B10" s="23" t="s">
        <v>20</v>
      </c>
      <c r="C10" s="23">
        <v>1200393.0</v>
      </c>
      <c r="D10" s="49">
        <v>46212.0</v>
      </c>
      <c r="E10" s="29">
        <v>928.21</v>
      </c>
      <c r="F10" s="23"/>
      <c r="G10" s="23" t="s">
        <v>19</v>
      </c>
      <c r="H10" s="14"/>
      <c r="I10" s="14"/>
      <c r="J10" s="23">
        <v>183374.0</v>
      </c>
      <c r="K10" s="45">
        <v>2052.95</v>
      </c>
    </row>
    <row r="11" ht="13.5" customHeight="1">
      <c r="A11" s="23">
        <v>25.0</v>
      </c>
      <c r="B11" s="23" t="s">
        <v>20</v>
      </c>
      <c r="C11" s="23">
        <v>1040250.0</v>
      </c>
      <c r="D11" s="49">
        <v>46212.0</v>
      </c>
      <c r="E11" s="29">
        <v>622029.34</v>
      </c>
      <c r="F11" s="23"/>
      <c r="G11" s="23" t="s">
        <v>19</v>
      </c>
      <c r="H11" s="14"/>
      <c r="I11" s="14"/>
      <c r="J11" s="14"/>
      <c r="K11" s="14"/>
    </row>
    <row r="12" ht="13.5" customHeight="1">
      <c r="A12" s="23">
        <v>29.0</v>
      </c>
      <c r="B12" s="23" t="s">
        <v>20</v>
      </c>
      <c r="C12" s="23">
        <v>1040362.0</v>
      </c>
      <c r="D12" s="49">
        <v>46212.0</v>
      </c>
      <c r="E12" s="29">
        <v>260.76</v>
      </c>
      <c r="F12" s="23"/>
      <c r="G12" s="23" t="s">
        <v>19</v>
      </c>
      <c r="H12" s="14"/>
      <c r="I12" s="14"/>
      <c r="J12" s="14"/>
      <c r="K12" s="14"/>
    </row>
    <row r="13" ht="13.5" customHeight="1">
      <c r="A13" s="23">
        <v>30.0</v>
      </c>
      <c r="B13" s="23" t="s">
        <v>20</v>
      </c>
      <c r="C13" s="23">
        <v>1040362.0</v>
      </c>
      <c r="D13" s="49">
        <v>46212.0</v>
      </c>
      <c r="E13" s="29">
        <v>50.88</v>
      </c>
      <c r="F13" s="23"/>
      <c r="G13" s="23" t="s">
        <v>19</v>
      </c>
      <c r="H13" s="14"/>
      <c r="I13" s="14"/>
      <c r="J13" s="14"/>
      <c r="K13" s="14"/>
    </row>
    <row r="14" ht="13.5" customHeight="1">
      <c r="A14" s="23">
        <v>31.0</v>
      </c>
      <c r="B14" s="23" t="s">
        <v>20</v>
      </c>
      <c r="C14" s="23">
        <v>1040362.0</v>
      </c>
      <c r="D14" s="49">
        <v>46212.0</v>
      </c>
      <c r="E14" s="29">
        <v>124.69</v>
      </c>
      <c r="F14" s="23"/>
      <c r="G14" s="23" t="s">
        <v>19</v>
      </c>
      <c r="H14" s="14"/>
      <c r="I14" s="14"/>
      <c r="J14" s="17"/>
      <c r="K14" s="14"/>
    </row>
    <row r="15" ht="13.5" customHeight="1">
      <c r="A15" s="23">
        <v>32.0</v>
      </c>
      <c r="B15" s="23" t="s">
        <v>20</v>
      </c>
      <c r="C15" s="23">
        <v>1040362.0</v>
      </c>
      <c r="D15" s="49">
        <v>46212.0</v>
      </c>
      <c r="E15" s="29">
        <v>787.67</v>
      </c>
      <c r="F15" s="23"/>
      <c r="G15" s="23" t="s">
        <v>19</v>
      </c>
      <c r="H15" s="14"/>
      <c r="I15" s="14"/>
      <c r="J15" s="14"/>
      <c r="K15" s="14"/>
    </row>
    <row r="16" ht="13.5" customHeight="1">
      <c r="A16" s="23">
        <v>34.0</v>
      </c>
      <c r="B16" s="23" t="s">
        <v>47</v>
      </c>
      <c r="C16" s="23">
        <v>1170144.0</v>
      </c>
      <c r="D16" s="49">
        <v>46212.0</v>
      </c>
      <c r="E16" s="29">
        <v>116.99</v>
      </c>
      <c r="F16" s="23"/>
      <c r="G16" s="23" t="s">
        <v>19</v>
      </c>
      <c r="H16" s="14"/>
      <c r="I16" s="14"/>
      <c r="J16" s="14"/>
      <c r="K16" s="14"/>
    </row>
    <row r="17" ht="13.5" customHeight="1">
      <c r="A17" s="23">
        <v>35.0</v>
      </c>
      <c r="B17" s="23" t="s">
        <v>47</v>
      </c>
      <c r="C17" s="23">
        <v>1170144.0</v>
      </c>
      <c r="D17" s="49">
        <v>46212.0</v>
      </c>
      <c r="E17" s="29">
        <v>72.8</v>
      </c>
      <c r="F17" s="23"/>
      <c r="G17" s="23" t="s">
        <v>19</v>
      </c>
      <c r="H17" s="14"/>
      <c r="I17" s="14"/>
      <c r="J17" s="14"/>
      <c r="K17" s="14"/>
    </row>
    <row r="18" ht="13.5" customHeight="1">
      <c r="A18" s="23">
        <v>40.0</v>
      </c>
      <c r="B18" s="23" t="s">
        <v>20</v>
      </c>
      <c r="C18" s="23">
        <v>1040109.0</v>
      </c>
      <c r="D18" s="49">
        <v>46212.0</v>
      </c>
      <c r="E18" s="29">
        <v>2714.9</v>
      </c>
      <c r="F18" s="23"/>
      <c r="G18" s="23" t="s">
        <v>19</v>
      </c>
      <c r="H18" s="14"/>
      <c r="I18" s="14"/>
      <c r="J18" s="17"/>
      <c r="K18" s="14"/>
    </row>
    <row r="19" ht="13.5" customHeight="1">
      <c r="A19" s="23">
        <v>41.0</v>
      </c>
      <c r="B19" s="23" t="s">
        <v>20</v>
      </c>
      <c r="C19" s="23">
        <v>1040109.0</v>
      </c>
      <c r="D19" s="49">
        <v>46212.0</v>
      </c>
      <c r="E19" s="29">
        <v>509.03</v>
      </c>
      <c r="F19" s="23"/>
      <c r="G19" s="23" t="s">
        <v>19</v>
      </c>
      <c r="H19" s="14"/>
      <c r="I19" s="14"/>
      <c r="J19" s="14"/>
      <c r="K19" s="14"/>
    </row>
    <row r="20" ht="13.5" customHeight="1">
      <c r="A20" s="23">
        <v>42.0</v>
      </c>
      <c r="B20" s="23" t="s">
        <v>20</v>
      </c>
      <c r="C20" s="23">
        <v>1040109.0</v>
      </c>
      <c r="D20" s="49">
        <v>46212.0</v>
      </c>
      <c r="E20" s="29">
        <v>581.76</v>
      </c>
      <c r="F20" s="23"/>
      <c r="G20" s="23" t="s">
        <v>19</v>
      </c>
      <c r="H20" s="14"/>
      <c r="I20" s="14"/>
      <c r="J20" s="17"/>
      <c r="K20" s="14"/>
    </row>
    <row r="21" ht="13.5" customHeight="1">
      <c r="A21" s="23">
        <v>43.0</v>
      </c>
      <c r="B21" s="23" t="s">
        <v>20</v>
      </c>
      <c r="C21" s="23">
        <v>1040375.0</v>
      </c>
      <c r="D21" s="49">
        <v>46212.0</v>
      </c>
      <c r="E21" s="29">
        <v>1250.8</v>
      </c>
      <c r="F21" s="23"/>
      <c r="G21" s="23" t="s">
        <v>19</v>
      </c>
      <c r="H21" s="14"/>
      <c r="I21" s="14"/>
      <c r="J21" s="14"/>
      <c r="K21" s="14"/>
    </row>
    <row r="22" ht="13.5" customHeight="1">
      <c r="A22" s="23">
        <v>44.0</v>
      </c>
      <c r="B22" s="23" t="s">
        <v>20</v>
      </c>
      <c r="C22" s="23">
        <v>1040375.0</v>
      </c>
      <c r="D22" s="49">
        <v>46212.0</v>
      </c>
      <c r="E22" s="29">
        <v>802.15</v>
      </c>
      <c r="F22" s="23"/>
      <c r="G22" s="23" t="s">
        <v>19</v>
      </c>
      <c r="H22" s="14"/>
      <c r="I22" s="14"/>
      <c r="J22" s="14"/>
      <c r="K22" s="14"/>
    </row>
    <row r="23" ht="13.5" customHeight="1">
      <c r="E23" s="51"/>
    </row>
    <row r="24" ht="13.5" customHeight="1">
      <c r="E24" s="51"/>
    </row>
    <row r="25" ht="13.5" customHeight="1">
      <c r="E25" s="51"/>
    </row>
    <row r="26" ht="13.5" customHeight="1">
      <c r="E26" s="51"/>
    </row>
    <row r="27" ht="13.5" customHeight="1">
      <c r="E27" s="51"/>
    </row>
    <row r="28" ht="13.5" customHeight="1">
      <c r="E28" s="51"/>
    </row>
    <row r="29" ht="13.5" customHeight="1">
      <c r="E29" s="51"/>
    </row>
    <row r="30" ht="13.5" customHeight="1">
      <c r="E30" s="51"/>
    </row>
    <row r="31" ht="13.5" customHeight="1">
      <c r="E31" s="51"/>
    </row>
    <row r="32" ht="13.5" customHeight="1">
      <c r="E32" s="51"/>
    </row>
    <row r="33" ht="13.5" customHeight="1">
      <c r="E33" s="51"/>
    </row>
    <row r="34" ht="13.5" customHeight="1">
      <c r="E34" s="51"/>
    </row>
    <row r="35" ht="13.5" customHeight="1">
      <c r="E35" s="51"/>
    </row>
    <row r="36" ht="13.5" customHeight="1">
      <c r="E36" s="51"/>
    </row>
    <row r="37" ht="13.5" customHeight="1">
      <c r="E37" s="51"/>
    </row>
    <row r="38" ht="13.5" customHeight="1">
      <c r="E38" s="51"/>
    </row>
    <row r="39" ht="13.5" customHeight="1">
      <c r="E39" s="51"/>
    </row>
    <row r="40" ht="13.5" customHeight="1">
      <c r="E40" s="51"/>
    </row>
    <row r="41" ht="13.5" customHeight="1">
      <c r="E41" s="51"/>
    </row>
    <row r="42" ht="13.5" customHeight="1">
      <c r="E42" s="51"/>
      <c r="F42" s="12"/>
    </row>
    <row r="43" ht="13.5" customHeight="1">
      <c r="E43" s="51"/>
      <c r="F43" s="12"/>
    </row>
    <row r="44" ht="13.5" customHeight="1">
      <c r="E44" s="51"/>
      <c r="F44" s="12"/>
    </row>
    <row r="45" ht="13.5" customHeight="1">
      <c r="E45" s="51"/>
      <c r="F45" s="12"/>
    </row>
    <row r="46" ht="13.5" customHeight="1">
      <c r="E46" s="51"/>
      <c r="F46" s="12"/>
    </row>
    <row r="47" ht="13.5" customHeight="1">
      <c r="E47" s="51"/>
      <c r="F47" s="12"/>
    </row>
    <row r="48" ht="13.5" customHeight="1">
      <c r="E48" s="51"/>
      <c r="F48" s="12"/>
    </row>
    <row r="49" ht="13.5" customHeight="1">
      <c r="E49" s="51"/>
      <c r="F49" s="12"/>
    </row>
    <row r="50" ht="13.5" customHeight="1">
      <c r="E50" s="51"/>
      <c r="F50" s="12"/>
    </row>
    <row r="51" ht="13.5" customHeight="1">
      <c r="E51" s="51"/>
      <c r="F51" s="12"/>
    </row>
    <row r="52" ht="13.5" customHeight="1">
      <c r="E52" s="51"/>
      <c r="F52" s="12"/>
    </row>
    <row r="53" ht="13.5" customHeight="1">
      <c r="E53" s="51"/>
      <c r="F53" s="12"/>
    </row>
    <row r="54" ht="13.5" customHeight="1">
      <c r="E54" s="51"/>
      <c r="F54" s="12"/>
    </row>
    <row r="55" ht="13.5" customHeight="1">
      <c r="E55" s="51"/>
      <c r="F55" s="12"/>
    </row>
    <row r="56" ht="13.5" customHeight="1">
      <c r="E56" s="51"/>
      <c r="F56" s="12"/>
    </row>
    <row r="57" ht="13.5" customHeight="1">
      <c r="E57" s="51"/>
      <c r="F57" s="12"/>
    </row>
    <row r="58" ht="13.5" customHeight="1">
      <c r="E58" s="51"/>
      <c r="F58" s="12"/>
    </row>
    <row r="59" ht="13.5" customHeight="1">
      <c r="E59" s="51"/>
      <c r="F59" s="12"/>
    </row>
    <row r="60" ht="13.5" customHeight="1">
      <c r="E60" s="51"/>
      <c r="F60" s="12"/>
    </row>
    <row r="61" ht="13.5" customHeight="1">
      <c r="E61" s="51"/>
      <c r="F61" s="12"/>
      <c r="J61" s="61"/>
      <c r="K61" s="61"/>
    </row>
    <row r="62" ht="13.5" customHeight="1">
      <c r="E62" s="51"/>
      <c r="F62" s="12"/>
      <c r="J62" s="61"/>
      <c r="K62" s="61"/>
    </row>
    <row r="63" ht="13.5" customHeight="1">
      <c r="E63" s="51"/>
      <c r="F63" s="12"/>
      <c r="H63" s="61"/>
      <c r="I63" s="61"/>
      <c r="J63" s="61"/>
      <c r="K63" s="61"/>
      <c r="L63" s="61"/>
    </row>
    <row r="64" ht="13.5" customHeight="1">
      <c r="E64" s="51"/>
      <c r="F64" s="12"/>
      <c r="H64" s="61"/>
      <c r="I64" s="61"/>
      <c r="J64" s="61"/>
      <c r="K64" s="61"/>
      <c r="L64" s="61"/>
    </row>
    <row r="65" ht="13.5" customHeight="1">
      <c r="E65" s="51"/>
      <c r="F65" s="12"/>
      <c r="H65" s="61"/>
      <c r="I65" s="61"/>
      <c r="J65" s="61"/>
      <c r="K65" s="61"/>
      <c r="L65" s="61"/>
    </row>
    <row r="66" ht="13.5" customHeight="1">
      <c r="E66" s="51"/>
      <c r="F66" s="12"/>
      <c r="H66" s="61"/>
      <c r="I66" s="61"/>
      <c r="J66" s="61"/>
      <c r="K66" s="61"/>
      <c r="L66" s="61"/>
    </row>
    <row r="67" ht="13.5" customHeight="1">
      <c r="E67" s="51"/>
      <c r="F67" s="12"/>
      <c r="H67" s="61"/>
      <c r="I67" s="61"/>
      <c r="J67" s="61"/>
      <c r="K67" s="61"/>
      <c r="L67" s="61"/>
    </row>
    <row r="68" ht="13.5" customHeight="1">
      <c r="E68" s="51"/>
      <c r="F68" s="12"/>
      <c r="H68" s="61"/>
      <c r="I68" s="61"/>
      <c r="J68" s="61"/>
      <c r="K68" s="61"/>
      <c r="L68" s="61"/>
    </row>
    <row r="69" ht="13.5" customHeight="1">
      <c r="E69" s="51"/>
      <c r="F69" s="12"/>
      <c r="H69" s="61"/>
      <c r="I69" s="61"/>
      <c r="J69" s="61"/>
      <c r="K69" s="61"/>
      <c r="L69" s="61"/>
    </row>
    <row r="70" ht="13.5" customHeight="1">
      <c r="E70" s="51"/>
      <c r="F70" s="12"/>
      <c r="H70" s="61"/>
      <c r="I70" s="61"/>
      <c r="J70" s="61"/>
      <c r="K70" s="61"/>
      <c r="L70" s="61"/>
    </row>
    <row r="71" ht="13.5" customHeight="1">
      <c r="E71" s="51"/>
      <c r="F71" s="12"/>
      <c r="H71" s="61"/>
      <c r="I71" s="61"/>
      <c r="J71" s="61"/>
      <c r="K71" s="61"/>
      <c r="L71" s="61"/>
    </row>
    <row r="72" ht="13.5" customHeight="1">
      <c r="E72" s="51"/>
      <c r="F72" s="12"/>
      <c r="H72" s="61"/>
      <c r="I72" s="61"/>
      <c r="J72" s="61"/>
      <c r="K72" s="61"/>
      <c r="L72" s="61"/>
    </row>
    <row r="73" ht="13.5" customHeight="1">
      <c r="E73" s="51"/>
      <c r="F73" s="12"/>
      <c r="H73" s="61"/>
      <c r="I73" s="61"/>
      <c r="J73" s="61"/>
      <c r="K73" s="61"/>
      <c r="L73" s="61"/>
    </row>
    <row r="74" ht="13.5" customHeight="1">
      <c r="E74" s="51"/>
      <c r="F74" s="12"/>
      <c r="H74" s="61"/>
      <c r="I74" s="61"/>
      <c r="J74" s="61"/>
      <c r="K74" s="61"/>
      <c r="L74" s="61"/>
    </row>
    <row r="75" ht="13.5" customHeight="1">
      <c r="E75" s="51"/>
      <c r="F75" s="12"/>
      <c r="H75" s="61"/>
      <c r="I75" s="61"/>
      <c r="J75" s="61"/>
      <c r="K75" s="61"/>
      <c r="L75" s="61"/>
    </row>
    <row r="76" ht="13.5" customHeight="1">
      <c r="E76" s="51"/>
      <c r="F76" s="12"/>
      <c r="H76" s="61"/>
      <c r="I76" s="61"/>
      <c r="J76" s="61"/>
      <c r="K76" s="61"/>
      <c r="L76" s="61"/>
    </row>
    <row r="77" ht="13.5" customHeight="1">
      <c r="E77" s="51"/>
      <c r="F77" s="12"/>
      <c r="H77" s="61"/>
      <c r="I77" s="61"/>
      <c r="J77" s="61"/>
      <c r="K77" s="61"/>
      <c r="L77" s="61"/>
    </row>
    <row r="78" ht="13.5" customHeight="1">
      <c r="E78" s="51"/>
      <c r="F78" s="12"/>
      <c r="H78" s="61"/>
      <c r="I78" s="61"/>
      <c r="J78" s="61"/>
      <c r="K78" s="61"/>
      <c r="L78" s="61"/>
    </row>
    <row r="79" ht="13.5" customHeight="1">
      <c r="E79" s="51"/>
      <c r="F79" s="12"/>
      <c r="H79" s="61"/>
      <c r="I79" s="61"/>
      <c r="J79" s="61"/>
      <c r="K79" s="61"/>
      <c r="L79" s="61"/>
    </row>
    <row r="80" ht="13.5" customHeight="1">
      <c r="E80" s="51"/>
      <c r="F80" s="12"/>
      <c r="H80" s="61"/>
      <c r="I80" s="61"/>
      <c r="J80" s="61"/>
      <c r="K80" s="61"/>
      <c r="L80" s="61"/>
    </row>
    <row r="81" ht="13.5" customHeight="1">
      <c r="E81" s="51"/>
      <c r="F81" s="12"/>
      <c r="H81" s="61"/>
      <c r="I81" s="61"/>
      <c r="J81" s="61"/>
      <c r="K81" s="61"/>
      <c r="L81" s="61"/>
    </row>
    <row r="82" ht="13.5" customHeight="1">
      <c r="E82" s="51"/>
      <c r="F82" s="12"/>
      <c r="H82" s="61"/>
      <c r="I82" s="61"/>
      <c r="J82" s="61"/>
      <c r="K82" s="61"/>
      <c r="L82" s="61"/>
    </row>
    <row r="83" ht="13.5" customHeight="1">
      <c r="E83" s="51"/>
      <c r="F83" s="12"/>
      <c r="H83" s="61"/>
      <c r="I83" s="61"/>
      <c r="J83" s="61"/>
      <c r="K83" s="61"/>
      <c r="L83" s="61"/>
    </row>
    <row r="84" ht="13.5" customHeight="1">
      <c r="E84" s="51"/>
      <c r="F84" s="12"/>
      <c r="H84" s="61"/>
      <c r="I84" s="61"/>
      <c r="J84" s="61"/>
      <c r="K84" s="61"/>
      <c r="L84" s="61"/>
    </row>
    <row r="85" ht="13.5" customHeight="1">
      <c r="E85" s="51"/>
      <c r="F85" s="12"/>
      <c r="H85" s="61"/>
      <c r="I85" s="61"/>
      <c r="J85" s="61"/>
      <c r="K85" s="61"/>
      <c r="L85" s="61"/>
    </row>
    <row r="86" ht="13.5" customHeight="1">
      <c r="E86" s="51"/>
      <c r="F86" s="12"/>
      <c r="H86" s="61"/>
      <c r="I86" s="61"/>
      <c r="J86" s="61"/>
      <c r="K86" s="61"/>
      <c r="L86" s="61"/>
    </row>
    <row r="87" ht="13.5" customHeight="1">
      <c r="E87" s="51"/>
      <c r="F87" s="12"/>
      <c r="H87" s="61"/>
      <c r="I87" s="61"/>
      <c r="J87" s="61"/>
      <c r="K87" s="61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61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61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61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61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61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61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61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61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61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61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61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61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61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61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61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61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61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61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61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61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61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61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61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61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61"/>
      <c r="L112" s="61"/>
    </row>
    <row r="113" ht="13.5" customHeight="1">
      <c r="A113" s="230"/>
      <c r="B113" s="230"/>
      <c r="C113" s="230"/>
      <c r="D113" s="61"/>
      <c r="E113" s="75"/>
      <c r="F113" s="69"/>
      <c r="G113" s="61"/>
      <c r="H113" s="61"/>
      <c r="I113" s="61"/>
      <c r="J113" s="61"/>
      <c r="K113" s="61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61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61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61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61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61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61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61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61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61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61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61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61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61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61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61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61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61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61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61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61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61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61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61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61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61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61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61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61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61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61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61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61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61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J147" s="61"/>
      <c r="K147" s="61"/>
      <c r="L147" s="61"/>
    </row>
    <row r="148" ht="13.5" customHeight="1">
      <c r="A148" s="61"/>
      <c r="B148" s="61"/>
      <c r="C148" s="61"/>
      <c r="D148" s="61"/>
      <c r="E148" s="75"/>
      <c r="F148" s="69"/>
      <c r="G148" s="61"/>
      <c r="H148" s="61"/>
      <c r="I148" s="61"/>
      <c r="J148" s="61"/>
      <c r="K148" s="61"/>
      <c r="L148" s="61"/>
    </row>
    <row r="149" ht="13.5" customHeight="1">
      <c r="A149" s="61"/>
      <c r="B149" s="61"/>
      <c r="C149" s="61"/>
      <c r="D149" s="61"/>
      <c r="E149" s="75"/>
      <c r="F149" s="69"/>
      <c r="G149" s="61"/>
      <c r="H149" s="61"/>
      <c r="I149" s="61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L150" s="61"/>
    </row>
    <row r="151" ht="13.5" customHeight="1">
      <c r="E151" s="51"/>
      <c r="F151" s="12"/>
    </row>
    <row r="152" ht="13.5" customHeight="1">
      <c r="E152" s="51"/>
      <c r="F152" s="12"/>
    </row>
    <row r="153" ht="13.5" customHeight="1">
      <c r="E153" s="51"/>
      <c r="F153" s="12"/>
    </row>
    <row r="154" ht="13.5" customHeight="1">
      <c r="E154" s="51"/>
      <c r="F154" s="12"/>
    </row>
    <row r="155" ht="13.5" customHeight="1">
      <c r="E155" s="51"/>
      <c r="F155" s="12"/>
    </row>
    <row r="156" ht="13.5" customHeight="1">
      <c r="E156" s="51"/>
      <c r="F156" s="12"/>
    </row>
    <row r="157" ht="13.5" customHeight="1">
      <c r="E157" s="51"/>
      <c r="F157" s="12"/>
    </row>
    <row r="158" ht="13.5" customHeight="1">
      <c r="E158" s="51"/>
      <c r="F158" s="12"/>
    </row>
    <row r="159" ht="13.5" customHeight="1">
      <c r="E159" s="51"/>
      <c r="F159" s="12"/>
    </row>
    <row r="160" ht="13.5" customHeight="1">
      <c r="E160" s="51"/>
      <c r="F160" s="12"/>
    </row>
    <row r="161" ht="13.5" customHeight="1">
      <c r="E161" s="51"/>
      <c r="F161" s="12"/>
    </row>
    <row r="162" ht="13.5" customHeight="1">
      <c r="E162" s="51"/>
      <c r="F162" s="12"/>
    </row>
    <row r="163" ht="13.5" customHeight="1">
      <c r="E163" s="51"/>
      <c r="F163" s="12"/>
    </row>
    <row r="164" ht="13.5" customHeight="1">
      <c r="E164" s="51"/>
      <c r="F164" s="12"/>
    </row>
    <row r="165" ht="13.5" customHeight="1">
      <c r="E165" s="51"/>
      <c r="F165" s="12"/>
    </row>
    <row r="166" ht="13.5" customHeight="1">
      <c r="E166" s="51"/>
      <c r="F166" s="12"/>
    </row>
    <row r="167" ht="13.5" customHeight="1">
      <c r="E167" s="51"/>
      <c r="F167" s="12"/>
    </row>
    <row r="168" ht="13.5" customHeight="1">
      <c r="E168" s="51"/>
      <c r="F168" s="12"/>
    </row>
    <row r="169" ht="13.5" customHeight="1">
      <c r="E169" s="51"/>
      <c r="F169" s="12"/>
    </row>
    <row r="170" ht="13.5" customHeight="1">
      <c r="E170" s="51"/>
      <c r="F170" s="12"/>
    </row>
    <row r="171" ht="13.5" customHeight="1">
      <c r="E171" s="51"/>
      <c r="F171" s="12"/>
    </row>
    <row r="172" ht="13.5" customHeight="1">
      <c r="E172" s="51"/>
      <c r="F172" s="12"/>
    </row>
    <row r="173" ht="13.5" customHeight="1">
      <c r="E173" s="51"/>
      <c r="F173" s="12"/>
    </row>
    <row r="174" ht="13.5" customHeight="1">
      <c r="E174" s="51"/>
      <c r="F174" s="12"/>
    </row>
    <row r="175" ht="13.5" customHeight="1">
      <c r="E175" s="51"/>
      <c r="F175" s="12"/>
    </row>
    <row r="176" ht="13.5" customHeight="1">
      <c r="E176" s="51"/>
      <c r="F176" s="12"/>
    </row>
    <row r="177" ht="13.5" customHeight="1">
      <c r="E177" s="51"/>
      <c r="F177" s="12"/>
    </row>
    <row r="178" ht="13.5" customHeight="1">
      <c r="E178" s="51"/>
      <c r="F178" s="12"/>
    </row>
    <row r="179" ht="13.5" customHeight="1">
      <c r="E179" s="51"/>
      <c r="F179" s="12"/>
    </row>
    <row r="180" ht="13.5" customHeight="1">
      <c r="E180" s="51"/>
      <c r="F180" s="12"/>
    </row>
    <row r="181" ht="13.5" customHeight="1">
      <c r="E181" s="51"/>
      <c r="F181" s="12"/>
    </row>
    <row r="182" ht="13.5" customHeight="1">
      <c r="E182" s="51"/>
      <c r="F182" s="12"/>
    </row>
    <row r="183" ht="13.5" customHeight="1">
      <c r="E183" s="51"/>
      <c r="F183" s="12"/>
    </row>
    <row r="184" ht="13.5" customHeight="1">
      <c r="E184" s="51"/>
      <c r="F184" s="12"/>
    </row>
    <row r="185" ht="13.5" customHeight="1">
      <c r="E185" s="51"/>
      <c r="F185" s="12"/>
    </row>
    <row r="186" ht="13.5" customHeight="1">
      <c r="E186" s="51"/>
      <c r="F186" s="12"/>
    </row>
    <row r="187" ht="13.5" customHeight="1">
      <c r="E187" s="51"/>
      <c r="F187" s="12"/>
    </row>
    <row r="188" ht="13.5" customHeight="1">
      <c r="E188" s="51"/>
      <c r="F188" s="12"/>
    </row>
    <row r="189" ht="13.5" customHeight="1">
      <c r="E189" s="51"/>
      <c r="F189" s="12"/>
    </row>
    <row r="190" ht="13.5" customHeight="1">
      <c r="E190" s="51"/>
      <c r="F190" s="12"/>
    </row>
    <row r="191" ht="13.5" customHeight="1">
      <c r="E191" s="51"/>
      <c r="F191" s="12"/>
    </row>
    <row r="192" ht="13.5" customHeight="1">
      <c r="E192" s="51"/>
      <c r="F192" s="12"/>
    </row>
    <row r="193" ht="13.5" customHeight="1">
      <c r="E193" s="51"/>
      <c r="F193" s="12"/>
    </row>
    <row r="194" ht="13.5" customHeight="1">
      <c r="E194" s="51"/>
      <c r="F194" s="12"/>
    </row>
    <row r="195" ht="13.5" customHeight="1">
      <c r="E195" s="51"/>
      <c r="F195" s="12"/>
    </row>
    <row r="196" ht="13.5" customHeight="1">
      <c r="E196" s="51"/>
      <c r="F196" s="12"/>
    </row>
    <row r="197" ht="13.5" customHeight="1">
      <c r="E197" s="51"/>
      <c r="F197" s="12"/>
    </row>
    <row r="198" ht="13.5" customHeight="1">
      <c r="E198" s="51"/>
      <c r="F198" s="12"/>
    </row>
    <row r="199" ht="13.5" customHeight="1">
      <c r="E199" s="51"/>
      <c r="F199" s="12"/>
    </row>
    <row r="200" ht="13.5" customHeight="1">
      <c r="E200" s="51"/>
      <c r="F200" s="12"/>
    </row>
    <row r="201" ht="13.5" customHeight="1">
      <c r="E201" s="51"/>
      <c r="F201" s="12"/>
    </row>
    <row r="202" ht="13.5" customHeight="1">
      <c r="E202" s="51"/>
      <c r="F202" s="12"/>
    </row>
    <row r="203" ht="13.5" customHeight="1">
      <c r="E203" s="51"/>
      <c r="F203" s="12"/>
    </row>
    <row r="204" ht="13.5" customHeight="1">
      <c r="E204" s="51"/>
      <c r="F204" s="12"/>
    </row>
    <row r="205" ht="13.5" customHeight="1">
      <c r="E205" s="51"/>
      <c r="F205" s="12"/>
    </row>
    <row r="206" ht="13.5" customHeight="1">
      <c r="E206" s="51"/>
      <c r="F206" s="12"/>
    </row>
    <row r="207" ht="13.5" customHeight="1">
      <c r="E207" s="51"/>
      <c r="F207" s="12"/>
    </row>
    <row r="208" ht="13.5" customHeight="1">
      <c r="E208" s="51"/>
      <c r="F208" s="12"/>
    </row>
    <row r="209" ht="13.5" customHeight="1">
      <c r="E209" s="51"/>
      <c r="F209" s="12"/>
    </row>
    <row r="210" ht="13.5" customHeight="1">
      <c r="E210" s="51"/>
      <c r="F210" s="12"/>
    </row>
    <row r="211" ht="13.5" customHeight="1">
      <c r="E211" s="51"/>
      <c r="F211" s="12"/>
    </row>
    <row r="212" ht="13.5" customHeight="1">
      <c r="E212" s="51"/>
      <c r="F212" s="12"/>
    </row>
    <row r="213" ht="13.5" customHeight="1">
      <c r="E213" s="51"/>
      <c r="F213" s="12"/>
    </row>
    <row r="214" ht="13.5" customHeight="1">
      <c r="E214" s="51"/>
      <c r="F214" s="12"/>
    </row>
    <row r="215" ht="13.5" customHeight="1">
      <c r="E215" s="51"/>
      <c r="F215" s="12"/>
    </row>
    <row r="216" ht="13.5" customHeight="1">
      <c r="E216" s="51"/>
      <c r="F216" s="12"/>
    </row>
    <row r="217" ht="13.5" customHeight="1">
      <c r="E217" s="51"/>
      <c r="F217" s="12"/>
    </row>
    <row r="218" ht="13.5" customHeight="1">
      <c r="E218" s="51"/>
      <c r="F218" s="12"/>
    </row>
    <row r="219" ht="13.5" customHeight="1">
      <c r="E219" s="51"/>
      <c r="F219" s="12"/>
    </row>
    <row r="220" ht="13.5" customHeight="1">
      <c r="E220" s="51"/>
      <c r="F220" s="12"/>
    </row>
    <row r="221" ht="13.5" customHeight="1">
      <c r="E221" s="51"/>
      <c r="F221" s="12"/>
    </row>
    <row r="222" ht="13.5" customHeight="1">
      <c r="E222" s="51"/>
      <c r="F222" s="12"/>
    </row>
    <row r="223" ht="13.5" customHeight="1">
      <c r="E223" s="51"/>
      <c r="F223" s="12"/>
    </row>
    <row r="224" ht="13.5" customHeight="1">
      <c r="E224" s="51"/>
      <c r="F224" s="12"/>
    </row>
    <row r="225" ht="13.5" customHeight="1">
      <c r="E225" s="51"/>
      <c r="F225" s="12"/>
    </row>
    <row r="226" ht="13.5" customHeight="1">
      <c r="E226" s="51"/>
      <c r="F226" s="12"/>
    </row>
    <row r="227" ht="13.5" customHeight="1">
      <c r="E227" s="51"/>
      <c r="F227" s="12"/>
    </row>
    <row r="228" ht="13.5" customHeight="1">
      <c r="E228" s="51"/>
      <c r="F228" s="12"/>
    </row>
    <row r="229" ht="13.5" customHeight="1">
      <c r="E229" s="51"/>
      <c r="F229" s="12"/>
    </row>
    <row r="230" ht="13.5" customHeight="1">
      <c r="E230" s="51"/>
      <c r="F230" s="12"/>
    </row>
    <row r="231" ht="13.5" customHeight="1">
      <c r="E231" s="51"/>
      <c r="F231" s="12"/>
    </row>
    <row r="232" ht="13.5" customHeight="1">
      <c r="E232" s="51"/>
      <c r="F232" s="12"/>
    </row>
    <row r="233" ht="13.5" customHeight="1">
      <c r="E233" s="51"/>
      <c r="F233" s="12"/>
    </row>
    <row r="234" ht="13.5" customHeight="1">
      <c r="E234" s="51"/>
      <c r="F234" s="12"/>
    </row>
    <row r="235" ht="13.5" customHeight="1">
      <c r="E235" s="51"/>
      <c r="F235" s="12"/>
    </row>
    <row r="236" ht="13.5" customHeight="1">
      <c r="E236" s="51"/>
      <c r="F236" s="12"/>
    </row>
    <row r="237" ht="13.5" customHeight="1">
      <c r="E237" s="51"/>
      <c r="F237" s="12"/>
    </row>
    <row r="238" ht="13.5" customHeight="1">
      <c r="E238" s="51"/>
      <c r="F238" s="12"/>
    </row>
    <row r="239" ht="13.5" customHeight="1">
      <c r="E239" s="51"/>
      <c r="F239" s="12"/>
    </row>
    <row r="240" ht="13.5" customHeight="1">
      <c r="E240" s="51"/>
      <c r="F240" s="12"/>
    </row>
    <row r="241" ht="13.5" customHeight="1">
      <c r="E241" s="51"/>
      <c r="F241" s="12"/>
    </row>
    <row r="242" ht="13.5" customHeight="1">
      <c r="E242" s="51"/>
      <c r="F242" s="12"/>
    </row>
    <row r="243" ht="13.5" customHeight="1">
      <c r="E243" s="51"/>
      <c r="F243" s="12"/>
    </row>
    <row r="244" ht="13.5" customHeight="1">
      <c r="E244" s="51"/>
      <c r="F244" s="12"/>
    </row>
    <row r="245" ht="13.5" customHeight="1">
      <c r="E245" s="51"/>
      <c r="F245" s="12"/>
    </row>
    <row r="246" ht="13.5" customHeight="1">
      <c r="E246" s="51"/>
      <c r="F246" s="12"/>
    </row>
    <row r="247" ht="13.5" customHeight="1">
      <c r="E247" s="51"/>
      <c r="F247" s="12"/>
    </row>
    <row r="248" ht="13.5" customHeight="1">
      <c r="E248" s="51"/>
      <c r="F248" s="12"/>
    </row>
    <row r="249" ht="13.5" customHeight="1">
      <c r="E249" s="51"/>
      <c r="F249" s="12"/>
    </row>
    <row r="250" ht="13.5" customHeight="1">
      <c r="E250" s="51"/>
      <c r="F250" s="12"/>
    </row>
    <row r="251" ht="13.5" customHeight="1">
      <c r="E251" s="51"/>
      <c r="F251" s="12"/>
    </row>
    <row r="252" ht="13.5" customHeight="1">
      <c r="E252" s="51"/>
      <c r="F252" s="12"/>
    </row>
    <row r="253" ht="13.5" customHeight="1">
      <c r="E253" s="51"/>
      <c r="F253" s="12"/>
    </row>
    <row r="254" ht="13.5" customHeight="1">
      <c r="E254" s="51"/>
      <c r="F254" s="12"/>
    </row>
    <row r="255" ht="13.5" customHeight="1">
      <c r="E255" s="51"/>
      <c r="F255" s="12"/>
    </row>
    <row r="256" ht="13.5" customHeight="1">
      <c r="E256" s="51"/>
      <c r="F256" s="12"/>
    </row>
    <row r="257" ht="13.5" customHeight="1">
      <c r="E257" s="51"/>
      <c r="F257" s="12"/>
    </row>
    <row r="258" ht="13.5" customHeight="1">
      <c r="E258" s="51"/>
      <c r="F258" s="12"/>
    </row>
    <row r="259" ht="13.5" customHeight="1">
      <c r="E259" s="51"/>
      <c r="F259" s="12"/>
    </row>
    <row r="260" ht="13.5" customHeight="1">
      <c r="E260" s="51"/>
      <c r="F260" s="12"/>
    </row>
    <row r="261" ht="13.5" customHeight="1">
      <c r="E261" s="51"/>
      <c r="F261" s="12"/>
    </row>
    <row r="262" ht="13.5" customHeight="1">
      <c r="E262" s="51"/>
      <c r="F262" s="12"/>
    </row>
    <row r="263" ht="13.5" customHeight="1">
      <c r="E263" s="51"/>
      <c r="F263" s="12"/>
    </row>
    <row r="264" ht="13.5" customHeight="1">
      <c r="E264" s="51"/>
      <c r="F264" s="12"/>
    </row>
    <row r="265" ht="13.5" customHeight="1">
      <c r="E265" s="51"/>
      <c r="F265" s="12"/>
    </row>
    <row r="266" ht="13.5" customHeight="1">
      <c r="E266" s="51"/>
      <c r="F266" s="12"/>
    </row>
    <row r="267" ht="13.5" customHeight="1">
      <c r="E267" s="51"/>
      <c r="F267" s="12"/>
    </row>
    <row r="268" ht="13.5" customHeight="1">
      <c r="E268" s="51"/>
      <c r="F268" s="12"/>
    </row>
    <row r="269" ht="13.5" customHeight="1">
      <c r="E269" s="51"/>
      <c r="F269" s="12"/>
    </row>
    <row r="270" ht="13.5" customHeight="1">
      <c r="E270" s="51"/>
      <c r="F270" s="12"/>
    </row>
    <row r="271" ht="13.5" customHeight="1">
      <c r="E271" s="51"/>
      <c r="F271" s="12"/>
    </row>
    <row r="272" ht="13.5" customHeight="1">
      <c r="E272" s="51"/>
      <c r="F272" s="12"/>
    </row>
    <row r="273" ht="13.5" customHeight="1">
      <c r="E273" s="51"/>
      <c r="F273" s="12"/>
    </row>
    <row r="274" ht="13.5" customHeight="1">
      <c r="E274" s="51"/>
      <c r="F274" s="12"/>
    </row>
    <row r="275" ht="13.5" customHeight="1">
      <c r="E275" s="51"/>
      <c r="F275" s="12"/>
    </row>
    <row r="276" ht="13.5" customHeight="1">
      <c r="E276" s="51"/>
      <c r="F276" s="12"/>
    </row>
    <row r="277" ht="13.5" customHeight="1">
      <c r="E277" s="51"/>
      <c r="F277" s="12"/>
    </row>
    <row r="278" ht="13.5" customHeight="1">
      <c r="E278" s="51"/>
      <c r="F278" s="12"/>
    </row>
    <row r="279" ht="13.5" customHeight="1">
      <c r="E279" s="51"/>
      <c r="F279" s="12"/>
    </row>
    <row r="280" ht="13.5" customHeight="1">
      <c r="E280" s="51"/>
      <c r="F280" s="12"/>
    </row>
    <row r="281" ht="13.5" customHeight="1">
      <c r="E281" s="51"/>
      <c r="F281" s="12"/>
    </row>
    <row r="282" ht="13.5" customHeight="1">
      <c r="E282" s="51"/>
      <c r="F282" s="12"/>
    </row>
    <row r="283" ht="13.5" customHeight="1">
      <c r="E283" s="51"/>
      <c r="F283" s="12"/>
    </row>
    <row r="284" ht="13.5" customHeight="1">
      <c r="E284" s="51"/>
      <c r="F284" s="12"/>
    </row>
    <row r="285" ht="13.5" customHeight="1">
      <c r="E285" s="51"/>
      <c r="F285" s="12"/>
    </row>
    <row r="286" ht="13.5" customHeight="1">
      <c r="E286" s="51"/>
      <c r="F286" s="12"/>
    </row>
    <row r="287" ht="13.5" customHeight="1">
      <c r="E287" s="51"/>
      <c r="F287" s="12"/>
    </row>
    <row r="288" ht="13.5" customHeight="1">
      <c r="E288" s="51"/>
      <c r="F288" s="12"/>
    </row>
    <row r="289" ht="13.5" customHeight="1">
      <c r="E289" s="51"/>
      <c r="F289" s="12"/>
    </row>
    <row r="290" ht="13.5" customHeight="1">
      <c r="E290" s="51"/>
      <c r="F290" s="12"/>
    </row>
    <row r="291" ht="13.5" customHeight="1">
      <c r="E291" s="51"/>
      <c r="F291" s="12"/>
    </row>
    <row r="292" ht="13.5" customHeight="1">
      <c r="E292" s="51"/>
      <c r="F292" s="12"/>
    </row>
    <row r="293" ht="13.5" customHeight="1">
      <c r="E293" s="51"/>
      <c r="F293" s="12"/>
    </row>
    <row r="294" ht="13.5" customHeight="1">
      <c r="E294" s="51"/>
      <c r="F294" s="12"/>
    </row>
    <row r="295" ht="13.5" customHeight="1">
      <c r="E295" s="51"/>
      <c r="F295" s="12"/>
    </row>
    <row r="296" ht="13.5" customHeight="1">
      <c r="E296" s="51"/>
      <c r="F296" s="12"/>
    </row>
    <row r="297" ht="13.5" customHeight="1">
      <c r="E297" s="51"/>
      <c r="F297" s="12"/>
    </row>
    <row r="298" ht="13.5" customHeight="1">
      <c r="E298" s="51"/>
      <c r="F298" s="12"/>
    </row>
    <row r="299" ht="13.5" customHeight="1">
      <c r="E299" s="51"/>
      <c r="F299" s="12"/>
    </row>
    <row r="300" ht="13.5" customHeight="1">
      <c r="E300" s="51"/>
      <c r="F300" s="12"/>
    </row>
    <row r="301" ht="13.5" customHeight="1">
      <c r="E301" s="51"/>
      <c r="F301" s="12"/>
    </row>
    <row r="302" ht="13.5" customHeight="1">
      <c r="E302" s="51"/>
      <c r="F302" s="12"/>
    </row>
    <row r="303" ht="13.5" customHeight="1">
      <c r="E303" s="51"/>
      <c r="F303" s="12"/>
    </row>
    <row r="304" ht="13.5" customHeight="1">
      <c r="E304" s="51"/>
      <c r="F304" s="12"/>
    </row>
    <row r="305" ht="13.5" customHeight="1">
      <c r="E305" s="51"/>
      <c r="F305" s="12"/>
    </row>
    <row r="306" ht="13.5" customHeight="1">
      <c r="E306" s="51"/>
      <c r="F306" s="12"/>
    </row>
    <row r="307" ht="13.5" customHeight="1">
      <c r="E307" s="51"/>
      <c r="F307" s="12"/>
    </row>
    <row r="308" ht="13.5" customHeight="1">
      <c r="E308" s="51"/>
      <c r="F308" s="12"/>
    </row>
    <row r="309" ht="13.5" customHeight="1">
      <c r="E309" s="51"/>
      <c r="F309" s="12"/>
    </row>
    <row r="310" ht="13.5" customHeight="1">
      <c r="E310" s="51"/>
      <c r="F310" s="12"/>
    </row>
    <row r="311" ht="13.5" customHeight="1">
      <c r="E311" s="51"/>
      <c r="F311" s="12"/>
    </row>
    <row r="312" ht="13.5" customHeight="1">
      <c r="E312" s="51"/>
      <c r="F312" s="12"/>
    </row>
    <row r="313" ht="13.5" customHeight="1">
      <c r="E313" s="51"/>
      <c r="F313" s="12"/>
    </row>
    <row r="314" ht="13.5" customHeight="1">
      <c r="E314" s="51"/>
      <c r="F314" s="12"/>
    </row>
    <row r="315" ht="13.5" customHeight="1">
      <c r="E315" s="51"/>
      <c r="F315" s="12"/>
    </row>
    <row r="316" ht="13.5" customHeight="1">
      <c r="E316" s="51"/>
      <c r="F316" s="12"/>
    </row>
    <row r="317" ht="13.5" customHeight="1">
      <c r="E317" s="51"/>
      <c r="F317" s="12"/>
    </row>
    <row r="318" ht="13.5" customHeight="1">
      <c r="E318" s="51"/>
      <c r="F318" s="12"/>
    </row>
    <row r="319" ht="13.5" customHeight="1">
      <c r="E319" s="51"/>
      <c r="F319" s="12"/>
    </row>
    <row r="320" ht="13.5" customHeight="1">
      <c r="E320" s="51"/>
      <c r="F320" s="12"/>
    </row>
    <row r="321" ht="13.5" customHeight="1">
      <c r="E321" s="51"/>
      <c r="F321" s="12"/>
    </row>
    <row r="322" ht="13.5" customHeight="1">
      <c r="E322" s="51"/>
      <c r="F322" s="12"/>
    </row>
    <row r="323" ht="13.5" customHeight="1">
      <c r="E323" s="51"/>
      <c r="F323" s="12"/>
    </row>
    <row r="324" ht="13.5" customHeight="1">
      <c r="E324" s="51"/>
      <c r="F324" s="12"/>
    </row>
    <row r="325" ht="13.5" customHeight="1">
      <c r="E325" s="51"/>
      <c r="F325" s="12"/>
    </row>
    <row r="326" ht="13.5" customHeight="1">
      <c r="E326" s="51"/>
      <c r="F326" s="12"/>
    </row>
    <row r="327" ht="13.5" customHeight="1">
      <c r="E327" s="51"/>
      <c r="F327" s="12"/>
    </row>
    <row r="328" ht="13.5" customHeight="1">
      <c r="E328" s="51"/>
      <c r="F328" s="12"/>
    </row>
    <row r="329" ht="13.5" customHeight="1">
      <c r="E329" s="51"/>
      <c r="F329" s="12"/>
    </row>
    <row r="330" ht="13.5" customHeight="1">
      <c r="E330" s="51"/>
      <c r="F330" s="12"/>
    </row>
    <row r="331" ht="13.5" customHeight="1">
      <c r="E331" s="51"/>
      <c r="F331" s="12"/>
    </row>
    <row r="332" ht="13.5" customHeight="1">
      <c r="E332" s="51"/>
      <c r="F332" s="12"/>
    </row>
    <row r="333" ht="13.5" customHeight="1">
      <c r="E333" s="51"/>
      <c r="F333" s="12"/>
    </row>
    <row r="334" ht="13.5" customHeight="1">
      <c r="E334" s="51"/>
      <c r="F334" s="12"/>
    </row>
    <row r="335" ht="13.5" customHeight="1">
      <c r="E335" s="51"/>
      <c r="F335" s="12"/>
    </row>
    <row r="336" ht="13.5" customHeight="1">
      <c r="E336" s="51"/>
      <c r="F336" s="12"/>
    </row>
    <row r="337" ht="13.5" customHeight="1">
      <c r="E337" s="51"/>
      <c r="F337" s="12"/>
    </row>
    <row r="338" ht="13.5" customHeight="1">
      <c r="E338" s="51"/>
      <c r="F338" s="12"/>
    </row>
    <row r="339" ht="13.5" customHeight="1">
      <c r="E339" s="51"/>
      <c r="F339" s="12"/>
    </row>
    <row r="340" ht="13.5" customHeight="1">
      <c r="E340" s="51"/>
      <c r="F340" s="12"/>
    </row>
    <row r="341" ht="13.5" customHeight="1">
      <c r="E341" s="51"/>
      <c r="F341" s="12"/>
    </row>
    <row r="342" ht="13.5" customHeight="1">
      <c r="E342" s="51"/>
      <c r="F342" s="12"/>
    </row>
    <row r="343" ht="13.5" customHeight="1">
      <c r="E343" s="51"/>
      <c r="F343" s="12"/>
    </row>
    <row r="344" ht="13.5" customHeight="1">
      <c r="E344" s="51"/>
      <c r="F344" s="12"/>
    </row>
    <row r="345" ht="13.5" customHeight="1">
      <c r="E345" s="51"/>
      <c r="F345" s="12"/>
    </row>
    <row r="346" ht="13.5" customHeight="1">
      <c r="E346" s="51"/>
      <c r="F346" s="12"/>
    </row>
    <row r="347" ht="13.5" customHeight="1">
      <c r="E347" s="51"/>
      <c r="F347" s="12"/>
    </row>
    <row r="348" ht="13.5" customHeight="1">
      <c r="E348" s="51"/>
      <c r="F348" s="12"/>
    </row>
    <row r="349" ht="13.5" customHeight="1">
      <c r="E349" s="51"/>
      <c r="F349" s="12"/>
    </row>
    <row r="350" ht="13.5" customHeight="1">
      <c r="E350" s="51"/>
      <c r="F350" s="12"/>
    </row>
    <row r="351" ht="13.5" customHeight="1">
      <c r="E351" s="51"/>
      <c r="F351" s="12"/>
    </row>
    <row r="352" ht="13.5" customHeight="1">
      <c r="E352" s="51"/>
      <c r="F352" s="12"/>
    </row>
    <row r="353" ht="13.5" customHeight="1">
      <c r="E353" s="51"/>
      <c r="F353" s="12"/>
    </row>
    <row r="354" ht="13.5" customHeight="1">
      <c r="E354" s="51"/>
      <c r="F354" s="12"/>
    </row>
    <row r="355" ht="13.5" customHeight="1">
      <c r="E355" s="51"/>
      <c r="F355" s="12"/>
    </row>
    <row r="356" ht="13.5" customHeight="1">
      <c r="E356" s="51"/>
      <c r="F356" s="12"/>
    </row>
    <row r="357" ht="13.5" customHeight="1">
      <c r="E357" s="51"/>
      <c r="F357" s="12"/>
    </row>
    <row r="358" ht="13.5" customHeight="1">
      <c r="E358" s="51"/>
      <c r="F358" s="12"/>
    </row>
    <row r="359" ht="13.5" customHeight="1">
      <c r="E359" s="51"/>
      <c r="F359" s="12"/>
    </row>
    <row r="360" ht="13.5" customHeight="1">
      <c r="E360" s="51"/>
      <c r="F360" s="12"/>
    </row>
    <row r="361" ht="13.5" customHeight="1">
      <c r="E361" s="51"/>
      <c r="F361" s="12"/>
    </row>
    <row r="362" ht="13.5" customHeight="1">
      <c r="E362" s="51"/>
      <c r="F362" s="12"/>
    </row>
    <row r="363" ht="13.5" customHeight="1">
      <c r="E363" s="51"/>
      <c r="F363" s="12"/>
    </row>
    <row r="364" ht="13.5" customHeight="1">
      <c r="E364" s="51"/>
      <c r="F364" s="12"/>
    </row>
    <row r="365" ht="13.5" customHeight="1">
      <c r="E365" s="51"/>
      <c r="F365" s="12"/>
    </row>
    <row r="366" ht="13.5" customHeight="1">
      <c r="E366" s="51"/>
      <c r="F366" s="12"/>
    </row>
    <row r="367" ht="13.5" customHeight="1">
      <c r="E367" s="51"/>
      <c r="F367" s="12"/>
    </row>
    <row r="368" ht="13.5" customHeight="1">
      <c r="E368" s="51"/>
      <c r="F368" s="12"/>
    </row>
    <row r="369" ht="13.5" customHeight="1">
      <c r="E369" s="51"/>
      <c r="F369" s="12"/>
    </row>
    <row r="370" ht="13.5" customHeight="1">
      <c r="E370" s="51"/>
      <c r="F370" s="12"/>
    </row>
    <row r="371" ht="13.5" customHeight="1">
      <c r="E371" s="51"/>
      <c r="F371" s="12"/>
    </row>
    <row r="372" ht="13.5" customHeight="1">
      <c r="E372" s="51"/>
      <c r="F372" s="12"/>
    </row>
    <row r="373" ht="13.5" customHeight="1">
      <c r="E373" s="51"/>
      <c r="F373" s="12"/>
    </row>
    <row r="374" ht="13.5" customHeight="1">
      <c r="E374" s="51"/>
      <c r="F374" s="12"/>
    </row>
    <row r="375" ht="13.5" customHeight="1">
      <c r="E375" s="51"/>
      <c r="F375" s="12"/>
    </row>
    <row r="376" ht="13.5" customHeight="1">
      <c r="E376" s="51"/>
      <c r="F376" s="12"/>
    </row>
    <row r="377" ht="13.5" customHeight="1">
      <c r="E377" s="51"/>
      <c r="F377" s="12"/>
    </row>
    <row r="378" ht="13.5" customHeight="1">
      <c r="E378" s="51"/>
      <c r="F378" s="12"/>
    </row>
    <row r="379" ht="13.5" customHeight="1">
      <c r="E379" s="51"/>
      <c r="F379" s="12"/>
    </row>
    <row r="380" ht="13.5" customHeight="1">
      <c r="E380" s="51"/>
      <c r="F380" s="12"/>
    </row>
    <row r="381" ht="13.5" customHeight="1">
      <c r="E381" s="51"/>
      <c r="F381" s="12"/>
    </row>
    <row r="382" ht="13.5" customHeight="1">
      <c r="E382" s="51"/>
      <c r="F382" s="12"/>
    </row>
    <row r="383" ht="13.5" customHeight="1">
      <c r="E383" s="51"/>
      <c r="F383" s="12"/>
    </row>
    <row r="384" ht="13.5" customHeight="1">
      <c r="E384" s="51"/>
      <c r="F384" s="12"/>
    </row>
    <row r="385" ht="13.5" customHeight="1">
      <c r="E385" s="51"/>
      <c r="F385" s="12"/>
    </row>
    <row r="386" ht="13.5" customHeight="1">
      <c r="E386" s="51"/>
      <c r="F386" s="12"/>
    </row>
    <row r="387" ht="13.5" customHeight="1">
      <c r="E387" s="51"/>
      <c r="F387" s="12"/>
    </row>
    <row r="388" ht="13.5" customHeight="1">
      <c r="E388" s="51"/>
      <c r="F388" s="12"/>
    </row>
    <row r="389" ht="13.5" customHeight="1">
      <c r="E389" s="51"/>
      <c r="F389" s="12"/>
    </row>
    <row r="390" ht="13.5" customHeight="1">
      <c r="E390" s="51"/>
      <c r="F390" s="12"/>
    </row>
    <row r="391" ht="13.5" customHeight="1">
      <c r="E391" s="51"/>
      <c r="F391" s="12"/>
    </row>
    <row r="392" ht="13.5" customHeight="1">
      <c r="E392" s="51"/>
      <c r="F392" s="12"/>
    </row>
    <row r="393" ht="13.5" customHeight="1">
      <c r="E393" s="51"/>
      <c r="F393" s="12"/>
    </row>
    <row r="394" ht="13.5" customHeight="1">
      <c r="E394" s="51"/>
      <c r="F394" s="12"/>
    </row>
    <row r="395" ht="13.5" customHeight="1">
      <c r="E395" s="51"/>
      <c r="F395" s="12"/>
    </row>
    <row r="396" ht="13.5" customHeight="1">
      <c r="E396" s="51"/>
      <c r="F396" s="12"/>
    </row>
    <row r="397" ht="13.5" customHeight="1">
      <c r="E397" s="51"/>
      <c r="F397" s="12"/>
    </row>
    <row r="398" ht="13.5" customHeight="1">
      <c r="E398" s="51"/>
      <c r="F398" s="12"/>
    </row>
    <row r="399" ht="13.5" customHeight="1">
      <c r="E399" s="51"/>
      <c r="F399" s="12"/>
    </row>
    <row r="400" ht="13.5" customHeight="1">
      <c r="E400" s="51"/>
      <c r="F400" s="12"/>
    </row>
    <row r="401" ht="13.5" customHeight="1">
      <c r="E401" s="51"/>
      <c r="F401" s="12"/>
    </row>
    <row r="402" ht="13.5" customHeight="1">
      <c r="E402" s="51"/>
      <c r="F402" s="12"/>
    </row>
    <row r="403" ht="13.5" customHeight="1">
      <c r="E403" s="51"/>
      <c r="F403" s="12"/>
    </row>
    <row r="404" ht="13.5" customHeight="1">
      <c r="E404" s="51"/>
      <c r="F404" s="12"/>
    </row>
    <row r="405" ht="13.5" customHeight="1">
      <c r="E405" s="51"/>
      <c r="F405" s="12"/>
    </row>
    <row r="406" ht="13.5" customHeight="1">
      <c r="E406" s="51"/>
      <c r="F406" s="12"/>
    </row>
    <row r="407" ht="13.5" customHeight="1">
      <c r="E407" s="51"/>
      <c r="F407" s="12"/>
    </row>
    <row r="408" ht="13.5" customHeight="1">
      <c r="E408" s="51"/>
      <c r="F408" s="12"/>
    </row>
    <row r="409" ht="13.5" customHeight="1">
      <c r="E409" s="51"/>
      <c r="F409" s="12"/>
    </row>
    <row r="410" ht="13.5" customHeight="1">
      <c r="E410" s="51"/>
      <c r="F410" s="12"/>
    </row>
    <row r="411" ht="13.5" customHeight="1">
      <c r="E411" s="51"/>
      <c r="F411" s="12"/>
    </row>
    <row r="412" ht="13.5" customHeight="1">
      <c r="E412" s="51"/>
      <c r="F412" s="12"/>
    </row>
    <row r="413" ht="13.5" customHeight="1">
      <c r="E413" s="51"/>
      <c r="F413" s="12"/>
    </row>
    <row r="414" ht="13.5" customHeight="1">
      <c r="E414" s="51"/>
      <c r="F414" s="12"/>
    </row>
    <row r="415" ht="13.5" customHeight="1">
      <c r="E415" s="51"/>
      <c r="F415" s="12"/>
    </row>
    <row r="416" ht="13.5" customHeight="1">
      <c r="E416" s="51"/>
      <c r="F416" s="12"/>
    </row>
    <row r="417" ht="13.5" customHeight="1">
      <c r="E417" s="51"/>
      <c r="F417" s="12"/>
    </row>
    <row r="418" ht="13.5" customHeight="1">
      <c r="E418" s="51"/>
      <c r="F418" s="12"/>
    </row>
    <row r="419" ht="13.5" customHeight="1">
      <c r="E419" s="51"/>
      <c r="F419" s="12"/>
    </row>
    <row r="420" ht="13.5" customHeight="1">
      <c r="E420" s="51"/>
      <c r="F420" s="12"/>
    </row>
    <row r="421" ht="13.5" customHeight="1">
      <c r="E421" s="51"/>
      <c r="F421" s="12"/>
    </row>
    <row r="422" ht="13.5" customHeight="1">
      <c r="E422" s="51"/>
      <c r="F422" s="12"/>
    </row>
    <row r="423" ht="13.5" customHeight="1">
      <c r="E423" s="51"/>
      <c r="F423" s="12"/>
    </row>
    <row r="424" ht="13.5" customHeight="1">
      <c r="E424" s="51"/>
      <c r="F424" s="12"/>
    </row>
    <row r="425" ht="13.5" customHeight="1">
      <c r="E425" s="51"/>
      <c r="F425" s="12"/>
    </row>
    <row r="426" ht="13.5" customHeight="1">
      <c r="E426" s="51"/>
      <c r="F426" s="12"/>
    </row>
    <row r="427" ht="13.5" customHeight="1">
      <c r="E427" s="51"/>
      <c r="F427" s="12"/>
    </row>
    <row r="428" ht="13.5" customHeight="1">
      <c r="E428" s="51"/>
      <c r="F428" s="12"/>
    </row>
    <row r="429" ht="13.5" customHeight="1">
      <c r="E429" s="51"/>
      <c r="F429" s="12"/>
    </row>
    <row r="430" ht="13.5" customHeight="1">
      <c r="E430" s="51"/>
      <c r="F430" s="12"/>
    </row>
    <row r="431" ht="13.5" customHeight="1">
      <c r="E431" s="51"/>
      <c r="F431" s="12"/>
    </row>
    <row r="432" ht="13.5" customHeight="1">
      <c r="E432" s="51"/>
      <c r="F432" s="12"/>
    </row>
    <row r="433" ht="13.5" customHeight="1">
      <c r="E433" s="51"/>
      <c r="F433" s="12"/>
    </row>
    <row r="434" ht="13.5" customHeight="1">
      <c r="E434" s="51"/>
      <c r="F434" s="12"/>
    </row>
    <row r="435" ht="13.5" customHeight="1">
      <c r="E435" s="51"/>
      <c r="F435" s="12"/>
    </row>
    <row r="436" ht="13.5" customHeight="1">
      <c r="E436" s="51"/>
      <c r="F436" s="12"/>
    </row>
    <row r="437" ht="13.5" customHeight="1">
      <c r="E437" s="51"/>
      <c r="F437" s="12"/>
    </row>
    <row r="438" ht="13.5" customHeight="1">
      <c r="E438" s="51"/>
      <c r="F438" s="12"/>
    </row>
    <row r="439" ht="13.5" customHeight="1">
      <c r="E439" s="51"/>
      <c r="F439" s="12"/>
    </row>
    <row r="440" ht="13.5" customHeight="1">
      <c r="E440" s="51"/>
      <c r="F440" s="12"/>
    </row>
    <row r="441" ht="13.5" customHeight="1">
      <c r="E441" s="51"/>
      <c r="F441" s="12"/>
    </row>
    <row r="442" ht="13.5" customHeight="1">
      <c r="E442" s="51"/>
      <c r="F442" s="12"/>
    </row>
    <row r="443" ht="13.5" customHeight="1">
      <c r="E443" s="51"/>
      <c r="F443" s="12"/>
    </row>
    <row r="444" ht="13.5" customHeight="1">
      <c r="E444" s="51"/>
      <c r="F444" s="12"/>
    </row>
    <row r="445" ht="13.5" customHeight="1">
      <c r="E445" s="51"/>
      <c r="F445" s="12"/>
    </row>
    <row r="446" ht="13.5" customHeight="1">
      <c r="E446" s="51"/>
      <c r="F446" s="12"/>
    </row>
    <row r="447" ht="13.5" customHeight="1">
      <c r="E447" s="51"/>
      <c r="F447" s="12"/>
    </row>
    <row r="448" ht="13.5" customHeight="1">
      <c r="E448" s="51"/>
      <c r="F448" s="12"/>
    </row>
    <row r="449" ht="13.5" customHeight="1">
      <c r="E449" s="51"/>
      <c r="F449" s="12"/>
    </row>
    <row r="450" ht="13.5" customHeight="1">
      <c r="E450" s="51"/>
      <c r="F450" s="12"/>
    </row>
    <row r="451" ht="13.5" customHeight="1">
      <c r="E451" s="51"/>
      <c r="F451" s="12"/>
    </row>
    <row r="452" ht="13.5" customHeight="1">
      <c r="E452" s="51"/>
      <c r="F452" s="12"/>
    </row>
    <row r="453" ht="13.5" customHeight="1">
      <c r="E453" s="51"/>
      <c r="F453" s="12"/>
    </row>
    <row r="454" ht="13.5" customHeight="1">
      <c r="E454" s="51"/>
      <c r="F454" s="12"/>
    </row>
    <row r="455" ht="13.5" customHeight="1">
      <c r="E455" s="51"/>
      <c r="F455" s="12"/>
    </row>
    <row r="456" ht="13.5" customHeight="1">
      <c r="E456" s="51"/>
      <c r="F456" s="12"/>
    </row>
    <row r="457" ht="13.5" customHeight="1">
      <c r="E457" s="51"/>
      <c r="F457" s="12"/>
    </row>
    <row r="458" ht="13.5" customHeight="1">
      <c r="E458" s="51"/>
      <c r="F458" s="12"/>
    </row>
    <row r="459" ht="13.5" customHeight="1">
      <c r="E459" s="51"/>
      <c r="F459" s="12"/>
    </row>
    <row r="460" ht="13.5" customHeight="1">
      <c r="E460" s="51"/>
      <c r="F460" s="12"/>
    </row>
    <row r="461" ht="13.5" customHeight="1">
      <c r="E461" s="51"/>
      <c r="F461" s="12"/>
    </row>
    <row r="462" ht="13.5" customHeight="1">
      <c r="E462" s="51"/>
      <c r="F462" s="12"/>
    </row>
    <row r="463" ht="13.5" customHeight="1">
      <c r="E463" s="51"/>
      <c r="F463" s="12"/>
    </row>
    <row r="464" ht="13.5" customHeight="1">
      <c r="E464" s="51"/>
      <c r="F464" s="12"/>
    </row>
    <row r="465" ht="13.5" customHeight="1">
      <c r="E465" s="51"/>
      <c r="F465" s="12"/>
    </row>
    <row r="466" ht="13.5" customHeight="1">
      <c r="E466" s="51"/>
      <c r="F466" s="12"/>
    </row>
    <row r="467" ht="13.5" customHeight="1">
      <c r="E467" s="51"/>
      <c r="F467" s="12"/>
    </row>
    <row r="468" ht="13.5" customHeight="1">
      <c r="E468" s="51"/>
      <c r="F468" s="12"/>
    </row>
    <row r="469" ht="13.5" customHeight="1">
      <c r="E469" s="51"/>
      <c r="F469" s="12"/>
    </row>
    <row r="470" ht="13.5" customHeight="1">
      <c r="E470" s="51"/>
      <c r="F470" s="12"/>
    </row>
    <row r="471" ht="13.5" customHeight="1">
      <c r="E471" s="51"/>
      <c r="F471" s="12"/>
    </row>
    <row r="472" ht="13.5" customHeight="1">
      <c r="E472" s="51"/>
      <c r="F472" s="12"/>
    </row>
    <row r="473" ht="13.5" customHeight="1">
      <c r="E473" s="51"/>
      <c r="F473" s="12"/>
    </row>
    <row r="474" ht="13.5" customHeight="1">
      <c r="E474" s="51"/>
      <c r="F474" s="12"/>
    </row>
    <row r="475" ht="13.5" customHeight="1">
      <c r="E475" s="51"/>
      <c r="F475" s="12"/>
    </row>
    <row r="476" ht="13.5" customHeight="1">
      <c r="E476" s="51"/>
      <c r="F476" s="12"/>
    </row>
    <row r="477" ht="13.5" customHeight="1">
      <c r="E477" s="51"/>
      <c r="F477" s="12"/>
    </row>
    <row r="478" ht="13.5" customHeight="1">
      <c r="E478" s="51"/>
      <c r="F478" s="12"/>
    </row>
    <row r="479" ht="13.5" customHeight="1">
      <c r="E479" s="51"/>
      <c r="F479" s="12"/>
    </row>
    <row r="480" ht="13.5" customHeight="1">
      <c r="E480" s="51"/>
      <c r="F480" s="12"/>
    </row>
    <row r="481" ht="13.5" customHeight="1">
      <c r="E481" s="51"/>
      <c r="F481" s="12"/>
    </row>
    <row r="482" ht="13.5" customHeight="1">
      <c r="E482" s="51"/>
      <c r="F482" s="12"/>
    </row>
    <row r="483" ht="13.5" customHeight="1">
      <c r="E483" s="51"/>
      <c r="F483" s="12"/>
    </row>
    <row r="484" ht="13.5" customHeight="1">
      <c r="E484" s="51"/>
      <c r="F484" s="12"/>
    </row>
    <row r="485" ht="13.5" customHeight="1">
      <c r="E485" s="51"/>
      <c r="F485" s="12"/>
    </row>
    <row r="486" ht="13.5" customHeight="1">
      <c r="E486" s="51"/>
      <c r="F486" s="12"/>
    </row>
    <row r="487" ht="13.5" customHeight="1">
      <c r="E487" s="51"/>
      <c r="F487" s="12"/>
    </row>
    <row r="488" ht="13.5" customHeight="1">
      <c r="E488" s="51"/>
      <c r="F488" s="12"/>
    </row>
    <row r="489" ht="13.5" customHeight="1">
      <c r="E489" s="51"/>
      <c r="F489" s="12"/>
    </row>
    <row r="490" ht="13.5" customHeight="1">
      <c r="E490" s="51"/>
      <c r="F490" s="12"/>
    </row>
    <row r="491" ht="13.5" customHeight="1">
      <c r="E491" s="51"/>
      <c r="F491" s="12"/>
    </row>
    <row r="492" ht="13.5" customHeight="1">
      <c r="E492" s="51"/>
      <c r="F492" s="12"/>
    </row>
    <row r="493" ht="13.5" customHeight="1">
      <c r="E493" s="51"/>
      <c r="F493" s="12"/>
    </row>
    <row r="494" ht="13.5" customHeight="1">
      <c r="E494" s="51"/>
      <c r="F494" s="12"/>
    </row>
    <row r="495" ht="13.5" customHeight="1">
      <c r="E495" s="51"/>
      <c r="F495" s="12"/>
    </row>
    <row r="496" ht="13.5" customHeight="1">
      <c r="E496" s="51"/>
      <c r="F496" s="12"/>
    </row>
    <row r="497" ht="13.5" customHeight="1">
      <c r="E497" s="51"/>
      <c r="F497" s="12"/>
    </row>
    <row r="498" ht="13.5" customHeight="1">
      <c r="E498" s="51"/>
      <c r="F498" s="12"/>
    </row>
    <row r="499" ht="13.5" customHeight="1">
      <c r="E499" s="51"/>
      <c r="F499" s="12"/>
    </row>
    <row r="500" ht="13.5" customHeight="1">
      <c r="E500" s="51"/>
      <c r="F500" s="12"/>
    </row>
    <row r="501" ht="13.5" customHeight="1">
      <c r="E501" s="51"/>
      <c r="F501" s="12"/>
    </row>
    <row r="502" ht="13.5" customHeight="1">
      <c r="E502" s="51"/>
      <c r="F502" s="12"/>
    </row>
    <row r="503" ht="13.5" customHeight="1">
      <c r="E503" s="51"/>
      <c r="F503" s="12"/>
    </row>
    <row r="504" ht="13.5" customHeight="1">
      <c r="E504" s="51"/>
      <c r="F504" s="12"/>
    </row>
    <row r="505" ht="13.5" customHeight="1">
      <c r="E505" s="51"/>
      <c r="F505" s="12"/>
    </row>
    <row r="506" ht="13.5" customHeight="1">
      <c r="E506" s="51"/>
      <c r="F506" s="12"/>
    </row>
    <row r="507" ht="13.5" customHeight="1">
      <c r="E507" s="51"/>
      <c r="F507" s="12"/>
    </row>
    <row r="508" ht="13.5" customHeight="1">
      <c r="E508" s="51"/>
      <c r="F508" s="12"/>
    </row>
    <row r="509" ht="13.5" customHeight="1">
      <c r="E509" s="51"/>
      <c r="F509" s="12"/>
    </row>
    <row r="510" ht="13.5" customHeight="1">
      <c r="E510" s="51"/>
      <c r="F510" s="12"/>
    </row>
    <row r="511" ht="13.5" customHeight="1">
      <c r="E511" s="51"/>
      <c r="F511" s="12"/>
    </row>
    <row r="512" ht="13.5" customHeight="1">
      <c r="E512" s="51"/>
      <c r="F512" s="12"/>
    </row>
    <row r="513" ht="13.5" customHeight="1">
      <c r="E513" s="51"/>
      <c r="F513" s="12"/>
    </row>
    <row r="514" ht="13.5" customHeight="1">
      <c r="E514" s="51"/>
      <c r="F514" s="12"/>
    </row>
    <row r="515" ht="13.5" customHeight="1">
      <c r="E515" s="51"/>
      <c r="F515" s="12"/>
    </row>
    <row r="516" ht="13.5" customHeight="1">
      <c r="E516" s="51"/>
      <c r="F516" s="12"/>
    </row>
    <row r="517" ht="13.5" customHeight="1">
      <c r="E517" s="51"/>
      <c r="F517" s="12"/>
    </row>
    <row r="518" ht="13.5" customHeight="1">
      <c r="E518" s="51"/>
      <c r="F518" s="12"/>
    </row>
    <row r="519" ht="13.5" customHeight="1">
      <c r="E519" s="51"/>
      <c r="F519" s="12"/>
    </row>
    <row r="520" ht="13.5" customHeight="1">
      <c r="E520" s="51"/>
      <c r="F520" s="12"/>
    </row>
    <row r="521" ht="13.5" customHeight="1">
      <c r="E521" s="51"/>
      <c r="F521" s="12"/>
    </row>
    <row r="522" ht="13.5" customHeight="1">
      <c r="E522" s="51"/>
      <c r="F522" s="12"/>
    </row>
    <row r="523" ht="13.5" customHeight="1">
      <c r="E523" s="51"/>
      <c r="F523" s="12"/>
    </row>
    <row r="524" ht="13.5" customHeight="1">
      <c r="E524" s="51"/>
      <c r="F524" s="12"/>
    </row>
    <row r="525" ht="13.5" customHeight="1">
      <c r="E525" s="51"/>
      <c r="F525" s="12"/>
    </row>
    <row r="526" ht="13.5" customHeight="1">
      <c r="E526" s="51"/>
      <c r="F526" s="12"/>
    </row>
    <row r="527" ht="13.5" customHeight="1">
      <c r="E527" s="51"/>
      <c r="F527" s="12"/>
    </row>
    <row r="528" ht="13.5" customHeight="1">
      <c r="E528" s="51"/>
      <c r="F528" s="12"/>
    </row>
    <row r="529" ht="13.5" customHeight="1">
      <c r="E529" s="51"/>
      <c r="F529" s="12"/>
    </row>
    <row r="530" ht="13.5" customHeight="1">
      <c r="E530" s="51"/>
      <c r="F530" s="12"/>
    </row>
    <row r="531" ht="13.5" customHeight="1">
      <c r="E531" s="51"/>
      <c r="F531" s="12"/>
    </row>
    <row r="532" ht="13.5" customHeight="1">
      <c r="E532" s="51"/>
      <c r="F532" s="12"/>
    </row>
    <row r="533" ht="13.5" customHeight="1">
      <c r="E533" s="51"/>
      <c r="F533" s="12"/>
    </row>
    <row r="534" ht="13.5" customHeight="1">
      <c r="E534" s="51"/>
      <c r="F534" s="12"/>
    </row>
    <row r="535" ht="13.5" customHeight="1">
      <c r="E535" s="51"/>
      <c r="F535" s="12"/>
    </row>
    <row r="536" ht="13.5" customHeight="1">
      <c r="E536" s="51"/>
      <c r="F536" s="12"/>
    </row>
    <row r="537" ht="13.5" customHeight="1">
      <c r="E537" s="51"/>
      <c r="F537" s="12"/>
    </row>
    <row r="538" ht="13.5" customHeight="1">
      <c r="E538" s="51"/>
      <c r="F538" s="12"/>
    </row>
    <row r="539" ht="13.5" customHeight="1">
      <c r="E539" s="51"/>
      <c r="F539" s="12"/>
    </row>
    <row r="540" ht="13.5" customHeight="1">
      <c r="E540" s="51"/>
      <c r="F540" s="12"/>
    </row>
    <row r="541" ht="13.5" customHeight="1">
      <c r="E541" s="51"/>
      <c r="F541" s="12"/>
    </row>
    <row r="542" ht="13.5" customHeight="1">
      <c r="E542" s="51"/>
      <c r="F542" s="12"/>
    </row>
    <row r="543" ht="13.5" customHeight="1">
      <c r="E543" s="51"/>
      <c r="F543" s="12"/>
    </row>
    <row r="544" ht="13.5" customHeight="1">
      <c r="E544" s="51"/>
      <c r="F544" s="12"/>
    </row>
    <row r="545" ht="13.5" customHeight="1">
      <c r="E545" s="51"/>
      <c r="F545" s="12"/>
    </row>
    <row r="546" ht="13.5" customHeight="1">
      <c r="E546" s="51"/>
      <c r="F546" s="12"/>
    </row>
    <row r="547" ht="13.5" customHeight="1">
      <c r="E547" s="51"/>
      <c r="F547" s="12"/>
    </row>
    <row r="548" ht="13.5" customHeight="1">
      <c r="E548" s="51"/>
      <c r="F548" s="12"/>
    </row>
    <row r="549" ht="13.5" customHeight="1">
      <c r="E549" s="51"/>
      <c r="F549" s="12"/>
    </row>
    <row r="550" ht="13.5" customHeight="1">
      <c r="E550" s="51"/>
      <c r="F550" s="12"/>
    </row>
    <row r="551" ht="13.5" customHeight="1">
      <c r="E551" s="51"/>
      <c r="F551" s="12"/>
    </row>
    <row r="552" ht="13.5" customHeight="1">
      <c r="E552" s="51"/>
      <c r="F552" s="12"/>
    </row>
    <row r="553" ht="13.5" customHeight="1">
      <c r="E553" s="51"/>
      <c r="F553" s="12"/>
    </row>
    <row r="554" ht="13.5" customHeight="1">
      <c r="E554" s="51"/>
      <c r="F554" s="12"/>
    </row>
    <row r="555" ht="13.5" customHeight="1">
      <c r="E555" s="51"/>
      <c r="F555" s="12"/>
    </row>
    <row r="556" ht="13.5" customHeight="1">
      <c r="E556" s="51"/>
      <c r="F556" s="12"/>
    </row>
    <row r="557" ht="13.5" customHeight="1">
      <c r="E557" s="51"/>
      <c r="F557" s="12"/>
    </row>
    <row r="558" ht="13.5" customHeight="1">
      <c r="E558" s="51"/>
      <c r="F558" s="12"/>
    </row>
    <row r="559" ht="13.5" customHeight="1">
      <c r="E559" s="51"/>
      <c r="F559" s="12"/>
    </row>
    <row r="560" ht="13.5" customHeight="1">
      <c r="E560" s="51"/>
      <c r="F560" s="12"/>
    </row>
    <row r="561" ht="13.5" customHeight="1">
      <c r="E561" s="51"/>
      <c r="F561" s="12"/>
    </row>
    <row r="562" ht="13.5" customHeight="1">
      <c r="E562" s="51"/>
      <c r="F562" s="12"/>
    </row>
    <row r="563" ht="13.5" customHeight="1">
      <c r="E563" s="51"/>
      <c r="F563" s="12"/>
    </row>
    <row r="564" ht="13.5" customHeight="1">
      <c r="E564" s="51"/>
      <c r="F564" s="12"/>
    </row>
    <row r="565" ht="13.5" customHeight="1">
      <c r="E565" s="51"/>
      <c r="F565" s="12"/>
    </row>
    <row r="566" ht="13.5" customHeight="1">
      <c r="E566" s="51"/>
      <c r="F566" s="12"/>
    </row>
    <row r="567" ht="13.5" customHeight="1">
      <c r="E567" s="51"/>
      <c r="F567" s="12"/>
    </row>
    <row r="568" ht="13.5" customHeight="1">
      <c r="E568" s="51"/>
      <c r="F568" s="12"/>
    </row>
    <row r="569" ht="13.5" customHeight="1">
      <c r="E569" s="51"/>
      <c r="F569" s="12"/>
    </row>
    <row r="570" ht="13.5" customHeight="1">
      <c r="E570" s="51"/>
      <c r="F570" s="12"/>
    </row>
    <row r="571" ht="13.5" customHeight="1">
      <c r="E571" s="51"/>
      <c r="F571" s="12"/>
    </row>
    <row r="572" ht="13.5" customHeight="1">
      <c r="E572" s="51"/>
      <c r="F572" s="12"/>
    </row>
    <row r="573" ht="13.5" customHeight="1">
      <c r="E573" s="51"/>
      <c r="F573" s="12"/>
    </row>
    <row r="574" ht="13.5" customHeight="1">
      <c r="E574" s="51"/>
      <c r="F574" s="12"/>
    </row>
    <row r="575" ht="13.5" customHeight="1">
      <c r="E575" s="51"/>
      <c r="F575" s="12"/>
    </row>
    <row r="576" ht="13.5" customHeight="1">
      <c r="E576" s="51"/>
      <c r="F576" s="12"/>
    </row>
    <row r="577" ht="13.5" customHeight="1">
      <c r="E577" s="51"/>
      <c r="F577" s="12"/>
    </row>
    <row r="578" ht="13.5" customHeight="1">
      <c r="E578" s="51"/>
      <c r="F578" s="12"/>
    </row>
    <row r="579" ht="13.5" customHeight="1">
      <c r="E579" s="51"/>
      <c r="F579" s="12"/>
    </row>
    <row r="580" ht="13.5" customHeight="1">
      <c r="E580" s="51"/>
      <c r="F580" s="12"/>
    </row>
    <row r="581" ht="13.5" customHeight="1">
      <c r="E581" s="51"/>
      <c r="F581" s="12"/>
    </row>
    <row r="582" ht="13.5" customHeight="1">
      <c r="E582" s="51"/>
      <c r="F582" s="12"/>
    </row>
    <row r="583" ht="13.5" customHeight="1">
      <c r="E583" s="51"/>
      <c r="F583" s="12"/>
    </row>
    <row r="584" ht="13.5" customHeight="1">
      <c r="E584" s="51"/>
      <c r="F584" s="12"/>
    </row>
    <row r="585" ht="13.5" customHeight="1">
      <c r="E585" s="51"/>
      <c r="F585" s="12"/>
    </row>
    <row r="586" ht="13.5" customHeight="1">
      <c r="E586" s="51"/>
      <c r="F586" s="12"/>
    </row>
    <row r="587" ht="13.5" customHeight="1">
      <c r="E587" s="51"/>
      <c r="F587" s="12"/>
    </row>
    <row r="588" ht="13.5" customHeight="1">
      <c r="E588" s="51"/>
      <c r="F588" s="12"/>
    </row>
    <row r="589" ht="13.5" customHeight="1">
      <c r="E589" s="51"/>
      <c r="F589" s="12"/>
    </row>
    <row r="590" ht="13.5" customHeight="1">
      <c r="E590" s="51"/>
      <c r="F590" s="12"/>
    </row>
    <row r="591" ht="13.5" customHeight="1">
      <c r="E591" s="51"/>
      <c r="F591" s="12"/>
    </row>
    <row r="592" ht="13.5" customHeight="1">
      <c r="E592" s="51"/>
      <c r="F592" s="12"/>
    </row>
    <row r="593" ht="13.5" customHeight="1">
      <c r="E593" s="51"/>
      <c r="F593" s="12"/>
    </row>
    <row r="594" ht="13.5" customHeight="1">
      <c r="E594" s="51"/>
      <c r="F594" s="12"/>
    </row>
    <row r="595" ht="13.5" customHeight="1">
      <c r="E595" s="51"/>
      <c r="F595" s="12"/>
    </row>
    <row r="596" ht="13.5" customHeight="1">
      <c r="E596" s="51"/>
      <c r="F596" s="12"/>
    </row>
    <row r="597" ht="13.5" customHeight="1">
      <c r="E597" s="51"/>
      <c r="F597" s="12"/>
    </row>
    <row r="598" ht="13.5" customHeight="1">
      <c r="E598" s="51"/>
      <c r="F598" s="12"/>
    </row>
    <row r="599" ht="13.5" customHeight="1">
      <c r="E599" s="51"/>
      <c r="F599" s="12"/>
    </row>
    <row r="600" ht="13.5" customHeight="1">
      <c r="E600" s="51"/>
      <c r="F600" s="12"/>
    </row>
    <row r="601" ht="13.5" customHeight="1">
      <c r="E601" s="51"/>
      <c r="F601" s="12"/>
    </row>
    <row r="602" ht="13.5" customHeight="1">
      <c r="E602" s="51"/>
      <c r="F602" s="12"/>
    </row>
    <row r="603" ht="13.5" customHeight="1">
      <c r="E603" s="51"/>
      <c r="F603" s="12"/>
    </row>
    <row r="604" ht="13.5" customHeight="1">
      <c r="E604" s="51"/>
      <c r="F604" s="12"/>
    </row>
    <row r="605" ht="13.5" customHeight="1">
      <c r="E605" s="51"/>
      <c r="F605" s="12"/>
    </row>
    <row r="606" ht="13.5" customHeight="1">
      <c r="E606" s="51"/>
      <c r="F606" s="12"/>
    </row>
    <row r="607" ht="13.5" customHeight="1">
      <c r="E607" s="51"/>
      <c r="F607" s="12"/>
    </row>
    <row r="608" ht="13.5" customHeight="1">
      <c r="E608" s="51"/>
      <c r="F608" s="12"/>
    </row>
    <row r="609" ht="13.5" customHeight="1">
      <c r="E609" s="51"/>
      <c r="F609" s="12"/>
    </row>
    <row r="610" ht="13.5" customHeight="1">
      <c r="E610" s="51"/>
      <c r="F610" s="12"/>
    </row>
    <row r="611" ht="13.5" customHeight="1">
      <c r="E611" s="51"/>
      <c r="F611" s="12"/>
    </row>
    <row r="612" ht="13.5" customHeight="1">
      <c r="E612" s="51"/>
      <c r="F612" s="12"/>
    </row>
    <row r="613" ht="13.5" customHeight="1">
      <c r="E613" s="51"/>
      <c r="F613" s="12"/>
    </row>
    <row r="614" ht="13.5" customHeight="1">
      <c r="E614" s="51"/>
      <c r="F614" s="12"/>
    </row>
    <row r="615" ht="13.5" customHeight="1">
      <c r="E615" s="51"/>
      <c r="F615" s="12"/>
    </row>
    <row r="616" ht="13.5" customHeight="1">
      <c r="E616" s="51"/>
      <c r="F616" s="12"/>
    </row>
    <row r="617" ht="13.5" customHeight="1">
      <c r="E617" s="51"/>
      <c r="F617" s="12"/>
    </row>
    <row r="618" ht="13.5" customHeight="1">
      <c r="E618" s="51"/>
      <c r="F618" s="12"/>
    </row>
    <row r="619" ht="13.5" customHeight="1">
      <c r="E619" s="51"/>
      <c r="F619" s="12"/>
    </row>
    <row r="620" ht="13.5" customHeight="1">
      <c r="E620" s="51"/>
      <c r="F620" s="12"/>
    </row>
    <row r="621" ht="13.5" customHeight="1">
      <c r="E621" s="51"/>
      <c r="F621" s="12"/>
    </row>
    <row r="622" ht="13.5" customHeight="1">
      <c r="E622" s="51"/>
      <c r="F622" s="12"/>
    </row>
    <row r="623" ht="13.5" customHeight="1">
      <c r="E623" s="51"/>
      <c r="F623" s="12"/>
    </row>
    <row r="624" ht="13.5" customHeight="1">
      <c r="E624" s="51"/>
      <c r="F624" s="12"/>
    </row>
    <row r="625" ht="13.5" customHeight="1">
      <c r="E625" s="51"/>
      <c r="F625" s="12"/>
    </row>
    <row r="626" ht="13.5" customHeight="1">
      <c r="E626" s="51"/>
      <c r="F626" s="12"/>
    </row>
    <row r="627" ht="13.5" customHeight="1">
      <c r="E627" s="51"/>
      <c r="F627" s="12"/>
    </row>
    <row r="628" ht="13.5" customHeight="1">
      <c r="E628" s="51"/>
      <c r="F628" s="12"/>
    </row>
    <row r="629" ht="13.5" customHeight="1">
      <c r="E629" s="51"/>
      <c r="F629" s="12"/>
    </row>
    <row r="630" ht="13.5" customHeight="1">
      <c r="E630" s="51"/>
      <c r="F630" s="12"/>
    </row>
    <row r="631" ht="13.5" customHeight="1">
      <c r="E631" s="51"/>
      <c r="F631" s="12"/>
    </row>
    <row r="632" ht="13.5" customHeight="1">
      <c r="E632" s="51"/>
      <c r="F632" s="12"/>
    </row>
    <row r="633" ht="13.5" customHeight="1">
      <c r="E633" s="51"/>
      <c r="F633" s="12"/>
    </row>
    <row r="634" ht="13.5" customHeight="1">
      <c r="E634" s="51"/>
      <c r="F634" s="12"/>
    </row>
    <row r="635" ht="13.5" customHeight="1">
      <c r="E635" s="51"/>
      <c r="F635" s="12"/>
    </row>
    <row r="636" ht="13.5" customHeight="1">
      <c r="E636" s="51"/>
      <c r="F636" s="12"/>
    </row>
    <row r="637" ht="13.5" customHeight="1">
      <c r="E637" s="51"/>
      <c r="F637" s="12"/>
    </row>
    <row r="638" ht="13.5" customHeight="1">
      <c r="E638" s="51"/>
      <c r="F638" s="12"/>
    </row>
    <row r="639" ht="13.5" customHeight="1">
      <c r="E639" s="51"/>
      <c r="F639" s="12"/>
    </row>
    <row r="640" ht="13.5" customHeight="1">
      <c r="E640" s="51"/>
      <c r="F640" s="12"/>
    </row>
    <row r="641" ht="13.5" customHeight="1">
      <c r="E641" s="51"/>
      <c r="F641" s="12"/>
    </row>
    <row r="642" ht="13.5" customHeight="1">
      <c r="E642" s="51"/>
      <c r="F642" s="12"/>
    </row>
    <row r="643" ht="13.5" customHeight="1">
      <c r="E643" s="51"/>
      <c r="F643" s="12"/>
    </row>
    <row r="644" ht="13.5" customHeight="1">
      <c r="E644" s="51"/>
      <c r="F644" s="12"/>
    </row>
    <row r="645" ht="13.5" customHeight="1">
      <c r="E645" s="51"/>
      <c r="F645" s="12"/>
    </row>
    <row r="646" ht="13.5" customHeight="1">
      <c r="E646" s="51"/>
      <c r="F646" s="12"/>
    </row>
    <row r="647" ht="13.5" customHeight="1">
      <c r="E647" s="51"/>
      <c r="F647" s="12"/>
    </row>
    <row r="648" ht="13.5" customHeight="1">
      <c r="E648" s="51"/>
      <c r="F648" s="12"/>
    </row>
    <row r="649" ht="13.5" customHeight="1">
      <c r="E649" s="51"/>
      <c r="F649" s="12"/>
    </row>
    <row r="650" ht="13.5" customHeight="1">
      <c r="E650" s="51"/>
      <c r="F650" s="12"/>
    </row>
    <row r="651" ht="13.5" customHeight="1">
      <c r="E651" s="51"/>
      <c r="F651" s="12"/>
    </row>
    <row r="652" ht="13.5" customHeight="1">
      <c r="E652" s="51"/>
      <c r="F652" s="12"/>
    </row>
    <row r="653" ht="13.5" customHeight="1">
      <c r="E653" s="51"/>
      <c r="F653" s="12"/>
    </row>
    <row r="654" ht="13.5" customHeight="1">
      <c r="E654" s="51"/>
      <c r="F654" s="12"/>
    </row>
    <row r="655" ht="13.5" customHeight="1">
      <c r="E655" s="51"/>
      <c r="F655" s="12"/>
    </row>
    <row r="656" ht="13.5" customHeight="1">
      <c r="E656" s="51"/>
      <c r="F656" s="12"/>
    </row>
    <row r="657" ht="13.5" customHeight="1">
      <c r="E657" s="51"/>
      <c r="F657" s="12"/>
    </row>
    <row r="658" ht="13.5" customHeight="1">
      <c r="E658" s="51"/>
      <c r="F658" s="12"/>
    </row>
    <row r="659" ht="13.5" customHeight="1">
      <c r="E659" s="51"/>
      <c r="F659" s="12"/>
    </row>
    <row r="660" ht="13.5" customHeight="1">
      <c r="E660" s="51"/>
      <c r="F660" s="12"/>
    </row>
    <row r="661" ht="13.5" customHeight="1">
      <c r="E661" s="51"/>
      <c r="F661" s="12"/>
    </row>
    <row r="662" ht="13.5" customHeight="1">
      <c r="E662" s="51"/>
      <c r="F662" s="12"/>
    </row>
    <row r="663" ht="13.5" customHeight="1">
      <c r="E663" s="51"/>
      <c r="F663" s="12"/>
    </row>
    <row r="664" ht="13.5" customHeight="1">
      <c r="E664" s="51"/>
      <c r="F664" s="12"/>
    </row>
    <row r="665" ht="13.5" customHeight="1">
      <c r="E665" s="51"/>
      <c r="F665" s="12"/>
    </row>
    <row r="666" ht="13.5" customHeight="1">
      <c r="E666" s="51"/>
      <c r="F666" s="12"/>
    </row>
    <row r="667" ht="13.5" customHeight="1">
      <c r="E667" s="51"/>
      <c r="F667" s="12"/>
    </row>
    <row r="668" ht="13.5" customHeight="1">
      <c r="E668" s="51"/>
      <c r="F668" s="12"/>
    </row>
    <row r="669" ht="13.5" customHeight="1">
      <c r="E669" s="51"/>
      <c r="F669" s="12"/>
    </row>
    <row r="670" ht="13.5" customHeight="1">
      <c r="E670" s="51"/>
      <c r="F670" s="12"/>
    </row>
    <row r="671" ht="13.5" customHeight="1">
      <c r="E671" s="51"/>
      <c r="F671" s="12"/>
    </row>
    <row r="672" ht="13.5" customHeight="1">
      <c r="E672" s="51"/>
      <c r="F672" s="12"/>
    </row>
    <row r="673" ht="13.5" customHeight="1">
      <c r="E673" s="51"/>
      <c r="F673" s="12"/>
    </row>
    <row r="674" ht="13.5" customHeight="1">
      <c r="E674" s="51"/>
      <c r="F674" s="12"/>
    </row>
    <row r="675" ht="13.5" customHeight="1">
      <c r="E675" s="51"/>
      <c r="F675" s="12"/>
    </row>
    <row r="676" ht="13.5" customHeight="1">
      <c r="E676" s="51"/>
      <c r="F676" s="12"/>
    </row>
    <row r="677" ht="13.5" customHeight="1">
      <c r="E677" s="51"/>
      <c r="F677" s="12"/>
    </row>
    <row r="678" ht="13.5" customHeight="1">
      <c r="E678" s="51"/>
      <c r="F678" s="12"/>
    </row>
    <row r="679" ht="13.5" customHeight="1">
      <c r="E679" s="51"/>
      <c r="F679" s="12"/>
    </row>
    <row r="680" ht="13.5" customHeight="1">
      <c r="E680" s="51"/>
      <c r="F680" s="12"/>
    </row>
    <row r="681" ht="13.5" customHeight="1">
      <c r="E681" s="51"/>
      <c r="F681" s="12"/>
    </row>
    <row r="682" ht="13.5" customHeight="1">
      <c r="E682" s="51"/>
      <c r="F682" s="12"/>
    </row>
    <row r="683" ht="13.5" customHeight="1">
      <c r="E683" s="51"/>
      <c r="F683" s="12"/>
    </row>
    <row r="684" ht="13.5" customHeight="1">
      <c r="E684" s="51"/>
      <c r="F684" s="12"/>
    </row>
    <row r="685" ht="13.5" customHeight="1">
      <c r="E685" s="51"/>
      <c r="F685" s="12"/>
    </row>
    <row r="686" ht="13.5" customHeight="1">
      <c r="E686" s="51"/>
      <c r="F686" s="12"/>
    </row>
    <row r="687" ht="13.5" customHeight="1">
      <c r="E687" s="51"/>
      <c r="F687" s="12"/>
    </row>
    <row r="688" ht="13.5" customHeight="1">
      <c r="E688" s="51"/>
      <c r="F688" s="12"/>
    </row>
    <row r="689" ht="13.5" customHeight="1">
      <c r="E689" s="51"/>
      <c r="F689" s="12"/>
    </row>
    <row r="690" ht="13.5" customHeight="1">
      <c r="E690" s="51"/>
      <c r="F690" s="12"/>
    </row>
    <row r="691" ht="13.5" customHeight="1">
      <c r="E691" s="51"/>
      <c r="F691" s="12"/>
    </row>
    <row r="692" ht="13.5" customHeight="1">
      <c r="E692" s="51"/>
      <c r="F692" s="12"/>
    </row>
    <row r="693" ht="13.5" customHeight="1">
      <c r="E693" s="51"/>
      <c r="F693" s="12"/>
    </row>
    <row r="694" ht="13.5" customHeight="1">
      <c r="E694" s="51"/>
      <c r="F694" s="12"/>
    </row>
    <row r="695" ht="13.5" customHeight="1">
      <c r="E695" s="51"/>
      <c r="F695" s="12"/>
    </row>
    <row r="696" ht="13.5" customHeight="1">
      <c r="E696" s="51"/>
      <c r="F696" s="12"/>
    </row>
    <row r="697" ht="13.5" customHeight="1">
      <c r="E697" s="51"/>
      <c r="F697" s="12"/>
    </row>
    <row r="698" ht="13.5" customHeight="1">
      <c r="E698" s="51"/>
      <c r="F698" s="12"/>
    </row>
    <row r="699" ht="13.5" customHeight="1">
      <c r="E699" s="51"/>
      <c r="F699" s="12"/>
    </row>
    <row r="700" ht="13.5" customHeight="1">
      <c r="E700" s="51"/>
      <c r="F700" s="12"/>
    </row>
    <row r="701" ht="13.5" customHeight="1">
      <c r="E701" s="51"/>
      <c r="F701" s="12"/>
    </row>
    <row r="702" ht="13.5" customHeight="1">
      <c r="E702" s="51"/>
      <c r="F702" s="12"/>
    </row>
    <row r="703" ht="13.5" customHeight="1">
      <c r="E703" s="51"/>
      <c r="F703" s="12"/>
    </row>
    <row r="704" ht="13.5" customHeight="1">
      <c r="E704" s="51"/>
      <c r="F704" s="12"/>
    </row>
    <row r="705" ht="13.5" customHeight="1">
      <c r="E705" s="51"/>
      <c r="F705" s="12"/>
    </row>
    <row r="706" ht="13.5" customHeight="1">
      <c r="E706" s="51"/>
      <c r="F706" s="12"/>
    </row>
    <row r="707" ht="13.5" customHeight="1">
      <c r="E707" s="51"/>
      <c r="F707" s="12"/>
    </row>
    <row r="708" ht="13.5" customHeight="1">
      <c r="E708" s="51"/>
      <c r="F708" s="12"/>
    </row>
    <row r="709" ht="13.5" customHeight="1">
      <c r="E709" s="51"/>
      <c r="F709" s="12"/>
    </row>
    <row r="710" ht="13.5" customHeight="1">
      <c r="E710" s="51"/>
      <c r="F710" s="12"/>
    </row>
    <row r="711" ht="13.5" customHeight="1">
      <c r="E711" s="51"/>
      <c r="F711" s="12"/>
    </row>
    <row r="712" ht="13.5" customHeight="1">
      <c r="E712" s="51"/>
      <c r="F712" s="12"/>
    </row>
    <row r="713" ht="13.5" customHeight="1">
      <c r="E713" s="51"/>
      <c r="F713" s="12"/>
    </row>
    <row r="714" ht="13.5" customHeight="1">
      <c r="E714" s="51"/>
      <c r="F714" s="12"/>
    </row>
    <row r="715" ht="13.5" customHeight="1">
      <c r="E715" s="51"/>
      <c r="F715" s="12"/>
    </row>
    <row r="716" ht="13.5" customHeight="1">
      <c r="E716" s="51"/>
      <c r="F716" s="12"/>
    </row>
    <row r="717" ht="13.5" customHeight="1">
      <c r="E717" s="51"/>
      <c r="F717" s="12"/>
    </row>
    <row r="718" ht="13.5" customHeight="1">
      <c r="E718" s="51"/>
      <c r="F718" s="12"/>
    </row>
    <row r="719" ht="13.5" customHeight="1">
      <c r="E719" s="51"/>
      <c r="F719" s="12"/>
    </row>
    <row r="720" ht="13.5" customHeight="1">
      <c r="E720" s="51"/>
      <c r="F720" s="12"/>
    </row>
    <row r="721" ht="13.5" customHeight="1">
      <c r="E721" s="51"/>
      <c r="F721" s="12"/>
    </row>
    <row r="722" ht="13.5" customHeight="1">
      <c r="E722" s="51"/>
      <c r="F722" s="12"/>
    </row>
    <row r="723" ht="13.5" customHeight="1">
      <c r="E723" s="51"/>
      <c r="F723" s="12"/>
    </row>
    <row r="724" ht="13.5" customHeight="1">
      <c r="E724" s="51"/>
      <c r="F724" s="12"/>
    </row>
    <row r="725" ht="13.5" customHeight="1">
      <c r="E725" s="51"/>
      <c r="F725" s="12"/>
    </row>
    <row r="726" ht="13.5" customHeight="1">
      <c r="E726" s="51"/>
      <c r="F726" s="12"/>
    </row>
    <row r="727" ht="13.5" customHeight="1">
      <c r="E727" s="51"/>
      <c r="F727" s="12"/>
    </row>
    <row r="728" ht="13.5" customHeight="1">
      <c r="E728" s="51"/>
      <c r="F728" s="12"/>
    </row>
    <row r="729" ht="13.5" customHeight="1">
      <c r="E729" s="51"/>
      <c r="F729" s="12"/>
    </row>
    <row r="730" ht="13.5" customHeight="1">
      <c r="E730" s="51"/>
      <c r="F730" s="12"/>
    </row>
    <row r="731" ht="13.5" customHeight="1">
      <c r="E731" s="51"/>
      <c r="F731" s="12"/>
    </row>
    <row r="732" ht="13.5" customHeight="1">
      <c r="E732" s="51"/>
      <c r="F732" s="12"/>
    </row>
    <row r="733" ht="13.5" customHeight="1">
      <c r="E733" s="51"/>
      <c r="F733" s="12"/>
    </row>
    <row r="734" ht="13.5" customHeight="1">
      <c r="E734" s="51"/>
      <c r="F734" s="12"/>
    </row>
    <row r="735" ht="13.5" customHeight="1">
      <c r="E735" s="51"/>
      <c r="F735" s="12"/>
    </row>
    <row r="736" ht="13.5" customHeight="1">
      <c r="E736" s="51"/>
      <c r="F736" s="12"/>
    </row>
    <row r="737" ht="13.5" customHeight="1">
      <c r="E737" s="51"/>
      <c r="F737" s="12"/>
    </row>
    <row r="738" ht="13.5" customHeight="1">
      <c r="E738" s="51"/>
      <c r="F738" s="12"/>
    </row>
    <row r="739" ht="13.5" customHeight="1">
      <c r="E739" s="51"/>
      <c r="F739" s="12"/>
    </row>
    <row r="740" ht="13.5" customHeight="1">
      <c r="E740" s="51"/>
      <c r="F740" s="12"/>
    </row>
    <row r="741" ht="13.5" customHeight="1">
      <c r="E741" s="51"/>
      <c r="F741" s="12"/>
    </row>
    <row r="742" ht="13.5" customHeight="1">
      <c r="E742" s="51"/>
      <c r="F742" s="12"/>
    </row>
    <row r="743" ht="13.5" customHeight="1">
      <c r="E743" s="51"/>
      <c r="F743" s="12"/>
    </row>
    <row r="744" ht="13.5" customHeight="1">
      <c r="E744" s="51"/>
      <c r="F744" s="12"/>
    </row>
    <row r="745" ht="13.5" customHeight="1">
      <c r="E745" s="51"/>
      <c r="F745" s="12"/>
    </row>
    <row r="746" ht="13.5" customHeight="1">
      <c r="E746" s="51"/>
      <c r="F746" s="12"/>
    </row>
    <row r="747" ht="13.5" customHeight="1">
      <c r="E747" s="51"/>
      <c r="F747" s="12"/>
    </row>
    <row r="748" ht="13.5" customHeight="1">
      <c r="E748" s="51"/>
      <c r="F748" s="12"/>
    </row>
    <row r="749" ht="13.5" customHeight="1">
      <c r="E749" s="51"/>
      <c r="F749" s="12"/>
    </row>
    <row r="750" ht="13.5" customHeight="1">
      <c r="E750" s="51"/>
      <c r="F750" s="12"/>
    </row>
    <row r="751" ht="13.5" customHeight="1">
      <c r="E751" s="51"/>
      <c r="F751" s="12"/>
    </row>
    <row r="752" ht="13.5" customHeight="1">
      <c r="E752" s="51"/>
      <c r="F752" s="12"/>
    </row>
    <row r="753" ht="13.5" customHeight="1">
      <c r="E753" s="51"/>
      <c r="F753" s="12"/>
    </row>
    <row r="754" ht="13.5" customHeight="1">
      <c r="E754" s="51"/>
      <c r="F754" s="12"/>
    </row>
    <row r="755" ht="13.5" customHeight="1">
      <c r="E755" s="51"/>
      <c r="F755" s="12"/>
    </row>
    <row r="756" ht="13.5" customHeight="1">
      <c r="E756" s="51"/>
      <c r="F756" s="12"/>
    </row>
    <row r="757" ht="13.5" customHeight="1">
      <c r="E757" s="51"/>
      <c r="F757" s="12"/>
    </row>
    <row r="758" ht="13.5" customHeight="1">
      <c r="E758" s="51"/>
      <c r="F758" s="12"/>
    </row>
    <row r="759" ht="13.5" customHeight="1">
      <c r="E759" s="51"/>
      <c r="F759" s="12"/>
    </row>
    <row r="760" ht="13.5" customHeight="1">
      <c r="E760" s="51"/>
      <c r="F760" s="12"/>
    </row>
    <row r="761" ht="13.5" customHeight="1">
      <c r="E761" s="51"/>
      <c r="F761" s="12"/>
    </row>
    <row r="762" ht="13.5" customHeight="1">
      <c r="E762" s="51"/>
      <c r="F762" s="12"/>
    </row>
    <row r="763" ht="13.5" customHeight="1">
      <c r="E763" s="51"/>
      <c r="F763" s="12"/>
    </row>
    <row r="764" ht="13.5" customHeight="1">
      <c r="E764" s="51"/>
      <c r="F764" s="12"/>
    </row>
    <row r="765" ht="13.5" customHeight="1">
      <c r="E765" s="51"/>
      <c r="F765" s="12"/>
    </row>
    <row r="766" ht="13.5" customHeight="1">
      <c r="E766" s="51"/>
      <c r="F766" s="12"/>
    </row>
    <row r="767" ht="13.5" customHeight="1">
      <c r="E767" s="51"/>
      <c r="F767" s="12"/>
    </row>
    <row r="768" ht="13.5" customHeight="1">
      <c r="E768" s="51"/>
      <c r="F768" s="12"/>
    </row>
    <row r="769" ht="13.5" customHeight="1">
      <c r="E769" s="51"/>
      <c r="F769" s="12"/>
    </row>
    <row r="770" ht="13.5" customHeight="1">
      <c r="E770" s="51"/>
      <c r="F770" s="12"/>
    </row>
    <row r="771" ht="13.5" customHeight="1">
      <c r="E771" s="51"/>
      <c r="F771" s="12"/>
    </row>
    <row r="772" ht="13.5" customHeight="1">
      <c r="E772" s="51"/>
      <c r="F772" s="12"/>
    </row>
    <row r="773" ht="13.5" customHeight="1">
      <c r="E773" s="51"/>
      <c r="F773" s="12"/>
    </row>
    <row r="774" ht="13.5" customHeight="1">
      <c r="E774" s="51"/>
      <c r="F774" s="12"/>
    </row>
    <row r="775" ht="13.5" customHeight="1">
      <c r="E775" s="51"/>
      <c r="F775" s="12"/>
    </row>
    <row r="776" ht="13.5" customHeight="1">
      <c r="E776" s="51"/>
      <c r="F776" s="12"/>
    </row>
    <row r="777" ht="13.5" customHeight="1">
      <c r="E777" s="51"/>
      <c r="F777" s="12"/>
    </row>
    <row r="778" ht="13.5" customHeight="1">
      <c r="E778" s="51"/>
      <c r="F778" s="12"/>
    </row>
    <row r="779" ht="13.5" customHeight="1">
      <c r="E779" s="51"/>
      <c r="F779" s="12"/>
    </row>
    <row r="780" ht="13.5" customHeight="1">
      <c r="E780" s="51"/>
      <c r="F780" s="12"/>
    </row>
    <row r="781" ht="13.5" customHeight="1">
      <c r="E781" s="51"/>
      <c r="F781" s="12"/>
    </row>
    <row r="782" ht="13.5" customHeight="1">
      <c r="E782" s="51"/>
      <c r="F782" s="12"/>
    </row>
    <row r="783" ht="13.5" customHeight="1">
      <c r="E783" s="51"/>
      <c r="F783" s="12"/>
    </row>
    <row r="784" ht="13.5" customHeight="1">
      <c r="E784" s="51"/>
      <c r="F784" s="12"/>
    </row>
    <row r="785" ht="13.5" customHeight="1">
      <c r="E785" s="51"/>
      <c r="F785" s="12"/>
    </row>
    <row r="786" ht="13.5" customHeight="1">
      <c r="E786" s="51"/>
      <c r="F786" s="12"/>
    </row>
    <row r="787" ht="13.5" customHeight="1">
      <c r="E787" s="51"/>
      <c r="F787" s="12"/>
    </row>
    <row r="788" ht="13.5" customHeight="1">
      <c r="E788" s="51"/>
      <c r="F788" s="12"/>
    </row>
    <row r="789" ht="13.5" customHeight="1">
      <c r="E789" s="51"/>
      <c r="F789" s="12"/>
    </row>
    <row r="790" ht="13.5" customHeight="1">
      <c r="E790" s="51"/>
      <c r="F790" s="12"/>
    </row>
    <row r="791" ht="13.5" customHeight="1">
      <c r="E791" s="51"/>
      <c r="F791" s="12"/>
    </row>
    <row r="792" ht="13.5" customHeight="1">
      <c r="E792" s="51"/>
      <c r="F792" s="12"/>
    </row>
    <row r="793" ht="13.5" customHeight="1">
      <c r="E793" s="51"/>
      <c r="F793" s="12"/>
    </row>
    <row r="794" ht="13.5" customHeight="1">
      <c r="E794" s="51"/>
      <c r="F794" s="12"/>
    </row>
    <row r="795" ht="13.5" customHeight="1">
      <c r="E795" s="51"/>
      <c r="F795" s="12"/>
    </row>
    <row r="796" ht="13.5" customHeight="1">
      <c r="E796" s="51"/>
      <c r="F796" s="12"/>
    </row>
    <row r="797" ht="13.5" customHeight="1">
      <c r="E797" s="51"/>
      <c r="F797" s="12"/>
    </row>
    <row r="798" ht="13.5" customHeight="1">
      <c r="E798" s="51"/>
      <c r="F798" s="12"/>
    </row>
    <row r="799" ht="13.5" customHeight="1">
      <c r="E799" s="51"/>
      <c r="F799" s="12"/>
    </row>
    <row r="800" ht="13.5" customHeight="1">
      <c r="E800" s="51"/>
      <c r="F800" s="12"/>
    </row>
    <row r="801" ht="13.5" customHeight="1">
      <c r="E801" s="51"/>
      <c r="F801" s="12"/>
    </row>
    <row r="802" ht="13.5" customHeight="1">
      <c r="E802" s="51"/>
      <c r="F802" s="12"/>
    </row>
    <row r="803" ht="13.5" customHeight="1">
      <c r="E803" s="51"/>
      <c r="F803" s="12"/>
    </row>
    <row r="804" ht="13.5" customHeight="1">
      <c r="E804" s="51"/>
      <c r="F804" s="12"/>
    </row>
    <row r="805" ht="13.5" customHeight="1">
      <c r="E805" s="51"/>
      <c r="F805" s="12"/>
    </row>
    <row r="806" ht="13.5" customHeight="1">
      <c r="E806" s="51"/>
      <c r="F806" s="12"/>
    </row>
    <row r="807" ht="13.5" customHeight="1">
      <c r="E807" s="51"/>
      <c r="F807" s="12"/>
    </row>
    <row r="808" ht="13.5" customHeight="1">
      <c r="E808" s="51"/>
      <c r="F808" s="12"/>
    </row>
    <row r="809" ht="13.5" customHeight="1">
      <c r="E809" s="51"/>
      <c r="F809" s="12"/>
    </row>
    <row r="810" ht="13.5" customHeight="1">
      <c r="E810" s="51"/>
      <c r="F810" s="12"/>
    </row>
    <row r="811" ht="13.5" customHeight="1">
      <c r="E811" s="51"/>
      <c r="F811" s="12"/>
    </row>
    <row r="812" ht="13.5" customHeight="1">
      <c r="E812" s="51"/>
      <c r="F812" s="12"/>
    </row>
    <row r="813" ht="13.5" customHeight="1">
      <c r="E813" s="51"/>
      <c r="F813" s="12"/>
    </row>
    <row r="814" ht="13.5" customHeight="1">
      <c r="E814" s="51"/>
      <c r="F814" s="12"/>
    </row>
    <row r="815" ht="13.5" customHeight="1">
      <c r="E815" s="51"/>
      <c r="F815" s="12"/>
    </row>
    <row r="816" ht="13.5" customHeight="1">
      <c r="E816" s="51"/>
      <c r="F816" s="12"/>
    </row>
    <row r="817" ht="13.5" customHeight="1">
      <c r="E817" s="51"/>
      <c r="F817" s="12"/>
    </row>
    <row r="818" ht="13.5" customHeight="1">
      <c r="E818" s="51"/>
      <c r="F818" s="12"/>
    </row>
    <row r="819" ht="13.5" customHeight="1">
      <c r="E819" s="51"/>
      <c r="F819" s="12"/>
    </row>
    <row r="820" ht="13.5" customHeight="1">
      <c r="E820" s="51"/>
      <c r="F820" s="12"/>
    </row>
    <row r="821" ht="13.5" customHeight="1">
      <c r="E821" s="51"/>
      <c r="F821" s="12"/>
    </row>
    <row r="822" ht="13.5" customHeight="1">
      <c r="E822" s="51"/>
      <c r="F822" s="12"/>
    </row>
    <row r="823" ht="13.5" customHeight="1">
      <c r="E823" s="51"/>
      <c r="F823" s="12"/>
    </row>
    <row r="824" ht="13.5" customHeight="1">
      <c r="E824" s="51"/>
      <c r="F824" s="12"/>
    </row>
    <row r="825" ht="13.5" customHeight="1">
      <c r="E825" s="51"/>
      <c r="F825" s="12"/>
    </row>
    <row r="826" ht="13.5" customHeight="1">
      <c r="E826" s="51"/>
      <c r="F826" s="12"/>
    </row>
    <row r="827" ht="13.5" customHeight="1">
      <c r="E827" s="51"/>
      <c r="F827" s="12"/>
    </row>
    <row r="828" ht="13.5" customHeight="1">
      <c r="E828" s="51"/>
      <c r="F828" s="12"/>
    </row>
    <row r="829" ht="13.5" customHeight="1">
      <c r="E829" s="51"/>
      <c r="F829" s="12"/>
    </row>
    <row r="830" ht="13.5" customHeight="1">
      <c r="E830" s="51"/>
      <c r="F830" s="12"/>
    </row>
    <row r="831" ht="13.5" customHeight="1">
      <c r="E831" s="51"/>
      <c r="F831" s="12"/>
    </row>
    <row r="832" ht="13.5" customHeight="1">
      <c r="E832" s="51"/>
      <c r="F832" s="12"/>
    </row>
    <row r="833" ht="13.5" customHeight="1">
      <c r="E833" s="51"/>
      <c r="F833" s="12"/>
    </row>
    <row r="834" ht="13.5" customHeight="1">
      <c r="E834" s="51"/>
      <c r="F834" s="12"/>
    </row>
    <row r="835" ht="13.5" customHeight="1">
      <c r="E835" s="51"/>
      <c r="F835" s="12"/>
    </row>
    <row r="836" ht="13.5" customHeight="1">
      <c r="E836" s="51"/>
      <c r="F836" s="12"/>
    </row>
    <row r="837" ht="13.5" customHeight="1">
      <c r="E837" s="51"/>
      <c r="F837" s="12"/>
    </row>
    <row r="838" ht="13.5" customHeight="1">
      <c r="E838" s="51"/>
      <c r="F838" s="12"/>
    </row>
    <row r="839" ht="13.5" customHeight="1">
      <c r="E839" s="51"/>
      <c r="F839" s="12"/>
    </row>
    <row r="840" ht="13.5" customHeight="1">
      <c r="E840" s="51"/>
      <c r="F840" s="12"/>
    </row>
    <row r="841" ht="13.5" customHeight="1">
      <c r="E841" s="51"/>
      <c r="F841" s="12"/>
    </row>
    <row r="842" ht="13.5" customHeight="1">
      <c r="E842" s="51"/>
      <c r="F842" s="12"/>
    </row>
    <row r="843" ht="13.5" customHeight="1">
      <c r="E843" s="51"/>
      <c r="F843" s="12"/>
    </row>
    <row r="844" ht="13.5" customHeight="1">
      <c r="E844" s="51"/>
      <c r="F844" s="12"/>
    </row>
    <row r="845" ht="13.5" customHeight="1">
      <c r="E845" s="51"/>
      <c r="F845" s="12"/>
    </row>
    <row r="846" ht="13.5" customHeight="1">
      <c r="E846" s="51"/>
      <c r="F846" s="12"/>
    </row>
    <row r="847" ht="13.5" customHeight="1">
      <c r="E847" s="51"/>
      <c r="F847" s="12"/>
    </row>
    <row r="848" ht="13.5" customHeight="1">
      <c r="E848" s="51"/>
      <c r="F848" s="12"/>
    </row>
    <row r="849" ht="13.5" customHeight="1">
      <c r="E849" s="51"/>
      <c r="F849" s="12"/>
    </row>
    <row r="850" ht="13.5" customHeight="1">
      <c r="E850" s="51"/>
      <c r="F850" s="12"/>
    </row>
    <row r="851" ht="13.5" customHeight="1">
      <c r="E851" s="51"/>
      <c r="F851" s="12"/>
    </row>
    <row r="852" ht="13.5" customHeight="1">
      <c r="E852" s="51"/>
      <c r="F852" s="12"/>
    </row>
    <row r="853" ht="13.5" customHeight="1">
      <c r="E853" s="51"/>
      <c r="F853" s="12"/>
    </row>
    <row r="854" ht="13.5" customHeight="1">
      <c r="E854" s="51"/>
      <c r="F854" s="12"/>
    </row>
    <row r="855" ht="13.5" customHeight="1">
      <c r="E855" s="51"/>
      <c r="F855" s="12"/>
    </row>
    <row r="856" ht="13.5" customHeight="1">
      <c r="E856" s="51"/>
      <c r="F856" s="12"/>
    </row>
    <row r="857" ht="13.5" customHeight="1">
      <c r="E857" s="51"/>
      <c r="F857" s="12"/>
    </row>
    <row r="858" ht="13.5" customHeight="1">
      <c r="E858" s="51"/>
      <c r="F858" s="12"/>
    </row>
    <row r="859" ht="13.5" customHeight="1">
      <c r="E859" s="51"/>
      <c r="F859" s="12"/>
    </row>
    <row r="860" ht="13.5" customHeight="1">
      <c r="E860" s="51"/>
      <c r="F860" s="12"/>
    </row>
    <row r="861" ht="13.5" customHeight="1">
      <c r="E861" s="51"/>
      <c r="F861" s="12"/>
    </row>
    <row r="862" ht="13.5" customHeight="1">
      <c r="E862" s="51"/>
      <c r="F862" s="12"/>
    </row>
    <row r="863" ht="13.5" customHeight="1">
      <c r="E863" s="51"/>
      <c r="F863" s="12"/>
    </row>
    <row r="864" ht="13.5" customHeight="1">
      <c r="E864" s="51"/>
      <c r="F864" s="12"/>
    </row>
    <row r="865" ht="13.5" customHeight="1">
      <c r="E865" s="51"/>
      <c r="F865" s="12"/>
    </row>
    <row r="866" ht="13.5" customHeight="1">
      <c r="E866" s="51"/>
      <c r="F866" s="12"/>
    </row>
    <row r="867" ht="13.5" customHeight="1">
      <c r="E867" s="51"/>
      <c r="F867" s="12"/>
    </row>
    <row r="868" ht="13.5" customHeight="1">
      <c r="E868" s="51"/>
      <c r="F868" s="12"/>
    </row>
    <row r="869" ht="13.5" customHeight="1">
      <c r="E869" s="51"/>
      <c r="F869" s="12"/>
    </row>
    <row r="870" ht="13.5" customHeight="1">
      <c r="E870" s="51"/>
      <c r="F870" s="12"/>
    </row>
    <row r="871" ht="13.5" customHeight="1">
      <c r="E871" s="51"/>
      <c r="F871" s="12"/>
    </row>
    <row r="872" ht="13.5" customHeight="1">
      <c r="E872" s="51"/>
      <c r="F872" s="12"/>
    </row>
    <row r="873" ht="13.5" customHeight="1">
      <c r="E873" s="51"/>
      <c r="F873" s="12"/>
    </row>
    <row r="874" ht="13.5" customHeight="1">
      <c r="E874" s="51"/>
      <c r="F874" s="12"/>
    </row>
    <row r="875" ht="13.5" customHeight="1">
      <c r="E875" s="51"/>
      <c r="F875" s="12"/>
    </row>
    <row r="876" ht="13.5" customHeight="1">
      <c r="E876" s="51"/>
      <c r="F876" s="12"/>
    </row>
    <row r="877" ht="13.5" customHeight="1">
      <c r="E877" s="51"/>
      <c r="F877" s="12"/>
    </row>
    <row r="878" ht="13.5" customHeight="1">
      <c r="E878" s="51"/>
      <c r="F878" s="12"/>
    </row>
    <row r="879" ht="13.5" customHeight="1">
      <c r="E879" s="51"/>
      <c r="F879" s="12"/>
    </row>
    <row r="880" ht="13.5" customHeight="1">
      <c r="E880" s="51"/>
      <c r="F880" s="12"/>
    </row>
    <row r="881" ht="13.5" customHeight="1">
      <c r="E881" s="51"/>
      <c r="F881" s="12"/>
    </row>
    <row r="882" ht="13.5" customHeight="1">
      <c r="E882" s="51"/>
      <c r="F882" s="12"/>
    </row>
    <row r="883" ht="13.5" customHeight="1">
      <c r="E883" s="51"/>
      <c r="F883" s="12"/>
    </row>
    <row r="884" ht="13.5" customHeight="1">
      <c r="E884" s="51"/>
      <c r="F884" s="12"/>
    </row>
    <row r="885" ht="13.5" customHeight="1">
      <c r="E885" s="51"/>
      <c r="F885" s="12"/>
    </row>
    <row r="886" ht="13.5" customHeight="1">
      <c r="E886" s="51"/>
      <c r="F886" s="12"/>
    </row>
    <row r="887" ht="13.5" customHeight="1">
      <c r="E887" s="51"/>
      <c r="F887" s="12"/>
    </row>
    <row r="888" ht="13.5" customHeight="1">
      <c r="E888" s="51"/>
      <c r="F888" s="12"/>
    </row>
    <row r="889" ht="13.5" customHeight="1">
      <c r="E889" s="51"/>
      <c r="F889" s="12"/>
    </row>
    <row r="890" ht="13.5" customHeight="1">
      <c r="E890" s="51"/>
      <c r="F890" s="12"/>
    </row>
    <row r="891" ht="13.5" customHeight="1">
      <c r="E891" s="51"/>
      <c r="F891" s="12"/>
    </row>
    <row r="892" ht="13.5" customHeight="1">
      <c r="E892" s="51"/>
      <c r="F892" s="12"/>
    </row>
    <row r="893" ht="13.5" customHeight="1">
      <c r="E893" s="51"/>
      <c r="F893" s="12"/>
    </row>
    <row r="894" ht="13.5" customHeight="1">
      <c r="E894" s="51"/>
      <c r="F894" s="12"/>
    </row>
    <row r="895" ht="13.5" customHeight="1">
      <c r="E895" s="51"/>
      <c r="F895" s="12"/>
    </row>
    <row r="896" ht="13.5" customHeight="1">
      <c r="E896" s="51"/>
      <c r="F896" s="12"/>
    </row>
    <row r="897" ht="13.5" customHeight="1">
      <c r="E897" s="51"/>
      <c r="F897" s="12"/>
    </row>
    <row r="898" ht="13.5" customHeight="1">
      <c r="E898" s="51"/>
      <c r="F898" s="12"/>
    </row>
    <row r="899" ht="13.5" customHeight="1">
      <c r="E899" s="51"/>
      <c r="F899" s="12"/>
    </row>
    <row r="900" ht="13.5" customHeight="1">
      <c r="E900" s="51"/>
      <c r="F900" s="12"/>
    </row>
    <row r="901" ht="13.5" customHeight="1">
      <c r="E901" s="51"/>
      <c r="F901" s="12"/>
    </row>
    <row r="902" ht="13.5" customHeight="1">
      <c r="E902" s="51"/>
      <c r="F902" s="12"/>
    </row>
    <row r="903" ht="13.5" customHeight="1">
      <c r="E903" s="51"/>
      <c r="F903" s="12"/>
    </row>
    <row r="904" ht="13.5" customHeight="1">
      <c r="E904" s="51"/>
      <c r="F904" s="12"/>
    </row>
    <row r="905" ht="13.5" customHeight="1">
      <c r="E905" s="51"/>
      <c r="F905" s="12"/>
    </row>
    <row r="906" ht="13.5" customHeight="1">
      <c r="E906" s="51"/>
      <c r="F906" s="12"/>
    </row>
    <row r="907" ht="13.5" customHeight="1">
      <c r="E907" s="51"/>
      <c r="F907" s="12"/>
    </row>
    <row r="908" ht="13.5" customHeight="1">
      <c r="E908" s="51"/>
      <c r="F908" s="12"/>
    </row>
    <row r="909" ht="13.5" customHeight="1">
      <c r="E909" s="51"/>
      <c r="F909" s="12"/>
    </row>
    <row r="910" ht="13.5" customHeight="1">
      <c r="E910" s="51"/>
      <c r="F910" s="12"/>
    </row>
    <row r="911" ht="13.5" customHeight="1">
      <c r="E911" s="51"/>
      <c r="F911" s="12"/>
    </row>
    <row r="912" ht="13.5" customHeight="1">
      <c r="E912" s="51"/>
      <c r="F912" s="12"/>
    </row>
    <row r="913" ht="13.5" customHeight="1">
      <c r="E913" s="51"/>
      <c r="F913" s="12"/>
    </row>
    <row r="914" ht="13.5" customHeight="1">
      <c r="E914" s="51"/>
      <c r="F914" s="12"/>
    </row>
    <row r="915" ht="13.5" customHeight="1">
      <c r="E915" s="51"/>
      <c r="F915" s="12"/>
    </row>
    <row r="916" ht="13.5" customHeight="1">
      <c r="E916" s="51"/>
      <c r="F916" s="12"/>
    </row>
    <row r="917" ht="13.5" customHeight="1">
      <c r="E917" s="51"/>
      <c r="F917" s="12"/>
    </row>
    <row r="918" ht="13.5" customHeight="1">
      <c r="E918" s="51"/>
      <c r="F918" s="12"/>
    </row>
    <row r="919" ht="13.5" customHeight="1">
      <c r="E919" s="51"/>
      <c r="F919" s="12"/>
    </row>
    <row r="920" ht="13.5" customHeight="1">
      <c r="E920" s="51"/>
      <c r="F920" s="12"/>
    </row>
    <row r="921" ht="13.5" customHeight="1">
      <c r="E921" s="51"/>
      <c r="F921" s="12"/>
    </row>
    <row r="922" ht="13.5" customHeight="1">
      <c r="E922" s="51"/>
      <c r="F922" s="12"/>
    </row>
    <row r="923" ht="13.5" customHeight="1">
      <c r="E923" s="51"/>
      <c r="F923" s="12"/>
    </row>
    <row r="924" ht="13.5" customHeight="1">
      <c r="E924" s="51"/>
      <c r="F924" s="12"/>
    </row>
    <row r="925" ht="13.5" customHeight="1">
      <c r="E925" s="51"/>
      <c r="F925" s="12"/>
    </row>
    <row r="926" ht="13.5" customHeight="1">
      <c r="E926" s="51"/>
      <c r="F926" s="12"/>
    </row>
    <row r="927" ht="13.5" customHeight="1">
      <c r="E927" s="51"/>
      <c r="F927" s="12"/>
    </row>
    <row r="928" ht="13.5" customHeight="1">
      <c r="E928" s="51"/>
      <c r="F928" s="12"/>
    </row>
    <row r="929" ht="13.5" customHeight="1">
      <c r="E929" s="51"/>
      <c r="F929" s="12"/>
    </row>
    <row r="930" ht="13.5" customHeight="1">
      <c r="E930" s="51"/>
      <c r="F930" s="12"/>
    </row>
    <row r="931" ht="13.5" customHeight="1">
      <c r="E931" s="51"/>
      <c r="F931" s="12"/>
    </row>
    <row r="932" ht="13.5" customHeight="1">
      <c r="E932" s="51"/>
      <c r="F932" s="12"/>
    </row>
    <row r="933" ht="13.5" customHeight="1">
      <c r="E933" s="51"/>
      <c r="F933" s="12"/>
    </row>
    <row r="934" ht="13.5" customHeight="1">
      <c r="E934" s="51"/>
      <c r="F934" s="12"/>
    </row>
    <row r="935" ht="13.5" customHeight="1">
      <c r="E935" s="51"/>
      <c r="F935" s="12"/>
    </row>
    <row r="936" ht="13.5" customHeight="1">
      <c r="E936" s="51"/>
      <c r="F936" s="12"/>
    </row>
    <row r="937" ht="13.5" customHeight="1">
      <c r="E937" s="51"/>
      <c r="F937" s="12"/>
    </row>
    <row r="938" ht="13.5" customHeight="1">
      <c r="E938" s="51"/>
      <c r="F938" s="12"/>
    </row>
    <row r="939" ht="13.5" customHeight="1">
      <c r="E939" s="51"/>
      <c r="F939" s="12"/>
    </row>
    <row r="940" ht="13.5" customHeight="1">
      <c r="E940" s="51"/>
      <c r="F940" s="12"/>
    </row>
    <row r="941" ht="13.5" customHeight="1">
      <c r="E941" s="51"/>
      <c r="F941" s="12"/>
    </row>
    <row r="942" ht="13.5" customHeight="1">
      <c r="E942" s="51"/>
      <c r="F942" s="12"/>
    </row>
    <row r="943" ht="13.5" customHeight="1">
      <c r="E943" s="51"/>
      <c r="F943" s="12"/>
    </row>
    <row r="944" ht="13.5" customHeight="1">
      <c r="E944" s="51"/>
      <c r="F944" s="12"/>
    </row>
    <row r="945" ht="13.5" customHeight="1">
      <c r="E945" s="51"/>
      <c r="F945" s="12"/>
    </row>
    <row r="946" ht="13.5" customHeight="1">
      <c r="E946" s="51"/>
      <c r="F946" s="12"/>
    </row>
    <row r="947" ht="13.5" customHeight="1">
      <c r="E947" s="51"/>
      <c r="F947" s="12"/>
    </row>
    <row r="948" ht="13.5" customHeight="1">
      <c r="E948" s="51"/>
      <c r="F948" s="12"/>
    </row>
    <row r="949" ht="13.5" customHeight="1">
      <c r="E949" s="51"/>
      <c r="F949" s="12"/>
    </row>
    <row r="950" ht="13.5" customHeight="1">
      <c r="E950" s="51"/>
      <c r="F950" s="12"/>
    </row>
    <row r="951" ht="13.5" customHeight="1">
      <c r="E951" s="51"/>
      <c r="F951" s="12"/>
    </row>
    <row r="952" ht="13.5" customHeight="1">
      <c r="E952" s="51"/>
      <c r="F952" s="12"/>
    </row>
    <row r="953" ht="13.5" customHeight="1">
      <c r="E953" s="51"/>
      <c r="F953" s="12"/>
    </row>
    <row r="954" ht="13.5" customHeight="1">
      <c r="E954" s="51"/>
      <c r="F954" s="12"/>
    </row>
    <row r="955" ht="13.5" customHeight="1">
      <c r="E955" s="51"/>
      <c r="F955" s="12"/>
    </row>
    <row r="956" ht="13.5" customHeight="1">
      <c r="E956" s="51"/>
      <c r="F956" s="12"/>
    </row>
    <row r="957" ht="13.5" customHeight="1">
      <c r="E957" s="51"/>
      <c r="F957" s="12"/>
    </row>
    <row r="958" ht="13.5" customHeight="1">
      <c r="E958" s="51"/>
      <c r="F958" s="12"/>
    </row>
    <row r="959" ht="13.5" customHeight="1">
      <c r="E959" s="51"/>
      <c r="F959" s="12"/>
    </row>
    <row r="960" ht="13.5" customHeight="1">
      <c r="E960" s="51"/>
      <c r="F960" s="12"/>
    </row>
    <row r="961" ht="13.5" customHeight="1">
      <c r="E961" s="51"/>
      <c r="F961" s="12"/>
    </row>
    <row r="962" ht="13.5" customHeight="1">
      <c r="E962" s="51"/>
      <c r="F962" s="12"/>
    </row>
    <row r="963" ht="13.5" customHeight="1">
      <c r="E963" s="51"/>
      <c r="F963" s="12"/>
    </row>
    <row r="964" ht="13.5" customHeight="1">
      <c r="E964" s="51"/>
      <c r="F964" s="12"/>
    </row>
    <row r="965" ht="13.5" customHeight="1">
      <c r="E965" s="51"/>
      <c r="F965" s="12"/>
    </row>
    <row r="966" ht="13.5" customHeight="1">
      <c r="E966" s="51"/>
      <c r="F966" s="12"/>
    </row>
    <row r="967" ht="13.5" customHeight="1">
      <c r="E967" s="51"/>
      <c r="F967" s="12"/>
    </row>
    <row r="968" ht="13.5" customHeight="1">
      <c r="E968" s="51"/>
      <c r="F968" s="12"/>
    </row>
    <row r="969" ht="13.5" customHeight="1">
      <c r="E969" s="51"/>
      <c r="F969" s="12"/>
    </row>
    <row r="970" ht="13.5" customHeight="1">
      <c r="E970" s="51"/>
      <c r="F970" s="12"/>
    </row>
    <row r="971" ht="13.5" customHeight="1">
      <c r="E971" s="51"/>
      <c r="F971" s="12"/>
    </row>
    <row r="972" ht="13.5" customHeight="1">
      <c r="E972" s="51"/>
      <c r="F972" s="12"/>
    </row>
    <row r="973" ht="13.5" customHeight="1">
      <c r="E973" s="51"/>
      <c r="F973" s="12"/>
    </row>
    <row r="974" ht="13.5" customHeight="1">
      <c r="E974" s="51"/>
      <c r="F974" s="12"/>
    </row>
    <row r="975" ht="13.5" customHeight="1">
      <c r="E975" s="51"/>
      <c r="F975" s="12"/>
    </row>
    <row r="976" ht="13.5" customHeight="1">
      <c r="E976" s="51"/>
      <c r="F976" s="12"/>
    </row>
    <row r="977" ht="13.5" customHeight="1">
      <c r="E977" s="51"/>
      <c r="F977" s="12"/>
    </row>
    <row r="978" ht="13.5" customHeight="1">
      <c r="E978" s="51"/>
      <c r="F978" s="12"/>
    </row>
    <row r="979" ht="13.5" customHeight="1">
      <c r="E979" s="51"/>
      <c r="F979" s="12"/>
    </row>
    <row r="980" ht="13.5" customHeight="1">
      <c r="E980" s="51"/>
      <c r="F980" s="12"/>
    </row>
    <row r="981" ht="13.5" customHeight="1">
      <c r="E981" s="51"/>
      <c r="F981" s="12"/>
    </row>
    <row r="982" ht="13.5" customHeight="1">
      <c r="E982" s="51"/>
      <c r="F982" s="12"/>
    </row>
    <row r="983" ht="13.5" customHeight="1">
      <c r="E983" s="51"/>
      <c r="F983" s="12"/>
    </row>
    <row r="984" ht="13.5" customHeight="1">
      <c r="E984" s="51"/>
      <c r="F984" s="12"/>
    </row>
    <row r="985" ht="13.5" customHeight="1">
      <c r="E985" s="51"/>
      <c r="F985" s="12"/>
    </row>
    <row r="986" ht="13.5" customHeight="1">
      <c r="E986" s="51"/>
      <c r="F986" s="12"/>
    </row>
    <row r="987" ht="13.5" customHeight="1">
      <c r="E987" s="51"/>
      <c r="F987" s="12"/>
    </row>
    <row r="988" ht="13.5" customHeight="1">
      <c r="E988" s="51"/>
      <c r="F988" s="12"/>
    </row>
    <row r="989" ht="13.5" customHeight="1">
      <c r="E989" s="51"/>
      <c r="F989" s="12"/>
    </row>
    <row r="990" ht="13.5" customHeight="1">
      <c r="E990" s="51"/>
      <c r="F990" s="12"/>
    </row>
    <row r="991" ht="13.5" customHeight="1">
      <c r="E991" s="51"/>
      <c r="F991" s="12"/>
    </row>
    <row r="992" ht="13.5" customHeight="1">
      <c r="E992" s="51"/>
      <c r="F992" s="12"/>
    </row>
    <row r="993" ht="13.5" customHeight="1">
      <c r="E993" s="51"/>
      <c r="F993" s="12"/>
    </row>
    <row r="994" ht="13.5" customHeight="1">
      <c r="E994" s="51"/>
      <c r="F994" s="12"/>
    </row>
    <row r="995" ht="13.5" customHeight="1">
      <c r="E995" s="51"/>
      <c r="F995" s="12"/>
    </row>
    <row r="996" ht="13.5" customHeight="1">
      <c r="E996" s="51"/>
      <c r="F996" s="12"/>
    </row>
    <row r="997" ht="13.5" customHeight="1">
      <c r="E997" s="51"/>
      <c r="F997" s="12"/>
    </row>
    <row r="998" ht="13.5" customHeight="1">
      <c r="E998" s="51"/>
      <c r="F998" s="12"/>
    </row>
    <row r="999" ht="13.5" customHeight="1">
      <c r="E999" s="51"/>
      <c r="F999" s="12"/>
    </row>
    <row r="1000" ht="13.5" customHeight="1">
      <c r="E1000" s="51"/>
      <c r="F1000" s="12"/>
    </row>
  </sheetData>
  <autoFilter ref="$A$1:$E$84"/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12.25"/>
    <col customWidth="1" min="3" max="3" width="11.25"/>
    <col customWidth="1" min="4" max="4" width="10.25"/>
    <col customWidth="1" min="5" max="5" width="16.5"/>
    <col customWidth="1" min="6" max="6" width="40.63"/>
    <col customWidth="1" min="7" max="7" width="26.88"/>
    <col customWidth="1" min="8" max="8" width="13.75"/>
    <col customWidth="1" min="9" max="9" width="8.75"/>
    <col customWidth="1" min="10" max="10" width="25.5"/>
    <col customWidth="1" min="11" max="11" width="14.25"/>
    <col customWidth="1" min="12" max="26" width="8.75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3.5" customHeight="1">
      <c r="A2" s="14">
        <v>1.0</v>
      </c>
      <c r="B2" s="14" t="s">
        <v>9</v>
      </c>
      <c r="C2" s="14">
        <v>2130870.0</v>
      </c>
      <c r="D2" s="16">
        <v>46213.0</v>
      </c>
      <c r="E2" s="17">
        <v>1.027941575E7</v>
      </c>
      <c r="F2" s="14" t="s">
        <v>10</v>
      </c>
      <c r="G2" s="14" t="s">
        <v>19</v>
      </c>
      <c r="H2" s="34"/>
      <c r="I2" s="34"/>
      <c r="J2" s="21">
        <v>183322.0</v>
      </c>
      <c r="K2" s="29">
        <v>42105.88000000002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3.5" customHeight="1">
      <c r="A3" s="14">
        <v>2.0</v>
      </c>
      <c r="B3" s="14" t="s">
        <v>16</v>
      </c>
      <c r="C3" s="14">
        <v>2050752.0</v>
      </c>
      <c r="D3" s="16">
        <v>46213.0</v>
      </c>
      <c r="E3" s="17">
        <v>241019.33</v>
      </c>
      <c r="F3" s="14" t="s">
        <v>50</v>
      </c>
      <c r="G3" s="14" t="s">
        <v>19</v>
      </c>
      <c r="H3" s="34"/>
      <c r="I3" s="34"/>
      <c r="J3" s="21">
        <v>183337.0</v>
      </c>
      <c r="K3" s="29">
        <v>507442.81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14">
        <v>3.0</v>
      </c>
      <c r="B4" s="14" t="s">
        <v>16</v>
      </c>
      <c r="C4" s="14">
        <v>2050752.0</v>
      </c>
      <c r="D4" s="16">
        <v>46213.0</v>
      </c>
      <c r="E4" s="17">
        <v>734963.94</v>
      </c>
      <c r="F4" s="14" t="s">
        <v>50</v>
      </c>
      <c r="G4" s="14" t="s">
        <v>19</v>
      </c>
      <c r="H4" s="34"/>
      <c r="I4" s="34"/>
      <c r="J4" s="21">
        <v>183352.0</v>
      </c>
      <c r="K4" s="29">
        <v>8807.02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14">
        <v>4.0</v>
      </c>
      <c r="B5" s="14" t="s">
        <v>16</v>
      </c>
      <c r="C5" s="14">
        <v>2050752.0</v>
      </c>
      <c r="D5" s="16">
        <v>46213.0</v>
      </c>
      <c r="E5" s="17">
        <v>365661.91</v>
      </c>
      <c r="F5" s="14" t="s">
        <v>50</v>
      </c>
      <c r="G5" s="14" t="s">
        <v>19</v>
      </c>
      <c r="H5" s="34"/>
      <c r="I5" s="34"/>
      <c r="J5" s="21">
        <v>183356.0</v>
      </c>
      <c r="K5" s="29">
        <v>4324.45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30">
        <v>5.0</v>
      </c>
      <c r="B6" s="30" t="s">
        <v>9</v>
      </c>
      <c r="C6" s="30">
        <v>2050900.0</v>
      </c>
      <c r="D6" s="31">
        <v>46213.0</v>
      </c>
      <c r="E6" s="32">
        <v>26291.75</v>
      </c>
      <c r="F6" s="30"/>
      <c r="G6" s="30" t="s">
        <v>118</v>
      </c>
      <c r="H6" s="34"/>
      <c r="I6" s="34"/>
      <c r="J6" s="21">
        <v>183367.0</v>
      </c>
      <c r="K6" s="29">
        <v>9866.54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3">
        <v>10.0</v>
      </c>
      <c r="B7" s="23" t="s">
        <v>20</v>
      </c>
      <c r="C7" s="23">
        <v>1040211.0</v>
      </c>
      <c r="D7" s="49">
        <v>46213.0</v>
      </c>
      <c r="E7" s="29">
        <v>9866.54</v>
      </c>
      <c r="F7" s="23"/>
      <c r="G7" s="23" t="s">
        <v>19</v>
      </c>
      <c r="H7" s="34"/>
      <c r="I7" s="34"/>
      <c r="J7" s="21">
        <v>183368.0</v>
      </c>
      <c r="K7" s="29">
        <v>1169092.43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3">
        <v>11.0</v>
      </c>
      <c r="B8" s="23" t="s">
        <v>20</v>
      </c>
      <c r="C8" s="23">
        <v>1040211.0</v>
      </c>
      <c r="D8" s="49">
        <v>46213.0</v>
      </c>
      <c r="E8" s="29">
        <v>791479.53</v>
      </c>
      <c r="F8" s="23"/>
      <c r="G8" s="23" t="s">
        <v>19</v>
      </c>
      <c r="H8" s="34"/>
      <c r="I8" s="34"/>
      <c r="J8" s="21" t="s">
        <v>120</v>
      </c>
      <c r="K8" s="29">
        <v>56250.91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3">
        <v>13.0</v>
      </c>
      <c r="B9" s="23" t="s">
        <v>20</v>
      </c>
      <c r="C9" s="23">
        <v>1200393.0</v>
      </c>
      <c r="D9" s="49">
        <v>46213.0</v>
      </c>
      <c r="E9" s="29">
        <v>6924.13</v>
      </c>
      <c r="F9" s="23"/>
      <c r="G9" s="23" t="s">
        <v>19</v>
      </c>
      <c r="H9" s="34"/>
      <c r="I9" s="34"/>
      <c r="J9" s="21" t="s">
        <v>121</v>
      </c>
      <c r="K9" s="29">
        <v>46118.66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3">
        <v>14.0</v>
      </c>
      <c r="B10" s="23" t="s">
        <v>20</v>
      </c>
      <c r="C10" s="23">
        <v>1040211.0</v>
      </c>
      <c r="D10" s="49">
        <v>46213.0</v>
      </c>
      <c r="E10" s="29">
        <v>35181.75</v>
      </c>
      <c r="F10" s="23"/>
      <c r="G10" s="23" t="s">
        <v>19</v>
      </c>
      <c r="H10" s="34"/>
      <c r="I10" s="34"/>
      <c r="J10" s="21" t="s">
        <v>122</v>
      </c>
      <c r="K10" s="29">
        <v>1813.15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14">
        <v>17.0</v>
      </c>
      <c r="B11" s="14" t="s">
        <v>20</v>
      </c>
      <c r="C11" s="14">
        <v>1060345.0</v>
      </c>
      <c r="D11" s="16">
        <v>46213.0</v>
      </c>
      <c r="E11" s="17">
        <v>3000000.0</v>
      </c>
      <c r="F11" s="14"/>
      <c r="G11" s="14" t="s">
        <v>11</v>
      </c>
      <c r="H11" s="34"/>
      <c r="I11" s="34"/>
      <c r="J11" s="21" t="s">
        <v>123</v>
      </c>
      <c r="K11" s="29">
        <v>60131.19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3">
        <v>18.0</v>
      </c>
      <c r="B12" s="23" t="s">
        <v>47</v>
      </c>
      <c r="C12" s="23">
        <v>1040500.0</v>
      </c>
      <c r="D12" s="49">
        <v>46213.0</v>
      </c>
      <c r="E12" s="29">
        <v>1179.71</v>
      </c>
      <c r="F12" s="23"/>
      <c r="G12" s="23" t="s">
        <v>19</v>
      </c>
      <c r="H12" s="34"/>
      <c r="I12" s="34"/>
      <c r="J12" s="21" t="s">
        <v>124</v>
      </c>
      <c r="K12" s="29">
        <v>141267.67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3">
        <v>19.0</v>
      </c>
      <c r="B13" s="23" t="s">
        <v>20</v>
      </c>
      <c r="C13" s="23">
        <v>1040109.0</v>
      </c>
      <c r="D13" s="49">
        <v>46213.0</v>
      </c>
      <c r="E13" s="29">
        <v>1271.51</v>
      </c>
      <c r="F13" s="23"/>
      <c r="G13" s="23" t="s">
        <v>19</v>
      </c>
      <c r="H13" s="34"/>
      <c r="I13" s="34"/>
      <c r="J13" s="21" t="s">
        <v>125</v>
      </c>
      <c r="K13" s="29">
        <v>2066.11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3">
        <v>20.0</v>
      </c>
      <c r="B14" s="23" t="s">
        <v>20</v>
      </c>
      <c r="C14" s="23">
        <v>1040375.0</v>
      </c>
      <c r="D14" s="49">
        <v>46213.0</v>
      </c>
      <c r="E14" s="29">
        <v>44775.36</v>
      </c>
      <c r="F14" s="23"/>
      <c r="G14" s="23" t="s">
        <v>19</v>
      </c>
      <c r="H14" s="34"/>
      <c r="I14" s="34"/>
      <c r="J14" s="228" t="s">
        <v>126</v>
      </c>
      <c r="K14" s="229">
        <v>26291.75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3">
        <v>21.0</v>
      </c>
      <c r="B15" s="23" t="s">
        <v>20</v>
      </c>
      <c r="C15" s="23">
        <v>1040375.0</v>
      </c>
      <c r="D15" s="49">
        <v>46213.0</v>
      </c>
      <c r="E15" s="29">
        <v>123161.79</v>
      </c>
      <c r="F15" s="23"/>
      <c r="G15" s="23" t="s">
        <v>19</v>
      </c>
      <c r="H15" s="34"/>
      <c r="I15" s="34"/>
      <c r="J15" s="21" t="s">
        <v>127</v>
      </c>
      <c r="K15" s="29">
        <v>24467.36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3">
        <v>22.0</v>
      </c>
      <c r="B16" s="23" t="s">
        <v>20</v>
      </c>
      <c r="C16" s="23">
        <v>1040375.0</v>
      </c>
      <c r="D16" s="49">
        <v>46213.0</v>
      </c>
      <c r="E16" s="29">
        <v>1187.99</v>
      </c>
      <c r="F16" s="23"/>
      <c r="G16" s="23" t="s">
        <v>128</v>
      </c>
      <c r="H16" s="34"/>
      <c r="I16" s="34"/>
      <c r="J16" s="21" t="s">
        <v>129</v>
      </c>
      <c r="K16" s="29">
        <v>6508.62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3">
        <v>23.0</v>
      </c>
      <c r="B17" s="23" t="s">
        <v>20</v>
      </c>
      <c r="C17" s="23">
        <v>1040375.0</v>
      </c>
      <c r="D17" s="49">
        <v>46213.0</v>
      </c>
      <c r="E17" s="29">
        <v>1140.45</v>
      </c>
      <c r="F17" s="23"/>
      <c r="G17" s="23" t="s">
        <v>19</v>
      </c>
      <c r="H17" s="34"/>
      <c r="I17" s="34"/>
      <c r="J17" s="21" t="s">
        <v>130</v>
      </c>
      <c r="K17" s="29">
        <v>21355.42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3">
        <v>24.0</v>
      </c>
      <c r="B18" s="23" t="s">
        <v>20</v>
      </c>
      <c r="C18" s="23">
        <v>1040375.0</v>
      </c>
      <c r="D18" s="49">
        <v>46213.0</v>
      </c>
      <c r="E18" s="29">
        <v>66.05</v>
      </c>
      <c r="F18" s="23"/>
      <c r="G18" s="23" t="s">
        <v>19</v>
      </c>
      <c r="H18" s="34"/>
      <c r="I18" s="34"/>
      <c r="J18" s="23" t="s">
        <v>131</v>
      </c>
      <c r="K18" s="29">
        <v>27159.07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3">
        <v>25.0</v>
      </c>
      <c r="B19" s="23" t="s">
        <v>20</v>
      </c>
      <c r="C19" s="23">
        <v>1040375.0</v>
      </c>
      <c r="D19" s="49">
        <v>46213.0</v>
      </c>
      <c r="E19" s="29">
        <v>1163.31</v>
      </c>
      <c r="F19" s="23"/>
      <c r="G19" s="23" t="s">
        <v>19</v>
      </c>
      <c r="H19" s="34"/>
      <c r="I19" s="34"/>
      <c r="J19" s="23" t="s">
        <v>132</v>
      </c>
      <c r="K19" s="29">
        <v>21671.07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23">
        <v>26.0</v>
      </c>
      <c r="B20" s="23" t="s">
        <v>20</v>
      </c>
      <c r="C20" s="23">
        <v>1040375.0</v>
      </c>
      <c r="D20" s="49">
        <v>46213.0</v>
      </c>
      <c r="E20" s="29">
        <v>4642.97</v>
      </c>
      <c r="F20" s="23"/>
      <c r="G20" s="23" t="s">
        <v>19</v>
      </c>
      <c r="H20" s="34"/>
      <c r="I20" s="34"/>
      <c r="J20" s="23">
        <v>183504.0</v>
      </c>
      <c r="K20" s="29">
        <v>1271.51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3.5" customHeight="1">
      <c r="A21" s="23">
        <v>27.0</v>
      </c>
      <c r="B21" s="23" t="s">
        <v>20</v>
      </c>
      <c r="C21" s="23">
        <v>1040375.0</v>
      </c>
      <c r="D21" s="49">
        <v>46213.0</v>
      </c>
      <c r="E21" s="29">
        <v>1205.57</v>
      </c>
      <c r="F21" s="23"/>
      <c r="G21" s="23" t="s">
        <v>19</v>
      </c>
      <c r="H21" s="34"/>
      <c r="I21" s="34"/>
      <c r="J21" s="23">
        <v>183508.0</v>
      </c>
      <c r="K21" s="29">
        <v>44775.36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>
      <c r="A22" s="23">
        <v>28.0</v>
      </c>
      <c r="B22" s="23" t="s">
        <v>20</v>
      </c>
      <c r="C22" s="23">
        <v>1040109.0</v>
      </c>
      <c r="D22" s="49">
        <v>46213.0</v>
      </c>
      <c r="E22" s="29">
        <v>2498.77</v>
      </c>
      <c r="F22" s="23"/>
      <c r="G22" s="23" t="s">
        <v>19</v>
      </c>
      <c r="H22" s="34"/>
      <c r="I22" s="34"/>
      <c r="J22" s="23">
        <v>183594.0</v>
      </c>
      <c r="K22" s="29">
        <v>2498.77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>
      <c r="A23" s="23">
        <v>29.0</v>
      </c>
      <c r="B23" s="23" t="s">
        <v>20</v>
      </c>
      <c r="C23" s="23">
        <v>1040109.0</v>
      </c>
      <c r="D23" s="49">
        <v>46213.0</v>
      </c>
      <c r="E23" s="29">
        <v>11835.97</v>
      </c>
      <c r="F23" s="23"/>
      <c r="G23" s="23" t="s">
        <v>19</v>
      </c>
      <c r="H23" s="34"/>
      <c r="I23" s="34"/>
      <c r="J23" s="23">
        <v>183593.0</v>
      </c>
      <c r="K23" s="29">
        <v>1205.57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>
      <c r="A24" s="23">
        <v>30.0</v>
      </c>
      <c r="B24" s="23" t="s">
        <v>20</v>
      </c>
      <c r="C24" s="23">
        <v>1040109.0</v>
      </c>
      <c r="D24" s="49">
        <v>46213.0</v>
      </c>
      <c r="E24" s="29">
        <v>23414.94</v>
      </c>
      <c r="F24" s="23"/>
      <c r="G24" s="23" t="s">
        <v>19</v>
      </c>
      <c r="H24" s="34"/>
      <c r="I24" s="34"/>
      <c r="J24" s="23">
        <v>183596.0</v>
      </c>
      <c r="K24" s="29">
        <v>3409.54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>
      <c r="A25" s="23">
        <v>31.0</v>
      </c>
      <c r="B25" s="23" t="s">
        <v>20</v>
      </c>
      <c r="C25" s="23">
        <v>1040109.0</v>
      </c>
      <c r="D25" s="49">
        <v>46213.0</v>
      </c>
      <c r="E25" s="29">
        <v>21000.0</v>
      </c>
      <c r="F25" s="23"/>
      <c r="G25" s="23" t="s">
        <v>19</v>
      </c>
      <c r="H25" s="34"/>
      <c r="I25" s="34"/>
      <c r="J25" s="23">
        <v>183597.0</v>
      </c>
      <c r="K25" s="29">
        <v>1141.93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3.5" customHeight="1">
      <c r="A26" s="23">
        <v>32.0</v>
      </c>
      <c r="B26" s="23" t="s">
        <v>20</v>
      </c>
      <c r="C26" s="23">
        <v>1040375.0</v>
      </c>
      <c r="D26" s="49">
        <v>46213.0</v>
      </c>
      <c r="E26" s="29">
        <v>3409.54</v>
      </c>
      <c r="F26" s="23"/>
      <c r="G26" s="23" t="s">
        <v>19</v>
      </c>
      <c r="H26" s="34"/>
      <c r="I26" s="34"/>
      <c r="J26" s="23">
        <v>183599.0</v>
      </c>
      <c r="K26" s="29">
        <v>1320.74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>
      <c r="A27" s="23">
        <v>33.0</v>
      </c>
      <c r="B27" s="23" t="s">
        <v>20</v>
      </c>
      <c r="C27" s="23">
        <v>1040375.0</v>
      </c>
      <c r="D27" s="49">
        <v>46213.0</v>
      </c>
      <c r="E27" s="29">
        <v>1141.93</v>
      </c>
      <c r="F27" s="23"/>
      <c r="G27" s="23" t="s">
        <v>19</v>
      </c>
      <c r="H27" s="34"/>
      <c r="I27" s="34"/>
      <c r="J27" s="23">
        <v>183603.0</v>
      </c>
      <c r="K27" s="29">
        <v>916.49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>
      <c r="A28" s="23">
        <v>34.0</v>
      </c>
      <c r="B28" s="23" t="s">
        <v>20</v>
      </c>
      <c r="C28" s="23">
        <v>1040375.0</v>
      </c>
      <c r="D28" s="49">
        <v>46213.0</v>
      </c>
      <c r="E28" s="29">
        <v>1320.74</v>
      </c>
      <c r="F28" s="23"/>
      <c r="G28" s="23" t="s">
        <v>19</v>
      </c>
      <c r="H28" s="34"/>
      <c r="I28" s="34"/>
      <c r="J28" s="231">
        <v>183606.0</v>
      </c>
      <c r="K28" s="229">
        <v>1763.76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>
      <c r="A29" s="23">
        <v>35.0</v>
      </c>
      <c r="B29" s="23" t="s">
        <v>20</v>
      </c>
      <c r="C29" s="23">
        <v>1040375.0</v>
      </c>
      <c r="D29" s="49">
        <v>46213.0</v>
      </c>
      <c r="E29" s="29">
        <v>916.49</v>
      </c>
      <c r="F29" s="23"/>
      <c r="G29" s="23" t="s">
        <v>19</v>
      </c>
      <c r="H29" s="34"/>
      <c r="I29" s="34"/>
      <c r="J29" s="23">
        <v>183627.0</v>
      </c>
      <c r="K29" s="45">
        <v>1763.75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3.5" customHeight="1">
      <c r="A30" s="23">
        <v>37.0</v>
      </c>
      <c r="B30" s="23" t="s">
        <v>20</v>
      </c>
      <c r="C30" s="23">
        <v>1040109.0</v>
      </c>
      <c r="D30" s="49">
        <v>46213.0</v>
      </c>
      <c r="E30" s="29">
        <v>468.76</v>
      </c>
      <c r="F30" s="23"/>
      <c r="G30" s="23" t="s">
        <v>19</v>
      </c>
      <c r="H30" s="34"/>
      <c r="I30" s="34"/>
      <c r="J30" s="23" t="s">
        <v>133</v>
      </c>
      <c r="K30" s="29">
        <v>1179.71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3.5" customHeight="1">
      <c r="A31" s="23">
        <v>38.0</v>
      </c>
      <c r="B31" s="23" t="s">
        <v>20</v>
      </c>
      <c r="C31" s="23">
        <v>1040109.0</v>
      </c>
      <c r="D31" s="49">
        <v>46213.0</v>
      </c>
      <c r="E31" s="29">
        <v>468.76</v>
      </c>
      <c r="F31" s="23"/>
      <c r="G31" s="23" t="s">
        <v>19</v>
      </c>
      <c r="H31" s="34"/>
      <c r="I31" s="34"/>
      <c r="J31" s="23">
        <v>183692.0</v>
      </c>
      <c r="K31" s="29">
        <v>123161.79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>
      <c r="A32" s="23">
        <v>39.0</v>
      </c>
      <c r="B32" s="23" t="s">
        <v>20</v>
      </c>
      <c r="C32" s="23">
        <v>1040109.0</v>
      </c>
      <c r="D32" s="49">
        <v>46213.0</v>
      </c>
      <c r="E32" s="29">
        <v>468.76</v>
      </c>
      <c r="F32" s="33"/>
      <c r="G32" s="23" t="s">
        <v>19</v>
      </c>
      <c r="H32" s="34"/>
      <c r="I32" s="34"/>
      <c r="J32" s="34"/>
      <c r="K32" s="17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3.5" customHeight="1">
      <c r="A33" s="23">
        <v>40.0</v>
      </c>
      <c r="B33" s="23" t="s">
        <v>20</v>
      </c>
      <c r="C33" s="23">
        <v>1040109.0</v>
      </c>
      <c r="D33" s="49">
        <v>46213.0</v>
      </c>
      <c r="E33" s="29">
        <v>406.87</v>
      </c>
      <c r="F33" s="33"/>
      <c r="G33" s="23" t="s">
        <v>19</v>
      </c>
      <c r="H33" s="34"/>
      <c r="I33" s="34"/>
      <c r="J33" s="17"/>
      <c r="K33" s="17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3.5" customHeight="1">
      <c r="A34" s="23">
        <v>41.0</v>
      </c>
      <c r="B34" s="23" t="s">
        <v>20</v>
      </c>
      <c r="C34" s="23">
        <v>1040109.0</v>
      </c>
      <c r="D34" s="49">
        <v>46213.0</v>
      </c>
      <c r="E34" s="29">
        <v>9849.53</v>
      </c>
      <c r="F34" s="33"/>
      <c r="G34" s="23" t="s">
        <v>19</v>
      </c>
      <c r="H34" s="34"/>
      <c r="I34" s="34"/>
      <c r="J34" s="17"/>
      <c r="K34" s="1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3.5" customHeight="1">
      <c r="A35" s="23">
        <v>42.0</v>
      </c>
      <c r="B35" s="23" t="s">
        <v>20</v>
      </c>
      <c r="C35" s="23">
        <v>1040109.0</v>
      </c>
      <c r="D35" s="49">
        <v>46213.0</v>
      </c>
      <c r="E35" s="29">
        <v>5750.0</v>
      </c>
      <c r="F35" s="33"/>
      <c r="G35" s="23" t="s">
        <v>19</v>
      </c>
      <c r="H35" s="34"/>
      <c r="I35" s="34"/>
      <c r="J35" s="34"/>
      <c r="K35" s="17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3.5" customHeight="1">
      <c r="A36" s="23">
        <v>43.0</v>
      </c>
      <c r="B36" s="23" t="s">
        <v>20</v>
      </c>
      <c r="C36" s="23">
        <v>1040109.0</v>
      </c>
      <c r="D36" s="49">
        <v>46213.0</v>
      </c>
      <c r="E36" s="29">
        <v>10828.92</v>
      </c>
      <c r="F36" s="33"/>
      <c r="G36" s="23" t="s">
        <v>19</v>
      </c>
      <c r="H36" s="34"/>
      <c r="I36" s="34"/>
      <c r="J36" s="34"/>
      <c r="K36" s="17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3.5" customHeight="1">
      <c r="A37" s="23">
        <v>44.0</v>
      </c>
      <c r="B37" s="23" t="s">
        <v>20</v>
      </c>
      <c r="C37" s="23">
        <v>1040109.0</v>
      </c>
      <c r="D37" s="49">
        <v>46213.0</v>
      </c>
      <c r="E37" s="29">
        <v>114839.22</v>
      </c>
      <c r="F37" s="33"/>
      <c r="G37" s="23" t="s">
        <v>19</v>
      </c>
      <c r="H37" s="34"/>
      <c r="I37" s="34"/>
      <c r="J37" s="34"/>
      <c r="K37" s="17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3.5" customHeight="1">
      <c r="A38" s="23">
        <v>46.0</v>
      </c>
      <c r="B38" s="23" t="s">
        <v>20</v>
      </c>
      <c r="C38" s="23">
        <v>1040375.0</v>
      </c>
      <c r="D38" s="49">
        <v>46213.0</v>
      </c>
      <c r="E38" s="29">
        <v>1763.75</v>
      </c>
      <c r="F38" s="33"/>
      <c r="G38" s="23" t="s">
        <v>19</v>
      </c>
      <c r="H38" s="34"/>
      <c r="I38" s="34"/>
      <c r="J38" s="34"/>
      <c r="K38" s="17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3.5" customHeight="1">
      <c r="A39" s="23">
        <v>49.0</v>
      </c>
      <c r="B39" s="23" t="s">
        <v>20</v>
      </c>
      <c r="C39" s="23">
        <v>1040109.0</v>
      </c>
      <c r="D39" s="49">
        <v>46213.0</v>
      </c>
      <c r="E39" s="29">
        <v>1615.33</v>
      </c>
      <c r="F39" s="33"/>
      <c r="G39" s="23" t="s">
        <v>19</v>
      </c>
      <c r="H39" s="34"/>
      <c r="I39" s="34"/>
      <c r="J39" s="34"/>
      <c r="K39" s="17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3.5" customHeight="1">
      <c r="A40" s="23">
        <v>50.0</v>
      </c>
      <c r="B40" s="23" t="s">
        <v>20</v>
      </c>
      <c r="C40" s="23">
        <v>1040109.0</v>
      </c>
      <c r="D40" s="49">
        <v>46213.0</v>
      </c>
      <c r="E40" s="29">
        <v>450.78</v>
      </c>
      <c r="F40" s="33"/>
      <c r="G40" s="23" t="s">
        <v>19</v>
      </c>
      <c r="H40" s="34"/>
      <c r="I40" s="34"/>
      <c r="J40" s="34"/>
      <c r="K40" s="17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3.5" customHeight="1">
      <c r="A41" s="23">
        <v>57.0</v>
      </c>
      <c r="B41" s="23" t="s">
        <v>47</v>
      </c>
      <c r="C41" s="23">
        <v>1170144.0</v>
      </c>
      <c r="D41" s="49">
        <v>46213.0</v>
      </c>
      <c r="E41" s="29">
        <v>46118.66</v>
      </c>
      <c r="F41" s="33"/>
      <c r="G41" s="23" t="s">
        <v>19</v>
      </c>
      <c r="H41" s="34"/>
      <c r="I41" s="34"/>
      <c r="J41" s="34"/>
      <c r="K41" s="17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3.5" customHeight="1">
      <c r="A42" s="23">
        <v>58.0</v>
      </c>
      <c r="B42" s="23" t="s">
        <v>47</v>
      </c>
      <c r="C42" s="23">
        <v>1170144.0</v>
      </c>
      <c r="D42" s="49">
        <v>46213.0</v>
      </c>
      <c r="E42" s="29">
        <v>60131.19</v>
      </c>
      <c r="F42" s="33"/>
      <c r="G42" s="23" t="s">
        <v>19</v>
      </c>
      <c r="H42" s="34"/>
      <c r="I42" s="34"/>
      <c r="J42" s="34"/>
      <c r="K42" s="17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3.5" customHeight="1">
      <c r="A43" s="23">
        <v>64.0</v>
      </c>
      <c r="B43" s="23" t="s">
        <v>20</v>
      </c>
      <c r="C43" s="23">
        <v>1040375.0</v>
      </c>
      <c r="D43" s="49">
        <v>46213.0</v>
      </c>
      <c r="E43" s="29">
        <v>504804.85</v>
      </c>
      <c r="F43" s="33"/>
      <c r="G43" s="23" t="s">
        <v>19</v>
      </c>
      <c r="H43" s="34"/>
      <c r="I43" s="34"/>
      <c r="J43" s="34"/>
      <c r="K43" s="17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3.5" customHeight="1">
      <c r="A44" s="23">
        <v>65.0</v>
      </c>
      <c r="B44" s="23" t="s">
        <v>20</v>
      </c>
      <c r="C44" s="23">
        <v>1040375.0</v>
      </c>
      <c r="D44" s="49">
        <v>46213.0</v>
      </c>
      <c r="E44" s="29">
        <v>2637.96</v>
      </c>
      <c r="F44" s="33"/>
      <c r="G44" s="23" t="s">
        <v>19</v>
      </c>
      <c r="H44" s="34"/>
      <c r="I44" s="34"/>
      <c r="J44" s="34"/>
      <c r="K44" s="17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3.5" customHeight="1">
      <c r="A45" s="23">
        <v>79.0</v>
      </c>
      <c r="B45" s="23" t="s">
        <v>47</v>
      </c>
      <c r="C45" s="23">
        <v>1170144.0</v>
      </c>
      <c r="D45" s="49">
        <v>46213.0</v>
      </c>
      <c r="E45" s="29">
        <v>6508.62</v>
      </c>
      <c r="F45" s="33"/>
      <c r="G45" s="23" t="s">
        <v>19</v>
      </c>
      <c r="H45" s="34"/>
      <c r="I45" s="34"/>
      <c r="J45" s="34"/>
      <c r="K45" s="17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3.5" customHeight="1">
      <c r="A46" s="23">
        <v>80.0</v>
      </c>
      <c r="B46" s="23" t="s">
        <v>20</v>
      </c>
      <c r="C46" s="23">
        <v>1040109.0</v>
      </c>
      <c r="D46" s="49">
        <v>46213.0</v>
      </c>
      <c r="E46" s="29">
        <v>21671.07</v>
      </c>
      <c r="F46" s="33"/>
      <c r="G46" s="23" t="s">
        <v>19</v>
      </c>
      <c r="H46" s="34"/>
      <c r="I46" s="34"/>
      <c r="J46" s="34"/>
      <c r="K46" s="17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3.5" customHeight="1">
      <c r="A47" s="23">
        <v>83.0</v>
      </c>
      <c r="B47" s="23" t="s">
        <v>47</v>
      </c>
      <c r="C47" s="23">
        <v>1170144.0</v>
      </c>
      <c r="D47" s="49">
        <v>46213.0</v>
      </c>
      <c r="E47" s="29">
        <v>24467.36</v>
      </c>
      <c r="F47" s="33"/>
      <c r="G47" s="23" t="s">
        <v>19</v>
      </c>
      <c r="H47" s="34"/>
      <c r="I47" s="34"/>
      <c r="J47" s="34"/>
      <c r="K47" s="17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3.5" customHeight="1">
      <c r="A48" s="23">
        <v>84.0</v>
      </c>
      <c r="B48" s="23" t="s">
        <v>47</v>
      </c>
      <c r="C48" s="23">
        <v>1170144.0</v>
      </c>
      <c r="D48" s="49">
        <v>46213.0</v>
      </c>
      <c r="E48" s="29">
        <v>26291.75</v>
      </c>
      <c r="F48" s="33"/>
      <c r="G48" s="23" t="s">
        <v>134</v>
      </c>
      <c r="H48" s="34"/>
      <c r="I48" s="34"/>
      <c r="J48" s="34"/>
      <c r="K48" s="17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3.5" customHeight="1">
      <c r="A49" s="23">
        <v>85.0</v>
      </c>
      <c r="B49" s="23" t="s">
        <v>20</v>
      </c>
      <c r="C49" s="23">
        <v>1040375.0</v>
      </c>
      <c r="D49" s="49">
        <v>46213.0</v>
      </c>
      <c r="E49" s="29">
        <v>228.53</v>
      </c>
      <c r="F49" s="33"/>
      <c r="G49" s="23" t="s">
        <v>19</v>
      </c>
      <c r="H49" s="34"/>
      <c r="I49" s="34"/>
      <c r="J49" s="34"/>
      <c r="K49" s="17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3.5" customHeight="1">
      <c r="A50" s="23">
        <v>87.0</v>
      </c>
      <c r="B50" s="23" t="s">
        <v>20</v>
      </c>
      <c r="C50" s="23">
        <v>1040375.0</v>
      </c>
      <c r="D50" s="49">
        <v>46213.0</v>
      </c>
      <c r="E50" s="29">
        <v>4.6</v>
      </c>
      <c r="F50" s="33"/>
      <c r="G50" s="23" t="s">
        <v>19</v>
      </c>
      <c r="H50" s="34"/>
      <c r="I50" s="34"/>
      <c r="J50" s="34"/>
      <c r="K50" s="17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3.5" customHeight="1">
      <c r="A51" s="23">
        <v>88.0</v>
      </c>
      <c r="B51" s="23" t="s">
        <v>20</v>
      </c>
      <c r="C51" s="23">
        <v>1040375.0</v>
      </c>
      <c r="D51" s="49">
        <v>46213.0</v>
      </c>
      <c r="E51" s="29">
        <v>741.34</v>
      </c>
      <c r="F51" s="33"/>
      <c r="G51" s="23" t="s">
        <v>19</v>
      </c>
      <c r="H51" s="34"/>
      <c r="I51" s="34"/>
      <c r="J51" s="34"/>
      <c r="K51" s="17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A52" s="23">
        <v>89.0</v>
      </c>
      <c r="B52" s="23" t="s">
        <v>20</v>
      </c>
      <c r="C52" s="23">
        <v>1040375.0</v>
      </c>
      <c r="D52" s="49">
        <v>46213.0</v>
      </c>
      <c r="E52" s="29">
        <v>49.25</v>
      </c>
      <c r="F52" s="33"/>
      <c r="G52" s="23" t="s">
        <v>19</v>
      </c>
      <c r="H52" s="34"/>
      <c r="I52" s="34"/>
      <c r="J52" s="34"/>
      <c r="K52" s="17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3.5" customHeight="1">
      <c r="A53" s="23">
        <v>90.0</v>
      </c>
      <c r="B53" s="23" t="s">
        <v>20</v>
      </c>
      <c r="C53" s="23">
        <v>1040375.0</v>
      </c>
      <c r="D53" s="49">
        <v>46213.0</v>
      </c>
      <c r="E53" s="29">
        <v>1847.45</v>
      </c>
      <c r="F53" s="33"/>
      <c r="G53" s="23" t="s">
        <v>19</v>
      </c>
      <c r="H53" s="34"/>
      <c r="I53" s="34"/>
      <c r="J53" s="34"/>
      <c r="K53" s="17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3.5" customHeight="1">
      <c r="A54" s="23">
        <v>91.0</v>
      </c>
      <c r="B54" s="23" t="s">
        <v>20</v>
      </c>
      <c r="C54" s="23">
        <v>1040375.0</v>
      </c>
      <c r="D54" s="49">
        <v>46213.0</v>
      </c>
      <c r="E54" s="29">
        <v>82.58</v>
      </c>
      <c r="F54" s="33"/>
      <c r="G54" s="23" t="s">
        <v>19</v>
      </c>
      <c r="H54" s="34"/>
      <c r="I54" s="34"/>
      <c r="J54" s="34"/>
      <c r="K54" s="17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3.5" customHeight="1">
      <c r="A55" s="23">
        <v>92.0</v>
      </c>
      <c r="B55" s="23" t="s">
        <v>20</v>
      </c>
      <c r="C55" s="23">
        <v>1040375.0</v>
      </c>
      <c r="D55" s="49">
        <v>46213.0</v>
      </c>
      <c r="E55" s="29">
        <v>19.08</v>
      </c>
      <c r="F55" s="33"/>
      <c r="G55" s="23" t="s">
        <v>19</v>
      </c>
      <c r="H55" s="34"/>
      <c r="I55" s="34"/>
      <c r="J55" s="34"/>
      <c r="K55" s="17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3.5" customHeight="1">
      <c r="A56" s="23">
        <v>93.0</v>
      </c>
      <c r="B56" s="23" t="s">
        <v>20</v>
      </c>
      <c r="C56" s="23">
        <v>1040375.0</v>
      </c>
      <c r="D56" s="49">
        <v>46213.0</v>
      </c>
      <c r="E56" s="29">
        <v>1136.89</v>
      </c>
      <c r="F56" s="33"/>
      <c r="G56" s="23" t="s">
        <v>19</v>
      </c>
      <c r="H56" s="34"/>
      <c r="I56" s="34"/>
      <c r="J56" s="34"/>
      <c r="K56" s="17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3.5" customHeight="1">
      <c r="A57" s="23">
        <v>94.0</v>
      </c>
      <c r="B57" s="23" t="s">
        <v>20</v>
      </c>
      <c r="C57" s="23">
        <v>1040375.0</v>
      </c>
      <c r="D57" s="49">
        <v>46213.0</v>
      </c>
      <c r="E57" s="29">
        <v>214.73</v>
      </c>
      <c r="F57" s="33"/>
      <c r="G57" s="23" t="s">
        <v>19</v>
      </c>
      <c r="H57" s="34"/>
      <c r="I57" s="34"/>
      <c r="J57" s="34"/>
      <c r="K57" s="17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3.5" customHeight="1">
      <c r="A58" s="23">
        <v>96.0</v>
      </c>
      <c r="B58" s="23" t="s">
        <v>47</v>
      </c>
      <c r="C58" s="23">
        <v>1170144.0</v>
      </c>
      <c r="D58" s="49">
        <v>46213.0</v>
      </c>
      <c r="E58" s="29">
        <v>21355.42</v>
      </c>
      <c r="F58" s="33"/>
      <c r="G58" s="23" t="s">
        <v>19</v>
      </c>
      <c r="H58" s="34"/>
      <c r="I58" s="34"/>
      <c r="J58" s="34"/>
      <c r="K58" s="17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23">
        <v>99.0</v>
      </c>
      <c r="B59" s="23" t="s">
        <v>20</v>
      </c>
      <c r="C59" s="23">
        <v>1040109.0</v>
      </c>
      <c r="D59" s="49">
        <v>46213.0</v>
      </c>
      <c r="E59" s="29">
        <v>27159.07</v>
      </c>
      <c r="F59" s="33"/>
      <c r="G59" s="23" t="s">
        <v>19</v>
      </c>
      <c r="H59" s="34"/>
      <c r="I59" s="34"/>
      <c r="J59" s="34"/>
      <c r="K59" s="17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23">
        <v>102.0</v>
      </c>
      <c r="B60" s="23" t="s">
        <v>20</v>
      </c>
      <c r="C60" s="23">
        <v>1040109.0</v>
      </c>
      <c r="D60" s="49">
        <v>46213.0</v>
      </c>
      <c r="E60" s="29">
        <v>4109.1</v>
      </c>
      <c r="F60" s="33"/>
      <c r="G60" s="23" t="s">
        <v>19</v>
      </c>
      <c r="H60" s="34"/>
      <c r="I60" s="34"/>
      <c r="J60" s="34"/>
      <c r="K60" s="17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23">
        <v>103.0</v>
      </c>
      <c r="B61" s="23" t="s">
        <v>20</v>
      </c>
      <c r="C61" s="23">
        <v>1040109.0</v>
      </c>
      <c r="D61" s="49">
        <v>46213.0</v>
      </c>
      <c r="E61" s="29">
        <v>193.85</v>
      </c>
      <c r="F61" s="33"/>
      <c r="G61" s="23" t="s">
        <v>19</v>
      </c>
      <c r="H61" s="34"/>
      <c r="I61" s="34"/>
      <c r="J61" s="34"/>
      <c r="K61" s="17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A62" s="23">
        <v>104.0</v>
      </c>
      <c r="B62" s="23" t="s">
        <v>20</v>
      </c>
      <c r="C62" s="23">
        <v>1040109.0</v>
      </c>
      <c r="D62" s="49">
        <v>46213.0</v>
      </c>
      <c r="E62" s="29">
        <v>1944.43</v>
      </c>
      <c r="F62" s="33"/>
      <c r="G62" s="23" t="s">
        <v>19</v>
      </c>
      <c r="H62" s="34"/>
      <c r="I62" s="34"/>
      <c r="J62" s="34"/>
      <c r="K62" s="17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A63" s="23">
        <v>105.0</v>
      </c>
      <c r="B63" s="23" t="s">
        <v>20</v>
      </c>
      <c r="C63" s="23">
        <v>1040109.0</v>
      </c>
      <c r="D63" s="49">
        <v>46213.0</v>
      </c>
      <c r="E63" s="29">
        <v>719.21</v>
      </c>
      <c r="F63" s="33"/>
      <c r="G63" s="23" t="s">
        <v>19</v>
      </c>
      <c r="H63" s="34"/>
      <c r="I63" s="34"/>
      <c r="J63" s="34"/>
      <c r="K63" s="17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23">
        <v>106.0</v>
      </c>
      <c r="B64" s="23" t="s">
        <v>20</v>
      </c>
      <c r="C64" s="23">
        <v>1040109.0</v>
      </c>
      <c r="D64" s="49">
        <v>46213.0</v>
      </c>
      <c r="E64" s="29">
        <v>1840.43</v>
      </c>
      <c r="F64" s="33"/>
      <c r="G64" s="23" t="s">
        <v>19</v>
      </c>
      <c r="H64" s="34"/>
      <c r="I64" s="34"/>
      <c r="J64" s="34"/>
      <c r="K64" s="17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3.5" customHeight="1">
      <c r="A65" s="14">
        <v>120.0</v>
      </c>
      <c r="B65" s="14" t="s">
        <v>20</v>
      </c>
      <c r="C65" s="14">
        <v>1040258.0</v>
      </c>
      <c r="D65" s="16">
        <v>46213.0</v>
      </c>
      <c r="E65" s="17">
        <v>30.0</v>
      </c>
      <c r="F65" s="15"/>
      <c r="G65" s="14" t="s">
        <v>19</v>
      </c>
      <c r="H65" s="34"/>
      <c r="I65" s="34"/>
      <c r="J65" s="34"/>
      <c r="K65" s="17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3.5" customHeight="1">
      <c r="A66" s="34"/>
      <c r="B66" s="34"/>
      <c r="C66" s="34"/>
      <c r="D66" s="34"/>
      <c r="E66" s="17"/>
      <c r="F66" s="15"/>
      <c r="G66" s="34"/>
      <c r="H66" s="34"/>
      <c r="I66" s="34"/>
      <c r="J66" s="34"/>
      <c r="K66" s="17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34"/>
      <c r="B67" s="34"/>
      <c r="C67" s="34"/>
      <c r="D67" s="34"/>
      <c r="E67" s="17"/>
      <c r="F67" s="15"/>
      <c r="G67" s="34"/>
      <c r="H67" s="34"/>
      <c r="I67" s="34"/>
      <c r="J67" s="34"/>
      <c r="K67" s="17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34"/>
      <c r="B68" s="34"/>
      <c r="C68" s="34"/>
      <c r="D68" s="34"/>
      <c r="E68" s="17"/>
      <c r="F68" s="15"/>
      <c r="G68" s="34"/>
      <c r="H68" s="34"/>
      <c r="I68" s="34"/>
      <c r="J68" s="34"/>
      <c r="K68" s="17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34"/>
      <c r="B69" s="34"/>
      <c r="C69" s="34"/>
      <c r="D69" s="34"/>
      <c r="E69" s="17"/>
      <c r="F69" s="15"/>
      <c r="G69" s="34"/>
      <c r="H69" s="34"/>
      <c r="I69" s="34"/>
      <c r="J69" s="34"/>
      <c r="K69" s="17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34"/>
      <c r="B70" s="34"/>
      <c r="C70" s="34"/>
      <c r="D70" s="34"/>
      <c r="E70" s="17"/>
      <c r="F70" s="15"/>
      <c r="G70" s="34"/>
      <c r="H70" s="34"/>
      <c r="I70" s="34"/>
      <c r="J70" s="34"/>
      <c r="K70" s="17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34"/>
      <c r="B71" s="34"/>
      <c r="C71" s="34"/>
      <c r="D71" s="34"/>
      <c r="E71" s="17"/>
      <c r="F71" s="15"/>
      <c r="G71" s="34"/>
      <c r="H71" s="34"/>
      <c r="I71" s="34"/>
      <c r="J71" s="34"/>
      <c r="K71" s="17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23"/>
      <c r="B72" s="23"/>
      <c r="C72" s="23"/>
      <c r="D72" s="23"/>
      <c r="E72" s="29"/>
      <c r="F72" s="33"/>
      <c r="G72" s="23"/>
      <c r="H72" s="23"/>
      <c r="I72" s="23"/>
      <c r="J72" s="23"/>
      <c r="K72" s="29"/>
      <c r="L72" s="61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23"/>
      <c r="B73" s="23"/>
      <c r="C73" s="23"/>
      <c r="D73" s="23"/>
      <c r="E73" s="29"/>
      <c r="F73" s="33"/>
      <c r="G73" s="23"/>
      <c r="H73" s="23"/>
      <c r="I73" s="23"/>
      <c r="J73" s="23"/>
      <c r="K73" s="29"/>
      <c r="L73" s="61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23"/>
      <c r="B74" s="23"/>
      <c r="C74" s="23"/>
      <c r="D74" s="23"/>
      <c r="E74" s="29"/>
      <c r="F74" s="33"/>
      <c r="G74" s="23"/>
      <c r="H74" s="23"/>
      <c r="I74" s="23"/>
      <c r="J74" s="23"/>
      <c r="K74" s="29"/>
      <c r="L74" s="61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3.5" customHeight="1">
      <c r="A75" s="23"/>
      <c r="B75" s="23"/>
      <c r="C75" s="23"/>
      <c r="D75" s="23"/>
      <c r="E75" s="29"/>
      <c r="F75" s="33"/>
      <c r="G75" s="23"/>
      <c r="H75" s="23"/>
      <c r="I75" s="23"/>
      <c r="J75" s="23"/>
      <c r="K75" s="29"/>
      <c r="L75" s="61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23"/>
      <c r="B76" s="23"/>
      <c r="C76" s="23"/>
      <c r="D76" s="23"/>
      <c r="E76" s="29"/>
      <c r="F76" s="33"/>
      <c r="G76" s="23"/>
      <c r="H76" s="23"/>
      <c r="I76" s="23"/>
      <c r="J76" s="23"/>
      <c r="K76" s="29"/>
      <c r="L76" s="61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75"/>
      <c r="L146" s="61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J147" s="61"/>
      <c r="K147" s="75"/>
      <c r="L147" s="61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3.5" customHeight="1">
      <c r="A148" s="61"/>
      <c r="B148" s="61"/>
      <c r="C148" s="61"/>
      <c r="D148" s="61"/>
      <c r="E148" s="75"/>
      <c r="F148" s="69"/>
      <c r="G148" s="61"/>
      <c r="H148" s="61"/>
      <c r="I148" s="61"/>
      <c r="J148" s="61"/>
      <c r="K148" s="75"/>
      <c r="L148" s="61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3.5" customHeight="1">
      <c r="A149" s="61"/>
      <c r="B149" s="61"/>
      <c r="C149" s="61"/>
      <c r="D149" s="61"/>
      <c r="E149" s="75"/>
      <c r="F149" s="69"/>
      <c r="G149" s="61"/>
      <c r="H149" s="61"/>
      <c r="I149" s="61"/>
      <c r="J149" s="61"/>
      <c r="K149" s="75"/>
      <c r="L149" s="61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3.5" customHeight="1">
      <c r="A150" s="61"/>
      <c r="B150" s="61"/>
      <c r="C150" s="61"/>
      <c r="D150" s="61"/>
      <c r="E150" s="75"/>
      <c r="F150" s="69"/>
      <c r="G150" s="61"/>
      <c r="H150" s="61"/>
      <c r="I150" s="61"/>
      <c r="J150" s="61"/>
      <c r="K150" s="75"/>
      <c r="L150" s="61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3.5" customHeight="1">
      <c r="A151" s="24"/>
      <c r="B151" s="24"/>
      <c r="C151" s="24"/>
      <c r="D151" s="24"/>
      <c r="E151" s="51"/>
      <c r="F151" s="12"/>
      <c r="G151" s="24"/>
      <c r="H151" s="24"/>
      <c r="I151" s="24"/>
      <c r="J151" s="24"/>
      <c r="K151" s="51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3.5" customHeight="1">
      <c r="A152" s="24"/>
      <c r="B152" s="24"/>
      <c r="C152" s="24"/>
      <c r="D152" s="24"/>
      <c r="E152" s="51"/>
      <c r="F152" s="12"/>
      <c r="G152" s="24"/>
      <c r="H152" s="24"/>
      <c r="I152" s="24"/>
      <c r="J152" s="24"/>
      <c r="K152" s="51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3.5" customHeight="1">
      <c r="A153" s="24"/>
      <c r="B153" s="24"/>
      <c r="C153" s="24"/>
      <c r="D153" s="24"/>
      <c r="E153" s="51"/>
      <c r="F153" s="12"/>
      <c r="G153" s="24"/>
      <c r="H153" s="24"/>
      <c r="I153" s="24"/>
      <c r="J153" s="24"/>
      <c r="K153" s="51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3.5" customHeight="1">
      <c r="A154" s="24"/>
      <c r="B154" s="24"/>
      <c r="C154" s="24"/>
      <c r="D154" s="24"/>
      <c r="E154" s="51"/>
      <c r="F154" s="12"/>
      <c r="G154" s="24"/>
      <c r="H154" s="24"/>
      <c r="I154" s="24"/>
      <c r="J154" s="24"/>
      <c r="K154" s="51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3.5" customHeight="1">
      <c r="A155" s="24"/>
      <c r="B155" s="24"/>
      <c r="C155" s="24"/>
      <c r="D155" s="24"/>
      <c r="E155" s="51"/>
      <c r="F155" s="12"/>
      <c r="G155" s="24"/>
      <c r="H155" s="24"/>
      <c r="I155" s="24"/>
      <c r="J155" s="24"/>
      <c r="K155" s="51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3.5" customHeight="1">
      <c r="A156" s="24"/>
      <c r="B156" s="24"/>
      <c r="C156" s="24"/>
      <c r="D156" s="24"/>
      <c r="E156" s="51"/>
      <c r="F156" s="12"/>
      <c r="G156" s="24"/>
      <c r="H156" s="24"/>
      <c r="I156" s="24"/>
      <c r="J156" s="24"/>
      <c r="K156" s="51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3.5" customHeight="1">
      <c r="A157" s="24"/>
      <c r="B157" s="24"/>
      <c r="C157" s="24"/>
      <c r="D157" s="24"/>
      <c r="E157" s="51"/>
      <c r="F157" s="12"/>
      <c r="G157" s="24"/>
      <c r="H157" s="24"/>
      <c r="I157" s="24"/>
      <c r="J157" s="24"/>
      <c r="K157" s="51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3.5" customHeight="1">
      <c r="A158" s="24"/>
      <c r="B158" s="24"/>
      <c r="C158" s="24"/>
      <c r="D158" s="24"/>
      <c r="E158" s="51"/>
      <c r="F158" s="12"/>
      <c r="G158" s="24"/>
      <c r="H158" s="24"/>
      <c r="I158" s="24"/>
      <c r="J158" s="24"/>
      <c r="K158" s="51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3.5" customHeight="1">
      <c r="A159" s="24"/>
      <c r="B159" s="24"/>
      <c r="C159" s="24"/>
      <c r="D159" s="24"/>
      <c r="E159" s="51"/>
      <c r="F159" s="12"/>
      <c r="G159" s="24"/>
      <c r="H159" s="24"/>
      <c r="I159" s="24"/>
      <c r="J159" s="24"/>
      <c r="K159" s="51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3.5" customHeight="1">
      <c r="A160" s="24"/>
      <c r="B160" s="24"/>
      <c r="C160" s="24"/>
      <c r="D160" s="24"/>
      <c r="E160" s="51"/>
      <c r="F160" s="12"/>
      <c r="G160" s="24"/>
      <c r="H160" s="24"/>
      <c r="I160" s="24"/>
      <c r="J160" s="24"/>
      <c r="K160" s="51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3.5" customHeight="1">
      <c r="A161" s="24"/>
      <c r="B161" s="24"/>
      <c r="C161" s="24"/>
      <c r="D161" s="24"/>
      <c r="E161" s="51"/>
      <c r="F161" s="12"/>
      <c r="G161" s="24"/>
      <c r="H161" s="24"/>
      <c r="I161" s="24"/>
      <c r="J161" s="24"/>
      <c r="K161" s="51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3.5" customHeight="1">
      <c r="A162" s="24"/>
      <c r="B162" s="24"/>
      <c r="C162" s="24"/>
      <c r="D162" s="24"/>
      <c r="E162" s="51"/>
      <c r="F162" s="12"/>
      <c r="G162" s="24"/>
      <c r="H162" s="24"/>
      <c r="I162" s="24"/>
      <c r="J162" s="24"/>
      <c r="K162" s="51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3.5" customHeight="1">
      <c r="A163" s="24"/>
      <c r="B163" s="24"/>
      <c r="C163" s="24"/>
      <c r="D163" s="24"/>
      <c r="E163" s="51"/>
      <c r="F163" s="12"/>
      <c r="G163" s="24"/>
      <c r="H163" s="24"/>
      <c r="I163" s="24"/>
      <c r="J163" s="24"/>
      <c r="K163" s="51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3.5" customHeight="1">
      <c r="A164" s="24"/>
      <c r="B164" s="24"/>
      <c r="C164" s="24"/>
      <c r="D164" s="24"/>
      <c r="E164" s="51"/>
      <c r="F164" s="12"/>
      <c r="G164" s="24"/>
      <c r="H164" s="24"/>
      <c r="I164" s="24"/>
      <c r="J164" s="24"/>
      <c r="K164" s="51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3.5" customHeight="1">
      <c r="A165" s="24"/>
      <c r="B165" s="24"/>
      <c r="C165" s="24"/>
      <c r="D165" s="24"/>
      <c r="E165" s="51"/>
      <c r="F165" s="12"/>
      <c r="G165" s="24"/>
      <c r="H165" s="24"/>
      <c r="I165" s="24"/>
      <c r="J165" s="24"/>
      <c r="K165" s="51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3.5" customHeight="1">
      <c r="A166" s="24"/>
      <c r="B166" s="24"/>
      <c r="C166" s="24"/>
      <c r="D166" s="24"/>
      <c r="E166" s="51"/>
      <c r="F166" s="12"/>
      <c r="G166" s="24"/>
      <c r="H166" s="24"/>
      <c r="I166" s="24"/>
      <c r="J166" s="24"/>
      <c r="K166" s="51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3.5" customHeight="1">
      <c r="A167" s="24"/>
      <c r="B167" s="24"/>
      <c r="C167" s="24"/>
      <c r="D167" s="24"/>
      <c r="E167" s="51"/>
      <c r="F167" s="12"/>
      <c r="G167" s="24"/>
      <c r="H167" s="24"/>
      <c r="I167" s="24"/>
      <c r="J167" s="24"/>
      <c r="K167" s="51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3.5" customHeight="1">
      <c r="A168" s="24"/>
      <c r="B168" s="24"/>
      <c r="C168" s="24"/>
      <c r="D168" s="24"/>
      <c r="E168" s="51"/>
      <c r="F168" s="12"/>
      <c r="G168" s="24"/>
      <c r="H168" s="24"/>
      <c r="I168" s="24"/>
      <c r="J168" s="24"/>
      <c r="K168" s="51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3.5" customHeight="1">
      <c r="A169" s="24"/>
      <c r="B169" s="24"/>
      <c r="C169" s="24"/>
      <c r="D169" s="24"/>
      <c r="E169" s="51"/>
      <c r="F169" s="12"/>
      <c r="G169" s="24"/>
      <c r="H169" s="24"/>
      <c r="I169" s="24"/>
      <c r="J169" s="24"/>
      <c r="K169" s="51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3.5" customHeight="1">
      <c r="A170" s="24"/>
      <c r="B170" s="24"/>
      <c r="C170" s="24"/>
      <c r="D170" s="24"/>
      <c r="E170" s="51"/>
      <c r="F170" s="12"/>
      <c r="G170" s="24"/>
      <c r="H170" s="24"/>
      <c r="I170" s="24"/>
      <c r="J170" s="24"/>
      <c r="K170" s="51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3.5" customHeight="1">
      <c r="A171" s="24"/>
      <c r="B171" s="24"/>
      <c r="C171" s="24"/>
      <c r="D171" s="24"/>
      <c r="E171" s="51"/>
      <c r="F171" s="12"/>
      <c r="G171" s="24"/>
      <c r="H171" s="24"/>
      <c r="I171" s="24"/>
      <c r="J171" s="24"/>
      <c r="K171" s="51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3.5" customHeight="1">
      <c r="A172" s="24"/>
      <c r="B172" s="24"/>
      <c r="C172" s="24"/>
      <c r="D172" s="24"/>
      <c r="E172" s="51"/>
      <c r="F172" s="12"/>
      <c r="G172" s="24"/>
      <c r="H172" s="24"/>
      <c r="I172" s="24"/>
      <c r="J172" s="24"/>
      <c r="K172" s="51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3.5" customHeight="1">
      <c r="A173" s="24"/>
      <c r="B173" s="24"/>
      <c r="C173" s="24"/>
      <c r="D173" s="24"/>
      <c r="E173" s="51"/>
      <c r="F173" s="12"/>
      <c r="G173" s="24"/>
      <c r="H173" s="24"/>
      <c r="I173" s="24"/>
      <c r="J173" s="24"/>
      <c r="K173" s="51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3.5" customHeight="1">
      <c r="A174" s="24"/>
      <c r="B174" s="24"/>
      <c r="C174" s="24"/>
      <c r="D174" s="24"/>
      <c r="E174" s="51"/>
      <c r="F174" s="12"/>
      <c r="G174" s="24"/>
      <c r="H174" s="24"/>
      <c r="I174" s="24"/>
      <c r="J174" s="24"/>
      <c r="K174" s="51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3.5" customHeight="1">
      <c r="A175" s="24"/>
      <c r="B175" s="24"/>
      <c r="C175" s="24"/>
      <c r="D175" s="24"/>
      <c r="E175" s="51"/>
      <c r="F175" s="12"/>
      <c r="G175" s="24"/>
      <c r="H175" s="24"/>
      <c r="I175" s="24"/>
      <c r="J175" s="24"/>
      <c r="K175" s="51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3.5" customHeight="1">
      <c r="A176" s="24"/>
      <c r="B176" s="24"/>
      <c r="C176" s="24"/>
      <c r="D176" s="24"/>
      <c r="E176" s="51"/>
      <c r="F176" s="12"/>
      <c r="G176" s="24"/>
      <c r="H176" s="24"/>
      <c r="I176" s="24"/>
      <c r="J176" s="24"/>
      <c r="K176" s="51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3.5" customHeight="1">
      <c r="A177" s="24"/>
      <c r="B177" s="24"/>
      <c r="C177" s="24"/>
      <c r="D177" s="24"/>
      <c r="E177" s="51"/>
      <c r="F177" s="12"/>
      <c r="G177" s="24"/>
      <c r="H177" s="24"/>
      <c r="I177" s="24"/>
      <c r="J177" s="24"/>
      <c r="K177" s="51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3.5" customHeight="1">
      <c r="A178" s="24"/>
      <c r="B178" s="24"/>
      <c r="C178" s="24"/>
      <c r="D178" s="24"/>
      <c r="E178" s="51"/>
      <c r="F178" s="12"/>
      <c r="G178" s="24"/>
      <c r="H178" s="24"/>
      <c r="I178" s="24"/>
      <c r="J178" s="24"/>
      <c r="K178" s="51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3.5" customHeight="1">
      <c r="A179" s="24"/>
      <c r="B179" s="24"/>
      <c r="C179" s="24"/>
      <c r="D179" s="24"/>
      <c r="E179" s="51"/>
      <c r="F179" s="12"/>
      <c r="G179" s="24"/>
      <c r="H179" s="24"/>
      <c r="I179" s="24"/>
      <c r="J179" s="24"/>
      <c r="K179" s="51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3.5" customHeight="1">
      <c r="A180" s="24"/>
      <c r="B180" s="24"/>
      <c r="C180" s="24"/>
      <c r="D180" s="24"/>
      <c r="E180" s="51"/>
      <c r="F180" s="12"/>
      <c r="G180" s="24"/>
      <c r="H180" s="24"/>
      <c r="I180" s="24"/>
      <c r="J180" s="24"/>
      <c r="K180" s="51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3.5" customHeight="1">
      <c r="A181" s="24"/>
      <c r="B181" s="24"/>
      <c r="C181" s="24"/>
      <c r="D181" s="24"/>
      <c r="E181" s="51"/>
      <c r="F181" s="12"/>
      <c r="G181" s="24"/>
      <c r="H181" s="24"/>
      <c r="I181" s="24"/>
      <c r="J181" s="24"/>
      <c r="K181" s="51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3.5" customHeight="1">
      <c r="A182" s="24"/>
      <c r="B182" s="24"/>
      <c r="C182" s="24"/>
      <c r="D182" s="24"/>
      <c r="E182" s="51"/>
      <c r="F182" s="12"/>
      <c r="G182" s="24"/>
      <c r="H182" s="24"/>
      <c r="I182" s="24"/>
      <c r="J182" s="24"/>
      <c r="K182" s="51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3.5" customHeight="1">
      <c r="A183" s="24"/>
      <c r="B183" s="24"/>
      <c r="C183" s="24"/>
      <c r="D183" s="24"/>
      <c r="E183" s="51"/>
      <c r="F183" s="12"/>
      <c r="G183" s="24"/>
      <c r="H183" s="24"/>
      <c r="I183" s="24"/>
      <c r="J183" s="24"/>
      <c r="K183" s="51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3.5" customHeight="1">
      <c r="A184" s="24"/>
      <c r="B184" s="24"/>
      <c r="C184" s="24"/>
      <c r="D184" s="24"/>
      <c r="E184" s="51"/>
      <c r="F184" s="12"/>
      <c r="G184" s="24"/>
      <c r="H184" s="24"/>
      <c r="I184" s="24"/>
      <c r="J184" s="24"/>
      <c r="K184" s="51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3.5" customHeight="1">
      <c r="A185" s="24"/>
      <c r="B185" s="24"/>
      <c r="C185" s="24"/>
      <c r="D185" s="24"/>
      <c r="E185" s="51"/>
      <c r="F185" s="12"/>
      <c r="G185" s="24"/>
      <c r="H185" s="24"/>
      <c r="I185" s="24"/>
      <c r="J185" s="24"/>
      <c r="K185" s="51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3.5" customHeight="1">
      <c r="A186" s="24"/>
      <c r="B186" s="24"/>
      <c r="C186" s="24"/>
      <c r="D186" s="24"/>
      <c r="E186" s="51"/>
      <c r="F186" s="12"/>
      <c r="G186" s="24"/>
      <c r="H186" s="24"/>
      <c r="I186" s="24"/>
      <c r="J186" s="24"/>
      <c r="K186" s="51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3.5" customHeight="1">
      <c r="A187" s="24"/>
      <c r="B187" s="24"/>
      <c r="C187" s="24"/>
      <c r="D187" s="24"/>
      <c r="E187" s="51"/>
      <c r="F187" s="12"/>
      <c r="G187" s="24"/>
      <c r="H187" s="24"/>
      <c r="I187" s="24"/>
      <c r="J187" s="24"/>
      <c r="K187" s="51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3.5" customHeight="1">
      <c r="A188" s="24"/>
      <c r="B188" s="24"/>
      <c r="C188" s="24"/>
      <c r="D188" s="24"/>
      <c r="E188" s="51"/>
      <c r="F188" s="12"/>
      <c r="G188" s="24"/>
      <c r="H188" s="24"/>
      <c r="I188" s="24"/>
      <c r="J188" s="24"/>
      <c r="K188" s="51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3.5" customHeight="1">
      <c r="A189" s="24"/>
      <c r="B189" s="24"/>
      <c r="C189" s="24"/>
      <c r="D189" s="24"/>
      <c r="E189" s="51"/>
      <c r="F189" s="12"/>
      <c r="G189" s="24"/>
      <c r="H189" s="24"/>
      <c r="I189" s="24"/>
      <c r="J189" s="24"/>
      <c r="K189" s="51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3.5" customHeight="1">
      <c r="A190" s="24"/>
      <c r="B190" s="24"/>
      <c r="C190" s="24"/>
      <c r="D190" s="24"/>
      <c r="E190" s="51"/>
      <c r="F190" s="12"/>
      <c r="G190" s="24"/>
      <c r="H190" s="24"/>
      <c r="I190" s="24"/>
      <c r="J190" s="24"/>
      <c r="K190" s="51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3.5" customHeight="1">
      <c r="A191" s="24"/>
      <c r="B191" s="24"/>
      <c r="C191" s="24"/>
      <c r="D191" s="24"/>
      <c r="E191" s="51"/>
      <c r="F191" s="12"/>
      <c r="G191" s="24"/>
      <c r="H191" s="24"/>
      <c r="I191" s="24"/>
      <c r="J191" s="24"/>
      <c r="K191" s="51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3.5" customHeight="1">
      <c r="A192" s="24"/>
      <c r="B192" s="24"/>
      <c r="C192" s="24"/>
      <c r="D192" s="24"/>
      <c r="E192" s="51"/>
      <c r="F192" s="12"/>
      <c r="G192" s="24"/>
      <c r="H192" s="24"/>
      <c r="I192" s="24"/>
      <c r="J192" s="24"/>
      <c r="K192" s="51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3.5" customHeight="1">
      <c r="A193" s="24"/>
      <c r="B193" s="24"/>
      <c r="C193" s="24"/>
      <c r="D193" s="24"/>
      <c r="E193" s="51"/>
      <c r="F193" s="12"/>
      <c r="G193" s="24"/>
      <c r="H193" s="24"/>
      <c r="I193" s="24"/>
      <c r="J193" s="24"/>
      <c r="K193" s="51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3.5" customHeight="1">
      <c r="A194" s="24"/>
      <c r="B194" s="24"/>
      <c r="C194" s="24"/>
      <c r="D194" s="24"/>
      <c r="E194" s="51"/>
      <c r="F194" s="12"/>
      <c r="G194" s="24"/>
      <c r="H194" s="24"/>
      <c r="I194" s="24"/>
      <c r="J194" s="24"/>
      <c r="K194" s="51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3.5" customHeight="1">
      <c r="A195" s="24"/>
      <c r="B195" s="24"/>
      <c r="C195" s="24"/>
      <c r="D195" s="24"/>
      <c r="E195" s="51"/>
      <c r="F195" s="12"/>
      <c r="G195" s="24"/>
      <c r="H195" s="24"/>
      <c r="I195" s="24"/>
      <c r="J195" s="24"/>
      <c r="K195" s="51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3.5" customHeight="1">
      <c r="A196" s="24"/>
      <c r="B196" s="24"/>
      <c r="C196" s="24"/>
      <c r="D196" s="24"/>
      <c r="E196" s="51"/>
      <c r="F196" s="12"/>
      <c r="G196" s="24"/>
      <c r="H196" s="24"/>
      <c r="I196" s="24"/>
      <c r="J196" s="24"/>
      <c r="K196" s="51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3.5" customHeight="1">
      <c r="A197" s="24"/>
      <c r="B197" s="24"/>
      <c r="C197" s="24"/>
      <c r="D197" s="24"/>
      <c r="E197" s="51"/>
      <c r="F197" s="12"/>
      <c r="G197" s="24"/>
      <c r="H197" s="24"/>
      <c r="I197" s="24"/>
      <c r="J197" s="24"/>
      <c r="K197" s="51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3.5" customHeight="1">
      <c r="A198" s="24"/>
      <c r="B198" s="24"/>
      <c r="C198" s="24"/>
      <c r="D198" s="24"/>
      <c r="E198" s="51"/>
      <c r="F198" s="12"/>
      <c r="G198" s="24"/>
      <c r="H198" s="24"/>
      <c r="I198" s="24"/>
      <c r="J198" s="24"/>
      <c r="K198" s="51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3.5" customHeight="1">
      <c r="A199" s="24"/>
      <c r="B199" s="24"/>
      <c r="C199" s="24"/>
      <c r="D199" s="24"/>
      <c r="E199" s="51"/>
      <c r="F199" s="12"/>
      <c r="G199" s="24"/>
      <c r="H199" s="24"/>
      <c r="I199" s="24"/>
      <c r="J199" s="24"/>
      <c r="K199" s="51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3.5" customHeight="1">
      <c r="A200" s="24"/>
      <c r="B200" s="24"/>
      <c r="C200" s="24"/>
      <c r="D200" s="24"/>
      <c r="E200" s="51"/>
      <c r="F200" s="12"/>
      <c r="G200" s="24"/>
      <c r="H200" s="24"/>
      <c r="I200" s="24"/>
      <c r="J200" s="24"/>
      <c r="K200" s="51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3.5" customHeight="1">
      <c r="A201" s="24"/>
      <c r="B201" s="24"/>
      <c r="C201" s="24"/>
      <c r="D201" s="24"/>
      <c r="E201" s="51"/>
      <c r="F201" s="12"/>
      <c r="G201" s="24"/>
      <c r="H201" s="24"/>
      <c r="I201" s="24"/>
      <c r="J201" s="24"/>
      <c r="K201" s="51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3.5" customHeight="1">
      <c r="A202" s="24"/>
      <c r="B202" s="24"/>
      <c r="C202" s="24"/>
      <c r="D202" s="24"/>
      <c r="E202" s="51"/>
      <c r="F202" s="12"/>
      <c r="G202" s="24"/>
      <c r="H202" s="24"/>
      <c r="I202" s="24"/>
      <c r="J202" s="24"/>
      <c r="K202" s="51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3.5" customHeight="1">
      <c r="A203" s="24"/>
      <c r="B203" s="24"/>
      <c r="C203" s="24"/>
      <c r="D203" s="24"/>
      <c r="E203" s="51"/>
      <c r="F203" s="12"/>
      <c r="G203" s="24"/>
      <c r="H203" s="24"/>
      <c r="I203" s="24"/>
      <c r="J203" s="24"/>
      <c r="K203" s="51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3.5" customHeight="1">
      <c r="A204" s="24"/>
      <c r="B204" s="24"/>
      <c r="C204" s="24"/>
      <c r="D204" s="24"/>
      <c r="E204" s="51"/>
      <c r="F204" s="12"/>
      <c r="G204" s="24"/>
      <c r="H204" s="24"/>
      <c r="I204" s="24"/>
      <c r="J204" s="24"/>
      <c r="K204" s="51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3.5" customHeight="1">
      <c r="A205" s="24"/>
      <c r="B205" s="24"/>
      <c r="C205" s="24"/>
      <c r="D205" s="24"/>
      <c r="E205" s="51"/>
      <c r="F205" s="12"/>
      <c r="G205" s="24"/>
      <c r="H205" s="24"/>
      <c r="I205" s="24"/>
      <c r="J205" s="24"/>
      <c r="K205" s="51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3.5" customHeight="1">
      <c r="A206" s="24"/>
      <c r="B206" s="24"/>
      <c r="C206" s="24"/>
      <c r="D206" s="24"/>
      <c r="E206" s="51"/>
      <c r="F206" s="12"/>
      <c r="G206" s="24"/>
      <c r="H206" s="24"/>
      <c r="I206" s="24"/>
      <c r="J206" s="24"/>
      <c r="K206" s="51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3.5" customHeight="1">
      <c r="A207" s="24"/>
      <c r="B207" s="24"/>
      <c r="C207" s="24"/>
      <c r="D207" s="24"/>
      <c r="E207" s="51"/>
      <c r="F207" s="12"/>
      <c r="G207" s="24"/>
      <c r="H207" s="24"/>
      <c r="I207" s="24"/>
      <c r="J207" s="24"/>
      <c r="K207" s="51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3.5" customHeight="1">
      <c r="A208" s="24"/>
      <c r="B208" s="24"/>
      <c r="C208" s="24"/>
      <c r="D208" s="24"/>
      <c r="E208" s="51"/>
      <c r="F208" s="12"/>
      <c r="G208" s="24"/>
      <c r="H208" s="24"/>
      <c r="I208" s="24"/>
      <c r="J208" s="24"/>
      <c r="K208" s="51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3.5" customHeight="1">
      <c r="A209" s="24"/>
      <c r="B209" s="24"/>
      <c r="C209" s="24"/>
      <c r="D209" s="24"/>
      <c r="E209" s="51"/>
      <c r="F209" s="12"/>
      <c r="G209" s="24"/>
      <c r="H209" s="24"/>
      <c r="I209" s="24"/>
      <c r="J209" s="24"/>
      <c r="K209" s="51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3.5" customHeight="1">
      <c r="A210" s="24"/>
      <c r="B210" s="24"/>
      <c r="C210" s="24"/>
      <c r="D210" s="24"/>
      <c r="E210" s="51"/>
      <c r="F210" s="12"/>
      <c r="G210" s="24"/>
      <c r="H210" s="24"/>
      <c r="I210" s="24"/>
      <c r="J210" s="24"/>
      <c r="K210" s="51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3.5" customHeight="1">
      <c r="A211" s="24"/>
      <c r="B211" s="24"/>
      <c r="C211" s="24"/>
      <c r="D211" s="24"/>
      <c r="E211" s="51"/>
      <c r="F211" s="12"/>
      <c r="G211" s="24"/>
      <c r="H211" s="24"/>
      <c r="I211" s="24"/>
      <c r="J211" s="24"/>
      <c r="K211" s="51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3.5" customHeight="1">
      <c r="A212" s="24"/>
      <c r="B212" s="24"/>
      <c r="C212" s="24"/>
      <c r="D212" s="24"/>
      <c r="E212" s="51"/>
      <c r="F212" s="12"/>
      <c r="G212" s="24"/>
      <c r="H212" s="24"/>
      <c r="I212" s="24"/>
      <c r="J212" s="24"/>
      <c r="K212" s="51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3.5" customHeight="1">
      <c r="A213" s="24"/>
      <c r="B213" s="24"/>
      <c r="C213" s="24"/>
      <c r="D213" s="24"/>
      <c r="E213" s="51"/>
      <c r="F213" s="12"/>
      <c r="G213" s="24"/>
      <c r="H213" s="24"/>
      <c r="I213" s="24"/>
      <c r="J213" s="24"/>
      <c r="K213" s="51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3.5" customHeight="1">
      <c r="A214" s="24"/>
      <c r="B214" s="24"/>
      <c r="C214" s="24"/>
      <c r="D214" s="24"/>
      <c r="E214" s="51"/>
      <c r="F214" s="12"/>
      <c r="G214" s="24"/>
      <c r="H214" s="24"/>
      <c r="I214" s="24"/>
      <c r="J214" s="24"/>
      <c r="K214" s="51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3.5" customHeight="1">
      <c r="A215" s="24"/>
      <c r="B215" s="24"/>
      <c r="C215" s="24"/>
      <c r="D215" s="24"/>
      <c r="E215" s="51"/>
      <c r="F215" s="12"/>
      <c r="G215" s="24"/>
      <c r="H215" s="24"/>
      <c r="I215" s="24"/>
      <c r="J215" s="24"/>
      <c r="K215" s="51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3.5" customHeight="1">
      <c r="A216" s="24"/>
      <c r="B216" s="24"/>
      <c r="C216" s="24"/>
      <c r="D216" s="24"/>
      <c r="E216" s="51"/>
      <c r="F216" s="12"/>
      <c r="G216" s="24"/>
      <c r="H216" s="24"/>
      <c r="I216" s="24"/>
      <c r="J216" s="24"/>
      <c r="K216" s="51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3.5" customHeight="1">
      <c r="A217" s="24"/>
      <c r="B217" s="24"/>
      <c r="C217" s="24"/>
      <c r="D217" s="24"/>
      <c r="E217" s="51"/>
      <c r="F217" s="12"/>
      <c r="G217" s="24"/>
      <c r="H217" s="24"/>
      <c r="I217" s="24"/>
      <c r="J217" s="24"/>
      <c r="K217" s="51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3.5" customHeight="1">
      <c r="A218" s="24"/>
      <c r="B218" s="24"/>
      <c r="C218" s="24"/>
      <c r="D218" s="24"/>
      <c r="E218" s="51"/>
      <c r="F218" s="12"/>
      <c r="G218" s="24"/>
      <c r="H218" s="24"/>
      <c r="I218" s="24"/>
      <c r="J218" s="24"/>
      <c r="K218" s="51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3.5" customHeight="1">
      <c r="A219" s="24"/>
      <c r="B219" s="24"/>
      <c r="C219" s="24"/>
      <c r="D219" s="24"/>
      <c r="E219" s="51"/>
      <c r="F219" s="12"/>
      <c r="G219" s="24"/>
      <c r="H219" s="24"/>
      <c r="I219" s="24"/>
      <c r="J219" s="24"/>
      <c r="K219" s="51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3.5" customHeight="1">
      <c r="A220" s="24"/>
      <c r="B220" s="24"/>
      <c r="C220" s="24"/>
      <c r="D220" s="24"/>
      <c r="E220" s="51"/>
      <c r="F220" s="12"/>
      <c r="G220" s="24"/>
      <c r="H220" s="24"/>
      <c r="I220" s="24"/>
      <c r="J220" s="24"/>
      <c r="K220" s="51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3.5" customHeight="1">
      <c r="A221" s="24"/>
      <c r="B221" s="24"/>
      <c r="C221" s="24"/>
      <c r="D221" s="24"/>
      <c r="E221" s="51"/>
      <c r="F221" s="12"/>
      <c r="G221" s="24"/>
      <c r="H221" s="24"/>
      <c r="I221" s="24"/>
      <c r="J221" s="24"/>
      <c r="K221" s="51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3.5" customHeight="1">
      <c r="A222" s="24"/>
      <c r="B222" s="24"/>
      <c r="C222" s="24"/>
      <c r="D222" s="24"/>
      <c r="E222" s="51"/>
      <c r="F222" s="12"/>
      <c r="G222" s="24"/>
      <c r="H222" s="24"/>
      <c r="I222" s="24"/>
      <c r="J222" s="24"/>
      <c r="K222" s="51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3.5" customHeight="1">
      <c r="A223" s="24"/>
      <c r="B223" s="24"/>
      <c r="C223" s="24"/>
      <c r="D223" s="24"/>
      <c r="E223" s="51"/>
      <c r="F223" s="12"/>
      <c r="G223" s="24"/>
      <c r="H223" s="24"/>
      <c r="I223" s="24"/>
      <c r="J223" s="24"/>
      <c r="K223" s="51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3.5" customHeight="1">
      <c r="A224" s="24"/>
      <c r="B224" s="24"/>
      <c r="C224" s="24"/>
      <c r="D224" s="24"/>
      <c r="E224" s="51"/>
      <c r="F224" s="12"/>
      <c r="G224" s="24"/>
      <c r="H224" s="24"/>
      <c r="I224" s="24"/>
      <c r="J224" s="24"/>
      <c r="K224" s="51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3.5" customHeight="1">
      <c r="A225" s="24"/>
      <c r="B225" s="24"/>
      <c r="C225" s="24"/>
      <c r="D225" s="24"/>
      <c r="E225" s="51"/>
      <c r="F225" s="12"/>
      <c r="G225" s="24"/>
      <c r="H225" s="24"/>
      <c r="I225" s="24"/>
      <c r="J225" s="24"/>
      <c r="K225" s="51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3.5" customHeight="1">
      <c r="A226" s="24"/>
      <c r="B226" s="24"/>
      <c r="C226" s="24"/>
      <c r="D226" s="24"/>
      <c r="E226" s="51"/>
      <c r="F226" s="12"/>
      <c r="G226" s="24"/>
      <c r="H226" s="24"/>
      <c r="I226" s="24"/>
      <c r="J226" s="24"/>
      <c r="K226" s="51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3.5" customHeight="1">
      <c r="A227" s="24"/>
      <c r="B227" s="24"/>
      <c r="C227" s="24"/>
      <c r="D227" s="24"/>
      <c r="E227" s="51"/>
      <c r="F227" s="12"/>
      <c r="G227" s="24"/>
      <c r="H227" s="24"/>
      <c r="I227" s="24"/>
      <c r="J227" s="24"/>
      <c r="K227" s="51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3.5" customHeight="1">
      <c r="A228" s="24"/>
      <c r="B228" s="24"/>
      <c r="C228" s="24"/>
      <c r="D228" s="24"/>
      <c r="E228" s="51"/>
      <c r="F228" s="12"/>
      <c r="G228" s="24"/>
      <c r="H228" s="24"/>
      <c r="I228" s="24"/>
      <c r="J228" s="24"/>
      <c r="K228" s="51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3.5" customHeight="1">
      <c r="A229" s="24"/>
      <c r="B229" s="24"/>
      <c r="C229" s="24"/>
      <c r="D229" s="24"/>
      <c r="E229" s="51"/>
      <c r="F229" s="12"/>
      <c r="G229" s="24"/>
      <c r="H229" s="24"/>
      <c r="I229" s="24"/>
      <c r="J229" s="24"/>
      <c r="K229" s="51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3.5" customHeight="1">
      <c r="A230" s="24"/>
      <c r="B230" s="24"/>
      <c r="C230" s="24"/>
      <c r="D230" s="24"/>
      <c r="E230" s="51"/>
      <c r="F230" s="12"/>
      <c r="G230" s="24"/>
      <c r="H230" s="24"/>
      <c r="I230" s="24"/>
      <c r="J230" s="24"/>
      <c r="K230" s="51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3.5" customHeight="1">
      <c r="A231" s="24"/>
      <c r="B231" s="24"/>
      <c r="C231" s="24"/>
      <c r="D231" s="24"/>
      <c r="E231" s="51"/>
      <c r="F231" s="12"/>
      <c r="G231" s="24"/>
      <c r="H231" s="24"/>
      <c r="I231" s="24"/>
      <c r="J231" s="24"/>
      <c r="K231" s="51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3.5" customHeight="1">
      <c r="A232" s="24"/>
      <c r="B232" s="24"/>
      <c r="C232" s="24"/>
      <c r="D232" s="24"/>
      <c r="E232" s="51"/>
      <c r="F232" s="12"/>
      <c r="G232" s="24"/>
      <c r="H232" s="24"/>
      <c r="I232" s="24"/>
      <c r="J232" s="24"/>
      <c r="K232" s="51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3.5" customHeight="1">
      <c r="A233" s="24"/>
      <c r="B233" s="24"/>
      <c r="C233" s="24"/>
      <c r="D233" s="24"/>
      <c r="E233" s="51"/>
      <c r="F233" s="12"/>
      <c r="G233" s="24"/>
      <c r="H233" s="24"/>
      <c r="I233" s="24"/>
      <c r="J233" s="24"/>
      <c r="K233" s="51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3.5" customHeight="1">
      <c r="A234" s="24"/>
      <c r="B234" s="24"/>
      <c r="C234" s="24"/>
      <c r="D234" s="24"/>
      <c r="E234" s="51"/>
      <c r="F234" s="12"/>
      <c r="G234" s="24"/>
      <c r="H234" s="24"/>
      <c r="I234" s="24"/>
      <c r="J234" s="24"/>
      <c r="K234" s="51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3.5" customHeight="1">
      <c r="A235" s="24"/>
      <c r="B235" s="24"/>
      <c r="C235" s="24"/>
      <c r="D235" s="24"/>
      <c r="E235" s="51"/>
      <c r="F235" s="12"/>
      <c r="G235" s="24"/>
      <c r="H235" s="24"/>
      <c r="I235" s="24"/>
      <c r="J235" s="24"/>
      <c r="K235" s="51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3.5" customHeight="1">
      <c r="A236" s="24"/>
      <c r="B236" s="24"/>
      <c r="C236" s="24"/>
      <c r="D236" s="24"/>
      <c r="E236" s="51"/>
      <c r="F236" s="12"/>
      <c r="G236" s="24"/>
      <c r="H236" s="24"/>
      <c r="I236" s="24"/>
      <c r="J236" s="24"/>
      <c r="K236" s="51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3.5" customHeight="1">
      <c r="A237" s="24"/>
      <c r="B237" s="24"/>
      <c r="C237" s="24"/>
      <c r="D237" s="24"/>
      <c r="E237" s="51"/>
      <c r="F237" s="12"/>
      <c r="G237" s="24"/>
      <c r="H237" s="24"/>
      <c r="I237" s="24"/>
      <c r="J237" s="24"/>
      <c r="K237" s="51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3.5" customHeight="1">
      <c r="A238" s="24"/>
      <c r="B238" s="24"/>
      <c r="C238" s="24"/>
      <c r="D238" s="24"/>
      <c r="E238" s="51"/>
      <c r="F238" s="12"/>
      <c r="G238" s="24"/>
      <c r="H238" s="24"/>
      <c r="I238" s="24"/>
      <c r="J238" s="24"/>
      <c r="K238" s="51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3.5" customHeight="1">
      <c r="A239" s="24"/>
      <c r="B239" s="24"/>
      <c r="C239" s="24"/>
      <c r="D239" s="24"/>
      <c r="E239" s="51"/>
      <c r="F239" s="12"/>
      <c r="G239" s="24"/>
      <c r="H239" s="24"/>
      <c r="I239" s="24"/>
      <c r="J239" s="24"/>
      <c r="K239" s="51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3.5" customHeight="1">
      <c r="A240" s="24"/>
      <c r="B240" s="24"/>
      <c r="C240" s="24"/>
      <c r="D240" s="24"/>
      <c r="E240" s="51"/>
      <c r="F240" s="12"/>
      <c r="G240" s="24"/>
      <c r="H240" s="24"/>
      <c r="I240" s="24"/>
      <c r="J240" s="24"/>
      <c r="K240" s="51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3.5" customHeight="1">
      <c r="A241" s="24"/>
      <c r="B241" s="24"/>
      <c r="C241" s="24"/>
      <c r="D241" s="24"/>
      <c r="E241" s="51"/>
      <c r="F241" s="12"/>
      <c r="G241" s="24"/>
      <c r="H241" s="24"/>
      <c r="I241" s="24"/>
      <c r="J241" s="24"/>
      <c r="K241" s="51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3.5" customHeight="1">
      <c r="A242" s="24"/>
      <c r="B242" s="24"/>
      <c r="C242" s="24"/>
      <c r="D242" s="24"/>
      <c r="E242" s="51"/>
      <c r="F242" s="12"/>
      <c r="G242" s="24"/>
      <c r="H242" s="24"/>
      <c r="I242" s="24"/>
      <c r="J242" s="24"/>
      <c r="K242" s="51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3.5" customHeight="1">
      <c r="A243" s="24"/>
      <c r="B243" s="24"/>
      <c r="C243" s="24"/>
      <c r="D243" s="24"/>
      <c r="E243" s="51"/>
      <c r="F243" s="12"/>
      <c r="G243" s="24"/>
      <c r="H243" s="24"/>
      <c r="I243" s="24"/>
      <c r="J243" s="24"/>
      <c r="K243" s="51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3.5" customHeight="1">
      <c r="A244" s="24"/>
      <c r="B244" s="24"/>
      <c r="C244" s="24"/>
      <c r="D244" s="24"/>
      <c r="E244" s="51"/>
      <c r="F244" s="12"/>
      <c r="G244" s="24"/>
      <c r="H244" s="24"/>
      <c r="I244" s="24"/>
      <c r="J244" s="24"/>
      <c r="K244" s="51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3.5" customHeight="1">
      <c r="A245" s="24"/>
      <c r="B245" s="24"/>
      <c r="C245" s="24"/>
      <c r="D245" s="24"/>
      <c r="E245" s="51"/>
      <c r="F245" s="12"/>
      <c r="G245" s="24"/>
      <c r="H245" s="24"/>
      <c r="I245" s="24"/>
      <c r="J245" s="24"/>
      <c r="K245" s="51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3.5" customHeight="1">
      <c r="A246" s="24"/>
      <c r="B246" s="24"/>
      <c r="C246" s="24"/>
      <c r="D246" s="24"/>
      <c r="E246" s="51"/>
      <c r="F246" s="12"/>
      <c r="G246" s="24"/>
      <c r="H246" s="24"/>
      <c r="I246" s="24"/>
      <c r="J246" s="24"/>
      <c r="K246" s="51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3.5" customHeight="1">
      <c r="A247" s="24"/>
      <c r="B247" s="24"/>
      <c r="C247" s="24"/>
      <c r="D247" s="24"/>
      <c r="E247" s="51"/>
      <c r="F247" s="12"/>
      <c r="G247" s="24"/>
      <c r="H247" s="24"/>
      <c r="I247" s="24"/>
      <c r="J247" s="24"/>
      <c r="K247" s="51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3.5" customHeight="1">
      <c r="A248" s="24"/>
      <c r="B248" s="24"/>
      <c r="C248" s="24"/>
      <c r="D248" s="24"/>
      <c r="E248" s="51"/>
      <c r="F248" s="12"/>
      <c r="G248" s="24"/>
      <c r="H248" s="24"/>
      <c r="I248" s="24"/>
      <c r="J248" s="24"/>
      <c r="K248" s="51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3.5" customHeight="1">
      <c r="A249" s="24"/>
      <c r="B249" s="24"/>
      <c r="C249" s="24"/>
      <c r="D249" s="24"/>
      <c r="E249" s="51"/>
      <c r="F249" s="12"/>
      <c r="G249" s="24"/>
      <c r="H249" s="24"/>
      <c r="I249" s="24"/>
      <c r="J249" s="24"/>
      <c r="K249" s="51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3.5" customHeight="1">
      <c r="A250" s="24"/>
      <c r="B250" s="24"/>
      <c r="C250" s="24"/>
      <c r="D250" s="24"/>
      <c r="E250" s="51"/>
      <c r="F250" s="12"/>
      <c r="G250" s="24"/>
      <c r="H250" s="24"/>
      <c r="I250" s="24"/>
      <c r="J250" s="24"/>
      <c r="K250" s="51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3.5" customHeight="1">
      <c r="A251" s="24"/>
      <c r="B251" s="24"/>
      <c r="C251" s="24"/>
      <c r="D251" s="24"/>
      <c r="E251" s="51"/>
      <c r="F251" s="12"/>
      <c r="G251" s="24"/>
      <c r="H251" s="24"/>
      <c r="I251" s="24"/>
      <c r="J251" s="24"/>
      <c r="K251" s="51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3.5" customHeight="1">
      <c r="A252" s="24"/>
      <c r="B252" s="24"/>
      <c r="C252" s="24"/>
      <c r="D252" s="24"/>
      <c r="E252" s="51"/>
      <c r="F252" s="12"/>
      <c r="G252" s="24"/>
      <c r="H252" s="24"/>
      <c r="I252" s="24"/>
      <c r="J252" s="24"/>
      <c r="K252" s="51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3.5" customHeight="1">
      <c r="A253" s="24"/>
      <c r="B253" s="24"/>
      <c r="C253" s="24"/>
      <c r="D253" s="24"/>
      <c r="E253" s="51"/>
      <c r="F253" s="12"/>
      <c r="G253" s="24"/>
      <c r="H253" s="24"/>
      <c r="I253" s="24"/>
      <c r="J253" s="24"/>
      <c r="K253" s="51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3.5" customHeight="1">
      <c r="A254" s="24"/>
      <c r="B254" s="24"/>
      <c r="C254" s="24"/>
      <c r="D254" s="24"/>
      <c r="E254" s="51"/>
      <c r="F254" s="12"/>
      <c r="G254" s="24"/>
      <c r="H254" s="24"/>
      <c r="I254" s="24"/>
      <c r="J254" s="24"/>
      <c r="K254" s="51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3.5" customHeight="1">
      <c r="A255" s="24"/>
      <c r="B255" s="24"/>
      <c r="C255" s="24"/>
      <c r="D255" s="24"/>
      <c r="E255" s="51"/>
      <c r="F255" s="12"/>
      <c r="G255" s="24"/>
      <c r="H255" s="24"/>
      <c r="I255" s="24"/>
      <c r="J255" s="24"/>
      <c r="K255" s="51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3.5" customHeight="1">
      <c r="A256" s="24"/>
      <c r="B256" s="24"/>
      <c r="C256" s="24"/>
      <c r="D256" s="24"/>
      <c r="E256" s="51"/>
      <c r="F256" s="12"/>
      <c r="G256" s="24"/>
      <c r="H256" s="24"/>
      <c r="I256" s="24"/>
      <c r="J256" s="24"/>
      <c r="K256" s="51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3.5" customHeight="1">
      <c r="A257" s="24"/>
      <c r="B257" s="24"/>
      <c r="C257" s="24"/>
      <c r="D257" s="24"/>
      <c r="E257" s="51"/>
      <c r="F257" s="12"/>
      <c r="G257" s="24"/>
      <c r="H257" s="24"/>
      <c r="I257" s="24"/>
      <c r="J257" s="24"/>
      <c r="K257" s="51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3.5" customHeight="1">
      <c r="A258" s="24"/>
      <c r="B258" s="24"/>
      <c r="C258" s="24"/>
      <c r="D258" s="24"/>
      <c r="E258" s="51"/>
      <c r="F258" s="12"/>
      <c r="G258" s="24"/>
      <c r="H258" s="24"/>
      <c r="I258" s="24"/>
      <c r="J258" s="24"/>
      <c r="K258" s="51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3.5" customHeight="1">
      <c r="A259" s="24"/>
      <c r="B259" s="24"/>
      <c r="C259" s="24"/>
      <c r="D259" s="24"/>
      <c r="E259" s="51"/>
      <c r="F259" s="12"/>
      <c r="G259" s="24"/>
      <c r="H259" s="24"/>
      <c r="I259" s="24"/>
      <c r="J259" s="24"/>
      <c r="K259" s="51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3.5" customHeight="1">
      <c r="A260" s="24"/>
      <c r="B260" s="24"/>
      <c r="C260" s="24"/>
      <c r="D260" s="24"/>
      <c r="E260" s="51"/>
      <c r="F260" s="12"/>
      <c r="G260" s="24"/>
      <c r="H260" s="24"/>
      <c r="I260" s="24"/>
      <c r="J260" s="24"/>
      <c r="K260" s="51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3.5" customHeight="1">
      <c r="A261" s="24"/>
      <c r="B261" s="24"/>
      <c r="C261" s="24"/>
      <c r="D261" s="24"/>
      <c r="E261" s="51"/>
      <c r="F261" s="12"/>
      <c r="G261" s="24"/>
      <c r="H261" s="24"/>
      <c r="I261" s="24"/>
      <c r="J261" s="24"/>
      <c r="K261" s="51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3.5" customHeight="1">
      <c r="A262" s="24"/>
      <c r="B262" s="24"/>
      <c r="C262" s="24"/>
      <c r="D262" s="24"/>
      <c r="E262" s="51"/>
      <c r="F262" s="12"/>
      <c r="G262" s="24"/>
      <c r="H262" s="24"/>
      <c r="I262" s="24"/>
      <c r="J262" s="24"/>
      <c r="K262" s="51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3.5" customHeight="1">
      <c r="A263" s="24"/>
      <c r="B263" s="24"/>
      <c r="C263" s="24"/>
      <c r="D263" s="24"/>
      <c r="E263" s="51"/>
      <c r="F263" s="12"/>
      <c r="G263" s="24"/>
      <c r="H263" s="24"/>
      <c r="I263" s="24"/>
      <c r="J263" s="24"/>
      <c r="K263" s="51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3.5" customHeight="1">
      <c r="A264" s="24"/>
      <c r="B264" s="24"/>
      <c r="C264" s="24"/>
      <c r="D264" s="24"/>
      <c r="E264" s="51"/>
      <c r="F264" s="12"/>
      <c r="G264" s="24"/>
      <c r="H264" s="24"/>
      <c r="I264" s="24"/>
      <c r="J264" s="24"/>
      <c r="K264" s="51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3.5" customHeight="1">
      <c r="A265" s="24"/>
      <c r="B265" s="24"/>
      <c r="C265" s="24"/>
      <c r="D265" s="24"/>
      <c r="E265" s="51"/>
      <c r="F265" s="12"/>
      <c r="G265" s="24"/>
      <c r="H265" s="24"/>
      <c r="I265" s="24"/>
      <c r="J265" s="24"/>
      <c r="K265" s="51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3.5" customHeight="1">
      <c r="A266" s="24"/>
      <c r="B266" s="24"/>
      <c r="C266" s="24"/>
      <c r="D266" s="24"/>
      <c r="E266" s="51"/>
      <c r="F266" s="12"/>
      <c r="G266" s="24"/>
      <c r="H266" s="24"/>
      <c r="I266" s="24"/>
      <c r="J266" s="24"/>
      <c r="K266" s="51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3.5" customHeight="1">
      <c r="A267" s="24"/>
      <c r="B267" s="24"/>
      <c r="C267" s="24"/>
      <c r="D267" s="24"/>
      <c r="E267" s="51"/>
      <c r="F267" s="12"/>
      <c r="G267" s="24"/>
      <c r="H267" s="24"/>
      <c r="I267" s="24"/>
      <c r="J267" s="24"/>
      <c r="K267" s="51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3.5" customHeight="1">
      <c r="A268" s="24"/>
      <c r="B268" s="24"/>
      <c r="C268" s="24"/>
      <c r="D268" s="24"/>
      <c r="E268" s="51"/>
      <c r="F268" s="12"/>
      <c r="G268" s="24"/>
      <c r="H268" s="24"/>
      <c r="I268" s="24"/>
      <c r="J268" s="24"/>
      <c r="K268" s="51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3.5" customHeight="1">
      <c r="A269" s="24"/>
      <c r="B269" s="24"/>
      <c r="C269" s="24"/>
      <c r="D269" s="24"/>
      <c r="E269" s="51"/>
      <c r="F269" s="12"/>
      <c r="G269" s="24"/>
      <c r="H269" s="24"/>
      <c r="I269" s="24"/>
      <c r="J269" s="24"/>
      <c r="K269" s="51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3.5" customHeight="1">
      <c r="A270" s="24"/>
      <c r="B270" s="24"/>
      <c r="C270" s="24"/>
      <c r="D270" s="24"/>
      <c r="E270" s="51"/>
      <c r="F270" s="12"/>
      <c r="G270" s="24"/>
      <c r="H270" s="24"/>
      <c r="I270" s="24"/>
      <c r="J270" s="24"/>
      <c r="K270" s="51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3.5" customHeight="1">
      <c r="A271" s="24"/>
      <c r="B271" s="24"/>
      <c r="C271" s="24"/>
      <c r="D271" s="24"/>
      <c r="E271" s="51"/>
      <c r="F271" s="12"/>
      <c r="G271" s="24"/>
      <c r="H271" s="24"/>
      <c r="I271" s="24"/>
      <c r="J271" s="24"/>
      <c r="K271" s="51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3.5" customHeight="1">
      <c r="A272" s="24"/>
      <c r="B272" s="24"/>
      <c r="C272" s="24"/>
      <c r="D272" s="24"/>
      <c r="E272" s="51"/>
      <c r="F272" s="12"/>
      <c r="G272" s="24"/>
      <c r="H272" s="24"/>
      <c r="I272" s="24"/>
      <c r="J272" s="24"/>
      <c r="K272" s="51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3.5" customHeight="1">
      <c r="A273" s="24"/>
      <c r="B273" s="24"/>
      <c r="C273" s="24"/>
      <c r="D273" s="24"/>
      <c r="E273" s="51"/>
      <c r="F273" s="12"/>
      <c r="G273" s="24"/>
      <c r="H273" s="24"/>
      <c r="I273" s="24"/>
      <c r="J273" s="24"/>
      <c r="K273" s="51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3.5" customHeight="1">
      <c r="A274" s="24"/>
      <c r="B274" s="24"/>
      <c r="C274" s="24"/>
      <c r="D274" s="24"/>
      <c r="E274" s="51"/>
      <c r="F274" s="12"/>
      <c r="G274" s="24"/>
      <c r="H274" s="24"/>
      <c r="I274" s="24"/>
      <c r="J274" s="24"/>
      <c r="K274" s="51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3.5" customHeight="1">
      <c r="A275" s="24"/>
      <c r="B275" s="24"/>
      <c r="C275" s="24"/>
      <c r="D275" s="24"/>
      <c r="E275" s="51"/>
      <c r="F275" s="12"/>
      <c r="G275" s="24"/>
      <c r="H275" s="24"/>
      <c r="I275" s="24"/>
      <c r="J275" s="24"/>
      <c r="K275" s="51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3.5" customHeight="1">
      <c r="A276" s="24"/>
      <c r="B276" s="24"/>
      <c r="C276" s="24"/>
      <c r="D276" s="24"/>
      <c r="E276" s="51"/>
      <c r="F276" s="12"/>
      <c r="G276" s="24"/>
      <c r="H276" s="24"/>
      <c r="I276" s="24"/>
      <c r="J276" s="24"/>
      <c r="K276" s="51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3.5" customHeight="1">
      <c r="A277" s="24"/>
      <c r="B277" s="24"/>
      <c r="C277" s="24"/>
      <c r="D277" s="24"/>
      <c r="E277" s="51"/>
      <c r="F277" s="12"/>
      <c r="G277" s="24"/>
      <c r="H277" s="24"/>
      <c r="I277" s="24"/>
      <c r="J277" s="24"/>
      <c r="K277" s="51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3.5" customHeight="1">
      <c r="A278" s="24"/>
      <c r="B278" s="24"/>
      <c r="C278" s="24"/>
      <c r="D278" s="24"/>
      <c r="E278" s="51"/>
      <c r="F278" s="12"/>
      <c r="G278" s="24"/>
      <c r="H278" s="24"/>
      <c r="I278" s="24"/>
      <c r="J278" s="24"/>
      <c r="K278" s="51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3.5" customHeight="1">
      <c r="A279" s="24"/>
      <c r="B279" s="24"/>
      <c r="C279" s="24"/>
      <c r="D279" s="24"/>
      <c r="E279" s="51"/>
      <c r="F279" s="12"/>
      <c r="G279" s="24"/>
      <c r="H279" s="24"/>
      <c r="I279" s="24"/>
      <c r="J279" s="24"/>
      <c r="K279" s="51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3.5" customHeight="1">
      <c r="A280" s="24"/>
      <c r="B280" s="24"/>
      <c r="C280" s="24"/>
      <c r="D280" s="24"/>
      <c r="E280" s="51"/>
      <c r="F280" s="12"/>
      <c r="G280" s="24"/>
      <c r="H280" s="24"/>
      <c r="I280" s="24"/>
      <c r="J280" s="24"/>
      <c r="K280" s="51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3.5" customHeight="1">
      <c r="A281" s="24"/>
      <c r="B281" s="24"/>
      <c r="C281" s="24"/>
      <c r="D281" s="24"/>
      <c r="E281" s="51"/>
      <c r="F281" s="12"/>
      <c r="G281" s="24"/>
      <c r="H281" s="24"/>
      <c r="I281" s="24"/>
      <c r="J281" s="24"/>
      <c r="K281" s="51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3.5" customHeight="1">
      <c r="A282" s="24"/>
      <c r="B282" s="24"/>
      <c r="C282" s="24"/>
      <c r="D282" s="24"/>
      <c r="E282" s="51"/>
      <c r="F282" s="12"/>
      <c r="G282" s="24"/>
      <c r="H282" s="24"/>
      <c r="I282" s="24"/>
      <c r="J282" s="24"/>
      <c r="K282" s="51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3.5" customHeight="1">
      <c r="A283" s="24"/>
      <c r="B283" s="24"/>
      <c r="C283" s="24"/>
      <c r="D283" s="24"/>
      <c r="E283" s="51"/>
      <c r="F283" s="12"/>
      <c r="G283" s="24"/>
      <c r="H283" s="24"/>
      <c r="I283" s="24"/>
      <c r="J283" s="24"/>
      <c r="K283" s="51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3.5" customHeight="1">
      <c r="A284" s="24"/>
      <c r="B284" s="24"/>
      <c r="C284" s="24"/>
      <c r="D284" s="24"/>
      <c r="E284" s="51"/>
      <c r="F284" s="12"/>
      <c r="G284" s="24"/>
      <c r="H284" s="24"/>
      <c r="I284" s="24"/>
      <c r="J284" s="24"/>
      <c r="K284" s="51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3.5" customHeight="1">
      <c r="A285" s="24"/>
      <c r="B285" s="24"/>
      <c r="C285" s="24"/>
      <c r="D285" s="24"/>
      <c r="E285" s="51"/>
      <c r="F285" s="12"/>
      <c r="G285" s="24"/>
      <c r="H285" s="24"/>
      <c r="I285" s="24"/>
      <c r="J285" s="24"/>
      <c r="K285" s="51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3.5" customHeight="1">
      <c r="A286" s="24"/>
      <c r="B286" s="24"/>
      <c r="C286" s="24"/>
      <c r="D286" s="24"/>
      <c r="E286" s="51"/>
      <c r="F286" s="12"/>
      <c r="G286" s="24"/>
      <c r="H286" s="24"/>
      <c r="I286" s="24"/>
      <c r="J286" s="24"/>
      <c r="K286" s="51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3.5" customHeight="1">
      <c r="A287" s="24"/>
      <c r="B287" s="24"/>
      <c r="C287" s="24"/>
      <c r="D287" s="24"/>
      <c r="E287" s="51"/>
      <c r="F287" s="12"/>
      <c r="G287" s="24"/>
      <c r="H287" s="24"/>
      <c r="I287" s="24"/>
      <c r="J287" s="24"/>
      <c r="K287" s="51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3.5" customHeight="1">
      <c r="A288" s="24"/>
      <c r="B288" s="24"/>
      <c r="C288" s="24"/>
      <c r="D288" s="24"/>
      <c r="E288" s="51"/>
      <c r="F288" s="12"/>
      <c r="G288" s="24"/>
      <c r="H288" s="24"/>
      <c r="I288" s="24"/>
      <c r="J288" s="24"/>
      <c r="K288" s="51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3.5" customHeight="1">
      <c r="A289" s="24"/>
      <c r="B289" s="24"/>
      <c r="C289" s="24"/>
      <c r="D289" s="24"/>
      <c r="E289" s="51"/>
      <c r="F289" s="12"/>
      <c r="G289" s="24"/>
      <c r="H289" s="24"/>
      <c r="I289" s="24"/>
      <c r="J289" s="24"/>
      <c r="K289" s="51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3.5" customHeight="1">
      <c r="A290" s="24"/>
      <c r="B290" s="24"/>
      <c r="C290" s="24"/>
      <c r="D290" s="24"/>
      <c r="E290" s="51"/>
      <c r="F290" s="12"/>
      <c r="G290" s="24"/>
      <c r="H290" s="24"/>
      <c r="I290" s="24"/>
      <c r="J290" s="24"/>
      <c r="K290" s="51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3.5" customHeight="1">
      <c r="A291" s="24"/>
      <c r="B291" s="24"/>
      <c r="C291" s="24"/>
      <c r="D291" s="24"/>
      <c r="E291" s="51"/>
      <c r="F291" s="12"/>
      <c r="G291" s="24"/>
      <c r="H291" s="24"/>
      <c r="I291" s="24"/>
      <c r="J291" s="24"/>
      <c r="K291" s="51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3.5" customHeight="1">
      <c r="A292" s="24"/>
      <c r="B292" s="24"/>
      <c r="C292" s="24"/>
      <c r="D292" s="24"/>
      <c r="E292" s="51"/>
      <c r="F292" s="12"/>
      <c r="G292" s="24"/>
      <c r="H292" s="24"/>
      <c r="I292" s="24"/>
      <c r="J292" s="24"/>
      <c r="K292" s="51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3.5" customHeight="1">
      <c r="A293" s="24"/>
      <c r="B293" s="24"/>
      <c r="C293" s="24"/>
      <c r="D293" s="24"/>
      <c r="E293" s="51"/>
      <c r="F293" s="12"/>
      <c r="G293" s="24"/>
      <c r="H293" s="24"/>
      <c r="I293" s="24"/>
      <c r="J293" s="24"/>
      <c r="K293" s="51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3.5" customHeight="1">
      <c r="A294" s="24"/>
      <c r="B294" s="24"/>
      <c r="C294" s="24"/>
      <c r="D294" s="24"/>
      <c r="E294" s="51"/>
      <c r="F294" s="12"/>
      <c r="G294" s="24"/>
      <c r="H294" s="24"/>
      <c r="I294" s="24"/>
      <c r="J294" s="24"/>
      <c r="K294" s="51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3.5" customHeight="1">
      <c r="A295" s="24"/>
      <c r="B295" s="24"/>
      <c r="C295" s="24"/>
      <c r="D295" s="24"/>
      <c r="E295" s="51"/>
      <c r="F295" s="12"/>
      <c r="G295" s="24"/>
      <c r="H295" s="24"/>
      <c r="I295" s="24"/>
      <c r="J295" s="24"/>
      <c r="K295" s="51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3.5" customHeight="1">
      <c r="A296" s="24"/>
      <c r="B296" s="24"/>
      <c r="C296" s="24"/>
      <c r="D296" s="24"/>
      <c r="E296" s="51"/>
      <c r="F296" s="12"/>
      <c r="G296" s="24"/>
      <c r="H296" s="24"/>
      <c r="I296" s="24"/>
      <c r="J296" s="24"/>
      <c r="K296" s="51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3.5" customHeight="1">
      <c r="A297" s="24"/>
      <c r="B297" s="24"/>
      <c r="C297" s="24"/>
      <c r="D297" s="24"/>
      <c r="E297" s="51"/>
      <c r="F297" s="12"/>
      <c r="G297" s="24"/>
      <c r="H297" s="24"/>
      <c r="I297" s="24"/>
      <c r="J297" s="24"/>
      <c r="K297" s="51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3.5" customHeight="1">
      <c r="A298" s="24"/>
      <c r="B298" s="24"/>
      <c r="C298" s="24"/>
      <c r="D298" s="24"/>
      <c r="E298" s="51"/>
      <c r="F298" s="12"/>
      <c r="G298" s="24"/>
      <c r="H298" s="24"/>
      <c r="I298" s="24"/>
      <c r="J298" s="24"/>
      <c r="K298" s="51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3.5" customHeight="1">
      <c r="A299" s="24"/>
      <c r="B299" s="24"/>
      <c r="C299" s="24"/>
      <c r="D299" s="24"/>
      <c r="E299" s="51"/>
      <c r="F299" s="12"/>
      <c r="G299" s="24"/>
      <c r="H299" s="24"/>
      <c r="I299" s="24"/>
      <c r="J299" s="24"/>
      <c r="K299" s="51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3.5" customHeight="1">
      <c r="A300" s="24"/>
      <c r="B300" s="24"/>
      <c r="C300" s="24"/>
      <c r="D300" s="24"/>
      <c r="E300" s="51"/>
      <c r="F300" s="12"/>
      <c r="G300" s="24"/>
      <c r="H300" s="24"/>
      <c r="I300" s="24"/>
      <c r="J300" s="24"/>
      <c r="K300" s="51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3.5" customHeight="1">
      <c r="A301" s="24"/>
      <c r="B301" s="24"/>
      <c r="C301" s="24"/>
      <c r="D301" s="24"/>
      <c r="E301" s="51"/>
      <c r="F301" s="12"/>
      <c r="G301" s="24"/>
      <c r="H301" s="24"/>
      <c r="I301" s="24"/>
      <c r="J301" s="24"/>
      <c r="K301" s="51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3.5" customHeight="1">
      <c r="A302" s="24"/>
      <c r="B302" s="24"/>
      <c r="C302" s="24"/>
      <c r="D302" s="24"/>
      <c r="E302" s="51"/>
      <c r="F302" s="12"/>
      <c r="G302" s="24"/>
      <c r="H302" s="24"/>
      <c r="I302" s="24"/>
      <c r="J302" s="24"/>
      <c r="K302" s="51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3.5" customHeight="1">
      <c r="A303" s="24"/>
      <c r="B303" s="24"/>
      <c r="C303" s="24"/>
      <c r="D303" s="24"/>
      <c r="E303" s="51"/>
      <c r="F303" s="12"/>
      <c r="G303" s="24"/>
      <c r="H303" s="24"/>
      <c r="I303" s="24"/>
      <c r="J303" s="24"/>
      <c r="K303" s="51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3.5" customHeight="1">
      <c r="A304" s="24"/>
      <c r="B304" s="24"/>
      <c r="C304" s="24"/>
      <c r="D304" s="24"/>
      <c r="E304" s="51"/>
      <c r="F304" s="12"/>
      <c r="G304" s="24"/>
      <c r="H304" s="24"/>
      <c r="I304" s="24"/>
      <c r="J304" s="24"/>
      <c r="K304" s="51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3.5" customHeight="1">
      <c r="A305" s="24"/>
      <c r="B305" s="24"/>
      <c r="C305" s="24"/>
      <c r="D305" s="24"/>
      <c r="E305" s="51"/>
      <c r="F305" s="12"/>
      <c r="G305" s="24"/>
      <c r="H305" s="24"/>
      <c r="I305" s="24"/>
      <c r="J305" s="24"/>
      <c r="K305" s="51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3.5" customHeight="1">
      <c r="A306" s="24"/>
      <c r="B306" s="24"/>
      <c r="C306" s="24"/>
      <c r="D306" s="24"/>
      <c r="E306" s="51"/>
      <c r="F306" s="12"/>
      <c r="G306" s="24"/>
      <c r="H306" s="24"/>
      <c r="I306" s="24"/>
      <c r="J306" s="24"/>
      <c r="K306" s="51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3.5" customHeight="1">
      <c r="A307" s="24"/>
      <c r="B307" s="24"/>
      <c r="C307" s="24"/>
      <c r="D307" s="24"/>
      <c r="E307" s="51"/>
      <c r="F307" s="12"/>
      <c r="G307" s="24"/>
      <c r="H307" s="24"/>
      <c r="I307" s="24"/>
      <c r="J307" s="24"/>
      <c r="K307" s="51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3.5" customHeight="1">
      <c r="A308" s="24"/>
      <c r="B308" s="24"/>
      <c r="C308" s="24"/>
      <c r="D308" s="24"/>
      <c r="E308" s="51"/>
      <c r="F308" s="12"/>
      <c r="G308" s="24"/>
      <c r="H308" s="24"/>
      <c r="I308" s="24"/>
      <c r="J308" s="24"/>
      <c r="K308" s="51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3.5" customHeight="1">
      <c r="A309" s="24"/>
      <c r="B309" s="24"/>
      <c r="C309" s="24"/>
      <c r="D309" s="24"/>
      <c r="E309" s="51"/>
      <c r="F309" s="12"/>
      <c r="G309" s="24"/>
      <c r="H309" s="24"/>
      <c r="I309" s="24"/>
      <c r="J309" s="24"/>
      <c r="K309" s="51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3.5" customHeight="1">
      <c r="A310" s="24"/>
      <c r="B310" s="24"/>
      <c r="C310" s="24"/>
      <c r="D310" s="24"/>
      <c r="E310" s="51"/>
      <c r="F310" s="12"/>
      <c r="G310" s="24"/>
      <c r="H310" s="24"/>
      <c r="I310" s="24"/>
      <c r="J310" s="24"/>
      <c r="K310" s="51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3.5" customHeight="1">
      <c r="A311" s="24"/>
      <c r="B311" s="24"/>
      <c r="C311" s="24"/>
      <c r="D311" s="24"/>
      <c r="E311" s="51"/>
      <c r="F311" s="12"/>
      <c r="G311" s="24"/>
      <c r="H311" s="24"/>
      <c r="I311" s="24"/>
      <c r="J311" s="24"/>
      <c r="K311" s="51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3.5" customHeight="1">
      <c r="A312" s="24"/>
      <c r="B312" s="24"/>
      <c r="C312" s="24"/>
      <c r="D312" s="24"/>
      <c r="E312" s="51"/>
      <c r="F312" s="12"/>
      <c r="G312" s="24"/>
      <c r="H312" s="24"/>
      <c r="I312" s="24"/>
      <c r="J312" s="24"/>
      <c r="K312" s="51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3.5" customHeight="1">
      <c r="A313" s="24"/>
      <c r="B313" s="24"/>
      <c r="C313" s="24"/>
      <c r="D313" s="24"/>
      <c r="E313" s="51"/>
      <c r="F313" s="12"/>
      <c r="G313" s="24"/>
      <c r="H313" s="24"/>
      <c r="I313" s="24"/>
      <c r="J313" s="24"/>
      <c r="K313" s="51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3.5" customHeight="1">
      <c r="A314" s="24"/>
      <c r="B314" s="24"/>
      <c r="C314" s="24"/>
      <c r="D314" s="24"/>
      <c r="E314" s="51"/>
      <c r="F314" s="12"/>
      <c r="G314" s="24"/>
      <c r="H314" s="24"/>
      <c r="I314" s="24"/>
      <c r="J314" s="24"/>
      <c r="K314" s="51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3.5" customHeight="1">
      <c r="A315" s="24"/>
      <c r="B315" s="24"/>
      <c r="C315" s="24"/>
      <c r="D315" s="24"/>
      <c r="E315" s="51"/>
      <c r="F315" s="12"/>
      <c r="G315" s="24"/>
      <c r="H315" s="24"/>
      <c r="I315" s="24"/>
      <c r="J315" s="24"/>
      <c r="K315" s="51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3.5" customHeight="1">
      <c r="A316" s="24"/>
      <c r="B316" s="24"/>
      <c r="C316" s="24"/>
      <c r="D316" s="24"/>
      <c r="E316" s="51"/>
      <c r="F316" s="12"/>
      <c r="G316" s="24"/>
      <c r="H316" s="24"/>
      <c r="I316" s="24"/>
      <c r="J316" s="24"/>
      <c r="K316" s="51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3.5" customHeight="1">
      <c r="A317" s="24"/>
      <c r="B317" s="24"/>
      <c r="C317" s="24"/>
      <c r="D317" s="24"/>
      <c r="E317" s="51"/>
      <c r="F317" s="12"/>
      <c r="G317" s="24"/>
      <c r="H317" s="24"/>
      <c r="I317" s="24"/>
      <c r="J317" s="24"/>
      <c r="K317" s="51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3.5" customHeight="1">
      <c r="A318" s="24"/>
      <c r="B318" s="24"/>
      <c r="C318" s="24"/>
      <c r="D318" s="24"/>
      <c r="E318" s="51"/>
      <c r="F318" s="12"/>
      <c r="G318" s="24"/>
      <c r="H318" s="24"/>
      <c r="I318" s="24"/>
      <c r="J318" s="24"/>
      <c r="K318" s="51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3.5" customHeight="1">
      <c r="A319" s="24"/>
      <c r="B319" s="24"/>
      <c r="C319" s="24"/>
      <c r="D319" s="24"/>
      <c r="E319" s="51"/>
      <c r="F319" s="12"/>
      <c r="G319" s="24"/>
      <c r="H319" s="24"/>
      <c r="I319" s="24"/>
      <c r="J319" s="24"/>
      <c r="K319" s="51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3.5" customHeight="1">
      <c r="A320" s="24"/>
      <c r="B320" s="24"/>
      <c r="C320" s="24"/>
      <c r="D320" s="24"/>
      <c r="E320" s="51"/>
      <c r="F320" s="12"/>
      <c r="G320" s="24"/>
      <c r="H320" s="24"/>
      <c r="I320" s="24"/>
      <c r="J320" s="24"/>
      <c r="K320" s="51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3.5" customHeight="1">
      <c r="A321" s="24"/>
      <c r="B321" s="24"/>
      <c r="C321" s="24"/>
      <c r="D321" s="24"/>
      <c r="E321" s="51"/>
      <c r="F321" s="12"/>
      <c r="G321" s="24"/>
      <c r="H321" s="24"/>
      <c r="I321" s="24"/>
      <c r="J321" s="24"/>
      <c r="K321" s="51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3.5" customHeight="1">
      <c r="A322" s="24"/>
      <c r="B322" s="24"/>
      <c r="C322" s="24"/>
      <c r="D322" s="24"/>
      <c r="E322" s="51"/>
      <c r="F322" s="12"/>
      <c r="G322" s="24"/>
      <c r="H322" s="24"/>
      <c r="I322" s="24"/>
      <c r="J322" s="24"/>
      <c r="K322" s="51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3.5" customHeight="1">
      <c r="A323" s="24"/>
      <c r="B323" s="24"/>
      <c r="C323" s="24"/>
      <c r="D323" s="24"/>
      <c r="E323" s="51"/>
      <c r="F323" s="12"/>
      <c r="G323" s="24"/>
      <c r="H323" s="24"/>
      <c r="I323" s="24"/>
      <c r="J323" s="24"/>
      <c r="K323" s="51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3.5" customHeight="1">
      <c r="A324" s="24"/>
      <c r="B324" s="24"/>
      <c r="C324" s="24"/>
      <c r="D324" s="24"/>
      <c r="E324" s="51"/>
      <c r="F324" s="12"/>
      <c r="G324" s="24"/>
      <c r="H324" s="24"/>
      <c r="I324" s="24"/>
      <c r="J324" s="24"/>
      <c r="K324" s="51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3.5" customHeight="1">
      <c r="A325" s="24"/>
      <c r="B325" s="24"/>
      <c r="C325" s="24"/>
      <c r="D325" s="24"/>
      <c r="E325" s="51"/>
      <c r="F325" s="12"/>
      <c r="G325" s="24"/>
      <c r="H325" s="24"/>
      <c r="I325" s="24"/>
      <c r="J325" s="24"/>
      <c r="K325" s="51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3.5" customHeight="1">
      <c r="A326" s="24"/>
      <c r="B326" s="24"/>
      <c r="C326" s="24"/>
      <c r="D326" s="24"/>
      <c r="E326" s="51"/>
      <c r="F326" s="12"/>
      <c r="G326" s="24"/>
      <c r="H326" s="24"/>
      <c r="I326" s="24"/>
      <c r="J326" s="24"/>
      <c r="K326" s="51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3.5" customHeight="1">
      <c r="A327" s="24"/>
      <c r="B327" s="24"/>
      <c r="C327" s="24"/>
      <c r="D327" s="24"/>
      <c r="E327" s="51"/>
      <c r="F327" s="12"/>
      <c r="G327" s="24"/>
      <c r="H327" s="24"/>
      <c r="I327" s="24"/>
      <c r="J327" s="24"/>
      <c r="K327" s="51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3.5" customHeight="1">
      <c r="A328" s="24"/>
      <c r="B328" s="24"/>
      <c r="C328" s="24"/>
      <c r="D328" s="24"/>
      <c r="E328" s="51"/>
      <c r="F328" s="12"/>
      <c r="G328" s="24"/>
      <c r="H328" s="24"/>
      <c r="I328" s="24"/>
      <c r="J328" s="24"/>
      <c r="K328" s="51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3.5" customHeight="1">
      <c r="A329" s="24"/>
      <c r="B329" s="24"/>
      <c r="C329" s="24"/>
      <c r="D329" s="24"/>
      <c r="E329" s="51"/>
      <c r="F329" s="12"/>
      <c r="G329" s="24"/>
      <c r="H329" s="24"/>
      <c r="I329" s="24"/>
      <c r="J329" s="24"/>
      <c r="K329" s="51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3.5" customHeight="1">
      <c r="A330" s="24"/>
      <c r="B330" s="24"/>
      <c r="C330" s="24"/>
      <c r="D330" s="24"/>
      <c r="E330" s="51"/>
      <c r="F330" s="12"/>
      <c r="G330" s="24"/>
      <c r="H330" s="24"/>
      <c r="I330" s="24"/>
      <c r="J330" s="24"/>
      <c r="K330" s="51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3.5" customHeight="1">
      <c r="A331" s="24"/>
      <c r="B331" s="24"/>
      <c r="C331" s="24"/>
      <c r="D331" s="24"/>
      <c r="E331" s="51"/>
      <c r="F331" s="12"/>
      <c r="G331" s="24"/>
      <c r="H331" s="24"/>
      <c r="I331" s="24"/>
      <c r="J331" s="24"/>
      <c r="K331" s="51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3.5" customHeight="1">
      <c r="A332" s="24"/>
      <c r="B332" s="24"/>
      <c r="C332" s="24"/>
      <c r="D332" s="24"/>
      <c r="E332" s="51"/>
      <c r="F332" s="12"/>
      <c r="G332" s="24"/>
      <c r="H332" s="24"/>
      <c r="I332" s="24"/>
      <c r="J332" s="24"/>
      <c r="K332" s="51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3.5" customHeight="1">
      <c r="A333" s="24"/>
      <c r="B333" s="24"/>
      <c r="C333" s="24"/>
      <c r="D333" s="24"/>
      <c r="E333" s="51"/>
      <c r="F333" s="12"/>
      <c r="G333" s="24"/>
      <c r="H333" s="24"/>
      <c r="I333" s="24"/>
      <c r="J333" s="24"/>
      <c r="K333" s="51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3.5" customHeight="1">
      <c r="A334" s="24"/>
      <c r="B334" s="24"/>
      <c r="C334" s="24"/>
      <c r="D334" s="24"/>
      <c r="E334" s="51"/>
      <c r="F334" s="12"/>
      <c r="G334" s="24"/>
      <c r="H334" s="24"/>
      <c r="I334" s="24"/>
      <c r="J334" s="24"/>
      <c r="K334" s="51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3.5" customHeight="1">
      <c r="A335" s="24"/>
      <c r="B335" s="24"/>
      <c r="C335" s="24"/>
      <c r="D335" s="24"/>
      <c r="E335" s="51"/>
      <c r="F335" s="12"/>
      <c r="G335" s="24"/>
      <c r="H335" s="24"/>
      <c r="I335" s="24"/>
      <c r="J335" s="24"/>
      <c r="K335" s="51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3.5" customHeight="1">
      <c r="A336" s="24"/>
      <c r="B336" s="24"/>
      <c r="C336" s="24"/>
      <c r="D336" s="24"/>
      <c r="E336" s="51"/>
      <c r="F336" s="12"/>
      <c r="G336" s="24"/>
      <c r="H336" s="24"/>
      <c r="I336" s="24"/>
      <c r="J336" s="24"/>
      <c r="K336" s="51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3.5" customHeight="1">
      <c r="A337" s="24"/>
      <c r="B337" s="24"/>
      <c r="C337" s="24"/>
      <c r="D337" s="24"/>
      <c r="E337" s="51"/>
      <c r="F337" s="12"/>
      <c r="G337" s="24"/>
      <c r="H337" s="24"/>
      <c r="I337" s="24"/>
      <c r="J337" s="24"/>
      <c r="K337" s="51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3.5" customHeight="1">
      <c r="A338" s="24"/>
      <c r="B338" s="24"/>
      <c r="C338" s="24"/>
      <c r="D338" s="24"/>
      <c r="E338" s="51"/>
      <c r="F338" s="12"/>
      <c r="G338" s="24"/>
      <c r="H338" s="24"/>
      <c r="I338" s="24"/>
      <c r="J338" s="24"/>
      <c r="K338" s="51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3.5" customHeight="1">
      <c r="A339" s="24"/>
      <c r="B339" s="24"/>
      <c r="C339" s="24"/>
      <c r="D339" s="24"/>
      <c r="E339" s="51"/>
      <c r="F339" s="12"/>
      <c r="G339" s="24"/>
      <c r="H339" s="24"/>
      <c r="I339" s="24"/>
      <c r="J339" s="24"/>
      <c r="K339" s="51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3.5" customHeight="1">
      <c r="A340" s="24"/>
      <c r="B340" s="24"/>
      <c r="C340" s="24"/>
      <c r="D340" s="24"/>
      <c r="E340" s="51"/>
      <c r="F340" s="12"/>
      <c r="G340" s="24"/>
      <c r="H340" s="24"/>
      <c r="I340" s="24"/>
      <c r="J340" s="24"/>
      <c r="K340" s="51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3.5" customHeight="1">
      <c r="A341" s="24"/>
      <c r="B341" s="24"/>
      <c r="C341" s="24"/>
      <c r="D341" s="24"/>
      <c r="E341" s="51"/>
      <c r="F341" s="12"/>
      <c r="G341" s="24"/>
      <c r="H341" s="24"/>
      <c r="I341" s="24"/>
      <c r="J341" s="24"/>
      <c r="K341" s="51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3.5" customHeight="1">
      <c r="A342" s="24"/>
      <c r="B342" s="24"/>
      <c r="C342" s="24"/>
      <c r="D342" s="24"/>
      <c r="E342" s="51"/>
      <c r="F342" s="12"/>
      <c r="G342" s="24"/>
      <c r="H342" s="24"/>
      <c r="I342" s="24"/>
      <c r="J342" s="24"/>
      <c r="K342" s="51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3.5" customHeight="1">
      <c r="A343" s="24"/>
      <c r="B343" s="24"/>
      <c r="C343" s="24"/>
      <c r="D343" s="24"/>
      <c r="E343" s="51"/>
      <c r="F343" s="12"/>
      <c r="G343" s="24"/>
      <c r="H343" s="24"/>
      <c r="I343" s="24"/>
      <c r="J343" s="24"/>
      <c r="K343" s="51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3.5" customHeight="1">
      <c r="A344" s="24"/>
      <c r="B344" s="24"/>
      <c r="C344" s="24"/>
      <c r="D344" s="24"/>
      <c r="E344" s="51"/>
      <c r="F344" s="12"/>
      <c r="G344" s="24"/>
      <c r="H344" s="24"/>
      <c r="I344" s="24"/>
      <c r="J344" s="24"/>
      <c r="K344" s="51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3.5" customHeight="1">
      <c r="A345" s="24"/>
      <c r="B345" s="24"/>
      <c r="C345" s="24"/>
      <c r="D345" s="24"/>
      <c r="E345" s="51"/>
      <c r="F345" s="12"/>
      <c r="G345" s="24"/>
      <c r="H345" s="24"/>
      <c r="I345" s="24"/>
      <c r="J345" s="24"/>
      <c r="K345" s="51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3.5" customHeight="1">
      <c r="A346" s="24"/>
      <c r="B346" s="24"/>
      <c r="C346" s="24"/>
      <c r="D346" s="24"/>
      <c r="E346" s="51"/>
      <c r="F346" s="12"/>
      <c r="G346" s="24"/>
      <c r="H346" s="24"/>
      <c r="I346" s="24"/>
      <c r="J346" s="24"/>
      <c r="K346" s="51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3.5" customHeight="1">
      <c r="A347" s="24"/>
      <c r="B347" s="24"/>
      <c r="C347" s="24"/>
      <c r="D347" s="24"/>
      <c r="E347" s="51"/>
      <c r="F347" s="12"/>
      <c r="G347" s="24"/>
      <c r="H347" s="24"/>
      <c r="I347" s="24"/>
      <c r="J347" s="24"/>
      <c r="K347" s="51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3.5" customHeight="1">
      <c r="A348" s="24"/>
      <c r="B348" s="24"/>
      <c r="C348" s="24"/>
      <c r="D348" s="24"/>
      <c r="E348" s="51"/>
      <c r="F348" s="12"/>
      <c r="G348" s="24"/>
      <c r="H348" s="24"/>
      <c r="I348" s="24"/>
      <c r="J348" s="24"/>
      <c r="K348" s="51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3.5" customHeight="1">
      <c r="A349" s="24"/>
      <c r="B349" s="24"/>
      <c r="C349" s="24"/>
      <c r="D349" s="24"/>
      <c r="E349" s="51"/>
      <c r="F349" s="12"/>
      <c r="G349" s="24"/>
      <c r="H349" s="24"/>
      <c r="I349" s="24"/>
      <c r="J349" s="24"/>
      <c r="K349" s="51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3.5" customHeight="1">
      <c r="A350" s="24"/>
      <c r="B350" s="24"/>
      <c r="C350" s="24"/>
      <c r="D350" s="24"/>
      <c r="E350" s="51"/>
      <c r="F350" s="12"/>
      <c r="G350" s="24"/>
      <c r="H350" s="24"/>
      <c r="I350" s="24"/>
      <c r="J350" s="24"/>
      <c r="K350" s="51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3.5" customHeight="1">
      <c r="A351" s="24"/>
      <c r="B351" s="24"/>
      <c r="C351" s="24"/>
      <c r="D351" s="24"/>
      <c r="E351" s="51"/>
      <c r="F351" s="12"/>
      <c r="G351" s="24"/>
      <c r="H351" s="24"/>
      <c r="I351" s="24"/>
      <c r="J351" s="24"/>
      <c r="K351" s="51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3.5" customHeight="1">
      <c r="A352" s="24"/>
      <c r="B352" s="24"/>
      <c r="C352" s="24"/>
      <c r="D352" s="24"/>
      <c r="E352" s="51"/>
      <c r="F352" s="12"/>
      <c r="G352" s="24"/>
      <c r="H352" s="24"/>
      <c r="I352" s="24"/>
      <c r="J352" s="24"/>
      <c r="K352" s="51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3.5" customHeight="1">
      <c r="A353" s="24"/>
      <c r="B353" s="24"/>
      <c r="C353" s="24"/>
      <c r="D353" s="24"/>
      <c r="E353" s="51"/>
      <c r="F353" s="12"/>
      <c r="G353" s="24"/>
      <c r="H353" s="24"/>
      <c r="I353" s="24"/>
      <c r="J353" s="24"/>
      <c r="K353" s="51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3.5" customHeight="1">
      <c r="A354" s="24"/>
      <c r="B354" s="24"/>
      <c r="C354" s="24"/>
      <c r="D354" s="24"/>
      <c r="E354" s="51"/>
      <c r="F354" s="12"/>
      <c r="G354" s="24"/>
      <c r="H354" s="24"/>
      <c r="I354" s="24"/>
      <c r="J354" s="24"/>
      <c r="K354" s="51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3.5" customHeight="1">
      <c r="A355" s="24"/>
      <c r="B355" s="24"/>
      <c r="C355" s="24"/>
      <c r="D355" s="24"/>
      <c r="E355" s="51"/>
      <c r="F355" s="12"/>
      <c r="G355" s="24"/>
      <c r="H355" s="24"/>
      <c r="I355" s="24"/>
      <c r="J355" s="24"/>
      <c r="K355" s="51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3.5" customHeight="1">
      <c r="A356" s="24"/>
      <c r="B356" s="24"/>
      <c r="C356" s="24"/>
      <c r="D356" s="24"/>
      <c r="E356" s="51"/>
      <c r="F356" s="12"/>
      <c r="G356" s="24"/>
      <c r="H356" s="24"/>
      <c r="I356" s="24"/>
      <c r="J356" s="24"/>
      <c r="K356" s="51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3.5" customHeight="1">
      <c r="A357" s="24"/>
      <c r="B357" s="24"/>
      <c r="C357" s="24"/>
      <c r="D357" s="24"/>
      <c r="E357" s="51"/>
      <c r="F357" s="12"/>
      <c r="G357" s="24"/>
      <c r="H357" s="24"/>
      <c r="I357" s="24"/>
      <c r="J357" s="24"/>
      <c r="K357" s="51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3.5" customHeight="1">
      <c r="A358" s="24"/>
      <c r="B358" s="24"/>
      <c r="C358" s="24"/>
      <c r="D358" s="24"/>
      <c r="E358" s="51"/>
      <c r="F358" s="12"/>
      <c r="G358" s="24"/>
      <c r="H358" s="24"/>
      <c r="I358" s="24"/>
      <c r="J358" s="24"/>
      <c r="K358" s="51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3.5" customHeight="1">
      <c r="A359" s="24"/>
      <c r="B359" s="24"/>
      <c r="C359" s="24"/>
      <c r="D359" s="24"/>
      <c r="E359" s="51"/>
      <c r="F359" s="12"/>
      <c r="G359" s="24"/>
      <c r="H359" s="24"/>
      <c r="I359" s="24"/>
      <c r="J359" s="24"/>
      <c r="K359" s="51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3.5" customHeight="1">
      <c r="A360" s="24"/>
      <c r="B360" s="24"/>
      <c r="C360" s="24"/>
      <c r="D360" s="24"/>
      <c r="E360" s="51"/>
      <c r="F360" s="12"/>
      <c r="G360" s="24"/>
      <c r="H360" s="24"/>
      <c r="I360" s="24"/>
      <c r="J360" s="24"/>
      <c r="K360" s="51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3.5" customHeight="1">
      <c r="A361" s="24"/>
      <c r="B361" s="24"/>
      <c r="C361" s="24"/>
      <c r="D361" s="24"/>
      <c r="E361" s="51"/>
      <c r="F361" s="12"/>
      <c r="G361" s="24"/>
      <c r="H361" s="24"/>
      <c r="I361" s="24"/>
      <c r="J361" s="24"/>
      <c r="K361" s="51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3.5" customHeight="1">
      <c r="A362" s="24"/>
      <c r="B362" s="24"/>
      <c r="C362" s="24"/>
      <c r="D362" s="24"/>
      <c r="E362" s="51"/>
      <c r="F362" s="12"/>
      <c r="G362" s="24"/>
      <c r="H362" s="24"/>
      <c r="I362" s="24"/>
      <c r="J362" s="24"/>
      <c r="K362" s="51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3.5" customHeight="1">
      <c r="A363" s="24"/>
      <c r="B363" s="24"/>
      <c r="C363" s="24"/>
      <c r="D363" s="24"/>
      <c r="E363" s="51"/>
      <c r="F363" s="12"/>
      <c r="G363" s="24"/>
      <c r="H363" s="24"/>
      <c r="I363" s="24"/>
      <c r="J363" s="24"/>
      <c r="K363" s="51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3.5" customHeight="1">
      <c r="A364" s="24"/>
      <c r="B364" s="24"/>
      <c r="C364" s="24"/>
      <c r="D364" s="24"/>
      <c r="E364" s="51"/>
      <c r="F364" s="12"/>
      <c r="G364" s="24"/>
      <c r="H364" s="24"/>
      <c r="I364" s="24"/>
      <c r="J364" s="24"/>
      <c r="K364" s="51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3.5" customHeight="1">
      <c r="A365" s="24"/>
      <c r="B365" s="24"/>
      <c r="C365" s="24"/>
      <c r="D365" s="24"/>
      <c r="E365" s="51"/>
      <c r="F365" s="12"/>
      <c r="G365" s="24"/>
      <c r="H365" s="24"/>
      <c r="I365" s="24"/>
      <c r="J365" s="24"/>
      <c r="K365" s="51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3.5" customHeight="1">
      <c r="A366" s="24"/>
      <c r="B366" s="24"/>
      <c r="C366" s="24"/>
      <c r="D366" s="24"/>
      <c r="E366" s="51"/>
      <c r="F366" s="12"/>
      <c r="G366" s="24"/>
      <c r="H366" s="24"/>
      <c r="I366" s="24"/>
      <c r="J366" s="24"/>
      <c r="K366" s="51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3.5" customHeight="1">
      <c r="A367" s="24"/>
      <c r="B367" s="24"/>
      <c r="C367" s="24"/>
      <c r="D367" s="24"/>
      <c r="E367" s="51"/>
      <c r="F367" s="12"/>
      <c r="G367" s="24"/>
      <c r="H367" s="24"/>
      <c r="I367" s="24"/>
      <c r="J367" s="24"/>
      <c r="K367" s="51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3.5" customHeight="1">
      <c r="A368" s="24"/>
      <c r="B368" s="24"/>
      <c r="C368" s="24"/>
      <c r="D368" s="24"/>
      <c r="E368" s="51"/>
      <c r="F368" s="12"/>
      <c r="G368" s="24"/>
      <c r="H368" s="24"/>
      <c r="I368" s="24"/>
      <c r="J368" s="24"/>
      <c r="K368" s="51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3.5" customHeight="1">
      <c r="A369" s="24"/>
      <c r="B369" s="24"/>
      <c r="C369" s="24"/>
      <c r="D369" s="24"/>
      <c r="E369" s="51"/>
      <c r="F369" s="12"/>
      <c r="G369" s="24"/>
      <c r="H369" s="24"/>
      <c r="I369" s="24"/>
      <c r="J369" s="24"/>
      <c r="K369" s="51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3.5" customHeight="1">
      <c r="A370" s="24"/>
      <c r="B370" s="24"/>
      <c r="C370" s="24"/>
      <c r="D370" s="24"/>
      <c r="E370" s="51"/>
      <c r="F370" s="12"/>
      <c r="G370" s="24"/>
      <c r="H370" s="24"/>
      <c r="I370" s="24"/>
      <c r="J370" s="24"/>
      <c r="K370" s="51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3.5" customHeight="1">
      <c r="A371" s="24"/>
      <c r="B371" s="24"/>
      <c r="C371" s="24"/>
      <c r="D371" s="24"/>
      <c r="E371" s="51"/>
      <c r="F371" s="12"/>
      <c r="G371" s="24"/>
      <c r="H371" s="24"/>
      <c r="I371" s="24"/>
      <c r="J371" s="24"/>
      <c r="K371" s="51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3.5" customHeight="1">
      <c r="A372" s="24"/>
      <c r="B372" s="24"/>
      <c r="C372" s="24"/>
      <c r="D372" s="24"/>
      <c r="E372" s="51"/>
      <c r="F372" s="12"/>
      <c r="G372" s="24"/>
      <c r="H372" s="24"/>
      <c r="I372" s="24"/>
      <c r="J372" s="24"/>
      <c r="K372" s="51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3.5" customHeight="1">
      <c r="A373" s="24"/>
      <c r="B373" s="24"/>
      <c r="C373" s="24"/>
      <c r="D373" s="24"/>
      <c r="E373" s="51"/>
      <c r="F373" s="12"/>
      <c r="G373" s="24"/>
      <c r="H373" s="24"/>
      <c r="I373" s="24"/>
      <c r="J373" s="24"/>
      <c r="K373" s="51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3.5" customHeight="1">
      <c r="A374" s="24"/>
      <c r="B374" s="24"/>
      <c r="C374" s="24"/>
      <c r="D374" s="24"/>
      <c r="E374" s="51"/>
      <c r="F374" s="12"/>
      <c r="G374" s="24"/>
      <c r="H374" s="24"/>
      <c r="I374" s="24"/>
      <c r="J374" s="24"/>
      <c r="K374" s="51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3.5" customHeight="1">
      <c r="A375" s="24"/>
      <c r="B375" s="24"/>
      <c r="C375" s="24"/>
      <c r="D375" s="24"/>
      <c r="E375" s="51"/>
      <c r="F375" s="12"/>
      <c r="G375" s="24"/>
      <c r="H375" s="24"/>
      <c r="I375" s="24"/>
      <c r="J375" s="24"/>
      <c r="K375" s="51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3.5" customHeight="1">
      <c r="A376" s="24"/>
      <c r="B376" s="24"/>
      <c r="C376" s="24"/>
      <c r="D376" s="24"/>
      <c r="E376" s="51"/>
      <c r="F376" s="12"/>
      <c r="G376" s="24"/>
      <c r="H376" s="24"/>
      <c r="I376" s="24"/>
      <c r="J376" s="24"/>
      <c r="K376" s="51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3.5" customHeight="1">
      <c r="A377" s="24"/>
      <c r="B377" s="24"/>
      <c r="C377" s="24"/>
      <c r="D377" s="24"/>
      <c r="E377" s="51"/>
      <c r="F377" s="12"/>
      <c r="G377" s="24"/>
      <c r="H377" s="24"/>
      <c r="I377" s="24"/>
      <c r="J377" s="24"/>
      <c r="K377" s="51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3.5" customHeight="1">
      <c r="A378" s="24"/>
      <c r="B378" s="24"/>
      <c r="C378" s="24"/>
      <c r="D378" s="24"/>
      <c r="E378" s="51"/>
      <c r="F378" s="12"/>
      <c r="G378" s="24"/>
      <c r="H378" s="24"/>
      <c r="I378" s="24"/>
      <c r="J378" s="24"/>
      <c r="K378" s="51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3.5" customHeight="1">
      <c r="A379" s="24"/>
      <c r="B379" s="24"/>
      <c r="C379" s="24"/>
      <c r="D379" s="24"/>
      <c r="E379" s="51"/>
      <c r="F379" s="12"/>
      <c r="G379" s="24"/>
      <c r="H379" s="24"/>
      <c r="I379" s="24"/>
      <c r="J379" s="24"/>
      <c r="K379" s="51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3.5" customHeight="1">
      <c r="A380" s="24"/>
      <c r="B380" s="24"/>
      <c r="C380" s="24"/>
      <c r="D380" s="24"/>
      <c r="E380" s="51"/>
      <c r="F380" s="12"/>
      <c r="G380" s="24"/>
      <c r="H380" s="24"/>
      <c r="I380" s="24"/>
      <c r="J380" s="24"/>
      <c r="K380" s="51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3.5" customHeight="1">
      <c r="A381" s="24"/>
      <c r="B381" s="24"/>
      <c r="C381" s="24"/>
      <c r="D381" s="24"/>
      <c r="E381" s="51"/>
      <c r="F381" s="12"/>
      <c r="G381" s="24"/>
      <c r="H381" s="24"/>
      <c r="I381" s="24"/>
      <c r="J381" s="24"/>
      <c r="K381" s="51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3.5" customHeight="1">
      <c r="A382" s="24"/>
      <c r="B382" s="24"/>
      <c r="C382" s="24"/>
      <c r="D382" s="24"/>
      <c r="E382" s="51"/>
      <c r="F382" s="12"/>
      <c r="G382" s="24"/>
      <c r="H382" s="24"/>
      <c r="I382" s="24"/>
      <c r="J382" s="24"/>
      <c r="K382" s="51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3.5" customHeight="1">
      <c r="A383" s="24"/>
      <c r="B383" s="24"/>
      <c r="C383" s="24"/>
      <c r="D383" s="24"/>
      <c r="E383" s="51"/>
      <c r="F383" s="12"/>
      <c r="G383" s="24"/>
      <c r="H383" s="24"/>
      <c r="I383" s="24"/>
      <c r="J383" s="24"/>
      <c r="K383" s="51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3.5" customHeight="1">
      <c r="A384" s="24"/>
      <c r="B384" s="24"/>
      <c r="C384" s="24"/>
      <c r="D384" s="24"/>
      <c r="E384" s="51"/>
      <c r="F384" s="12"/>
      <c r="G384" s="24"/>
      <c r="H384" s="24"/>
      <c r="I384" s="24"/>
      <c r="J384" s="24"/>
      <c r="K384" s="51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3.5" customHeight="1">
      <c r="A385" s="24"/>
      <c r="B385" s="24"/>
      <c r="C385" s="24"/>
      <c r="D385" s="24"/>
      <c r="E385" s="51"/>
      <c r="F385" s="12"/>
      <c r="G385" s="24"/>
      <c r="H385" s="24"/>
      <c r="I385" s="24"/>
      <c r="J385" s="24"/>
      <c r="K385" s="51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3.5" customHeight="1">
      <c r="A386" s="24"/>
      <c r="B386" s="24"/>
      <c r="C386" s="24"/>
      <c r="D386" s="24"/>
      <c r="E386" s="51"/>
      <c r="F386" s="12"/>
      <c r="G386" s="24"/>
      <c r="H386" s="24"/>
      <c r="I386" s="24"/>
      <c r="J386" s="24"/>
      <c r="K386" s="51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3.5" customHeight="1">
      <c r="A387" s="24"/>
      <c r="B387" s="24"/>
      <c r="C387" s="24"/>
      <c r="D387" s="24"/>
      <c r="E387" s="51"/>
      <c r="F387" s="12"/>
      <c r="G387" s="24"/>
      <c r="H387" s="24"/>
      <c r="I387" s="24"/>
      <c r="J387" s="24"/>
      <c r="K387" s="51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3.5" customHeight="1">
      <c r="A388" s="24"/>
      <c r="B388" s="24"/>
      <c r="C388" s="24"/>
      <c r="D388" s="24"/>
      <c r="E388" s="51"/>
      <c r="F388" s="12"/>
      <c r="G388" s="24"/>
      <c r="H388" s="24"/>
      <c r="I388" s="24"/>
      <c r="J388" s="24"/>
      <c r="K388" s="51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3.5" customHeight="1">
      <c r="A389" s="24"/>
      <c r="B389" s="24"/>
      <c r="C389" s="24"/>
      <c r="D389" s="24"/>
      <c r="E389" s="51"/>
      <c r="F389" s="12"/>
      <c r="G389" s="24"/>
      <c r="H389" s="24"/>
      <c r="I389" s="24"/>
      <c r="J389" s="24"/>
      <c r="K389" s="51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3.5" customHeight="1">
      <c r="A390" s="24"/>
      <c r="B390" s="24"/>
      <c r="C390" s="24"/>
      <c r="D390" s="24"/>
      <c r="E390" s="51"/>
      <c r="F390" s="12"/>
      <c r="G390" s="24"/>
      <c r="H390" s="24"/>
      <c r="I390" s="24"/>
      <c r="J390" s="24"/>
      <c r="K390" s="51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3.5" customHeight="1">
      <c r="A391" s="24"/>
      <c r="B391" s="24"/>
      <c r="C391" s="24"/>
      <c r="D391" s="24"/>
      <c r="E391" s="51"/>
      <c r="F391" s="12"/>
      <c r="G391" s="24"/>
      <c r="H391" s="24"/>
      <c r="I391" s="24"/>
      <c r="J391" s="24"/>
      <c r="K391" s="51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3.5" customHeight="1">
      <c r="A392" s="24"/>
      <c r="B392" s="24"/>
      <c r="C392" s="24"/>
      <c r="D392" s="24"/>
      <c r="E392" s="51"/>
      <c r="F392" s="12"/>
      <c r="G392" s="24"/>
      <c r="H392" s="24"/>
      <c r="I392" s="24"/>
      <c r="J392" s="24"/>
      <c r="K392" s="51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3.5" customHeight="1">
      <c r="A393" s="24"/>
      <c r="B393" s="24"/>
      <c r="C393" s="24"/>
      <c r="D393" s="24"/>
      <c r="E393" s="51"/>
      <c r="F393" s="12"/>
      <c r="G393" s="24"/>
      <c r="H393" s="24"/>
      <c r="I393" s="24"/>
      <c r="J393" s="24"/>
      <c r="K393" s="51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3.5" customHeight="1">
      <c r="A394" s="24"/>
      <c r="B394" s="24"/>
      <c r="C394" s="24"/>
      <c r="D394" s="24"/>
      <c r="E394" s="51"/>
      <c r="F394" s="12"/>
      <c r="G394" s="24"/>
      <c r="H394" s="24"/>
      <c r="I394" s="24"/>
      <c r="J394" s="24"/>
      <c r="K394" s="51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3.5" customHeight="1">
      <c r="A395" s="24"/>
      <c r="B395" s="24"/>
      <c r="C395" s="24"/>
      <c r="D395" s="24"/>
      <c r="E395" s="51"/>
      <c r="F395" s="12"/>
      <c r="G395" s="24"/>
      <c r="H395" s="24"/>
      <c r="I395" s="24"/>
      <c r="J395" s="24"/>
      <c r="K395" s="51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3.5" customHeight="1">
      <c r="A396" s="24"/>
      <c r="B396" s="24"/>
      <c r="C396" s="24"/>
      <c r="D396" s="24"/>
      <c r="E396" s="51"/>
      <c r="F396" s="12"/>
      <c r="G396" s="24"/>
      <c r="H396" s="24"/>
      <c r="I396" s="24"/>
      <c r="J396" s="24"/>
      <c r="K396" s="51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3.5" customHeight="1">
      <c r="A397" s="24"/>
      <c r="B397" s="24"/>
      <c r="C397" s="24"/>
      <c r="D397" s="24"/>
      <c r="E397" s="51"/>
      <c r="F397" s="12"/>
      <c r="G397" s="24"/>
      <c r="H397" s="24"/>
      <c r="I397" s="24"/>
      <c r="J397" s="24"/>
      <c r="K397" s="51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3.5" customHeight="1">
      <c r="A398" s="24"/>
      <c r="B398" s="24"/>
      <c r="C398" s="24"/>
      <c r="D398" s="24"/>
      <c r="E398" s="51"/>
      <c r="F398" s="12"/>
      <c r="G398" s="24"/>
      <c r="H398" s="24"/>
      <c r="I398" s="24"/>
      <c r="J398" s="24"/>
      <c r="K398" s="51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3.5" customHeight="1">
      <c r="A399" s="24"/>
      <c r="B399" s="24"/>
      <c r="C399" s="24"/>
      <c r="D399" s="24"/>
      <c r="E399" s="51"/>
      <c r="F399" s="12"/>
      <c r="G399" s="24"/>
      <c r="H399" s="24"/>
      <c r="I399" s="24"/>
      <c r="J399" s="24"/>
      <c r="K399" s="51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3.5" customHeight="1">
      <c r="A400" s="24"/>
      <c r="B400" s="24"/>
      <c r="C400" s="24"/>
      <c r="D400" s="24"/>
      <c r="E400" s="51"/>
      <c r="F400" s="12"/>
      <c r="G400" s="24"/>
      <c r="H400" s="24"/>
      <c r="I400" s="24"/>
      <c r="J400" s="24"/>
      <c r="K400" s="51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3.5" customHeight="1">
      <c r="A401" s="24"/>
      <c r="B401" s="24"/>
      <c r="C401" s="24"/>
      <c r="D401" s="24"/>
      <c r="E401" s="51"/>
      <c r="F401" s="12"/>
      <c r="G401" s="24"/>
      <c r="H401" s="24"/>
      <c r="I401" s="24"/>
      <c r="J401" s="24"/>
      <c r="K401" s="51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3.5" customHeight="1">
      <c r="A402" s="24"/>
      <c r="B402" s="24"/>
      <c r="C402" s="24"/>
      <c r="D402" s="24"/>
      <c r="E402" s="51"/>
      <c r="F402" s="12"/>
      <c r="G402" s="24"/>
      <c r="H402" s="24"/>
      <c r="I402" s="24"/>
      <c r="J402" s="24"/>
      <c r="K402" s="51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3.5" customHeight="1">
      <c r="A403" s="24"/>
      <c r="B403" s="24"/>
      <c r="C403" s="24"/>
      <c r="D403" s="24"/>
      <c r="E403" s="51"/>
      <c r="F403" s="12"/>
      <c r="G403" s="24"/>
      <c r="H403" s="24"/>
      <c r="I403" s="24"/>
      <c r="J403" s="24"/>
      <c r="K403" s="51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3.5" customHeight="1">
      <c r="A404" s="24"/>
      <c r="B404" s="24"/>
      <c r="C404" s="24"/>
      <c r="D404" s="24"/>
      <c r="E404" s="51"/>
      <c r="F404" s="12"/>
      <c r="G404" s="24"/>
      <c r="H404" s="24"/>
      <c r="I404" s="24"/>
      <c r="J404" s="24"/>
      <c r="K404" s="51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3.5" customHeight="1">
      <c r="A405" s="24"/>
      <c r="B405" s="24"/>
      <c r="C405" s="24"/>
      <c r="D405" s="24"/>
      <c r="E405" s="51"/>
      <c r="F405" s="12"/>
      <c r="G405" s="24"/>
      <c r="H405" s="24"/>
      <c r="I405" s="24"/>
      <c r="J405" s="24"/>
      <c r="K405" s="51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3.5" customHeight="1">
      <c r="A406" s="24"/>
      <c r="B406" s="24"/>
      <c r="C406" s="24"/>
      <c r="D406" s="24"/>
      <c r="E406" s="51"/>
      <c r="F406" s="12"/>
      <c r="G406" s="24"/>
      <c r="H406" s="24"/>
      <c r="I406" s="24"/>
      <c r="J406" s="24"/>
      <c r="K406" s="51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3.5" customHeight="1">
      <c r="A407" s="24"/>
      <c r="B407" s="24"/>
      <c r="C407" s="24"/>
      <c r="D407" s="24"/>
      <c r="E407" s="51"/>
      <c r="F407" s="12"/>
      <c r="G407" s="24"/>
      <c r="H407" s="24"/>
      <c r="I407" s="24"/>
      <c r="J407" s="24"/>
      <c r="K407" s="51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3.5" customHeight="1">
      <c r="A408" s="24"/>
      <c r="B408" s="24"/>
      <c r="C408" s="24"/>
      <c r="D408" s="24"/>
      <c r="E408" s="51"/>
      <c r="F408" s="12"/>
      <c r="G408" s="24"/>
      <c r="H408" s="24"/>
      <c r="I408" s="24"/>
      <c r="J408" s="24"/>
      <c r="K408" s="51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3.5" customHeight="1">
      <c r="A409" s="24"/>
      <c r="B409" s="24"/>
      <c r="C409" s="24"/>
      <c r="D409" s="24"/>
      <c r="E409" s="51"/>
      <c r="F409" s="12"/>
      <c r="G409" s="24"/>
      <c r="H409" s="24"/>
      <c r="I409" s="24"/>
      <c r="J409" s="24"/>
      <c r="K409" s="51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3.5" customHeight="1">
      <c r="A410" s="24"/>
      <c r="B410" s="24"/>
      <c r="C410" s="24"/>
      <c r="D410" s="24"/>
      <c r="E410" s="51"/>
      <c r="F410" s="12"/>
      <c r="G410" s="24"/>
      <c r="H410" s="24"/>
      <c r="I410" s="24"/>
      <c r="J410" s="24"/>
      <c r="K410" s="51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3.5" customHeight="1">
      <c r="A411" s="24"/>
      <c r="B411" s="24"/>
      <c r="C411" s="24"/>
      <c r="D411" s="24"/>
      <c r="E411" s="51"/>
      <c r="F411" s="12"/>
      <c r="G411" s="24"/>
      <c r="H411" s="24"/>
      <c r="I411" s="24"/>
      <c r="J411" s="24"/>
      <c r="K411" s="51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3.5" customHeight="1">
      <c r="A412" s="24"/>
      <c r="B412" s="24"/>
      <c r="C412" s="24"/>
      <c r="D412" s="24"/>
      <c r="E412" s="51"/>
      <c r="F412" s="12"/>
      <c r="G412" s="24"/>
      <c r="H412" s="24"/>
      <c r="I412" s="24"/>
      <c r="J412" s="24"/>
      <c r="K412" s="51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3.5" customHeight="1">
      <c r="A413" s="24"/>
      <c r="B413" s="24"/>
      <c r="C413" s="24"/>
      <c r="D413" s="24"/>
      <c r="E413" s="51"/>
      <c r="F413" s="12"/>
      <c r="G413" s="24"/>
      <c r="H413" s="24"/>
      <c r="I413" s="24"/>
      <c r="J413" s="24"/>
      <c r="K413" s="51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3.5" customHeight="1">
      <c r="A414" s="24"/>
      <c r="B414" s="24"/>
      <c r="C414" s="24"/>
      <c r="D414" s="24"/>
      <c r="E414" s="51"/>
      <c r="F414" s="12"/>
      <c r="G414" s="24"/>
      <c r="H414" s="24"/>
      <c r="I414" s="24"/>
      <c r="J414" s="24"/>
      <c r="K414" s="51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3.5" customHeight="1">
      <c r="A415" s="24"/>
      <c r="B415" s="24"/>
      <c r="C415" s="24"/>
      <c r="D415" s="24"/>
      <c r="E415" s="51"/>
      <c r="F415" s="12"/>
      <c r="G415" s="24"/>
      <c r="H415" s="24"/>
      <c r="I415" s="24"/>
      <c r="J415" s="24"/>
      <c r="K415" s="51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3.5" customHeight="1">
      <c r="A416" s="24"/>
      <c r="B416" s="24"/>
      <c r="C416" s="24"/>
      <c r="D416" s="24"/>
      <c r="E416" s="51"/>
      <c r="F416" s="12"/>
      <c r="G416" s="24"/>
      <c r="H416" s="24"/>
      <c r="I416" s="24"/>
      <c r="J416" s="24"/>
      <c r="K416" s="51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3.5" customHeight="1">
      <c r="A417" s="24"/>
      <c r="B417" s="24"/>
      <c r="C417" s="24"/>
      <c r="D417" s="24"/>
      <c r="E417" s="51"/>
      <c r="F417" s="12"/>
      <c r="G417" s="24"/>
      <c r="H417" s="24"/>
      <c r="I417" s="24"/>
      <c r="J417" s="24"/>
      <c r="K417" s="51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3.5" customHeight="1">
      <c r="A418" s="24"/>
      <c r="B418" s="24"/>
      <c r="C418" s="24"/>
      <c r="D418" s="24"/>
      <c r="E418" s="51"/>
      <c r="F418" s="12"/>
      <c r="G418" s="24"/>
      <c r="H418" s="24"/>
      <c r="I418" s="24"/>
      <c r="J418" s="24"/>
      <c r="K418" s="51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3.5" customHeight="1">
      <c r="A419" s="24"/>
      <c r="B419" s="24"/>
      <c r="C419" s="24"/>
      <c r="D419" s="24"/>
      <c r="E419" s="51"/>
      <c r="F419" s="12"/>
      <c r="G419" s="24"/>
      <c r="H419" s="24"/>
      <c r="I419" s="24"/>
      <c r="J419" s="24"/>
      <c r="K419" s="51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3.5" customHeight="1">
      <c r="A420" s="24"/>
      <c r="B420" s="24"/>
      <c r="C420" s="24"/>
      <c r="D420" s="24"/>
      <c r="E420" s="51"/>
      <c r="F420" s="12"/>
      <c r="G420" s="24"/>
      <c r="H420" s="24"/>
      <c r="I420" s="24"/>
      <c r="J420" s="24"/>
      <c r="K420" s="51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3.5" customHeight="1">
      <c r="A421" s="24"/>
      <c r="B421" s="24"/>
      <c r="C421" s="24"/>
      <c r="D421" s="24"/>
      <c r="E421" s="51"/>
      <c r="F421" s="12"/>
      <c r="G421" s="24"/>
      <c r="H421" s="24"/>
      <c r="I421" s="24"/>
      <c r="J421" s="24"/>
      <c r="K421" s="51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3.5" customHeight="1">
      <c r="A422" s="24"/>
      <c r="B422" s="24"/>
      <c r="C422" s="24"/>
      <c r="D422" s="24"/>
      <c r="E422" s="51"/>
      <c r="F422" s="12"/>
      <c r="G422" s="24"/>
      <c r="H422" s="24"/>
      <c r="I422" s="24"/>
      <c r="J422" s="24"/>
      <c r="K422" s="51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3.5" customHeight="1">
      <c r="A423" s="24"/>
      <c r="B423" s="24"/>
      <c r="C423" s="24"/>
      <c r="D423" s="24"/>
      <c r="E423" s="51"/>
      <c r="F423" s="12"/>
      <c r="G423" s="24"/>
      <c r="H423" s="24"/>
      <c r="I423" s="24"/>
      <c r="J423" s="24"/>
      <c r="K423" s="51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3.5" customHeight="1">
      <c r="A424" s="24"/>
      <c r="B424" s="24"/>
      <c r="C424" s="24"/>
      <c r="D424" s="24"/>
      <c r="E424" s="51"/>
      <c r="F424" s="12"/>
      <c r="G424" s="24"/>
      <c r="H424" s="24"/>
      <c r="I424" s="24"/>
      <c r="J424" s="24"/>
      <c r="K424" s="51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3.5" customHeight="1">
      <c r="A425" s="24"/>
      <c r="B425" s="24"/>
      <c r="C425" s="24"/>
      <c r="D425" s="24"/>
      <c r="E425" s="51"/>
      <c r="F425" s="12"/>
      <c r="G425" s="24"/>
      <c r="H425" s="24"/>
      <c r="I425" s="24"/>
      <c r="J425" s="24"/>
      <c r="K425" s="51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3.5" customHeight="1">
      <c r="A426" s="24"/>
      <c r="B426" s="24"/>
      <c r="C426" s="24"/>
      <c r="D426" s="24"/>
      <c r="E426" s="51"/>
      <c r="F426" s="12"/>
      <c r="G426" s="24"/>
      <c r="H426" s="24"/>
      <c r="I426" s="24"/>
      <c r="J426" s="24"/>
      <c r="K426" s="51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3.5" customHeight="1">
      <c r="A427" s="24"/>
      <c r="B427" s="24"/>
      <c r="C427" s="24"/>
      <c r="D427" s="24"/>
      <c r="E427" s="51"/>
      <c r="F427" s="12"/>
      <c r="G427" s="24"/>
      <c r="H427" s="24"/>
      <c r="I427" s="24"/>
      <c r="J427" s="24"/>
      <c r="K427" s="51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3.5" customHeight="1">
      <c r="A428" s="24"/>
      <c r="B428" s="24"/>
      <c r="C428" s="24"/>
      <c r="D428" s="24"/>
      <c r="E428" s="51"/>
      <c r="F428" s="12"/>
      <c r="G428" s="24"/>
      <c r="H428" s="24"/>
      <c r="I428" s="24"/>
      <c r="J428" s="24"/>
      <c r="K428" s="51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3.5" customHeight="1">
      <c r="A429" s="24"/>
      <c r="B429" s="24"/>
      <c r="C429" s="24"/>
      <c r="D429" s="24"/>
      <c r="E429" s="51"/>
      <c r="F429" s="12"/>
      <c r="G429" s="24"/>
      <c r="H429" s="24"/>
      <c r="I429" s="24"/>
      <c r="J429" s="24"/>
      <c r="K429" s="51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3.5" customHeight="1">
      <c r="A430" s="24"/>
      <c r="B430" s="24"/>
      <c r="C430" s="24"/>
      <c r="D430" s="24"/>
      <c r="E430" s="51"/>
      <c r="F430" s="12"/>
      <c r="G430" s="24"/>
      <c r="H430" s="24"/>
      <c r="I430" s="24"/>
      <c r="J430" s="24"/>
      <c r="K430" s="51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3.5" customHeight="1">
      <c r="A431" s="24"/>
      <c r="B431" s="24"/>
      <c r="C431" s="24"/>
      <c r="D431" s="24"/>
      <c r="E431" s="51"/>
      <c r="F431" s="12"/>
      <c r="G431" s="24"/>
      <c r="H431" s="24"/>
      <c r="I431" s="24"/>
      <c r="J431" s="24"/>
      <c r="K431" s="51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3.5" customHeight="1">
      <c r="A432" s="24"/>
      <c r="B432" s="24"/>
      <c r="C432" s="24"/>
      <c r="D432" s="24"/>
      <c r="E432" s="51"/>
      <c r="F432" s="12"/>
      <c r="G432" s="24"/>
      <c r="H432" s="24"/>
      <c r="I432" s="24"/>
      <c r="J432" s="24"/>
      <c r="K432" s="51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3.5" customHeight="1">
      <c r="A433" s="24"/>
      <c r="B433" s="24"/>
      <c r="C433" s="24"/>
      <c r="D433" s="24"/>
      <c r="E433" s="51"/>
      <c r="F433" s="12"/>
      <c r="G433" s="24"/>
      <c r="H433" s="24"/>
      <c r="I433" s="24"/>
      <c r="J433" s="24"/>
      <c r="K433" s="51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3.5" customHeight="1">
      <c r="A434" s="24"/>
      <c r="B434" s="24"/>
      <c r="C434" s="24"/>
      <c r="D434" s="24"/>
      <c r="E434" s="51"/>
      <c r="F434" s="12"/>
      <c r="G434" s="24"/>
      <c r="H434" s="24"/>
      <c r="I434" s="24"/>
      <c r="J434" s="24"/>
      <c r="K434" s="51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3.5" customHeight="1">
      <c r="A435" s="24"/>
      <c r="B435" s="24"/>
      <c r="C435" s="24"/>
      <c r="D435" s="24"/>
      <c r="E435" s="51"/>
      <c r="F435" s="12"/>
      <c r="G435" s="24"/>
      <c r="H435" s="24"/>
      <c r="I435" s="24"/>
      <c r="J435" s="24"/>
      <c r="K435" s="51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3.5" customHeight="1">
      <c r="A436" s="24"/>
      <c r="B436" s="24"/>
      <c r="C436" s="24"/>
      <c r="D436" s="24"/>
      <c r="E436" s="51"/>
      <c r="F436" s="12"/>
      <c r="G436" s="24"/>
      <c r="H436" s="24"/>
      <c r="I436" s="24"/>
      <c r="J436" s="24"/>
      <c r="K436" s="51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3.5" customHeight="1">
      <c r="A437" s="24"/>
      <c r="B437" s="24"/>
      <c r="C437" s="24"/>
      <c r="D437" s="24"/>
      <c r="E437" s="51"/>
      <c r="F437" s="12"/>
      <c r="G437" s="24"/>
      <c r="H437" s="24"/>
      <c r="I437" s="24"/>
      <c r="J437" s="24"/>
      <c r="K437" s="51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3.5" customHeight="1">
      <c r="A438" s="24"/>
      <c r="B438" s="24"/>
      <c r="C438" s="24"/>
      <c r="D438" s="24"/>
      <c r="E438" s="51"/>
      <c r="F438" s="12"/>
      <c r="G438" s="24"/>
      <c r="H438" s="24"/>
      <c r="I438" s="24"/>
      <c r="J438" s="24"/>
      <c r="K438" s="51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3.5" customHeight="1">
      <c r="A439" s="24"/>
      <c r="B439" s="24"/>
      <c r="C439" s="24"/>
      <c r="D439" s="24"/>
      <c r="E439" s="51"/>
      <c r="F439" s="12"/>
      <c r="G439" s="24"/>
      <c r="H439" s="24"/>
      <c r="I439" s="24"/>
      <c r="J439" s="24"/>
      <c r="K439" s="51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3.5" customHeight="1">
      <c r="A440" s="24"/>
      <c r="B440" s="24"/>
      <c r="C440" s="24"/>
      <c r="D440" s="24"/>
      <c r="E440" s="51"/>
      <c r="F440" s="12"/>
      <c r="G440" s="24"/>
      <c r="H440" s="24"/>
      <c r="I440" s="24"/>
      <c r="J440" s="24"/>
      <c r="K440" s="51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3.5" customHeight="1">
      <c r="A441" s="24"/>
      <c r="B441" s="24"/>
      <c r="C441" s="24"/>
      <c r="D441" s="24"/>
      <c r="E441" s="51"/>
      <c r="F441" s="12"/>
      <c r="G441" s="24"/>
      <c r="H441" s="24"/>
      <c r="I441" s="24"/>
      <c r="J441" s="24"/>
      <c r="K441" s="51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3.5" customHeight="1">
      <c r="A442" s="24"/>
      <c r="B442" s="24"/>
      <c r="C442" s="24"/>
      <c r="D442" s="24"/>
      <c r="E442" s="51"/>
      <c r="F442" s="12"/>
      <c r="G442" s="24"/>
      <c r="H442" s="24"/>
      <c r="I442" s="24"/>
      <c r="J442" s="24"/>
      <c r="K442" s="51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3.5" customHeight="1">
      <c r="A443" s="24"/>
      <c r="B443" s="24"/>
      <c r="C443" s="24"/>
      <c r="D443" s="24"/>
      <c r="E443" s="51"/>
      <c r="F443" s="12"/>
      <c r="G443" s="24"/>
      <c r="H443" s="24"/>
      <c r="I443" s="24"/>
      <c r="J443" s="24"/>
      <c r="K443" s="51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3.5" customHeight="1">
      <c r="A444" s="24"/>
      <c r="B444" s="24"/>
      <c r="C444" s="24"/>
      <c r="D444" s="24"/>
      <c r="E444" s="51"/>
      <c r="F444" s="12"/>
      <c r="G444" s="24"/>
      <c r="H444" s="24"/>
      <c r="I444" s="24"/>
      <c r="J444" s="24"/>
      <c r="K444" s="51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3.5" customHeight="1">
      <c r="A445" s="24"/>
      <c r="B445" s="24"/>
      <c r="C445" s="24"/>
      <c r="D445" s="24"/>
      <c r="E445" s="51"/>
      <c r="F445" s="12"/>
      <c r="G445" s="24"/>
      <c r="H445" s="24"/>
      <c r="I445" s="24"/>
      <c r="J445" s="24"/>
      <c r="K445" s="51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3.5" customHeight="1">
      <c r="A446" s="24"/>
      <c r="B446" s="24"/>
      <c r="C446" s="24"/>
      <c r="D446" s="24"/>
      <c r="E446" s="51"/>
      <c r="F446" s="12"/>
      <c r="G446" s="24"/>
      <c r="H446" s="24"/>
      <c r="I446" s="24"/>
      <c r="J446" s="24"/>
      <c r="K446" s="51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3.5" customHeight="1">
      <c r="A447" s="24"/>
      <c r="B447" s="24"/>
      <c r="C447" s="24"/>
      <c r="D447" s="24"/>
      <c r="E447" s="51"/>
      <c r="F447" s="12"/>
      <c r="G447" s="24"/>
      <c r="H447" s="24"/>
      <c r="I447" s="24"/>
      <c r="J447" s="24"/>
      <c r="K447" s="51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3.5" customHeight="1">
      <c r="A448" s="24"/>
      <c r="B448" s="24"/>
      <c r="C448" s="24"/>
      <c r="D448" s="24"/>
      <c r="E448" s="51"/>
      <c r="F448" s="12"/>
      <c r="G448" s="24"/>
      <c r="H448" s="24"/>
      <c r="I448" s="24"/>
      <c r="J448" s="24"/>
      <c r="K448" s="51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3.5" customHeight="1">
      <c r="A449" s="24"/>
      <c r="B449" s="24"/>
      <c r="C449" s="24"/>
      <c r="D449" s="24"/>
      <c r="E449" s="51"/>
      <c r="F449" s="12"/>
      <c r="G449" s="24"/>
      <c r="H449" s="24"/>
      <c r="I449" s="24"/>
      <c r="J449" s="24"/>
      <c r="K449" s="51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3.5" customHeight="1">
      <c r="A450" s="24"/>
      <c r="B450" s="24"/>
      <c r="C450" s="24"/>
      <c r="D450" s="24"/>
      <c r="E450" s="51"/>
      <c r="F450" s="12"/>
      <c r="G450" s="24"/>
      <c r="H450" s="24"/>
      <c r="I450" s="24"/>
      <c r="J450" s="24"/>
      <c r="K450" s="51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3.5" customHeight="1">
      <c r="A451" s="24"/>
      <c r="B451" s="24"/>
      <c r="C451" s="24"/>
      <c r="D451" s="24"/>
      <c r="E451" s="51"/>
      <c r="F451" s="12"/>
      <c r="G451" s="24"/>
      <c r="H451" s="24"/>
      <c r="I451" s="24"/>
      <c r="J451" s="24"/>
      <c r="K451" s="51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3.5" customHeight="1">
      <c r="A452" s="24"/>
      <c r="B452" s="24"/>
      <c r="C452" s="24"/>
      <c r="D452" s="24"/>
      <c r="E452" s="51"/>
      <c r="F452" s="12"/>
      <c r="G452" s="24"/>
      <c r="H452" s="24"/>
      <c r="I452" s="24"/>
      <c r="J452" s="24"/>
      <c r="K452" s="51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3.5" customHeight="1">
      <c r="A453" s="24"/>
      <c r="B453" s="24"/>
      <c r="C453" s="24"/>
      <c r="D453" s="24"/>
      <c r="E453" s="51"/>
      <c r="F453" s="12"/>
      <c r="G453" s="24"/>
      <c r="H453" s="24"/>
      <c r="I453" s="24"/>
      <c r="J453" s="24"/>
      <c r="K453" s="51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3.5" customHeight="1">
      <c r="A454" s="24"/>
      <c r="B454" s="24"/>
      <c r="C454" s="24"/>
      <c r="D454" s="24"/>
      <c r="E454" s="51"/>
      <c r="F454" s="12"/>
      <c r="G454" s="24"/>
      <c r="H454" s="24"/>
      <c r="I454" s="24"/>
      <c r="J454" s="24"/>
      <c r="K454" s="51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3.5" customHeight="1">
      <c r="A455" s="24"/>
      <c r="B455" s="24"/>
      <c r="C455" s="24"/>
      <c r="D455" s="24"/>
      <c r="E455" s="51"/>
      <c r="F455" s="12"/>
      <c r="G455" s="24"/>
      <c r="H455" s="24"/>
      <c r="I455" s="24"/>
      <c r="J455" s="24"/>
      <c r="K455" s="51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3.5" customHeight="1">
      <c r="A456" s="24"/>
      <c r="B456" s="24"/>
      <c r="C456" s="24"/>
      <c r="D456" s="24"/>
      <c r="E456" s="51"/>
      <c r="F456" s="12"/>
      <c r="G456" s="24"/>
      <c r="H456" s="24"/>
      <c r="I456" s="24"/>
      <c r="J456" s="24"/>
      <c r="K456" s="51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3.5" customHeight="1">
      <c r="A457" s="24"/>
      <c r="B457" s="24"/>
      <c r="C457" s="24"/>
      <c r="D457" s="24"/>
      <c r="E457" s="51"/>
      <c r="F457" s="12"/>
      <c r="G457" s="24"/>
      <c r="H457" s="24"/>
      <c r="I457" s="24"/>
      <c r="J457" s="24"/>
      <c r="K457" s="51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3.5" customHeight="1">
      <c r="A458" s="24"/>
      <c r="B458" s="24"/>
      <c r="C458" s="24"/>
      <c r="D458" s="24"/>
      <c r="E458" s="51"/>
      <c r="F458" s="12"/>
      <c r="G458" s="24"/>
      <c r="H458" s="24"/>
      <c r="I458" s="24"/>
      <c r="J458" s="24"/>
      <c r="K458" s="51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3.5" customHeight="1">
      <c r="A459" s="24"/>
      <c r="B459" s="24"/>
      <c r="C459" s="24"/>
      <c r="D459" s="24"/>
      <c r="E459" s="51"/>
      <c r="F459" s="12"/>
      <c r="G459" s="24"/>
      <c r="H459" s="24"/>
      <c r="I459" s="24"/>
      <c r="J459" s="24"/>
      <c r="K459" s="51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3.5" customHeight="1">
      <c r="A460" s="24"/>
      <c r="B460" s="24"/>
      <c r="C460" s="24"/>
      <c r="D460" s="24"/>
      <c r="E460" s="51"/>
      <c r="F460" s="12"/>
      <c r="G460" s="24"/>
      <c r="H460" s="24"/>
      <c r="I460" s="24"/>
      <c r="J460" s="24"/>
      <c r="K460" s="51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3.5" customHeight="1">
      <c r="A461" s="24"/>
      <c r="B461" s="24"/>
      <c r="C461" s="24"/>
      <c r="D461" s="24"/>
      <c r="E461" s="51"/>
      <c r="F461" s="12"/>
      <c r="G461" s="24"/>
      <c r="H461" s="24"/>
      <c r="I461" s="24"/>
      <c r="J461" s="24"/>
      <c r="K461" s="51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3.5" customHeight="1">
      <c r="A462" s="24"/>
      <c r="B462" s="24"/>
      <c r="C462" s="24"/>
      <c r="D462" s="24"/>
      <c r="E462" s="51"/>
      <c r="F462" s="12"/>
      <c r="G462" s="24"/>
      <c r="H462" s="24"/>
      <c r="I462" s="24"/>
      <c r="J462" s="24"/>
      <c r="K462" s="51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3.5" customHeight="1">
      <c r="A463" s="24"/>
      <c r="B463" s="24"/>
      <c r="C463" s="24"/>
      <c r="D463" s="24"/>
      <c r="E463" s="51"/>
      <c r="F463" s="12"/>
      <c r="G463" s="24"/>
      <c r="H463" s="24"/>
      <c r="I463" s="24"/>
      <c r="J463" s="24"/>
      <c r="K463" s="51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3.5" customHeight="1">
      <c r="A464" s="24"/>
      <c r="B464" s="24"/>
      <c r="C464" s="24"/>
      <c r="D464" s="24"/>
      <c r="E464" s="51"/>
      <c r="F464" s="12"/>
      <c r="G464" s="24"/>
      <c r="H464" s="24"/>
      <c r="I464" s="24"/>
      <c r="J464" s="24"/>
      <c r="K464" s="51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3.5" customHeight="1">
      <c r="A465" s="24"/>
      <c r="B465" s="24"/>
      <c r="C465" s="24"/>
      <c r="D465" s="24"/>
      <c r="E465" s="51"/>
      <c r="F465" s="12"/>
      <c r="G465" s="24"/>
      <c r="H465" s="24"/>
      <c r="I465" s="24"/>
      <c r="J465" s="24"/>
      <c r="K465" s="51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3.5" customHeight="1">
      <c r="A466" s="24"/>
      <c r="B466" s="24"/>
      <c r="C466" s="24"/>
      <c r="D466" s="24"/>
      <c r="E466" s="51"/>
      <c r="F466" s="12"/>
      <c r="G466" s="24"/>
      <c r="H466" s="24"/>
      <c r="I466" s="24"/>
      <c r="J466" s="24"/>
      <c r="K466" s="51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3.5" customHeight="1">
      <c r="A467" s="24"/>
      <c r="B467" s="24"/>
      <c r="C467" s="24"/>
      <c r="D467" s="24"/>
      <c r="E467" s="51"/>
      <c r="F467" s="12"/>
      <c r="G467" s="24"/>
      <c r="H467" s="24"/>
      <c r="I467" s="24"/>
      <c r="J467" s="24"/>
      <c r="K467" s="51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3.5" customHeight="1">
      <c r="A468" s="24"/>
      <c r="B468" s="24"/>
      <c r="C468" s="24"/>
      <c r="D468" s="24"/>
      <c r="E468" s="51"/>
      <c r="F468" s="12"/>
      <c r="G468" s="24"/>
      <c r="H468" s="24"/>
      <c r="I468" s="24"/>
      <c r="J468" s="24"/>
      <c r="K468" s="51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3.5" customHeight="1">
      <c r="A469" s="24"/>
      <c r="B469" s="24"/>
      <c r="C469" s="24"/>
      <c r="D469" s="24"/>
      <c r="E469" s="51"/>
      <c r="F469" s="12"/>
      <c r="G469" s="24"/>
      <c r="H469" s="24"/>
      <c r="I469" s="24"/>
      <c r="J469" s="24"/>
      <c r="K469" s="51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3.5" customHeight="1">
      <c r="A470" s="24"/>
      <c r="B470" s="24"/>
      <c r="C470" s="24"/>
      <c r="D470" s="24"/>
      <c r="E470" s="51"/>
      <c r="F470" s="12"/>
      <c r="G470" s="24"/>
      <c r="H470" s="24"/>
      <c r="I470" s="24"/>
      <c r="J470" s="24"/>
      <c r="K470" s="51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3.5" customHeight="1">
      <c r="A471" s="24"/>
      <c r="B471" s="24"/>
      <c r="C471" s="24"/>
      <c r="D471" s="24"/>
      <c r="E471" s="51"/>
      <c r="F471" s="12"/>
      <c r="G471" s="24"/>
      <c r="H471" s="24"/>
      <c r="I471" s="24"/>
      <c r="J471" s="24"/>
      <c r="K471" s="51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3.5" customHeight="1">
      <c r="A472" s="24"/>
      <c r="B472" s="24"/>
      <c r="C472" s="24"/>
      <c r="D472" s="24"/>
      <c r="E472" s="51"/>
      <c r="F472" s="12"/>
      <c r="G472" s="24"/>
      <c r="H472" s="24"/>
      <c r="I472" s="24"/>
      <c r="J472" s="24"/>
      <c r="K472" s="51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3.5" customHeight="1">
      <c r="A473" s="24"/>
      <c r="B473" s="24"/>
      <c r="C473" s="24"/>
      <c r="D473" s="24"/>
      <c r="E473" s="51"/>
      <c r="F473" s="12"/>
      <c r="G473" s="24"/>
      <c r="H473" s="24"/>
      <c r="I473" s="24"/>
      <c r="J473" s="24"/>
      <c r="K473" s="51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3.5" customHeight="1">
      <c r="A474" s="24"/>
      <c r="B474" s="24"/>
      <c r="C474" s="24"/>
      <c r="D474" s="24"/>
      <c r="E474" s="51"/>
      <c r="F474" s="12"/>
      <c r="G474" s="24"/>
      <c r="H474" s="24"/>
      <c r="I474" s="24"/>
      <c r="J474" s="24"/>
      <c r="K474" s="51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3.5" customHeight="1">
      <c r="A475" s="24"/>
      <c r="B475" s="24"/>
      <c r="C475" s="24"/>
      <c r="D475" s="24"/>
      <c r="E475" s="51"/>
      <c r="F475" s="12"/>
      <c r="G475" s="24"/>
      <c r="H475" s="24"/>
      <c r="I475" s="24"/>
      <c r="J475" s="24"/>
      <c r="K475" s="51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3.5" customHeight="1">
      <c r="A476" s="24"/>
      <c r="B476" s="24"/>
      <c r="C476" s="24"/>
      <c r="D476" s="24"/>
      <c r="E476" s="51"/>
      <c r="F476" s="12"/>
      <c r="G476" s="24"/>
      <c r="H476" s="24"/>
      <c r="I476" s="24"/>
      <c r="J476" s="24"/>
      <c r="K476" s="51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3.5" customHeight="1">
      <c r="A477" s="24"/>
      <c r="B477" s="24"/>
      <c r="C477" s="24"/>
      <c r="D477" s="24"/>
      <c r="E477" s="51"/>
      <c r="F477" s="12"/>
      <c r="G477" s="24"/>
      <c r="H477" s="24"/>
      <c r="I477" s="24"/>
      <c r="J477" s="24"/>
      <c r="K477" s="51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3.5" customHeight="1">
      <c r="A478" s="24"/>
      <c r="B478" s="24"/>
      <c r="C478" s="24"/>
      <c r="D478" s="24"/>
      <c r="E478" s="51"/>
      <c r="F478" s="12"/>
      <c r="G478" s="24"/>
      <c r="H478" s="24"/>
      <c r="I478" s="24"/>
      <c r="J478" s="24"/>
      <c r="K478" s="51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3.5" customHeight="1">
      <c r="A479" s="24"/>
      <c r="B479" s="24"/>
      <c r="C479" s="24"/>
      <c r="D479" s="24"/>
      <c r="E479" s="51"/>
      <c r="F479" s="12"/>
      <c r="G479" s="24"/>
      <c r="H479" s="24"/>
      <c r="I479" s="24"/>
      <c r="J479" s="24"/>
      <c r="K479" s="51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3.5" customHeight="1">
      <c r="A480" s="24"/>
      <c r="B480" s="24"/>
      <c r="C480" s="24"/>
      <c r="D480" s="24"/>
      <c r="E480" s="51"/>
      <c r="F480" s="12"/>
      <c r="G480" s="24"/>
      <c r="H480" s="24"/>
      <c r="I480" s="24"/>
      <c r="J480" s="24"/>
      <c r="K480" s="51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3.5" customHeight="1">
      <c r="A481" s="24"/>
      <c r="B481" s="24"/>
      <c r="C481" s="24"/>
      <c r="D481" s="24"/>
      <c r="E481" s="51"/>
      <c r="F481" s="12"/>
      <c r="G481" s="24"/>
      <c r="H481" s="24"/>
      <c r="I481" s="24"/>
      <c r="J481" s="24"/>
      <c r="K481" s="51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3.5" customHeight="1">
      <c r="A482" s="24"/>
      <c r="B482" s="24"/>
      <c r="C482" s="24"/>
      <c r="D482" s="24"/>
      <c r="E482" s="51"/>
      <c r="F482" s="12"/>
      <c r="G482" s="24"/>
      <c r="H482" s="24"/>
      <c r="I482" s="24"/>
      <c r="J482" s="24"/>
      <c r="K482" s="51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3.5" customHeight="1">
      <c r="A483" s="24"/>
      <c r="B483" s="24"/>
      <c r="C483" s="24"/>
      <c r="D483" s="24"/>
      <c r="E483" s="51"/>
      <c r="F483" s="12"/>
      <c r="G483" s="24"/>
      <c r="H483" s="24"/>
      <c r="I483" s="24"/>
      <c r="J483" s="24"/>
      <c r="K483" s="51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3.5" customHeight="1">
      <c r="A484" s="24"/>
      <c r="B484" s="24"/>
      <c r="C484" s="24"/>
      <c r="D484" s="24"/>
      <c r="E484" s="51"/>
      <c r="F484" s="12"/>
      <c r="G484" s="24"/>
      <c r="H484" s="24"/>
      <c r="I484" s="24"/>
      <c r="J484" s="24"/>
      <c r="K484" s="51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3.5" customHeight="1">
      <c r="A485" s="24"/>
      <c r="B485" s="24"/>
      <c r="C485" s="24"/>
      <c r="D485" s="24"/>
      <c r="E485" s="51"/>
      <c r="F485" s="12"/>
      <c r="G485" s="24"/>
      <c r="H485" s="24"/>
      <c r="I485" s="24"/>
      <c r="J485" s="24"/>
      <c r="K485" s="51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3.5" customHeight="1">
      <c r="A486" s="24"/>
      <c r="B486" s="24"/>
      <c r="C486" s="24"/>
      <c r="D486" s="24"/>
      <c r="E486" s="51"/>
      <c r="F486" s="12"/>
      <c r="G486" s="24"/>
      <c r="H486" s="24"/>
      <c r="I486" s="24"/>
      <c r="J486" s="24"/>
      <c r="K486" s="51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3.5" customHeight="1">
      <c r="A487" s="24"/>
      <c r="B487" s="24"/>
      <c r="C487" s="24"/>
      <c r="D487" s="24"/>
      <c r="E487" s="51"/>
      <c r="F487" s="12"/>
      <c r="G487" s="24"/>
      <c r="H487" s="24"/>
      <c r="I487" s="24"/>
      <c r="J487" s="24"/>
      <c r="K487" s="51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3.5" customHeight="1">
      <c r="A488" s="24"/>
      <c r="B488" s="24"/>
      <c r="C488" s="24"/>
      <c r="D488" s="24"/>
      <c r="E488" s="51"/>
      <c r="F488" s="12"/>
      <c r="G488" s="24"/>
      <c r="H488" s="24"/>
      <c r="I488" s="24"/>
      <c r="J488" s="24"/>
      <c r="K488" s="51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3.5" customHeight="1">
      <c r="A489" s="24"/>
      <c r="B489" s="24"/>
      <c r="C489" s="24"/>
      <c r="D489" s="24"/>
      <c r="E489" s="51"/>
      <c r="F489" s="12"/>
      <c r="G489" s="24"/>
      <c r="H489" s="24"/>
      <c r="I489" s="24"/>
      <c r="J489" s="24"/>
      <c r="K489" s="51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3.5" customHeight="1">
      <c r="A490" s="24"/>
      <c r="B490" s="24"/>
      <c r="C490" s="24"/>
      <c r="D490" s="24"/>
      <c r="E490" s="51"/>
      <c r="F490" s="12"/>
      <c r="G490" s="24"/>
      <c r="H490" s="24"/>
      <c r="I490" s="24"/>
      <c r="J490" s="24"/>
      <c r="K490" s="51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3.5" customHeight="1">
      <c r="A491" s="24"/>
      <c r="B491" s="24"/>
      <c r="C491" s="24"/>
      <c r="D491" s="24"/>
      <c r="E491" s="51"/>
      <c r="F491" s="12"/>
      <c r="G491" s="24"/>
      <c r="H491" s="24"/>
      <c r="I491" s="24"/>
      <c r="J491" s="24"/>
      <c r="K491" s="51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3.5" customHeight="1">
      <c r="A492" s="24"/>
      <c r="B492" s="24"/>
      <c r="C492" s="24"/>
      <c r="D492" s="24"/>
      <c r="E492" s="51"/>
      <c r="F492" s="12"/>
      <c r="G492" s="24"/>
      <c r="H492" s="24"/>
      <c r="I492" s="24"/>
      <c r="J492" s="24"/>
      <c r="K492" s="51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3.5" customHeight="1">
      <c r="A493" s="24"/>
      <c r="B493" s="24"/>
      <c r="C493" s="24"/>
      <c r="D493" s="24"/>
      <c r="E493" s="51"/>
      <c r="F493" s="12"/>
      <c r="G493" s="24"/>
      <c r="H493" s="24"/>
      <c r="I493" s="24"/>
      <c r="J493" s="24"/>
      <c r="K493" s="51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3.5" customHeight="1">
      <c r="A494" s="24"/>
      <c r="B494" s="24"/>
      <c r="C494" s="24"/>
      <c r="D494" s="24"/>
      <c r="E494" s="51"/>
      <c r="F494" s="12"/>
      <c r="G494" s="24"/>
      <c r="H494" s="24"/>
      <c r="I494" s="24"/>
      <c r="J494" s="24"/>
      <c r="K494" s="51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3.5" customHeight="1">
      <c r="A495" s="24"/>
      <c r="B495" s="24"/>
      <c r="C495" s="24"/>
      <c r="D495" s="24"/>
      <c r="E495" s="51"/>
      <c r="F495" s="12"/>
      <c r="G495" s="24"/>
      <c r="H495" s="24"/>
      <c r="I495" s="24"/>
      <c r="J495" s="24"/>
      <c r="K495" s="51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3.5" customHeight="1">
      <c r="A496" s="24"/>
      <c r="B496" s="24"/>
      <c r="C496" s="24"/>
      <c r="D496" s="24"/>
      <c r="E496" s="51"/>
      <c r="F496" s="12"/>
      <c r="G496" s="24"/>
      <c r="H496" s="24"/>
      <c r="I496" s="24"/>
      <c r="J496" s="24"/>
      <c r="K496" s="51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3.5" customHeight="1">
      <c r="A497" s="24"/>
      <c r="B497" s="24"/>
      <c r="C497" s="24"/>
      <c r="D497" s="24"/>
      <c r="E497" s="51"/>
      <c r="F497" s="12"/>
      <c r="G497" s="24"/>
      <c r="H497" s="24"/>
      <c r="I497" s="24"/>
      <c r="J497" s="24"/>
      <c r="K497" s="51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3.5" customHeight="1">
      <c r="A498" s="24"/>
      <c r="B498" s="24"/>
      <c r="C498" s="24"/>
      <c r="D498" s="24"/>
      <c r="E498" s="51"/>
      <c r="F498" s="12"/>
      <c r="G498" s="24"/>
      <c r="H498" s="24"/>
      <c r="I498" s="24"/>
      <c r="J498" s="24"/>
      <c r="K498" s="51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3.5" customHeight="1">
      <c r="A499" s="24"/>
      <c r="B499" s="24"/>
      <c r="C499" s="24"/>
      <c r="D499" s="24"/>
      <c r="E499" s="51"/>
      <c r="F499" s="12"/>
      <c r="G499" s="24"/>
      <c r="H499" s="24"/>
      <c r="I499" s="24"/>
      <c r="J499" s="24"/>
      <c r="K499" s="51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3.5" customHeight="1">
      <c r="A500" s="24"/>
      <c r="B500" s="24"/>
      <c r="C500" s="24"/>
      <c r="D500" s="24"/>
      <c r="E500" s="51"/>
      <c r="F500" s="12"/>
      <c r="G500" s="24"/>
      <c r="H500" s="24"/>
      <c r="I500" s="24"/>
      <c r="J500" s="24"/>
      <c r="K500" s="51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3.5" customHeight="1">
      <c r="A501" s="24"/>
      <c r="B501" s="24"/>
      <c r="C501" s="24"/>
      <c r="D501" s="24"/>
      <c r="E501" s="51"/>
      <c r="F501" s="12"/>
      <c r="G501" s="24"/>
      <c r="H501" s="24"/>
      <c r="I501" s="24"/>
      <c r="J501" s="24"/>
      <c r="K501" s="51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3.5" customHeight="1">
      <c r="A502" s="24"/>
      <c r="B502" s="24"/>
      <c r="C502" s="24"/>
      <c r="D502" s="24"/>
      <c r="E502" s="51"/>
      <c r="F502" s="12"/>
      <c r="G502" s="24"/>
      <c r="H502" s="24"/>
      <c r="I502" s="24"/>
      <c r="J502" s="24"/>
      <c r="K502" s="51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3.5" customHeight="1">
      <c r="A503" s="24"/>
      <c r="B503" s="24"/>
      <c r="C503" s="24"/>
      <c r="D503" s="24"/>
      <c r="E503" s="51"/>
      <c r="F503" s="12"/>
      <c r="G503" s="24"/>
      <c r="H503" s="24"/>
      <c r="I503" s="24"/>
      <c r="J503" s="24"/>
      <c r="K503" s="51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3.5" customHeight="1">
      <c r="A504" s="24"/>
      <c r="B504" s="24"/>
      <c r="C504" s="24"/>
      <c r="D504" s="24"/>
      <c r="E504" s="51"/>
      <c r="F504" s="12"/>
      <c r="G504" s="24"/>
      <c r="H504" s="24"/>
      <c r="I504" s="24"/>
      <c r="J504" s="24"/>
      <c r="K504" s="51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3.5" customHeight="1">
      <c r="A505" s="24"/>
      <c r="B505" s="24"/>
      <c r="C505" s="24"/>
      <c r="D505" s="24"/>
      <c r="E505" s="51"/>
      <c r="F505" s="12"/>
      <c r="G505" s="24"/>
      <c r="H505" s="24"/>
      <c r="I505" s="24"/>
      <c r="J505" s="24"/>
      <c r="K505" s="51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3.5" customHeight="1">
      <c r="A506" s="24"/>
      <c r="B506" s="24"/>
      <c r="C506" s="24"/>
      <c r="D506" s="24"/>
      <c r="E506" s="51"/>
      <c r="F506" s="12"/>
      <c r="G506" s="24"/>
      <c r="H506" s="24"/>
      <c r="I506" s="24"/>
      <c r="J506" s="24"/>
      <c r="K506" s="51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3.5" customHeight="1">
      <c r="A507" s="24"/>
      <c r="B507" s="24"/>
      <c r="C507" s="24"/>
      <c r="D507" s="24"/>
      <c r="E507" s="51"/>
      <c r="F507" s="12"/>
      <c r="G507" s="24"/>
      <c r="H507" s="24"/>
      <c r="I507" s="24"/>
      <c r="J507" s="24"/>
      <c r="K507" s="51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3.5" customHeight="1">
      <c r="A508" s="24"/>
      <c r="B508" s="24"/>
      <c r="C508" s="24"/>
      <c r="D508" s="24"/>
      <c r="E508" s="51"/>
      <c r="F508" s="12"/>
      <c r="G508" s="24"/>
      <c r="H508" s="24"/>
      <c r="I508" s="24"/>
      <c r="J508" s="24"/>
      <c r="K508" s="51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3.5" customHeight="1">
      <c r="A509" s="24"/>
      <c r="B509" s="24"/>
      <c r="C509" s="24"/>
      <c r="D509" s="24"/>
      <c r="E509" s="51"/>
      <c r="F509" s="12"/>
      <c r="G509" s="24"/>
      <c r="H509" s="24"/>
      <c r="I509" s="24"/>
      <c r="J509" s="24"/>
      <c r="K509" s="51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3.5" customHeight="1">
      <c r="A510" s="24"/>
      <c r="B510" s="24"/>
      <c r="C510" s="24"/>
      <c r="D510" s="24"/>
      <c r="E510" s="51"/>
      <c r="F510" s="12"/>
      <c r="G510" s="24"/>
      <c r="H510" s="24"/>
      <c r="I510" s="24"/>
      <c r="J510" s="24"/>
      <c r="K510" s="51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3.5" customHeight="1">
      <c r="A511" s="24"/>
      <c r="B511" s="24"/>
      <c r="C511" s="24"/>
      <c r="D511" s="24"/>
      <c r="E511" s="51"/>
      <c r="F511" s="12"/>
      <c r="G511" s="24"/>
      <c r="H511" s="24"/>
      <c r="I511" s="24"/>
      <c r="J511" s="24"/>
      <c r="K511" s="51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3.5" customHeight="1">
      <c r="A512" s="24"/>
      <c r="B512" s="24"/>
      <c r="C512" s="24"/>
      <c r="D512" s="24"/>
      <c r="E512" s="51"/>
      <c r="F512" s="12"/>
      <c r="G512" s="24"/>
      <c r="H512" s="24"/>
      <c r="I512" s="24"/>
      <c r="J512" s="24"/>
      <c r="K512" s="51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3.5" customHeight="1">
      <c r="A513" s="24"/>
      <c r="B513" s="24"/>
      <c r="C513" s="24"/>
      <c r="D513" s="24"/>
      <c r="E513" s="51"/>
      <c r="F513" s="12"/>
      <c r="G513" s="24"/>
      <c r="H513" s="24"/>
      <c r="I513" s="24"/>
      <c r="J513" s="24"/>
      <c r="K513" s="51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3.5" customHeight="1">
      <c r="A514" s="24"/>
      <c r="B514" s="24"/>
      <c r="C514" s="24"/>
      <c r="D514" s="24"/>
      <c r="E514" s="51"/>
      <c r="F514" s="12"/>
      <c r="G514" s="24"/>
      <c r="H514" s="24"/>
      <c r="I514" s="24"/>
      <c r="J514" s="24"/>
      <c r="K514" s="51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3.5" customHeight="1">
      <c r="A515" s="24"/>
      <c r="B515" s="24"/>
      <c r="C515" s="24"/>
      <c r="D515" s="24"/>
      <c r="E515" s="51"/>
      <c r="F515" s="12"/>
      <c r="G515" s="24"/>
      <c r="H515" s="24"/>
      <c r="I515" s="24"/>
      <c r="J515" s="24"/>
      <c r="K515" s="51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3.5" customHeight="1">
      <c r="A516" s="24"/>
      <c r="B516" s="24"/>
      <c r="C516" s="24"/>
      <c r="D516" s="24"/>
      <c r="E516" s="51"/>
      <c r="F516" s="12"/>
      <c r="G516" s="24"/>
      <c r="H516" s="24"/>
      <c r="I516" s="24"/>
      <c r="J516" s="24"/>
      <c r="K516" s="51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3.5" customHeight="1">
      <c r="A517" s="24"/>
      <c r="B517" s="24"/>
      <c r="C517" s="24"/>
      <c r="D517" s="24"/>
      <c r="E517" s="51"/>
      <c r="F517" s="12"/>
      <c r="G517" s="24"/>
      <c r="H517" s="24"/>
      <c r="I517" s="24"/>
      <c r="J517" s="24"/>
      <c r="K517" s="51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3.5" customHeight="1">
      <c r="A518" s="24"/>
      <c r="B518" s="24"/>
      <c r="C518" s="24"/>
      <c r="D518" s="24"/>
      <c r="E518" s="51"/>
      <c r="F518" s="12"/>
      <c r="G518" s="24"/>
      <c r="H518" s="24"/>
      <c r="I518" s="24"/>
      <c r="J518" s="24"/>
      <c r="K518" s="51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3.5" customHeight="1">
      <c r="A519" s="24"/>
      <c r="B519" s="24"/>
      <c r="C519" s="24"/>
      <c r="D519" s="24"/>
      <c r="E519" s="51"/>
      <c r="F519" s="12"/>
      <c r="G519" s="24"/>
      <c r="H519" s="24"/>
      <c r="I519" s="24"/>
      <c r="J519" s="24"/>
      <c r="K519" s="51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3.5" customHeight="1">
      <c r="A520" s="24"/>
      <c r="B520" s="24"/>
      <c r="C520" s="24"/>
      <c r="D520" s="24"/>
      <c r="E520" s="51"/>
      <c r="F520" s="12"/>
      <c r="G520" s="24"/>
      <c r="H520" s="24"/>
      <c r="I520" s="24"/>
      <c r="J520" s="24"/>
      <c r="K520" s="51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3.5" customHeight="1">
      <c r="A521" s="24"/>
      <c r="B521" s="24"/>
      <c r="C521" s="24"/>
      <c r="D521" s="24"/>
      <c r="E521" s="51"/>
      <c r="F521" s="12"/>
      <c r="G521" s="24"/>
      <c r="H521" s="24"/>
      <c r="I521" s="24"/>
      <c r="J521" s="24"/>
      <c r="K521" s="51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3.5" customHeight="1">
      <c r="A522" s="24"/>
      <c r="B522" s="24"/>
      <c r="C522" s="24"/>
      <c r="D522" s="24"/>
      <c r="E522" s="51"/>
      <c r="F522" s="12"/>
      <c r="G522" s="24"/>
      <c r="H522" s="24"/>
      <c r="I522" s="24"/>
      <c r="J522" s="24"/>
      <c r="K522" s="51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3.5" customHeight="1">
      <c r="A523" s="24"/>
      <c r="B523" s="24"/>
      <c r="C523" s="24"/>
      <c r="D523" s="24"/>
      <c r="E523" s="51"/>
      <c r="F523" s="12"/>
      <c r="G523" s="24"/>
      <c r="H523" s="24"/>
      <c r="I523" s="24"/>
      <c r="J523" s="24"/>
      <c r="K523" s="51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3.5" customHeight="1">
      <c r="A524" s="24"/>
      <c r="B524" s="24"/>
      <c r="C524" s="24"/>
      <c r="D524" s="24"/>
      <c r="E524" s="51"/>
      <c r="F524" s="12"/>
      <c r="G524" s="24"/>
      <c r="H524" s="24"/>
      <c r="I524" s="24"/>
      <c r="J524" s="24"/>
      <c r="K524" s="51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3.5" customHeight="1">
      <c r="A525" s="24"/>
      <c r="B525" s="24"/>
      <c r="C525" s="24"/>
      <c r="D525" s="24"/>
      <c r="E525" s="51"/>
      <c r="F525" s="12"/>
      <c r="G525" s="24"/>
      <c r="H525" s="24"/>
      <c r="I525" s="24"/>
      <c r="J525" s="24"/>
      <c r="K525" s="51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3.5" customHeight="1">
      <c r="A526" s="24"/>
      <c r="B526" s="24"/>
      <c r="C526" s="24"/>
      <c r="D526" s="24"/>
      <c r="E526" s="51"/>
      <c r="F526" s="12"/>
      <c r="G526" s="24"/>
      <c r="H526" s="24"/>
      <c r="I526" s="24"/>
      <c r="J526" s="24"/>
      <c r="K526" s="51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3.5" customHeight="1">
      <c r="A527" s="24"/>
      <c r="B527" s="24"/>
      <c r="C527" s="24"/>
      <c r="D527" s="24"/>
      <c r="E527" s="51"/>
      <c r="F527" s="12"/>
      <c r="G527" s="24"/>
      <c r="H527" s="24"/>
      <c r="I527" s="24"/>
      <c r="J527" s="24"/>
      <c r="K527" s="51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3.5" customHeight="1">
      <c r="A528" s="24"/>
      <c r="B528" s="24"/>
      <c r="C528" s="24"/>
      <c r="D528" s="24"/>
      <c r="E528" s="51"/>
      <c r="F528" s="12"/>
      <c r="G528" s="24"/>
      <c r="H528" s="24"/>
      <c r="I528" s="24"/>
      <c r="J528" s="24"/>
      <c r="K528" s="51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3.5" customHeight="1">
      <c r="A529" s="24"/>
      <c r="B529" s="24"/>
      <c r="C529" s="24"/>
      <c r="D529" s="24"/>
      <c r="E529" s="51"/>
      <c r="F529" s="12"/>
      <c r="G529" s="24"/>
      <c r="H529" s="24"/>
      <c r="I529" s="24"/>
      <c r="J529" s="24"/>
      <c r="K529" s="51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3.5" customHeight="1">
      <c r="A530" s="24"/>
      <c r="B530" s="24"/>
      <c r="C530" s="24"/>
      <c r="D530" s="24"/>
      <c r="E530" s="51"/>
      <c r="F530" s="12"/>
      <c r="G530" s="24"/>
      <c r="H530" s="24"/>
      <c r="I530" s="24"/>
      <c r="J530" s="24"/>
      <c r="K530" s="51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3.5" customHeight="1">
      <c r="A531" s="24"/>
      <c r="B531" s="24"/>
      <c r="C531" s="24"/>
      <c r="D531" s="24"/>
      <c r="E531" s="51"/>
      <c r="F531" s="12"/>
      <c r="G531" s="24"/>
      <c r="H531" s="24"/>
      <c r="I531" s="24"/>
      <c r="J531" s="24"/>
      <c r="K531" s="51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3.5" customHeight="1">
      <c r="A532" s="24"/>
      <c r="B532" s="24"/>
      <c r="C532" s="24"/>
      <c r="D532" s="24"/>
      <c r="E532" s="51"/>
      <c r="F532" s="12"/>
      <c r="G532" s="24"/>
      <c r="H532" s="24"/>
      <c r="I532" s="24"/>
      <c r="J532" s="24"/>
      <c r="K532" s="51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3.5" customHeight="1">
      <c r="A533" s="24"/>
      <c r="B533" s="24"/>
      <c r="C533" s="24"/>
      <c r="D533" s="24"/>
      <c r="E533" s="51"/>
      <c r="F533" s="12"/>
      <c r="G533" s="24"/>
      <c r="H533" s="24"/>
      <c r="I533" s="24"/>
      <c r="J533" s="24"/>
      <c r="K533" s="51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3.5" customHeight="1">
      <c r="A534" s="24"/>
      <c r="B534" s="24"/>
      <c r="C534" s="24"/>
      <c r="D534" s="24"/>
      <c r="E534" s="51"/>
      <c r="F534" s="12"/>
      <c r="G534" s="24"/>
      <c r="H534" s="24"/>
      <c r="I534" s="24"/>
      <c r="J534" s="24"/>
      <c r="K534" s="51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3.5" customHeight="1">
      <c r="A535" s="24"/>
      <c r="B535" s="24"/>
      <c r="C535" s="24"/>
      <c r="D535" s="24"/>
      <c r="E535" s="51"/>
      <c r="F535" s="12"/>
      <c r="G535" s="24"/>
      <c r="H535" s="24"/>
      <c r="I535" s="24"/>
      <c r="J535" s="24"/>
      <c r="K535" s="51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3.5" customHeight="1">
      <c r="A536" s="24"/>
      <c r="B536" s="24"/>
      <c r="C536" s="24"/>
      <c r="D536" s="24"/>
      <c r="E536" s="51"/>
      <c r="F536" s="12"/>
      <c r="G536" s="24"/>
      <c r="H536" s="24"/>
      <c r="I536" s="24"/>
      <c r="J536" s="24"/>
      <c r="K536" s="51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3.5" customHeight="1">
      <c r="A537" s="24"/>
      <c r="B537" s="24"/>
      <c r="C537" s="24"/>
      <c r="D537" s="24"/>
      <c r="E537" s="51"/>
      <c r="F537" s="12"/>
      <c r="G537" s="24"/>
      <c r="H537" s="24"/>
      <c r="I537" s="24"/>
      <c r="J537" s="24"/>
      <c r="K537" s="51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3.5" customHeight="1">
      <c r="A538" s="24"/>
      <c r="B538" s="24"/>
      <c r="C538" s="24"/>
      <c r="D538" s="24"/>
      <c r="E538" s="51"/>
      <c r="F538" s="12"/>
      <c r="G538" s="24"/>
      <c r="H538" s="24"/>
      <c r="I538" s="24"/>
      <c r="J538" s="24"/>
      <c r="K538" s="51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3.5" customHeight="1">
      <c r="A539" s="24"/>
      <c r="B539" s="24"/>
      <c r="C539" s="24"/>
      <c r="D539" s="24"/>
      <c r="E539" s="51"/>
      <c r="F539" s="12"/>
      <c r="G539" s="24"/>
      <c r="H539" s="24"/>
      <c r="I539" s="24"/>
      <c r="J539" s="24"/>
      <c r="K539" s="51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3.5" customHeight="1">
      <c r="A540" s="24"/>
      <c r="B540" s="24"/>
      <c r="C540" s="24"/>
      <c r="D540" s="24"/>
      <c r="E540" s="51"/>
      <c r="F540" s="12"/>
      <c r="G540" s="24"/>
      <c r="H540" s="24"/>
      <c r="I540" s="24"/>
      <c r="J540" s="24"/>
      <c r="K540" s="51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3.5" customHeight="1">
      <c r="A541" s="24"/>
      <c r="B541" s="24"/>
      <c r="C541" s="24"/>
      <c r="D541" s="24"/>
      <c r="E541" s="51"/>
      <c r="F541" s="12"/>
      <c r="G541" s="24"/>
      <c r="H541" s="24"/>
      <c r="I541" s="24"/>
      <c r="J541" s="24"/>
      <c r="K541" s="51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3.5" customHeight="1">
      <c r="A542" s="24"/>
      <c r="B542" s="24"/>
      <c r="C542" s="24"/>
      <c r="D542" s="24"/>
      <c r="E542" s="51"/>
      <c r="F542" s="12"/>
      <c r="G542" s="24"/>
      <c r="H542" s="24"/>
      <c r="I542" s="24"/>
      <c r="J542" s="24"/>
      <c r="K542" s="51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3.5" customHeight="1">
      <c r="A543" s="24"/>
      <c r="B543" s="24"/>
      <c r="C543" s="24"/>
      <c r="D543" s="24"/>
      <c r="E543" s="51"/>
      <c r="F543" s="12"/>
      <c r="G543" s="24"/>
      <c r="H543" s="24"/>
      <c r="I543" s="24"/>
      <c r="J543" s="24"/>
      <c r="K543" s="51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3.5" customHeight="1">
      <c r="A544" s="24"/>
      <c r="B544" s="24"/>
      <c r="C544" s="24"/>
      <c r="D544" s="24"/>
      <c r="E544" s="51"/>
      <c r="F544" s="12"/>
      <c r="G544" s="24"/>
      <c r="H544" s="24"/>
      <c r="I544" s="24"/>
      <c r="J544" s="24"/>
      <c r="K544" s="51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3.5" customHeight="1">
      <c r="A545" s="24"/>
      <c r="B545" s="24"/>
      <c r="C545" s="24"/>
      <c r="D545" s="24"/>
      <c r="E545" s="51"/>
      <c r="F545" s="12"/>
      <c r="G545" s="24"/>
      <c r="H545" s="24"/>
      <c r="I545" s="24"/>
      <c r="J545" s="24"/>
      <c r="K545" s="51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3.5" customHeight="1">
      <c r="A546" s="24"/>
      <c r="B546" s="24"/>
      <c r="C546" s="24"/>
      <c r="D546" s="24"/>
      <c r="E546" s="51"/>
      <c r="F546" s="12"/>
      <c r="G546" s="24"/>
      <c r="H546" s="24"/>
      <c r="I546" s="24"/>
      <c r="J546" s="24"/>
      <c r="K546" s="51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3.5" customHeight="1">
      <c r="A547" s="24"/>
      <c r="B547" s="24"/>
      <c r="C547" s="24"/>
      <c r="D547" s="24"/>
      <c r="E547" s="51"/>
      <c r="F547" s="12"/>
      <c r="G547" s="24"/>
      <c r="H547" s="24"/>
      <c r="I547" s="24"/>
      <c r="J547" s="24"/>
      <c r="K547" s="51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3.5" customHeight="1">
      <c r="A548" s="24"/>
      <c r="B548" s="24"/>
      <c r="C548" s="24"/>
      <c r="D548" s="24"/>
      <c r="E548" s="51"/>
      <c r="F548" s="12"/>
      <c r="G548" s="24"/>
      <c r="H548" s="24"/>
      <c r="I548" s="24"/>
      <c r="J548" s="24"/>
      <c r="K548" s="51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3.5" customHeight="1">
      <c r="A549" s="24"/>
      <c r="B549" s="24"/>
      <c r="C549" s="24"/>
      <c r="D549" s="24"/>
      <c r="E549" s="51"/>
      <c r="F549" s="12"/>
      <c r="G549" s="24"/>
      <c r="H549" s="24"/>
      <c r="I549" s="24"/>
      <c r="J549" s="24"/>
      <c r="K549" s="51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3.5" customHeight="1">
      <c r="A550" s="24"/>
      <c r="B550" s="24"/>
      <c r="C550" s="24"/>
      <c r="D550" s="24"/>
      <c r="E550" s="51"/>
      <c r="F550" s="12"/>
      <c r="G550" s="24"/>
      <c r="H550" s="24"/>
      <c r="I550" s="24"/>
      <c r="J550" s="24"/>
      <c r="K550" s="51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3.5" customHeight="1">
      <c r="A551" s="24"/>
      <c r="B551" s="24"/>
      <c r="C551" s="24"/>
      <c r="D551" s="24"/>
      <c r="E551" s="51"/>
      <c r="F551" s="12"/>
      <c r="G551" s="24"/>
      <c r="H551" s="24"/>
      <c r="I551" s="24"/>
      <c r="J551" s="24"/>
      <c r="K551" s="51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3.5" customHeight="1">
      <c r="A552" s="24"/>
      <c r="B552" s="24"/>
      <c r="C552" s="24"/>
      <c r="D552" s="24"/>
      <c r="E552" s="51"/>
      <c r="F552" s="12"/>
      <c r="G552" s="24"/>
      <c r="H552" s="24"/>
      <c r="I552" s="24"/>
      <c r="J552" s="24"/>
      <c r="K552" s="51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3.5" customHeight="1">
      <c r="A553" s="24"/>
      <c r="B553" s="24"/>
      <c r="C553" s="24"/>
      <c r="D553" s="24"/>
      <c r="E553" s="51"/>
      <c r="F553" s="12"/>
      <c r="G553" s="24"/>
      <c r="H553" s="24"/>
      <c r="I553" s="24"/>
      <c r="J553" s="24"/>
      <c r="K553" s="51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3.5" customHeight="1">
      <c r="A554" s="24"/>
      <c r="B554" s="24"/>
      <c r="C554" s="24"/>
      <c r="D554" s="24"/>
      <c r="E554" s="51"/>
      <c r="F554" s="12"/>
      <c r="G554" s="24"/>
      <c r="H554" s="24"/>
      <c r="I554" s="24"/>
      <c r="J554" s="24"/>
      <c r="K554" s="51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3.5" customHeight="1">
      <c r="A555" s="24"/>
      <c r="B555" s="24"/>
      <c r="C555" s="24"/>
      <c r="D555" s="24"/>
      <c r="E555" s="51"/>
      <c r="F555" s="12"/>
      <c r="G555" s="24"/>
      <c r="H555" s="24"/>
      <c r="I555" s="24"/>
      <c r="J555" s="24"/>
      <c r="K555" s="51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3.5" customHeight="1">
      <c r="A556" s="24"/>
      <c r="B556" s="24"/>
      <c r="C556" s="24"/>
      <c r="D556" s="24"/>
      <c r="E556" s="51"/>
      <c r="F556" s="12"/>
      <c r="G556" s="24"/>
      <c r="H556" s="24"/>
      <c r="I556" s="24"/>
      <c r="J556" s="24"/>
      <c r="K556" s="51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3.5" customHeight="1">
      <c r="A557" s="24"/>
      <c r="B557" s="24"/>
      <c r="C557" s="24"/>
      <c r="D557" s="24"/>
      <c r="E557" s="51"/>
      <c r="F557" s="12"/>
      <c r="G557" s="24"/>
      <c r="H557" s="24"/>
      <c r="I557" s="24"/>
      <c r="J557" s="24"/>
      <c r="K557" s="51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3.5" customHeight="1">
      <c r="A558" s="24"/>
      <c r="B558" s="24"/>
      <c r="C558" s="24"/>
      <c r="D558" s="24"/>
      <c r="E558" s="51"/>
      <c r="F558" s="12"/>
      <c r="G558" s="24"/>
      <c r="H558" s="24"/>
      <c r="I558" s="24"/>
      <c r="J558" s="24"/>
      <c r="K558" s="51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3.5" customHeight="1">
      <c r="A559" s="24"/>
      <c r="B559" s="24"/>
      <c r="C559" s="24"/>
      <c r="D559" s="24"/>
      <c r="E559" s="51"/>
      <c r="F559" s="12"/>
      <c r="G559" s="24"/>
      <c r="H559" s="24"/>
      <c r="I559" s="24"/>
      <c r="J559" s="24"/>
      <c r="K559" s="51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3.5" customHeight="1">
      <c r="A560" s="24"/>
      <c r="B560" s="24"/>
      <c r="C560" s="24"/>
      <c r="D560" s="24"/>
      <c r="E560" s="51"/>
      <c r="F560" s="12"/>
      <c r="G560" s="24"/>
      <c r="H560" s="24"/>
      <c r="I560" s="24"/>
      <c r="J560" s="24"/>
      <c r="K560" s="51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3.5" customHeight="1">
      <c r="A561" s="24"/>
      <c r="B561" s="24"/>
      <c r="C561" s="24"/>
      <c r="D561" s="24"/>
      <c r="E561" s="51"/>
      <c r="F561" s="12"/>
      <c r="G561" s="24"/>
      <c r="H561" s="24"/>
      <c r="I561" s="24"/>
      <c r="J561" s="24"/>
      <c r="K561" s="51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3.5" customHeight="1">
      <c r="A562" s="24"/>
      <c r="B562" s="24"/>
      <c r="C562" s="24"/>
      <c r="D562" s="24"/>
      <c r="E562" s="51"/>
      <c r="F562" s="12"/>
      <c r="G562" s="24"/>
      <c r="H562" s="24"/>
      <c r="I562" s="24"/>
      <c r="J562" s="24"/>
      <c r="K562" s="51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3.5" customHeight="1">
      <c r="A563" s="24"/>
      <c r="B563" s="24"/>
      <c r="C563" s="24"/>
      <c r="D563" s="24"/>
      <c r="E563" s="51"/>
      <c r="F563" s="12"/>
      <c r="G563" s="24"/>
      <c r="H563" s="24"/>
      <c r="I563" s="24"/>
      <c r="J563" s="24"/>
      <c r="K563" s="51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3.5" customHeight="1">
      <c r="A564" s="24"/>
      <c r="B564" s="24"/>
      <c r="C564" s="24"/>
      <c r="D564" s="24"/>
      <c r="E564" s="51"/>
      <c r="F564" s="12"/>
      <c r="G564" s="24"/>
      <c r="H564" s="24"/>
      <c r="I564" s="24"/>
      <c r="J564" s="24"/>
      <c r="K564" s="51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3.5" customHeight="1">
      <c r="A565" s="24"/>
      <c r="B565" s="24"/>
      <c r="C565" s="24"/>
      <c r="D565" s="24"/>
      <c r="E565" s="51"/>
      <c r="F565" s="12"/>
      <c r="G565" s="24"/>
      <c r="H565" s="24"/>
      <c r="I565" s="24"/>
      <c r="J565" s="24"/>
      <c r="K565" s="51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3.5" customHeight="1">
      <c r="A566" s="24"/>
      <c r="B566" s="24"/>
      <c r="C566" s="24"/>
      <c r="D566" s="24"/>
      <c r="E566" s="51"/>
      <c r="F566" s="12"/>
      <c r="G566" s="24"/>
      <c r="H566" s="24"/>
      <c r="I566" s="24"/>
      <c r="J566" s="24"/>
      <c r="K566" s="51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3.5" customHeight="1">
      <c r="A567" s="24"/>
      <c r="B567" s="24"/>
      <c r="C567" s="24"/>
      <c r="D567" s="24"/>
      <c r="E567" s="51"/>
      <c r="F567" s="12"/>
      <c r="G567" s="24"/>
      <c r="H567" s="24"/>
      <c r="I567" s="24"/>
      <c r="J567" s="24"/>
      <c r="K567" s="51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3.5" customHeight="1">
      <c r="A568" s="24"/>
      <c r="B568" s="24"/>
      <c r="C568" s="24"/>
      <c r="D568" s="24"/>
      <c r="E568" s="51"/>
      <c r="F568" s="12"/>
      <c r="G568" s="24"/>
      <c r="H568" s="24"/>
      <c r="I568" s="24"/>
      <c r="J568" s="24"/>
      <c r="K568" s="51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3.5" customHeight="1">
      <c r="A569" s="24"/>
      <c r="B569" s="24"/>
      <c r="C569" s="24"/>
      <c r="D569" s="24"/>
      <c r="E569" s="51"/>
      <c r="F569" s="12"/>
      <c r="G569" s="24"/>
      <c r="H569" s="24"/>
      <c r="I569" s="24"/>
      <c r="J569" s="24"/>
      <c r="K569" s="51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3.5" customHeight="1">
      <c r="A570" s="24"/>
      <c r="B570" s="24"/>
      <c r="C570" s="24"/>
      <c r="D570" s="24"/>
      <c r="E570" s="51"/>
      <c r="F570" s="12"/>
      <c r="G570" s="24"/>
      <c r="H570" s="24"/>
      <c r="I570" s="24"/>
      <c r="J570" s="24"/>
      <c r="K570" s="51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3.5" customHeight="1">
      <c r="A571" s="24"/>
      <c r="B571" s="24"/>
      <c r="C571" s="24"/>
      <c r="D571" s="24"/>
      <c r="E571" s="51"/>
      <c r="F571" s="12"/>
      <c r="G571" s="24"/>
      <c r="H571" s="24"/>
      <c r="I571" s="24"/>
      <c r="J571" s="24"/>
      <c r="K571" s="51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3.5" customHeight="1">
      <c r="A572" s="24"/>
      <c r="B572" s="24"/>
      <c r="C572" s="24"/>
      <c r="D572" s="24"/>
      <c r="E572" s="51"/>
      <c r="F572" s="12"/>
      <c r="G572" s="24"/>
      <c r="H572" s="24"/>
      <c r="I572" s="24"/>
      <c r="J572" s="24"/>
      <c r="K572" s="51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3.5" customHeight="1">
      <c r="A573" s="24"/>
      <c r="B573" s="24"/>
      <c r="C573" s="24"/>
      <c r="D573" s="24"/>
      <c r="E573" s="51"/>
      <c r="F573" s="12"/>
      <c r="G573" s="24"/>
      <c r="H573" s="24"/>
      <c r="I573" s="24"/>
      <c r="J573" s="24"/>
      <c r="K573" s="51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3.5" customHeight="1">
      <c r="A574" s="24"/>
      <c r="B574" s="24"/>
      <c r="C574" s="24"/>
      <c r="D574" s="24"/>
      <c r="E574" s="51"/>
      <c r="F574" s="12"/>
      <c r="G574" s="24"/>
      <c r="H574" s="24"/>
      <c r="I574" s="24"/>
      <c r="J574" s="24"/>
      <c r="K574" s="51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3.5" customHeight="1">
      <c r="A575" s="24"/>
      <c r="B575" s="24"/>
      <c r="C575" s="24"/>
      <c r="D575" s="24"/>
      <c r="E575" s="51"/>
      <c r="F575" s="12"/>
      <c r="G575" s="24"/>
      <c r="H575" s="24"/>
      <c r="I575" s="24"/>
      <c r="J575" s="24"/>
      <c r="K575" s="51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3.5" customHeight="1">
      <c r="A576" s="24"/>
      <c r="B576" s="24"/>
      <c r="C576" s="24"/>
      <c r="D576" s="24"/>
      <c r="E576" s="51"/>
      <c r="F576" s="12"/>
      <c r="G576" s="24"/>
      <c r="H576" s="24"/>
      <c r="I576" s="24"/>
      <c r="J576" s="24"/>
      <c r="K576" s="51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3.5" customHeight="1">
      <c r="A577" s="24"/>
      <c r="B577" s="24"/>
      <c r="C577" s="24"/>
      <c r="D577" s="24"/>
      <c r="E577" s="51"/>
      <c r="F577" s="12"/>
      <c r="G577" s="24"/>
      <c r="H577" s="24"/>
      <c r="I577" s="24"/>
      <c r="J577" s="24"/>
      <c r="K577" s="51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3.5" customHeight="1">
      <c r="A578" s="24"/>
      <c r="B578" s="24"/>
      <c r="C578" s="24"/>
      <c r="D578" s="24"/>
      <c r="E578" s="51"/>
      <c r="F578" s="12"/>
      <c r="G578" s="24"/>
      <c r="H578" s="24"/>
      <c r="I578" s="24"/>
      <c r="J578" s="24"/>
      <c r="K578" s="51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3.5" customHeight="1">
      <c r="A579" s="24"/>
      <c r="B579" s="24"/>
      <c r="C579" s="24"/>
      <c r="D579" s="24"/>
      <c r="E579" s="51"/>
      <c r="F579" s="12"/>
      <c r="G579" s="24"/>
      <c r="H579" s="24"/>
      <c r="I579" s="24"/>
      <c r="J579" s="24"/>
      <c r="K579" s="51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3.5" customHeight="1">
      <c r="A580" s="24"/>
      <c r="B580" s="24"/>
      <c r="C580" s="24"/>
      <c r="D580" s="24"/>
      <c r="E580" s="51"/>
      <c r="F580" s="12"/>
      <c r="G580" s="24"/>
      <c r="H580" s="24"/>
      <c r="I580" s="24"/>
      <c r="J580" s="24"/>
      <c r="K580" s="51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3.5" customHeight="1">
      <c r="A581" s="24"/>
      <c r="B581" s="24"/>
      <c r="C581" s="24"/>
      <c r="D581" s="24"/>
      <c r="E581" s="51"/>
      <c r="F581" s="12"/>
      <c r="G581" s="24"/>
      <c r="H581" s="24"/>
      <c r="I581" s="24"/>
      <c r="J581" s="24"/>
      <c r="K581" s="51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3.5" customHeight="1">
      <c r="A582" s="24"/>
      <c r="B582" s="24"/>
      <c r="C582" s="24"/>
      <c r="D582" s="24"/>
      <c r="E582" s="51"/>
      <c r="F582" s="12"/>
      <c r="G582" s="24"/>
      <c r="H582" s="24"/>
      <c r="I582" s="24"/>
      <c r="J582" s="24"/>
      <c r="K582" s="51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3.5" customHeight="1">
      <c r="A583" s="24"/>
      <c r="B583" s="24"/>
      <c r="C583" s="24"/>
      <c r="D583" s="24"/>
      <c r="E583" s="51"/>
      <c r="F583" s="12"/>
      <c r="G583" s="24"/>
      <c r="H583" s="24"/>
      <c r="I583" s="24"/>
      <c r="J583" s="24"/>
      <c r="K583" s="51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3.5" customHeight="1">
      <c r="A584" s="24"/>
      <c r="B584" s="24"/>
      <c r="C584" s="24"/>
      <c r="D584" s="24"/>
      <c r="E584" s="51"/>
      <c r="F584" s="12"/>
      <c r="G584" s="24"/>
      <c r="H584" s="24"/>
      <c r="I584" s="24"/>
      <c r="J584" s="24"/>
      <c r="K584" s="51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3.5" customHeight="1">
      <c r="A585" s="24"/>
      <c r="B585" s="24"/>
      <c r="C585" s="24"/>
      <c r="D585" s="24"/>
      <c r="E585" s="51"/>
      <c r="F585" s="12"/>
      <c r="G585" s="24"/>
      <c r="H585" s="24"/>
      <c r="I585" s="24"/>
      <c r="J585" s="24"/>
      <c r="K585" s="51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3.5" customHeight="1">
      <c r="A586" s="24"/>
      <c r="B586" s="24"/>
      <c r="C586" s="24"/>
      <c r="D586" s="24"/>
      <c r="E586" s="51"/>
      <c r="F586" s="12"/>
      <c r="G586" s="24"/>
      <c r="H586" s="24"/>
      <c r="I586" s="24"/>
      <c r="J586" s="24"/>
      <c r="K586" s="51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3.5" customHeight="1">
      <c r="A587" s="24"/>
      <c r="B587" s="24"/>
      <c r="C587" s="24"/>
      <c r="D587" s="24"/>
      <c r="E587" s="51"/>
      <c r="F587" s="12"/>
      <c r="G587" s="24"/>
      <c r="H587" s="24"/>
      <c r="I587" s="24"/>
      <c r="J587" s="24"/>
      <c r="K587" s="51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3.5" customHeight="1">
      <c r="A588" s="24"/>
      <c r="B588" s="24"/>
      <c r="C588" s="24"/>
      <c r="D588" s="24"/>
      <c r="E588" s="51"/>
      <c r="F588" s="12"/>
      <c r="G588" s="24"/>
      <c r="H588" s="24"/>
      <c r="I588" s="24"/>
      <c r="J588" s="24"/>
      <c r="K588" s="51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3.5" customHeight="1">
      <c r="A589" s="24"/>
      <c r="B589" s="24"/>
      <c r="C589" s="24"/>
      <c r="D589" s="24"/>
      <c r="E589" s="51"/>
      <c r="F589" s="12"/>
      <c r="G589" s="24"/>
      <c r="H589" s="24"/>
      <c r="I589" s="24"/>
      <c r="J589" s="24"/>
      <c r="K589" s="51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3.5" customHeight="1">
      <c r="A590" s="24"/>
      <c r="B590" s="24"/>
      <c r="C590" s="24"/>
      <c r="D590" s="24"/>
      <c r="E590" s="51"/>
      <c r="F590" s="12"/>
      <c r="G590" s="24"/>
      <c r="H590" s="24"/>
      <c r="I590" s="24"/>
      <c r="J590" s="24"/>
      <c r="K590" s="51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3.5" customHeight="1">
      <c r="A591" s="24"/>
      <c r="B591" s="24"/>
      <c r="C591" s="24"/>
      <c r="D591" s="24"/>
      <c r="E591" s="51"/>
      <c r="F591" s="12"/>
      <c r="G591" s="24"/>
      <c r="H591" s="24"/>
      <c r="I591" s="24"/>
      <c r="J591" s="24"/>
      <c r="K591" s="51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3.5" customHeight="1">
      <c r="A592" s="24"/>
      <c r="B592" s="24"/>
      <c r="C592" s="24"/>
      <c r="D592" s="24"/>
      <c r="E592" s="51"/>
      <c r="F592" s="12"/>
      <c r="G592" s="24"/>
      <c r="H592" s="24"/>
      <c r="I592" s="24"/>
      <c r="J592" s="24"/>
      <c r="K592" s="51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3.5" customHeight="1">
      <c r="A593" s="24"/>
      <c r="B593" s="24"/>
      <c r="C593" s="24"/>
      <c r="D593" s="24"/>
      <c r="E593" s="51"/>
      <c r="F593" s="12"/>
      <c r="G593" s="24"/>
      <c r="H593" s="24"/>
      <c r="I593" s="24"/>
      <c r="J593" s="24"/>
      <c r="K593" s="51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3.5" customHeight="1">
      <c r="A594" s="24"/>
      <c r="B594" s="24"/>
      <c r="C594" s="24"/>
      <c r="D594" s="24"/>
      <c r="E594" s="51"/>
      <c r="F594" s="12"/>
      <c r="G594" s="24"/>
      <c r="H594" s="24"/>
      <c r="I594" s="24"/>
      <c r="J594" s="24"/>
      <c r="K594" s="51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3.5" customHeight="1">
      <c r="A595" s="24"/>
      <c r="B595" s="24"/>
      <c r="C595" s="24"/>
      <c r="D595" s="24"/>
      <c r="E595" s="51"/>
      <c r="F595" s="12"/>
      <c r="G595" s="24"/>
      <c r="H595" s="24"/>
      <c r="I595" s="24"/>
      <c r="J595" s="24"/>
      <c r="K595" s="51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3.5" customHeight="1">
      <c r="A596" s="24"/>
      <c r="B596" s="24"/>
      <c r="C596" s="24"/>
      <c r="D596" s="24"/>
      <c r="E596" s="51"/>
      <c r="F596" s="12"/>
      <c r="G596" s="24"/>
      <c r="H596" s="24"/>
      <c r="I596" s="24"/>
      <c r="J596" s="24"/>
      <c r="K596" s="51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3.5" customHeight="1">
      <c r="A597" s="24"/>
      <c r="B597" s="24"/>
      <c r="C597" s="24"/>
      <c r="D597" s="24"/>
      <c r="E597" s="51"/>
      <c r="F597" s="12"/>
      <c r="G597" s="24"/>
      <c r="H597" s="24"/>
      <c r="I597" s="24"/>
      <c r="J597" s="24"/>
      <c r="K597" s="51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3.5" customHeight="1">
      <c r="A598" s="24"/>
      <c r="B598" s="24"/>
      <c r="C598" s="24"/>
      <c r="D598" s="24"/>
      <c r="E598" s="51"/>
      <c r="F598" s="12"/>
      <c r="G598" s="24"/>
      <c r="H598" s="24"/>
      <c r="I598" s="24"/>
      <c r="J598" s="24"/>
      <c r="K598" s="51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3.5" customHeight="1">
      <c r="A599" s="24"/>
      <c r="B599" s="24"/>
      <c r="C599" s="24"/>
      <c r="D599" s="24"/>
      <c r="E599" s="51"/>
      <c r="F599" s="12"/>
      <c r="G599" s="24"/>
      <c r="H599" s="24"/>
      <c r="I599" s="24"/>
      <c r="J599" s="24"/>
      <c r="K599" s="51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3.5" customHeight="1">
      <c r="A600" s="24"/>
      <c r="B600" s="24"/>
      <c r="C600" s="24"/>
      <c r="D600" s="24"/>
      <c r="E600" s="51"/>
      <c r="F600" s="12"/>
      <c r="G600" s="24"/>
      <c r="H600" s="24"/>
      <c r="I600" s="24"/>
      <c r="J600" s="24"/>
      <c r="K600" s="51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3.5" customHeight="1">
      <c r="A601" s="24"/>
      <c r="B601" s="24"/>
      <c r="C601" s="24"/>
      <c r="D601" s="24"/>
      <c r="E601" s="51"/>
      <c r="F601" s="12"/>
      <c r="G601" s="24"/>
      <c r="H601" s="24"/>
      <c r="I601" s="24"/>
      <c r="J601" s="24"/>
      <c r="K601" s="51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3.5" customHeight="1">
      <c r="A602" s="24"/>
      <c r="B602" s="24"/>
      <c r="C602" s="24"/>
      <c r="D602" s="24"/>
      <c r="E602" s="51"/>
      <c r="F602" s="12"/>
      <c r="G602" s="24"/>
      <c r="H602" s="24"/>
      <c r="I602" s="24"/>
      <c r="J602" s="24"/>
      <c r="K602" s="51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3.5" customHeight="1">
      <c r="A603" s="24"/>
      <c r="B603" s="24"/>
      <c r="C603" s="24"/>
      <c r="D603" s="24"/>
      <c r="E603" s="51"/>
      <c r="F603" s="12"/>
      <c r="G603" s="24"/>
      <c r="H603" s="24"/>
      <c r="I603" s="24"/>
      <c r="J603" s="24"/>
      <c r="K603" s="51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3.5" customHeight="1">
      <c r="A604" s="24"/>
      <c r="B604" s="24"/>
      <c r="C604" s="24"/>
      <c r="D604" s="24"/>
      <c r="E604" s="51"/>
      <c r="F604" s="12"/>
      <c r="G604" s="24"/>
      <c r="H604" s="24"/>
      <c r="I604" s="24"/>
      <c r="J604" s="24"/>
      <c r="K604" s="51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3.5" customHeight="1">
      <c r="A605" s="24"/>
      <c r="B605" s="24"/>
      <c r="C605" s="24"/>
      <c r="D605" s="24"/>
      <c r="E605" s="51"/>
      <c r="F605" s="12"/>
      <c r="G605" s="24"/>
      <c r="H605" s="24"/>
      <c r="I605" s="24"/>
      <c r="J605" s="24"/>
      <c r="K605" s="51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3.5" customHeight="1">
      <c r="A606" s="24"/>
      <c r="B606" s="24"/>
      <c r="C606" s="24"/>
      <c r="D606" s="24"/>
      <c r="E606" s="51"/>
      <c r="F606" s="12"/>
      <c r="G606" s="24"/>
      <c r="H606" s="24"/>
      <c r="I606" s="24"/>
      <c r="J606" s="24"/>
      <c r="K606" s="51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3.5" customHeight="1">
      <c r="A607" s="24"/>
      <c r="B607" s="24"/>
      <c r="C607" s="24"/>
      <c r="D607" s="24"/>
      <c r="E607" s="51"/>
      <c r="F607" s="12"/>
      <c r="G607" s="24"/>
      <c r="H607" s="24"/>
      <c r="I607" s="24"/>
      <c r="J607" s="24"/>
      <c r="K607" s="51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3.5" customHeight="1">
      <c r="A608" s="24"/>
      <c r="B608" s="24"/>
      <c r="C608" s="24"/>
      <c r="D608" s="24"/>
      <c r="E608" s="51"/>
      <c r="F608" s="12"/>
      <c r="G608" s="24"/>
      <c r="H608" s="24"/>
      <c r="I608" s="24"/>
      <c r="J608" s="24"/>
      <c r="K608" s="51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3.5" customHeight="1">
      <c r="A609" s="24"/>
      <c r="B609" s="24"/>
      <c r="C609" s="24"/>
      <c r="D609" s="24"/>
      <c r="E609" s="51"/>
      <c r="F609" s="12"/>
      <c r="G609" s="24"/>
      <c r="H609" s="24"/>
      <c r="I609" s="24"/>
      <c r="J609" s="24"/>
      <c r="K609" s="51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3.5" customHeight="1">
      <c r="A610" s="24"/>
      <c r="B610" s="24"/>
      <c r="C610" s="24"/>
      <c r="D610" s="24"/>
      <c r="E610" s="51"/>
      <c r="F610" s="12"/>
      <c r="G610" s="24"/>
      <c r="H610" s="24"/>
      <c r="I610" s="24"/>
      <c r="J610" s="24"/>
      <c r="K610" s="51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3.5" customHeight="1">
      <c r="A611" s="24"/>
      <c r="B611" s="24"/>
      <c r="C611" s="24"/>
      <c r="D611" s="24"/>
      <c r="E611" s="51"/>
      <c r="F611" s="12"/>
      <c r="G611" s="24"/>
      <c r="H611" s="24"/>
      <c r="I611" s="24"/>
      <c r="J611" s="24"/>
      <c r="K611" s="51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3.5" customHeight="1">
      <c r="A612" s="24"/>
      <c r="B612" s="24"/>
      <c r="C612" s="24"/>
      <c r="D612" s="24"/>
      <c r="E612" s="51"/>
      <c r="F612" s="12"/>
      <c r="G612" s="24"/>
      <c r="H612" s="24"/>
      <c r="I612" s="24"/>
      <c r="J612" s="24"/>
      <c r="K612" s="51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3.5" customHeight="1">
      <c r="A613" s="24"/>
      <c r="B613" s="24"/>
      <c r="C613" s="24"/>
      <c r="D613" s="24"/>
      <c r="E613" s="51"/>
      <c r="F613" s="12"/>
      <c r="G613" s="24"/>
      <c r="H613" s="24"/>
      <c r="I613" s="24"/>
      <c r="J613" s="24"/>
      <c r="K613" s="51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3.5" customHeight="1">
      <c r="A614" s="24"/>
      <c r="B614" s="24"/>
      <c r="C614" s="24"/>
      <c r="D614" s="24"/>
      <c r="E614" s="51"/>
      <c r="F614" s="12"/>
      <c r="G614" s="24"/>
      <c r="H614" s="24"/>
      <c r="I614" s="24"/>
      <c r="J614" s="24"/>
      <c r="K614" s="51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3.5" customHeight="1">
      <c r="A615" s="24"/>
      <c r="B615" s="24"/>
      <c r="C615" s="24"/>
      <c r="D615" s="24"/>
      <c r="E615" s="51"/>
      <c r="F615" s="12"/>
      <c r="G615" s="24"/>
      <c r="H615" s="24"/>
      <c r="I615" s="24"/>
      <c r="J615" s="24"/>
      <c r="K615" s="51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3.5" customHeight="1">
      <c r="A616" s="24"/>
      <c r="B616" s="24"/>
      <c r="C616" s="24"/>
      <c r="D616" s="24"/>
      <c r="E616" s="51"/>
      <c r="F616" s="12"/>
      <c r="G616" s="24"/>
      <c r="H616" s="24"/>
      <c r="I616" s="24"/>
      <c r="J616" s="24"/>
      <c r="K616" s="51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3.5" customHeight="1">
      <c r="A617" s="24"/>
      <c r="B617" s="24"/>
      <c r="C617" s="24"/>
      <c r="D617" s="24"/>
      <c r="E617" s="51"/>
      <c r="F617" s="12"/>
      <c r="G617" s="24"/>
      <c r="H617" s="24"/>
      <c r="I617" s="24"/>
      <c r="J617" s="24"/>
      <c r="K617" s="51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3.5" customHeight="1">
      <c r="A618" s="24"/>
      <c r="B618" s="24"/>
      <c r="C618" s="24"/>
      <c r="D618" s="24"/>
      <c r="E618" s="51"/>
      <c r="F618" s="12"/>
      <c r="G618" s="24"/>
      <c r="H618" s="24"/>
      <c r="I618" s="24"/>
      <c r="J618" s="24"/>
      <c r="K618" s="51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3.5" customHeight="1">
      <c r="A619" s="24"/>
      <c r="B619" s="24"/>
      <c r="C619" s="24"/>
      <c r="D619" s="24"/>
      <c r="E619" s="51"/>
      <c r="F619" s="12"/>
      <c r="G619" s="24"/>
      <c r="H619" s="24"/>
      <c r="I619" s="24"/>
      <c r="J619" s="24"/>
      <c r="K619" s="51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3.5" customHeight="1">
      <c r="A620" s="24"/>
      <c r="B620" s="24"/>
      <c r="C620" s="24"/>
      <c r="D620" s="24"/>
      <c r="E620" s="51"/>
      <c r="F620" s="12"/>
      <c r="G620" s="24"/>
      <c r="H620" s="24"/>
      <c r="I620" s="24"/>
      <c r="J620" s="24"/>
      <c r="K620" s="51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3.5" customHeight="1">
      <c r="A621" s="24"/>
      <c r="B621" s="24"/>
      <c r="C621" s="24"/>
      <c r="D621" s="24"/>
      <c r="E621" s="51"/>
      <c r="F621" s="12"/>
      <c r="G621" s="24"/>
      <c r="H621" s="24"/>
      <c r="I621" s="24"/>
      <c r="J621" s="24"/>
      <c r="K621" s="51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3.5" customHeight="1">
      <c r="A622" s="24"/>
      <c r="B622" s="24"/>
      <c r="C622" s="24"/>
      <c r="D622" s="24"/>
      <c r="E622" s="51"/>
      <c r="F622" s="12"/>
      <c r="G622" s="24"/>
      <c r="H622" s="24"/>
      <c r="I622" s="24"/>
      <c r="J622" s="24"/>
      <c r="K622" s="51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3.5" customHeight="1">
      <c r="A623" s="24"/>
      <c r="B623" s="24"/>
      <c r="C623" s="24"/>
      <c r="D623" s="24"/>
      <c r="E623" s="51"/>
      <c r="F623" s="12"/>
      <c r="G623" s="24"/>
      <c r="H623" s="24"/>
      <c r="I623" s="24"/>
      <c r="J623" s="24"/>
      <c r="K623" s="51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3.5" customHeight="1">
      <c r="A624" s="24"/>
      <c r="B624" s="24"/>
      <c r="C624" s="24"/>
      <c r="D624" s="24"/>
      <c r="E624" s="51"/>
      <c r="F624" s="12"/>
      <c r="G624" s="24"/>
      <c r="H624" s="24"/>
      <c r="I624" s="24"/>
      <c r="J624" s="24"/>
      <c r="K624" s="51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3.5" customHeight="1">
      <c r="A625" s="24"/>
      <c r="B625" s="24"/>
      <c r="C625" s="24"/>
      <c r="D625" s="24"/>
      <c r="E625" s="51"/>
      <c r="F625" s="12"/>
      <c r="G625" s="24"/>
      <c r="H625" s="24"/>
      <c r="I625" s="24"/>
      <c r="J625" s="24"/>
      <c r="K625" s="51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3.5" customHeight="1">
      <c r="A626" s="24"/>
      <c r="B626" s="24"/>
      <c r="C626" s="24"/>
      <c r="D626" s="24"/>
      <c r="E626" s="51"/>
      <c r="F626" s="12"/>
      <c r="G626" s="24"/>
      <c r="H626" s="24"/>
      <c r="I626" s="24"/>
      <c r="J626" s="24"/>
      <c r="K626" s="51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3.5" customHeight="1">
      <c r="A627" s="24"/>
      <c r="B627" s="24"/>
      <c r="C627" s="24"/>
      <c r="D627" s="24"/>
      <c r="E627" s="51"/>
      <c r="F627" s="12"/>
      <c r="G627" s="24"/>
      <c r="H627" s="24"/>
      <c r="I627" s="24"/>
      <c r="J627" s="24"/>
      <c r="K627" s="51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3.5" customHeight="1">
      <c r="A628" s="24"/>
      <c r="B628" s="24"/>
      <c r="C628" s="24"/>
      <c r="D628" s="24"/>
      <c r="E628" s="51"/>
      <c r="F628" s="12"/>
      <c r="G628" s="24"/>
      <c r="H628" s="24"/>
      <c r="I628" s="24"/>
      <c r="J628" s="24"/>
      <c r="K628" s="51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3.5" customHeight="1">
      <c r="A629" s="24"/>
      <c r="B629" s="24"/>
      <c r="C629" s="24"/>
      <c r="D629" s="24"/>
      <c r="E629" s="51"/>
      <c r="F629" s="12"/>
      <c r="G629" s="24"/>
      <c r="H629" s="24"/>
      <c r="I629" s="24"/>
      <c r="J629" s="24"/>
      <c r="K629" s="51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3.5" customHeight="1">
      <c r="A630" s="24"/>
      <c r="B630" s="24"/>
      <c r="C630" s="24"/>
      <c r="D630" s="24"/>
      <c r="E630" s="51"/>
      <c r="F630" s="12"/>
      <c r="G630" s="24"/>
      <c r="H630" s="24"/>
      <c r="I630" s="24"/>
      <c r="J630" s="24"/>
      <c r="K630" s="51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3.5" customHeight="1">
      <c r="A631" s="24"/>
      <c r="B631" s="24"/>
      <c r="C631" s="24"/>
      <c r="D631" s="24"/>
      <c r="E631" s="51"/>
      <c r="F631" s="12"/>
      <c r="G631" s="24"/>
      <c r="H631" s="24"/>
      <c r="I631" s="24"/>
      <c r="J631" s="24"/>
      <c r="K631" s="51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3.5" customHeight="1">
      <c r="A632" s="24"/>
      <c r="B632" s="24"/>
      <c r="C632" s="24"/>
      <c r="D632" s="24"/>
      <c r="E632" s="51"/>
      <c r="F632" s="12"/>
      <c r="G632" s="24"/>
      <c r="H632" s="24"/>
      <c r="I632" s="24"/>
      <c r="J632" s="24"/>
      <c r="K632" s="51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3.5" customHeight="1">
      <c r="A633" s="24"/>
      <c r="B633" s="24"/>
      <c r="C633" s="24"/>
      <c r="D633" s="24"/>
      <c r="E633" s="51"/>
      <c r="F633" s="12"/>
      <c r="G633" s="24"/>
      <c r="H633" s="24"/>
      <c r="I633" s="24"/>
      <c r="J633" s="24"/>
      <c r="K633" s="51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3.5" customHeight="1">
      <c r="A634" s="24"/>
      <c r="B634" s="24"/>
      <c r="C634" s="24"/>
      <c r="D634" s="24"/>
      <c r="E634" s="51"/>
      <c r="F634" s="12"/>
      <c r="G634" s="24"/>
      <c r="H634" s="24"/>
      <c r="I634" s="24"/>
      <c r="J634" s="24"/>
      <c r="K634" s="51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3.5" customHeight="1">
      <c r="A635" s="24"/>
      <c r="B635" s="24"/>
      <c r="C635" s="24"/>
      <c r="D635" s="24"/>
      <c r="E635" s="51"/>
      <c r="F635" s="12"/>
      <c r="G635" s="24"/>
      <c r="H635" s="24"/>
      <c r="I635" s="24"/>
      <c r="J635" s="24"/>
      <c r="K635" s="51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3.5" customHeight="1">
      <c r="A636" s="24"/>
      <c r="B636" s="24"/>
      <c r="C636" s="24"/>
      <c r="D636" s="24"/>
      <c r="E636" s="51"/>
      <c r="F636" s="12"/>
      <c r="G636" s="24"/>
      <c r="H636" s="24"/>
      <c r="I636" s="24"/>
      <c r="J636" s="24"/>
      <c r="K636" s="51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3.5" customHeight="1">
      <c r="A637" s="24"/>
      <c r="B637" s="24"/>
      <c r="C637" s="24"/>
      <c r="D637" s="24"/>
      <c r="E637" s="51"/>
      <c r="F637" s="12"/>
      <c r="G637" s="24"/>
      <c r="H637" s="24"/>
      <c r="I637" s="24"/>
      <c r="J637" s="24"/>
      <c r="K637" s="51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3.5" customHeight="1">
      <c r="A638" s="24"/>
      <c r="B638" s="24"/>
      <c r="C638" s="24"/>
      <c r="D638" s="24"/>
      <c r="E638" s="51"/>
      <c r="F638" s="12"/>
      <c r="G638" s="24"/>
      <c r="H638" s="24"/>
      <c r="I638" s="24"/>
      <c r="J638" s="24"/>
      <c r="K638" s="51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3.5" customHeight="1">
      <c r="A639" s="24"/>
      <c r="B639" s="24"/>
      <c r="C639" s="24"/>
      <c r="D639" s="24"/>
      <c r="E639" s="51"/>
      <c r="F639" s="12"/>
      <c r="G639" s="24"/>
      <c r="H639" s="24"/>
      <c r="I639" s="24"/>
      <c r="J639" s="24"/>
      <c r="K639" s="51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3.5" customHeight="1">
      <c r="A640" s="24"/>
      <c r="B640" s="24"/>
      <c r="C640" s="24"/>
      <c r="D640" s="24"/>
      <c r="E640" s="51"/>
      <c r="F640" s="12"/>
      <c r="G640" s="24"/>
      <c r="H640" s="24"/>
      <c r="I640" s="24"/>
      <c r="J640" s="24"/>
      <c r="K640" s="51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3.5" customHeight="1">
      <c r="A641" s="24"/>
      <c r="B641" s="24"/>
      <c r="C641" s="24"/>
      <c r="D641" s="24"/>
      <c r="E641" s="51"/>
      <c r="F641" s="12"/>
      <c r="G641" s="24"/>
      <c r="H641" s="24"/>
      <c r="I641" s="24"/>
      <c r="J641" s="24"/>
      <c r="K641" s="51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3.5" customHeight="1">
      <c r="A642" s="24"/>
      <c r="B642" s="24"/>
      <c r="C642" s="24"/>
      <c r="D642" s="24"/>
      <c r="E642" s="51"/>
      <c r="F642" s="12"/>
      <c r="G642" s="24"/>
      <c r="H642" s="24"/>
      <c r="I642" s="24"/>
      <c r="J642" s="24"/>
      <c r="K642" s="51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3.5" customHeight="1">
      <c r="A643" s="24"/>
      <c r="B643" s="24"/>
      <c r="C643" s="24"/>
      <c r="D643" s="24"/>
      <c r="E643" s="51"/>
      <c r="F643" s="12"/>
      <c r="G643" s="24"/>
      <c r="H643" s="24"/>
      <c r="I643" s="24"/>
      <c r="J643" s="24"/>
      <c r="K643" s="51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3.5" customHeight="1">
      <c r="A644" s="24"/>
      <c r="B644" s="24"/>
      <c r="C644" s="24"/>
      <c r="D644" s="24"/>
      <c r="E644" s="51"/>
      <c r="F644" s="12"/>
      <c r="G644" s="24"/>
      <c r="H644" s="24"/>
      <c r="I644" s="24"/>
      <c r="J644" s="24"/>
      <c r="K644" s="51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3.5" customHeight="1">
      <c r="A645" s="24"/>
      <c r="B645" s="24"/>
      <c r="C645" s="24"/>
      <c r="D645" s="24"/>
      <c r="E645" s="51"/>
      <c r="F645" s="12"/>
      <c r="G645" s="24"/>
      <c r="H645" s="24"/>
      <c r="I645" s="24"/>
      <c r="J645" s="24"/>
      <c r="K645" s="51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3.5" customHeight="1">
      <c r="A646" s="24"/>
      <c r="B646" s="24"/>
      <c r="C646" s="24"/>
      <c r="D646" s="24"/>
      <c r="E646" s="51"/>
      <c r="F646" s="12"/>
      <c r="G646" s="24"/>
      <c r="H646" s="24"/>
      <c r="I646" s="24"/>
      <c r="J646" s="24"/>
      <c r="K646" s="51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3.5" customHeight="1">
      <c r="A647" s="24"/>
      <c r="B647" s="24"/>
      <c r="C647" s="24"/>
      <c r="D647" s="24"/>
      <c r="E647" s="51"/>
      <c r="F647" s="12"/>
      <c r="G647" s="24"/>
      <c r="H647" s="24"/>
      <c r="I647" s="24"/>
      <c r="J647" s="24"/>
      <c r="K647" s="51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3.5" customHeight="1">
      <c r="A648" s="24"/>
      <c r="B648" s="24"/>
      <c r="C648" s="24"/>
      <c r="D648" s="24"/>
      <c r="E648" s="51"/>
      <c r="F648" s="12"/>
      <c r="G648" s="24"/>
      <c r="H648" s="24"/>
      <c r="I648" s="24"/>
      <c r="J648" s="24"/>
      <c r="K648" s="51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3.5" customHeight="1">
      <c r="A649" s="24"/>
      <c r="B649" s="24"/>
      <c r="C649" s="24"/>
      <c r="D649" s="24"/>
      <c r="E649" s="51"/>
      <c r="F649" s="12"/>
      <c r="G649" s="24"/>
      <c r="H649" s="24"/>
      <c r="I649" s="24"/>
      <c r="J649" s="24"/>
      <c r="K649" s="51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3.5" customHeight="1">
      <c r="A650" s="24"/>
      <c r="B650" s="24"/>
      <c r="C650" s="24"/>
      <c r="D650" s="24"/>
      <c r="E650" s="51"/>
      <c r="F650" s="12"/>
      <c r="G650" s="24"/>
      <c r="H650" s="24"/>
      <c r="I650" s="24"/>
      <c r="J650" s="24"/>
      <c r="K650" s="51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3.5" customHeight="1">
      <c r="A651" s="24"/>
      <c r="B651" s="24"/>
      <c r="C651" s="24"/>
      <c r="D651" s="24"/>
      <c r="E651" s="51"/>
      <c r="F651" s="12"/>
      <c r="G651" s="24"/>
      <c r="H651" s="24"/>
      <c r="I651" s="24"/>
      <c r="J651" s="24"/>
      <c r="K651" s="51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3.5" customHeight="1">
      <c r="A652" s="24"/>
      <c r="B652" s="24"/>
      <c r="C652" s="24"/>
      <c r="D652" s="24"/>
      <c r="E652" s="51"/>
      <c r="F652" s="12"/>
      <c r="G652" s="24"/>
      <c r="H652" s="24"/>
      <c r="I652" s="24"/>
      <c r="J652" s="24"/>
      <c r="K652" s="51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3.5" customHeight="1">
      <c r="A653" s="24"/>
      <c r="B653" s="24"/>
      <c r="C653" s="24"/>
      <c r="D653" s="24"/>
      <c r="E653" s="51"/>
      <c r="F653" s="12"/>
      <c r="G653" s="24"/>
      <c r="H653" s="24"/>
      <c r="I653" s="24"/>
      <c r="J653" s="24"/>
      <c r="K653" s="51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3.5" customHeight="1">
      <c r="A654" s="24"/>
      <c r="B654" s="24"/>
      <c r="C654" s="24"/>
      <c r="D654" s="24"/>
      <c r="E654" s="51"/>
      <c r="F654" s="12"/>
      <c r="G654" s="24"/>
      <c r="H654" s="24"/>
      <c r="I654" s="24"/>
      <c r="J654" s="24"/>
      <c r="K654" s="51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3.5" customHeight="1">
      <c r="A655" s="24"/>
      <c r="B655" s="24"/>
      <c r="C655" s="24"/>
      <c r="D655" s="24"/>
      <c r="E655" s="51"/>
      <c r="F655" s="12"/>
      <c r="G655" s="24"/>
      <c r="H655" s="24"/>
      <c r="I655" s="24"/>
      <c r="J655" s="24"/>
      <c r="K655" s="51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3.5" customHeight="1">
      <c r="A656" s="24"/>
      <c r="B656" s="24"/>
      <c r="C656" s="24"/>
      <c r="D656" s="24"/>
      <c r="E656" s="51"/>
      <c r="F656" s="12"/>
      <c r="G656" s="24"/>
      <c r="H656" s="24"/>
      <c r="I656" s="24"/>
      <c r="J656" s="24"/>
      <c r="K656" s="51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3.5" customHeight="1">
      <c r="A657" s="24"/>
      <c r="B657" s="24"/>
      <c r="C657" s="24"/>
      <c r="D657" s="24"/>
      <c r="E657" s="51"/>
      <c r="F657" s="12"/>
      <c r="G657" s="24"/>
      <c r="H657" s="24"/>
      <c r="I657" s="24"/>
      <c r="J657" s="24"/>
      <c r="K657" s="51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3.5" customHeight="1">
      <c r="A658" s="24"/>
      <c r="B658" s="24"/>
      <c r="C658" s="24"/>
      <c r="D658" s="24"/>
      <c r="E658" s="51"/>
      <c r="F658" s="12"/>
      <c r="G658" s="24"/>
      <c r="H658" s="24"/>
      <c r="I658" s="24"/>
      <c r="J658" s="24"/>
      <c r="K658" s="51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3.5" customHeight="1">
      <c r="A659" s="24"/>
      <c r="B659" s="24"/>
      <c r="C659" s="24"/>
      <c r="D659" s="24"/>
      <c r="E659" s="51"/>
      <c r="F659" s="12"/>
      <c r="G659" s="24"/>
      <c r="H659" s="24"/>
      <c r="I659" s="24"/>
      <c r="J659" s="24"/>
      <c r="K659" s="51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3.5" customHeight="1">
      <c r="A660" s="24"/>
      <c r="B660" s="24"/>
      <c r="C660" s="24"/>
      <c r="D660" s="24"/>
      <c r="E660" s="51"/>
      <c r="F660" s="12"/>
      <c r="G660" s="24"/>
      <c r="H660" s="24"/>
      <c r="I660" s="24"/>
      <c r="J660" s="24"/>
      <c r="K660" s="51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3.5" customHeight="1">
      <c r="A661" s="24"/>
      <c r="B661" s="24"/>
      <c r="C661" s="24"/>
      <c r="D661" s="24"/>
      <c r="E661" s="51"/>
      <c r="F661" s="12"/>
      <c r="G661" s="24"/>
      <c r="H661" s="24"/>
      <c r="I661" s="24"/>
      <c r="J661" s="24"/>
      <c r="K661" s="51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3.5" customHeight="1">
      <c r="A662" s="24"/>
      <c r="B662" s="24"/>
      <c r="C662" s="24"/>
      <c r="D662" s="24"/>
      <c r="E662" s="51"/>
      <c r="F662" s="12"/>
      <c r="G662" s="24"/>
      <c r="H662" s="24"/>
      <c r="I662" s="24"/>
      <c r="J662" s="24"/>
      <c r="K662" s="51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3.5" customHeight="1">
      <c r="A663" s="24"/>
      <c r="B663" s="24"/>
      <c r="C663" s="24"/>
      <c r="D663" s="24"/>
      <c r="E663" s="51"/>
      <c r="F663" s="12"/>
      <c r="G663" s="24"/>
      <c r="H663" s="24"/>
      <c r="I663" s="24"/>
      <c r="J663" s="24"/>
      <c r="K663" s="51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3.5" customHeight="1">
      <c r="A664" s="24"/>
      <c r="B664" s="24"/>
      <c r="C664" s="24"/>
      <c r="D664" s="24"/>
      <c r="E664" s="51"/>
      <c r="F664" s="12"/>
      <c r="G664" s="24"/>
      <c r="H664" s="24"/>
      <c r="I664" s="24"/>
      <c r="J664" s="24"/>
      <c r="K664" s="51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3.5" customHeight="1">
      <c r="A665" s="24"/>
      <c r="B665" s="24"/>
      <c r="C665" s="24"/>
      <c r="D665" s="24"/>
      <c r="E665" s="51"/>
      <c r="F665" s="12"/>
      <c r="G665" s="24"/>
      <c r="H665" s="24"/>
      <c r="I665" s="24"/>
      <c r="J665" s="24"/>
      <c r="K665" s="51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3.5" customHeight="1">
      <c r="A666" s="24"/>
      <c r="B666" s="24"/>
      <c r="C666" s="24"/>
      <c r="D666" s="24"/>
      <c r="E666" s="51"/>
      <c r="F666" s="12"/>
      <c r="G666" s="24"/>
      <c r="H666" s="24"/>
      <c r="I666" s="24"/>
      <c r="J666" s="24"/>
      <c r="K666" s="51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3.5" customHeight="1">
      <c r="A667" s="24"/>
      <c r="B667" s="24"/>
      <c r="C667" s="24"/>
      <c r="D667" s="24"/>
      <c r="E667" s="51"/>
      <c r="F667" s="12"/>
      <c r="G667" s="24"/>
      <c r="H667" s="24"/>
      <c r="I667" s="24"/>
      <c r="J667" s="24"/>
      <c r="K667" s="51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3.5" customHeight="1">
      <c r="A668" s="24"/>
      <c r="B668" s="24"/>
      <c r="C668" s="24"/>
      <c r="D668" s="24"/>
      <c r="E668" s="51"/>
      <c r="F668" s="12"/>
      <c r="G668" s="24"/>
      <c r="H668" s="24"/>
      <c r="I668" s="24"/>
      <c r="J668" s="24"/>
      <c r="K668" s="51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3.5" customHeight="1">
      <c r="A669" s="24"/>
      <c r="B669" s="24"/>
      <c r="C669" s="24"/>
      <c r="D669" s="24"/>
      <c r="E669" s="51"/>
      <c r="F669" s="12"/>
      <c r="G669" s="24"/>
      <c r="H669" s="24"/>
      <c r="I669" s="24"/>
      <c r="J669" s="24"/>
      <c r="K669" s="51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3.5" customHeight="1">
      <c r="A670" s="24"/>
      <c r="B670" s="24"/>
      <c r="C670" s="24"/>
      <c r="D670" s="24"/>
      <c r="E670" s="51"/>
      <c r="F670" s="12"/>
      <c r="G670" s="24"/>
      <c r="H670" s="24"/>
      <c r="I670" s="24"/>
      <c r="J670" s="24"/>
      <c r="K670" s="51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3.5" customHeight="1">
      <c r="A671" s="24"/>
      <c r="B671" s="24"/>
      <c r="C671" s="24"/>
      <c r="D671" s="24"/>
      <c r="E671" s="51"/>
      <c r="F671" s="12"/>
      <c r="G671" s="24"/>
      <c r="H671" s="24"/>
      <c r="I671" s="24"/>
      <c r="J671" s="24"/>
      <c r="K671" s="51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3.5" customHeight="1">
      <c r="A672" s="24"/>
      <c r="B672" s="24"/>
      <c r="C672" s="24"/>
      <c r="D672" s="24"/>
      <c r="E672" s="51"/>
      <c r="F672" s="12"/>
      <c r="G672" s="24"/>
      <c r="H672" s="24"/>
      <c r="I672" s="24"/>
      <c r="J672" s="24"/>
      <c r="K672" s="51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3.5" customHeight="1">
      <c r="A673" s="24"/>
      <c r="B673" s="24"/>
      <c r="C673" s="24"/>
      <c r="D673" s="24"/>
      <c r="E673" s="51"/>
      <c r="F673" s="12"/>
      <c r="G673" s="24"/>
      <c r="H673" s="24"/>
      <c r="I673" s="24"/>
      <c r="J673" s="24"/>
      <c r="K673" s="51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3.5" customHeight="1">
      <c r="A674" s="24"/>
      <c r="B674" s="24"/>
      <c r="C674" s="24"/>
      <c r="D674" s="24"/>
      <c r="E674" s="51"/>
      <c r="F674" s="12"/>
      <c r="G674" s="24"/>
      <c r="H674" s="24"/>
      <c r="I674" s="24"/>
      <c r="J674" s="24"/>
      <c r="K674" s="51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3.5" customHeight="1">
      <c r="A675" s="24"/>
      <c r="B675" s="24"/>
      <c r="C675" s="24"/>
      <c r="D675" s="24"/>
      <c r="E675" s="51"/>
      <c r="F675" s="12"/>
      <c r="G675" s="24"/>
      <c r="H675" s="24"/>
      <c r="I675" s="24"/>
      <c r="J675" s="24"/>
      <c r="K675" s="51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3.5" customHeight="1">
      <c r="A676" s="24"/>
      <c r="B676" s="24"/>
      <c r="C676" s="24"/>
      <c r="D676" s="24"/>
      <c r="E676" s="51"/>
      <c r="F676" s="12"/>
      <c r="G676" s="24"/>
      <c r="H676" s="24"/>
      <c r="I676" s="24"/>
      <c r="J676" s="24"/>
      <c r="K676" s="51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3.5" customHeight="1">
      <c r="A677" s="24"/>
      <c r="B677" s="24"/>
      <c r="C677" s="24"/>
      <c r="D677" s="24"/>
      <c r="E677" s="51"/>
      <c r="F677" s="12"/>
      <c r="G677" s="24"/>
      <c r="H677" s="24"/>
      <c r="I677" s="24"/>
      <c r="J677" s="24"/>
      <c r="K677" s="51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3.5" customHeight="1">
      <c r="A678" s="24"/>
      <c r="B678" s="24"/>
      <c r="C678" s="24"/>
      <c r="D678" s="24"/>
      <c r="E678" s="51"/>
      <c r="F678" s="12"/>
      <c r="G678" s="24"/>
      <c r="H678" s="24"/>
      <c r="I678" s="24"/>
      <c r="J678" s="24"/>
      <c r="K678" s="51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3.5" customHeight="1">
      <c r="A679" s="24"/>
      <c r="B679" s="24"/>
      <c r="C679" s="24"/>
      <c r="D679" s="24"/>
      <c r="E679" s="51"/>
      <c r="F679" s="12"/>
      <c r="G679" s="24"/>
      <c r="H679" s="24"/>
      <c r="I679" s="24"/>
      <c r="J679" s="24"/>
      <c r="K679" s="51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3.5" customHeight="1">
      <c r="A680" s="24"/>
      <c r="B680" s="24"/>
      <c r="C680" s="24"/>
      <c r="D680" s="24"/>
      <c r="E680" s="51"/>
      <c r="F680" s="12"/>
      <c r="G680" s="24"/>
      <c r="H680" s="24"/>
      <c r="I680" s="24"/>
      <c r="J680" s="24"/>
      <c r="K680" s="51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3.5" customHeight="1">
      <c r="A681" s="24"/>
      <c r="B681" s="24"/>
      <c r="C681" s="24"/>
      <c r="D681" s="24"/>
      <c r="E681" s="51"/>
      <c r="F681" s="12"/>
      <c r="G681" s="24"/>
      <c r="H681" s="24"/>
      <c r="I681" s="24"/>
      <c r="J681" s="24"/>
      <c r="K681" s="51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3.5" customHeight="1">
      <c r="A682" s="24"/>
      <c r="B682" s="24"/>
      <c r="C682" s="24"/>
      <c r="D682" s="24"/>
      <c r="E682" s="51"/>
      <c r="F682" s="12"/>
      <c r="G682" s="24"/>
      <c r="H682" s="24"/>
      <c r="I682" s="24"/>
      <c r="J682" s="24"/>
      <c r="K682" s="51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3.5" customHeight="1">
      <c r="A683" s="24"/>
      <c r="B683" s="24"/>
      <c r="C683" s="24"/>
      <c r="D683" s="24"/>
      <c r="E683" s="51"/>
      <c r="F683" s="12"/>
      <c r="G683" s="24"/>
      <c r="H683" s="24"/>
      <c r="I683" s="24"/>
      <c r="J683" s="24"/>
      <c r="K683" s="51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3.5" customHeight="1">
      <c r="A684" s="24"/>
      <c r="B684" s="24"/>
      <c r="C684" s="24"/>
      <c r="D684" s="24"/>
      <c r="E684" s="51"/>
      <c r="F684" s="12"/>
      <c r="G684" s="24"/>
      <c r="H684" s="24"/>
      <c r="I684" s="24"/>
      <c r="J684" s="24"/>
      <c r="K684" s="51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3.5" customHeight="1">
      <c r="A685" s="24"/>
      <c r="B685" s="24"/>
      <c r="C685" s="24"/>
      <c r="D685" s="24"/>
      <c r="E685" s="51"/>
      <c r="F685" s="12"/>
      <c r="G685" s="24"/>
      <c r="H685" s="24"/>
      <c r="I685" s="24"/>
      <c r="J685" s="24"/>
      <c r="K685" s="51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3.5" customHeight="1">
      <c r="A686" s="24"/>
      <c r="B686" s="24"/>
      <c r="C686" s="24"/>
      <c r="D686" s="24"/>
      <c r="E686" s="51"/>
      <c r="F686" s="12"/>
      <c r="G686" s="24"/>
      <c r="H686" s="24"/>
      <c r="I686" s="24"/>
      <c r="J686" s="24"/>
      <c r="K686" s="51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3.5" customHeight="1">
      <c r="A687" s="24"/>
      <c r="B687" s="24"/>
      <c r="C687" s="24"/>
      <c r="D687" s="24"/>
      <c r="E687" s="51"/>
      <c r="F687" s="12"/>
      <c r="G687" s="24"/>
      <c r="H687" s="24"/>
      <c r="I687" s="24"/>
      <c r="J687" s="24"/>
      <c r="K687" s="51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3.5" customHeight="1">
      <c r="A688" s="24"/>
      <c r="B688" s="24"/>
      <c r="C688" s="24"/>
      <c r="D688" s="24"/>
      <c r="E688" s="51"/>
      <c r="F688" s="12"/>
      <c r="G688" s="24"/>
      <c r="H688" s="24"/>
      <c r="I688" s="24"/>
      <c r="J688" s="24"/>
      <c r="K688" s="51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3.5" customHeight="1">
      <c r="A689" s="24"/>
      <c r="B689" s="24"/>
      <c r="C689" s="24"/>
      <c r="D689" s="24"/>
      <c r="E689" s="51"/>
      <c r="F689" s="12"/>
      <c r="G689" s="24"/>
      <c r="H689" s="24"/>
      <c r="I689" s="24"/>
      <c r="J689" s="24"/>
      <c r="K689" s="51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3.5" customHeight="1">
      <c r="A690" s="24"/>
      <c r="B690" s="24"/>
      <c r="C690" s="24"/>
      <c r="D690" s="24"/>
      <c r="E690" s="51"/>
      <c r="F690" s="12"/>
      <c r="G690" s="24"/>
      <c r="H690" s="24"/>
      <c r="I690" s="24"/>
      <c r="J690" s="24"/>
      <c r="K690" s="51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3.5" customHeight="1">
      <c r="A691" s="24"/>
      <c r="B691" s="24"/>
      <c r="C691" s="24"/>
      <c r="D691" s="24"/>
      <c r="E691" s="51"/>
      <c r="F691" s="12"/>
      <c r="G691" s="24"/>
      <c r="H691" s="24"/>
      <c r="I691" s="24"/>
      <c r="J691" s="24"/>
      <c r="K691" s="51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3.5" customHeight="1">
      <c r="A692" s="24"/>
      <c r="B692" s="24"/>
      <c r="C692" s="24"/>
      <c r="D692" s="24"/>
      <c r="E692" s="51"/>
      <c r="F692" s="12"/>
      <c r="G692" s="24"/>
      <c r="H692" s="24"/>
      <c r="I692" s="24"/>
      <c r="J692" s="24"/>
      <c r="K692" s="51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3.5" customHeight="1">
      <c r="A693" s="24"/>
      <c r="B693" s="24"/>
      <c r="C693" s="24"/>
      <c r="D693" s="24"/>
      <c r="E693" s="51"/>
      <c r="F693" s="12"/>
      <c r="G693" s="24"/>
      <c r="H693" s="24"/>
      <c r="I693" s="24"/>
      <c r="J693" s="24"/>
      <c r="K693" s="51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3.5" customHeight="1">
      <c r="A694" s="24"/>
      <c r="B694" s="24"/>
      <c r="C694" s="24"/>
      <c r="D694" s="24"/>
      <c r="E694" s="51"/>
      <c r="F694" s="12"/>
      <c r="G694" s="24"/>
      <c r="H694" s="24"/>
      <c r="I694" s="24"/>
      <c r="J694" s="24"/>
      <c r="K694" s="51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3.5" customHeight="1">
      <c r="A695" s="24"/>
      <c r="B695" s="24"/>
      <c r="C695" s="24"/>
      <c r="D695" s="24"/>
      <c r="E695" s="51"/>
      <c r="F695" s="12"/>
      <c r="G695" s="24"/>
      <c r="H695" s="24"/>
      <c r="I695" s="24"/>
      <c r="J695" s="24"/>
      <c r="K695" s="51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3.5" customHeight="1">
      <c r="A696" s="24"/>
      <c r="B696" s="24"/>
      <c r="C696" s="24"/>
      <c r="D696" s="24"/>
      <c r="E696" s="51"/>
      <c r="F696" s="12"/>
      <c r="G696" s="24"/>
      <c r="H696" s="24"/>
      <c r="I696" s="24"/>
      <c r="J696" s="24"/>
      <c r="K696" s="51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3.5" customHeight="1">
      <c r="A697" s="24"/>
      <c r="B697" s="24"/>
      <c r="C697" s="24"/>
      <c r="D697" s="24"/>
      <c r="E697" s="51"/>
      <c r="F697" s="12"/>
      <c r="G697" s="24"/>
      <c r="H697" s="24"/>
      <c r="I697" s="24"/>
      <c r="J697" s="24"/>
      <c r="K697" s="51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3.5" customHeight="1">
      <c r="A698" s="24"/>
      <c r="B698" s="24"/>
      <c r="C698" s="24"/>
      <c r="D698" s="24"/>
      <c r="E698" s="51"/>
      <c r="F698" s="12"/>
      <c r="G698" s="24"/>
      <c r="H698" s="24"/>
      <c r="I698" s="24"/>
      <c r="J698" s="24"/>
      <c r="K698" s="51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3.5" customHeight="1">
      <c r="A699" s="24"/>
      <c r="B699" s="24"/>
      <c r="C699" s="24"/>
      <c r="D699" s="24"/>
      <c r="E699" s="51"/>
      <c r="F699" s="12"/>
      <c r="G699" s="24"/>
      <c r="H699" s="24"/>
      <c r="I699" s="24"/>
      <c r="J699" s="24"/>
      <c r="K699" s="51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3.5" customHeight="1">
      <c r="A700" s="24"/>
      <c r="B700" s="24"/>
      <c r="C700" s="24"/>
      <c r="D700" s="24"/>
      <c r="E700" s="51"/>
      <c r="F700" s="12"/>
      <c r="G700" s="24"/>
      <c r="H700" s="24"/>
      <c r="I700" s="24"/>
      <c r="J700" s="24"/>
      <c r="K700" s="51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3.5" customHeight="1">
      <c r="A701" s="24"/>
      <c r="B701" s="24"/>
      <c r="C701" s="24"/>
      <c r="D701" s="24"/>
      <c r="E701" s="51"/>
      <c r="F701" s="12"/>
      <c r="G701" s="24"/>
      <c r="H701" s="24"/>
      <c r="I701" s="24"/>
      <c r="J701" s="24"/>
      <c r="K701" s="51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3.5" customHeight="1">
      <c r="A702" s="24"/>
      <c r="B702" s="24"/>
      <c r="C702" s="24"/>
      <c r="D702" s="24"/>
      <c r="E702" s="51"/>
      <c r="F702" s="12"/>
      <c r="G702" s="24"/>
      <c r="H702" s="24"/>
      <c r="I702" s="24"/>
      <c r="J702" s="24"/>
      <c r="K702" s="51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3.5" customHeight="1">
      <c r="A703" s="24"/>
      <c r="B703" s="24"/>
      <c r="C703" s="24"/>
      <c r="D703" s="24"/>
      <c r="E703" s="51"/>
      <c r="F703" s="12"/>
      <c r="G703" s="24"/>
      <c r="H703" s="24"/>
      <c r="I703" s="24"/>
      <c r="J703" s="24"/>
      <c r="K703" s="51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3.5" customHeight="1">
      <c r="A704" s="24"/>
      <c r="B704" s="24"/>
      <c r="C704" s="24"/>
      <c r="D704" s="24"/>
      <c r="E704" s="51"/>
      <c r="F704" s="12"/>
      <c r="G704" s="24"/>
      <c r="H704" s="24"/>
      <c r="I704" s="24"/>
      <c r="J704" s="24"/>
      <c r="K704" s="51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3.5" customHeight="1">
      <c r="A705" s="24"/>
      <c r="B705" s="24"/>
      <c r="C705" s="24"/>
      <c r="D705" s="24"/>
      <c r="E705" s="51"/>
      <c r="F705" s="12"/>
      <c r="G705" s="24"/>
      <c r="H705" s="24"/>
      <c r="I705" s="24"/>
      <c r="J705" s="24"/>
      <c r="K705" s="51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3.5" customHeight="1">
      <c r="A706" s="24"/>
      <c r="B706" s="24"/>
      <c r="C706" s="24"/>
      <c r="D706" s="24"/>
      <c r="E706" s="51"/>
      <c r="F706" s="12"/>
      <c r="G706" s="24"/>
      <c r="H706" s="24"/>
      <c r="I706" s="24"/>
      <c r="J706" s="24"/>
      <c r="K706" s="51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3.5" customHeight="1">
      <c r="A707" s="24"/>
      <c r="B707" s="24"/>
      <c r="C707" s="24"/>
      <c r="D707" s="24"/>
      <c r="E707" s="51"/>
      <c r="F707" s="12"/>
      <c r="G707" s="24"/>
      <c r="H707" s="24"/>
      <c r="I707" s="24"/>
      <c r="J707" s="24"/>
      <c r="K707" s="51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3.5" customHeight="1">
      <c r="A708" s="24"/>
      <c r="B708" s="24"/>
      <c r="C708" s="24"/>
      <c r="D708" s="24"/>
      <c r="E708" s="51"/>
      <c r="F708" s="12"/>
      <c r="G708" s="24"/>
      <c r="H708" s="24"/>
      <c r="I708" s="24"/>
      <c r="J708" s="24"/>
      <c r="K708" s="51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3.5" customHeight="1">
      <c r="A709" s="24"/>
      <c r="B709" s="24"/>
      <c r="C709" s="24"/>
      <c r="D709" s="24"/>
      <c r="E709" s="51"/>
      <c r="F709" s="12"/>
      <c r="G709" s="24"/>
      <c r="H709" s="24"/>
      <c r="I709" s="24"/>
      <c r="J709" s="24"/>
      <c r="K709" s="51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3.5" customHeight="1">
      <c r="A710" s="24"/>
      <c r="B710" s="24"/>
      <c r="C710" s="24"/>
      <c r="D710" s="24"/>
      <c r="E710" s="51"/>
      <c r="F710" s="12"/>
      <c r="G710" s="24"/>
      <c r="H710" s="24"/>
      <c r="I710" s="24"/>
      <c r="J710" s="24"/>
      <c r="K710" s="51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3.5" customHeight="1">
      <c r="A711" s="24"/>
      <c r="B711" s="24"/>
      <c r="C711" s="24"/>
      <c r="D711" s="24"/>
      <c r="E711" s="51"/>
      <c r="F711" s="12"/>
      <c r="G711" s="24"/>
      <c r="H711" s="24"/>
      <c r="I711" s="24"/>
      <c r="J711" s="24"/>
      <c r="K711" s="51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3.5" customHeight="1">
      <c r="A712" s="24"/>
      <c r="B712" s="24"/>
      <c r="C712" s="24"/>
      <c r="D712" s="24"/>
      <c r="E712" s="51"/>
      <c r="F712" s="12"/>
      <c r="G712" s="24"/>
      <c r="H712" s="24"/>
      <c r="I712" s="24"/>
      <c r="J712" s="24"/>
      <c r="K712" s="51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3.5" customHeight="1">
      <c r="A713" s="24"/>
      <c r="B713" s="24"/>
      <c r="C713" s="24"/>
      <c r="D713" s="24"/>
      <c r="E713" s="51"/>
      <c r="F713" s="12"/>
      <c r="G713" s="24"/>
      <c r="H713" s="24"/>
      <c r="I713" s="24"/>
      <c r="J713" s="24"/>
      <c r="K713" s="51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3.5" customHeight="1">
      <c r="A714" s="24"/>
      <c r="B714" s="24"/>
      <c r="C714" s="24"/>
      <c r="D714" s="24"/>
      <c r="E714" s="51"/>
      <c r="F714" s="12"/>
      <c r="G714" s="24"/>
      <c r="H714" s="24"/>
      <c r="I714" s="24"/>
      <c r="J714" s="24"/>
      <c r="K714" s="51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3.5" customHeight="1">
      <c r="A715" s="24"/>
      <c r="B715" s="24"/>
      <c r="C715" s="24"/>
      <c r="D715" s="24"/>
      <c r="E715" s="51"/>
      <c r="F715" s="12"/>
      <c r="G715" s="24"/>
      <c r="H715" s="24"/>
      <c r="I715" s="24"/>
      <c r="J715" s="24"/>
      <c r="K715" s="51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3.5" customHeight="1">
      <c r="A716" s="24"/>
      <c r="B716" s="24"/>
      <c r="C716" s="24"/>
      <c r="D716" s="24"/>
      <c r="E716" s="51"/>
      <c r="F716" s="12"/>
      <c r="G716" s="24"/>
      <c r="H716" s="24"/>
      <c r="I716" s="24"/>
      <c r="J716" s="24"/>
      <c r="K716" s="51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3.5" customHeight="1">
      <c r="A717" s="24"/>
      <c r="B717" s="24"/>
      <c r="C717" s="24"/>
      <c r="D717" s="24"/>
      <c r="E717" s="51"/>
      <c r="F717" s="12"/>
      <c r="G717" s="24"/>
      <c r="H717" s="24"/>
      <c r="I717" s="24"/>
      <c r="J717" s="24"/>
      <c r="K717" s="51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3.5" customHeight="1">
      <c r="A718" s="24"/>
      <c r="B718" s="24"/>
      <c r="C718" s="24"/>
      <c r="D718" s="24"/>
      <c r="E718" s="51"/>
      <c r="F718" s="12"/>
      <c r="G718" s="24"/>
      <c r="H718" s="24"/>
      <c r="I718" s="24"/>
      <c r="J718" s="24"/>
      <c r="K718" s="51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3.5" customHeight="1">
      <c r="A719" s="24"/>
      <c r="B719" s="24"/>
      <c r="C719" s="24"/>
      <c r="D719" s="24"/>
      <c r="E719" s="51"/>
      <c r="F719" s="12"/>
      <c r="G719" s="24"/>
      <c r="H719" s="24"/>
      <c r="I719" s="24"/>
      <c r="J719" s="24"/>
      <c r="K719" s="51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3.5" customHeight="1">
      <c r="A720" s="24"/>
      <c r="B720" s="24"/>
      <c r="C720" s="24"/>
      <c r="D720" s="24"/>
      <c r="E720" s="51"/>
      <c r="F720" s="12"/>
      <c r="G720" s="24"/>
      <c r="H720" s="24"/>
      <c r="I720" s="24"/>
      <c r="J720" s="24"/>
      <c r="K720" s="51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3.5" customHeight="1">
      <c r="A721" s="24"/>
      <c r="B721" s="24"/>
      <c r="C721" s="24"/>
      <c r="D721" s="24"/>
      <c r="E721" s="51"/>
      <c r="F721" s="12"/>
      <c r="G721" s="24"/>
      <c r="H721" s="24"/>
      <c r="I721" s="24"/>
      <c r="J721" s="24"/>
      <c r="K721" s="51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3.5" customHeight="1">
      <c r="A722" s="24"/>
      <c r="B722" s="24"/>
      <c r="C722" s="24"/>
      <c r="D722" s="24"/>
      <c r="E722" s="51"/>
      <c r="F722" s="12"/>
      <c r="G722" s="24"/>
      <c r="H722" s="24"/>
      <c r="I722" s="24"/>
      <c r="J722" s="24"/>
      <c r="K722" s="51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3.5" customHeight="1">
      <c r="A723" s="24"/>
      <c r="B723" s="24"/>
      <c r="C723" s="24"/>
      <c r="D723" s="24"/>
      <c r="E723" s="51"/>
      <c r="F723" s="12"/>
      <c r="G723" s="24"/>
      <c r="H723" s="24"/>
      <c r="I723" s="24"/>
      <c r="J723" s="24"/>
      <c r="K723" s="51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3.5" customHeight="1">
      <c r="A724" s="24"/>
      <c r="B724" s="24"/>
      <c r="C724" s="24"/>
      <c r="D724" s="24"/>
      <c r="E724" s="51"/>
      <c r="F724" s="12"/>
      <c r="G724" s="24"/>
      <c r="H724" s="24"/>
      <c r="I724" s="24"/>
      <c r="J724" s="24"/>
      <c r="K724" s="51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3.5" customHeight="1">
      <c r="A725" s="24"/>
      <c r="B725" s="24"/>
      <c r="C725" s="24"/>
      <c r="D725" s="24"/>
      <c r="E725" s="51"/>
      <c r="F725" s="12"/>
      <c r="G725" s="24"/>
      <c r="H725" s="24"/>
      <c r="I725" s="24"/>
      <c r="J725" s="24"/>
      <c r="K725" s="51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3.5" customHeight="1">
      <c r="A726" s="24"/>
      <c r="B726" s="24"/>
      <c r="C726" s="24"/>
      <c r="D726" s="24"/>
      <c r="E726" s="51"/>
      <c r="F726" s="12"/>
      <c r="G726" s="24"/>
      <c r="H726" s="24"/>
      <c r="I726" s="24"/>
      <c r="J726" s="24"/>
      <c r="K726" s="51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3.5" customHeight="1">
      <c r="A727" s="24"/>
      <c r="B727" s="24"/>
      <c r="C727" s="24"/>
      <c r="D727" s="24"/>
      <c r="E727" s="51"/>
      <c r="F727" s="12"/>
      <c r="G727" s="24"/>
      <c r="H727" s="24"/>
      <c r="I727" s="24"/>
      <c r="J727" s="24"/>
      <c r="K727" s="51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3.5" customHeight="1">
      <c r="A728" s="24"/>
      <c r="B728" s="24"/>
      <c r="C728" s="24"/>
      <c r="D728" s="24"/>
      <c r="E728" s="51"/>
      <c r="F728" s="12"/>
      <c r="G728" s="24"/>
      <c r="H728" s="24"/>
      <c r="I728" s="24"/>
      <c r="J728" s="24"/>
      <c r="K728" s="51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3.5" customHeight="1">
      <c r="A729" s="24"/>
      <c r="B729" s="24"/>
      <c r="C729" s="24"/>
      <c r="D729" s="24"/>
      <c r="E729" s="51"/>
      <c r="F729" s="12"/>
      <c r="G729" s="24"/>
      <c r="H729" s="24"/>
      <c r="I729" s="24"/>
      <c r="J729" s="24"/>
      <c r="K729" s="51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3.5" customHeight="1">
      <c r="A730" s="24"/>
      <c r="B730" s="24"/>
      <c r="C730" s="24"/>
      <c r="D730" s="24"/>
      <c r="E730" s="51"/>
      <c r="F730" s="12"/>
      <c r="G730" s="24"/>
      <c r="H730" s="24"/>
      <c r="I730" s="24"/>
      <c r="J730" s="24"/>
      <c r="K730" s="51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3.5" customHeight="1">
      <c r="A731" s="24"/>
      <c r="B731" s="24"/>
      <c r="C731" s="24"/>
      <c r="D731" s="24"/>
      <c r="E731" s="51"/>
      <c r="F731" s="12"/>
      <c r="G731" s="24"/>
      <c r="H731" s="24"/>
      <c r="I731" s="24"/>
      <c r="J731" s="24"/>
      <c r="K731" s="51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3.5" customHeight="1">
      <c r="A732" s="24"/>
      <c r="B732" s="24"/>
      <c r="C732" s="24"/>
      <c r="D732" s="24"/>
      <c r="E732" s="51"/>
      <c r="F732" s="12"/>
      <c r="G732" s="24"/>
      <c r="H732" s="24"/>
      <c r="I732" s="24"/>
      <c r="J732" s="24"/>
      <c r="K732" s="51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3.5" customHeight="1">
      <c r="A733" s="24"/>
      <c r="B733" s="24"/>
      <c r="C733" s="24"/>
      <c r="D733" s="24"/>
      <c r="E733" s="51"/>
      <c r="F733" s="12"/>
      <c r="G733" s="24"/>
      <c r="H733" s="24"/>
      <c r="I733" s="24"/>
      <c r="J733" s="24"/>
      <c r="K733" s="51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3.5" customHeight="1">
      <c r="A734" s="24"/>
      <c r="B734" s="24"/>
      <c r="C734" s="24"/>
      <c r="D734" s="24"/>
      <c r="E734" s="51"/>
      <c r="F734" s="12"/>
      <c r="G734" s="24"/>
      <c r="H734" s="24"/>
      <c r="I734" s="24"/>
      <c r="J734" s="24"/>
      <c r="K734" s="51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3.5" customHeight="1">
      <c r="A735" s="24"/>
      <c r="B735" s="24"/>
      <c r="C735" s="24"/>
      <c r="D735" s="24"/>
      <c r="E735" s="51"/>
      <c r="F735" s="12"/>
      <c r="G735" s="24"/>
      <c r="H735" s="24"/>
      <c r="I735" s="24"/>
      <c r="J735" s="24"/>
      <c r="K735" s="51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3.5" customHeight="1">
      <c r="A736" s="24"/>
      <c r="B736" s="24"/>
      <c r="C736" s="24"/>
      <c r="D736" s="24"/>
      <c r="E736" s="51"/>
      <c r="F736" s="12"/>
      <c r="G736" s="24"/>
      <c r="H736" s="24"/>
      <c r="I736" s="24"/>
      <c r="J736" s="24"/>
      <c r="K736" s="51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3.5" customHeight="1">
      <c r="A737" s="24"/>
      <c r="B737" s="24"/>
      <c r="C737" s="24"/>
      <c r="D737" s="24"/>
      <c r="E737" s="51"/>
      <c r="F737" s="12"/>
      <c r="G737" s="24"/>
      <c r="H737" s="24"/>
      <c r="I737" s="24"/>
      <c r="J737" s="24"/>
      <c r="K737" s="51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3.5" customHeight="1">
      <c r="A738" s="24"/>
      <c r="B738" s="24"/>
      <c r="C738" s="24"/>
      <c r="D738" s="24"/>
      <c r="E738" s="51"/>
      <c r="F738" s="12"/>
      <c r="G738" s="24"/>
      <c r="H738" s="24"/>
      <c r="I738" s="24"/>
      <c r="J738" s="24"/>
      <c r="K738" s="51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3.5" customHeight="1">
      <c r="A739" s="24"/>
      <c r="B739" s="24"/>
      <c r="C739" s="24"/>
      <c r="D739" s="24"/>
      <c r="E739" s="51"/>
      <c r="F739" s="12"/>
      <c r="G739" s="24"/>
      <c r="H739" s="24"/>
      <c r="I739" s="24"/>
      <c r="J739" s="24"/>
      <c r="K739" s="51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3.5" customHeight="1">
      <c r="A740" s="24"/>
      <c r="B740" s="24"/>
      <c r="C740" s="24"/>
      <c r="D740" s="24"/>
      <c r="E740" s="51"/>
      <c r="F740" s="12"/>
      <c r="G740" s="24"/>
      <c r="H740" s="24"/>
      <c r="I740" s="24"/>
      <c r="J740" s="24"/>
      <c r="K740" s="51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3.5" customHeight="1">
      <c r="A741" s="24"/>
      <c r="B741" s="24"/>
      <c r="C741" s="24"/>
      <c r="D741" s="24"/>
      <c r="E741" s="51"/>
      <c r="F741" s="12"/>
      <c r="G741" s="24"/>
      <c r="H741" s="24"/>
      <c r="I741" s="24"/>
      <c r="J741" s="24"/>
      <c r="K741" s="51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3.5" customHeight="1">
      <c r="A742" s="24"/>
      <c r="B742" s="24"/>
      <c r="C742" s="24"/>
      <c r="D742" s="24"/>
      <c r="E742" s="51"/>
      <c r="F742" s="12"/>
      <c r="G742" s="24"/>
      <c r="H742" s="24"/>
      <c r="I742" s="24"/>
      <c r="J742" s="24"/>
      <c r="K742" s="51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3.5" customHeight="1">
      <c r="A743" s="24"/>
      <c r="B743" s="24"/>
      <c r="C743" s="24"/>
      <c r="D743" s="24"/>
      <c r="E743" s="51"/>
      <c r="F743" s="12"/>
      <c r="G743" s="24"/>
      <c r="H743" s="24"/>
      <c r="I743" s="24"/>
      <c r="J743" s="24"/>
      <c r="K743" s="51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3.5" customHeight="1">
      <c r="A744" s="24"/>
      <c r="B744" s="24"/>
      <c r="C744" s="24"/>
      <c r="D744" s="24"/>
      <c r="E744" s="51"/>
      <c r="F744" s="12"/>
      <c r="G744" s="24"/>
      <c r="H744" s="24"/>
      <c r="I744" s="24"/>
      <c r="J744" s="24"/>
      <c r="K744" s="51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3.5" customHeight="1">
      <c r="A745" s="24"/>
      <c r="B745" s="24"/>
      <c r="C745" s="24"/>
      <c r="D745" s="24"/>
      <c r="E745" s="51"/>
      <c r="F745" s="12"/>
      <c r="G745" s="24"/>
      <c r="H745" s="24"/>
      <c r="I745" s="24"/>
      <c r="J745" s="24"/>
      <c r="K745" s="51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3.5" customHeight="1">
      <c r="A746" s="24"/>
      <c r="B746" s="24"/>
      <c r="C746" s="24"/>
      <c r="D746" s="24"/>
      <c r="E746" s="51"/>
      <c r="F746" s="12"/>
      <c r="G746" s="24"/>
      <c r="H746" s="24"/>
      <c r="I746" s="24"/>
      <c r="J746" s="24"/>
      <c r="K746" s="51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3.5" customHeight="1">
      <c r="A747" s="24"/>
      <c r="B747" s="24"/>
      <c r="C747" s="24"/>
      <c r="D747" s="24"/>
      <c r="E747" s="51"/>
      <c r="F747" s="12"/>
      <c r="G747" s="24"/>
      <c r="H747" s="24"/>
      <c r="I747" s="24"/>
      <c r="J747" s="24"/>
      <c r="K747" s="51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3.5" customHeight="1">
      <c r="A748" s="24"/>
      <c r="B748" s="24"/>
      <c r="C748" s="24"/>
      <c r="D748" s="24"/>
      <c r="E748" s="51"/>
      <c r="F748" s="12"/>
      <c r="G748" s="24"/>
      <c r="H748" s="24"/>
      <c r="I748" s="24"/>
      <c r="J748" s="24"/>
      <c r="K748" s="51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3.5" customHeight="1">
      <c r="A749" s="24"/>
      <c r="B749" s="24"/>
      <c r="C749" s="24"/>
      <c r="D749" s="24"/>
      <c r="E749" s="51"/>
      <c r="F749" s="12"/>
      <c r="G749" s="24"/>
      <c r="H749" s="24"/>
      <c r="I749" s="24"/>
      <c r="J749" s="24"/>
      <c r="K749" s="51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3.5" customHeight="1">
      <c r="A750" s="24"/>
      <c r="B750" s="24"/>
      <c r="C750" s="24"/>
      <c r="D750" s="24"/>
      <c r="E750" s="51"/>
      <c r="F750" s="12"/>
      <c r="G750" s="24"/>
      <c r="H750" s="24"/>
      <c r="I750" s="24"/>
      <c r="J750" s="24"/>
      <c r="K750" s="51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3.5" customHeight="1">
      <c r="A751" s="24"/>
      <c r="B751" s="24"/>
      <c r="C751" s="24"/>
      <c r="D751" s="24"/>
      <c r="E751" s="51"/>
      <c r="F751" s="12"/>
      <c r="G751" s="24"/>
      <c r="H751" s="24"/>
      <c r="I751" s="24"/>
      <c r="J751" s="24"/>
      <c r="K751" s="51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3.5" customHeight="1">
      <c r="A752" s="24"/>
      <c r="B752" s="24"/>
      <c r="C752" s="24"/>
      <c r="D752" s="24"/>
      <c r="E752" s="51"/>
      <c r="F752" s="12"/>
      <c r="G752" s="24"/>
      <c r="H752" s="24"/>
      <c r="I752" s="24"/>
      <c r="J752" s="24"/>
      <c r="K752" s="51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3.5" customHeight="1">
      <c r="A753" s="24"/>
      <c r="B753" s="24"/>
      <c r="C753" s="24"/>
      <c r="D753" s="24"/>
      <c r="E753" s="51"/>
      <c r="F753" s="12"/>
      <c r="G753" s="24"/>
      <c r="H753" s="24"/>
      <c r="I753" s="24"/>
      <c r="J753" s="24"/>
      <c r="K753" s="51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3.5" customHeight="1">
      <c r="A754" s="24"/>
      <c r="B754" s="24"/>
      <c r="C754" s="24"/>
      <c r="D754" s="24"/>
      <c r="E754" s="51"/>
      <c r="F754" s="12"/>
      <c r="G754" s="24"/>
      <c r="H754" s="24"/>
      <c r="I754" s="24"/>
      <c r="J754" s="24"/>
      <c r="K754" s="51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3.5" customHeight="1">
      <c r="A755" s="24"/>
      <c r="B755" s="24"/>
      <c r="C755" s="24"/>
      <c r="D755" s="24"/>
      <c r="E755" s="51"/>
      <c r="F755" s="12"/>
      <c r="G755" s="24"/>
      <c r="H755" s="24"/>
      <c r="I755" s="24"/>
      <c r="J755" s="24"/>
      <c r="K755" s="51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3.5" customHeight="1">
      <c r="A756" s="24"/>
      <c r="B756" s="24"/>
      <c r="C756" s="24"/>
      <c r="D756" s="24"/>
      <c r="E756" s="51"/>
      <c r="F756" s="12"/>
      <c r="G756" s="24"/>
      <c r="H756" s="24"/>
      <c r="I756" s="24"/>
      <c r="J756" s="24"/>
      <c r="K756" s="51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3.5" customHeight="1">
      <c r="A757" s="24"/>
      <c r="B757" s="24"/>
      <c r="C757" s="24"/>
      <c r="D757" s="24"/>
      <c r="E757" s="51"/>
      <c r="F757" s="12"/>
      <c r="G757" s="24"/>
      <c r="H757" s="24"/>
      <c r="I757" s="24"/>
      <c r="J757" s="24"/>
      <c r="K757" s="51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3.5" customHeight="1">
      <c r="A758" s="24"/>
      <c r="B758" s="24"/>
      <c r="C758" s="24"/>
      <c r="D758" s="24"/>
      <c r="E758" s="51"/>
      <c r="F758" s="12"/>
      <c r="G758" s="24"/>
      <c r="H758" s="24"/>
      <c r="I758" s="24"/>
      <c r="J758" s="24"/>
      <c r="K758" s="51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3.5" customHeight="1">
      <c r="A759" s="24"/>
      <c r="B759" s="24"/>
      <c r="C759" s="24"/>
      <c r="D759" s="24"/>
      <c r="E759" s="51"/>
      <c r="F759" s="12"/>
      <c r="G759" s="24"/>
      <c r="H759" s="24"/>
      <c r="I759" s="24"/>
      <c r="J759" s="24"/>
      <c r="K759" s="51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3.5" customHeight="1">
      <c r="A760" s="24"/>
      <c r="B760" s="24"/>
      <c r="C760" s="24"/>
      <c r="D760" s="24"/>
      <c r="E760" s="51"/>
      <c r="F760" s="12"/>
      <c r="G760" s="24"/>
      <c r="H760" s="24"/>
      <c r="I760" s="24"/>
      <c r="J760" s="24"/>
      <c r="K760" s="51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3.5" customHeight="1">
      <c r="A761" s="24"/>
      <c r="B761" s="24"/>
      <c r="C761" s="24"/>
      <c r="D761" s="24"/>
      <c r="E761" s="51"/>
      <c r="F761" s="12"/>
      <c r="G761" s="24"/>
      <c r="H761" s="24"/>
      <c r="I761" s="24"/>
      <c r="J761" s="24"/>
      <c r="K761" s="51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3.5" customHeight="1">
      <c r="A762" s="24"/>
      <c r="B762" s="24"/>
      <c r="C762" s="24"/>
      <c r="D762" s="24"/>
      <c r="E762" s="51"/>
      <c r="F762" s="12"/>
      <c r="G762" s="24"/>
      <c r="H762" s="24"/>
      <c r="I762" s="24"/>
      <c r="J762" s="24"/>
      <c r="K762" s="51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3.5" customHeight="1">
      <c r="A763" s="24"/>
      <c r="B763" s="24"/>
      <c r="C763" s="24"/>
      <c r="D763" s="24"/>
      <c r="E763" s="51"/>
      <c r="F763" s="12"/>
      <c r="G763" s="24"/>
      <c r="H763" s="24"/>
      <c r="I763" s="24"/>
      <c r="J763" s="24"/>
      <c r="K763" s="51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3.5" customHeight="1">
      <c r="A764" s="24"/>
      <c r="B764" s="24"/>
      <c r="C764" s="24"/>
      <c r="D764" s="24"/>
      <c r="E764" s="51"/>
      <c r="F764" s="12"/>
      <c r="G764" s="24"/>
      <c r="H764" s="24"/>
      <c r="I764" s="24"/>
      <c r="J764" s="24"/>
      <c r="K764" s="51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3.5" customHeight="1">
      <c r="A765" s="24"/>
      <c r="B765" s="24"/>
      <c r="C765" s="24"/>
      <c r="D765" s="24"/>
      <c r="E765" s="51"/>
      <c r="F765" s="12"/>
      <c r="G765" s="24"/>
      <c r="H765" s="24"/>
      <c r="I765" s="24"/>
      <c r="J765" s="24"/>
      <c r="K765" s="51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3.5" customHeight="1">
      <c r="A766" s="24"/>
      <c r="B766" s="24"/>
      <c r="C766" s="24"/>
      <c r="D766" s="24"/>
      <c r="E766" s="51"/>
      <c r="F766" s="12"/>
      <c r="G766" s="24"/>
      <c r="H766" s="24"/>
      <c r="I766" s="24"/>
      <c r="J766" s="24"/>
      <c r="K766" s="51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3.5" customHeight="1">
      <c r="A767" s="24"/>
      <c r="B767" s="24"/>
      <c r="C767" s="24"/>
      <c r="D767" s="24"/>
      <c r="E767" s="51"/>
      <c r="F767" s="12"/>
      <c r="G767" s="24"/>
      <c r="H767" s="24"/>
      <c r="I767" s="24"/>
      <c r="J767" s="24"/>
      <c r="K767" s="51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3.5" customHeight="1">
      <c r="A768" s="24"/>
      <c r="B768" s="24"/>
      <c r="C768" s="24"/>
      <c r="D768" s="24"/>
      <c r="E768" s="51"/>
      <c r="F768" s="12"/>
      <c r="G768" s="24"/>
      <c r="H768" s="24"/>
      <c r="I768" s="24"/>
      <c r="J768" s="24"/>
      <c r="K768" s="51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3.5" customHeight="1">
      <c r="A769" s="24"/>
      <c r="B769" s="24"/>
      <c r="C769" s="24"/>
      <c r="D769" s="24"/>
      <c r="E769" s="51"/>
      <c r="F769" s="12"/>
      <c r="G769" s="24"/>
      <c r="H769" s="24"/>
      <c r="I769" s="24"/>
      <c r="J769" s="24"/>
      <c r="K769" s="51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3.5" customHeight="1">
      <c r="A770" s="24"/>
      <c r="B770" s="24"/>
      <c r="C770" s="24"/>
      <c r="D770" s="24"/>
      <c r="E770" s="51"/>
      <c r="F770" s="12"/>
      <c r="G770" s="24"/>
      <c r="H770" s="24"/>
      <c r="I770" s="24"/>
      <c r="J770" s="24"/>
      <c r="K770" s="51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3.5" customHeight="1">
      <c r="A771" s="24"/>
      <c r="B771" s="24"/>
      <c r="C771" s="24"/>
      <c r="D771" s="24"/>
      <c r="E771" s="51"/>
      <c r="F771" s="12"/>
      <c r="G771" s="24"/>
      <c r="H771" s="24"/>
      <c r="I771" s="24"/>
      <c r="J771" s="24"/>
      <c r="K771" s="51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3.5" customHeight="1">
      <c r="A772" s="24"/>
      <c r="B772" s="24"/>
      <c r="C772" s="24"/>
      <c r="D772" s="24"/>
      <c r="E772" s="51"/>
      <c r="F772" s="12"/>
      <c r="G772" s="24"/>
      <c r="H772" s="24"/>
      <c r="I772" s="24"/>
      <c r="J772" s="24"/>
      <c r="K772" s="51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3.5" customHeight="1">
      <c r="A773" s="24"/>
      <c r="B773" s="24"/>
      <c r="C773" s="24"/>
      <c r="D773" s="24"/>
      <c r="E773" s="51"/>
      <c r="F773" s="12"/>
      <c r="G773" s="24"/>
      <c r="H773" s="24"/>
      <c r="I773" s="24"/>
      <c r="J773" s="24"/>
      <c r="K773" s="51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3.5" customHeight="1">
      <c r="A774" s="24"/>
      <c r="B774" s="24"/>
      <c r="C774" s="24"/>
      <c r="D774" s="24"/>
      <c r="E774" s="51"/>
      <c r="F774" s="12"/>
      <c r="G774" s="24"/>
      <c r="H774" s="24"/>
      <c r="I774" s="24"/>
      <c r="J774" s="24"/>
      <c r="K774" s="51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3.5" customHeight="1">
      <c r="A775" s="24"/>
      <c r="B775" s="24"/>
      <c r="C775" s="24"/>
      <c r="D775" s="24"/>
      <c r="E775" s="51"/>
      <c r="F775" s="12"/>
      <c r="G775" s="24"/>
      <c r="H775" s="24"/>
      <c r="I775" s="24"/>
      <c r="J775" s="24"/>
      <c r="K775" s="51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3.5" customHeight="1">
      <c r="A776" s="24"/>
      <c r="B776" s="24"/>
      <c r="C776" s="24"/>
      <c r="D776" s="24"/>
      <c r="E776" s="51"/>
      <c r="F776" s="12"/>
      <c r="G776" s="24"/>
      <c r="H776" s="24"/>
      <c r="I776" s="24"/>
      <c r="J776" s="24"/>
      <c r="K776" s="51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3.5" customHeight="1">
      <c r="A777" s="24"/>
      <c r="B777" s="24"/>
      <c r="C777" s="24"/>
      <c r="D777" s="24"/>
      <c r="E777" s="51"/>
      <c r="F777" s="12"/>
      <c r="G777" s="24"/>
      <c r="H777" s="24"/>
      <c r="I777" s="24"/>
      <c r="J777" s="24"/>
      <c r="K777" s="51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3.5" customHeight="1">
      <c r="A778" s="24"/>
      <c r="B778" s="24"/>
      <c r="C778" s="24"/>
      <c r="D778" s="24"/>
      <c r="E778" s="51"/>
      <c r="F778" s="12"/>
      <c r="G778" s="24"/>
      <c r="H778" s="24"/>
      <c r="I778" s="24"/>
      <c r="J778" s="24"/>
      <c r="K778" s="51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3.5" customHeight="1">
      <c r="A779" s="24"/>
      <c r="B779" s="24"/>
      <c r="C779" s="24"/>
      <c r="D779" s="24"/>
      <c r="E779" s="51"/>
      <c r="F779" s="12"/>
      <c r="G779" s="24"/>
      <c r="H779" s="24"/>
      <c r="I779" s="24"/>
      <c r="J779" s="24"/>
      <c r="K779" s="51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3.5" customHeight="1">
      <c r="A780" s="24"/>
      <c r="B780" s="24"/>
      <c r="C780" s="24"/>
      <c r="D780" s="24"/>
      <c r="E780" s="51"/>
      <c r="F780" s="12"/>
      <c r="G780" s="24"/>
      <c r="H780" s="24"/>
      <c r="I780" s="24"/>
      <c r="J780" s="24"/>
      <c r="K780" s="51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3.5" customHeight="1">
      <c r="A781" s="24"/>
      <c r="B781" s="24"/>
      <c r="C781" s="24"/>
      <c r="D781" s="24"/>
      <c r="E781" s="51"/>
      <c r="F781" s="12"/>
      <c r="G781" s="24"/>
      <c r="H781" s="24"/>
      <c r="I781" s="24"/>
      <c r="J781" s="24"/>
      <c r="K781" s="51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3.5" customHeight="1">
      <c r="A782" s="24"/>
      <c r="B782" s="24"/>
      <c r="C782" s="24"/>
      <c r="D782" s="24"/>
      <c r="E782" s="51"/>
      <c r="F782" s="12"/>
      <c r="G782" s="24"/>
      <c r="H782" s="24"/>
      <c r="I782" s="24"/>
      <c r="J782" s="24"/>
      <c r="K782" s="51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3.5" customHeight="1">
      <c r="A783" s="24"/>
      <c r="B783" s="24"/>
      <c r="C783" s="24"/>
      <c r="D783" s="24"/>
      <c r="E783" s="51"/>
      <c r="F783" s="12"/>
      <c r="G783" s="24"/>
      <c r="H783" s="24"/>
      <c r="I783" s="24"/>
      <c r="J783" s="24"/>
      <c r="K783" s="51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3.5" customHeight="1">
      <c r="A784" s="24"/>
      <c r="B784" s="24"/>
      <c r="C784" s="24"/>
      <c r="D784" s="24"/>
      <c r="E784" s="51"/>
      <c r="F784" s="12"/>
      <c r="G784" s="24"/>
      <c r="H784" s="24"/>
      <c r="I784" s="24"/>
      <c r="J784" s="24"/>
      <c r="K784" s="51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3.5" customHeight="1">
      <c r="A785" s="24"/>
      <c r="B785" s="24"/>
      <c r="C785" s="24"/>
      <c r="D785" s="24"/>
      <c r="E785" s="51"/>
      <c r="F785" s="12"/>
      <c r="G785" s="24"/>
      <c r="H785" s="24"/>
      <c r="I785" s="24"/>
      <c r="J785" s="24"/>
      <c r="K785" s="51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3.5" customHeight="1">
      <c r="A786" s="24"/>
      <c r="B786" s="24"/>
      <c r="C786" s="24"/>
      <c r="D786" s="24"/>
      <c r="E786" s="51"/>
      <c r="F786" s="12"/>
      <c r="G786" s="24"/>
      <c r="H786" s="24"/>
      <c r="I786" s="24"/>
      <c r="J786" s="24"/>
      <c r="K786" s="51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3.5" customHeight="1">
      <c r="A787" s="24"/>
      <c r="B787" s="24"/>
      <c r="C787" s="24"/>
      <c r="D787" s="24"/>
      <c r="E787" s="51"/>
      <c r="F787" s="12"/>
      <c r="G787" s="24"/>
      <c r="H787" s="24"/>
      <c r="I787" s="24"/>
      <c r="J787" s="24"/>
      <c r="K787" s="51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3.5" customHeight="1">
      <c r="A788" s="24"/>
      <c r="B788" s="24"/>
      <c r="C788" s="24"/>
      <c r="D788" s="24"/>
      <c r="E788" s="51"/>
      <c r="F788" s="12"/>
      <c r="G788" s="24"/>
      <c r="H788" s="24"/>
      <c r="I788" s="24"/>
      <c r="J788" s="24"/>
      <c r="K788" s="51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3.5" customHeight="1">
      <c r="A789" s="24"/>
      <c r="B789" s="24"/>
      <c r="C789" s="24"/>
      <c r="D789" s="24"/>
      <c r="E789" s="51"/>
      <c r="F789" s="12"/>
      <c r="G789" s="24"/>
      <c r="H789" s="24"/>
      <c r="I789" s="24"/>
      <c r="J789" s="24"/>
      <c r="K789" s="51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3.5" customHeight="1">
      <c r="A790" s="24"/>
      <c r="B790" s="24"/>
      <c r="C790" s="24"/>
      <c r="D790" s="24"/>
      <c r="E790" s="51"/>
      <c r="F790" s="12"/>
      <c r="G790" s="24"/>
      <c r="H790" s="24"/>
      <c r="I790" s="24"/>
      <c r="J790" s="24"/>
      <c r="K790" s="51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3.5" customHeight="1">
      <c r="A791" s="24"/>
      <c r="B791" s="24"/>
      <c r="C791" s="24"/>
      <c r="D791" s="24"/>
      <c r="E791" s="51"/>
      <c r="F791" s="12"/>
      <c r="G791" s="24"/>
      <c r="H791" s="24"/>
      <c r="I791" s="24"/>
      <c r="J791" s="24"/>
      <c r="K791" s="51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3.5" customHeight="1">
      <c r="A792" s="24"/>
      <c r="B792" s="24"/>
      <c r="C792" s="24"/>
      <c r="D792" s="24"/>
      <c r="E792" s="51"/>
      <c r="F792" s="12"/>
      <c r="G792" s="24"/>
      <c r="H792" s="24"/>
      <c r="I792" s="24"/>
      <c r="J792" s="24"/>
      <c r="K792" s="51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3.5" customHeight="1">
      <c r="A793" s="24"/>
      <c r="B793" s="24"/>
      <c r="C793" s="24"/>
      <c r="D793" s="24"/>
      <c r="E793" s="51"/>
      <c r="F793" s="12"/>
      <c r="G793" s="24"/>
      <c r="H793" s="24"/>
      <c r="I793" s="24"/>
      <c r="J793" s="24"/>
      <c r="K793" s="51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3.5" customHeight="1">
      <c r="A794" s="24"/>
      <c r="B794" s="24"/>
      <c r="C794" s="24"/>
      <c r="D794" s="24"/>
      <c r="E794" s="51"/>
      <c r="F794" s="12"/>
      <c r="G794" s="24"/>
      <c r="H794" s="24"/>
      <c r="I794" s="24"/>
      <c r="J794" s="24"/>
      <c r="K794" s="51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3.5" customHeight="1">
      <c r="A795" s="24"/>
      <c r="B795" s="24"/>
      <c r="C795" s="24"/>
      <c r="D795" s="24"/>
      <c r="E795" s="51"/>
      <c r="F795" s="12"/>
      <c r="G795" s="24"/>
      <c r="H795" s="24"/>
      <c r="I795" s="24"/>
      <c r="J795" s="24"/>
      <c r="K795" s="51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3.5" customHeight="1">
      <c r="A796" s="24"/>
      <c r="B796" s="24"/>
      <c r="C796" s="24"/>
      <c r="D796" s="24"/>
      <c r="E796" s="51"/>
      <c r="F796" s="12"/>
      <c r="G796" s="24"/>
      <c r="H796" s="24"/>
      <c r="I796" s="24"/>
      <c r="J796" s="24"/>
      <c r="K796" s="51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3.5" customHeight="1">
      <c r="A797" s="24"/>
      <c r="B797" s="24"/>
      <c r="C797" s="24"/>
      <c r="D797" s="24"/>
      <c r="E797" s="51"/>
      <c r="F797" s="12"/>
      <c r="G797" s="24"/>
      <c r="H797" s="24"/>
      <c r="I797" s="24"/>
      <c r="J797" s="24"/>
      <c r="K797" s="51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3.5" customHeight="1">
      <c r="A798" s="24"/>
      <c r="B798" s="24"/>
      <c r="C798" s="24"/>
      <c r="D798" s="24"/>
      <c r="E798" s="51"/>
      <c r="F798" s="12"/>
      <c r="G798" s="24"/>
      <c r="H798" s="24"/>
      <c r="I798" s="24"/>
      <c r="J798" s="24"/>
      <c r="K798" s="51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3.5" customHeight="1">
      <c r="A799" s="24"/>
      <c r="B799" s="24"/>
      <c r="C799" s="24"/>
      <c r="D799" s="24"/>
      <c r="E799" s="51"/>
      <c r="F799" s="12"/>
      <c r="G799" s="24"/>
      <c r="H799" s="24"/>
      <c r="I799" s="24"/>
      <c r="J799" s="24"/>
      <c r="K799" s="51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3.5" customHeight="1">
      <c r="A800" s="24"/>
      <c r="B800" s="24"/>
      <c r="C800" s="24"/>
      <c r="D800" s="24"/>
      <c r="E800" s="51"/>
      <c r="F800" s="12"/>
      <c r="G800" s="24"/>
      <c r="H800" s="24"/>
      <c r="I800" s="24"/>
      <c r="J800" s="24"/>
      <c r="K800" s="51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3.5" customHeight="1">
      <c r="A801" s="24"/>
      <c r="B801" s="24"/>
      <c r="C801" s="24"/>
      <c r="D801" s="24"/>
      <c r="E801" s="51"/>
      <c r="F801" s="12"/>
      <c r="G801" s="24"/>
      <c r="H801" s="24"/>
      <c r="I801" s="24"/>
      <c r="J801" s="24"/>
      <c r="K801" s="51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3.5" customHeight="1">
      <c r="A802" s="24"/>
      <c r="B802" s="24"/>
      <c r="C802" s="24"/>
      <c r="D802" s="24"/>
      <c r="E802" s="51"/>
      <c r="F802" s="12"/>
      <c r="G802" s="24"/>
      <c r="H802" s="24"/>
      <c r="I802" s="24"/>
      <c r="J802" s="24"/>
      <c r="K802" s="51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3.5" customHeight="1">
      <c r="A803" s="24"/>
      <c r="B803" s="24"/>
      <c r="C803" s="24"/>
      <c r="D803" s="24"/>
      <c r="E803" s="51"/>
      <c r="F803" s="12"/>
      <c r="G803" s="24"/>
      <c r="H803" s="24"/>
      <c r="I803" s="24"/>
      <c r="J803" s="24"/>
      <c r="K803" s="51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3.5" customHeight="1">
      <c r="A804" s="24"/>
      <c r="B804" s="24"/>
      <c r="C804" s="24"/>
      <c r="D804" s="24"/>
      <c r="E804" s="51"/>
      <c r="F804" s="12"/>
      <c r="G804" s="24"/>
      <c r="H804" s="24"/>
      <c r="I804" s="24"/>
      <c r="J804" s="24"/>
      <c r="K804" s="51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3.5" customHeight="1">
      <c r="A805" s="24"/>
      <c r="B805" s="24"/>
      <c r="C805" s="24"/>
      <c r="D805" s="24"/>
      <c r="E805" s="51"/>
      <c r="F805" s="12"/>
      <c r="G805" s="24"/>
      <c r="H805" s="24"/>
      <c r="I805" s="24"/>
      <c r="J805" s="24"/>
      <c r="K805" s="51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3.5" customHeight="1">
      <c r="A806" s="24"/>
      <c r="B806" s="24"/>
      <c r="C806" s="24"/>
      <c r="D806" s="24"/>
      <c r="E806" s="51"/>
      <c r="F806" s="12"/>
      <c r="G806" s="24"/>
      <c r="H806" s="24"/>
      <c r="I806" s="24"/>
      <c r="J806" s="24"/>
      <c r="K806" s="51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3.5" customHeight="1">
      <c r="A807" s="24"/>
      <c r="B807" s="24"/>
      <c r="C807" s="24"/>
      <c r="D807" s="24"/>
      <c r="E807" s="51"/>
      <c r="F807" s="12"/>
      <c r="G807" s="24"/>
      <c r="H807" s="24"/>
      <c r="I807" s="24"/>
      <c r="J807" s="24"/>
      <c r="K807" s="51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3.5" customHeight="1">
      <c r="A808" s="24"/>
      <c r="B808" s="24"/>
      <c r="C808" s="24"/>
      <c r="D808" s="24"/>
      <c r="E808" s="51"/>
      <c r="F808" s="12"/>
      <c r="G808" s="24"/>
      <c r="H808" s="24"/>
      <c r="I808" s="24"/>
      <c r="J808" s="24"/>
      <c r="K808" s="51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3.5" customHeight="1">
      <c r="A809" s="24"/>
      <c r="B809" s="24"/>
      <c r="C809" s="24"/>
      <c r="D809" s="24"/>
      <c r="E809" s="51"/>
      <c r="F809" s="12"/>
      <c r="G809" s="24"/>
      <c r="H809" s="24"/>
      <c r="I809" s="24"/>
      <c r="J809" s="24"/>
      <c r="K809" s="51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3.5" customHeight="1">
      <c r="A810" s="24"/>
      <c r="B810" s="24"/>
      <c r="C810" s="24"/>
      <c r="D810" s="24"/>
      <c r="E810" s="51"/>
      <c r="F810" s="12"/>
      <c r="G810" s="24"/>
      <c r="H810" s="24"/>
      <c r="I810" s="24"/>
      <c r="J810" s="24"/>
      <c r="K810" s="51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3.5" customHeight="1">
      <c r="A811" s="24"/>
      <c r="B811" s="24"/>
      <c r="C811" s="24"/>
      <c r="D811" s="24"/>
      <c r="E811" s="51"/>
      <c r="F811" s="12"/>
      <c r="G811" s="24"/>
      <c r="H811" s="24"/>
      <c r="I811" s="24"/>
      <c r="J811" s="24"/>
      <c r="K811" s="51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3.5" customHeight="1">
      <c r="A812" s="24"/>
      <c r="B812" s="24"/>
      <c r="C812" s="24"/>
      <c r="D812" s="24"/>
      <c r="E812" s="51"/>
      <c r="F812" s="12"/>
      <c r="G812" s="24"/>
      <c r="H812" s="24"/>
      <c r="I812" s="24"/>
      <c r="J812" s="24"/>
      <c r="K812" s="51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3.5" customHeight="1">
      <c r="A813" s="24"/>
      <c r="B813" s="24"/>
      <c r="C813" s="24"/>
      <c r="D813" s="24"/>
      <c r="E813" s="51"/>
      <c r="F813" s="12"/>
      <c r="G813" s="24"/>
      <c r="H813" s="24"/>
      <c r="I813" s="24"/>
      <c r="J813" s="24"/>
      <c r="K813" s="51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3.5" customHeight="1">
      <c r="A814" s="24"/>
      <c r="B814" s="24"/>
      <c r="C814" s="24"/>
      <c r="D814" s="24"/>
      <c r="E814" s="51"/>
      <c r="F814" s="12"/>
      <c r="G814" s="24"/>
      <c r="H814" s="24"/>
      <c r="I814" s="24"/>
      <c r="J814" s="24"/>
      <c r="K814" s="51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3.5" customHeight="1">
      <c r="A815" s="24"/>
      <c r="B815" s="24"/>
      <c r="C815" s="24"/>
      <c r="D815" s="24"/>
      <c r="E815" s="51"/>
      <c r="F815" s="12"/>
      <c r="G815" s="24"/>
      <c r="H815" s="24"/>
      <c r="I815" s="24"/>
      <c r="J815" s="24"/>
      <c r="K815" s="51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3.5" customHeight="1">
      <c r="A816" s="24"/>
      <c r="B816" s="24"/>
      <c r="C816" s="24"/>
      <c r="D816" s="24"/>
      <c r="E816" s="51"/>
      <c r="F816" s="12"/>
      <c r="G816" s="24"/>
      <c r="H816" s="24"/>
      <c r="I816" s="24"/>
      <c r="J816" s="24"/>
      <c r="K816" s="51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3.5" customHeight="1">
      <c r="A817" s="24"/>
      <c r="B817" s="24"/>
      <c r="C817" s="24"/>
      <c r="D817" s="24"/>
      <c r="E817" s="51"/>
      <c r="F817" s="12"/>
      <c r="G817" s="24"/>
      <c r="H817" s="24"/>
      <c r="I817" s="24"/>
      <c r="J817" s="24"/>
      <c r="K817" s="51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3.5" customHeight="1">
      <c r="A818" s="24"/>
      <c r="B818" s="24"/>
      <c r="C818" s="24"/>
      <c r="D818" s="24"/>
      <c r="E818" s="51"/>
      <c r="F818" s="12"/>
      <c r="G818" s="24"/>
      <c r="H818" s="24"/>
      <c r="I818" s="24"/>
      <c r="J818" s="24"/>
      <c r="K818" s="51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3.5" customHeight="1">
      <c r="A819" s="24"/>
      <c r="B819" s="24"/>
      <c r="C819" s="24"/>
      <c r="D819" s="24"/>
      <c r="E819" s="51"/>
      <c r="F819" s="12"/>
      <c r="G819" s="24"/>
      <c r="H819" s="24"/>
      <c r="I819" s="24"/>
      <c r="J819" s="24"/>
      <c r="K819" s="51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3.5" customHeight="1">
      <c r="A820" s="24"/>
      <c r="B820" s="24"/>
      <c r="C820" s="24"/>
      <c r="D820" s="24"/>
      <c r="E820" s="51"/>
      <c r="F820" s="12"/>
      <c r="G820" s="24"/>
      <c r="H820" s="24"/>
      <c r="I820" s="24"/>
      <c r="J820" s="24"/>
      <c r="K820" s="51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3.5" customHeight="1">
      <c r="A821" s="24"/>
      <c r="B821" s="24"/>
      <c r="C821" s="24"/>
      <c r="D821" s="24"/>
      <c r="E821" s="51"/>
      <c r="F821" s="12"/>
      <c r="G821" s="24"/>
      <c r="H821" s="24"/>
      <c r="I821" s="24"/>
      <c r="J821" s="24"/>
      <c r="K821" s="51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3.5" customHeight="1">
      <c r="A822" s="24"/>
      <c r="B822" s="24"/>
      <c r="C822" s="24"/>
      <c r="D822" s="24"/>
      <c r="E822" s="51"/>
      <c r="F822" s="12"/>
      <c r="G822" s="24"/>
      <c r="H822" s="24"/>
      <c r="I822" s="24"/>
      <c r="J822" s="24"/>
      <c r="K822" s="51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3.5" customHeight="1">
      <c r="A823" s="24"/>
      <c r="B823" s="24"/>
      <c r="C823" s="24"/>
      <c r="D823" s="24"/>
      <c r="E823" s="51"/>
      <c r="F823" s="12"/>
      <c r="G823" s="24"/>
      <c r="H823" s="24"/>
      <c r="I823" s="24"/>
      <c r="J823" s="24"/>
      <c r="K823" s="51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3.5" customHeight="1">
      <c r="A824" s="24"/>
      <c r="B824" s="24"/>
      <c r="C824" s="24"/>
      <c r="D824" s="24"/>
      <c r="E824" s="51"/>
      <c r="F824" s="12"/>
      <c r="G824" s="24"/>
      <c r="H824" s="24"/>
      <c r="I824" s="24"/>
      <c r="J824" s="24"/>
      <c r="K824" s="51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3.5" customHeight="1">
      <c r="A825" s="24"/>
      <c r="B825" s="24"/>
      <c r="C825" s="24"/>
      <c r="D825" s="24"/>
      <c r="E825" s="51"/>
      <c r="F825" s="12"/>
      <c r="G825" s="24"/>
      <c r="H825" s="24"/>
      <c r="I825" s="24"/>
      <c r="J825" s="24"/>
      <c r="K825" s="51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3.5" customHeight="1">
      <c r="A826" s="24"/>
      <c r="B826" s="24"/>
      <c r="C826" s="24"/>
      <c r="D826" s="24"/>
      <c r="E826" s="51"/>
      <c r="F826" s="12"/>
      <c r="G826" s="24"/>
      <c r="H826" s="24"/>
      <c r="I826" s="24"/>
      <c r="J826" s="24"/>
      <c r="K826" s="51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3.5" customHeight="1">
      <c r="A827" s="24"/>
      <c r="B827" s="24"/>
      <c r="C827" s="24"/>
      <c r="D827" s="24"/>
      <c r="E827" s="51"/>
      <c r="F827" s="12"/>
      <c r="G827" s="24"/>
      <c r="H827" s="24"/>
      <c r="I827" s="24"/>
      <c r="J827" s="24"/>
      <c r="K827" s="51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3.5" customHeight="1">
      <c r="A828" s="24"/>
      <c r="B828" s="24"/>
      <c r="C828" s="24"/>
      <c r="D828" s="24"/>
      <c r="E828" s="51"/>
      <c r="F828" s="12"/>
      <c r="G828" s="24"/>
      <c r="H828" s="24"/>
      <c r="I828" s="24"/>
      <c r="J828" s="24"/>
      <c r="K828" s="51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3.5" customHeight="1">
      <c r="A829" s="24"/>
      <c r="B829" s="24"/>
      <c r="C829" s="24"/>
      <c r="D829" s="24"/>
      <c r="E829" s="51"/>
      <c r="F829" s="12"/>
      <c r="G829" s="24"/>
      <c r="H829" s="24"/>
      <c r="I829" s="24"/>
      <c r="J829" s="24"/>
      <c r="K829" s="51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3.5" customHeight="1">
      <c r="A830" s="24"/>
      <c r="B830" s="24"/>
      <c r="C830" s="24"/>
      <c r="D830" s="24"/>
      <c r="E830" s="51"/>
      <c r="F830" s="12"/>
      <c r="G830" s="24"/>
      <c r="H830" s="24"/>
      <c r="I830" s="24"/>
      <c r="J830" s="24"/>
      <c r="K830" s="51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3.5" customHeight="1">
      <c r="A831" s="24"/>
      <c r="B831" s="24"/>
      <c r="C831" s="24"/>
      <c r="D831" s="24"/>
      <c r="E831" s="51"/>
      <c r="F831" s="12"/>
      <c r="G831" s="24"/>
      <c r="H831" s="24"/>
      <c r="I831" s="24"/>
      <c r="J831" s="24"/>
      <c r="K831" s="51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3.5" customHeight="1">
      <c r="A832" s="24"/>
      <c r="B832" s="24"/>
      <c r="C832" s="24"/>
      <c r="D832" s="24"/>
      <c r="E832" s="51"/>
      <c r="F832" s="12"/>
      <c r="G832" s="24"/>
      <c r="H832" s="24"/>
      <c r="I832" s="24"/>
      <c r="J832" s="24"/>
      <c r="K832" s="51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3.5" customHeight="1">
      <c r="A833" s="24"/>
      <c r="B833" s="24"/>
      <c r="C833" s="24"/>
      <c r="D833" s="24"/>
      <c r="E833" s="51"/>
      <c r="F833" s="12"/>
      <c r="G833" s="24"/>
      <c r="H833" s="24"/>
      <c r="I833" s="24"/>
      <c r="J833" s="24"/>
      <c r="K833" s="51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3.5" customHeight="1">
      <c r="A834" s="24"/>
      <c r="B834" s="24"/>
      <c r="C834" s="24"/>
      <c r="D834" s="24"/>
      <c r="E834" s="51"/>
      <c r="F834" s="12"/>
      <c r="G834" s="24"/>
      <c r="H834" s="24"/>
      <c r="I834" s="24"/>
      <c r="J834" s="24"/>
      <c r="K834" s="51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3.5" customHeight="1">
      <c r="A835" s="24"/>
      <c r="B835" s="24"/>
      <c r="C835" s="24"/>
      <c r="D835" s="24"/>
      <c r="E835" s="51"/>
      <c r="F835" s="12"/>
      <c r="G835" s="24"/>
      <c r="H835" s="24"/>
      <c r="I835" s="24"/>
      <c r="J835" s="24"/>
      <c r="K835" s="51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3.5" customHeight="1">
      <c r="A836" s="24"/>
      <c r="B836" s="24"/>
      <c r="C836" s="24"/>
      <c r="D836" s="24"/>
      <c r="E836" s="51"/>
      <c r="F836" s="12"/>
      <c r="G836" s="24"/>
      <c r="H836" s="24"/>
      <c r="I836" s="24"/>
      <c r="J836" s="24"/>
      <c r="K836" s="51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3.5" customHeight="1">
      <c r="A837" s="24"/>
      <c r="B837" s="24"/>
      <c r="C837" s="24"/>
      <c r="D837" s="24"/>
      <c r="E837" s="51"/>
      <c r="F837" s="12"/>
      <c r="G837" s="24"/>
      <c r="H837" s="24"/>
      <c r="I837" s="24"/>
      <c r="J837" s="24"/>
      <c r="K837" s="51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3.5" customHeight="1">
      <c r="A838" s="24"/>
      <c r="B838" s="24"/>
      <c r="C838" s="24"/>
      <c r="D838" s="24"/>
      <c r="E838" s="51"/>
      <c r="F838" s="12"/>
      <c r="G838" s="24"/>
      <c r="H838" s="24"/>
      <c r="I838" s="24"/>
      <c r="J838" s="24"/>
      <c r="K838" s="51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3.5" customHeight="1">
      <c r="A839" s="24"/>
      <c r="B839" s="24"/>
      <c r="C839" s="24"/>
      <c r="D839" s="24"/>
      <c r="E839" s="51"/>
      <c r="F839" s="12"/>
      <c r="G839" s="24"/>
      <c r="H839" s="24"/>
      <c r="I839" s="24"/>
      <c r="J839" s="24"/>
      <c r="K839" s="51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3.5" customHeight="1">
      <c r="A840" s="24"/>
      <c r="B840" s="24"/>
      <c r="C840" s="24"/>
      <c r="D840" s="24"/>
      <c r="E840" s="51"/>
      <c r="F840" s="12"/>
      <c r="G840" s="24"/>
      <c r="H840" s="24"/>
      <c r="I840" s="24"/>
      <c r="J840" s="24"/>
      <c r="K840" s="51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3.5" customHeight="1">
      <c r="A841" s="24"/>
      <c r="B841" s="24"/>
      <c r="C841" s="24"/>
      <c r="D841" s="24"/>
      <c r="E841" s="51"/>
      <c r="F841" s="12"/>
      <c r="G841" s="24"/>
      <c r="H841" s="24"/>
      <c r="I841" s="24"/>
      <c r="J841" s="24"/>
      <c r="K841" s="51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3.5" customHeight="1">
      <c r="A842" s="24"/>
      <c r="B842" s="24"/>
      <c r="C842" s="24"/>
      <c r="D842" s="24"/>
      <c r="E842" s="51"/>
      <c r="F842" s="12"/>
      <c r="G842" s="24"/>
      <c r="H842" s="24"/>
      <c r="I842" s="24"/>
      <c r="J842" s="24"/>
      <c r="K842" s="51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3.5" customHeight="1">
      <c r="A843" s="24"/>
      <c r="B843" s="24"/>
      <c r="C843" s="24"/>
      <c r="D843" s="24"/>
      <c r="E843" s="51"/>
      <c r="F843" s="12"/>
      <c r="G843" s="24"/>
      <c r="H843" s="24"/>
      <c r="I843" s="24"/>
      <c r="J843" s="24"/>
      <c r="K843" s="51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3.5" customHeight="1">
      <c r="A844" s="24"/>
      <c r="B844" s="24"/>
      <c r="C844" s="24"/>
      <c r="D844" s="24"/>
      <c r="E844" s="51"/>
      <c r="F844" s="12"/>
      <c r="G844" s="24"/>
      <c r="H844" s="24"/>
      <c r="I844" s="24"/>
      <c r="J844" s="24"/>
      <c r="K844" s="51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3.5" customHeight="1">
      <c r="A845" s="24"/>
      <c r="B845" s="24"/>
      <c r="C845" s="24"/>
      <c r="D845" s="24"/>
      <c r="E845" s="51"/>
      <c r="F845" s="12"/>
      <c r="G845" s="24"/>
      <c r="H845" s="24"/>
      <c r="I845" s="24"/>
      <c r="J845" s="24"/>
      <c r="K845" s="51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3.5" customHeight="1">
      <c r="A846" s="24"/>
      <c r="B846" s="24"/>
      <c r="C846" s="24"/>
      <c r="D846" s="24"/>
      <c r="E846" s="51"/>
      <c r="F846" s="12"/>
      <c r="G846" s="24"/>
      <c r="H846" s="24"/>
      <c r="I846" s="24"/>
      <c r="J846" s="24"/>
      <c r="K846" s="51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3.5" customHeight="1">
      <c r="A847" s="24"/>
      <c r="B847" s="24"/>
      <c r="C847" s="24"/>
      <c r="D847" s="24"/>
      <c r="E847" s="51"/>
      <c r="F847" s="12"/>
      <c r="G847" s="24"/>
      <c r="H847" s="24"/>
      <c r="I847" s="24"/>
      <c r="J847" s="24"/>
      <c r="K847" s="51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3.5" customHeight="1">
      <c r="A848" s="24"/>
      <c r="B848" s="24"/>
      <c r="C848" s="24"/>
      <c r="D848" s="24"/>
      <c r="E848" s="51"/>
      <c r="F848" s="12"/>
      <c r="G848" s="24"/>
      <c r="H848" s="24"/>
      <c r="I848" s="24"/>
      <c r="J848" s="24"/>
      <c r="K848" s="51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3.5" customHeight="1">
      <c r="A849" s="24"/>
      <c r="B849" s="24"/>
      <c r="C849" s="24"/>
      <c r="D849" s="24"/>
      <c r="E849" s="51"/>
      <c r="F849" s="12"/>
      <c r="G849" s="24"/>
      <c r="H849" s="24"/>
      <c r="I849" s="24"/>
      <c r="J849" s="24"/>
      <c r="K849" s="51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3.5" customHeight="1">
      <c r="A850" s="24"/>
      <c r="B850" s="24"/>
      <c r="C850" s="24"/>
      <c r="D850" s="24"/>
      <c r="E850" s="51"/>
      <c r="F850" s="12"/>
      <c r="G850" s="24"/>
      <c r="H850" s="24"/>
      <c r="I850" s="24"/>
      <c r="J850" s="24"/>
      <c r="K850" s="51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3.5" customHeight="1">
      <c r="A851" s="24"/>
      <c r="B851" s="24"/>
      <c r="C851" s="24"/>
      <c r="D851" s="24"/>
      <c r="E851" s="51"/>
      <c r="F851" s="12"/>
      <c r="G851" s="24"/>
      <c r="H851" s="24"/>
      <c r="I851" s="24"/>
      <c r="J851" s="24"/>
      <c r="K851" s="51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3.5" customHeight="1">
      <c r="A852" s="24"/>
      <c r="B852" s="24"/>
      <c r="C852" s="24"/>
      <c r="D852" s="24"/>
      <c r="E852" s="51"/>
      <c r="F852" s="12"/>
      <c r="G852" s="24"/>
      <c r="H852" s="24"/>
      <c r="I852" s="24"/>
      <c r="J852" s="24"/>
      <c r="K852" s="51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3.5" customHeight="1">
      <c r="A853" s="24"/>
      <c r="B853" s="24"/>
      <c r="C853" s="24"/>
      <c r="D853" s="24"/>
      <c r="E853" s="51"/>
      <c r="F853" s="12"/>
      <c r="G853" s="24"/>
      <c r="H853" s="24"/>
      <c r="I853" s="24"/>
      <c r="J853" s="24"/>
      <c r="K853" s="51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3.5" customHeight="1">
      <c r="A854" s="24"/>
      <c r="B854" s="24"/>
      <c r="C854" s="24"/>
      <c r="D854" s="24"/>
      <c r="E854" s="51"/>
      <c r="F854" s="12"/>
      <c r="G854" s="24"/>
      <c r="H854" s="24"/>
      <c r="I854" s="24"/>
      <c r="J854" s="24"/>
      <c r="K854" s="51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3.5" customHeight="1">
      <c r="A855" s="24"/>
      <c r="B855" s="24"/>
      <c r="C855" s="24"/>
      <c r="D855" s="24"/>
      <c r="E855" s="51"/>
      <c r="F855" s="12"/>
      <c r="G855" s="24"/>
      <c r="H855" s="24"/>
      <c r="I855" s="24"/>
      <c r="J855" s="24"/>
      <c r="K855" s="51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3.5" customHeight="1">
      <c r="A856" s="24"/>
      <c r="B856" s="24"/>
      <c r="C856" s="24"/>
      <c r="D856" s="24"/>
      <c r="E856" s="51"/>
      <c r="F856" s="12"/>
      <c r="G856" s="24"/>
      <c r="H856" s="24"/>
      <c r="I856" s="24"/>
      <c r="J856" s="24"/>
      <c r="K856" s="51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3.5" customHeight="1">
      <c r="A857" s="24"/>
      <c r="B857" s="24"/>
      <c r="C857" s="24"/>
      <c r="D857" s="24"/>
      <c r="E857" s="51"/>
      <c r="F857" s="12"/>
      <c r="G857" s="24"/>
      <c r="H857" s="24"/>
      <c r="I857" s="24"/>
      <c r="J857" s="24"/>
      <c r="K857" s="51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3.5" customHeight="1">
      <c r="A858" s="24"/>
      <c r="B858" s="24"/>
      <c r="C858" s="24"/>
      <c r="D858" s="24"/>
      <c r="E858" s="51"/>
      <c r="F858" s="12"/>
      <c r="G858" s="24"/>
      <c r="H858" s="24"/>
      <c r="I858" s="24"/>
      <c r="J858" s="24"/>
      <c r="K858" s="51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3.5" customHeight="1">
      <c r="A859" s="24"/>
      <c r="B859" s="24"/>
      <c r="C859" s="24"/>
      <c r="D859" s="24"/>
      <c r="E859" s="51"/>
      <c r="F859" s="12"/>
      <c r="G859" s="24"/>
      <c r="H859" s="24"/>
      <c r="I859" s="24"/>
      <c r="J859" s="24"/>
      <c r="K859" s="51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3.5" customHeight="1">
      <c r="A860" s="24"/>
      <c r="B860" s="24"/>
      <c r="C860" s="24"/>
      <c r="D860" s="24"/>
      <c r="E860" s="51"/>
      <c r="F860" s="12"/>
      <c r="G860" s="24"/>
      <c r="H860" s="24"/>
      <c r="I860" s="24"/>
      <c r="J860" s="24"/>
      <c r="K860" s="51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3.5" customHeight="1">
      <c r="A861" s="24"/>
      <c r="B861" s="24"/>
      <c r="C861" s="24"/>
      <c r="D861" s="24"/>
      <c r="E861" s="51"/>
      <c r="F861" s="12"/>
      <c r="G861" s="24"/>
      <c r="H861" s="24"/>
      <c r="I861" s="24"/>
      <c r="J861" s="24"/>
      <c r="K861" s="51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3.5" customHeight="1">
      <c r="A862" s="24"/>
      <c r="B862" s="24"/>
      <c r="C862" s="24"/>
      <c r="D862" s="24"/>
      <c r="E862" s="51"/>
      <c r="F862" s="12"/>
      <c r="G862" s="24"/>
      <c r="H862" s="24"/>
      <c r="I862" s="24"/>
      <c r="J862" s="24"/>
      <c r="K862" s="51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3.5" customHeight="1">
      <c r="A863" s="24"/>
      <c r="B863" s="24"/>
      <c r="C863" s="24"/>
      <c r="D863" s="24"/>
      <c r="E863" s="51"/>
      <c r="F863" s="12"/>
      <c r="G863" s="24"/>
      <c r="H863" s="24"/>
      <c r="I863" s="24"/>
      <c r="J863" s="24"/>
      <c r="K863" s="51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3.5" customHeight="1">
      <c r="A864" s="24"/>
      <c r="B864" s="24"/>
      <c r="C864" s="24"/>
      <c r="D864" s="24"/>
      <c r="E864" s="51"/>
      <c r="F864" s="12"/>
      <c r="G864" s="24"/>
      <c r="H864" s="24"/>
      <c r="I864" s="24"/>
      <c r="J864" s="24"/>
      <c r="K864" s="51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3.5" customHeight="1">
      <c r="A865" s="24"/>
      <c r="B865" s="24"/>
      <c r="C865" s="24"/>
      <c r="D865" s="24"/>
      <c r="E865" s="51"/>
      <c r="F865" s="12"/>
      <c r="G865" s="24"/>
      <c r="H865" s="24"/>
      <c r="I865" s="24"/>
      <c r="J865" s="24"/>
      <c r="K865" s="51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3.5" customHeight="1">
      <c r="A866" s="24"/>
      <c r="B866" s="24"/>
      <c r="C866" s="24"/>
      <c r="D866" s="24"/>
      <c r="E866" s="51"/>
      <c r="F866" s="12"/>
      <c r="G866" s="24"/>
      <c r="H866" s="24"/>
      <c r="I866" s="24"/>
      <c r="J866" s="24"/>
      <c r="K866" s="51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3.5" customHeight="1">
      <c r="A867" s="24"/>
      <c r="B867" s="24"/>
      <c r="C867" s="24"/>
      <c r="D867" s="24"/>
      <c r="E867" s="51"/>
      <c r="F867" s="12"/>
      <c r="G867" s="24"/>
      <c r="H867" s="24"/>
      <c r="I867" s="24"/>
      <c r="J867" s="24"/>
      <c r="K867" s="51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3.5" customHeight="1">
      <c r="A868" s="24"/>
      <c r="B868" s="24"/>
      <c r="C868" s="24"/>
      <c r="D868" s="24"/>
      <c r="E868" s="51"/>
      <c r="F868" s="12"/>
      <c r="G868" s="24"/>
      <c r="H868" s="24"/>
      <c r="I868" s="24"/>
      <c r="J868" s="24"/>
      <c r="K868" s="51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3.5" customHeight="1">
      <c r="A869" s="24"/>
      <c r="B869" s="24"/>
      <c r="C869" s="24"/>
      <c r="D869" s="24"/>
      <c r="E869" s="51"/>
      <c r="F869" s="12"/>
      <c r="G869" s="24"/>
      <c r="H869" s="24"/>
      <c r="I869" s="24"/>
      <c r="J869" s="24"/>
      <c r="K869" s="51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3.5" customHeight="1">
      <c r="A870" s="24"/>
      <c r="B870" s="24"/>
      <c r="C870" s="24"/>
      <c r="D870" s="24"/>
      <c r="E870" s="51"/>
      <c r="F870" s="12"/>
      <c r="G870" s="24"/>
      <c r="H870" s="24"/>
      <c r="I870" s="24"/>
      <c r="J870" s="24"/>
      <c r="K870" s="51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3.5" customHeight="1">
      <c r="A871" s="24"/>
      <c r="B871" s="24"/>
      <c r="C871" s="24"/>
      <c r="D871" s="24"/>
      <c r="E871" s="51"/>
      <c r="F871" s="12"/>
      <c r="G871" s="24"/>
      <c r="H871" s="24"/>
      <c r="I871" s="24"/>
      <c r="J871" s="24"/>
      <c r="K871" s="51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3.5" customHeight="1">
      <c r="A872" s="24"/>
      <c r="B872" s="24"/>
      <c r="C872" s="24"/>
      <c r="D872" s="24"/>
      <c r="E872" s="51"/>
      <c r="F872" s="12"/>
      <c r="G872" s="24"/>
      <c r="H872" s="24"/>
      <c r="I872" s="24"/>
      <c r="J872" s="24"/>
      <c r="K872" s="51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3.5" customHeight="1">
      <c r="A873" s="24"/>
      <c r="B873" s="24"/>
      <c r="C873" s="24"/>
      <c r="D873" s="24"/>
      <c r="E873" s="51"/>
      <c r="F873" s="12"/>
      <c r="G873" s="24"/>
      <c r="H873" s="24"/>
      <c r="I873" s="24"/>
      <c r="J873" s="24"/>
      <c r="K873" s="51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3.5" customHeight="1">
      <c r="A874" s="24"/>
      <c r="B874" s="24"/>
      <c r="C874" s="24"/>
      <c r="D874" s="24"/>
      <c r="E874" s="51"/>
      <c r="F874" s="12"/>
      <c r="G874" s="24"/>
      <c r="H874" s="24"/>
      <c r="I874" s="24"/>
      <c r="J874" s="24"/>
      <c r="K874" s="51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3.5" customHeight="1">
      <c r="A875" s="24"/>
      <c r="B875" s="24"/>
      <c r="C875" s="24"/>
      <c r="D875" s="24"/>
      <c r="E875" s="51"/>
      <c r="F875" s="12"/>
      <c r="G875" s="24"/>
      <c r="H875" s="24"/>
      <c r="I875" s="24"/>
      <c r="J875" s="24"/>
      <c r="K875" s="51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3.5" customHeight="1">
      <c r="A876" s="24"/>
      <c r="B876" s="24"/>
      <c r="C876" s="24"/>
      <c r="D876" s="24"/>
      <c r="E876" s="51"/>
      <c r="F876" s="12"/>
      <c r="G876" s="24"/>
      <c r="H876" s="24"/>
      <c r="I876" s="24"/>
      <c r="J876" s="24"/>
      <c r="K876" s="51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3.5" customHeight="1">
      <c r="A877" s="24"/>
      <c r="B877" s="24"/>
      <c r="C877" s="24"/>
      <c r="D877" s="24"/>
      <c r="E877" s="51"/>
      <c r="F877" s="12"/>
      <c r="G877" s="24"/>
      <c r="H877" s="24"/>
      <c r="I877" s="24"/>
      <c r="J877" s="24"/>
      <c r="K877" s="51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3.5" customHeight="1">
      <c r="A878" s="24"/>
      <c r="B878" s="24"/>
      <c r="C878" s="24"/>
      <c r="D878" s="24"/>
      <c r="E878" s="51"/>
      <c r="F878" s="12"/>
      <c r="G878" s="24"/>
      <c r="H878" s="24"/>
      <c r="I878" s="24"/>
      <c r="J878" s="24"/>
      <c r="K878" s="51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3.5" customHeight="1">
      <c r="A879" s="24"/>
      <c r="B879" s="24"/>
      <c r="C879" s="24"/>
      <c r="D879" s="24"/>
      <c r="E879" s="51"/>
      <c r="F879" s="12"/>
      <c r="G879" s="24"/>
      <c r="H879" s="24"/>
      <c r="I879" s="24"/>
      <c r="J879" s="24"/>
      <c r="K879" s="51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3.5" customHeight="1">
      <c r="A880" s="24"/>
      <c r="B880" s="24"/>
      <c r="C880" s="24"/>
      <c r="D880" s="24"/>
      <c r="E880" s="51"/>
      <c r="F880" s="12"/>
      <c r="G880" s="24"/>
      <c r="H880" s="24"/>
      <c r="I880" s="24"/>
      <c r="J880" s="24"/>
      <c r="K880" s="51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3.5" customHeight="1">
      <c r="A881" s="24"/>
      <c r="B881" s="24"/>
      <c r="C881" s="24"/>
      <c r="D881" s="24"/>
      <c r="E881" s="51"/>
      <c r="F881" s="12"/>
      <c r="G881" s="24"/>
      <c r="H881" s="24"/>
      <c r="I881" s="24"/>
      <c r="J881" s="24"/>
      <c r="K881" s="51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3.5" customHeight="1">
      <c r="A882" s="24"/>
      <c r="B882" s="24"/>
      <c r="C882" s="24"/>
      <c r="D882" s="24"/>
      <c r="E882" s="51"/>
      <c r="F882" s="12"/>
      <c r="G882" s="24"/>
      <c r="H882" s="24"/>
      <c r="I882" s="24"/>
      <c r="J882" s="24"/>
      <c r="K882" s="51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3.5" customHeight="1">
      <c r="A883" s="24"/>
      <c r="B883" s="24"/>
      <c r="C883" s="24"/>
      <c r="D883" s="24"/>
      <c r="E883" s="51"/>
      <c r="F883" s="12"/>
      <c r="G883" s="24"/>
      <c r="H883" s="24"/>
      <c r="I883" s="24"/>
      <c r="J883" s="24"/>
      <c r="K883" s="51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3.5" customHeight="1">
      <c r="A884" s="24"/>
      <c r="B884" s="24"/>
      <c r="C884" s="24"/>
      <c r="D884" s="24"/>
      <c r="E884" s="51"/>
      <c r="F884" s="12"/>
      <c r="G884" s="24"/>
      <c r="H884" s="24"/>
      <c r="I884" s="24"/>
      <c r="J884" s="24"/>
      <c r="K884" s="51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3.5" customHeight="1">
      <c r="A885" s="24"/>
      <c r="B885" s="24"/>
      <c r="C885" s="24"/>
      <c r="D885" s="24"/>
      <c r="E885" s="51"/>
      <c r="F885" s="12"/>
      <c r="G885" s="24"/>
      <c r="H885" s="24"/>
      <c r="I885" s="24"/>
      <c r="J885" s="24"/>
      <c r="K885" s="51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3.5" customHeight="1">
      <c r="A886" s="24"/>
      <c r="B886" s="24"/>
      <c r="C886" s="24"/>
      <c r="D886" s="24"/>
      <c r="E886" s="51"/>
      <c r="F886" s="12"/>
      <c r="G886" s="24"/>
      <c r="H886" s="24"/>
      <c r="I886" s="24"/>
      <c r="J886" s="24"/>
      <c r="K886" s="51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3.5" customHeight="1">
      <c r="A887" s="24"/>
      <c r="B887" s="24"/>
      <c r="C887" s="24"/>
      <c r="D887" s="24"/>
      <c r="E887" s="51"/>
      <c r="F887" s="12"/>
      <c r="G887" s="24"/>
      <c r="H887" s="24"/>
      <c r="I887" s="24"/>
      <c r="J887" s="24"/>
      <c r="K887" s="51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3.5" customHeight="1">
      <c r="A888" s="24"/>
      <c r="B888" s="24"/>
      <c r="C888" s="24"/>
      <c r="D888" s="24"/>
      <c r="E888" s="51"/>
      <c r="F888" s="12"/>
      <c r="G888" s="24"/>
      <c r="H888" s="24"/>
      <c r="I888" s="24"/>
      <c r="J888" s="24"/>
      <c r="K888" s="51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3.5" customHeight="1">
      <c r="A889" s="24"/>
      <c r="B889" s="24"/>
      <c r="C889" s="24"/>
      <c r="D889" s="24"/>
      <c r="E889" s="51"/>
      <c r="F889" s="12"/>
      <c r="G889" s="24"/>
      <c r="H889" s="24"/>
      <c r="I889" s="24"/>
      <c r="J889" s="24"/>
      <c r="K889" s="51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3.5" customHeight="1">
      <c r="A890" s="24"/>
      <c r="B890" s="24"/>
      <c r="C890" s="24"/>
      <c r="D890" s="24"/>
      <c r="E890" s="51"/>
      <c r="F890" s="12"/>
      <c r="G890" s="24"/>
      <c r="H890" s="24"/>
      <c r="I890" s="24"/>
      <c r="J890" s="24"/>
      <c r="K890" s="51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3.5" customHeight="1">
      <c r="A891" s="24"/>
      <c r="B891" s="24"/>
      <c r="C891" s="24"/>
      <c r="D891" s="24"/>
      <c r="E891" s="51"/>
      <c r="F891" s="12"/>
      <c r="G891" s="24"/>
      <c r="H891" s="24"/>
      <c r="I891" s="24"/>
      <c r="J891" s="24"/>
      <c r="K891" s="51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3.5" customHeight="1">
      <c r="A892" s="24"/>
      <c r="B892" s="24"/>
      <c r="C892" s="24"/>
      <c r="D892" s="24"/>
      <c r="E892" s="51"/>
      <c r="F892" s="12"/>
      <c r="G892" s="24"/>
      <c r="H892" s="24"/>
      <c r="I892" s="24"/>
      <c r="J892" s="24"/>
      <c r="K892" s="51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3.5" customHeight="1">
      <c r="A893" s="24"/>
      <c r="B893" s="24"/>
      <c r="C893" s="24"/>
      <c r="D893" s="24"/>
      <c r="E893" s="51"/>
      <c r="F893" s="12"/>
      <c r="G893" s="24"/>
      <c r="H893" s="24"/>
      <c r="I893" s="24"/>
      <c r="J893" s="24"/>
      <c r="K893" s="51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3.5" customHeight="1">
      <c r="A894" s="24"/>
      <c r="B894" s="24"/>
      <c r="C894" s="24"/>
      <c r="D894" s="24"/>
      <c r="E894" s="51"/>
      <c r="F894" s="12"/>
      <c r="G894" s="24"/>
      <c r="H894" s="24"/>
      <c r="I894" s="24"/>
      <c r="J894" s="24"/>
      <c r="K894" s="51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3.5" customHeight="1">
      <c r="A895" s="24"/>
      <c r="B895" s="24"/>
      <c r="C895" s="24"/>
      <c r="D895" s="24"/>
      <c r="E895" s="51"/>
      <c r="F895" s="12"/>
      <c r="G895" s="24"/>
      <c r="H895" s="24"/>
      <c r="I895" s="24"/>
      <c r="J895" s="24"/>
      <c r="K895" s="51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3.5" customHeight="1">
      <c r="A896" s="24"/>
      <c r="B896" s="24"/>
      <c r="C896" s="24"/>
      <c r="D896" s="24"/>
      <c r="E896" s="51"/>
      <c r="F896" s="12"/>
      <c r="G896" s="24"/>
      <c r="H896" s="24"/>
      <c r="I896" s="24"/>
      <c r="J896" s="24"/>
      <c r="K896" s="51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3.5" customHeight="1">
      <c r="A897" s="24"/>
      <c r="B897" s="24"/>
      <c r="C897" s="24"/>
      <c r="D897" s="24"/>
      <c r="E897" s="51"/>
      <c r="F897" s="12"/>
      <c r="G897" s="24"/>
      <c r="H897" s="24"/>
      <c r="I897" s="24"/>
      <c r="J897" s="24"/>
      <c r="K897" s="51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3.5" customHeight="1">
      <c r="A898" s="24"/>
      <c r="B898" s="24"/>
      <c r="C898" s="24"/>
      <c r="D898" s="24"/>
      <c r="E898" s="51"/>
      <c r="F898" s="12"/>
      <c r="G898" s="24"/>
      <c r="H898" s="24"/>
      <c r="I898" s="24"/>
      <c r="J898" s="24"/>
      <c r="K898" s="51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3.5" customHeight="1">
      <c r="A899" s="24"/>
      <c r="B899" s="24"/>
      <c r="C899" s="24"/>
      <c r="D899" s="24"/>
      <c r="E899" s="51"/>
      <c r="F899" s="12"/>
      <c r="G899" s="24"/>
      <c r="H899" s="24"/>
      <c r="I899" s="24"/>
      <c r="J899" s="24"/>
      <c r="K899" s="51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3.5" customHeight="1">
      <c r="A900" s="24"/>
      <c r="B900" s="24"/>
      <c r="C900" s="24"/>
      <c r="D900" s="24"/>
      <c r="E900" s="51"/>
      <c r="F900" s="12"/>
      <c r="G900" s="24"/>
      <c r="H900" s="24"/>
      <c r="I900" s="24"/>
      <c r="J900" s="24"/>
      <c r="K900" s="51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3.5" customHeight="1">
      <c r="A901" s="24"/>
      <c r="B901" s="24"/>
      <c r="C901" s="24"/>
      <c r="D901" s="24"/>
      <c r="E901" s="51"/>
      <c r="F901" s="12"/>
      <c r="G901" s="24"/>
      <c r="H901" s="24"/>
      <c r="I901" s="24"/>
      <c r="J901" s="24"/>
      <c r="K901" s="51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3.5" customHeight="1">
      <c r="A902" s="24"/>
      <c r="B902" s="24"/>
      <c r="C902" s="24"/>
      <c r="D902" s="24"/>
      <c r="E902" s="51"/>
      <c r="F902" s="12"/>
      <c r="G902" s="24"/>
      <c r="H902" s="24"/>
      <c r="I902" s="24"/>
      <c r="J902" s="24"/>
      <c r="K902" s="51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3.5" customHeight="1">
      <c r="A903" s="24"/>
      <c r="B903" s="24"/>
      <c r="C903" s="24"/>
      <c r="D903" s="24"/>
      <c r="E903" s="51"/>
      <c r="F903" s="12"/>
      <c r="G903" s="24"/>
      <c r="H903" s="24"/>
      <c r="I903" s="24"/>
      <c r="J903" s="24"/>
      <c r="K903" s="51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3.5" customHeight="1">
      <c r="A904" s="24"/>
      <c r="B904" s="24"/>
      <c r="C904" s="24"/>
      <c r="D904" s="24"/>
      <c r="E904" s="51"/>
      <c r="F904" s="12"/>
      <c r="G904" s="24"/>
      <c r="H904" s="24"/>
      <c r="I904" s="24"/>
      <c r="J904" s="24"/>
      <c r="K904" s="51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3.5" customHeight="1">
      <c r="A905" s="24"/>
      <c r="B905" s="24"/>
      <c r="C905" s="24"/>
      <c r="D905" s="24"/>
      <c r="E905" s="51"/>
      <c r="F905" s="12"/>
      <c r="G905" s="24"/>
      <c r="H905" s="24"/>
      <c r="I905" s="24"/>
      <c r="J905" s="24"/>
      <c r="K905" s="51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3.5" customHeight="1">
      <c r="A906" s="24"/>
      <c r="B906" s="24"/>
      <c r="C906" s="24"/>
      <c r="D906" s="24"/>
      <c r="E906" s="51"/>
      <c r="F906" s="12"/>
      <c r="G906" s="24"/>
      <c r="H906" s="24"/>
      <c r="I906" s="24"/>
      <c r="J906" s="24"/>
      <c r="K906" s="51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3.5" customHeight="1">
      <c r="A907" s="24"/>
      <c r="B907" s="24"/>
      <c r="C907" s="24"/>
      <c r="D907" s="24"/>
      <c r="E907" s="51"/>
      <c r="F907" s="12"/>
      <c r="G907" s="24"/>
      <c r="H907" s="24"/>
      <c r="I907" s="24"/>
      <c r="J907" s="24"/>
      <c r="K907" s="51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3.5" customHeight="1">
      <c r="A908" s="24"/>
      <c r="B908" s="24"/>
      <c r="C908" s="24"/>
      <c r="D908" s="24"/>
      <c r="E908" s="51"/>
      <c r="F908" s="12"/>
      <c r="G908" s="24"/>
      <c r="H908" s="24"/>
      <c r="I908" s="24"/>
      <c r="J908" s="24"/>
      <c r="K908" s="51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3.5" customHeight="1">
      <c r="A909" s="24"/>
      <c r="B909" s="24"/>
      <c r="C909" s="24"/>
      <c r="D909" s="24"/>
      <c r="E909" s="51"/>
      <c r="F909" s="12"/>
      <c r="G909" s="24"/>
      <c r="H909" s="24"/>
      <c r="I909" s="24"/>
      <c r="J909" s="24"/>
      <c r="K909" s="51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3.5" customHeight="1">
      <c r="A910" s="24"/>
      <c r="B910" s="24"/>
      <c r="C910" s="24"/>
      <c r="D910" s="24"/>
      <c r="E910" s="51"/>
      <c r="F910" s="12"/>
      <c r="G910" s="24"/>
      <c r="H910" s="24"/>
      <c r="I910" s="24"/>
      <c r="J910" s="24"/>
      <c r="K910" s="51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3.5" customHeight="1">
      <c r="A911" s="24"/>
      <c r="B911" s="24"/>
      <c r="C911" s="24"/>
      <c r="D911" s="24"/>
      <c r="E911" s="51"/>
      <c r="F911" s="12"/>
      <c r="G911" s="24"/>
      <c r="H911" s="24"/>
      <c r="I911" s="24"/>
      <c r="J911" s="24"/>
      <c r="K911" s="51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3.5" customHeight="1">
      <c r="A912" s="24"/>
      <c r="B912" s="24"/>
      <c r="C912" s="24"/>
      <c r="D912" s="24"/>
      <c r="E912" s="51"/>
      <c r="F912" s="12"/>
      <c r="G912" s="24"/>
      <c r="H912" s="24"/>
      <c r="I912" s="24"/>
      <c r="J912" s="24"/>
      <c r="K912" s="51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3.5" customHeight="1">
      <c r="A913" s="24"/>
      <c r="B913" s="24"/>
      <c r="C913" s="24"/>
      <c r="D913" s="24"/>
      <c r="E913" s="51"/>
      <c r="F913" s="12"/>
      <c r="G913" s="24"/>
      <c r="H913" s="24"/>
      <c r="I913" s="24"/>
      <c r="J913" s="24"/>
      <c r="K913" s="51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3.5" customHeight="1">
      <c r="A914" s="24"/>
      <c r="B914" s="24"/>
      <c r="C914" s="24"/>
      <c r="D914" s="24"/>
      <c r="E914" s="51"/>
      <c r="F914" s="12"/>
      <c r="G914" s="24"/>
      <c r="H914" s="24"/>
      <c r="I914" s="24"/>
      <c r="J914" s="24"/>
      <c r="K914" s="51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3.5" customHeight="1">
      <c r="A915" s="24"/>
      <c r="B915" s="24"/>
      <c r="C915" s="24"/>
      <c r="D915" s="24"/>
      <c r="E915" s="51"/>
      <c r="F915" s="12"/>
      <c r="G915" s="24"/>
      <c r="H915" s="24"/>
      <c r="I915" s="24"/>
      <c r="J915" s="24"/>
      <c r="K915" s="51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3.5" customHeight="1">
      <c r="A916" s="24"/>
      <c r="B916" s="24"/>
      <c r="C916" s="24"/>
      <c r="D916" s="24"/>
      <c r="E916" s="51"/>
      <c r="F916" s="12"/>
      <c r="G916" s="24"/>
      <c r="H916" s="24"/>
      <c r="I916" s="24"/>
      <c r="J916" s="24"/>
      <c r="K916" s="51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3.5" customHeight="1">
      <c r="A917" s="24"/>
      <c r="B917" s="24"/>
      <c r="C917" s="24"/>
      <c r="D917" s="24"/>
      <c r="E917" s="51"/>
      <c r="F917" s="12"/>
      <c r="G917" s="24"/>
      <c r="H917" s="24"/>
      <c r="I917" s="24"/>
      <c r="J917" s="24"/>
      <c r="K917" s="51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3.5" customHeight="1">
      <c r="A918" s="24"/>
      <c r="B918" s="24"/>
      <c r="C918" s="24"/>
      <c r="D918" s="24"/>
      <c r="E918" s="51"/>
      <c r="F918" s="12"/>
      <c r="G918" s="24"/>
      <c r="H918" s="24"/>
      <c r="I918" s="24"/>
      <c r="J918" s="24"/>
      <c r="K918" s="51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3.5" customHeight="1">
      <c r="A919" s="24"/>
      <c r="B919" s="24"/>
      <c r="C919" s="24"/>
      <c r="D919" s="24"/>
      <c r="E919" s="51"/>
      <c r="F919" s="12"/>
      <c r="G919" s="24"/>
      <c r="H919" s="24"/>
      <c r="I919" s="24"/>
      <c r="J919" s="24"/>
      <c r="K919" s="51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3.5" customHeight="1">
      <c r="A920" s="24"/>
      <c r="B920" s="24"/>
      <c r="C920" s="24"/>
      <c r="D920" s="24"/>
      <c r="E920" s="51"/>
      <c r="F920" s="12"/>
      <c r="G920" s="24"/>
      <c r="H920" s="24"/>
      <c r="I920" s="24"/>
      <c r="J920" s="24"/>
      <c r="K920" s="51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3.5" customHeight="1">
      <c r="A921" s="24"/>
      <c r="B921" s="24"/>
      <c r="C921" s="24"/>
      <c r="D921" s="24"/>
      <c r="E921" s="51"/>
      <c r="F921" s="12"/>
      <c r="G921" s="24"/>
      <c r="H921" s="24"/>
      <c r="I921" s="24"/>
      <c r="J921" s="24"/>
      <c r="K921" s="51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3.5" customHeight="1">
      <c r="A922" s="24"/>
      <c r="B922" s="24"/>
      <c r="C922" s="24"/>
      <c r="D922" s="24"/>
      <c r="E922" s="51"/>
      <c r="F922" s="12"/>
      <c r="G922" s="24"/>
      <c r="H922" s="24"/>
      <c r="I922" s="24"/>
      <c r="J922" s="24"/>
      <c r="K922" s="51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3.5" customHeight="1">
      <c r="A923" s="24"/>
      <c r="B923" s="24"/>
      <c r="C923" s="24"/>
      <c r="D923" s="24"/>
      <c r="E923" s="51"/>
      <c r="F923" s="12"/>
      <c r="G923" s="24"/>
      <c r="H923" s="24"/>
      <c r="I923" s="24"/>
      <c r="J923" s="24"/>
      <c r="K923" s="51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3.5" customHeight="1">
      <c r="A924" s="24"/>
      <c r="B924" s="24"/>
      <c r="C924" s="24"/>
      <c r="D924" s="24"/>
      <c r="E924" s="51"/>
      <c r="F924" s="12"/>
      <c r="G924" s="24"/>
      <c r="H924" s="24"/>
      <c r="I924" s="24"/>
      <c r="J924" s="24"/>
      <c r="K924" s="51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3.5" customHeight="1">
      <c r="A925" s="24"/>
      <c r="B925" s="24"/>
      <c r="C925" s="24"/>
      <c r="D925" s="24"/>
      <c r="E925" s="51"/>
      <c r="F925" s="12"/>
      <c r="G925" s="24"/>
      <c r="H925" s="24"/>
      <c r="I925" s="24"/>
      <c r="J925" s="24"/>
      <c r="K925" s="51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3.5" customHeight="1">
      <c r="A926" s="24"/>
      <c r="B926" s="24"/>
      <c r="C926" s="24"/>
      <c r="D926" s="24"/>
      <c r="E926" s="51"/>
      <c r="F926" s="12"/>
      <c r="G926" s="24"/>
      <c r="H926" s="24"/>
      <c r="I926" s="24"/>
      <c r="J926" s="24"/>
      <c r="K926" s="51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3.5" customHeight="1">
      <c r="A927" s="24"/>
      <c r="B927" s="24"/>
      <c r="C927" s="24"/>
      <c r="D927" s="24"/>
      <c r="E927" s="51"/>
      <c r="F927" s="12"/>
      <c r="G927" s="24"/>
      <c r="H927" s="24"/>
      <c r="I927" s="24"/>
      <c r="J927" s="24"/>
      <c r="K927" s="51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3.5" customHeight="1">
      <c r="A928" s="24"/>
      <c r="B928" s="24"/>
      <c r="C928" s="24"/>
      <c r="D928" s="24"/>
      <c r="E928" s="51"/>
      <c r="F928" s="12"/>
      <c r="G928" s="24"/>
      <c r="H928" s="24"/>
      <c r="I928" s="24"/>
      <c r="J928" s="24"/>
      <c r="K928" s="51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3.5" customHeight="1">
      <c r="A929" s="24"/>
      <c r="B929" s="24"/>
      <c r="C929" s="24"/>
      <c r="D929" s="24"/>
      <c r="E929" s="51"/>
      <c r="F929" s="12"/>
      <c r="G929" s="24"/>
      <c r="H929" s="24"/>
      <c r="I929" s="24"/>
      <c r="J929" s="24"/>
      <c r="K929" s="51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3.5" customHeight="1">
      <c r="A930" s="24"/>
      <c r="B930" s="24"/>
      <c r="C930" s="24"/>
      <c r="D930" s="24"/>
      <c r="E930" s="51"/>
      <c r="F930" s="12"/>
      <c r="G930" s="24"/>
      <c r="H930" s="24"/>
      <c r="I930" s="24"/>
      <c r="J930" s="24"/>
      <c r="K930" s="51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3.5" customHeight="1">
      <c r="A931" s="24"/>
      <c r="B931" s="24"/>
      <c r="C931" s="24"/>
      <c r="D931" s="24"/>
      <c r="E931" s="51"/>
      <c r="F931" s="12"/>
      <c r="G931" s="24"/>
      <c r="H931" s="24"/>
      <c r="I931" s="24"/>
      <c r="J931" s="24"/>
      <c r="K931" s="51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3.5" customHeight="1">
      <c r="A932" s="24"/>
      <c r="B932" s="24"/>
      <c r="C932" s="24"/>
      <c r="D932" s="24"/>
      <c r="E932" s="51"/>
      <c r="F932" s="12"/>
      <c r="G932" s="24"/>
      <c r="H932" s="24"/>
      <c r="I932" s="24"/>
      <c r="J932" s="24"/>
      <c r="K932" s="51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3.5" customHeight="1">
      <c r="A933" s="24"/>
      <c r="B933" s="24"/>
      <c r="C933" s="24"/>
      <c r="D933" s="24"/>
      <c r="E933" s="51"/>
      <c r="F933" s="12"/>
      <c r="G933" s="24"/>
      <c r="H933" s="24"/>
      <c r="I933" s="24"/>
      <c r="J933" s="24"/>
      <c r="K933" s="51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3.5" customHeight="1">
      <c r="A934" s="24"/>
      <c r="B934" s="24"/>
      <c r="C934" s="24"/>
      <c r="D934" s="24"/>
      <c r="E934" s="51"/>
      <c r="F934" s="12"/>
      <c r="G934" s="24"/>
      <c r="H934" s="24"/>
      <c r="I934" s="24"/>
      <c r="J934" s="24"/>
      <c r="K934" s="51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3.5" customHeight="1">
      <c r="A935" s="24"/>
      <c r="B935" s="24"/>
      <c r="C935" s="24"/>
      <c r="D935" s="24"/>
      <c r="E935" s="51"/>
      <c r="F935" s="12"/>
      <c r="G935" s="24"/>
      <c r="H935" s="24"/>
      <c r="I935" s="24"/>
      <c r="J935" s="24"/>
      <c r="K935" s="51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3.5" customHeight="1">
      <c r="A936" s="24"/>
      <c r="B936" s="24"/>
      <c r="C936" s="24"/>
      <c r="D936" s="24"/>
      <c r="E936" s="51"/>
      <c r="F936" s="12"/>
      <c r="G936" s="24"/>
      <c r="H936" s="24"/>
      <c r="I936" s="24"/>
      <c r="J936" s="24"/>
      <c r="K936" s="51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3.5" customHeight="1">
      <c r="A937" s="24"/>
      <c r="B937" s="24"/>
      <c r="C937" s="24"/>
      <c r="D937" s="24"/>
      <c r="E937" s="51"/>
      <c r="F937" s="12"/>
      <c r="G937" s="24"/>
      <c r="H937" s="24"/>
      <c r="I937" s="24"/>
      <c r="J937" s="24"/>
      <c r="K937" s="51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3.5" customHeight="1">
      <c r="A938" s="24"/>
      <c r="B938" s="24"/>
      <c r="C938" s="24"/>
      <c r="D938" s="24"/>
      <c r="E938" s="51"/>
      <c r="F938" s="12"/>
      <c r="G938" s="24"/>
      <c r="H938" s="24"/>
      <c r="I938" s="24"/>
      <c r="J938" s="24"/>
      <c r="K938" s="51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3.5" customHeight="1">
      <c r="A939" s="24"/>
      <c r="B939" s="24"/>
      <c r="C939" s="24"/>
      <c r="D939" s="24"/>
      <c r="E939" s="51"/>
      <c r="F939" s="12"/>
      <c r="G939" s="24"/>
      <c r="H939" s="24"/>
      <c r="I939" s="24"/>
      <c r="J939" s="24"/>
      <c r="K939" s="51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3.5" customHeight="1">
      <c r="A940" s="24"/>
      <c r="B940" s="24"/>
      <c r="C940" s="24"/>
      <c r="D940" s="24"/>
      <c r="E940" s="51"/>
      <c r="F940" s="12"/>
      <c r="G940" s="24"/>
      <c r="H940" s="24"/>
      <c r="I940" s="24"/>
      <c r="J940" s="24"/>
      <c r="K940" s="51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3.5" customHeight="1">
      <c r="A941" s="24"/>
      <c r="B941" s="24"/>
      <c r="C941" s="24"/>
      <c r="D941" s="24"/>
      <c r="E941" s="51"/>
      <c r="F941" s="12"/>
      <c r="G941" s="24"/>
      <c r="H941" s="24"/>
      <c r="I941" s="24"/>
      <c r="J941" s="24"/>
      <c r="K941" s="51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3.5" customHeight="1">
      <c r="A942" s="24"/>
      <c r="B942" s="24"/>
      <c r="C942" s="24"/>
      <c r="D942" s="24"/>
      <c r="E942" s="51"/>
      <c r="F942" s="12"/>
      <c r="G942" s="24"/>
      <c r="H942" s="24"/>
      <c r="I942" s="24"/>
      <c r="J942" s="24"/>
      <c r="K942" s="51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3.5" customHeight="1">
      <c r="A943" s="24"/>
      <c r="B943" s="24"/>
      <c r="C943" s="24"/>
      <c r="D943" s="24"/>
      <c r="E943" s="51"/>
      <c r="F943" s="12"/>
      <c r="G943" s="24"/>
      <c r="H943" s="24"/>
      <c r="I943" s="24"/>
      <c r="J943" s="24"/>
      <c r="K943" s="51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3.5" customHeight="1">
      <c r="A944" s="24"/>
      <c r="B944" s="24"/>
      <c r="C944" s="24"/>
      <c r="D944" s="24"/>
      <c r="E944" s="51"/>
      <c r="F944" s="12"/>
      <c r="G944" s="24"/>
      <c r="H944" s="24"/>
      <c r="I944" s="24"/>
      <c r="J944" s="24"/>
      <c r="K944" s="51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3.5" customHeight="1">
      <c r="A945" s="24"/>
      <c r="B945" s="24"/>
      <c r="C945" s="24"/>
      <c r="D945" s="24"/>
      <c r="E945" s="51"/>
      <c r="F945" s="12"/>
      <c r="G945" s="24"/>
      <c r="H945" s="24"/>
      <c r="I945" s="24"/>
      <c r="J945" s="24"/>
      <c r="K945" s="51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3.5" customHeight="1">
      <c r="A946" s="24"/>
      <c r="B946" s="24"/>
      <c r="C946" s="24"/>
      <c r="D946" s="24"/>
      <c r="E946" s="51"/>
      <c r="F946" s="12"/>
      <c r="G946" s="24"/>
      <c r="H946" s="24"/>
      <c r="I946" s="24"/>
      <c r="J946" s="24"/>
      <c r="K946" s="51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3.5" customHeight="1">
      <c r="A947" s="24"/>
      <c r="B947" s="24"/>
      <c r="C947" s="24"/>
      <c r="D947" s="24"/>
      <c r="E947" s="51"/>
      <c r="F947" s="12"/>
      <c r="G947" s="24"/>
      <c r="H947" s="24"/>
      <c r="I947" s="24"/>
      <c r="J947" s="24"/>
      <c r="K947" s="51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3.5" customHeight="1">
      <c r="A948" s="24"/>
      <c r="B948" s="24"/>
      <c r="C948" s="24"/>
      <c r="D948" s="24"/>
      <c r="E948" s="51"/>
      <c r="F948" s="12"/>
      <c r="G948" s="24"/>
      <c r="H948" s="24"/>
      <c r="I948" s="24"/>
      <c r="J948" s="24"/>
      <c r="K948" s="51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3.5" customHeight="1">
      <c r="A949" s="24"/>
      <c r="B949" s="24"/>
      <c r="C949" s="24"/>
      <c r="D949" s="24"/>
      <c r="E949" s="51"/>
      <c r="F949" s="12"/>
      <c r="G949" s="24"/>
      <c r="H949" s="24"/>
      <c r="I949" s="24"/>
      <c r="J949" s="24"/>
      <c r="K949" s="51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3.5" customHeight="1">
      <c r="A950" s="24"/>
      <c r="B950" s="24"/>
      <c r="C950" s="24"/>
      <c r="D950" s="24"/>
      <c r="E950" s="51"/>
      <c r="F950" s="12"/>
      <c r="G950" s="24"/>
      <c r="H950" s="24"/>
      <c r="I950" s="24"/>
      <c r="J950" s="24"/>
      <c r="K950" s="51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3.5" customHeight="1">
      <c r="A951" s="24"/>
      <c r="B951" s="24"/>
      <c r="C951" s="24"/>
      <c r="D951" s="24"/>
      <c r="E951" s="51"/>
      <c r="F951" s="12"/>
      <c r="G951" s="24"/>
      <c r="H951" s="24"/>
      <c r="I951" s="24"/>
      <c r="J951" s="24"/>
      <c r="K951" s="51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3.5" customHeight="1">
      <c r="A952" s="24"/>
      <c r="B952" s="24"/>
      <c r="C952" s="24"/>
      <c r="D952" s="24"/>
      <c r="E952" s="51"/>
      <c r="F952" s="12"/>
      <c r="G952" s="24"/>
      <c r="H952" s="24"/>
      <c r="I952" s="24"/>
      <c r="J952" s="24"/>
      <c r="K952" s="51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3.5" customHeight="1">
      <c r="A953" s="24"/>
      <c r="B953" s="24"/>
      <c r="C953" s="24"/>
      <c r="D953" s="24"/>
      <c r="E953" s="51"/>
      <c r="F953" s="12"/>
      <c r="G953" s="24"/>
      <c r="H953" s="24"/>
      <c r="I953" s="24"/>
      <c r="J953" s="24"/>
      <c r="K953" s="51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3.5" customHeight="1">
      <c r="A954" s="24"/>
      <c r="B954" s="24"/>
      <c r="C954" s="24"/>
      <c r="D954" s="24"/>
      <c r="E954" s="51"/>
      <c r="F954" s="12"/>
      <c r="G954" s="24"/>
      <c r="H954" s="24"/>
      <c r="I954" s="24"/>
      <c r="J954" s="24"/>
      <c r="K954" s="51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3.5" customHeight="1">
      <c r="A955" s="24"/>
      <c r="B955" s="24"/>
      <c r="C955" s="24"/>
      <c r="D955" s="24"/>
      <c r="E955" s="51"/>
      <c r="F955" s="12"/>
      <c r="G955" s="24"/>
      <c r="H955" s="24"/>
      <c r="I955" s="24"/>
      <c r="J955" s="24"/>
      <c r="K955" s="51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3.5" customHeight="1">
      <c r="A956" s="24"/>
      <c r="B956" s="24"/>
      <c r="C956" s="24"/>
      <c r="D956" s="24"/>
      <c r="E956" s="51"/>
      <c r="F956" s="12"/>
      <c r="G956" s="24"/>
      <c r="H956" s="24"/>
      <c r="I956" s="24"/>
      <c r="J956" s="24"/>
      <c r="K956" s="51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3.5" customHeight="1">
      <c r="A957" s="24"/>
      <c r="B957" s="24"/>
      <c r="C957" s="24"/>
      <c r="D957" s="24"/>
      <c r="E957" s="51"/>
      <c r="F957" s="12"/>
      <c r="G957" s="24"/>
      <c r="H957" s="24"/>
      <c r="I957" s="24"/>
      <c r="J957" s="24"/>
      <c r="K957" s="51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3.5" customHeight="1">
      <c r="A958" s="24"/>
      <c r="B958" s="24"/>
      <c r="C958" s="24"/>
      <c r="D958" s="24"/>
      <c r="E958" s="51"/>
      <c r="F958" s="12"/>
      <c r="G958" s="24"/>
      <c r="H958" s="24"/>
      <c r="I958" s="24"/>
      <c r="J958" s="24"/>
      <c r="K958" s="51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3.5" customHeight="1">
      <c r="A959" s="24"/>
      <c r="B959" s="24"/>
      <c r="C959" s="24"/>
      <c r="D959" s="24"/>
      <c r="E959" s="51"/>
      <c r="F959" s="12"/>
      <c r="G959" s="24"/>
      <c r="H959" s="24"/>
      <c r="I959" s="24"/>
      <c r="J959" s="24"/>
      <c r="K959" s="51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3.5" customHeight="1">
      <c r="A960" s="24"/>
      <c r="B960" s="24"/>
      <c r="C960" s="24"/>
      <c r="D960" s="24"/>
      <c r="E960" s="51"/>
      <c r="F960" s="12"/>
      <c r="G960" s="24"/>
      <c r="H960" s="24"/>
      <c r="I960" s="24"/>
      <c r="J960" s="24"/>
      <c r="K960" s="51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3.5" customHeight="1">
      <c r="A961" s="24"/>
      <c r="B961" s="24"/>
      <c r="C961" s="24"/>
      <c r="D961" s="24"/>
      <c r="E961" s="51"/>
      <c r="F961" s="12"/>
      <c r="G961" s="24"/>
      <c r="H961" s="24"/>
      <c r="I961" s="24"/>
      <c r="J961" s="24"/>
      <c r="K961" s="51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3.5" customHeight="1">
      <c r="A962" s="24"/>
      <c r="B962" s="24"/>
      <c r="C962" s="24"/>
      <c r="D962" s="24"/>
      <c r="E962" s="51"/>
      <c r="F962" s="12"/>
      <c r="G962" s="24"/>
      <c r="H962" s="24"/>
      <c r="I962" s="24"/>
      <c r="J962" s="24"/>
      <c r="K962" s="51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3.5" customHeight="1">
      <c r="A963" s="24"/>
      <c r="B963" s="24"/>
      <c r="C963" s="24"/>
      <c r="D963" s="24"/>
      <c r="E963" s="51"/>
      <c r="F963" s="12"/>
      <c r="G963" s="24"/>
      <c r="H963" s="24"/>
      <c r="I963" s="24"/>
      <c r="J963" s="24"/>
      <c r="K963" s="51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3.5" customHeight="1">
      <c r="A964" s="24"/>
      <c r="B964" s="24"/>
      <c r="C964" s="24"/>
      <c r="D964" s="24"/>
      <c r="E964" s="51"/>
      <c r="F964" s="12"/>
      <c r="G964" s="24"/>
      <c r="H964" s="24"/>
      <c r="I964" s="24"/>
      <c r="J964" s="24"/>
      <c r="K964" s="51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3.5" customHeight="1">
      <c r="A965" s="24"/>
      <c r="B965" s="24"/>
      <c r="C965" s="24"/>
      <c r="D965" s="24"/>
      <c r="E965" s="51"/>
      <c r="F965" s="12"/>
      <c r="G965" s="24"/>
      <c r="H965" s="24"/>
      <c r="I965" s="24"/>
      <c r="J965" s="24"/>
      <c r="K965" s="51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3.5" customHeight="1">
      <c r="A966" s="24"/>
      <c r="B966" s="24"/>
      <c r="C966" s="24"/>
      <c r="D966" s="24"/>
      <c r="E966" s="51"/>
      <c r="F966" s="12"/>
      <c r="G966" s="24"/>
      <c r="H966" s="24"/>
      <c r="I966" s="24"/>
      <c r="J966" s="24"/>
      <c r="K966" s="51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3.5" customHeight="1">
      <c r="A967" s="24"/>
      <c r="B967" s="24"/>
      <c r="C967" s="24"/>
      <c r="D967" s="24"/>
      <c r="E967" s="51"/>
      <c r="F967" s="12"/>
      <c r="G967" s="24"/>
      <c r="H967" s="24"/>
      <c r="I967" s="24"/>
      <c r="J967" s="24"/>
      <c r="K967" s="51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3.5" customHeight="1">
      <c r="A968" s="24"/>
      <c r="B968" s="24"/>
      <c r="C968" s="24"/>
      <c r="D968" s="24"/>
      <c r="E968" s="51"/>
      <c r="F968" s="12"/>
      <c r="G968" s="24"/>
      <c r="H968" s="24"/>
      <c r="I968" s="24"/>
      <c r="J968" s="24"/>
      <c r="K968" s="51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3.5" customHeight="1">
      <c r="A969" s="24"/>
      <c r="B969" s="24"/>
      <c r="C969" s="24"/>
      <c r="D969" s="24"/>
      <c r="E969" s="51"/>
      <c r="F969" s="12"/>
      <c r="G969" s="24"/>
      <c r="H969" s="24"/>
      <c r="I969" s="24"/>
      <c r="J969" s="24"/>
      <c r="K969" s="51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3.5" customHeight="1">
      <c r="A970" s="24"/>
      <c r="B970" s="24"/>
      <c r="C970" s="24"/>
      <c r="D970" s="24"/>
      <c r="E970" s="51"/>
      <c r="F970" s="12"/>
      <c r="G970" s="24"/>
      <c r="H970" s="24"/>
      <c r="I970" s="24"/>
      <c r="J970" s="24"/>
      <c r="K970" s="51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3.5" customHeight="1">
      <c r="A971" s="24"/>
      <c r="B971" s="24"/>
      <c r="C971" s="24"/>
      <c r="D971" s="24"/>
      <c r="E971" s="51"/>
      <c r="F971" s="12"/>
      <c r="G971" s="24"/>
      <c r="H971" s="24"/>
      <c r="I971" s="24"/>
      <c r="J971" s="24"/>
      <c r="K971" s="51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3.5" customHeight="1">
      <c r="A972" s="24"/>
      <c r="B972" s="24"/>
      <c r="C972" s="24"/>
      <c r="D972" s="24"/>
      <c r="E972" s="51"/>
      <c r="F972" s="12"/>
      <c r="G972" s="24"/>
      <c r="H972" s="24"/>
      <c r="I972" s="24"/>
      <c r="J972" s="24"/>
      <c r="K972" s="51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3.5" customHeight="1">
      <c r="A973" s="24"/>
      <c r="B973" s="24"/>
      <c r="C973" s="24"/>
      <c r="D973" s="24"/>
      <c r="E973" s="51"/>
      <c r="F973" s="12"/>
      <c r="G973" s="24"/>
      <c r="H973" s="24"/>
      <c r="I973" s="24"/>
      <c r="J973" s="24"/>
      <c r="K973" s="51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3.5" customHeight="1">
      <c r="A974" s="24"/>
      <c r="B974" s="24"/>
      <c r="C974" s="24"/>
      <c r="D974" s="24"/>
      <c r="E974" s="51"/>
      <c r="F974" s="12"/>
      <c r="G974" s="24"/>
      <c r="H974" s="24"/>
      <c r="I974" s="24"/>
      <c r="J974" s="24"/>
      <c r="K974" s="51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3.5" customHeight="1">
      <c r="A975" s="24"/>
      <c r="B975" s="24"/>
      <c r="C975" s="24"/>
      <c r="D975" s="24"/>
      <c r="E975" s="51"/>
      <c r="F975" s="12"/>
      <c r="G975" s="24"/>
      <c r="H975" s="24"/>
      <c r="I975" s="24"/>
      <c r="J975" s="24"/>
      <c r="K975" s="51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3.5" customHeight="1">
      <c r="A976" s="24"/>
      <c r="B976" s="24"/>
      <c r="C976" s="24"/>
      <c r="D976" s="24"/>
      <c r="E976" s="51"/>
      <c r="F976" s="12"/>
      <c r="G976" s="24"/>
      <c r="H976" s="24"/>
      <c r="I976" s="24"/>
      <c r="J976" s="24"/>
      <c r="K976" s="51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3.5" customHeight="1">
      <c r="A977" s="24"/>
      <c r="B977" s="24"/>
      <c r="C977" s="24"/>
      <c r="D977" s="24"/>
      <c r="E977" s="51"/>
      <c r="F977" s="12"/>
      <c r="G977" s="24"/>
      <c r="H977" s="24"/>
      <c r="I977" s="24"/>
      <c r="J977" s="24"/>
      <c r="K977" s="51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3.5" customHeight="1">
      <c r="A978" s="24"/>
      <c r="B978" s="24"/>
      <c r="C978" s="24"/>
      <c r="D978" s="24"/>
      <c r="E978" s="51"/>
      <c r="F978" s="12"/>
      <c r="G978" s="24"/>
      <c r="H978" s="24"/>
      <c r="I978" s="24"/>
      <c r="J978" s="24"/>
      <c r="K978" s="51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3.5" customHeight="1">
      <c r="A979" s="24"/>
      <c r="B979" s="24"/>
      <c r="C979" s="24"/>
      <c r="D979" s="24"/>
      <c r="E979" s="51"/>
      <c r="F979" s="12"/>
      <c r="G979" s="24"/>
      <c r="H979" s="24"/>
      <c r="I979" s="24"/>
      <c r="J979" s="24"/>
      <c r="K979" s="51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3.5" customHeight="1">
      <c r="A980" s="24"/>
      <c r="B980" s="24"/>
      <c r="C980" s="24"/>
      <c r="D980" s="24"/>
      <c r="E980" s="51"/>
      <c r="F980" s="12"/>
      <c r="G980" s="24"/>
      <c r="H980" s="24"/>
      <c r="I980" s="24"/>
      <c r="J980" s="24"/>
      <c r="K980" s="51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3.5" customHeight="1">
      <c r="A981" s="24"/>
      <c r="B981" s="24"/>
      <c r="C981" s="24"/>
      <c r="D981" s="24"/>
      <c r="E981" s="51"/>
      <c r="F981" s="12"/>
      <c r="G981" s="24"/>
      <c r="H981" s="24"/>
      <c r="I981" s="24"/>
      <c r="J981" s="24"/>
      <c r="K981" s="51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3.5" customHeight="1">
      <c r="A982" s="24"/>
      <c r="B982" s="24"/>
      <c r="C982" s="24"/>
      <c r="D982" s="24"/>
      <c r="E982" s="51"/>
      <c r="F982" s="12"/>
      <c r="G982" s="24"/>
      <c r="H982" s="24"/>
      <c r="I982" s="24"/>
      <c r="J982" s="24"/>
      <c r="K982" s="51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3.5" customHeight="1">
      <c r="A983" s="24"/>
      <c r="B983" s="24"/>
      <c r="C983" s="24"/>
      <c r="D983" s="24"/>
      <c r="E983" s="51"/>
      <c r="F983" s="12"/>
      <c r="G983" s="24"/>
      <c r="H983" s="24"/>
      <c r="I983" s="24"/>
      <c r="J983" s="24"/>
      <c r="K983" s="51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3.5" customHeight="1">
      <c r="A984" s="24"/>
      <c r="B984" s="24"/>
      <c r="C984" s="24"/>
      <c r="D984" s="24"/>
      <c r="E984" s="51"/>
      <c r="F984" s="12"/>
      <c r="G984" s="24"/>
      <c r="H984" s="24"/>
      <c r="I984" s="24"/>
      <c r="J984" s="24"/>
      <c r="K984" s="51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3.5" customHeight="1">
      <c r="A985" s="24"/>
      <c r="B985" s="24"/>
      <c r="C985" s="24"/>
      <c r="D985" s="24"/>
      <c r="E985" s="51"/>
      <c r="F985" s="12"/>
      <c r="G985" s="24"/>
      <c r="H985" s="24"/>
      <c r="I985" s="24"/>
      <c r="J985" s="24"/>
      <c r="K985" s="51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3.5" customHeight="1">
      <c r="A986" s="24"/>
      <c r="B986" s="24"/>
      <c r="C986" s="24"/>
      <c r="D986" s="24"/>
      <c r="E986" s="51"/>
      <c r="F986" s="12"/>
      <c r="G986" s="24"/>
      <c r="H986" s="24"/>
      <c r="I986" s="24"/>
      <c r="J986" s="24"/>
      <c r="K986" s="51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3.5" customHeight="1">
      <c r="A987" s="24"/>
      <c r="B987" s="24"/>
      <c r="C987" s="24"/>
      <c r="D987" s="24"/>
      <c r="E987" s="51"/>
      <c r="F987" s="12"/>
      <c r="G987" s="24"/>
      <c r="H987" s="24"/>
      <c r="I987" s="24"/>
      <c r="J987" s="24"/>
      <c r="K987" s="51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3.5" customHeight="1">
      <c r="A988" s="24"/>
      <c r="B988" s="24"/>
      <c r="C988" s="24"/>
      <c r="D988" s="24"/>
      <c r="E988" s="51"/>
      <c r="F988" s="12"/>
      <c r="G988" s="24"/>
      <c r="H988" s="24"/>
      <c r="I988" s="24"/>
      <c r="J988" s="24"/>
      <c r="K988" s="51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3.5" customHeight="1">
      <c r="A989" s="24"/>
      <c r="B989" s="24"/>
      <c r="C989" s="24"/>
      <c r="D989" s="24"/>
      <c r="E989" s="51"/>
      <c r="F989" s="12"/>
      <c r="G989" s="24"/>
      <c r="H989" s="24"/>
      <c r="I989" s="24"/>
      <c r="J989" s="24"/>
      <c r="K989" s="51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3.5" customHeight="1">
      <c r="A990" s="24"/>
      <c r="B990" s="24"/>
      <c r="C990" s="24"/>
      <c r="D990" s="24"/>
      <c r="E990" s="51"/>
      <c r="F990" s="12"/>
      <c r="G990" s="24"/>
      <c r="H990" s="24"/>
      <c r="I990" s="24"/>
      <c r="J990" s="24"/>
      <c r="K990" s="51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3.5" customHeight="1">
      <c r="A991" s="24"/>
      <c r="B991" s="24"/>
      <c r="C991" s="24"/>
      <c r="D991" s="24"/>
      <c r="E991" s="51"/>
      <c r="F991" s="12"/>
      <c r="G991" s="24"/>
      <c r="H991" s="24"/>
      <c r="I991" s="24"/>
      <c r="J991" s="24"/>
      <c r="K991" s="51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3.5" customHeight="1">
      <c r="A992" s="24"/>
      <c r="B992" s="24"/>
      <c r="C992" s="24"/>
      <c r="D992" s="24"/>
      <c r="E992" s="51"/>
      <c r="F992" s="12"/>
      <c r="G992" s="24"/>
      <c r="H992" s="24"/>
      <c r="I992" s="24"/>
      <c r="J992" s="24"/>
      <c r="K992" s="51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3.5" customHeight="1">
      <c r="A993" s="24"/>
      <c r="B993" s="24"/>
      <c r="C993" s="24"/>
      <c r="D993" s="24"/>
      <c r="E993" s="51"/>
      <c r="F993" s="12"/>
      <c r="G993" s="24"/>
      <c r="H993" s="24"/>
      <c r="I993" s="24"/>
      <c r="J993" s="24"/>
      <c r="K993" s="51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3.5" customHeight="1">
      <c r="A994" s="24"/>
      <c r="B994" s="24"/>
      <c r="C994" s="24"/>
      <c r="D994" s="24"/>
      <c r="E994" s="51"/>
      <c r="F994" s="12"/>
      <c r="G994" s="24"/>
      <c r="H994" s="24"/>
      <c r="I994" s="24"/>
      <c r="J994" s="24"/>
      <c r="K994" s="51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3.5" customHeight="1">
      <c r="A995" s="24"/>
      <c r="B995" s="24"/>
      <c r="C995" s="24"/>
      <c r="D995" s="24"/>
      <c r="E995" s="51"/>
      <c r="F995" s="12"/>
      <c r="G995" s="24"/>
      <c r="H995" s="24"/>
      <c r="I995" s="24"/>
      <c r="J995" s="24"/>
      <c r="K995" s="51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3.5" customHeight="1">
      <c r="A996" s="24"/>
      <c r="B996" s="24"/>
      <c r="C996" s="24"/>
      <c r="D996" s="24"/>
      <c r="E996" s="51"/>
      <c r="F996" s="12"/>
      <c r="G996" s="24"/>
      <c r="H996" s="24"/>
      <c r="I996" s="24"/>
      <c r="J996" s="24"/>
      <c r="K996" s="51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3.5" customHeight="1">
      <c r="A997" s="24"/>
      <c r="B997" s="24"/>
      <c r="C997" s="24"/>
      <c r="D997" s="24"/>
      <c r="E997" s="51"/>
      <c r="F997" s="12"/>
      <c r="G997" s="24"/>
      <c r="H997" s="24"/>
      <c r="I997" s="24"/>
      <c r="J997" s="24"/>
      <c r="K997" s="51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3.5" customHeight="1">
      <c r="A998" s="24"/>
      <c r="B998" s="24"/>
      <c r="C998" s="24"/>
      <c r="D998" s="24"/>
      <c r="E998" s="51"/>
      <c r="F998" s="12"/>
      <c r="G998" s="24"/>
      <c r="H998" s="24"/>
      <c r="I998" s="24"/>
      <c r="J998" s="24"/>
      <c r="K998" s="51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3.5" customHeight="1">
      <c r="A999" s="24"/>
      <c r="B999" s="24"/>
      <c r="C999" s="24"/>
      <c r="D999" s="24"/>
      <c r="E999" s="51"/>
      <c r="F999" s="12"/>
      <c r="G999" s="24"/>
      <c r="H999" s="24"/>
      <c r="I999" s="24"/>
      <c r="J999" s="24"/>
      <c r="K999" s="51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3.5" customHeight="1">
      <c r="A1000" s="24"/>
      <c r="B1000" s="24"/>
      <c r="C1000" s="24"/>
      <c r="D1000" s="24"/>
      <c r="E1000" s="51"/>
      <c r="F1000" s="12"/>
      <c r="G1000" s="24"/>
      <c r="H1000" s="24"/>
      <c r="I1000" s="24"/>
      <c r="J1000" s="24"/>
      <c r="K1000" s="51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1:$C$78"/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5.75"/>
    <col customWidth="1" min="3" max="3" width="8.88"/>
    <col customWidth="1" min="4" max="4" width="14.0"/>
    <col customWidth="1" min="5" max="5" width="14.63"/>
    <col customWidth="1" min="6" max="6" width="8.63"/>
    <col customWidth="1" min="7" max="7" width="25.38"/>
    <col customWidth="1" min="8" max="8" width="8.63"/>
    <col customWidth="1" min="9" max="9" width="9.5"/>
    <col customWidth="1" min="10" max="10" width="8.63"/>
    <col customWidth="1" min="11" max="11" width="15.63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46216.0</v>
      </c>
      <c r="E2" s="17">
        <v>62876.3</v>
      </c>
      <c r="F2" s="14" t="s">
        <v>10</v>
      </c>
      <c r="G2" s="227" t="s">
        <v>11</v>
      </c>
      <c r="H2" s="14"/>
      <c r="I2" s="14"/>
      <c r="J2" s="21">
        <v>183373.0</v>
      </c>
      <c r="K2" s="29">
        <v>83353.72999999998</v>
      </c>
    </row>
    <row r="3" ht="13.5" customHeight="1">
      <c r="A3" s="14">
        <v>2.0</v>
      </c>
      <c r="B3" s="14" t="s">
        <v>9</v>
      </c>
      <c r="C3" s="14">
        <v>2060855.0</v>
      </c>
      <c r="D3" s="16">
        <v>46216.0</v>
      </c>
      <c r="E3" s="17">
        <v>7700000.0</v>
      </c>
      <c r="F3" s="14" t="s">
        <v>13</v>
      </c>
      <c r="G3" s="227" t="s">
        <v>11</v>
      </c>
      <c r="H3" s="14"/>
      <c r="I3" s="14"/>
      <c r="J3" s="21">
        <v>183376.0</v>
      </c>
      <c r="K3" s="29">
        <v>1.0754041589999998E7</v>
      </c>
    </row>
    <row r="4" ht="13.5" customHeight="1">
      <c r="A4" s="30">
        <v>3.0</v>
      </c>
      <c r="B4" s="30" t="s">
        <v>16</v>
      </c>
      <c r="C4" s="30">
        <v>2050752.0</v>
      </c>
      <c r="D4" s="31">
        <v>46216.0</v>
      </c>
      <c r="E4" s="32">
        <v>315185.07</v>
      </c>
      <c r="F4" s="30" t="s">
        <v>50</v>
      </c>
      <c r="G4" s="30" t="s">
        <v>11</v>
      </c>
      <c r="H4" s="14"/>
      <c r="I4" s="14"/>
      <c r="J4" s="227">
        <v>6821458.0</v>
      </c>
      <c r="K4" s="17">
        <v>44449.24</v>
      </c>
    </row>
    <row r="5" ht="13.5" customHeight="1">
      <c r="A5" s="23">
        <v>9.0</v>
      </c>
      <c r="B5" s="23" t="s">
        <v>20</v>
      </c>
      <c r="C5" s="23">
        <v>1200393.0</v>
      </c>
      <c r="D5" s="49">
        <v>46216.0</v>
      </c>
      <c r="E5" s="29">
        <v>8405947.16</v>
      </c>
      <c r="F5" s="23"/>
      <c r="G5" s="23" t="s">
        <v>19</v>
      </c>
      <c r="H5" s="14"/>
      <c r="I5" s="14"/>
      <c r="J5" s="21" t="s">
        <v>119</v>
      </c>
      <c r="K5" s="29">
        <v>6372.78</v>
      </c>
    </row>
    <row r="6" ht="13.5" customHeight="1">
      <c r="A6" s="23">
        <v>11.0</v>
      </c>
      <c r="B6" s="23" t="s">
        <v>20</v>
      </c>
      <c r="C6" s="23">
        <v>1040211.0</v>
      </c>
      <c r="D6" s="49">
        <v>46216.0</v>
      </c>
      <c r="E6" s="29">
        <v>2340944.56</v>
      </c>
      <c r="F6" s="23"/>
      <c r="G6" s="23" t="s">
        <v>19</v>
      </c>
      <c r="H6" s="14"/>
      <c r="I6" s="14"/>
      <c r="J6" s="227">
        <v>183623.0</v>
      </c>
      <c r="K6" s="17">
        <v>1284.84</v>
      </c>
    </row>
    <row r="7" ht="13.5" customHeight="1">
      <c r="A7" s="23">
        <v>23.0</v>
      </c>
      <c r="B7" s="23" t="s">
        <v>20</v>
      </c>
      <c r="C7" s="23">
        <v>1200393.0</v>
      </c>
      <c r="D7" s="49">
        <v>46216.0</v>
      </c>
      <c r="E7" s="29">
        <v>18615.01</v>
      </c>
      <c r="F7" s="23"/>
      <c r="G7" s="23" t="s">
        <v>19</v>
      </c>
      <c r="H7" s="14"/>
      <c r="I7" s="14"/>
      <c r="J7" s="227"/>
      <c r="K7" s="17"/>
    </row>
    <row r="8" ht="13.5" customHeight="1">
      <c r="A8" s="23">
        <v>24.0</v>
      </c>
      <c r="B8" s="23" t="s">
        <v>20</v>
      </c>
      <c r="C8" s="23">
        <v>1040211.0</v>
      </c>
      <c r="D8" s="49">
        <v>46216.0</v>
      </c>
      <c r="E8" s="29">
        <v>64738.72</v>
      </c>
      <c r="F8" s="23"/>
      <c r="G8" s="23" t="s">
        <v>19</v>
      </c>
      <c r="H8" s="14"/>
      <c r="I8" s="14"/>
      <c r="J8" s="227"/>
      <c r="K8" s="17"/>
    </row>
    <row r="9" ht="13.5" customHeight="1">
      <c r="A9" s="23">
        <v>25.0</v>
      </c>
      <c r="B9" s="23" t="s">
        <v>20</v>
      </c>
      <c r="C9" s="23">
        <v>1200393.0</v>
      </c>
      <c r="D9" s="49">
        <v>46216.0</v>
      </c>
      <c r="E9" s="29">
        <v>7149.87</v>
      </c>
      <c r="F9" s="23"/>
      <c r="G9" s="23" t="s">
        <v>19</v>
      </c>
      <c r="H9" s="14"/>
      <c r="I9" s="14"/>
      <c r="J9" s="14"/>
      <c r="K9" s="17"/>
    </row>
    <row r="10" ht="13.5" customHeight="1">
      <c r="A10" s="23">
        <v>27.0</v>
      </c>
      <c r="B10" s="23" t="s">
        <v>47</v>
      </c>
      <c r="C10" s="23">
        <v>1040500.0</v>
      </c>
      <c r="D10" s="49">
        <v>46216.0</v>
      </c>
      <c r="E10" s="29">
        <v>6372.78</v>
      </c>
      <c r="F10" s="23"/>
      <c r="G10" s="23" t="s">
        <v>11</v>
      </c>
      <c r="H10" s="14"/>
      <c r="I10" s="14"/>
      <c r="J10" s="14"/>
      <c r="K10" s="17"/>
    </row>
    <row r="11" ht="13.5" customHeight="1">
      <c r="A11" s="14">
        <v>28.0</v>
      </c>
      <c r="B11" s="14" t="s">
        <v>20</v>
      </c>
      <c r="C11" s="14">
        <v>1040109.0</v>
      </c>
      <c r="D11" s="16">
        <v>46216.0</v>
      </c>
      <c r="E11" s="17">
        <v>2714.76</v>
      </c>
      <c r="F11" s="14"/>
      <c r="G11" s="14" t="s">
        <v>19</v>
      </c>
      <c r="H11" s="14"/>
      <c r="I11" s="14"/>
      <c r="J11" s="14"/>
      <c r="K11" s="17"/>
    </row>
    <row r="12" ht="13.5" customHeight="1">
      <c r="A12" s="14">
        <v>29.0</v>
      </c>
      <c r="B12" s="14" t="s">
        <v>20</v>
      </c>
      <c r="C12" s="14">
        <v>1040109.0</v>
      </c>
      <c r="D12" s="16">
        <v>46216.0</v>
      </c>
      <c r="E12" s="17">
        <v>359.47</v>
      </c>
      <c r="F12" s="14"/>
      <c r="G12" s="14" t="s">
        <v>19</v>
      </c>
      <c r="H12" s="14"/>
      <c r="I12" s="14"/>
      <c r="J12" s="14"/>
      <c r="K12" s="17"/>
    </row>
    <row r="13" ht="13.5" customHeight="1">
      <c r="A13" s="14">
        <v>30.0</v>
      </c>
      <c r="B13" s="14" t="s">
        <v>20</v>
      </c>
      <c r="C13" s="14">
        <v>1040375.0</v>
      </c>
      <c r="D13" s="16">
        <v>46216.0</v>
      </c>
      <c r="E13" s="17">
        <v>1284.84</v>
      </c>
      <c r="F13" s="14"/>
      <c r="G13" s="14" t="s">
        <v>19</v>
      </c>
      <c r="H13" s="14"/>
      <c r="I13" s="14"/>
      <c r="J13" s="14"/>
      <c r="K13" s="17"/>
    </row>
    <row r="14" ht="13.5" customHeight="1">
      <c r="A14" s="14"/>
      <c r="B14" s="14"/>
      <c r="C14" s="14"/>
      <c r="D14" s="14"/>
      <c r="E14" s="17"/>
      <c r="F14" s="14"/>
      <c r="G14" s="14"/>
      <c r="H14" s="14"/>
      <c r="I14" s="14"/>
      <c r="J14" s="14"/>
      <c r="K14" s="17"/>
    </row>
    <row r="15" ht="13.5" customHeight="1">
      <c r="A15" s="14"/>
      <c r="B15" s="14"/>
      <c r="C15" s="14"/>
      <c r="D15" s="14"/>
      <c r="E15" s="17"/>
      <c r="F15" s="14"/>
      <c r="G15" s="14"/>
      <c r="H15" s="14"/>
      <c r="I15" s="14"/>
      <c r="J15" s="14"/>
      <c r="K15" s="17"/>
    </row>
    <row r="16" ht="13.5" customHeight="1">
      <c r="E16" s="51"/>
      <c r="K16" s="51"/>
    </row>
    <row r="17" ht="13.5" customHeight="1">
      <c r="E17" s="51"/>
      <c r="K17" s="51"/>
    </row>
    <row r="18" ht="13.5" customHeight="1">
      <c r="E18" s="51"/>
      <c r="K18" s="51"/>
    </row>
    <row r="19" ht="13.5" customHeight="1">
      <c r="E19" s="51"/>
      <c r="K19" s="51"/>
    </row>
    <row r="20" ht="13.5" customHeight="1">
      <c r="E20" s="51"/>
      <c r="K20" s="51"/>
    </row>
    <row r="21" ht="13.5" customHeight="1">
      <c r="E21" s="51"/>
      <c r="K21" s="51"/>
    </row>
    <row r="22" ht="13.5" customHeight="1">
      <c r="E22" s="51"/>
      <c r="K22" s="51"/>
    </row>
    <row r="23" ht="13.5" customHeight="1">
      <c r="E23" s="51"/>
      <c r="K23" s="51"/>
    </row>
    <row r="24" ht="13.5" customHeight="1">
      <c r="D24" s="51"/>
      <c r="E24" s="51"/>
      <c r="K24" s="51"/>
    </row>
    <row r="25" ht="13.5" customHeight="1">
      <c r="E25" s="51"/>
      <c r="K25" s="51"/>
    </row>
    <row r="26" ht="13.5" customHeight="1">
      <c r="E26" s="51"/>
      <c r="K26" s="51"/>
    </row>
    <row r="27" ht="13.5" customHeight="1">
      <c r="E27" s="51"/>
      <c r="K27" s="51"/>
    </row>
    <row r="28" ht="13.5" customHeight="1">
      <c r="E28" s="51"/>
      <c r="K28" s="51"/>
    </row>
    <row r="29" ht="13.5" customHeight="1">
      <c r="E29" s="51"/>
      <c r="K29" s="51"/>
    </row>
    <row r="30" ht="13.5" customHeight="1">
      <c r="E30" s="51"/>
      <c r="K30" s="51"/>
    </row>
    <row r="31" ht="13.5" customHeight="1">
      <c r="E31" s="51"/>
      <c r="K31" s="51"/>
    </row>
    <row r="32" ht="13.5" customHeight="1">
      <c r="E32" s="51"/>
      <c r="K32" s="51"/>
    </row>
    <row r="33" ht="13.5" customHeight="1">
      <c r="E33" s="51"/>
      <c r="K33" s="51"/>
    </row>
    <row r="34" ht="13.5" customHeight="1">
      <c r="E34" s="51"/>
      <c r="K34" s="51"/>
    </row>
    <row r="35" ht="13.5" customHeight="1">
      <c r="E35" s="51"/>
      <c r="K35" s="51"/>
    </row>
    <row r="36" ht="13.5" customHeight="1">
      <c r="E36" s="51"/>
      <c r="K36" s="51"/>
    </row>
    <row r="37" ht="13.5" customHeight="1">
      <c r="E37" s="51"/>
      <c r="K37" s="51"/>
    </row>
    <row r="38" ht="13.5" customHeight="1">
      <c r="E38" s="51"/>
      <c r="K38" s="51"/>
    </row>
    <row r="39" ht="13.5" customHeight="1">
      <c r="E39" s="51"/>
      <c r="K39" s="51"/>
    </row>
    <row r="40" ht="13.5" customHeight="1">
      <c r="E40" s="51"/>
      <c r="K40" s="51"/>
    </row>
    <row r="41" ht="13.5" customHeight="1">
      <c r="E41" s="51"/>
      <c r="K41" s="51"/>
    </row>
    <row r="42" ht="13.5" customHeight="1">
      <c r="E42" s="51"/>
      <c r="K42" s="51"/>
    </row>
    <row r="43" ht="13.5" customHeight="1">
      <c r="E43" s="51"/>
      <c r="K43" s="51"/>
    </row>
    <row r="44" ht="13.5" customHeight="1">
      <c r="E44" s="51"/>
      <c r="K44" s="51"/>
    </row>
    <row r="45" ht="13.5" customHeight="1">
      <c r="E45" s="51"/>
      <c r="K45" s="51"/>
    </row>
    <row r="46" ht="13.5" customHeight="1">
      <c r="E46" s="51"/>
      <c r="K46" s="51"/>
    </row>
    <row r="47" ht="13.5" customHeight="1">
      <c r="E47" s="51"/>
      <c r="K47" s="51"/>
    </row>
    <row r="48" ht="13.5" customHeight="1">
      <c r="E48" s="51"/>
      <c r="K48" s="51"/>
    </row>
    <row r="49" ht="13.5" customHeight="1">
      <c r="E49" s="51"/>
      <c r="K49" s="51"/>
    </row>
    <row r="50" ht="13.5" customHeight="1">
      <c r="E50" s="51"/>
      <c r="K50" s="51"/>
    </row>
    <row r="51" ht="13.5" customHeight="1">
      <c r="E51" s="51"/>
      <c r="K51" s="51"/>
    </row>
    <row r="52" ht="13.5" customHeight="1">
      <c r="D52" s="12"/>
      <c r="E52" s="51"/>
      <c r="K52" s="51"/>
    </row>
    <row r="53" ht="13.5" customHeight="1">
      <c r="D53" s="12"/>
      <c r="E53" s="51"/>
      <c r="K53" s="51"/>
    </row>
    <row r="54" ht="13.5" customHeight="1">
      <c r="D54" s="12"/>
      <c r="E54" s="51"/>
      <c r="K54" s="51"/>
    </row>
    <row r="55" ht="13.5" customHeight="1">
      <c r="D55" s="12"/>
      <c r="E55" s="51"/>
      <c r="K55" s="51"/>
    </row>
    <row r="56" ht="13.5" customHeight="1">
      <c r="D56" s="12"/>
      <c r="E56" s="51"/>
      <c r="K56" s="51"/>
    </row>
    <row r="57" ht="13.5" customHeight="1">
      <c r="D57" s="12"/>
      <c r="E57" s="51"/>
      <c r="K57" s="51"/>
    </row>
    <row r="58" ht="13.5" customHeight="1">
      <c r="D58" s="12"/>
      <c r="E58" s="51"/>
      <c r="K58" s="51"/>
    </row>
    <row r="59" ht="13.5" customHeight="1">
      <c r="D59" s="12"/>
      <c r="E59" s="51"/>
      <c r="K59" s="51"/>
    </row>
    <row r="60" ht="13.5" customHeight="1">
      <c r="D60" s="12"/>
      <c r="E60" s="51"/>
      <c r="K60" s="51"/>
    </row>
    <row r="61" ht="13.5" customHeight="1">
      <c r="D61" s="12"/>
      <c r="E61" s="51"/>
      <c r="K61" s="51"/>
    </row>
    <row r="62" ht="13.5" customHeight="1">
      <c r="D62" s="12"/>
      <c r="E62" s="51"/>
      <c r="K62" s="51"/>
    </row>
    <row r="63" ht="13.5" customHeight="1">
      <c r="D63" s="12"/>
      <c r="E63" s="51"/>
      <c r="K63" s="51"/>
    </row>
    <row r="64" ht="13.5" customHeight="1">
      <c r="D64" s="12"/>
      <c r="E64" s="51"/>
      <c r="K64" s="51"/>
    </row>
    <row r="65" ht="13.5" customHeight="1">
      <c r="D65" s="12"/>
      <c r="E65" s="51"/>
      <c r="K65" s="51"/>
    </row>
    <row r="66" ht="13.5" customHeight="1">
      <c r="A66" s="61"/>
      <c r="B66" s="61"/>
      <c r="C66" s="61"/>
      <c r="D66" s="69"/>
      <c r="E66" s="75"/>
      <c r="F66" s="61"/>
      <c r="G66" s="61"/>
      <c r="H66" s="61"/>
      <c r="K66" s="51"/>
    </row>
    <row r="67" ht="13.5" customHeight="1">
      <c r="A67" s="61"/>
      <c r="B67" s="61"/>
      <c r="C67" s="61"/>
      <c r="D67" s="69"/>
      <c r="E67" s="75"/>
      <c r="F67" s="61"/>
      <c r="G67" s="61"/>
      <c r="H67" s="61"/>
      <c r="K67" s="51"/>
    </row>
    <row r="68" ht="13.5" customHeight="1">
      <c r="A68" s="61"/>
      <c r="B68" s="61"/>
      <c r="C68" s="61"/>
      <c r="D68" s="69"/>
      <c r="E68" s="75"/>
      <c r="F68" s="61"/>
      <c r="G68" s="61"/>
      <c r="H68" s="61"/>
      <c r="K68" s="51"/>
    </row>
    <row r="69" ht="13.5" customHeight="1">
      <c r="A69" s="61"/>
      <c r="B69" s="61"/>
      <c r="C69" s="61"/>
      <c r="D69" s="69"/>
      <c r="E69" s="75"/>
      <c r="F69" s="61"/>
      <c r="G69" s="61"/>
      <c r="H69" s="61"/>
      <c r="K69" s="51"/>
    </row>
    <row r="70" ht="13.5" customHeight="1">
      <c r="A70" s="61"/>
      <c r="B70" s="61"/>
      <c r="C70" s="61"/>
      <c r="D70" s="69"/>
      <c r="E70" s="75"/>
      <c r="F70" s="61"/>
      <c r="G70" s="61"/>
      <c r="H70" s="61"/>
      <c r="K70" s="51"/>
    </row>
    <row r="71" ht="13.5" customHeight="1">
      <c r="A71" s="61"/>
      <c r="B71" s="61"/>
      <c r="C71" s="61"/>
      <c r="D71" s="69"/>
      <c r="E71" s="75"/>
      <c r="F71" s="61"/>
      <c r="G71" s="61"/>
      <c r="H71" s="61"/>
      <c r="K71" s="51"/>
    </row>
    <row r="72" ht="13.5" customHeight="1">
      <c r="A72" s="61"/>
      <c r="B72" s="61"/>
      <c r="C72" s="61"/>
      <c r="D72" s="69"/>
      <c r="E72" s="75"/>
      <c r="F72" s="61"/>
      <c r="G72" s="61"/>
      <c r="H72" s="61"/>
      <c r="K72" s="51"/>
    </row>
    <row r="73" ht="13.5" customHeight="1">
      <c r="A73" s="61"/>
      <c r="B73" s="61"/>
      <c r="C73" s="61"/>
      <c r="D73" s="69"/>
      <c r="E73" s="75"/>
      <c r="F73" s="61"/>
      <c r="G73" s="61"/>
      <c r="H73" s="61"/>
      <c r="K73" s="51"/>
    </row>
    <row r="74" ht="13.5" customHeight="1">
      <c r="A74" s="61"/>
      <c r="B74" s="61"/>
      <c r="C74" s="61"/>
      <c r="D74" s="69"/>
      <c r="E74" s="75"/>
      <c r="F74" s="61"/>
      <c r="G74" s="61"/>
      <c r="H74" s="61"/>
      <c r="K74" s="51"/>
    </row>
    <row r="75" ht="13.5" customHeight="1">
      <c r="A75" s="61"/>
      <c r="B75" s="61"/>
      <c r="C75" s="61"/>
      <c r="D75" s="69"/>
      <c r="E75" s="75"/>
      <c r="F75" s="61"/>
      <c r="G75" s="61"/>
      <c r="H75" s="61"/>
      <c r="K75" s="51"/>
    </row>
    <row r="76" ht="13.5" customHeight="1">
      <c r="A76" s="61"/>
      <c r="B76" s="61"/>
      <c r="C76" s="61"/>
      <c r="D76" s="69"/>
      <c r="E76" s="75"/>
      <c r="F76" s="61"/>
      <c r="G76" s="61"/>
      <c r="H76" s="61"/>
      <c r="K76" s="51"/>
    </row>
    <row r="77" ht="13.5" customHeight="1">
      <c r="A77" s="61"/>
      <c r="B77" s="61"/>
      <c r="C77" s="61"/>
      <c r="D77" s="69"/>
      <c r="E77" s="75"/>
      <c r="F77" s="61"/>
      <c r="G77" s="61"/>
      <c r="H77" s="61"/>
      <c r="K77" s="51"/>
    </row>
    <row r="78" ht="13.5" customHeight="1">
      <c r="A78" s="61"/>
      <c r="B78" s="61"/>
      <c r="C78" s="61"/>
      <c r="D78" s="69"/>
      <c r="E78" s="75"/>
      <c r="F78" s="61"/>
      <c r="G78" s="61"/>
      <c r="H78" s="61"/>
      <c r="K78" s="51"/>
    </row>
    <row r="79" ht="13.5" customHeight="1">
      <c r="A79" s="61"/>
      <c r="B79" s="61"/>
      <c r="C79" s="61"/>
      <c r="D79" s="69"/>
      <c r="E79" s="75"/>
      <c r="F79" s="61"/>
      <c r="G79" s="61"/>
      <c r="H79" s="61"/>
      <c r="K79" s="51"/>
    </row>
    <row r="80" ht="13.5" customHeight="1">
      <c r="A80" s="61"/>
      <c r="B80" s="61"/>
      <c r="C80" s="61"/>
      <c r="D80" s="69"/>
      <c r="E80" s="75"/>
      <c r="F80" s="61"/>
      <c r="G80" s="61"/>
      <c r="H80" s="61"/>
      <c r="K80" s="51"/>
    </row>
    <row r="81" ht="13.5" customHeight="1">
      <c r="A81" s="61"/>
      <c r="B81" s="61"/>
      <c r="C81" s="61"/>
      <c r="D81" s="69"/>
      <c r="E81" s="75"/>
      <c r="F81" s="61"/>
      <c r="G81" s="61"/>
      <c r="H81" s="61"/>
      <c r="K81" s="51"/>
    </row>
    <row r="82" ht="13.5" customHeight="1">
      <c r="A82" s="61"/>
      <c r="B82" s="61"/>
      <c r="C82" s="61"/>
      <c r="D82" s="69"/>
      <c r="E82" s="75"/>
      <c r="F82" s="61"/>
      <c r="G82" s="61"/>
      <c r="H82" s="61"/>
      <c r="K82" s="51"/>
    </row>
    <row r="83" ht="13.5" customHeight="1">
      <c r="A83" s="61"/>
      <c r="B83" s="61"/>
      <c r="C83" s="61"/>
      <c r="D83" s="69"/>
      <c r="E83" s="75"/>
      <c r="F83" s="61"/>
      <c r="G83" s="61"/>
      <c r="H83" s="61"/>
      <c r="K83" s="51"/>
    </row>
    <row r="84" ht="13.5" customHeight="1">
      <c r="A84" s="61"/>
      <c r="B84" s="61"/>
      <c r="C84" s="61"/>
      <c r="D84" s="69"/>
      <c r="E84" s="75"/>
      <c r="F84" s="61"/>
      <c r="G84" s="61"/>
      <c r="H84" s="61"/>
      <c r="K84" s="51"/>
    </row>
    <row r="85" ht="13.5" customHeight="1">
      <c r="A85" s="61"/>
      <c r="B85" s="61"/>
      <c r="C85" s="61"/>
      <c r="D85" s="69"/>
      <c r="E85" s="75"/>
      <c r="F85" s="61"/>
      <c r="G85" s="61"/>
      <c r="H85" s="61"/>
      <c r="K85" s="51"/>
    </row>
    <row r="86" ht="13.5" customHeight="1">
      <c r="A86" s="61"/>
      <c r="B86" s="61"/>
      <c r="C86" s="61"/>
      <c r="D86" s="69"/>
      <c r="E86" s="75"/>
      <c r="F86" s="61"/>
      <c r="G86" s="61"/>
      <c r="H86" s="61"/>
      <c r="K86" s="51"/>
    </row>
    <row r="87" ht="13.5" customHeight="1">
      <c r="A87" s="61"/>
      <c r="B87" s="61"/>
      <c r="C87" s="61"/>
      <c r="D87" s="69"/>
      <c r="E87" s="75"/>
      <c r="F87" s="61"/>
      <c r="G87" s="61"/>
      <c r="H87" s="61"/>
      <c r="K87" s="51"/>
    </row>
    <row r="88" ht="13.5" customHeight="1">
      <c r="A88" s="61"/>
      <c r="B88" s="61"/>
      <c r="C88" s="61"/>
      <c r="D88" s="69"/>
      <c r="E88" s="75"/>
      <c r="F88" s="61"/>
      <c r="G88" s="61"/>
      <c r="H88" s="61"/>
      <c r="K88" s="51"/>
    </row>
    <row r="89" ht="13.5" customHeight="1">
      <c r="A89" s="61"/>
      <c r="B89" s="61"/>
      <c r="C89" s="61"/>
      <c r="D89" s="69"/>
      <c r="E89" s="75"/>
      <c r="F89" s="61"/>
      <c r="G89" s="61"/>
      <c r="H89" s="61"/>
      <c r="K89" s="51"/>
    </row>
    <row r="90" ht="13.5" customHeight="1">
      <c r="A90" s="61"/>
      <c r="B90" s="61"/>
      <c r="C90" s="61"/>
      <c r="D90" s="69"/>
      <c r="E90" s="75"/>
      <c r="F90" s="61"/>
      <c r="G90" s="61"/>
      <c r="H90" s="61"/>
      <c r="K90" s="51"/>
    </row>
    <row r="91" ht="13.5" customHeight="1">
      <c r="A91" s="61"/>
      <c r="B91" s="61"/>
      <c r="C91" s="61"/>
      <c r="D91" s="69"/>
      <c r="E91" s="75"/>
      <c r="F91" s="61"/>
      <c r="G91" s="61"/>
      <c r="H91" s="61"/>
      <c r="K91" s="51"/>
    </row>
    <row r="92" ht="13.5" customHeight="1">
      <c r="A92" s="61"/>
      <c r="B92" s="61"/>
      <c r="C92" s="61"/>
      <c r="D92" s="69"/>
      <c r="E92" s="75"/>
      <c r="F92" s="61"/>
      <c r="G92" s="61"/>
      <c r="H92" s="61"/>
      <c r="K92" s="51"/>
    </row>
    <row r="93" ht="13.5" customHeight="1">
      <c r="A93" s="61"/>
      <c r="B93" s="61"/>
      <c r="C93" s="61"/>
      <c r="D93" s="69"/>
      <c r="E93" s="75"/>
      <c r="F93" s="61"/>
      <c r="G93" s="61"/>
      <c r="H93" s="61"/>
      <c r="K93" s="51"/>
    </row>
    <row r="94" ht="13.5" customHeight="1">
      <c r="A94" s="61"/>
      <c r="B94" s="61"/>
      <c r="C94" s="61"/>
      <c r="D94" s="69"/>
      <c r="E94" s="75"/>
      <c r="F94" s="61"/>
      <c r="G94" s="61"/>
      <c r="H94" s="61"/>
      <c r="K94" s="51"/>
    </row>
    <row r="95" ht="13.5" customHeight="1">
      <c r="A95" s="61"/>
      <c r="B95" s="61"/>
      <c r="C95" s="61"/>
      <c r="D95" s="69"/>
      <c r="E95" s="75"/>
      <c r="F95" s="61"/>
      <c r="G95" s="61"/>
      <c r="H95" s="61"/>
      <c r="K95" s="51"/>
    </row>
    <row r="96" ht="13.5" customHeight="1">
      <c r="A96" s="61"/>
      <c r="B96" s="61"/>
      <c r="C96" s="61"/>
      <c r="D96" s="69"/>
      <c r="E96" s="75"/>
      <c r="F96" s="61"/>
      <c r="G96" s="61"/>
      <c r="H96" s="61"/>
      <c r="K96" s="51"/>
    </row>
    <row r="97" ht="13.5" customHeight="1">
      <c r="A97" s="61"/>
      <c r="B97" s="61"/>
      <c r="C97" s="61"/>
      <c r="D97" s="69"/>
      <c r="E97" s="75"/>
      <c r="F97" s="61"/>
      <c r="G97" s="61"/>
      <c r="H97" s="61"/>
      <c r="K97" s="51"/>
    </row>
    <row r="98" ht="13.5" customHeight="1">
      <c r="A98" s="61"/>
      <c r="B98" s="61"/>
      <c r="C98" s="61"/>
      <c r="D98" s="69"/>
      <c r="E98" s="75"/>
      <c r="F98" s="61"/>
      <c r="G98" s="61"/>
      <c r="H98" s="61"/>
      <c r="K98" s="51"/>
    </row>
    <row r="99" ht="13.5" customHeight="1">
      <c r="A99" s="61"/>
      <c r="B99" s="61"/>
      <c r="C99" s="61"/>
      <c r="D99" s="69"/>
      <c r="E99" s="75"/>
      <c r="F99" s="61"/>
      <c r="G99" s="61"/>
      <c r="H99" s="61"/>
      <c r="K99" s="51"/>
    </row>
    <row r="100" ht="13.5" customHeight="1">
      <c r="A100" s="61"/>
      <c r="B100" s="61"/>
      <c r="C100" s="61"/>
      <c r="D100" s="69"/>
      <c r="E100" s="75"/>
      <c r="F100" s="61"/>
      <c r="G100" s="61"/>
      <c r="H100" s="61"/>
      <c r="K100" s="51"/>
    </row>
    <row r="101" ht="13.5" customHeight="1">
      <c r="A101" s="61"/>
      <c r="B101" s="61"/>
      <c r="C101" s="61"/>
      <c r="D101" s="69"/>
      <c r="E101" s="75"/>
      <c r="F101" s="61"/>
      <c r="G101" s="61"/>
      <c r="H101" s="61"/>
      <c r="K101" s="51"/>
    </row>
    <row r="102" ht="13.5" customHeight="1">
      <c r="A102" s="61"/>
      <c r="B102" s="61"/>
      <c r="C102" s="61"/>
      <c r="D102" s="69"/>
      <c r="E102" s="75"/>
      <c r="F102" s="61"/>
      <c r="G102" s="61"/>
      <c r="H102" s="61"/>
      <c r="K102" s="51"/>
    </row>
    <row r="103" ht="13.5" customHeight="1">
      <c r="A103" s="61"/>
      <c r="B103" s="61"/>
      <c r="C103" s="61"/>
      <c r="D103" s="69"/>
      <c r="E103" s="75"/>
      <c r="F103" s="61"/>
      <c r="G103" s="61"/>
      <c r="H103" s="61"/>
      <c r="K103" s="51"/>
    </row>
    <row r="104" ht="13.5" customHeight="1">
      <c r="A104" s="61"/>
      <c r="B104" s="61"/>
      <c r="C104" s="61"/>
      <c r="D104" s="69"/>
      <c r="E104" s="75"/>
      <c r="F104" s="61"/>
      <c r="G104" s="61"/>
      <c r="H104" s="61"/>
      <c r="K104" s="51"/>
    </row>
    <row r="105" ht="13.5" customHeight="1">
      <c r="A105" s="61"/>
      <c r="B105" s="61"/>
      <c r="C105" s="61"/>
      <c r="D105" s="69"/>
      <c r="E105" s="75"/>
      <c r="F105" s="61"/>
      <c r="G105" s="61"/>
      <c r="H105" s="61"/>
      <c r="K105" s="51"/>
    </row>
    <row r="106" ht="13.5" customHeight="1">
      <c r="A106" s="61"/>
      <c r="B106" s="61"/>
      <c r="C106" s="61"/>
      <c r="D106" s="69"/>
      <c r="E106" s="75"/>
      <c r="F106" s="61"/>
      <c r="G106" s="61"/>
      <c r="H106" s="61"/>
      <c r="K106" s="51"/>
    </row>
    <row r="107" ht="13.5" customHeight="1">
      <c r="A107" s="61"/>
      <c r="B107" s="61"/>
      <c r="C107" s="61"/>
      <c r="D107" s="69"/>
      <c r="E107" s="75"/>
      <c r="F107" s="61"/>
      <c r="G107" s="61"/>
      <c r="H107" s="61"/>
      <c r="K107" s="51"/>
    </row>
    <row r="108" ht="13.5" customHeight="1">
      <c r="A108" s="61"/>
      <c r="B108" s="61"/>
      <c r="C108" s="61"/>
      <c r="D108" s="69"/>
      <c r="E108" s="75"/>
      <c r="F108" s="61"/>
      <c r="G108" s="61"/>
      <c r="H108" s="61"/>
      <c r="K108" s="51"/>
    </row>
    <row r="109" ht="13.5" customHeight="1">
      <c r="A109" s="61"/>
      <c r="B109" s="61"/>
      <c r="C109" s="61"/>
      <c r="D109" s="69"/>
      <c r="E109" s="75"/>
      <c r="F109" s="61"/>
      <c r="G109" s="61"/>
      <c r="H109" s="61"/>
      <c r="K109" s="51"/>
    </row>
    <row r="110" ht="13.5" customHeight="1">
      <c r="A110" s="61"/>
      <c r="B110" s="61"/>
      <c r="C110" s="61"/>
      <c r="D110" s="69"/>
      <c r="E110" s="75"/>
      <c r="F110" s="61"/>
      <c r="G110" s="61"/>
      <c r="H110" s="61"/>
      <c r="K110" s="51"/>
    </row>
    <row r="111" ht="13.5" customHeight="1">
      <c r="A111" s="61"/>
      <c r="B111" s="61"/>
      <c r="C111" s="61"/>
      <c r="D111" s="69"/>
      <c r="E111" s="75"/>
      <c r="F111" s="61"/>
      <c r="G111" s="61"/>
      <c r="H111" s="61"/>
      <c r="K111" s="51"/>
    </row>
    <row r="112" ht="13.5" customHeight="1">
      <c r="A112" s="61"/>
      <c r="B112" s="61"/>
      <c r="C112" s="61"/>
      <c r="D112" s="69"/>
      <c r="E112" s="75"/>
      <c r="F112" s="61"/>
      <c r="G112" s="61"/>
      <c r="H112" s="61"/>
      <c r="K112" s="51"/>
    </row>
    <row r="113" ht="13.5" customHeight="1">
      <c r="A113" s="61"/>
      <c r="B113" s="61"/>
      <c r="C113" s="61"/>
      <c r="D113" s="69"/>
      <c r="E113" s="75"/>
      <c r="F113" s="61"/>
      <c r="G113" s="61"/>
      <c r="H113" s="61"/>
      <c r="K113" s="51"/>
    </row>
    <row r="114" ht="13.5" customHeight="1">
      <c r="A114" s="61"/>
      <c r="B114" s="61"/>
      <c r="C114" s="61"/>
      <c r="D114" s="69"/>
      <c r="E114" s="75"/>
      <c r="F114" s="61"/>
      <c r="G114" s="61"/>
      <c r="H114" s="61"/>
      <c r="K114" s="51"/>
    </row>
    <row r="115" ht="13.5" customHeight="1">
      <c r="A115" s="61"/>
      <c r="B115" s="61"/>
      <c r="C115" s="61"/>
      <c r="D115" s="69"/>
      <c r="E115" s="75"/>
      <c r="F115" s="61"/>
      <c r="G115" s="61"/>
      <c r="H115" s="61"/>
      <c r="K115" s="51"/>
    </row>
    <row r="116" ht="13.5" customHeight="1">
      <c r="A116" s="61"/>
      <c r="B116" s="61"/>
      <c r="C116" s="61"/>
      <c r="D116" s="69"/>
      <c r="E116" s="75"/>
      <c r="F116" s="61"/>
      <c r="G116" s="61"/>
      <c r="H116" s="61"/>
      <c r="K116" s="51"/>
    </row>
    <row r="117" ht="13.5" customHeight="1">
      <c r="A117" s="61"/>
      <c r="B117" s="61"/>
      <c r="C117" s="61"/>
      <c r="D117" s="69"/>
      <c r="E117" s="75"/>
      <c r="F117" s="61"/>
      <c r="G117" s="61"/>
      <c r="H117" s="61"/>
      <c r="K117" s="51"/>
    </row>
    <row r="118" ht="13.5" customHeight="1">
      <c r="A118" s="61"/>
      <c r="B118" s="61"/>
      <c r="C118" s="61"/>
      <c r="D118" s="69"/>
      <c r="E118" s="75"/>
      <c r="F118" s="61"/>
      <c r="G118" s="61"/>
      <c r="H118" s="61"/>
      <c r="K118" s="51"/>
    </row>
    <row r="119" ht="13.5" customHeight="1">
      <c r="A119" s="61"/>
      <c r="B119" s="61"/>
      <c r="C119" s="61"/>
      <c r="D119" s="69"/>
      <c r="E119" s="75"/>
      <c r="F119" s="61"/>
      <c r="G119" s="61"/>
      <c r="H119" s="61"/>
      <c r="K119" s="51"/>
    </row>
    <row r="120" ht="13.5" customHeight="1">
      <c r="A120" s="61"/>
      <c r="B120" s="61"/>
      <c r="C120" s="61"/>
      <c r="D120" s="69"/>
      <c r="E120" s="75"/>
      <c r="F120" s="61"/>
      <c r="G120" s="61"/>
      <c r="H120" s="61"/>
      <c r="K120" s="51"/>
    </row>
    <row r="121" ht="13.5" customHeight="1">
      <c r="A121" s="61"/>
      <c r="B121" s="61"/>
      <c r="C121" s="61"/>
      <c r="D121" s="69"/>
      <c r="E121" s="75"/>
      <c r="F121" s="61"/>
      <c r="G121" s="61"/>
      <c r="H121" s="61"/>
      <c r="K121" s="51"/>
    </row>
    <row r="122" ht="13.5" customHeight="1">
      <c r="A122" s="61"/>
      <c r="B122" s="61"/>
      <c r="C122" s="61"/>
      <c r="D122" s="69"/>
      <c r="E122" s="75"/>
      <c r="F122" s="61"/>
      <c r="G122" s="61"/>
      <c r="H122" s="61"/>
      <c r="K122" s="51"/>
    </row>
    <row r="123" ht="13.5" customHeight="1">
      <c r="A123" s="61"/>
      <c r="B123" s="61"/>
      <c r="C123" s="61"/>
      <c r="D123" s="69"/>
      <c r="E123" s="75"/>
      <c r="F123" s="61"/>
      <c r="G123" s="61"/>
      <c r="H123" s="61"/>
      <c r="K123" s="51"/>
    </row>
    <row r="124" ht="13.5" customHeight="1">
      <c r="A124" s="61"/>
      <c r="B124" s="61"/>
      <c r="C124" s="61"/>
      <c r="D124" s="69"/>
      <c r="E124" s="75"/>
      <c r="F124" s="61"/>
      <c r="G124" s="61"/>
      <c r="H124" s="61"/>
      <c r="K124" s="51"/>
    </row>
    <row r="125" ht="13.5" customHeight="1">
      <c r="A125" s="61"/>
      <c r="B125" s="61"/>
      <c r="C125" s="61"/>
      <c r="D125" s="69"/>
      <c r="E125" s="75"/>
      <c r="F125" s="61"/>
      <c r="G125" s="61"/>
      <c r="H125" s="61"/>
      <c r="K125" s="51"/>
    </row>
    <row r="126" ht="13.5" customHeight="1">
      <c r="A126" s="61"/>
      <c r="B126" s="61"/>
      <c r="C126" s="61"/>
      <c r="D126" s="69"/>
      <c r="E126" s="75"/>
      <c r="F126" s="61"/>
      <c r="G126" s="61"/>
      <c r="H126" s="61"/>
      <c r="K126" s="51"/>
    </row>
    <row r="127" ht="13.5" customHeight="1">
      <c r="A127" s="61"/>
      <c r="B127" s="61"/>
      <c r="C127" s="61"/>
      <c r="D127" s="69"/>
      <c r="E127" s="75"/>
      <c r="F127" s="61"/>
      <c r="G127" s="61"/>
      <c r="H127" s="61"/>
      <c r="K127" s="51"/>
    </row>
    <row r="128" ht="13.5" customHeight="1">
      <c r="A128" s="61"/>
      <c r="B128" s="61"/>
      <c r="C128" s="61"/>
      <c r="D128" s="69"/>
      <c r="E128" s="75"/>
      <c r="F128" s="61"/>
      <c r="G128" s="61"/>
      <c r="H128" s="61"/>
      <c r="K128" s="51"/>
    </row>
    <row r="129" ht="13.5" customHeight="1">
      <c r="A129" s="61"/>
      <c r="B129" s="61"/>
      <c r="C129" s="61"/>
      <c r="D129" s="69"/>
      <c r="E129" s="75"/>
      <c r="F129" s="61"/>
      <c r="G129" s="61"/>
      <c r="H129" s="61"/>
      <c r="K129" s="51"/>
    </row>
    <row r="130" ht="13.5" customHeight="1">
      <c r="A130" s="61"/>
      <c r="B130" s="61"/>
      <c r="C130" s="61"/>
      <c r="D130" s="69"/>
      <c r="E130" s="75"/>
      <c r="F130" s="61"/>
      <c r="G130" s="61"/>
      <c r="H130" s="61"/>
      <c r="K130" s="51"/>
    </row>
    <row r="131" ht="13.5" customHeight="1">
      <c r="A131" s="61"/>
      <c r="B131" s="61"/>
      <c r="C131" s="61"/>
      <c r="D131" s="69"/>
      <c r="E131" s="75"/>
      <c r="F131" s="61"/>
      <c r="G131" s="61"/>
      <c r="H131" s="61"/>
      <c r="K131" s="51"/>
    </row>
    <row r="132" ht="13.5" customHeight="1">
      <c r="A132" s="61"/>
      <c r="B132" s="61"/>
      <c r="C132" s="61"/>
      <c r="D132" s="69"/>
      <c r="E132" s="75"/>
      <c r="F132" s="61"/>
      <c r="G132" s="61"/>
      <c r="H132" s="61"/>
      <c r="K132" s="51"/>
    </row>
    <row r="133" ht="13.5" customHeight="1">
      <c r="A133" s="61"/>
      <c r="B133" s="61"/>
      <c r="C133" s="61"/>
      <c r="D133" s="69"/>
      <c r="E133" s="75"/>
      <c r="F133" s="61"/>
      <c r="G133" s="61"/>
      <c r="H133" s="61"/>
      <c r="K133" s="51"/>
    </row>
    <row r="134" ht="13.5" customHeight="1">
      <c r="A134" s="61"/>
      <c r="B134" s="61"/>
      <c r="C134" s="61"/>
      <c r="D134" s="69"/>
      <c r="E134" s="75"/>
      <c r="F134" s="61"/>
      <c r="G134" s="61"/>
      <c r="H134" s="61"/>
      <c r="K134" s="51"/>
    </row>
    <row r="135" ht="13.5" customHeight="1">
      <c r="A135" s="61"/>
      <c r="B135" s="61"/>
      <c r="C135" s="61"/>
      <c r="D135" s="69"/>
      <c r="E135" s="75"/>
      <c r="F135" s="61"/>
      <c r="G135" s="61"/>
      <c r="H135" s="61"/>
      <c r="K135" s="51"/>
    </row>
    <row r="136" ht="13.5" customHeight="1">
      <c r="A136" s="61"/>
      <c r="B136" s="61"/>
      <c r="C136" s="61"/>
      <c r="D136" s="69"/>
      <c r="E136" s="75"/>
      <c r="F136" s="61"/>
      <c r="G136" s="61"/>
      <c r="H136" s="61"/>
      <c r="K136" s="51"/>
    </row>
    <row r="137" ht="13.5" customHeight="1">
      <c r="A137" s="61"/>
      <c r="B137" s="61"/>
      <c r="C137" s="61"/>
      <c r="D137" s="69"/>
      <c r="E137" s="75"/>
      <c r="F137" s="61"/>
      <c r="G137" s="61"/>
      <c r="H137" s="61"/>
      <c r="K137" s="51"/>
    </row>
    <row r="138" ht="13.5" customHeight="1">
      <c r="A138" s="61"/>
      <c r="B138" s="61"/>
      <c r="C138" s="61"/>
      <c r="D138" s="69"/>
      <c r="E138" s="75"/>
      <c r="F138" s="61"/>
      <c r="G138" s="61"/>
      <c r="H138" s="61"/>
      <c r="K138" s="51"/>
    </row>
    <row r="139" ht="13.5" customHeight="1">
      <c r="A139" s="61"/>
      <c r="B139" s="61"/>
      <c r="C139" s="61"/>
      <c r="D139" s="69"/>
      <c r="E139" s="75"/>
      <c r="F139" s="61"/>
      <c r="G139" s="61"/>
      <c r="H139" s="61"/>
      <c r="K139" s="51"/>
    </row>
    <row r="140" ht="13.5" customHeight="1">
      <c r="A140" s="61"/>
      <c r="B140" s="61"/>
      <c r="C140" s="61"/>
      <c r="D140" s="69"/>
      <c r="E140" s="75"/>
      <c r="F140" s="61"/>
      <c r="G140" s="61"/>
      <c r="H140" s="61"/>
      <c r="K140" s="51"/>
    </row>
    <row r="141" ht="13.5" customHeight="1">
      <c r="A141" s="61"/>
      <c r="B141" s="61"/>
      <c r="C141" s="61"/>
      <c r="D141" s="69"/>
      <c r="E141" s="75"/>
      <c r="F141" s="61"/>
      <c r="G141" s="61"/>
      <c r="H141" s="61"/>
      <c r="K141" s="51"/>
    </row>
    <row r="142" ht="13.5" customHeight="1">
      <c r="A142" s="61"/>
      <c r="B142" s="61"/>
      <c r="C142" s="61"/>
      <c r="D142" s="69"/>
      <c r="E142" s="75"/>
      <c r="F142" s="61"/>
      <c r="G142" s="61"/>
      <c r="H142" s="61"/>
      <c r="K142" s="51"/>
    </row>
    <row r="143" ht="13.5" customHeight="1">
      <c r="A143" s="61"/>
      <c r="B143" s="61"/>
      <c r="C143" s="61"/>
      <c r="D143" s="69"/>
      <c r="E143" s="75"/>
      <c r="F143" s="61"/>
      <c r="G143" s="61"/>
      <c r="H143" s="61"/>
      <c r="K143" s="51"/>
    </row>
    <row r="144" ht="13.5" customHeight="1">
      <c r="A144" s="61"/>
      <c r="B144" s="61"/>
      <c r="C144" s="61"/>
      <c r="D144" s="69"/>
      <c r="E144" s="75"/>
      <c r="F144" s="61"/>
      <c r="G144" s="61"/>
      <c r="H144" s="61"/>
      <c r="K144" s="51"/>
    </row>
    <row r="145" ht="13.5" customHeight="1">
      <c r="A145" s="61"/>
      <c r="B145" s="61"/>
      <c r="C145" s="61"/>
      <c r="D145" s="69"/>
      <c r="E145" s="75"/>
      <c r="F145" s="61"/>
      <c r="G145" s="61"/>
      <c r="H145" s="61"/>
      <c r="K145" s="51"/>
    </row>
    <row r="146" ht="13.5" customHeight="1">
      <c r="A146" s="61"/>
      <c r="B146" s="61"/>
      <c r="C146" s="61"/>
      <c r="D146" s="69"/>
      <c r="E146" s="75"/>
      <c r="F146" s="61"/>
      <c r="G146" s="61"/>
      <c r="H146" s="61"/>
      <c r="K146" s="51"/>
    </row>
    <row r="147" ht="13.5" customHeight="1">
      <c r="A147" s="61"/>
      <c r="B147" s="61"/>
      <c r="C147" s="61"/>
      <c r="D147" s="69"/>
      <c r="E147" s="75"/>
      <c r="F147" s="61"/>
      <c r="G147" s="61"/>
      <c r="H147" s="61"/>
      <c r="K147" s="51"/>
    </row>
    <row r="148" ht="13.5" customHeight="1">
      <c r="A148" s="61"/>
      <c r="B148" s="61"/>
      <c r="C148" s="61"/>
      <c r="D148" s="69"/>
      <c r="E148" s="75"/>
      <c r="F148" s="61"/>
      <c r="G148" s="61"/>
      <c r="H148" s="61"/>
      <c r="K148" s="51"/>
    </row>
    <row r="149" ht="13.5" customHeight="1">
      <c r="A149" s="61"/>
      <c r="B149" s="61"/>
      <c r="C149" s="61"/>
      <c r="D149" s="69"/>
      <c r="E149" s="75"/>
      <c r="F149" s="61"/>
      <c r="G149" s="61"/>
      <c r="H149" s="61"/>
      <c r="K149" s="51"/>
    </row>
    <row r="150" ht="13.5" customHeight="1">
      <c r="A150" s="61"/>
      <c r="B150" s="61"/>
      <c r="C150" s="61"/>
      <c r="D150" s="69"/>
      <c r="E150" s="75"/>
      <c r="F150" s="61"/>
      <c r="G150" s="61"/>
      <c r="H150" s="61"/>
      <c r="K150" s="51"/>
    </row>
    <row r="151" ht="13.5" customHeight="1">
      <c r="D151" s="12"/>
      <c r="E151" s="51"/>
      <c r="K151" s="51"/>
    </row>
    <row r="152" ht="13.5" customHeight="1">
      <c r="D152" s="12"/>
      <c r="E152" s="51"/>
      <c r="K152" s="51"/>
    </row>
    <row r="153" ht="13.5" customHeight="1">
      <c r="D153" s="12"/>
      <c r="E153" s="51"/>
      <c r="K153" s="51"/>
    </row>
    <row r="154" ht="13.5" customHeight="1">
      <c r="D154" s="12"/>
      <c r="E154" s="51"/>
      <c r="K154" s="51"/>
    </row>
    <row r="155" ht="13.5" customHeight="1">
      <c r="D155" s="12"/>
      <c r="E155" s="51"/>
      <c r="K155" s="51"/>
    </row>
    <row r="156" ht="13.5" customHeight="1">
      <c r="D156" s="12"/>
      <c r="E156" s="51"/>
      <c r="K156" s="51"/>
    </row>
    <row r="157" ht="13.5" customHeight="1">
      <c r="D157" s="12"/>
      <c r="E157" s="51"/>
      <c r="K157" s="51"/>
    </row>
    <row r="158" ht="13.5" customHeight="1">
      <c r="D158" s="12"/>
      <c r="E158" s="51"/>
      <c r="K158" s="51"/>
    </row>
    <row r="159" ht="13.5" customHeight="1">
      <c r="D159" s="12"/>
      <c r="E159" s="51"/>
      <c r="K159" s="51"/>
    </row>
    <row r="160" ht="13.5" customHeight="1">
      <c r="D160" s="12"/>
      <c r="E160" s="51"/>
      <c r="K160" s="51"/>
    </row>
    <row r="161" ht="13.5" customHeight="1">
      <c r="D161" s="12"/>
      <c r="E161" s="51"/>
      <c r="K161" s="51"/>
    </row>
    <row r="162" ht="13.5" customHeight="1">
      <c r="D162" s="12"/>
      <c r="E162" s="51"/>
      <c r="K162" s="51"/>
    </row>
    <row r="163" ht="13.5" customHeight="1">
      <c r="D163" s="12"/>
      <c r="E163" s="51"/>
      <c r="K163" s="51"/>
    </row>
    <row r="164" ht="13.5" customHeight="1">
      <c r="D164" s="12"/>
      <c r="E164" s="51"/>
      <c r="K164" s="51"/>
    </row>
    <row r="165" ht="13.5" customHeight="1">
      <c r="D165" s="12"/>
      <c r="E165" s="51"/>
      <c r="K165" s="51"/>
    </row>
    <row r="166" ht="13.5" customHeight="1">
      <c r="D166" s="12"/>
      <c r="E166" s="51"/>
      <c r="K166" s="51"/>
    </row>
    <row r="167" ht="13.5" customHeight="1">
      <c r="D167" s="12"/>
      <c r="E167" s="51"/>
      <c r="K167" s="51"/>
    </row>
    <row r="168" ht="13.5" customHeight="1">
      <c r="D168" s="12"/>
      <c r="E168" s="51"/>
      <c r="K168" s="51"/>
    </row>
    <row r="169" ht="13.5" customHeight="1">
      <c r="D169" s="12"/>
      <c r="E169" s="51"/>
      <c r="K169" s="51"/>
    </row>
    <row r="170" ht="13.5" customHeight="1">
      <c r="D170" s="12"/>
      <c r="E170" s="51"/>
      <c r="K170" s="51"/>
    </row>
    <row r="171" ht="13.5" customHeight="1">
      <c r="D171" s="12"/>
      <c r="E171" s="51"/>
      <c r="K171" s="51"/>
    </row>
    <row r="172" ht="13.5" customHeight="1">
      <c r="D172" s="12"/>
      <c r="E172" s="51"/>
      <c r="K172" s="51"/>
    </row>
    <row r="173" ht="13.5" customHeight="1">
      <c r="D173" s="12"/>
      <c r="E173" s="51"/>
      <c r="K173" s="51"/>
    </row>
    <row r="174" ht="13.5" customHeight="1">
      <c r="D174" s="12"/>
      <c r="E174" s="51"/>
      <c r="K174" s="51"/>
    </row>
    <row r="175" ht="13.5" customHeight="1">
      <c r="D175" s="12"/>
      <c r="E175" s="51"/>
      <c r="K175" s="51"/>
    </row>
    <row r="176" ht="13.5" customHeight="1">
      <c r="D176" s="12"/>
      <c r="E176" s="51"/>
      <c r="K176" s="51"/>
    </row>
    <row r="177" ht="13.5" customHeight="1">
      <c r="D177" s="12"/>
      <c r="E177" s="51"/>
      <c r="K177" s="51"/>
    </row>
    <row r="178" ht="13.5" customHeight="1">
      <c r="D178" s="12"/>
      <c r="E178" s="51"/>
      <c r="K178" s="51"/>
    </row>
    <row r="179" ht="13.5" customHeight="1">
      <c r="D179" s="12"/>
      <c r="E179" s="51"/>
      <c r="K179" s="51"/>
    </row>
    <row r="180" ht="13.5" customHeight="1">
      <c r="D180" s="12"/>
      <c r="E180" s="51"/>
      <c r="K180" s="51"/>
    </row>
    <row r="181" ht="13.5" customHeight="1">
      <c r="D181" s="12"/>
      <c r="E181" s="51"/>
      <c r="K181" s="51"/>
    </row>
    <row r="182" ht="13.5" customHeight="1">
      <c r="D182" s="12"/>
      <c r="E182" s="51"/>
      <c r="K182" s="51"/>
    </row>
    <row r="183" ht="13.5" customHeight="1">
      <c r="D183" s="12"/>
      <c r="E183" s="51"/>
      <c r="K183" s="51"/>
    </row>
    <row r="184" ht="13.5" customHeight="1">
      <c r="D184" s="12"/>
      <c r="E184" s="51"/>
      <c r="K184" s="51"/>
    </row>
    <row r="185" ht="13.5" customHeight="1">
      <c r="D185" s="12"/>
      <c r="E185" s="51"/>
      <c r="K185" s="51"/>
    </row>
    <row r="186" ht="13.5" customHeight="1">
      <c r="D186" s="12"/>
      <c r="E186" s="51"/>
      <c r="K186" s="51"/>
    </row>
    <row r="187" ht="13.5" customHeight="1">
      <c r="D187" s="12"/>
      <c r="E187" s="51"/>
      <c r="K187" s="51"/>
    </row>
    <row r="188" ht="13.5" customHeight="1">
      <c r="D188" s="12"/>
      <c r="E188" s="51"/>
      <c r="K188" s="51"/>
    </row>
    <row r="189" ht="13.5" customHeight="1">
      <c r="D189" s="12"/>
      <c r="E189" s="51"/>
      <c r="K189" s="51"/>
    </row>
    <row r="190" ht="13.5" customHeight="1">
      <c r="D190" s="12"/>
      <c r="E190" s="51"/>
      <c r="K190" s="51"/>
    </row>
    <row r="191" ht="13.5" customHeight="1">
      <c r="D191" s="12"/>
      <c r="E191" s="51"/>
      <c r="K191" s="51"/>
    </row>
    <row r="192" ht="13.5" customHeight="1">
      <c r="D192" s="12"/>
      <c r="E192" s="51"/>
      <c r="K192" s="51"/>
    </row>
    <row r="193" ht="13.5" customHeight="1">
      <c r="D193" s="12"/>
      <c r="E193" s="51"/>
      <c r="K193" s="51"/>
    </row>
    <row r="194" ht="13.5" customHeight="1">
      <c r="D194" s="12"/>
      <c r="E194" s="51"/>
      <c r="K194" s="51"/>
    </row>
    <row r="195" ht="13.5" customHeight="1">
      <c r="D195" s="12"/>
      <c r="E195" s="51"/>
      <c r="K195" s="51"/>
    </row>
    <row r="196" ht="13.5" customHeight="1">
      <c r="D196" s="12"/>
      <c r="E196" s="51"/>
      <c r="K196" s="51"/>
    </row>
    <row r="197" ht="13.5" customHeight="1">
      <c r="D197" s="12"/>
      <c r="E197" s="51"/>
      <c r="K197" s="51"/>
    </row>
    <row r="198" ht="13.5" customHeight="1">
      <c r="D198" s="12"/>
      <c r="E198" s="51"/>
      <c r="K198" s="51"/>
    </row>
    <row r="199" ht="13.5" customHeight="1">
      <c r="D199" s="12"/>
      <c r="E199" s="51"/>
      <c r="K199" s="51"/>
    </row>
    <row r="200" ht="13.5" customHeight="1">
      <c r="D200" s="12"/>
      <c r="E200" s="51"/>
      <c r="K200" s="51"/>
    </row>
    <row r="201" ht="13.5" customHeight="1">
      <c r="D201" s="12"/>
      <c r="E201" s="51"/>
      <c r="K201" s="51"/>
    </row>
    <row r="202" ht="13.5" customHeight="1">
      <c r="D202" s="12"/>
      <c r="E202" s="51"/>
      <c r="K202" s="51"/>
    </row>
    <row r="203" ht="13.5" customHeight="1">
      <c r="D203" s="12"/>
      <c r="E203" s="51"/>
      <c r="K203" s="51"/>
    </row>
    <row r="204" ht="13.5" customHeight="1">
      <c r="D204" s="12"/>
      <c r="E204" s="51"/>
      <c r="K204" s="51"/>
    </row>
    <row r="205" ht="13.5" customHeight="1">
      <c r="D205" s="12"/>
      <c r="E205" s="51"/>
      <c r="K205" s="51"/>
    </row>
    <row r="206" ht="13.5" customHeight="1">
      <c r="D206" s="12"/>
      <c r="E206" s="51"/>
      <c r="K206" s="51"/>
    </row>
    <row r="207" ht="13.5" customHeight="1">
      <c r="D207" s="12"/>
      <c r="E207" s="51"/>
      <c r="K207" s="51"/>
    </row>
    <row r="208" ht="13.5" customHeight="1">
      <c r="D208" s="12"/>
      <c r="E208" s="51"/>
      <c r="K208" s="51"/>
    </row>
    <row r="209" ht="13.5" customHeight="1">
      <c r="D209" s="12"/>
      <c r="E209" s="51"/>
      <c r="K209" s="51"/>
    </row>
    <row r="210" ht="13.5" customHeight="1">
      <c r="D210" s="12"/>
      <c r="E210" s="51"/>
      <c r="K210" s="51"/>
    </row>
    <row r="211" ht="13.5" customHeight="1">
      <c r="D211" s="12"/>
      <c r="E211" s="51"/>
      <c r="K211" s="51"/>
    </row>
    <row r="212" ht="13.5" customHeight="1">
      <c r="D212" s="12"/>
      <c r="E212" s="51"/>
      <c r="K212" s="51"/>
    </row>
    <row r="213" ht="13.5" customHeight="1">
      <c r="D213" s="12"/>
      <c r="E213" s="51"/>
      <c r="K213" s="51"/>
    </row>
    <row r="214" ht="13.5" customHeight="1">
      <c r="D214" s="12"/>
      <c r="E214" s="51"/>
      <c r="K214" s="51"/>
    </row>
    <row r="215" ht="13.5" customHeight="1">
      <c r="D215" s="12"/>
      <c r="E215" s="51"/>
      <c r="K215" s="51"/>
    </row>
    <row r="216" ht="13.5" customHeight="1">
      <c r="D216" s="12"/>
      <c r="E216" s="51"/>
      <c r="K216" s="51"/>
    </row>
    <row r="217" ht="13.5" customHeight="1">
      <c r="D217" s="12"/>
      <c r="E217" s="51"/>
      <c r="K217" s="51"/>
    </row>
    <row r="218" ht="13.5" customHeight="1">
      <c r="D218" s="12"/>
      <c r="E218" s="51"/>
      <c r="K218" s="51"/>
    </row>
    <row r="219" ht="13.5" customHeight="1">
      <c r="D219" s="12"/>
      <c r="E219" s="51"/>
      <c r="K219" s="51"/>
    </row>
    <row r="220" ht="13.5" customHeight="1">
      <c r="D220" s="12"/>
      <c r="E220" s="51"/>
      <c r="K220" s="51"/>
    </row>
    <row r="221" ht="13.5" customHeight="1">
      <c r="D221" s="12"/>
      <c r="E221" s="51"/>
      <c r="K221" s="51"/>
    </row>
    <row r="222" ht="13.5" customHeight="1">
      <c r="D222" s="12"/>
      <c r="E222" s="51"/>
      <c r="K222" s="51"/>
    </row>
    <row r="223" ht="13.5" customHeight="1">
      <c r="D223" s="12"/>
      <c r="E223" s="51"/>
      <c r="K223" s="51"/>
    </row>
    <row r="224" ht="13.5" customHeight="1">
      <c r="D224" s="12"/>
      <c r="E224" s="51"/>
      <c r="K224" s="51"/>
    </row>
    <row r="225" ht="13.5" customHeight="1">
      <c r="D225" s="12"/>
      <c r="E225" s="51"/>
      <c r="K225" s="51"/>
    </row>
    <row r="226" ht="13.5" customHeight="1">
      <c r="D226" s="12"/>
      <c r="E226" s="51"/>
      <c r="K226" s="51"/>
    </row>
    <row r="227" ht="13.5" customHeight="1">
      <c r="D227" s="12"/>
      <c r="E227" s="51"/>
      <c r="K227" s="51"/>
    </row>
    <row r="228" ht="13.5" customHeight="1">
      <c r="D228" s="12"/>
      <c r="E228" s="51"/>
      <c r="K228" s="51"/>
    </row>
    <row r="229" ht="13.5" customHeight="1">
      <c r="D229" s="12"/>
      <c r="E229" s="51"/>
      <c r="K229" s="51"/>
    </row>
    <row r="230" ht="13.5" customHeight="1">
      <c r="D230" s="12"/>
      <c r="E230" s="51"/>
      <c r="K230" s="51"/>
    </row>
    <row r="231" ht="13.5" customHeight="1">
      <c r="D231" s="12"/>
      <c r="E231" s="51"/>
      <c r="K231" s="51"/>
    </row>
    <row r="232" ht="13.5" customHeight="1">
      <c r="D232" s="12"/>
      <c r="E232" s="51"/>
      <c r="K232" s="51"/>
    </row>
    <row r="233" ht="13.5" customHeight="1">
      <c r="D233" s="12"/>
      <c r="E233" s="51"/>
      <c r="K233" s="51"/>
    </row>
    <row r="234" ht="13.5" customHeight="1">
      <c r="D234" s="12"/>
      <c r="E234" s="51"/>
      <c r="K234" s="51"/>
    </row>
    <row r="235" ht="13.5" customHeight="1">
      <c r="D235" s="12"/>
      <c r="E235" s="51"/>
      <c r="K235" s="51"/>
    </row>
    <row r="236" ht="13.5" customHeight="1">
      <c r="D236" s="12"/>
      <c r="E236" s="51"/>
      <c r="K236" s="51"/>
    </row>
    <row r="237" ht="13.5" customHeight="1">
      <c r="D237" s="12"/>
      <c r="E237" s="51"/>
      <c r="K237" s="51"/>
    </row>
    <row r="238" ht="13.5" customHeight="1">
      <c r="D238" s="12"/>
      <c r="E238" s="51"/>
      <c r="K238" s="51"/>
    </row>
    <row r="239" ht="13.5" customHeight="1">
      <c r="D239" s="12"/>
      <c r="E239" s="51"/>
      <c r="K239" s="51"/>
    </row>
    <row r="240" ht="13.5" customHeight="1">
      <c r="D240" s="12"/>
      <c r="E240" s="51"/>
      <c r="K240" s="51"/>
    </row>
    <row r="241" ht="13.5" customHeight="1">
      <c r="D241" s="12"/>
      <c r="E241" s="51"/>
      <c r="K241" s="51"/>
    </row>
    <row r="242" ht="13.5" customHeight="1">
      <c r="D242" s="12"/>
      <c r="E242" s="51"/>
      <c r="K242" s="51"/>
    </row>
    <row r="243" ht="13.5" customHeight="1">
      <c r="D243" s="12"/>
      <c r="E243" s="51"/>
      <c r="K243" s="51"/>
    </row>
    <row r="244" ht="13.5" customHeight="1">
      <c r="D244" s="12"/>
      <c r="E244" s="51"/>
      <c r="K244" s="51"/>
    </row>
    <row r="245" ht="13.5" customHeight="1">
      <c r="D245" s="12"/>
      <c r="E245" s="51"/>
      <c r="K245" s="51"/>
    </row>
    <row r="246" ht="13.5" customHeight="1">
      <c r="D246" s="12"/>
      <c r="E246" s="51"/>
      <c r="K246" s="51"/>
    </row>
    <row r="247" ht="13.5" customHeight="1">
      <c r="D247" s="12"/>
      <c r="E247" s="51"/>
      <c r="K247" s="51"/>
    </row>
    <row r="248" ht="13.5" customHeight="1">
      <c r="D248" s="12"/>
      <c r="E248" s="51"/>
      <c r="K248" s="51"/>
    </row>
    <row r="249" ht="13.5" customHeight="1">
      <c r="D249" s="12"/>
      <c r="E249" s="51"/>
      <c r="K249" s="51"/>
    </row>
    <row r="250" ht="13.5" customHeight="1">
      <c r="D250" s="12"/>
      <c r="E250" s="51"/>
      <c r="K250" s="51"/>
    </row>
    <row r="251" ht="13.5" customHeight="1">
      <c r="D251" s="12"/>
      <c r="E251" s="51"/>
      <c r="K251" s="51"/>
    </row>
    <row r="252" ht="13.5" customHeight="1">
      <c r="D252" s="12"/>
      <c r="E252" s="51"/>
      <c r="K252" s="51"/>
    </row>
    <row r="253" ht="13.5" customHeight="1">
      <c r="D253" s="12"/>
      <c r="E253" s="51"/>
      <c r="K253" s="51"/>
    </row>
    <row r="254" ht="13.5" customHeight="1">
      <c r="D254" s="12"/>
      <c r="E254" s="51"/>
      <c r="K254" s="51"/>
    </row>
    <row r="255" ht="13.5" customHeight="1">
      <c r="D255" s="12"/>
      <c r="E255" s="51"/>
      <c r="K255" s="51"/>
    </row>
    <row r="256" ht="13.5" customHeight="1">
      <c r="D256" s="12"/>
      <c r="E256" s="51"/>
      <c r="K256" s="51"/>
    </row>
    <row r="257" ht="13.5" customHeight="1">
      <c r="D257" s="12"/>
      <c r="E257" s="51"/>
      <c r="K257" s="51"/>
    </row>
    <row r="258" ht="13.5" customHeight="1">
      <c r="D258" s="12"/>
      <c r="E258" s="51"/>
      <c r="K258" s="51"/>
    </row>
    <row r="259" ht="13.5" customHeight="1">
      <c r="D259" s="12"/>
      <c r="E259" s="51"/>
      <c r="K259" s="51"/>
    </row>
    <row r="260" ht="13.5" customHeight="1">
      <c r="D260" s="12"/>
      <c r="E260" s="51"/>
      <c r="K260" s="51"/>
    </row>
    <row r="261" ht="13.5" customHeight="1">
      <c r="D261" s="12"/>
      <c r="E261" s="51"/>
      <c r="K261" s="51"/>
    </row>
    <row r="262" ht="13.5" customHeight="1">
      <c r="D262" s="12"/>
      <c r="E262" s="51"/>
      <c r="K262" s="51"/>
    </row>
    <row r="263" ht="13.5" customHeight="1">
      <c r="D263" s="12"/>
      <c r="E263" s="51"/>
      <c r="K263" s="51"/>
    </row>
    <row r="264" ht="13.5" customHeight="1">
      <c r="D264" s="12"/>
      <c r="E264" s="51"/>
      <c r="K264" s="51"/>
    </row>
    <row r="265" ht="13.5" customHeight="1">
      <c r="D265" s="12"/>
      <c r="E265" s="51"/>
      <c r="K265" s="51"/>
    </row>
    <row r="266" ht="13.5" customHeight="1">
      <c r="D266" s="12"/>
      <c r="E266" s="51"/>
      <c r="K266" s="51"/>
    </row>
    <row r="267" ht="13.5" customHeight="1">
      <c r="D267" s="12"/>
      <c r="E267" s="51"/>
      <c r="K267" s="51"/>
    </row>
    <row r="268" ht="13.5" customHeight="1">
      <c r="D268" s="12"/>
      <c r="E268" s="51"/>
      <c r="K268" s="51"/>
    </row>
    <row r="269" ht="13.5" customHeight="1">
      <c r="D269" s="12"/>
      <c r="E269" s="51"/>
      <c r="K269" s="51"/>
    </row>
    <row r="270" ht="13.5" customHeight="1">
      <c r="D270" s="12"/>
      <c r="E270" s="51"/>
      <c r="K270" s="51"/>
    </row>
    <row r="271" ht="13.5" customHeight="1">
      <c r="D271" s="12"/>
      <c r="E271" s="51"/>
      <c r="K271" s="51"/>
    </row>
    <row r="272" ht="13.5" customHeight="1">
      <c r="D272" s="12"/>
      <c r="E272" s="51"/>
      <c r="K272" s="51"/>
    </row>
    <row r="273" ht="13.5" customHeight="1">
      <c r="D273" s="12"/>
      <c r="E273" s="51"/>
      <c r="K273" s="51"/>
    </row>
    <row r="274" ht="13.5" customHeight="1">
      <c r="D274" s="12"/>
      <c r="E274" s="51"/>
      <c r="K274" s="51"/>
    </row>
    <row r="275" ht="13.5" customHeight="1">
      <c r="D275" s="12"/>
      <c r="E275" s="51"/>
      <c r="K275" s="51"/>
    </row>
    <row r="276" ht="13.5" customHeight="1">
      <c r="D276" s="12"/>
      <c r="E276" s="51"/>
      <c r="K276" s="51"/>
    </row>
    <row r="277" ht="13.5" customHeight="1">
      <c r="D277" s="12"/>
      <c r="E277" s="51"/>
      <c r="K277" s="51"/>
    </row>
    <row r="278" ht="13.5" customHeight="1">
      <c r="D278" s="12"/>
      <c r="E278" s="51"/>
      <c r="K278" s="51"/>
    </row>
    <row r="279" ht="13.5" customHeight="1">
      <c r="D279" s="12"/>
      <c r="E279" s="51"/>
      <c r="K279" s="51"/>
    </row>
    <row r="280" ht="13.5" customHeight="1">
      <c r="D280" s="12"/>
      <c r="E280" s="51"/>
      <c r="K280" s="51"/>
    </row>
    <row r="281" ht="13.5" customHeight="1">
      <c r="D281" s="12"/>
      <c r="E281" s="51"/>
      <c r="K281" s="51"/>
    </row>
    <row r="282" ht="13.5" customHeight="1">
      <c r="D282" s="12"/>
      <c r="E282" s="51"/>
      <c r="K282" s="51"/>
    </row>
    <row r="283" ht="13.5" customHeight="1">
      <c r="D283" s="12"/>
      <c r="E283" s="51"/>
      <c r="K283" s="51"/>
    </row>
    <row r="284" ht="13.5" customHeight="1">
      <c r="D284" s="12"/>
      <c r="E284" s="51"/>
      <c r="K284" s="51"/>
    </row>
    <row r="285" ht="13.5" customHeight="1">
      <c r="D285" s="12"/>
      <c r="E285" s="51"/>
      <c r="K285" s="51"/>
    </row>
    <row r="286" ht="13.5" customHeight="1">
      <c r="D286" s="12"/>
      <c r="E286" s="51"/>
      <c r="K286" s="51"/>
    </row>
    <row r="287" ht="13.5" customHeight="1">
      <c r="D287" s="12"/>
      <c r="E287" s="51"/>
      <c r="K287" s="51"/>
    </row>
    <row r="288" ht="13.5" customHeight="1">
      <c r="D288" s="12"/>
      <c r="E288" s="51"/>
      <c r="K288" s="51"/>
    </row>
    <row r="289" ht="13.5" customHeight="1">
      <c r="D289" s="12"/>
      <c r="E289" s="51"/>
      <c r="K289" s="51"/>
    </row>
    <row r="290" ht="13.5" customHeight="1">
      <c r="D290" s="12"/>
      <c r="E290" s="51"/>
      <c r="K290" s="51"/>
    </row>
    <row r="291" ht="13.5" customHeight="1">
      <c r="D291" s="12"/>
      <c r="E291" s="51"/>
      <c r="K291" s="51"/>
    </row>
    <row r="292" ht="13.5" customHeight="1">
      <c r="D292" s="12"/>
      <c r="E292" s="51"/>
      <c r="K292" s="51"/>
    </row>
    <row r="293" ht="13.5" customHeight="1">
      <c r="D293" s="12"/>
      <c r="E293" s="51"/>
      <c r="K293" s="51"/>
    </row>
    <row r="294" ht="13.5" customHeight="1">
      <c r="D294" s="12"/>
      <c r="E294" s="51"/>
      <c r="K294" s="51"/>
    </row>
    <row r="295" ht="13.5" customHeight="1">
      <c r="D295" s="12"/>
      <c r="E295" s="51"/>
      <c r="K295" s="51"/>
    </row>
    <row r="296" ht="13.5" customHeight="1">
      <c r="D296" s="12"/>
      <c r="E296" s="51"/>
      <c r="K296" s="51"/>
    </row>
    <row r="297" ht="13.5" customHeight="1">
      <c r="D297" s="12"/>
      <c r="E297" s="51"/>
      <c r="K297" s="51"/>
    </row>
    <row r="298" ht="13.5" customHeight="1">
      <c r="D298" s="12"/>
      <c r="E298" s="51"/>
      <c r="K298" s="51"/>
    </row>
    <row r="299" ht="13.5" customHeight="1">
      <c r="D299" s="12"/>
      <c r="E299" s="51"/>
      <c r="K299" s="51"/>
    </row>
    <row r="300" ht="13.5" customHeight="1">
      <c r="D300" s="12"/>
      <c r="E300" s="51"/>
      <c r="K300" s="51"/>
    </row>
    <row r="301" ht="13.5" customHeight="1">
      <c r="D301" s="12"/>
      <c r="E301" s="51"/>
      <c r="K301" s="51"/>
    </row>
    <row r="302" ht="13.5" customHeight="1">
      <c r="D302" s="12"/>
      <c r="E302" s="51"/>
      <c r="K302" s="51"/>
    </row>
    <row r="303" ht="13.5" customHeight="1">
      <c r="D303" s="12"/>
      <c r="E303" s="51"/>
      <c r="K303" s="51"/>
    </row>
    <row r="304" ht="13.5" customHeight="1">
      <c r="D304" s="12"/>
      <c r="E304" s="51"/>
      <c r="K304" s="51"/>
    </row>
    <row r="305" ht="13.5" customHeight="1">
      <c r="D305" s="12"/>
      <c r="E305" s="51"/>
      <c r="K305" s="51"/>
    </row>
    <row r="306" ht="13.5" customHeight="1">
      <c r="D306" s="12"/>
      <c r="E306" s="51"/>
      <c r="K306" s="51"/>
    </row>
    <row r="307" ht="13.5" customHeight="1">
      <c r="D307" s="12"/>
      <c r="E307" s="51"/>
      <c r="K307" s="51"/>
    </row>
    <row r="308" ht="13.5" customHeight="1">
      <c r="D308" s="12"/>
      <c r="E308" s="51"/>
      <c r="K308" s="51"/>
    </row>
    <row r="309" ht="13.5" customHeight="1">
      <c r="D309" s="12"/>
      <c r="E309" s="51"/>
      <c r="K309" s="51"/>
    </row>
    <row r="310" ht="13.5" customHeight="1">
      <c r="D310" s="12"/>
      <c r="E310" s="51"/>
      <c r="K310" s="51"/>
    </row>
    <row r="311" ht="13.5" customHeight="1">
      <c r="D311" s="12"/>
      <c r="E311" s="51"/>
      <c r="K311" s="51"/>
    </row>
    <row r="312" ht="13.5" customHeight="1">
      <c r="D312" s="12"/>
      <c r="E312" s="51"/>
      <c r="K312" s="51"/>
    </row>
    <row r="313" ht="13.5" customHeight="1">
      <c r="D313" s="12"/>
      <c r="E313" s="51"/>
      <c r="K313" s="51"/>
    </row>
    <row r="314" ht="13.5" customHeight="1">
      <c r="D314" s="12"/>
      <c r="E314" s="51"/>
      <c r="K314" s="51"/>
    </row>
    <row r="315" ht="13.5" customHeight="1">
      <c r="D315" s="12"/>
      <c r="E315" s="51"/>
      <c r="K315" s="51"/>
    </row>
    <row r="316" ht="13.5" customHeight="1">
      <c r="D316" s="12"/>
      <c r="E316" s="51"/>
      <c r="K316" s="51"/>
    </row>
    <row r="317" ht="13.5" customHeight="1">
      <c r="D317" s="12"/>
      <c r="E317" s="51"/>
      <c r="K317" s="51"/>
    </row>
    <row r="318" ht="13.5" customHeight="1">
      <c r="D318" s="12"/>
      <c r="E318" s="51"/>
      <c r="K318" s="51"/>
    </row>
    <row r="319" ht="13.5" customHeight="1">
      <c r="D319" s="12"/>
      <c r="E319" s="51"/>
      <c r="K319" s="51"/>
    </row>
    <row r="320" ht="13.5" customHeight="1">
      <c r="D320" s="12"/>
      <c r="E320" s="51"/>
      <c r="K320" s="51"/>
    </row>
    <row r="321" ht="13.5" customHeight="1">
      <c r="D321" s="12"/>
      <c r="E321" s="51"/>
      <c r="K321" s="51"/>
    </row>
    <row r="322" ht="13.5" customHeight="1">
      <c r="D322" s="12"/>
      <c r="E322" s="51"/>
      <c r="K322" s="51"/>
    </row>
    <row r="323" ht="13.5" customHeight="1">
      <c r="D323" s="12"/>
      <c r="E323" s="51"/>
      <c r="K323" s="51"/>
    </row>
    <row r="324" ht="13.5" customHeight="1">
      <c r="D324" s="12"/>
      <c r="E324" s="51"/>
      <c r="K324" s="51"/>
    </row>
    <row r="325" ht="13.5" customHeight="1">
      <c r="D325" s="12"/>
      <c r="E325" s="51"/>
      <c r="K325" s="51"/>
    </row>
    <row r="326" ht="13.5" customHeight="1">
      <c r="D326" s="12"/>
      <c r="E326" s="51"/>
      <c r="K326" s="51"/>
    </row>
    <row r="327" ht="13.5" customHeight="1">
      <c r="D327" s="12"/>
      <c r="E327" s="51"/>
      <c r="K327" s="51"/>
    </row>
    <row r="328" ht="13.5" customHeight="1">
      <c r="D328" s="12"/>
      <c r="E328" s="51"/>
      <c r="K328" s="51"/>
    </row>
    <row r="329" ht="13.5" customHeight="1">
      <c r="D329" s="12"/>
      <c r="E329" s="51"/>
      <c r="K329" s="51"/>
    </row>
    <row r="330" ht="13.5" customHeight="1">
      <c r="D330" s="12"/>
      <c r="E330" s="51"/>
      <c r="K330" s="51"/>
    </row>
    <row r="331" ht="13.5" customHeight="1">
      <c r="D331" s="12"/>
      <c r="E331" s="51"/>
      <c r="K331" s="51"/>
    </row>
    <row r="332" ht="13.5" customHeight="1">
      <c r="D332" s="12"/>
      <c r="E332" s="51"/>
      <c r="K332" s="51"/>
    </row>
    <row r="333" ht="13.5" customHeight="1">
      <c r="D333" s="12"/>
      <c r="E333" s="51"/>
      <c r="K333" s="51"/>
    </row>
    <row r="334" ht="13.5" customHeight="1">
      <c r="D334" s="12"/>
      <c r="E334" s="51"/>
      <c r="K334" s="51"/>
    </row>
    <row r="335" ht="13.5" customHeight="1">
      <c r="D335" s="12"/>
      <c r="E335" s="51"/>
      <c r="K335" s="51"/>
    </row>
    <row r="336" ht="13.5" customHeight="1">
      <c r="D336" s="12"/>
      <c r="E336" s="51"/>
      <c r="K336" s="51"/>
    </row>
    <row r="337" ht="13.5" customHeight="1">
      <c r="D337" s="12"/>
      <c r="E337" s="51"/>
      <c r="K337" s="51"/>
    </row>
    <row r="338" ht="13.5" customHeight="1">
      <c r="D338" s="12"/>
      <c r="E338" s="51"/>
      <c r="K338" s="51"/>
    </row>
    <row r="339" ht="13.5" customHeight="1">
      <c r="D339" s="12"/>
      <c r="E339" s="51"/>
      <c r="K339" s="51"/>
    </row>
    <row r="340" ht="13.5" customHeight="1">
      <c r="D340" s="12"/>
      <c r="E340" s="51"/>
      <c r="K340" s="51"/>
    </row>
    <row r="341" ht="13.5" customHeight="1">
      <c r="D341" s="12"/>
      <c r="E341" s="51"/>
      <c r="K341" s="51"/>
    </row>
    <row r="342" ht="13.5" customHeight="1">
      <c r="D342" s="12"/>
      <c r="E342" s="51"/>
      <c r="K342" s="51"/>
    </row>
    <row r="343" ht="13.5" customHeight="1">
      <c r="D343" s="12"/>
      <c r="E343" s="51"/>
      <c r="K343" s="51"/>
    </row>
    <row r="344" ht="13.5" customHeight="1">
      <c r="D344" s="12"/>
      <c r="E344" s="51"/>
      <c r="K344" s="51"/>
    </row>
    <row r="345" ht="13.5" customHeight="1">
      <c r="D345" s="12"/>
      <c r="E345" s="51"/>
      <c r="K345" s="51"/>
    </row>
    <row r="346" ht="13.5" customHeight="1">
      <c r="D346" s="12"/>
      <c r="E346" s="51"/>
      <c r="K346" s="51"/>
    </row>
    <row r="347" ht="13.5" customHeight="1">
      <c r="D347" s="12"/>
      <c r="E347" s="51"/>
      <c r="K347" s="51"/>
    </row>
    <row r="348" ht="13.5" customHeight="1">
      <c r="D348" s="12"/>
      <c r="E348" s="51"/>
      <c r="K348" s="51"/>
    </row>
    <row r="349" ht="13.5" customHeight="1">
      <c r="D349" s="12"/>
      <c r="E349" s="51"/>
      <c r="K349" s="51"/>
    </row>
    <row r="350" ht="13.5" customHeight="1">
      <c r="D350" s="12"/>
      <c r="E350" s="51"/>
      <c r="K350" s="51"/>
    </row>
    <row r="351" ht="13.5" customHeight="1">
      <c r="D351" s="12"/>
      <c r="E351" s="51"/>
      <c r="K351" s="51"/>
    </row>
    <row r="352" ht="13.5" customHeight="1">
      <c r="D352" s="12"/>
      <c r="E352" s="51"/>
      <c r="K352" s="51"/>
    </row>
    <row r="353" ht="13.5" customHeight="1">
      <c r="D353" s="12"/>
      <c r="E353" s="51"/>
      <c r="K353" s="51"/>
    </row>
    <row r="354" ht="13.5" customHeight="1">
      <c r="D354" s="12"/>
      <c r="E354" s="51"/>
      <c r="K354" s="51"/>
    </row>
    <row r="355" ht="13.5" customHeight="1">
      <c r="D355" s="12"/>
      <c r="E355" s="51"/>
      <c r="K355" s="51"/>
    </row>
    <row r="356" ht="13.5" customHeight="1">
      <c r="D356" s="12"/>
      <c r="E356" s="51"/>
      <c r="K356" s="51"/>
    </row>
    <row r="357" ht="13.5" customHeight="1">
      <c r="D357" s="12"/>
      <c r="E357" s="51"/>
      <c r="K357" s="51"/>
    </row>
    <row r="358" ht="13.5" customHeight="1">
      <c r="D358" s="12"/>
      <c r="E358" s="51"/>
      <c r="K358" s="51"/>
    </row>
    <row r="359" ht="13.5" customHeight="1">
      <c r="D359" s="12"/>
      <c r="E359" s="51"/>
      <c r="K359" s="51"/>
    </row>
    <row r="360" ht="13.5" customHeight="1">
      <c r="D360" s="12"/>
      <c r="E360" s="51"/>
      <c r="K360" s="51"/>
    </row>
    <row r="361" ht="13.5" customHeight="1">
      <c r="D361" s="12"/>
      <c r="E361" s="51"/>
      <c r="K361" s="51"/>
    </row>
    <row r="362" ht="13.5" customHeight="1">
      <c r="D362" s="12"/>
      <c r="E362" s="51"/>
      <c r="K362" s="51"/>
    </row>
    <row r="363" ht="13.5" customHeight="1">
      <c r="D363" s="12"/>
      <c r="E363" s="51"/>
      <c r="K363" s="51"/>
    </row>
    <row r="364" ht="13.5" customHeight="1">
      <c r="D364" s="12"/>
      <c r="E364" s="51"/>
      <c r="K364" s="51"/>
    </row>
    <row r="365" ht="13.5" customHeight="1">
      <c r="D365" s="12"/>
      <c r="E365" s="51"/>
      <c r="K365" s="51"/>
    </row>
    <row r="366" ht="13.5" customHeight="1">
      <c r="D366" s="12"/>
      <c r="E366" s="51"/>
      <c r="K366" s="51"/>
    </row>
    <row r="367" ht="13.5" customHeight="1">
      <c r="D367" s="12"/>
      <c r="E367" s="51"/>
      <c r="K367" s="51"/>
    </row>
    <row r="368" ht="13.5" customHeight="1">
      <c r="D368" s="12"/>
      <c r="E368" s="51"/>
      <c r="K368" s="51"/>
    </row>
    <row r="369" ht="13.5" customHeight="1">
      <c r="D369" s="12"/>
      <c r="E369" s="51"/>
      <c r="K369" s="51"/>
    </row>
    <row r="370" ht="13.5" customHeight="1">
      <c r="D370" s="12"/>
      <c r="E370" s="51"/>
      <c r="K370" s="51"/>
    </row>
    <row r="371" ht="13.5" customHeight="1">
      <c r="D371" s="12"/>
      <c r="E371" s="51"/>
      <c r="K371" s="51"/>
    </row>
    <row r="372" ht="13.5" customHeight="1">
      <c r="D372" s="12"/>
      <c r="E372" s="51"/>
      <c r="K372" s="51"/>
    </row>
    <row r="373" ht="13.5" customHeight="1">
      <c r="D373" s="12"/>
      <c r="E373" s="51"/>
      <c r="K373" s="51"/>
    </row>
    <row r="374" ht="13.5" customHeight="1">
      <c r="D374" s="12"/>
      <c r="E374" s="51"/>
      <c r="K374" s="51"/>
    </row>
    <row r="375" ht="13.5" customHeight="1">
      <c r="D375" s="12"/>
      <c r="E375" s="51"/>
      <c r="K375" s="51"/>
    </row>
    <row r="376" ht="13.5" customHeight="1">
      <c r="D376" s="12"/>
      <c r="E376" s="51"/>
      <c r="K376" s="51"/>
    </row>
    <row r="377" ht="13.5" customHeight="1">
      <c r="D377" s="12"/>
      <c r="E377" s="51"/>
      <c r="K377" s="51"/>
    </row>
    <row r="378" ht="13.5" customHeight="1">
      <c r="D378" s="12"/>
      <c r="E378" s="51"/>
      <c r="K378" s="51"/>
    </row>
    <row r="379" ht="13.5" customHeight="1">
      <c r="D379" s="12"/>
      <c r="E379" s="51"/>
      <c r="K379" s="51"/>
    </row>
    <row r="380" ht="13.5" customHeight="1">
      <c r="D380" s="12"/>
      <c r="E380" s="51"/>
      <c r="K380" s="51"/>
    </row>
    <row r="381" ht="13.5" customHeight="1">
      <c r="D381" s="12"/>
      <c r="E381" s="51"/>
      <c r="K381" s="51"/>
    </row>
    <row r="382" ht="13.5" customHeight="1">
      <c r="D382" s="12"/>
      <c r="E382" s="51"/>
      <c r="K382" s="51"/>
    </row>
    <row r="383" ht="13.5" customHeight="1">
      <c r="D383" s="12"/>
      <c r="E383" s="51"/>
      <c r="K383" s="51"/>
    </row>
    <row r="384" ht="13.5" customHeight="1">
      <c r="D384" s="12"/>
      <c r="E384" s="51"/>
      <c r="K384" s="51"/>
    </row>
    <row r="385" ht="13.5" customHeight="1">
      <c r="D385" s="12"/>
      <c r="E385" s="51"/>
      <c r="K385" s="51"/>
    </row>
    <row r="386" ht="13.5" customHeight="1">
      <c r="D386" s="12"/>
      <c r="E386" s="51"/>
      <c r="K386" s="51"/>
    </row>
    <row r="387" ht="13.5" customHeight="1">
      <c r="D387" s="12"/>
      <c r="E387" s="51"/>
      <c r="K387" s="51"/>
    </row>
    <row r="388" ht="13.5" customHeight="1">
      <c r="D388" s="12"/>
      <c r="E388" s="51"/>
      <c r="K388" s="51"/>
    </row>
    <row r="389" ht="13.5" customHeight="1">
      <c r="D389" s="12"/>
      <c r="E389" s="51"/>
      <c r="K389" s="51"/>
    </row>
    <row r="390" ht="13.5" customHeight="1">
      <c r="D390" s="12"/>
      <c r="E390" s="51"/>
      <c r="K390" s="51"/>
    </row>
    <row r="391" ht="13.5" customHeight="1">
      <c r="D391" s="12"/>
      <c r="E391" s="51"/>
      <c r="K391" s="51"/>
    </row>
    <row r="392" ht="13.5" customHeight="1">
      <c r="D392" s="12"/>
      <c r="E392" s="51"/>
      <c r="K392" s="51"/>
    </row>
    <row r="393" ht="13.5" customHeight="1">
      <c r="D393" s="12"/>
      <c r="E393" s="51"/>
      <c r="K393" s="51"/>
    </row>
    <row r="394" ht="13.5" customHeight="1">
      <c r="D394" s="12"/>
      <c r="E394" s="51"/>
      <c r="K394" s="51"/>
    </row>
    <row r="395" ht="13.5" customHeight="1">
      <c r="D395" s="12"/>
      <c r="E395" s="51"/>
      <c r="K395" s="51"/>
    </row>
    <row r="396" ht="13.5" customHeight="1">
      <c r="D396" s="12"/>
      <c r="E396" s="51"/>
      <c r="K396" s="51"/>
    </row>
    <row r="397" ht="13.5" customHeight="1">
      <c r="D397" s="12"/>
      <c r="E397" s="51"/>
      <c r="K397" s="51"/>
    </row>
    <row r="398" ht="13.5" customHeight="1">
      <c r="D398" s="12"/>
      <c r="E398" s="51"/>
      <c r="K398" s="51"/>
    </row>
    <row r="399" ht="13.5" customHeight="1">
      <c r="D399" s="12"/>
      <c r="E399" s="51"/>
      <c r="K399" s="51"/>
    </row>
    <row r="400" ht="13.5" customHeight="1">
      <c r="D400" s="12"/>
      <c r="E400" s="51"/>
      <c r="K400" s="51"/>
    </row>
    <row r="401" ht="13.5" customHeight="1">
      <c r="D401" s="12"/>
      <c r="E401" s="51"/>
      <c r="K401" s="51"/>
    </row>
    <row r="402" ht="13.5" customHeight="1">
      <c r="D402" s="12"/>
      <c r="E402" s="51"/>
      <c r="K402" s="51"/>
    </row>
    <row r="403" ht="13.5" customHeight="1">
      <c r="D403" s="12"/>
      <c r="E403" s="51"/>
      <c r="K403" s="51"/>
    </row>
    <row r="404" ht="13.5" customHeight="1">
      <c r="D404" s="12"/>
      <c r="E404" s="51"/>
      <c r="K404" s="51"/>
    </row>
    <row r="405" ht="13.5" customHeight="1">
      <c r="D405" s="12"/>
      <c r="E405" s="51"/>
      <c r="K405" s="51"/>
    </row>
    <row r="406" ht="13.5" customHeight="1">
      <c r="D406" s="12"/>
      <c r="E406" s="51"/>
      <c r="K406" s="51"/>
    </row>
    <row r="407" ht="13.5" customHeight="1">
      <c r="D407" s="12"/>
      <c r="E407" s="51"/>
      <c r="K407" s="51"/>
    </row>
    <row r="408" ht="13.5" customHeight="1">
      <c r="D408" s="12"/>
      <c r="E408" s="51"/>
      <c r="K408" s="51"/>
    </row>
    <row r="409" ht="13.5" customHeight="1">
      <c r="D409" s="12"/>
      <c r="E409" s="51"/>
      <c r="K409" s="51"/>
    </row>
    <row r="410" ht="13.5" customHeight="1">
      <c r="D410" s="12"/>
      <c r="E410" s="51"/>
      <c r="K410" s="51"/>
    </row>
    <row r="411" ht="13.5" customHeight="1">
      <c r="D411" s="12"/>
      <c r="E411" s="51"/>
      <c r="K411" s="51"/>
    </row>
    <row r="412" ht="13.5" customHeight="1">
      <c r="D412" s="12"/>
      <c r="E412" s="51"/>
      <c r="K412" s="51"/>
    </row>
    <row r="413" ht="13.5" customHeight="1">
      <c r="D413" s="12"/>
      <c r="E413" s="51"/>
      <c r="K413" s="51"/>
    </row>
    <row r="414" ht="13.5" customHeight="1">
      <c r="D414" s="12"/>
      <c r="E414" s="51"/>
      <c r="K414" s="51"/>
    </row>
    <row r="415" ht="13.5" customHeight="1">
      <c r="D415" s="12"/>
      <c r="E415" s="51"/>
      <c r="K415" s="51"/>
    </row>
    <row r="416" ht="13.5" customHeight="1">
      <c r="D416" s="12"/>
      <c r="E416" s="51"/>
      <c r="K416" s="51"/>
    </row>
    <row r="417" ht="13.5" customHeight="1">
      <c r="D417" s="12"/>
      <c r="E417" s="51"/>
      <c r="K417" s="51"/>
    </row>
    <row r="418" ht="13.5" customHeight="1">
      <c r="D418" s="12"/>
      <c r="E418" s="51"/>
      <c r="K418" s="51"/>
    </row>
    <row r="419" ht="13.5" customHeight="1">
      <c r="D419" s="12"/>
      <c r="E419" s="51"/>
      <c r="K419" s="51"/>
    </row>
    <row r="420" ht="13.5" customHeight="1">
      <c r="D420" s="12"/>
      <c r="E420" s="51"/>
      <c r="K420" s="51"/>
    </row>
    <row r="421" ht="13.5" customHeight="1">
      <c r="D421" s="12"/>
      <c r="E421" s="51"/>
      <c r="K421" s="51"/>
    </row>
    <row r="422" ht="13.5" customHeight="1">
      <c r="D422" s="12"/>
      <c r="E422" s="51"/>
      <c r="K422" s="51"/>
    </row>
    <row r="423" ht="13.5" customHeight="1">
      <c r="D423" s="12"/>
      <c r="E423" s="51"/>
      <c r="K423" s="51"/>
    </row>
    <row r="424" ht="13.5" customHeight="1">
      <c r="D424" s="12"/>
      <c r="E424" s="51"/>
      <c r="K424" s="51"/>
    </row>
    <row r="425" ht="13.5" customHeight="1">
      <c r="D425" s="12"/>
      <c r="E425" s="51"/>
      <c r="K425" s="51"/>
    </row>
    <row r="426" ht="13.5" customHeight="1">
      <c r="D426" s="12"/>
      <c r="E426" s="51"/>
      <c r="K426" s="51"/>
    </row>
    <row r="427" ht="13.5" customHeight="1">
      <c r="D427" s="12"/>
      <c r="E427" s="51"/>
      <c r="K427" s="51"/>
    </row>
    <row r="428" ht="13.5" customHeight="1">
      <c r="D428" s="12"/>
      <c r="E428" s="51"/>
      <c r="K428" s="51"/>
    </row>
    <row r="429" ht="13.5" customHeight="1">
      <c r="D429" s="12"/>
      <c r="E429" s="51"/>
      <c r="K429" s="51"/>
    </row>
    <row r="430" ht="13.5" customHeight="1">
      <c r="D430" s="12"/>
      <c r="E430" s="51"/>
      <c r="K430" s="51"/>
    </row>
    <row r="431" ht="13.5" customHeight="1">
      <c r="D431" s="12"/>
      <c r="E431" s="51"/>
      <c r="K431" s="51"/>
    </row>
    <row r="432" ht="13.5" customHeight="1">
      <c r="D432" s="12"/>
      <c r="E432" s="51"/>
      <c r="K432" s="51"/>
    </row>
    <row r="433" ht="13.5" customHeight="1">
      <c r="D433" s="12"/>
      <c r="E433" s="51"/>
      <c r="K433" s="51"/>
    </row>
    <row r="434" ht="13.5" customHeight="1">
      <c r="D434" s="12"/>
      <c r="E434" s="51"/>
      <c r="K434" s="51"/>
    </row>
    <row r="435" ht="13.5" customHeight="1">
      <c r="D435" s="12"/>
      <c r="E435" s="51"/>
      <c r="K435" s="51"/>
    </row>
    <row r="436" ht="13.5" customHeight="1">
      <c r="D436" s="12"/>
      <c r="E436" s="51"/>
      <c r="K436" s="51"/>
    </row>
    <row r="437" ht="13.5" customHeight="1">
      <c r="D437" s="12"/>
      <c r="E437" s="51"/>
      <c r="K437" s="51"/>
    </row>
    <row r="438" ht="13.5" customHeight="1">
      <c r="D438" s="12"/>
      <c r="E438" s="51"/>
      <c r="K438" s="51"/>
    </row>
    <row r="439" ht="13.5" customHeight="1">
      <c r="D439" s="12"/>
      <c r="E439" s="51"/>
      <c r="K439" s="51"/>
    </row>
    <row r="440" ht="13.5" customHeight="1">
      <c r="D440" s="12"/>
      <c r="E440" s="51"/>
      <c r="K440" s="51"/>
    </row>
    <row r="441" ht="13.5" customHeight="1">
      <c r="D441" s="12"/>
      <c r="E441" s="51"/>
      <c r="K441" s="51"/>
    </row>
    <row r="442" ht="13.5" customHeight="1">
      <c r="D442" s="12"/>
      <c r="E442" s="51"/>
      <c r="K442" s="51"/>
    </row>
    <row r="443" ht="13.5" customHeight="1">
      <c r="D443" s="12"/>
      <c r="E443" s="51"/>
      <c r="K443" s="51"/>
    </row>
    <row r="444" ht="13.5" customHeight="1">
      <c r="D444" s="12"/>
      <c r="E444" s="51"/>
      <c r="K444" s="51"/>
    </row>
    <row r="445" ht="13.5" customHeight="1">
      <c r="D445" s="12"/>
      <c r="E445" s="51"/>
      <c r="K445" s="51"/>
    </row>
    <row r="446" ht="13.5" customHeight="1">
      <c r="D446" s="12"/>
      <c r="E446" s="51"/>
      <c r="K446" s="51"/>
    </row>
    <row r="447" ht="13.5" customHeight="1">
      <c r="D447" s="12"/>
      <c r="E447" s="51"/>
      <c r="K447" s="51"/>
    </row>
    <row r="448" ht="13.5" customHeight="1">
      <c r="D448" s="12"/>
      <c r="E448" s="51"/>
      <c r="K448" s="51"/>
    </row>
    <row r="449" ht="13.5" customHeight="1">
      <c r="D449" s="12"/>
      <c r="E449" s="51"/>
      <c r="K449" s="51"/>
    </row>
    <row r="450" ht="13.5" customHeight="1">
      <c r="D450" s="12"/>
      <c r="E450" s="51"/>
      <c r="K450" s="51"/>
    </row>
    <row r="451" ht="13.5" customHeight="1">
      <c r="D451" s="12"/>
      <c r="E451" s="51"/>
      <c r="K451" s="51"/>
    </row>
    <row r="452" ht="13.5" customHeight="1">
      <c r="D452" s="12"/>
      <c r="E452" s="51"/>
      <c r="K452" s="51"/>
    </row>
    <row r="453" ht="13.5" customHeight="1">
      <c r="D453" s="12"/>
      <c r="E453" s="51"/>
      <c r="K453" s="51"/>
    </row>
    <row r="454" ht="13.5" customHeight="1">
      <c r="D454" s="12"/>
      <c r="E454" s="51"/>
      <c r="K454" s="51"/>
    </row>
    <row r="455" ht="13.5" customHeight="1">
      <c r="D455" s="12"/>
      <c r="E455" s="51"/>
      <c r="K455" s="51"/>
    </row>
    <row r="456" ht="13.5" customHeight="1">
      <c r="D456" s="12"/>
      <c r="E456" s="51"/>
      <c r="K456" s="51"/>
    </row>
    <row r="457" ht="13.5" customHeight="1">
      <c r="D457" s="12"/>
      <c r="E457" s="51"/>
      <c r="K457" s="51"/>
    </row>
    <row r="458" ht="13.5" customHeight="1">
      <c r="D458" s="12"/>
      <c r="E458" s="51"/>
      <c r="K458" s="51"/>
    </row>
    <row r="459" ht="13.5" customHeight="1">
      <c r="D459" s="12"/>
      <c r="E459" s="51"/>
      <c r="K459" s="51"/>
    </row>
    <row r="460" ht="13.5" customHeight="1">
      <c r="D460" s="12"/>
      <c r="E460" s="51"/>
      <c r="K460" s="51"/>
    </row>
    <row r="461" ht="13.5" customHeight="1">
      <c r="D461" s="12"/>
      <c r="E461" s="51"/>
      <c r="K461" s="51"/>
    </row>
    <row r="462" ht="13.5" customHeight="1">
      <c r="D462" s="12"/>
      <c r="E462" s="51"/>
      <c r="K462" s="51"/>
    </row>
    <row r="463" ht="13.5" customHeight="1">
      <c r="D463" s="12"/>
      <c r="E463" s="51"/>
      <c r="K463" s="51"/>
    </row>
    <row r="464" ht="13.5" customHeight="1">
      <c r="D464" s="12"/>
      <c r="E464" s="51"/>
      <c r="K464" s="51"/>
    </row>
    <row r="465" ht="13.5" customHeight="1">
      <c r="D465" s="12"/>
      <c r="E465" s="51"/>
      <c r="K465" s="51"/>
    </row>
    <row r="466" ht="13.5" customHeight="1">
      <c r="D466" s="12"/>
      <c r="E466" s="51"/>
      <c r="K466" s="51"/>
    </row>
    <row r="467" ht="13.5" customHeight="1">
      <c r="D467" s="12"/>
      <c r="E467" s="51"/>
      <c r="K467" s="51"/>
    </row>
    <row r="468" ht="13.5" customHeight="1">
      <c r="D468" s="12"/>
      <c r="E468" s="51"/>
      <c r="K468" s="51"/>
    </row>
    <row r="469" ht="13.5" customHeight="1">
      <c r="D469" s="12"/>
      <c r="E469" s="51"/>
      <c r="K469" s="51"/>
    </row>
    <row r="470" ht="13.5" customHeight="1">
      <c r="D470" s="12"/>
      <c r="E470" s="51"/>
      <c r="K470" s="51"/>
    </row>
    <row r="471" ht="13.5" customHeight="1">
      <c r="D471" s="12"/>
      <c r="E471" s="51"/>
      <c r="K471" s="51"/>
    </row>
    <row r="472" ht="13.5" customHeight="1">
      <c r="D472" s="12"/>
      <c r="E472" s="51"/>
      <c r="K472" s="51"/>
    </row>
    <row r="473" ht="13.5" customHeight="1">
      <c r="D473" s="12"/>
      <c r="E473" s="51"/>
      <c r="K473" s="51"/>
    </row>
    <row r="474" ht="13.5" customHeight="1">
      <c r="D474" s="12"/>
      <c r="E474" s="51"/>
      <c r="K474" s="51"/>
    </row>
    <row r="475" ht="13.5" customHeight="1">
      <c r="D475" s="12"/>
      <c r="E475" s="51"/>
      <c r="K475" s="51"/>
    </row>
    <row r="476" ht="13.5" customHeight="1">
      <c r="D476" s="12"/>
      <c r="E476" s="51"/>
      <c r="K476" s="51"/>
    </row>
    <row r="477" ht="13.5" customHeight="1">
      <c r="D477" s="12"/>
      <c r="E477" s="51"/>
      <c r="K477" s="51"/>
    </row>
    <row r="478" ht="13.5" customHeight="1">
      <c r="D478" s="12"/>
      <c r="E478" s="51"/>
      <c r="K478" s="51"/>
    </row>
    <row r="479" ht="13.5" customHeight="1">
      <c r="D479" s="12"/>
      <c r="E479" s="51"/>
      <c r="K479" s="51"/>
    </row>
    <row r="480" ht="13.5" customHeight="1">
      <c r="D480" s="12"/>
      <c r="E480" s="51"/>
      <c r="K480" s="51"/>
    </row>
    <row r="481" ht="13.5" customHeight="1">
      <c r="D481" s="12"/>
      <c r="E481" s="51"/>
      <c r="K481" s="51"/>
    </row>
    <row r="482" ht="13.5" customHeight="1">
      <c r="D482" s="12"/>
      <c r="E482" s="51"/>
      <c r="K482" s="51"/>
    </row>
    <row r="483" ht="13.5" customHeight="1">
      <c r="D483" s="12"/>
      <c r="E483" s="51"/>
      <c r="K483" s="51"/>
    </row>
    <row r="484" ht="13.5" customHeight="1">
      <c r="D484" s="12"/>
      <c r="E484" s="51"/>
      <c r="K484" s="51"/>
    </row>
    <row r="485" ht="13.5" customHeight="1">
      <c r="D485" s="12"/>
      <c r="E485" s="51"/>
      <c r="K485" s="51"/>
    </row>
    <row r="486" ht="13.5" customHeight="1">
      <c r="D486" s="12"/>
      <c r="E486" s="51"/>
      <c r="K486" s="51"/>
    </row>
    <row r="487" ht="13.5" customHeight="1">
      <c r="D487" s="12"/>
      <c r="E487" s="51"/>
      <c r="K487" s="51"/>
    </row>
    <row r="488" ht="13.5" customHeight="1">
      <c r="D488" s="12"/>
      <c r="E488" s="51"/>
      <c r="K488" s="51"/>
    </row>
    <row r="489" ht="13.5" customHeight="1">
      <c r="D489" s="12"/>
      <c r="E489" s="51"/>
      <c r="K489" s="51"/>
    </row>
    <row r="490" ht="13.5" customHeight="1">
      <c r="D490" s="12"/>
      <c r="E490" s="51"/>
      <c r="K490" s="51"/>
    </row>
    <row r="491" ht="13.5" customHeight="1">
      <c r="D491" s="12"/>
      <c r="E491" s="51"/>
      <c r="K491" s="51"/>
    </row>
    <row r="492" ht="13.5" customHeight="1">
      <c r="D492" s="12"/>
      <c r="E492" s="51"/>
      <c r="K492" s="51"/>
    </row>
    <row r="493" ht="13.5" customHeight="1">
      <c r="D493" s="12"/>
      <c r="E493" s="51"/>
      <c r="K493" s="51"/>
    </row>
    <row r="494" ht="13.5" customHeight="1">
      <c r="D494" s="12"/>
      <c r="E494" s="51"/>
      <c r="K494" s="51"/>
    </row>
    <row r="495" ht="13.5" customHeight="1">
      <c r="D495" s="12"/>
      <c r="E495" s="51"/>
      <c r="K495" s="51"/>
    </row>
    <row r="496" ht="13.5" customHeight="1">
      <c r="D496" s="12"/>
      <c r="E496" s="51"/>
      <c r="K496" s="51"/>
    </row>
    <row r="497" ht="13.5" customHeight="1">
      <c r="D497" s="12"/>
      <c r="E497" s="51"/>
      <c r="K497" s="51"/>
    </row>
    <row r="498" ht="13.5" customHeight="1">
      <c r="D498" s="12"/>
      <c r="E498" s="51"/>
      <c r="K498" s="51"/>
    </row>
    <row r="499" ht="13.5" customHeight="1">
      <c r="D499" s="12"/>
      <c r="E499" s="51"/>
      <c r="K499" s="51"/>
    </row>
    <row r="500" ht="13.5" customHeight="1">
      <c r="D500" s="12"/>
      <c r="E500" s="51"/>
      <c r="K500" s="51"/>
    </row>
    <row r="501" ht="13.5" customHeight="1">
      <c r="D501" s="12"/>
      <c r="E501" s="51"/>
      <c r="K501" s="51"/>
    </row>
    <row r="502" ht="13.5" customHeight="1">
      <c r="D502" s="12"/>
      <c r="E502" s="51"/>
      <c r="K502" s="51"/>
    </row>
    <row r="503" ht="13.5" customHeight="1">
      <c r="D503" s="12"/>
      <c r="E503" s="51"/>
      <c r="K503" s="51"/>
    </row>
    <row r="504" ht="13.5" customHeight="1">
      <c r="D504" s="12"/>
      <c r="E504" s="51"/>
      <c r="K504" s="51"/>
    </row>
    <row r="505" ht="13.5" customHeight="1">
      <c r="D505" s="12"/>
      <c r="E505" s="51"/>
      <c r="K505" s="51"/>
    </row>
    <row r="506" ht="13.5" customHeight="1">
      <c r="D506" s="12"/>
      <c r="E506" s="51"/>
      <c r="K506" s="51"/>
    </row>
    <row r="507" ht="13.5" customHeight="1">
      <c r="D507" s="12"/>
      <c r="E507" s="51"/>
      <c r="K507" s="51"/>
    </row>
    <row r="508" ht="13.5" customHeight="1">
      <c r="D508" s="12"/>
      <c r="E508" s="51"/>
      <c r="K508" s="51"/>
    </row>
    <row r="509" ht="13.5" customHeight="1">
      <c r="D509" s="12"/>
      <c r="E509" s="51"/>
      <c r="K509" s="51"/>
    </row>
    <row r="510" ht="13.5" customHeight="1">
      <c r="D510" s="12"/>
      <c r="E510" s="51"/>
      <c r="K510" s="51"/>
    </row>
    <row r="511" ht="13.5" customHeight="1">
      <c r="D511" s="12"/>
      <c r="E511" s="51"/>
      <c r="K511" s="51"/>
    </row>
    <row r="512" ht="13.5" customHeight="1">
      <c r="D512" s="12"/>
      <c r="E512" s="51"/>
      <c r="K512" s="51"/>
    </row>
    <row r="513" ht="13.5" customHeight="1">
      <c r="D513" s="12"/>
      <c r="E513" s="51"/>
      <c r="K513" s="51"/>
    </row>
    <row r="514" ht="13.5" customHeight="1">
      <c r="D514" s="12"/>
      <c r="E514" s="51"/>
      <c r="K514" s="51"/>
    </row>
    <row r="515" ht="13.5" customHeight="1">
      <c r="D515" s="12"/>
      <c r="E515" s="51"/>
      <c r="K515" s="51"/>
    </row>
    <row r="516" ht="13.5" customHeight="1">
      <c r="D516" s="12"/>
      <c r="E516" s="51"/>
      <c r="K516" s="51"/>
    </row>
    <row r="517" ht="13.5" customHeight="1">
      <c r="D517" s="12"/>
      <c r="E517" s="51"/>
      <c r="K517" s="51"/>
    </row>
    <row r="518" ht="13.5" customHeight="1">
      <c r="D518" s="12"/>
      <c r="E518" s="51"/>
      <c r="K518" s="51"/>
    </row>
    <row r="519" ht="13.5" customHeight="1">
      <c r="D519" s="12"/>
      <c r="E519" s="51"/>
      <c r="K519" s="51"/>
    </row>
    <row r="520" ht="13.5" customHeight="1">
      <c r="D520" s="12"/>
      <c r="E520" s="51"/>
      <c r="K520" s="51"/>
    </row>
    <row r="521" ht="13.5" customHeight="1">
      <c r="D521" s="12"/>
      <c r="E521" s="51"/>
      <c r="K521" s="51"/>
    </row>
    <row r="522" ht="13.5" customHeight="1">
      <c r="D522" s="12"/>
      <c r="E522" s="51"/>
      <c r="K522" s="51"/>
    </row>
    <row r="523" ht="13.5" customHeight="1">
      <c r="D523" s="12"/>
      <c r="E523" s="51"/>
      <c r="K523" s="51"/>
    </row>
    <row r="524" ht="13.5" customHeight="1">
      <c r="D524" s="12"/>
      <c r="E524" s="51"/>
      <c r="K524" s="51"/>
    </row>
    <row r="525" ht="13.5" customHeight="1">
      <c r="D525" s="12"/>
      <c r="E525" s="51"/>
      <c r="K525" s="51"/>
    </row>
    <row r="526" ht="13.5" customHeight="1">
      <c r="D526" s="12"/>
      <c r="E526" s="51"/>
      <c r="K526" s="51"/>
    </row>
    <row r="527" ht="13.5" customHeight="1">
      <c r="D527" s="12"/>
      <c r="E527" s="51"/>
      <c r="K527" s="51"/>
    </row>
    <row r="528" ht="13.5" customHeight="1">
      <c r="D528" s="12"/>
      <c r="E528" s="51"/>
      <c r="K528" s="51"/>
    </row>
    <row r="529" ht="13.5" customHeight="1">
      <c r="D529" s="12"/>
      <c r="E529" s="51"/>
      <c r="K529" s="51"/>
    </row>
    <row r="530" ht="13.5" customHeight="1">
      <c r="D530" s="12"/>
      <c r="E530" s="51"/>
      <c r="K530" s="51"/>
    </row>
    <row r="531" ht="13.5" customHeight="1">
      <c r="D531" s="12"/>
      <c r="E531" s="51"/>
      <c r="K531" s="51"/>
    </row>
    <row r="532" ht="13.5" customHeight="1">
      <c r="D532" s="12"/>
      <c r="E532" s="51"/>
      <c r="K532" s="51"/>
    </row>
    <row r="533" ht="13.5" customHeight="1">
      <c r="D533" s="12"/>
      <c r="E533" s="51"/>
      <c r="K533" s="51"/>
    </row>
    <row r="534" ht="13.5" customHeight="1">
      <c r="D534" s="12"/>
      <c r="E534" s="51"/>
      <c r="K534" s="51"/>
    </row>
    <row r="535" ht="13.5" customHeight="1">
      <c r="D535" s="12"/>
      <c r="E535" s="51"/>
      <c r="K535" s="51"/>
    </row>
    <row r="536" ht="13.5" customHeight="1">
      <c r="D536" s="12"/>
      <c r="E536" s="51"/>
      <c r="K536" s="51"/>
    </row>
    <row r="537" ht="13.5" customHeight="1">
      <c r="D537" s="12"/>
      <c r="E537" s="51"/>
      <c r="K537" s="51"/>
    </row>
    <row r="538" ht="13.5" customHeight="1">
      <c r="D538" s="12"/>
      <c r="E538" s="51"/>
      <c r="K538" s="51"/>
    </row>
    <row r="539" ht="13.5" customHeight="1">
      <c r="D539" s="12"/>
      <c r="E539" s="51"/>
      <c r="K539" s="51"/>
    </row>
    <row r="540" ht="13.5" customHeight="1">
      <c r="D540" s="12"/>
      <c r="E540" s="51"/>
      <c r="K540" s="51"/>
    </row>
    <row r="541" ht="13.5" customHeight="1">
      <c r="D541" s="12"/>
      <c r="E541" s="51"/>
      <c r="K541" s="51"/>
    </row>
    <row r="542" ht="13.5" customHeight="1">
      <c r="D542" s="12"/>
      <c r="E542" s="51"/>
      <c r="K542" s="51"/>
    </row>
    <row r="543" ht="13.5" customHeight="1">
      <c r="D543" s="12"/>
      <c r="E543" s="51"/>
      <c r="K543" s="51"/>
    </row>
    <row r="544" ht="13.5" customHeight="1">
      <c r="D544" s="12"/>
      <c r="E544" s="51"/>
      <c r="K544" s="51"/>
    </row>
    <row r="545" ht="13.5" customHeight="1">
      <c r="D545" s="12"/>
      <c r="E545" s="51"/>
      <c r="K545" s="51"/>
    </row>
    <row r="546" ht="13.5" customHeight="1">
      <c r="D546" s="12"/>
      <c r="E546" s="51"/>
      <c r="K546" s="51"/>
    </row>
    <row r="547" ht="13.5" customHeight="1">
      <c r="D547" s="12"/>
      <c r="E547" s="51"/>
      <c r="K547" s="51"/>
    </row>
    <row r="548" ht="13.5" customHeight="1">
      <c r="D548" s="12"/>
      <c r="E548" s="51"/>
      <c r="K548" s="51"/>
    </row>
    <row r="549" ht="13.5" customHeight="1">
      <c r="D549" s="12"/>
      <c r="E549" s="51"/>
      <c r="K549" s="51"/>
    </row>
    <row r="550" ht="13.5" customHeight="1">
      <c r="D550" s="12"/>
      <c r="E550" s="51"/>
      <c r="K550" s="51"/>
    </row>
    <row r="551" ht="13.5" customHeight="1">
      <c r="D551" s="12"/>
      <c r="E551" s="51"/>
      <c r="K551" s="51"/>
    </row>
    <row r="552" ht="13.5" customHeight="1">
      <c r="D552" s="12"/>
      <c r="E552" s="51"/>
      <c r="K552" s="51"/>
    </row>
    <row r="553" ht="13.5" customHeight="1">
      <c r="D553" s="12"/>
      <c r="E553" s="51"/>
      <c r="K553" s="51"/>
    </row>
    <row r="554" ht="13.5" customHeight="1">
      <c r="D554" s="12"/>
      <c r="E554" s="51"/>
      <c r="K554" s="51"/>
    </row>
    <row r="555" ht="13.5" customHeight="1">
      <c r="D555" s="12"/>
      <c r="E555" s="51"/>
      <c r="K555" s="51"/>
    </row>
    <row r="556" ht="13.5" customHeight="1">
      <c r="D556" s="12"/>
      <c r="E556" s="51"/>
      <c r="K556" s="51"/>
    </row>
    <row r="557" ht="13.5" customHeight="1">
      <c r="D557" s="12"/>
      <c r="E557" s="51"/>
      <c r="K557" s="51"/>
    </row>
    <row r="558" ht="13.5" customHeight="1">
      <c r="D558" s="12"/>
      <c r="E558" s="51"/>
      <c r="K558" s="51"/>
    </row>
    <row r="559" ht="13.5" customHeight="1">
      <c r="D559" s="12"/>
      <c r="E559" s="51"/>
      <c r="K559" s="51"/>
    </row>
    <row r="560" ht="13.5" customHeight="1">
      <c r="D560" s="12"/>
      <c r="E560" s="51"/>
      <c r="K560" s="51"/>
    </row>
    <row r="561" ht="13.5" customHeight="1">
      <c r="D561" s="12"/>
      <c r="E561" s="51"/>
      <c r="K561" s="51"/>
    </row>
    <row r="562" ht="13.5" customHeight="1">
      <c r="D562" s="12"/>
      <c r="E562" s="51"/>
      <c r="K562" s="51"/>
    </row>
    <row r="563" ht="13.5" customHeight="1">
      <c r="D563" s="12"/>
      <c r="E563" s="51"/>
      <c r="K563" s="51"/>
    </row>
    <row r="564" ht="13.5" customHeight="1">
      <c r="D564" s="12"/>
      <c r="E564" s="51"/>
      <c r="K564" s="51"/>
    </row>
    <row r="565" ht="13.5" customHeight="1">
      <c r="D565" s="12"/>
      <c r="E565" s="51"/>
      <c r="K565" s="51"/>
    </row>
    <row r="566" ht="13.5" customHeight="1">
      <c r="D566" s="12"/>
      <c r="E566" s="51"/>
      <c r="K566" s="51"/>
    </row>
    <row r="567" ht="13.5" customHeight="1">
      <c r="D567" s="12"/>
      <c r="E567" s="51"/>
      <c r="K567" s="51"/>
    </row>
    <row r="568" ht="13.5" customHeight="1">
      <c r="D568" s="12"/>
      <c r="E568" s="51"/>
      <c r="K568" s="51"/>
    </row>
    <row r="569" ht="13.5" customHeight="1">
      <c r="D569" s="12"/>
      <c r="E569" s="51"/>
      <c r="K569" s="51"/>
    </row>
    <row r="570" ht="13.5" customHeight="1">
      <c r="D570" s="12"/>
      <c r="E570" s="51"/>
      <c r="K570" s="51"/>
    </row>
    <row r="571" ht="13.5" customHeight="1">
      <c r="D571" s="12"/>
      <c r="E571" s="51"/>
      <c r="K571" s="51"/>
    </row>
    <row r="572" ht="13.5" customHeight="1">
      <c r="D572" s="12"/>
      <c r="E572" s="51"/>
      <c r="K572" s="51"/>
    </row>
    <row r="573" ht="13.5" customHeight="1">
      <c r="D573" s="12"/>
      <c r="E573" s="51"/>
      <c r="K573" s="51"/>
    </row>
    <row r="574" ht="13.5" customHeight="1">
      <c r="D574" s="12"/>
      <c r="E574" s="51"/>
      <c r="K574" s="51"/>
    </row>
    <row r="575" ht="13.5" customHeight="1">
      <c r="D575" s="12"/>
      <c r="E575" s="51"/>
      <c r="K575" s="51"/>
    </row>
    <row r="576" ht="13.5" customHeight="1">
      <c r="D576" s="12"/>
      <c r="E576" s="51"/>
      <c r="K576" s="51"/>
    </row>
    <row r="577" ht="13.5" customHeight="1">
      <c r="D577" s="12"/>
      <c r="E577" s="51"/>
      <c r="K577" s="51"/>
    </row>
    <row r="578" ht="13.5" customHeight="1">
      <c r="D578" s="12"/>
      <c r="E578" s="51"/>
      <c r="K578" s="51"/>
    </row>
    <row r="579" ht="13.5" customHeight="1">
      <c r="D579" s="12"/>
      <c r="E579" s="51"/>
      <c r="K579" s="51"/>
    </row>
    <row r="580" ht="13.5" customHeight="1">
      <c r="D580" s="12"/>
      <c r="E580" s="51"/>
      <c r="K580" s="51"/>
    </row>
    <row r="581" ht="13.5" customHeight="1">
      <c r="D581" s="12"/>
      <c r="E581" s="51"/>
      <c r="K581" s="51"/>
    </row>
    <row r="582" ht="13.5" customHeight="1">
      <c r="D582" s="12"/>
      <c r="E582" s="51"/>
      <c r="K582" s="51"/>
    </row>
    <row r="583" ht="13.5" customHeight="1">
      <c r="D583" s="12"/>
      <c r="E583" s="51"/>
      <c r="K583" s="51"/>
    </row>
    <row r="584" ht="13.5" customHeight="1">
      <c r="D584" s="12"/>
      <c r="E584" s="51"/>
      <c r="K584" s="51"/>
    </row>
    <row r="585" ht="13.5" customHeight="1">
      <c r="D585" s="12"/>
      <c r="E585" s="51"/>
      <c r="K585" s="51"/>
    </row>
    <row r="586" ht="13.5" customHeight="1">
      <c r="D586" s="12"/>
      <c r="E586" s="51"/>
      <c r="K586" s="51"/>
    </row>
    <row r="587" ht="13.5" customHeight="1">
      <c r="D587" s="12"/>
      <c r="E587" s="51"/>
      <c r="K587" s="51"/>
    </row>
    <row r="588" ht="13.5" customHeight="1">
      <c r="D588" s="12"/>
      <c r="E588" s="51"/>
      <c r="K588" s="51"/>
    </row>
    <row r="589" ht="13.5" customHeight="1">
      <c r="D589" s="12"/>
      <c r="E589" s="51"/>
      <c r="K589" s="51"/>
    </row>
    <row r="590" ht="13.5" customHeight="1">
      <c r="D590" s="12"/>
      <c r="E590" s="51"/>
      <c r="K590" s="51"/>
    </row>
    <row r="591" ht="13.5" customHeight="1">
      <c r="D591" s="12"/>
      <c r="E591" s="51"/>
      <c r="K591" s="51"/>
    </row>
    <row r="592" ht="13.5" customHeight="1">
      <c r="D592" s="12"/>
      <c r="E592" s="51"/>
      <c r="K592" s="51"/>
    </row>
    <row r="593" ht="13.5" customHeight="1">
      <c r="D593" s="12"/>
      <c r="E593" s="51"/>
      <c r="K593" s="51"/>
    </row>
    <row r="594" ht="13.5" customHeight="1">
      <c r="D594" s="12"/>
      <c r="E594" s="51"/>
      <c r="K594" s="51"/>
    </row>
    <row r="595" ht="13.5" customHeight="1">
      <c r="D595" s="12"/>
      <c r="E595" s="51"/>
      <c r="K595" s="51"/>
    </row>
    <row r="596" ht="13.5" customHeight="1">
      <c r="D596" s="12"/>
      <c r="E596" s="51"/>
      <c r="K596" s="51"/>
    </row>
    <row r="597" ht="13.5" customHeight="1">
      <c r="D597" s="12"/>
      <c r="E597" s="51"/>
      <c r="K597" s="51"/>
    </row>
    <row r="598" ht="13.5" customHeight="1">
      <c r="D598" s="12"/>
      <c r="E598" s="51"/>
      <c r="K598" s="51"/>
    </row>
    <row r="599" ht="13.5" customHeight="1">
      <c r="D599" s="12"/>
      <c r="E599" s="51"/>
      <c r="K599" s="51"/>
    </row>
    <row r="600" ht="13.5" customHeight="1">
      <c r="D600" s="12"/>
      <c r="E600" s="51"/>
      <c r="K600" s="51"/>
    </row>
    <row r="601" ht="13.5" customHeight="1">
      <c r="D601" s="12"/>
      <c r="E601" s="51"/>
      <c r="K601" s="51"/>
    </row>
    <row r="602" ht="13.5" customHeight="1">
      <c r="D602" s="12"/>
      <c r="E602" s="51"/>
      <c r="K602" s="51"/>
    </row>
    <row r="603" ht="13.5" customHeight="1">
      <c r="D603" s="12"/>
      <c r="E603" s="51"/>
      <c r="K603" s="51"/>
    </row>
    <row r="604" ht="13.5" customHeight="1">
      <c r="D604" s="12"/>
      <c r="E604" s="51"/>
      <c r="K604" s="51"/>
    </row>
    <row r="605" ht="13.5" customHeight="1">
      <c r="D605" s="12"/>
      <c r="E605" s="51"/>
      <c r="K605" s="51"/>
    </row>
    <row r="606" ht="13.5" customHeight="1">
      <c r="D606" s="12"/>
      <c r="E606" s="51"/>
      <c r="K606" s="51"/>
    </row>
    <row r="607" ht="13.5" customHeight="1">
      <c r="D607" s="12"/>
      <c r="E607" s="51"/>
      <c r="K607" s="51"/>
    </row>
    <row r="608" ht="13.5" customHeight="1">
      <c r="D608" s="12"/>
      <c r="E608" s="51"/>
      <c r="K608" s="51"/>
    </row>
    <row r="609" ht="13.5" customHeight="1">
      <c r="D609" s="12"/>
      <c r="E609" s="51"/>
      <c r="K609" s="51"/>
    </row>
    <row r="610" ht="13.5" customHeight="1">
      <c r="D610" s="12"/>
      <c r="E610" s="51"/>
      <c r="K610" s="51"/>
    </row>
    <row r="611" ht="13.5" customHeight="1">
      <c r="D611" s="12"/>
      <c r="E611" s="51"/>
      <c r="K611" s="51"/>
    </row>
    <row r="612" ht="13.5" customHeight="1">
      <c r="D612" s="12"/>
      <c r="E612" s="51"/>
      <c r="K612" s="51"/>
    </row>
    <row r="613" ht="13.5" customHeight="1">
      <c r="D613" s="12"/>
      <c r="E613" s="51"/>
      <c r="K613" s="51"/>
    </row>
    <row r="614" ht="13.5" customHeight="1">
      <c r="D614" s="12"/>
      <c r="E614" s="51"/>
      <c r="K614" s="51"/>
    </row>
    <row r="615" ht="13.5" customHeight="1">
      <c r="D615" s="12"/>
      <c r="E615" s="51"/>
      <c r="K615" s="51"/>
    </row>
    <row r="616" ht="13.5" customHeight="1">
      <c r="D616" s="12"/>
      <c r="E616" s="51"/>
      <c r="K616" s="51"/>
    </row>
    <row r="617" ht="13.5" customHeight="1">
      <c r="D617" s="12"/>
      <c r="E617" s="51"/>
      <c r="K617" s="51"/>
    </row>
    <row r="618" ht="13.5" customHeight="1">
      <c r="D618" s="12"/>
      <c r="E618" s="51"/>
      <c r="K618" s="51"/>
    </row>
    <row r="619" ht="13.5" customHeight="1">
      <c r="D619" s="12"/>
      <c r="E619" s="51"/>
      <c r="K619" s="51"/>
    </row>
    <row r="620" ht="13.5" customHeight="1">
      <c r="D620" s="12"/>
      <c r="E620" s="51"/>
      <c r="K620" s="51"/>
    </row>
    <row r="621" ht="13.5" customHeight="1">
      <c r="D621" s="12"/>
      <c r="E621" s="51"/>
      <c r="K621" s="51"/>
    </row>
    <row r="622" ht="13.5" customHeight="1">
      <c r="D622" s="12"/>
      <c r="E622" s="51"/>
      <c r="K622" s="51"/>
    </row>
    <row r="623" ht="13.5" customHeight="1">
      <c r="D623" s="12"/>
      <c r="E623" s="51"/>
      <c r="K623" s="51"/>
    </row>
    <row r="624" ht="13.5" customHeight="1">
      <c r="D624" s="12"/>
      <c r="E624" s="51"/>
      <c r="K624" s="51"/>
    </row>
    <row r="625" ht="13.5" customHeight="1">
      <c r="D625" s="12"/>
      <c r="E625" s="51"/>
      <c r="K625" s="51"/>
    </row>
    <row r="626" ht="13.5" customHeight="1">
      <c r="D626" s="12"/>
      <c r="E626" s="51"/>
      <c r="K626" s="51"/>
    </row>
    <row r="627" ht="13.5" customHeight="1">
      <c r="D627" s="12"/>
      <c r="E627" s="51"/>
      <c r="K627" s="51"/>
    </row>
    <row r="628" ht="13.5" customHeight="1">
      <c r="D628" s="12"/>
      <c r="E628" s="51"/>
      <c r="K628" s="51"/>
    </row>
    <row r="629" ht="13.5" customHeight="1">
      <c r="D629" s="12"/>
      <c r="E629" s="51"/>
      <c r="K629" s="51"/>
    </row>
    <row r="630" ht="13.5" customHeight="1">
      <c r="D630" s="12"/>
      <c r="E630" s="51"/>
      <c r="K630" s="51"/>
    </row>
    <row r="631" ht="13.5" customHeight="1">
      <c r="D631" s="12"/>
      <c r="E631" s="51"/>
      <c r="K631" s="51"/>
    </row>
    <row r="632" ht="13.5" customHeight="1">
      <c r="D632" s="12"/>
      <c r="E632" s="51"/>
      <c r="K632" s="51"/>
    </row>
    <row r="633" ht="13.5" customHeight="1">
      <c r="D633" s="12"/>
      <c r="E633" s="51"/>
      <c r="K633" s="51"/>
    </row>
    <row r="634" ht="13.5" customHeight="1">
      <c r="D634" s="12"/>
      <c r="E634" s="51"/>
      <c r="K634" s="51"/>
    </row>
    <row r="635" ht="13.5" customHeight="1">
      <c r="D635" s="12"/>
      <c r="E635" s="51"/>
      <c r="K635" s="51"/>
    </row>
    <row r="636" ht="13.5" customHeight="1">
      <c r="D636" s="12"/>
      <c r="E636" s="51"/>
      <c r="K636" s="51"/>
    </row>
    <row r="637" ht="13.5" customHeight="1">
      <c r="D637" s="12"/>
      <c r="E637" s="51"/>
      <c r="K637" s="51"/>
    </row>
    <row r="638" ht="13.5" customHeight="1">
      <c r="D638" s="12"/>
      <c r="E638" s="51"/>
      <c r="K638" s="51"/>
    </row>
    <row r="639" ht="13.5" customHeight="1">
      <c r="D639" s="12"/>
      <c r="E639" s="51"/>
      <c r="K639" s="51"/>
    </row>
    <row r="640" ht="13.5" customHeight="1">
      <c r="D640" s="12"/>
      <c r="E640" s="51"/>
      <c r="K640" s="51"/>
    </row>
    <row r="641" ht="13.5" customHeight="1">
      <c r="D641" s="12"/>
      <c r="E641" s="51"/>
      <c r="K641" s="51"/>
    </row>
    <row r="642" ht="13.5" customHeight="1">
      <c r="D642" s="12"/>
      <c r="E642" s="51"/>
      <c r="K642" s="51"/>
    </row>
    <row r="643" ht="13.5" customHeight="1">
      <c r="D643" s="12"/>
      <c r="E643" s="51"/>
      <c r="K643" s="51"/>
    </row>
    <row r="644" ht="13.5" customHeight="1">
      <c r="D644" s="12"/>
      <c r="E644" s="51"/>
      <c r="K644" s="51"/>
    </row>
    <row r="645" ht="13.5" customHeight="1">
      <c r="D645" s="12"/>
      <c r="E645" s="51"/>
      <c r="K645" s="51"/>
    </row>
    <row r="646" ht="13.5" customHeight="1">
      <c r="D646" s="12"/>
      <c r="E646" s="51"/>
      <c r="K646" s="51"/>
    </row>
    <row r="647" ht="13.5" customHeight="1">
      <c r="D647" s="12"/>
      <c r="E647" s="51"/>
      <c r="K647" s="51"/>
    </row>
    <row r="648" ht="13.5" customHeight="1">
      <c r="D648" s="12"/>
      <c r="E648" s="51"/>
      <c r="K648" s="51"/>
    </row>
    <row r="649" ht="13.5" customHeight="1">
      <c r="D649" s="12"/>
      <c r="E649" s="51"/>
      <c r="K649" s="51"/>
    </row>
    <row r="650" ht="13.5" customHeight="1">
      <c r="D650" s="12"/>
      <c r="E650" s="51"/>
      <c r="K650" s="51"/>
    </row>
    <row r="651" ht="13.5" customHeight="1">
      <c r="D651" s="12"/>
      <c r="E651" s="51"/>
      <c r="K651" s="51"/>
    </row>
    <row r="652" ht="13.5" customHeight="1">
      <c r="D652" s="12"/>
      <c r="E652" s="51"/>
      <c r="K652" s="51"/>
    </row>
    <row r="653" ht="13.5" customHeight="1">
      <c r="D653" s="12"/>
      <c r="E653" s="51"/>
      <c r="K653" s="51"/>
    </row>
    <row r="654" ht="13.5" customHeight="1">
      <c r="D654" s="12"/>
      <c r="E654" s="51"/>
      <c r="K654" s="51"/>
    </row>
    <row r="655" ht="13.5" customHeight="1">
      <c r="D655" s="12"/>
      <c r="E655" s="51"/>
      <c r="K655" s="51"/>
    </row>
    <row r="656" ht="13.5" customHeight="1">
      <c r="D656" s="12"/>
      <c r="E656" s="51"/>
      <c r="K656" s="51"/>
    </row>
    <row r="657" ht="13.5" customHeight="1">
      <c r="D657" s="12"/>
      <c r="E657" s="51"/>
      <c r="K657" s="51"/>
    </row>
    <row r="658" ht="13.5" customHeight="1">
      <c r="D658" s="12"/>
      <c r="E658" s="51"/>
      <c r="K658" s="51"/>
    </row>
    <row r="659" ht="13.5" customHeight="1">
      <c r="D659" s="12"/>
      <c r="E659" s="51"/>
      <c r="K659" s="51"/>
    </row>
    <row r="660" ht="13.5" customHeight="1">
      <c r="D660" s="12"/>
      <c r="E660" s="51"/>
      <c r="K660" s="51"/>
    </row>
    <row r="661" ht="13.5" customHeight="1">
      <c r="D661" s="12"/>
      <c r="E661" s="51"/>
      <c r="K661" s="51"/>
    </row>
    <row r="662" ht="13.5" customHeight="1">
      <c r="D662" s="12"/>
      <c r="E662" s="51"/>
      <c r="K662" s="51"/>
    </row>
    <row r="663" ht="13.5" customHeight="1">
      <c r="D663" s="12"/>
      <c r="E663" s="51"/>
      <c r="K663" s="51"/>
    </row>
    <row r="664" ht="13.5" customHeight="1">
      <c r="D664" s="12"/>
      <c r="E664" s="51"/>
      <c r="K664" s="51"/>
    </row>
    <row r="665" ht="13.5" customHeight="1">
      <c r="D665" s="12"/>
      <c r="E665" s="51"/>
      <c r="K665" s="51"/>
    </row>
    <row r="666" ht="13.5" customHeight="1">
      <c r="D666" s="12"/>
      <c r="E666" s="51"/>
      <c r="K666" s="51"/>
    </row>
    <row r="667" ht="13.5" customHeight="1">
      <c r="D667" s="12"/>
      <c r="E667" s="51"/>
      <c r="K667" s="51"/>
    </row>
    <row r="668" ht="13.5" customHeight="1">
      <c r="D668" s="12"/>
      <c r="E668" s="51"/>
      <c r="K668" s="51"/>
    </row>
    <row r="669" ht="13.5" customHeight="1">
      <c r="D669" s="12"/>
      <c r="E669" s="51"/>
      <c r="K669" s="51"/>
    </row>
    <row r="670" ht="13.5" customHeight="1">
      <c r="D670" s="12"/>
      <c r="E670" s="51"/>
      <c r="K670" s="51"/>
    </row>
    <row r="671" ht="13.5" customHeight="1">
      <c r="D671" s="12"/>
      <c r="E671" s="51"/>
      <c r="K671" s="51"/>
    </row>
    <row r="672" ht="13.5" customHeight="1">
      <c r="D672" s="12"/>
      <c r="E672" s="51"/>
      <c r="K672" s="51"/>
    </row>
    <row r="673" ht="13.5" customHeight="1">
      <c r="D673" s="12"/>
      <c r="E673" s="51"/>
      <c r="K673" s="51"/>
    </row>
    <row r="674" ht="13.5" customHeight="1">
      <c r="D674" s="12"/>
      <c r="E674" s="51"/>
      <c r="K674" s="51"/>
    </row>
    <row r="675" ht="13.5" customHeight="1">
      <c r="D675" s="12"/>
      <c r="E675" s="51"/>
      <c r="K675" s="51"/>
    </row>
    <row r="676" ht="13.5" customHeight="1">
      <c r="D676" s="12"/>
      <c r="E676" s="51"/>
      <c r="K676" s="51"/>
    </row>
    <row r="677" ht="13.5" customHeight="1">
      <c r="D677" s="12"/>
      <c r="E677" s="51"/>
      <c r="K677" s="51"/>
    </row>
    <row r="678" ht="13.5" customHeight="1">
      <c r="D678" s="12"/>
      <c r="E678" s="51"/>
      <c r="K678" s="51"/>
    </row>
    <row r="679" ht="13.5" customHeight="1">
      <c r="D679" s="12"/>
      <c r="E679" s="51"/>
      <c r="K679" s="51"/>
    </row>
    <row r="680" ht="13.5" customHeight="1">
      <c r="D680" s="12"/>
      <c r="E680" s="51"/>
      <c r="K680" s="51"/>
    </row>
    <row r="681" ht="13.5" customHeight="1">
      <c r="D681" s="12"/>
      <c r="E681" s="51"/>
      <c r="K681" s="51"/>
    </row>
    <row r="682" ht="13.5" customHeight="1">
      <c r="D682" s="12"/>
      <c r="E682" s="51"/>
      <c r="K682" s="51"/>
    </row>
    <row r="683" ht="13.5" customHeight="1">
      <c r="D683" s="12"/>
      <c r="E683" s="51"/>
      <c r="K683" s="51"/>
    </row>
    <row r="684" ht="13.5" customHeight="1">
      <c r="D684" s="12"/>
      <c r="E684" s="51"/>
      <c r="K684" s="51"/>
    </row>
    <row r="685" ht="13.5" customHeight="1">
      <c r="D685" s="12"/>
      <c r="E685" s="51"/>
      <c r="K685" s="51"/>
    </row>
    <row r="686" ht="13.5" customHeight="1">
      <c r="D686" s="12"/>
      <c r="E686" s="51"/>
      <c r="K686" s="51"/>
    </row>
    <row r="687" ht="13.5" customHeight="1">
      <c r="D687" s="12"/>
      <c r="E687" s="51"/>
      <c r="K687" s="51"/>
    </row>
    <row r="688" ht="13.5" customHeight="1">
      <c r="D688" s="12"/>
      <c r="E688" s="51"/>
      <c r="K688" s="51"/>
    </row>
    <row r="689" ht="13.5" customHeight="1">
      <c r="D689" s="12"/>
      <c r="E689" s="51"/>
      <c r="K689" s="51"/>
    </row>
    <row r="690" ht="13.5" customHeight="1">
      <c r="D690" s="12"/>
      <c r="E690" s="51"/>
      <c r="K690" s="51"/>
    </row>
    <row r="691" ht="13.5" customHeight="1">
      <c r="D691" s="12"/>
      <c r="E691" s="51"/>
      <c r="K691" s="51"/>
    </row>
    <row r="692" ht="13.5" customHeight="1">
      <c r="D692" s="12"/>
      <c r="E692" s="51"/>
      <c r="K692" s="51"/>
    </row>
    <row r="693" ht="13.5" customHeight="1">
      <c r="D693" s="12"/>
      <c r="E693" s="51"/>
      <c r="K693" s="51"/>
    </row>
    <row r="694" ht="13.5" customHeight="1">
      <c r="D694" s="12"/>
      <c r="E694" s="51"/>
      <c r="K694" s="51"/>
    </row>
    <row r="695" ht="13.5" customHeight="1">
      <c r="D695" s="12"/>
      <c r="E695" s="51"/>
      <c r="K695" s="51"/>
    </row>
    <row r="696" ht="13.5" customHeight="1">
      <c r="D696" s="12"/>
      <c r="E696" s="51"/>
      <c r="K696" s="51"/>
    </row>
    <row r="697" ht="13.5" customHeight="1">
      <c r="D697" s="12"/>
      <c r="E697" s="51"/>
      <c r="K697" s="51"/>
    </row>
    <row r="698" ht="13.5" customHeight="1">
      <c r="D698" s="12"/>
      <c r="E698" s="51"/>
      <c r="K698" s="51"/>
    </row>
    <row r="699" ht="13.5" customHeight="1">
      <c r="D699" s="12"/>
      <c r="E699" s="51"/>
      <c r="K699" s="51"/>
    </row>
    <row r="700" ht="13.5" customHeight="1">
      <c r="D700" s="12"/>
      <c r="E700" s="51"/>
      <c r="K700" s="51"/>
    </row>
    <row r="701" ht="13.5" customHeight="1">
      <c r="D701" s="12"/>
      <c r="E701" s="51"/>
      <c r="K701" s="51"/>
    </row>
    <row r="702" ht="13.5" customHeight="1">
      <c r="D702" s="12"/>
      <c r="E702" s="51"/>
      <c r="K702" s="51"/>
    </row>
    <row r="703" ht="13.5" customHeight="1">
      <c r="D703" s="12"/>
      <c r="E703" s="51"/>
      <c r="K703" s="51"/>
    </row>
    <row r="704" ht="13.5" customHeight="1">
      <c r="D704" s="12"/>
      <c r="E704" s="51"/>
      <c r="K704" s="51"/>
    </row>
    <row r="705" ht="13.5" customHeight="1">
      <c r="D705" s="12"/>
      <c r="E705" s="51"/>
      <c r="K705" s="51"/>
    </row>
    <row r="706" ht="13.5" customHeight="1">
      <c r="D706" s="12"/>
      <c r="E706" s="51"/>
      <c r="K706" s="51"/>
    </row>
    <row r="707" ht="13.5" customHeight="1">
      <c r="D707" s="12"/>
      <c r="E707" s="51"/>
      <c r="K707" s="51"/>
    </row>
    <row r="708" ht="13.5" customHeight="1">
      <c r="D708" s="12"/>
      <c r="E708" s="51"/>
      <c r="K708" s="51"/>
    </row>
    <row r="709" ht="13.5" customHeight="1">
      <c r="D709" s="12"/>
      <c r="E709" s="51"/>
      <c r="K709" s="51"/>
    </row>
    <row r="710" ht="13.5" customHeight="1">
      <c r="D710" s="12"/>
      <c r="E710" s="51"/>
      <c r="K710" s="51"/>
    </row>
    <row r="711" ht="13.5" customHeight="1">
      <c r="D711" s="12"/>
      <c r="E711" s="51"/>
      <c r="K711" s="51"/>
    </row>
    <row r="712" ht="13.5" customHeight="1">
      <c r="D712" s="12"/>
      <c r="E712" s="51"/>
      <c r="K712" s="51"/>
    </row>
    <row r="713" ht="13.5" customHeight="1">
      <c r="D713" s="12"/>
      <c r="E713" s="51"/>
      <c r="K713" s="51"/>
    </row>
    <row r="714" ht="13.5" customHeight="1">
      <c r="D714" s="12"/>
      <c r="E714" s="51"/>
      <c r="K714" s="51"/>
    </row>
    <row r="715" ht="13.5" customHeight="1">
      <c r="D715" s="12"/>
      <c r="E715" s="51"/>
      <c r="K715" s="51"/>
    </row>
    <row r="716" ht="13.5" customHeight="1">
      <c r="D716" s="12"/>
      <c r="E716" s="51"/>
      <c r="K716" s="51"/>
    </row>
    <row r="717" ht="13.5" customHeight="1">
      <c r="D717" s="12"/>
      <c r="E717" s="51"/>
      <c r="K717" s="51"/>
    </row>
    <row r="718" ht="13.5" customHeight="1">
      <c r="D718" s="12"/>
      <c r="E718" s="51"/>
      <c r="K718" s="51"/>
    </row>
    <row r="719" ht="13.5" customHeight="1">
      <c r="D719" s="12"/>
      <c r="E719" s="51"/>
      <c r="K719" s="51"/>
    </row>
    <row r="720" ht="13.5" customHeight="1">
      <c r="D720" s="12"/>
      <c r="E720" s="51"/>
      <c r="K720" s="51"/>
    </row>
    <row r="721" ht="13.5" customHeight="1">
      <c r="D721" s="12"/>
      <c r="E721" s="51"/>
      <c r="K721" s="51"/>
    </row>
    <row r="722" ht="13.5" customHeight="1">
      <c r="D722" s="12"/>
      <c r="E722" s="51"/>
      <c r="K722" s="51"/>
    </row>
    <row r="723" ht="13.5" customHeight="1">
      <c r="D723" s="12"/>
      <c r="E723" s="51"/>
      <c r="K723" s="51"/>
    </row>
    <row r="724" ht="13.5" customHeight="1">
      <c r="D724" s="12"/>
      <c r="E724" s="51"/>
      <c r="K724" s="51"/>
    </row>
    <row r="725" ht="13.5" customHeight="1">
      <c r="D725" s="12"/>
      <c r="E725" s="51"/>
      <c r="K725" s="51"/>
    </row>
    <row r="726" ht="13.5" customHeight="1">
      <c r="D726" s="12"/>
      <c r="E726" s="51"/>
      <c r="K726" s="51"/>
    </row>
    <row r="727" ht="13.5" customHeight="1">
      <c r="D727" s="12"/>
      <c r="E727" s="51"/>
      <c r="K727" s="51"/>
    </row>
    <row r="728" ht="13.5" customHeight="1">
      <c r="D728" s="12"/>
      <c r="E728" s="51"/>
      <c r="K728" s="51"/>
    </row>
    <row r="729" ht="13.5" customHeight="1">
      <c r="D729" s="12"/>
      <c r="E729" s="51"/>
      <c r="K729" s="51"/>
    </row>
    <row r="730" ht="13.5" customHeight="1">
      <c r="D730" s="12"/>
      <c r="E730" s="51"/>
      <c r="K730" s="51"/>
    </row>
    <row r="731" ht="13.5" customHeight="1">
      <c r="D731" s="12"/>
      <c r="E731" s="51"/>
      <c r="K731" s="51"/>
    </row>
    <row r="732" ht="13.5" customHeight="1">
      <c r="D732" s="12"/>
      <c r="E732" s="51"/>
      <c r="K732" s="51"/>
    </row>
    <row r="733" ht="13.5" customHeight="1">
      <c r="D733" s="12"/>
      <c r="E733" s="51"/>
      <c r="K733" s="51"/>
    </row>
    <row r="734" ht="13.5" customHeight="1">
      <c r="D734" s="12"/>
      <c r="E734" s="51"/>
      <c r="K734" s="51"/>
    </row>
    <row r="735" ht="13.5" customHeight="1">
      <c r="D735" s="12"/>
      <c r="E735" s="51"/>
      <c r="K735" s="51"/>
    </row>
    <row r="736" ht="13.5" customHeight="1">
      <c r="D736" s="12"/>
      <c r="E736" s="51"/>
      <c r="K736" s="51"/>
    </row>
    <row r="737" ht="13.5" customHeight="1">
      <c r="D737" s="12"/>
      <c r="E737" s="51"/>
      <c r="K737" s="51"/>
    </row>
    <row r="738" ht="13.5" customHeight="1">
      <c r="D738" s="12"/>
      <c r="E738" s="51"/>
      <c r="K738" s="51"/>
    </row>
    <row r="739" ht="13.5" customHeight="1">
      <c r="D739" s="12"/>
      <c r="E739" s="51"/>
      <c r="K739" s="51"/>
    </row>
    <row r="740" ht="13.5" customHeight="1">
      <c r="D740" s="12"/>
      <c r="E740" s="51"/>
      <c r="K740" s="51"/>
    </row>
    <row r="741" ht="13.5" customHeight="1">
      <c r="D741" s="12"/>
      <c r="E741" s="51"/>
      <c r="K741" s="51"/>
    </row>
    <row r="742" ht="13.5" customHeight="1">
      <c r="D742" s="12"/>
      <c r="E742" s="51"/>
      <c r="K742" s="51"/>
    </row>
    <row r="743" ht="13.5" customHeight="1">
      <c r="D743" s="12"/>
      <c r="E743" s="51"/>
      <c r="K743" s="51"/>
    </row>
    <row r="744" ht="13.5" customHeight="1">
      <c r="D744" s="12"/>
      <c r="E744" s="51"/>
      <c r="K744" s="51"/>
    </row>
    <row r="745" ht="13.5" customHeight="1">
      <c r="D745" s="12"/>
      <c r="E745" s="51"/>
      <c r="K745" s="51"/>
    </row>
    <row r="746" ht="13.5" customHeight="1">
      <c r="D746" s="12"/>
      <c r="E746" s="51"/>
      <c r="K746" s="51"/>
    </row>
    <row r="747" ht="13.5" customHeight="1">
      <c r="D747" s="12"/>
      <c r="E747" s="51"/>
      <c r="K747" s="51"/>
    </row>
    <row r="748" ht="13.5" customHeight="1">
      <c r="D748" s="12"/>
      <c r="E748" s="51"/>
      <c r="K748" s="51"/>
    </row>
    <row r="749" ht="13.5" customHeight="1">
      <c r="D749" s="12"/>
      <c r="E749" s="51"/>
      <c r="K749" s="51"/>
    </row>
    <row r="750" ht="13.5" customHeight="1">
      <c r="D750" s="12"/>
      <c r="E750" s="51"/>
      <c r="K750" s="51"/>
    </row>
    <row r="751" ht="13.5" customHeight="1">
      <c r="D751" s="12"/>
      <c r="E751" s="51"/>
      <c r="K751" s="51"/>
    </row>
    <row r="752" ht="13.5" customHeight="1">
      <c r="D752" s="12"/>
      <c r="E752" s="51"/>
      <c r="K752" s="51"/>
    </row>
    <row r="753" ht="13.5" customHeight="1">
      <c r="D753" s="12"/>
      <c r="E753" s="51"/>
      <c r="K753" s="51"/>
    </row>
    <row r="754" ht="13.5" customHeight="1">
      <c r="D754" s="12"/>
      <c r="E754" s="51"/>
      <c r="K754" s="51"/>
    </row>
    <row r="755" ht="13.5" customHeight="1">
      <c r="D755" s="12"/>
      <c r="E755" s="51"/>
      <c r="K755" s="51"/>
    </row>
    <row r="756" ht="13.5" customHeight="1">
      <c r="D756" s="12"/>
      <c r="E756" s="51"/>
      <c r="K756" s="51"/>
    </row>
    <row r="757" ht="13.5" customHeight="1">
      <c r="D757" s="12"/>
      <c r="E757" s="51"/>
      <c r="K757" s="51"/>
    </row>
    <row r="758" ht="13.5" customHeight="1">
      <c r="D758" s="12"/>
      <c r="E758" s="51"/>
      <c r="K758" s="51"/>
    </row>
    <row r="759" ht="13.5" customHeight="1">
      <c r="D759" s="12"/>
      <c r="E759" s="51"/>
      <c r="K759" s="51"/>
    </row>
    <row r="760" ht="13.5" customHeight="1">
      <c r="D760" s="12"/>
      <c r="E760" s="51"/>
      <c r="K760" s="51"/>
    </row>
    <row r="761" ht="13.5" customHeight="1">
      <c r="D761" s="12"/>
      <c r="E761" s="51"/>
      <c r="K761" s="51"/>
    </row>
    <row r="762" ht="13.5" customHeight="1">
      <c r="D762" s="12"/>
      <c r="E762" s="51"/>
      <c r="K762" s="51"/>
    </row>
    <row r="763" ht="13.5" customHeight="1">
      <c r="D763" s="12"/>
      <c r="E763" s="51"/>
      <c r="K763" s="51"/>
    </row>
    <row r="764" ht="13.5" customHeight="1">
      <c r="D764" s="12"/>
      <c r="E764" s="51"/>
      <c r="K764" s="51"/>
    </row>
    <row r="765" ht="13.5" customHeight="1">
      <c r="D765" s="12"/>
      <c r="E765" s="51"/>
      <c r="K765" s="51"/>
    </row>
    <row r="766" ht="13.5" customHeight="1">
      <c r="D766" s="12"/>
      <c r="E766" s="51"/>
      <c r="K766" s="51"/>
    </row>
    <row r="767" ht="13.5" customHeight="1">
      <c r="D767" s="12"/>
      <c r="E767" s="51"/>
      <c r="K767" s="51"/>
    </row>
    <row r="768" ht="13.5" customHeight="1">
      <c r="D768" s="12"/>
      <c r="E768" s="51"/>
      <c r="K768" s="51"/>
    </row>
    <row r="769" ht="13.5" customHeight="1">
      <c r="D769" s="12"/>
      <c r="E769" s="51"/>
      <c r="K769" s="51"/>
    </row>
    <row r="770" ht="13.5" customHeight="1">
      <c r="D770" s="12"/>
      <c r="E770" s="51"/>
      <c r="K770" s="51"/>
    </row>
    <row r="771" ht="13.5" customHeight="1">
      <c r="D771" s="12"/>
      <c r="E771" s="51"/>
      <c r="K771" s="51"/>
    </row>
    <row r="772" ht="13.5" customHeight="1">
      <c r="D772" s="12"/>
      <c r="E772" s="51"/>
      <c r="K772" s="51"/>
    </row>
    <row r="773" ht="13.5" customHeight="1">
      <c r="D773" s="12"/>
      <c r="E773" s="51"/>
      <c r="K773" s="51"/>
    </row>
    <row r="774" ht="13.5" customHeight="1">
      <c r="D774" s="12"/>
      <c r="E774" s="51"/>
      <c r="K774" s="51"/>
    </row>
    <row r="775" ht="13.5" customHeight="1">
      <c r="D775" s="12"/>
      <c r="E775" s="51"/>
      <c r="K775" s="51"/>
    </row>
    <row r="776" ht="13.5" customHeight="1">
      <c r="D776" s="12"/>
      <c r="E776" s="51"/>
      <c r="K776" s="51"/>
    </row>
    <row r="777" ht="13.5" customHeight="1">
      <c r="D777" s="12"/>
      <c r="E777" s="51"/>
      <c r="K777" s="51"/>
    </row>
    <row r="778" ht="13.5" customHeight="1">
      <c r="D778" s="12"/>
      <c r="E778" s="51"/>
      <c r="K778" s="51"/>
    </row>
    <row r="779" ht="13.5" customHeight="1">
      <c r="D779" s="12"/>
      <c r="E779" s="51"/>
      <c r="K779" s="51"/>
    </row>
    <row r="780" ht="13.5" customHeight="1">
      <c r="D780" s="12"/>
      <c r="E780" s="51"/>
      <c r="K780" s="51"/>
    </row>
    <row r="781" ht="13.5" customHeight="1">
      <c r="D781" s="12"/>
      <c r="E781" s="51"/>
      <c r="K781" s="51"/>
    </row>
    <row r="782" ht="13.5" customHeight="1">
      <c r="D782" s="12"/>
      <c r="E782" s="51"/>
      <c r="K782" s="51"/>
    </row>
    <row r="783" ht="13.5" customHeight="1">
      <c r="D783" s="12"/>
      <c r="E783" s="51"/>
      <c r="K783" s="51"/>
    </row>
    <row r="784" ht="13.5" customHeight="1">
      <c r="D784" s="12"/>
      <c r="E784" s="51"/>
      <c r="K784" s="51"/>
    </row>
    <row r="785" ht="13.5" customHeight="1">
      <c r="D785" s="12"/>
      <c r="E785" s="51"/>
      <c r="K785" s="51"/>
    </row>
    <row r="786" ht="13.5" customHeight="1">
      <c r="D786" s="12"/>
      <c r="E786" s="51"/>
      <c r="K786" s="51"/>
    </row>
    <row r="787" ht="13.5" customHeight="1">
      <c r="D787" s="12"/>
      <c r="E787" s="51"/>
      <c r="K787" s="51"/>
    </row>
    <row r="788" ht="13.5" customHeight="1">
      <c r="D788" s="12"/>
      <c r="E788" s="51"/>
      <c r="K788" s="51"/>
    </row>
    <row r="789" ht="13.5" customHeight="1">
      <c r="D789" s="12"/>
      <c r="E789" s="51"/>
      <c r="K789" s="51"/>
    </row>
    <row r="790" ht="13.5" customHeight="1">
      <c r="D790" s="12"/>
      <c r="E790" s="51"/>
      <c r="K790" s="51"/>
    </row>
    <row r="791" ht="13.5" customHeight="1">
      <c r="D791" s="12"/>
      <c r="E791" s="51"/>
      <c r="K791" s="51"/>
    </row>
    <row r="792" ht="13.5" customHeight="1">
      <c r="D792" s="12"/>
      <c r="E792" s="51"/>
      <c r="K792" s="51"/>
    </row>
    <row r="793" ht="13.5" customHeight="1">
      <c r="D793" s="12"/>
      <c r="E793" s="51"/>
      <c r="K793" s="51"/>
    </row>
    <row r="794" ht="13.5" customHeight="1">
      <c r="D794" s="12"/>
      <c r="E794" s="51"/>
      <c r="K794" s="51"/>
    </row>
    <row r="795" ht="13.5" customHeight="1">
      <c r="D795" s="12"/>
      <c r="E795" s="51"/>
      <c r="K795" s="51"/>
    </row>
    <row r="796" ht="13.5" customHeight="1">
      <c r="D796" s="12"/>
      <c r="E796" s="51"/>
      <c r="K796" s="51"/>
    </row>
    <row r="797" ht="13.5" customHeight="1">
      <c r="D797" s="12"/>
      <c r="E797" s="51"/>
      <c r="K797" s="51"/>
    </row>
    <row r="798" ht="13.5" customHeight="1">
      <c r="D798" s="12"/>
      <c r="E798" s="51"/>
      <c r="K798" s="51"/>
    </row>
    <row r="799" ht="13.5" customHeight="1">
      <c r="D799" s="12"/>
      <c r="E799" s="51"/>
      <c r="K799" s="51"/>
    </row>
    <row r="800" ht="13.5" customHeight="1">
      <c r="D800" s="12"/>
      <c r="E800" s="51"/>
      <c r="K800" s="51"/>
    </row>
    <row r="801" ht="13.5" customHeight="1">
      <c r="D801" s="12"/>
      <c r="E801" s="51"/>
      <c r="K801" s="51"/>
    </row>
    <row r="802" ht="13.5" customHeight="1">
      <c r="D802" s="12"/>
      <c r="E802" s="51"/>
      <c r="K802" s="51"/>
    </row>
    <row r="803" ht="13.5" customHeight="1">
      <c r="D803" s="12"/>
      <c r="E803" s="51"/>
      <c r="K803" s="51"/>
    </row>
    <row r="804" ht="13.5" customHeight="1">
      <c r="D804" s="12"/>
      <c r="E804" s="51"/>
      <c r="K804" s="51"/>
    </row>
    <row r="805" ht="13.5" customHeight="1">
      <c r="D805" s="12"/>
      <c r="E805" s="51"/>
      <c r="K805" s="51"/>
    </row>
    <row r="806" ht="13.5" customHeight="1">
      <c r="D806" s="12"/>
      <c r="E806" s="51"/>
      <c r="K806" s="51"/>
    </row>
    <row r="807" ht="13.5" customHeight="1">
      <c r="D807" s="12"/>
      <c r="E807" s="51"/>
      <c r="K807" s="51"/>
    </row>
    <row r="808" ht="13.5" customHeight="1">
      <c r="D808" s="12"/>
      <c r="E808" s="51"/>
      <c r="K808" s="51"/>
    </row>
    <row r="809" ht="13.5" customHeight="1">
      <c r="D809" s="12"/>
      <c r="E809" s="51"/>
      <c r="K809" s="51"/>
    </row>
    <row r="810" ht="13.5" customHeight="1">
      <c r="D810" s="12"/>
      <c r="E810" s="51"/>
      <c r="K810" s="51"/>
    </row>
    <row r="811" ht="13.5" customHeight="1">
      <c r="D811" s="12"/>
      <c r="E811" s="51"/>
      <c r="K811" s="51"/>
    </row>
    <row r="812" ht="13.5" customHeight="1">
      <c r="D812" s="12"/>
      <c r="E812" s="51"/>
      <c r="K812" s="51"/>
    </row>
    <row r="813" ht="13.5" customHeight="1">
      <c r="D813" s="12"/>
      <c r="E813" s="51"/>
      <c r="K813" s="51"/>
    </row>
    <row r="814" ht="13.5" customHeight="1">
      <c r="D814" s="12"/>
      <c r="E814" s="51"/>
      <c r="K814" s="51"/>
    </row>
    <row r="815" ht="13.5" customHeight="1">
      <c r="D815" s="12"/>
      <c r="E815" s="51"/>
      <c r="K815" s="51"/>
    </row>
    <row r="816" ht="13.5" customHeight="1">
      <c r="D816" s="12"/>
      <c r="E816" s="51"/>
      <c r="K816" s="51"/>
    </row>
    <row r="817" ht="13.5" customHeight="1">
      <c r="D817" s="12"/>
      <c r="E817" s="51"/>
      <c r="K817" s="51"/>
    </row>
    <row r="818" ht="13.5" customHeight="1">
      <c r="D818" s="12"/>
      <c r="E818" s="51"/>
      <c r="K818" s="51"/>
    </row>
    <row r="819" ht="13.5" customHeight="1">
      <c r="D819" s="12"/>
      <c r="E819" s="51"/>
      <c r="K819" s="51"/>
    </row>
    <row r="820" ht="13.5" customHeight="1">
      <c r="D820" s="12"/>
      <c r="E820" s="51"/>
      <c r="K820" s="51"/>
    </row>
    <row r="821" ht="13.5" customHeight="1">
      <c r="D821" s="12"/>
      <c r="E821" s="51"/>
      <c r="K821" s="51"/>
    </row>
    <row r="822" ht="13.5" customHeight="1">
      <c r="D822" s="12"/>
      <c r="E822" s="51"/>
      <c r="K822" s="51"/>
    </row>
    <row r="823" ht="13.5" customHeight="1">
      <c r="D823" s="12"/>
      <c r="E823" s="51"/>
      <c r="K823" s="51"/>
    </row>
    <row r="824" ht="13.5" customHeight="1">
      <c r="D824" s="12"/>
      <c r="E824" s="51"/>
      <c r="K824" s="51"/>
    </row>
    <row r="825" ht="13.5" customHeight="1">
      <c r="D825" s="12"/>
      <c r="E825" s="51"/>
      <c r="K825" s="51"/>
    </row>
    <row r="826" ht="13.5" customHeight="1">
      <c r="D826" s="12"/>
      <c r="E826" s="51"/>
      <c r="K826" s="51"/>
    </row>
    <row r="827" ht="13.5" customHeight="1">
      <c r="D827" s="12"/>
      <c r="E827" s="51"/>
      <c r="K827" s="51"/>
    </row>
    <row r="828" ht="13.5" customHeight="1">
      <c r="D828" s="12"/>
      <c r="E828" s="51"/>
      <c r="K828" s="51"/>
    </row>
    <row r="829" ht="13.5" customHeight="1">
      <c r="D829" s="12"/>
      <c r="E829" s="51"/>
      <c r="K829" s="51"/>
    </row>
    <row r="830" ht="13.5" customHeight="1">
      <c r="D830" s="12"/>
      <c r="E830" s="51"/>
      <c r="K830" s="51"/>
    </row>
    <row r="831" ht="13.5" customHeight="1">
      <c r="D831" s="12"/>
      <c r="E831" s="51"/>
      <c r="K831" s="51"/>
    </row>
    <row r="832" ht="13.5" customHeight="1">
      <c r="D832" s="12"/>
      <c r="E832" s="51"/>
      <c r="K832" s="51"/>
    </row>
    <row r="833" ht="13.5" customHeight="1">
      <c r="D833" s="12"/>
      <c r="E833" s="51"/>
      <c r="K833" s="51"/>
    </row>
    <row r="834" ht="13.5" customHeight="1">
      <c r="D834" s="12"/>
      <c r="E834" s="51"/>
      <c r="K834" s="51"/>
    </row>
    <row r="835" ht="13.5" customHeight="1">
      <c r="D835" s="12"/>
      <c r="E835" s="51"/>
      <c r="K835" s="51"/>
    </row>
    <row r="836" ht="13.5" customHeight="1">
      <c r="D836" s="12"/>
      <c r="E836" s="51"/>
      <c r="K836" s="51"/>
    </row>
    <row r="837" ht="13.5" customHeight="1">
      <c r="D837" s="12"/>
      <c r="E837" s="51"/>
      <c r="K837" s="51"/>
    </row>
    <row r="838" ht="13.5" customHeight="1">
      <c r="D838" s="12"/>
      <c r="E838" s="51"/>
      <c r="K838" s="51"/>
    </row>
    <row r="839" ht="13.5" customHeight="1">
      <c r="D839" s="12"/>
      <c r="E839" s="51"/>
      <c r="K839" s="51"/>
    </row>
    <row r="840" ht="13.5" customHeight="1">
      <c r="D840" s="12"/>
      <c r="E840" s="51"/>
      <c r="K840" s="51"/>
    </row>
    <row r="841" ht="13.5" customHeight="1">
      <c r="D841" s="12"/>
      <c r="E841" s="51"/>
      <c r="K841" s="51"/>
    </row>
    <row r="842" ht="13.5" customHeight="1">
      <c r="D842" s="12"/>
      <c r="E842" s="51"/>
      <c r="K842" s="51"/>
    </row>
    <row r="843" ht="13.5" customHeight="1">
      <c r="D843" s="12"/>
      <c r="E843" s="51"/>
      <c r="K843" s="51"/>
    </row>
    <row r="844" ht="13.5" customHeight="1">
      <c r="D844" s="12"/>
      <c r="E844" s="51"/>
      <c r="K844" s="51"/>
    </row>
    <row r="845" ht="13.5" customHeight="1">
      <c r="D845" s="12"/>
      <c r="E845" s="51"/>
      <c r="K845" s="51"/>
    </row>
    <row r="846" ht="13.5" customHeight="1">
      <c r="D846" s="12"/>
      <c r="E846" s="51"/>
      <c r="K846" s="51"/>
    </row>
    <row r="847" ht="13.5" customHeight="1">
      <c r="D847" s="12"/>
      <c r="E847" s="51"/>
      <c r="K847" s="51"/>
    </row>
    <row r="848" ht="13.5" customHeight="1">
      <c r="D848" s="12"/>
      <c r="E848" s="51"/>
      <c r="K848" s="51"/>
    </row>
    <row r="849" ht="13.5" customHeight="1">
      <c r="D849" s="12"/>
      <c r="E849" s="51"/>
      <c r="K849" s="51"/>
    </row>
    <row r="850" ht="13.5" customHeight="1">
      <c r="D850" s="12"/>
      <c r="E850" s="51"/>
      <c r="K850" s="51"/>
    </row>
    <row r="851" ht="13.5" customHeight="1">
      <c r="D851" s="12"/>
      <c r="E851" s="51"/>
      <c r="K851" s="51"/>
    </row>
    <row r="852" ht="13.5" customHeight="1">
      <c r="D852" s="12"/>
      <c r="E852" s="51"/>
      <c r="K852" s="51"/>
    </row>
    <row r="853" ht="13.5" customHeight="1">
      <c r="D853" s="12"/>
      <c r="E853" s="51"/>
      <c r="K853" s="51"/>
    </row>
    <row r="854" ht="13.5" customHeight="1">
      <c r="D854" s="12"/>
      <c r="E854" s="51"/>
      <c r="K854" s="51"/>
    </row>
    <row r="855" ht="13.5" customHeight="1">
      <c r="D855" s="12"/>
      <c r="E855" s="51"/>
      <c r="K855" s="51"/>
    </row>
    <row r="856" ht="13.5" customHeight="1">
      <c r="D856" s="12"/>
      <c r="E856" s="51"/>
      <c r="K856" s="51"/>
    </row>
    <row r="857" ht="13.5" customHeight="1">
      <c r="D857" s="12"/>
      <c r="E857" s="51"/>
      <c r="K857" s="51"/>
    </row>
    <row r="858" ht="13.5" customHeight="1">
      <c r="D858" s="12"/>
      <c r="E858" s="51"/>
      <c r="K858" s="51"/>
    </row>
    <row r="859" ht="13.5" customHeight="1">
      <c r="D859" s="12"/>
      <c r="E859" s="51"/>
      <c r="K859" s="51"/>
    </row>
    <row r="860" ht="13.5" customHeight="1">
      <c r="D860" s="12"/>
      <c r="E860" s="51"/>
      <c r="K860" s="51"/>
    </row>
    <row r="861" ht="13.5" customHeight="1">
      <c r="D861" s="12"/>
      <c r="E861" s="51"/>
      <c r="K861" s="51"/>
    </row>
    <row r="862" ht="13.5" customHeight="1">
      <c r="D862" s="12"/>
      <c r="E862" s="51"/>
      <c r="K862" s="51"/>
    </row>
    <row r="863" ht="13.5" customHeight="1">
      <c r="D863" s="12"/>
      <c r="E863" s="51"/>
      <c r="K863" s="51"/>
    </row>
    <row r="864" ht="13.5" customHeight="1">
      <c r="D864" s="12"/>
      <c r="E864" s="51"/>
      <c r="K864" s="51"/>
    </row>
    <row r="865" ht="13.5" customHeight="1">
      <c r="D865" s="12"/>
      <c r="E865" s="51"/>
      <c r="K865" s="51"/>
    </row>
    <row r="866" ht="13.5" customHeight="1">
      <c r="D866" s="12"/>
      <c r="E866" s="51"/>
      <c r="K866" s="51"/>
    </row>
    <row r="867" ht="13.5" customHeight="1">
      <c r="D867" s="12"/>
      <c r="E867" s="51"/>
      <c r="K867" s="51"/>
    </row>
    <row r="868" ht="13.5" customHeight="1">
      <c r="D868" s="12"/>
      <c r="E868" s="51"/>
      <c r="K868" s="51"/>
    </row>
    <row r="869" ht="13.5" customHeight="1">
      <c r="D869" s="12"/>
      <c r="E869" s="51"/>
      <c r="K869" s="51"/>
    </row>
    <row r="870" ht="13.5" customHeight="1">
      <c r="D870" s="12"/>
      <c r="E870" s="51"/>
      <c r="K870" s="51"/>
    </row>
    <row r="871" ht="13.5" customHeight="1">
      <c r="D871" s="12"/>
      <c r="E871" s="51"/>
      <c r="K871" s="51"/>
    </row>
    <row r="872" ht="13.5" customHeight="1">
      <c r="D872" s="12"/>
      <c r="E872" s="51"/>
      <c r="K872" s="51"/>
    </row>
    <row r="873" ht="13.5" customHeight="1">
      <c r="D873" s="12"/>
      <c r="E873" s="51"/>
      <c r="K873" s="51"/>
    </row>
    <row r="874" ht="13.5" customHeight="1">
      <c r="D874" s="12"/>
      <c r="E874" s="51"/>
      <c r="K874" s="51"/>
    </row>
    <row r="875" ht="13.5" customHeight="1">
      <c r="D875" s="12"/>
      <c r="E875" s="51"/>
      <c r="K875" s="51"/>
    </row>
    <row r="876" ht="13.5" customHeight="1">
      <c r="D876" s="12"/>
      <c r="E876" s="51"/>
      <c r="K876" s="51"/>
    </row>
    <row r="877" ht="13.5" customHeight="1">
      <c r="D877" s="12"/>
      <c r="E877" s="51"/>
      <c r="K877" s="51"/>
    </row>
    <row r="878" ht="13.5" customHeight="1">
      <c r="D878" s="12"/>
      <c r="E878" s="51"/>
      <c r="K878" s="51"/>
    </row>
    <row r="879" ht="13.5" customHeight="1">
      <c r="D879" s="12"/>
      <c r="E879" s="51"/>
      <c r="K879" s="51"/>
    </row>
    <row r="880" ht="13.5" customHeight="1">
      <c r="D880" s="12"/>
      <c r="E880" s="51"/>
      <c r="K880" s="51"/>
    </row>
    <row r="881" ht="13.5" customHeight="1">
      <c r="D881" s="12"/>
      <c r="E881" s="51"/>
      <c r="K881" s="51"/>
    </row>
    <row r="882" ht="13.5" customHeight="1">
      <c r="D882" s="12"/>
      <c r="E882" s="51"/>
      <c r="K882" s="51"/>
    </row>
    <row r="883" ht="13.5" customHeight="1">
      <c r="D883" s="12"/>
      <c r="E883" s="51"/>
      <c r="K883" s="51"/>
    </row>
    <row r="884" ht="13.5" customHeight="1">
      <c r="D884" s="12"/>
      <c r="E884" s="51"/>
      <c r="K884" s="51"/>
    </row>
    <row r="885" ht="13.5" customHeight="1">
      <c r="D885" s="12"/>
      <c r="E885" s="51"/>
      <c r="K885" s="51"/>
    </row>
    <row r="886" ht="13.5" customHeight="1">
      <c r="D886" s="12"/>
      <c r="E886" s="51"/>
      <c r="K886" s="51"/>
    </row>
    <row r="887" ht="13.5" customHeight="1">
      <c r="D887" s="12"/>
      <c r="E887" s="51"/>
      <c r="K887" s="51"/>
    </row>
    <row r="888" ht="13.5" customHeight="1">
      <c r="D888" s="12"/>
      <c r="E888" s="51"/>
      <c r="K888" s="51"/>
    </row>
    <row r="889" ht="13.5" customHeight="1">
      <c r="D889" s="12"/>
      <c r="E889" s="51"/>
      <c r="K889" s="51"/>
    </row>
    <row r="890" ht="13.5" customHeight="1">
      <c r="D890" s="12"/>
      <c r="E890" s="51"/>
      <c r="K890" s="51"/>
    </row>
    <row r="891" ht="13.5" customHeight="1">
      <c r="D891" s="12"/>
      <c r="E891" s="51"/>
      <c r="K891" s="51"/>
    </row>
    <row r="892" ht="13.5" customHeight="1">
      <c r="D892" s="12"/>
      <c r="E892" s="51"/>
      <c r="K892" s="51"/>
    </row>
    <row r="893" ht="13.5" customHeight="1">
      <c r="D893" s="12"/>
      <c r="E893" s="51"/>
      <c r="K893" s="51"/>
    </row>
    <row r="894" ht="13.5" customHeight="1">
      <c r="D894" s="12"/>
      <c r="E894" s="51"/>
      <c r="K894" s="51"/>
    </row>
    <row r="895" ht="13.5" customHeight="1">
      <c r="D895" s="12"/>
      <c r="E895" s="51"/>
      <c r="K895" s="51"/>
    </row>
    <row r="896" ht="13.5" customHeight="1">
      <c r="D896" s="12"/>
      <c r="E896" s="51"/>
      <c r="K896" s="51"/>
    </row>
    <row r="897" ht="13.5" customHeight="1">
      <c r="D897" s="12"/>
      <c r="E897" s="51"/>
      <c r="K897" s="51"/>
    </row>
    <row r="898" ht="13.5" customHeight="1">
      <c r="D898" s="12"/>
      <c r="E898" s="51"/>
      <c r="K898" s="51"/>
    </row>
    <row r="899" ht="13.5" customHeight="1">
      <c r="D899" s="12"/>
      <c r="E899" s="51"/>
      <c r="K899" s="51"/>
    </row>
    <row r="900" ht="13.5" customHeight="1">
      <c r="D900" s="12"/>
      <c r="E900" s="51"/>
      <c r="K900" s="51"/>
    </row>
    <row r="901" ht="13.5" customHeight="1">
      <c r="D901" s="12"/>
      <c r="E901" s="51"/>
      <c r="K901" s="51"/>
    </row>
    <row r="902" ht="13.5" customHeight="1">
      <c r="D902" s="12"/>
      <c r="E902" s="51"/>
      <c r="K902" s="51"/>
    </row>
    <row r="903" ht="13.5" customHeight="1">
      <c r="D903" s="12"/>
      <c r="E903" s="51"/>
      <c r="K903" s="51"/>
    </row>
    <row r="904" ht="13.5" customHeight="1">
      <c r="D904" s="12"/>
      <c r="E904" s="51"/>
      <c r="K904" s="51"/>
    </row>
    <row r="905" ht="13.5" customHeight="1">
      <c r="D905" s="12"/>
      <c r="E905" s="51"/>
      <c r="K905" s="51"/>
    </row>
    <row r="906" ht="13.5" customHeight="1">
      <c r="D906" s="12"/>
      <c r="E906" s="51"/>
      <c r="K906" s="51"/>
    </row>
    <row r="907" ht="13.5" customHeight="1">
      <c r="D907" s="12"/>
      <c r="E907" s="51"/>
      <c r="K907" s="51"/>
    </row>
    <row r="908" ht="13.5" customHeight="1">
      <c r="D908" s="12"/>
      <c r="E908" s="51"/>
      <c r="K908" s="51"/>
    </row>
    <row r="909" ht="13.5" customHeight="1">
      <c r="D909" s="12"/>
      <c r="E909" s="51"/>
      <c r="K909" s="51"/>
    </row>
    <row r="910" ht="13.5" customHeight="1">
      <c r="D910" s="12"/>
      <c r="E910" s="51"/>
      <c r="K910" s="51"/>
    </row>
    <row r="911" ht="13.5" customHeight="1">
      <c r="D911" s="12"/>
      <c r="E911" s="51"/>
      <c r="K911" s="51"/>
    </row>
    <row r="912" ht="13.5" customHeight="1">
      <c r="D912" s="12"/>
      <c r="E912" s="51"/>
      <c r="K912" s="51"/>
    </row>
    <row r="913" ht="13.5" customHeight="1">
      <c r="D913" s="12"/>
      <c r="E913" s="51"/>
      <c r="K913" s="51"/>
    </row>
    <row r="914" ht="13.5" customHeight="1">
      <c r="D914" s="12"/>
      <c r="E914" s="51"/>
      <c r="K914" s="51"/>
    </row>
    <row r="915" ht="13.5" customHeight="1">
      <c r="D915" s="12"/>
      <c r="E915" s="51"/>
      <c r="K915" s="51"/>
    </row>
    <row r="916" ht="13.5" customHeight="1">
      <c r="D916" s="12"/>
      <c r="E916" s="51"/>
      <c r="K916" s="51"/>
    </row>
    <row r="917" ht="13.5" customHeight="1">
      <c r="D917" s="12"/>
      <c r="E917" s="51"/>
      <c r="K917" s="51"/>
    </row>
    <row r="918" ht="13.5" customHeight="1">
      <c r="D918" s="12"/>
      <c r="E918" s="51"/>
      <c r="K918" s="51"/>
    </row>
    <row r="919" ht="13.5" customHeight="1">
      <c r="D919" s="12"/>
      <c r="E919" s="51"/>
      <c r="K919" s="51"/>
    </row>
    <row r="920" ht="13.5" customHeight="1">
      <c r="D920" s="12"/>
      <c r="E920" s="51"/>
      <c r="K920" s="51"/>
    </row>
    <row r="921" ht="13.5" customHeight="1">
      <c r="D921" s="12"/>
      <c r="E921" s="51"/>
      <c r="K921" s="51"/>
    </row>
    <row r="922" ht="13.5" customHeight="1">
      <c r="D922" s="12"/>
      <c r="E922" s="51"/>
      <c r="K922" s="51"/>
    </row>
    <row r="923" ht="13.5" customHeight="1">
      <c r="D923" s="12"/>
      <c r="E923" s="51"/>
      <c r="K923" s="51"/>
    </row>
    <row r="924" ht="13.5" customHeight="1">
      <c r="D924" s="12"/>
      <c r="E924" s="51"/>
      <c r="K924" s="51"/>
    </row>
    <row r="925" ht="13.5" customHeight="1">
      <c r="D925" s="12"/>
      <c r="E925" s="51"/>
      <c r="K925" s="51"/>
    </row>
    <row r="926" ht="13.5" customHeight="1">
      <c r="D926" s="12"/>
      <c r="E926" s="51"/>
      <c r="K926" s="51"/>
    </row>
    <row r="927" ht="13.5" customHeight="1">
      <c r="D927" s="12"/>
      <c r="E927" s="51"/>
      <c r="K927" s="51"/>
    </row>
    <row r="928" ht="13.5" customHeight="1">
      <c r="D928" s="12"/>
      <c r="E928" s="51"/>
      <c r="K928" s="51"/>
    </row>
    <row r="929" ht="13.5" customHeight="1">
      <c r="D929" s="12"/>
      <c r="E929" s="51"/>
      <c r="K929" s="51"/>
    </row>
    <row r="930" ht="13.5" customHeight="1">
      <c r="D930" s="12"/>
      <c r="E930" s="51"/>
      <c r="K930" s="51"/>
    </row>
    <row r="931" ht="13.5" customHeight="1">
      <c r="D931" s="12"/>
      <c r="E931" s="51"/>
      <c r="K931" s="51"/>
    </row>
    <row r="932" ht="13.5" customHeight="1">
      <c r="D932" s="12"/>
      <c r="E932" s="51"/>
      <c r="K932" s="51"/>
    </row>
    <row r="933" ht="13.5" customHeight="1">
      <c r="D933" s="12"/>
      <c r="E933" s="51"/>
      <c r="K933" s="51"/>
    </row>
    <row r="934" ht="13.5" customHeight="1">
      <c r="D934" s="12"/>
      <c r="E934" s="51"/>
      <c r="K934" s="51"/>
    </row>
    <row r="935" ht="13.5" customHeight="1">
      <c r="D935" s="12"/>
      <c r="E935" s="51"/>
      <c r="K935" s="51"/>
    </row>
    <row r="936" ht="13.5" customHeight="1">
      <c r="D936" s="12"/>
      <c r="E936" s="51"/>
      <c r="K936" s="51"/>
    </row>
    <row r="937" ht="13.5" customHeight="1">
      <c r="D937" s="12"/>
      <c r="E937" s="51"/>
      <c r="K937" s="51"/>
    </row>
    <row r="938" ht="13.5" customHeight="1">
      <c r="D938" s="12"/>
      <c r="E938" s="51"/>
      <c r="K938" s="51"/>
    </row>
    <row r="939" ht="13.5" customHeight="1">
      <c r="D939" s="12"/>
      <c r="E939" s="51"/>
      <c r="K939" s="51"/>
    </row>
    <row r="940" ht="13.5" customHeight="1">
      <c r="D940" s="12"/>
      <c r="E940" s="51"/>
      <c r="K940" s="51"/>
    </row>
    <row r="941" ht="13.5" customHeight="1">
      <c r="D941" s="12"/>
      <c r="E941" s="51"/>
      <c r="K941" s="51"/>
    </row>
    <row r="942" ht="13.5" customHeight="1">
      <c r="D942" s="12"/>
      <c r="E942" s="51"/>
      <c r="K942" s="51"/>
    </row>
    <row r="943" ht="13.5" customHeight="1">
      <c r="D943" s="12"/>
      <c r="E943" s="51"/>
      <c r="K943" s="51"/>
    </row>
    <row r="944" ht="13.5" customHeight="1">
      <c r="D944" s="12"/>
      <c r="E944" s="51"/>
      <c r="K944" s="51"/>
    </row>
    <row r="945" ht="13.5" customHeight="1">
      <c r="D945" s="12"/>
      <c r="E945" s="51"/>
      <c r="K945" s="51"/>
    </row>
    <row r="946" ht="13.5" customHeight="1">
      <c r="D946" s="12"/>
      <c r="E946" s="51"/>
      <c r="K946" s="51"/>
    </row>
    <row r="947" ht="13.5" customHeight="1">
      <c r="D947" s="12"/>
      <c r="E947" s="51"/>
      <c r="K947" s="51"/>
    </row>
    <row r="948" ht="13.5" customHeight="1">
      <c r="D948" s="12"/>
      <c r="E948" s="51"/>
      <c r="K948" s="51"/>
    </row>
    <row r="949" ht="13.5" customHeight="1">
      <c r="D949" s="12"/>
      <c r="E949" s="51"/>
      <c r="K949" s="51"/>
    </row>
    <row r="950" ht="13.5" customHeight="1">
      <c r="D950" s="12"/>
      <c r="E950" s="51"/>
      <c r="K950" s="51"/>
    </row>
    <row r="951" ht="13.5" customHeight="1">
      <c r="D951" s="12"/>
      <c r="E951" s="51"/>
      <c r="K951" s="51"/>
    </row>
    <row r="952" ht="13.5" customHeight="1">
      <c r="D952" s="12"/>
      <c r="E952" s="51"/>
      <c r="K952" s="51"/>
    </row>
    <row r="953" ht="13.5" customHeight="1">
      <c r="D953" s="12"/>
      <c r="E953" s="51"/>
      <c r="K953" s="51"/>
    </row>
    <row r="954" ht="13.5" customHeight="1">
      <c r="D954" s="12"/>
      <c r="E954" s="51"/>
      <c r="K954" s="51"/>
    </row>
    <row r="955" ht="13.5" customHeight="1">
      <c r="D955" s="12"/>
      <c r="E955" s="51"/>
      <c r="K955" s="51"/>
    </row>
    <row r="956" ht="13.5" customHeight="1">
      <c r="D956" s="12"/>
      <c r="E956" s="51"/>
      <c r="K956" s="51"/>
    </row>
    <row r="957" ht="13.5" customHeight="1">
      <c r="D957" s="12"/>
      <c r="E957" s="51"/>
      <c r="K957" s="51"/>
    </row>
    <row r="958" ht="13.5" customHeight="1">
      <c r="D958" s="12"/>
      <c r="E958" s="51"/>
      <c r="K958" s="51"/>
    </row>
    <row r="959" ht="13.5" customHeight="1">
      <c r="D959" s="12"/>
      <c r="E959" s="51"/>
      <c r="K959" s="51"/>
    </row>
    <row r="960" ht="13.5" customHeight="1">
      <c r="D960" s="12"/>
      <c r="E960" s="51"/>
      <c r="K960" s="51"/>
    </row>
    <row r="961" ht="13.5" customHeight="1">
      <c r="D961" s="12"/>
      <c r="E961" s="51"/>
      <c r="K961" s="51"/>
    </row>
    <row r="962" ht="13.5" customHeight="1">
      <c r="D962" s="12"/>
      <c r="E962" s="51"/>
      <c r="K962" s="51"/>
    </row>
    <row r="963" ht="13.5" customHeight="1">
      <c r="D963" s="12"/>
      <c r="E963" s="51"/>
      <c r="K963" s="51"/>
    </row>
    <row r="964" ht="13.5" customHeight="1">
      <c r="D964" s="12"/>
      <c r="E964" s="51"/>
      <c r="K964" s="51"/>
    </row>
    <row r="965" ht="13.5" customHeight="1">
      <c r="D965" s="12"/>
      <c r="E965" s="51"/>
      <c r="K965" s="51"/>
    </row>
    <row r="966" ht="13.5" customHeight="1">
      <c r="D966" s="12"/>
      <c r="E966" s="51"/>
      <c r="K966" s="51"/>
    </row>
    <row r="967" ht="13.5" customHeight="1">
      <c r="D967" s="12"/>
      <c r="E967" s="51"/>
      <c r="K967" s="51"/>
    </row>
    <row r="968" ht="13.5" customHeight="1">
      <c r="D968" s="12"/>
      <c r="E968" s="51"/>
      <c r="K968" s="51"/>
    </row>
    <row r="969" ht="13.5" customHeight="1">
      <c r="D969" s="12"/>
      <c r="E969" s="51"/>
      <c r="K969" s="51"/>
    </row>
    <row r="970" ht="13.5" customHeight="1">
      <c r="D970" s="12"/>
      <c r="E970" s="51"/>
      <c r="K970" s="51"/>
    </row>
    <row r="971" ht="13.5" customHeight="1">
      <c r="D971" s="12"/>
      <c r="E971" s="51"/>
      <c r="K971" s="51"/>
    </row>
    <row r="972" ht="13.5" customHeight="1">
      <c r="D972" s="12"/>
      <c r="E972" s="51"/>
      <c r="K972" s="51"/>
    </row>
    <row r="973" ht="13.5" customHeight="1">
      <c r="D973" s="12"/>
      <c r="E973" s="51"/>
      <c r="K973" s="51"/>
    </row>
    <row r="974" ht="13.5" customHeight="1">
      <c r="D974" s="12"/>
      <c r="E974" s="51"/>
      <c r="K974" s="51"/>
    </row>
    <row r="975" ht="13.5" customHeight="1">
      <c r="D975" s="12"/>
      <c r="E975" s="51"/>
      <c r="K975" s="51"/>
    </row>
    <row r="976" ht="13.5" customHeight="1">
      <c r="D976" s="12"/>
      <c r="E976" s="51"/>
      <c r="K976" s="51"/>
    </row>
    <row r="977" ht="13.5" customHeight="1">
      <c r="D977" s="12"/>
      <c r="E977" s="51"/>
      <c r="K977" s="51"/>
    </row>
    <row r="978" ht="13.5" customHeight="1">
      <c r="D978" s="12"/>
      <c r="E978" s="51"/>
      <c r="K978" s="51"/>
    </row>
    <row r="979" ht="13.5" customHeight="1">
      <c r="D979" s="12"/>
      <c r="E979" s="51"/>
      <c r="K979" s="51"/>
    </row>
    <row r="980" ht="13.5" customHeight="1">
      <c r="D980" s="12"/>
      <c r="E980" s="51"/>
      <c r="K980" s="51"/>
    </row>
    <row r="981" ht="13.5" customHeight="1">
      <c r="D981" s="12"/>
      <c r="E981" s="51"/>
      <c r="K981" s="51"/>
    </row>
    <row r="982" ht="13.5" customHeight="1">
      <c r="D982" s="12"/>
      <c r="E982" s="51"/>
      <c r="K982" s="51"/>
    </row>
    <row r="983" ht="13.5" customHeight="1">
      <c r="D983" s="12"/>
      <c r="E983" s="51"/>
      <c r="K983" s="51"/>
    </row>
    <row r="984" ht="13.5" customHeight="1">
      <c r="D984" s="12"/>
      <c r="E984" s="51"/>
      <c r="K984" s="51"/>
    </row>
    <row r="985" ht="13.5" customHeight="1">
      <c r="D985" s="12"/>
      <c r="E985" s="51"/>
      <c r="K985" s="51"/>
    </row>
    <row r="986" ht="13.5" customHeight="1">
      <c r="D986" s="12"/>
      <c r="E986" s="51"/>
      <c r="K986" s="51"/>
    </row>
    <row r="987" ht="13.5" customHeight="1">
      <c r="D987" s="12"/>
      <c r="E987" s="51"/>
      <c r="K987" s="51"/>
    </row>
    <row r="988" ht="13.5" customHeight="1">
      <c r="D988" s="12"/>
      <c r="E988" s="51"/>
      <c r="K988" s="51"/>
    </row>
    <row r="989" ht="13.5" customHeight="1">
      <c r="D989" s="12"/>
      <c r="E989" s="51"/>
      <c r="K989" s="51"/>
    </row>
    <row r="990" ht="13.5" customHeight="1">
      <c r="D990" s="12"/>
      <c r="E990" s="51"/>
      <c r="K990" s="51"/>
    </row>
    <row r="991" ht="13.5" customHeight="1">
      <c r="D991" s="12"/>
      <c r="E991" s="51"/>
      <c r="K991" s="51"/>
    </row>
    <row r="992" ht="13.5" customHeight="1">
      <c r="D992" s="12"/>
      <c r="E992" s="51"/>
      <c r="K992" s="51"/>
    </row>
    <row r="993" ht="13.5" customHeight="1">
      <c r="D993" s="12"/>
      <c r="E993" s="51"/>
      <c r="K993" s="51"/>
    </row>
    <row r="994" ht="13.5" customHeight="1">
      <c r="D994" s="12"/>
      <c r="E994" s="51"/>
      <c r="K994" s="51"/>
    </row>
    <row r="995" ht="13.5" customHeight="1">
      <c r="D995" s="12"/>
      <c r="E995" s="51"/>
      <c r="K995" s="51"/>
    </row>
    <row r="996" ht="13.5" customHeight="1">
      <c r="D996" s="12"/>
      <c r="E996" s="51"/>
      <c r="K996" s="51"/>
    </row>
    <row r="997" ht="13.5" customHeight="1">
      <c r="D997" s="12"/>
      <c r="E997" s="51"/>
      <c r="K997" s="51"/>
    </row>
    <row r="998" ht="13.5" customHeight="1">
      <c r="D998" s="12"/>
      <c r="E998" s="51"/>
      <c r="K998" s="51"/>
    </row>
    <row r="999" ht="13.5" customHeight="1">
      <c r="D999" s="12"/>
      <c r="E999" s="51"/>
      <c r="K999" s="51"/>
    </row>
    <row r="1000" ht="13.5" customHeight="1">
      <c r="D1000" s="12"/>
      <c r="E1000" s="51"/>
      <c r="K1000" s="51"/>
    </row>
  </sheetData>
  <autoFilter ref="$A$1:$C$61"/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9.75"/>
    <col customWidth="1" min="2" max="2" width="14.0"/>
    <col customWidth="1" min="3" max="3" width="10.13"/>
    <col customWidth="1" min="4" max="4" width="12.38"/>
    <col customWidth="1" min="5" max="5" width="15.75"/>
    <col customWidth="1" min="6" max="6" width="12.88"/>
    <col customWidth="1" min="7" max="7" width="25.75"/>
    <col customWidth="1" min="8" max="9" width="3.88"/>
    <col customWidth="1" min="10" max="10" width="25.38"/>
    <col customWidth="1" min="11" max="11" width="13.25"/>
    <col customWidth="1" min="12" max="12" width="24.75"/>
    <col customWidth="1" min="13" max="13" width="11.88"/>
    <col customWidth="1" min="14" max="14" width="13.25"/>
    <col customWidth="1" min="15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232">
        <v>46217.0</v>
      </c>
      <c r="E2" s="17">
        <v>21671.07</v>
      </c>
      <c r="F2" s="14" t="s">
        <v>80</v>
      </c>
      <c r="G2" s="14" t="s">
        <v>19</v>
      </c>
      <c r="H2" s="17"/>
      <c r="I2" s="14"/>
      <c r="J2" s="21">
        <v>183418.0</v>
      </c>
      <c r="K2" s="29">
        <v>373332.96</v>
      </c>
      <c r="N2" s="51"/>
    </row>
    <row r="3" ht="13.5" customHeight="1">
      <c r="A3" s="14">
        <v>2.0</v>
      </c>
      <c r="B3" s="14" t="s">
        <v>9</v>
      </c>
      <c r="C3" s="14">
        <v>2130870.0</v>
      </c>
      <c r="D3" s="232">
        <v>46217.0</v>
      </c>
      <c r="E3" s="17">
        <v>27159.07</v>
      </c>
      <c r="F3" s="14" t="s">
        <v>80</v>
      </c>
      <c r="G3" s="14" t="s">
        <v>19</v>
      </c>
      <c r="H3" s="17"/>
      <c r="I3" s="14"/>
      <c r="J3" s="21">
        <v>183423.0</v>
      </c>
      <c r="K3" s="29">
        <v>126328.59000000004</v>
      </c>
    </row>
    <row r="4" ht="13.5" customHeight="1">
      <c r="A4" s="14">
        <v>3.0</v>
      </c>
      <c r="B4" s="14" t="s">
        <v>9</v>
      </c>
      <c r="C4" s="14">
        <v>2130870.0</v>
      </c>
      <c r="D4" s="232">
        <v>46217.0</v>
      </c>
      <c r="E4" s="17">
        <v>4200447.22</v>
      </c>
      <c r="F4" s="14" t="s">
        <v>10</v>
      </c>
      <c r="G4" s="14" t="s">
        <v>19</v>
      </c>
      <c r="H4" s="17"/>
      <c r="I4" s="14"/>
      <c r="J4" s="21">
        <v>183424.0</v>
      </c>
      <c r="K4" s="29">
        <v>196029.30000000002</v>
      </c>
    </row>
    <row r="5" ht="13.5" customHeight="1">
      <c r="A5" s="14">
        <v>4.0</v>
      </c>
      <c r="B5" s="14" t="s">
        <v>9</v>
      </c>
      <c r="C5" s="14">
        <v>2060855.0</v>
      </c>
      <c r="D5" s="232">
        <v>46217.0</v>
      </c>
      <c r="E5" s="17">
        <v>2500000.0</v>
      </c>
      <c r="F5" s="14" t="s">
        <v>13</v>
      </c>
      <c r="G5" s="14" t="s">
        <v>19</v>
      </c>
      <c r="H5" s="17"/>
      <c r="I5" s="14"/>
      <c r="J5" s="21">
        <v>183433.0</v>
      </c>
      <c r="K5" s="29">
        <v>2367.53</v>
      </c>
    </row>
    <row r="6" ht="13.5" customHeight="1">
      <c r="A6" s="14">
        <v>5.0</v>
      </c>
      <c r="B6" s="14" t="s">
        <v>16</v>
      </c>
      <c r="C6" s="14">
        <v>2050752.0</v>
      </c>
      <c r="D6" s="232">
        <v>46217.0</v>
      </c>
      <c r="E6" s="17">
        <v>81.58</v>
      </c>
      <c r="F6" s="14" t="s">
        <v>50</v>
      </c>
      <c r="G6" s="14" t="s">
        <v>19</v>
      </c>
      <c r="H6" s="17"/>
      <c r="I6" s="14"/>
      <c r="J6" s="21">
        <v>183446.0</v>
      </c>
      <c r="K6" s="29">
        <v>33900.0</v>
      </c>
    </row>
    <row r="7" ht="13.5" customHeight="1">
      <c r="A7" s="14">
        <v>6.0</v>
      </c>
      <c r="B7" s="14" t="s">
        <v>16</v>
      </c>
      <c r="C7" s="14">
        <v>2050752.0</v>
      </c>
      <c r="D7" s="232">
        <v>46217.0</v>
      </c>
      <c r="E7" s="17">
        <v>25282.16</v>
      </c>
      <c r="F7" s="14" t="s">
        <v>50</v>
      </c>
      <c r="G7" s="14" t="s">
        <v>19</v>
      </c>
      <c r="H7" s="17"/>
      <c r="I7" s="14"/>
      <c r="J7" s="21" t="s">
        <v>135</v>
      </c>
      <c r="K7" s="29">
        <v>4279.94</v>
      </c>
    </row>
    <row r="8" ht="13.5" customHeight="1">
      <c r="A8" s="14">
        <v>7.0</v>
      </c>
      <c r="B8" s="14" t="s">
        <v>16</v>
      </c>
      <c r="C8" s="14">
        <v>2050752.0</v>
      </c>
      <c r="D8" s="232">
        <v>46217.0</v>
      </c>
      <c r="E8" s="17">
        <v>46905.88</v>
      </c>
      <c r="F8" s="14" t="s">
        <v>50</v>
      </c>
      <c r="G8" s="14" t="s">
        <v>19</v>
      </c>
      <c r="H8" s="17"/>
      <c r="I8" s="14"/>
      <c r="J8" s="21" t="s">
        <v>136</v>
      </c>
      <c r="K8" s="29">
        <v>29453.0</v>
      </c>
    </row>
    <row r="9" ht="13.5" customHeight="1">
      <c r="A9" s="14">
        <v>8.0</v>
      </c>
      <c r="B9" s="14" t="s">
        <v>16</v>
      </c>
      <c r="C9" s="14">
        <v>2050752.0</v>
      </c>
      <c r="D9" s="232">
        <v>46217.0</v>
      </c>
      <c r="E9" s="17">
        <v>2558771.3</v>
      </c>
      <c r="F9" s="14" t="s">
        <v>50</v>
      </c>
      <c r="G9" s="14" t="s">
        <v>19</v>
      </c>
      <c r="H9" s="17"/>
      <c r="I9" s="14"/>
      <c r="J9" s="21" t="s">
        <v>137</v>
      </c>
      <c r="K9" s="29">
        <v>7338.2</v>
      </c>
    </row>
    <row r="10" ht="13.5" customHeight="1">
      <c r="A10" s="14">
        <v>9.0</v>
      </c>
      <c r="B10" s="14" t="s">
        <v>16</v>
      </c>
      <c r="C10" s="14">
        <v>2050752.0</v>
      </c>
      <c r="D10" s="232">
        <v>46217.0</v>
      </c>
      <c r="E10" s="17">
        <v>922740.25</v>
      </c>
      <c r="F10" s="14" t="s">
        <v>50</v>
      </c>
      <c r="G10" s="14" t="s">
        <v>19</v>
      </c>
      <c r="H10" s="17"/>
      <c r="I10" s="14"/>
      <c r="J10" s="21" t="s">
        <v>138</v>
      </c>
      <c r="K10" s="29">
        <v>35321.8</v>
      </c>
    </row>
    <row r="11" ht="13.5" customHeight="1">
      <c r="A11" s="14">
        <v>10.0</v>
      </c>
      <c r="B11" s="14" t="s">
        <v>16</v>
      </c>
      <c r="C11" s="14">
        <v>2050752.0</v>
      </c>
      <c r="D11" s="232">
        <v>46217.0</v>
      </c>
      <c r="E11" s="17">
        <v>744089.94</v>
      </c>
      <c r="F11" s="14" t="s">
        <v>50</v>
      </c>
      <c r="G11" s="14" t="s">
        <v>19</v>
      </c>
      <c r="H11" s="17"/>
      <c r="I11" s="14"/>
      <c r="J11" s="14" t="s">
        <v>139</v>
      </c>
      <c r="K11" s="17">
        <v>6322.81</v>
      </c>
    </row>
    <row r="12" ht="13.5" customHeight="1">
      <c r="A12" s="14">
        <v>11.0</v>
      </c>
      <c r="B12" s="14" t="s">
        <v>16</v>
      </c>
      <c r="C12" s="14">
        <v>2050752.0</v>
      </c>
      <c r="D12" s="232">
        <v>46217.0</v>
      </c>
      <c r="E12" s="17">
        <v>1287319.76</v>
      </c>
      <c r="F12" s="14" t="s">
        <v>50</v>
      </c>
      <c r="G12" s="14" t="s">
        <v>19</v>
      </c>
      <c r="H12" s="17"/>
      <c r="I12" s="14"/>
      <c r="J12" s="14"/>
      <c r="K12" s="17"/>
    </row>
    <row r="13" ht="13.5" customHeight="1">
      <c r="A13" s="30">
        <v>12.0</v>
      </c>
      <c r="B13" s="30" t="s">
        <v>16</v>
      </c>
      <c r="C13" s="30">
        <v>2050752.0</v>
      </c>
      <c r="D13" s="233">
        <v>46217.0</v>
      </c>
      <c r="E13" s="32">
        <v>8351157.08</v>
      </c>
      <c r="F13" s="30" t="s">
        <v>50</v>
      </c>
      <c r="G13" s="14" t="s">
        <v>19</v>
      </c>
      <c r="H13" s="17"/>
      <c r="I13" s="14"/>
      <c r="J13" s="14"/>
      <c r="K13" s="17"/>
    </row>
    <row r="14" ht="13.5" customHeight="1">
      <c r="A14" s="23">
        <v>13.0</v>
      </c>
      <c r="B14" s="23" t="s">
        <v>20</v>
      </c>
      <c r="C14" s="23">
        <v>1200393.0</v>
      </c>
      <c r="D14" s="234">
        <v>46217.0</v>
      </c>
      <c r="E14" s="29">
        <v>2790.2</v>
      </c>
      <c r="F14" s="23"/>
      <c r="G14" s="23" t="s">
        <v>19</v>
      </c>
      <c r="H14" s="17"/>
      <c r="I14" s="14"/>
      <c r="J14" s="14"/>
      <c r="K14" s="17"/>
    </row>
    <row r="15" ht="13.5" customHeight="1">
      <c r="A15" s="23">
        <v>14.0</v>
      </c>
      <c r="B15" s="23" t="s">
        <v>20</v>
      </c>
      <c r="C15" s="23">
        <v>1040211.0</v>
      </c>
      <c r="D15" s="234">
        <v>46217.0</v>
      </c>
      <c r="E15" s="29">
        <v>86115.27</v>
      </c>
      <c r="F15" s="23"/>
      <c r="G15" s="23" t="s">
        <v>19</v>
      </c>
      <c r="H15" s="17"/>
      <c r="I15" s="14"/>
      <c r="J15" s="14"/>
      <c r="K15" s="17"/>
    </row>
    <row r="16" ht="13.5" customHeight="1">
      <c r="A16" s="23">
        <v>16.0</v>
      </c>
      <c r="B16" s="23" t="s">
        <v>20</v>
      </c>
      <c r="C16" s="23">
        <v>1200393.0</v>
      </c>
      <c r="D16" s="234">
        <v>46217.0</v>
      </c>
      <c r="E16" s="29">
        <v>6912.8</v>
      </c>
      <c r="F16" s="23"/>
      <c r="G16" s="23" t="s">
        <v>11</v>
      </c>
      <c r="H16" s="17"/>
      <c r="I16" s="14"/>
      <c r="J16" s="14"/>
      <c r="K16" s="17"/>
    </row>
    <row r="17" ht="13.5" customHeight="1">
      <c r="A17" s="23">
        <v>18.0</v>
      </c>
      <c r="B17" s="23" t="s">
        <v>20</v>
      </c>
      <c r="C17" s="23">
        <v>1040211.0</v>
      </c>
      <c r="D17" s="234">
        <v>46217.0</v>
      </c>
      <c r="E17" s="29">
        <v>189116.5</v>
      </c>
      <c r="F17" s="23"/>
      <c r="G17" s="23" t="s">
        <v>11</v>
      </c>
      <c r="H17" s="17"/>
      <c r="I17" s="14"/>
      <c r="J17" s="14"/>
      <c r="K17" s="17"/>
    </row>
    <row r="18" ht="13.5" customHeight="1">
      <c r="A18" s="23">
        <v>31.0</v>
      </c>
      <c r="B18" s="23" t="s">
        <v>20</v>
      </c>
      <c r="C18" s="23">
        <v>1200393.0</v>
      </c>
      <c r="D18" s="234">
        <v>46217.0</v>
      </c>
      <c r="E18" s="29">
        <v>14839.1</v>
      </c>
      <c r="F18" s="23"/>
      <c r="G18" s="23" t="s">
        <v>11</v>
      </c>
      <c r="H18" s="17"/>
      <c r="I18" s="14"/>
      <c r="J18" s="14"/>
      <c r="K18" s="17"/>
    </row>
    <row r="19" ht="13.5" customHeight="1">
      <c r="A19" s="23">
        <v>32.0</v>
      </c>
      <c r="B19" s="23" t="s">
        <v>20</v>
      </c>
      <c r="C19" s="23">
        <v>1200393.0</v>
      </c>
      <c r="D19" s="234">
        <v>46217.0</v>
      </c>
      <c r="E19" s="29">
        <v>362773.8</v>
      </c>
      <c r="F19" s="23"/>
      <c r="G19" s="23" t="s">
        <v>11</v>
      </c>
      <c r="H19" s="17"/>
      <c r="I19" s="14"/>
      <c r="J19" s="17"/>
      <c r="K19" s="17"/>
    </row>
    <row r="20" ht="13.5" customHeight="1">
      <c r="A20" s="23">
        <v>33.0</v>
      </c>
      <c r="B20" s="23" t="s">
        <v>20</v>
      </c>
      <c r="C20" s="23">
        <v>1200393.0</v>
      </c>
      <c r="D20" s="234">
        <v>46217.0</v>
      </c>
      <c r="E20" s="29">
        <v>6463.32</v>
      </c>
      <c r="F20" s="23"/>
      <c r="G20" s="23" t="s">
        <v>140</v>
      </c>
      <c r="H20" s="17"/>
      <c r="I20" s="14"/>
      <c r="J20" s="14"/>
      <c r="K20" s="17"/>
    </row>
    <row r="21" ht="13.5" customHeight="1">
      <c r="A21" s="23">
        <v>34.0</v>
      </c>
      <c r="B21" s="23" t="s">
        <v>20</v>
      </c>
      <c r="C21" s="23">
        <v>1200393.0</v>
      </c>
      <c r="D21" s="234">
        <v>46217.0</v>
      </c>
      <c r="E21" s="29">
        <v>33750.0</v>
      </c>
      <c r="F21" s="23"/>
      <c r="G21" s="23" t="s">
        <v>19</v>
      </c>
      <c r="H21" s="17"/>
      <c r="I21" s="14"/>
      <c r="J21" s="14"/>
      <c r="K21" s="17"/>
    </row>
    <row r="22" ht="13.5" customHeight="1">
      <c r="A22" s="23">
        <v>36.0</v>
      </c>
      <c r="B22" s="23" t="s">
        <v>20</v>
      </c>
      <c r="C22" s="23">
        <v>1040250.0</v>
      </c>
      <c r="D22" s="234">
        <v>46217.0</v>
      </c>
      <c r="E22" s="29">
        <v>26981.14</v>
      </c>
      <c r="F22" s="23"/>
      <c r="G22" s="23" t="s">
        <v>19</v>
      </c>
      <c r="H22" s="17"/>
      <c r="I22" s="14"/>
      <c r="J22" s="14"/>
      <c r="K22" s="17"/>
    </row>
    <row r="23" ht="13.5" customHeight="1">
      <c r="A23" s="23">
        <v>38.0</v>
      </c>
      <c r="B23" s="23" t="s">
        <v>20</v>
      </c>
      <c r="C23" s="23">
        <v>1040250.0</v>
      </c>
      <c r="D23" s="234">
        <v>46217.0</v>
      </c>
      <c r="E23" s="29">
        <v>4548.0</v>
      </c>
      <c r="F23" s="23"/>
      <c r="G23" s="23" t="s">
        <v>19</v>
      </c>
      <c r="H23" s="17"/>
      <c r="I23" s="14"/>
      <c r="J23" s="14"/>
      <c r="K23" s="17"/>
    </row>
    <row r="24" ht="13.5" customHeight="1">
      <c r="A24" s="23">
        <v>39.0</v>
      </c>
      <c r="B24" s="23" t="s">
        <v>20</v>
      </c>
      <c r="C24" s="23">
        <v>1200393.0</v>
      </c>
      <c r="D24" s="234">
        <v>46217.0</v>
      </c>
      <c r="E24" s="29">
        <v>8340.66</v>
      </c>
      <c r="F24" s="23"/>
      <c r="G24" s="23" t="s">
        <v>19</v>
      </c>
      <c r="H24" s="17"/>
      <c r="I24" s="14"/>
      <c r="J24" s="14"/>
      <c r="K24" s="17"/>
    </row>
    <row r="25" ht="13.5" customHeight="1">
      <c r="A25" s="14">
        <v>41.0</v>
      </c>
      <c r="B25" s="14" t="s">
        <v>47</v>
      </c>
      <c r="C25" s="14">
        <v>1040500.0</v>
      </c>
      <c r="D25" s="232">
        <v>46217.0</v>
      </c>
      <c r="E25" s="17">
        <v>6322.81</v>
      </c>
      <c r="F25" s="14"/>
      <c r="G25" s="14" t="s">
        <v>19</v>
      </c>
      <c r="H25" s="17"/>
      <c r="I25" s="14"/>
      <c r="J25" s="14"/>
      <c r="K25" s="17"/>
    </row>
    <row r="26" ht="13.5" customHeight="1">
      <c r="A26" s="23">
        <v>42.0</v>
      </c>
      <c r="B26" s="23" t="s">
        <v>20</v>
      </c>
      <c r="C26" s="23">
        <v>1040109.0</v>
      </c>
      <c r="D26" s="234">
        <v>46217.0</v>
      </c>
      <c r="E26" s="29">
        <v>1835.0</v>
      </c>
      <c r="F26" s="23"/>
      <c r="G26" s="23" t="s">
        <v>11</v>
      </c>
      <c r="H26" s="17"/>
      <c r="I26" s="14"/>
      <c r="J26" s="14"/>
      <c r="K26" s="17"/>
    </row>
    <row r="27" ht="13.5" customHeight="1">
      <c r="A27" s="23">
        <v>43.0</v>
      </c>
      <c r="B27" s="23" t="s">
        <v>20</v>
      </c>
      <c r="C27" s="23">
        <v>1040109.0</v>
      </c>
      <c r="D27" s="234">
        <v>46217.0</v>
      </c>
      <c r="E27" s="29">
        <v>1500.0</v>
      </c>
      <c r="F27" s="23"/>
      <c r="G27" s="23" t="s">
        <v>11</v>
      </c>
      <c r="H27" s="17"/>
      <c r="I27" s="14"/>
      <c r="J27" s="14"/>
      <c r="K27" s="17"/>
    </row>
    <row r="28" ht="13.5" customHeight="1">
      <c r="A28" s="23">
        <v>44.0</v>
      </c>
      <c r="B28" s="23" t="s">
        <v>20</v>
      </c>
      <c r="C28" s="23">
        <v>1040109.0</v>
      </c>
      <c r="D28" s="234">
        <v>46217.0</v>
      </c>
      <c r="E28" s="29">
        <v>188.94</v>
      </c>
      <c r="F28" s="23"/>
      <c r="G28" s="23" t="s">
        <v>11</v>
      </c>
      <c r="H28" s="17"/>
      <c r="I28" s="14"/>
      <c r="J28" s="14"/>
      <c r="K28" s="17"/>
    </row>
    <row r="29" ht="13.5" customHeight="1">
      <c r="A29" s="23">
        <v>45.0</v>
      </c>
      <c r="B29" s="23" t="s">
        <v>20</v>
      </c>
      <c r="C29" s="23">
        <v>1040109.0</v>
      </c>
      <c r="D29" s="234">
        <v>46217.0</v>
      </c>
      <c r="E29" s="29">
        <v>2178.59</v>
      </c>
      <c r="F29" s="23"/>
      <c r="G29" s="23" t="s">
        <v>11</v>
      </c>
      <c r="H29" s="17"/>
      <c r="I29" s="14"/>
      <c r="J29" s="14"/>
      <c r="K29" s="17"/>
    </row>
    <row r="30" ht="13.5" customHeight="1">
      <c r="A30" s="23">
        <v>47.0</v>
      </c>
      <c r="B30" s="23" t="s">
        <v>20</v>
      </c>
      <c r="C30" s="23">
        <v>1040109.0</v>
      </c>
      <c r="D30" s="234">
        <v>46217.0</v>
      </c>
      <c r="E30" s="29">
        <v>26118.0</v>
      </c>
      <c r="F30" s="23"/>
      <c r="G30" s="23" t="s">
        <v>11</v>
      </c>
      <c r="H30" s="17"/>
      <c r="I30" s="14"/>
      <c r="J30" s="14"/>
      <c r="K30" s="17"/>
    </row>
    <row r="31" ht="13.5" customHeight="1">
      <c r="A31" s="23">
        <v>50.0</v>
      </c>
      <c r="B31" s="23" t="s">
        <v>20</v>
      </c>
      <c r="C31" s="23">
        <v>1040109.0</v>
      </c>
      <c r="D31" s="234">
        <v>46217.0</v>
      </c>
      <c r="E31" s="29">
        <v>1450.0</v>
      </c>
      <c r="F31" s="23"/>
      <c r="G31" s="23" t="s">
        <v>11</v>
      </c>
      <c r="H31" s="17"/>
      <c r="I31" s="14"/>
      <c r="J31" s="14"/>
      <c r="K31" s="17"/>
    </row>
    <row r="32" ht="13.5" customHeight="1">
      <c r="A32" s="23">
        <v>51.0</v>
      </c>
      <c r="B32" s="23" t="s">
        <v>20</v>
      </c>
      <c r="C32" s="23">
        <v>1040109.0</v>
      </c>
      <c r="D32" s="234">
        <v>46217.0</v>
      </c>
      <c r="E32" s="29">
        <v>14350.0</v>
      </c>
      <c r="F32" s="23"/>
      <c r="G32" s="23" t="s">
        <v>11</v>
      </c>
      <c r="H32" s="17"/>
      <c r="I32" s="14"/>
      <c r="J32" s="14"/>
      <c r="K32" s="17"/>
    </row>
    <row r="33" ht="13.5" customHeight="1">
      <c r="A33" s="23">
        <v>52.0</v>
      </c>
      <c r="B33" s="23" t="s">
        <v>20</v>
      </c>
      <c r="C33" s="23">
        <v>1040109.0</v>
      </c>
      <c r="D33" s="234">
        <v>46217.0</v>
      </c>
      <c r="E33" s="29">
        <v>18100.0</v>
      </c>
      <c r="F33" s="23"/>
      <c r="G33" s="23" t="s">
        <v>11</v>
      </c>
      <c r="H33" s="17"/>
      <c r="I33" s="14"/>
      <c r="J33" s="14"/>
      <c r="K33" s="17"/>
    </row>
    <row r="34" ht="13.5" customHeight="1">
      <c r="A34" s="14"/>
      <c r="B34" s="14"/>
      <c r="C34" s="14"/>
      <c r="D34" s="232"/>
      <c r="E34" s="17"/>
      <c r="F34" s="14"/>
      <c r="G34" s="14"/>
      <c r="H34" s="17"/>
      <c r="I34" s="14"/>
      <c r="J34" s="14"/>
      <c r="K34" s="17"/>
    </row>
    <row r="35" ht="13.5" customHeight="1">
      <c r="A35" s="14"/>
      <c r="B35" s="14"/>
      <c r="C35" s="14"/>
      <c r="D35" s="232"/>
      <c r="E35" s="17"/>
      <c r="F35" s="14"/>
      <c r="G35" s="14"/>
      <c r="H35" s="17"/>
      <c r="I35" s="14"/>
      <c r="J35" s="14"/>
      <c r="K35" s="17"/>
    </row>
    <row r="36" ht="13.5" customHeight="1">
      <c r="A36" s="14"/>
      <c r="B36" s="14"/>
      <c r="C36" s="14"/>
      <c r="D36" s="232"/>
      <c r="E36" s="17"/>
      <c r="F36" s="14"/>
      <c r="G36" s="14"/>
      <c r="H36" s="17"/>
      <c r="I36" s="14"/>
      <c r="J36" s="14"/>
      <c r="K36" s="17"/>
    </row>
    <row r="37" ht="13.5" customHeight="1">
      <c r="A37" s="14"/>
      <c r="B37" s="14"/>
      <c r="C37" s="14"/>
      <c r="D37" s="232"/>
      <c r="E37" s="17"/>
      <c r="F37" s="14"/>
      <c r="G37" s="14"/>
      <c r="H37" s="17"/>
      <c r="I37" s="14"/>
      <c r="J37" s="14"/>
      <c r="K37" s="17"/>
    </row>
    <row r="38" ht="13.5" customHeight="1">
      <c r="D38" s="117"/>
      <c r="E38" s="51"/>
      <c r="H38" s="51"/>
      <c r="K38" s="51"/>
    </row>
    <row r="39" ht="13.5" customHeight="1">
      <c r="D39" s="117"/>
      <c r="E39" s="51"/>
      <c r="H39" s="51"/>
      <c r="K39" s="51"/>
    </row>
    <row r="40" ht="13.5" customHeight="1">
      <c r="D40" s="117"/>
      <c r="E40" s="51"/>
      <c r="H40" s="51"/>
      <c r="K40" s="51"/>
    </row>
    <row r="41" ht="13.5" customHeight="1">
      <c r="D41" s="117"/>
      <c r="E41" s="51"/>
      <c r="H41" s="51"/>
      <c r="K41" s="51"/>
    </row>
    <row r="42" ht="13.5" customHeight="1">
      <c r="D42" s="117"/>
      <c r="E42" s="51"/>
      <c r="H42" s="51"/>
      <c r="K42" s="51"/>
    </row>
    <row r="43" ht="13.5" customHeight="1">
      <c r="D43" s="19"/>
      <c r="E43" s="51"/>
      <c r="H43" s="51"/>
      <c r="K43" s="51"/>
    </row>
    <row r="44" ht="13.5" customHeight="1">
      <c r="D44" s="19"/>
      <c r="E44" s="51"/>
      <c r="H44" s="51"/>
      <c r="K44" s="51"/>
    </row>
    <row r="45" ht="13.5" customHeight="1">
      <c r="D45" s="19"/>
      <c r="E45" s="51"/>
      <c r="H45" s="51"/>
      <c r="K45" s="51"/>
    </row>
    <row r="46" ht="13.5" customHeight="1">
      <c r="D46" s="19"/>
      <c r="E46" s="51"/>
      <c r="H46" s="51"/>
      <c r="K46" s="51"/>
    </row>
    <row r="47" ht="13.5" customHeight="1">
      <c r="D47" s="19"/>
      <c r="E47" s="51"/>
      <c r="H47" s="51"/>
      <c r="K47" s="51"/>
    </row>
    <row r="48" ht="13.5" customHeight="1">
      <c r="D48" s="19"/>
      <c r="E48" s="51"/>
      <c r="H48" s="51"/>
      <c r="K48" s="51"/>
    </row>
    <row r="49" ht="13.5" customHeight="1">
      <c r="D49" s="19"/>
      <c r="E49" s="51"/>
      <c r="H49" s="51"/>
      <c r="K49" s="51"/>
    </row>
    <row r="50" ht="13.5" customHeight="1">
      <c r="D50" s="19"/>
      <c r="E50" s="51"/>
      <c r="H50" s="51"/>
      <c r="K50" s="51"/>
    </row>
    <row r="51" ht="13.5" customHeight="1">
      <c r="D51" s="19"/>
      <c r="E51" s="51"/>
      <c r="H51" s="51"/>
      <c r="K51" s="51"/>
    </row>
    <row r="52" ht="13.5" customHeight="1">
      <c r="D52" s="19"/>
      <c r="E52" s="51"/>
      <c r="H52" s="51"/>
      <c r="K52" s="51"/>
    </row>
    <row r="53" ht="13.5" customHeight="1">
      <c r="D53" s="19"/>
      <c r="E53" s="51"/>
      <c r="H53" s="51"/>
      <c r="K53" s="51"/>
    </row>
    <row r="54" ht="13.5" customHeight="1">
      <c r="D54" s="19"/>
      <c r="E54" s="51"/>
      <c r="H54" s="51"/>
      <c r="K54" s="51"/>
    </row>
    <row r="55" ht="13.5" customHeight="1">
      <c r="D55" s="19"/>
      <c r="E55" s="51"/>
      <c r="H55" s="51"/>
      <c r="K55" s="51"/>
    </row>
    <row r="56" ht="13.5" customHeight="1">
      <c r="D56" s="19"/>
      <c r="E56" s="51"/>
      <c r="H56" s="51"/>
      <c r="K56" s="51"/>
    </row>
    <row r="57" ht="13.5" customHeight="1">
      <c r="D57" s="19"/>
      <c r="E57" s="51"/>
      <c r="H57" s="51"/>
      <c r="K57" s="51"/>
    </row>
    <row r="58" ht="13.5" customHeight="1">
      <c r="D58" s="19"/>
      <c r="E58" s="51"/>
      <c r="H58" s="51"/>
      <c r="K58" s="51"/>
    </row>
    <row r="59" ht="13.5" customHeight="1">
      <c r="D59" s="19"/>
      <c r="E59" s="51"/>
      <c r="H59" s="51"/>
      <c r="K59" s="51"/>
    </row>
    <row r="60" ht="13.5" customHeight="1">
      <c r="D60" s="19"/>
      <c r="E60" s="51"/>
      <c r="H60" s="51"/>
      <c r="K60" s="51"/>
    </row>
    <row r="61" ht="13.5" customHeight="1">
      <c r="D61" s="19"/>
      <c r="E61" s="51"/>
      <c r="H61" s="51"/>
      <c r="K61" s="51"/>
    </row>
    <row r="62" ht="13.5" customHeight="1">
      <c r="D62" s="19"/>
      <c r="E62" s="51"/>
      <c r="H62" s="51"/>
      <c r="K62" s="51"/>
    </row>
    <row r="63" ht="13.5" customHeight="1">
      <c r="D63" s="19"/>
      <c r="E63" s="51"/>
      <c r="H63" s="51"/>
      <c r="K63" s="51"/>
    </row>
    <row r="64" ht="13.5" customHeight="1">
      <c r="D64" s="19"/>
      <c r="E64" s="51"/>
      <c r="H64" s="51"/>
      <c r="K64" s="51"/>
    </row>
    <row r="65" ht="13.5" customHeight="1">
      <c r="D65" s="19"/>
      <c r="E65" s="51"/>
      <c r="H65" s="51"/>
      <c r="K65" s="51"/>
    </row>
    <row r="66" ht="13.5" customHeight="1">
      <c r="D66" s="19"/>
      <c r="E66" s="51"/>
      <c r="H66" s="51"/>
      <c r="K66" s="51"/>
    </row>
    <row r="67" ht="13.5" customHeight="1">
      <c r="D67" s="19"/>
      <c r="E67" s="51"/>
      <c r="H67" s="51"/>
      <c r="K67" s="51"/>
    </row>
    <row r="68" ht="13.5" customHeight="1">
      <c r="D68" s="19"/>
      <c r="E68" s="51"/>
      <c r="H68" s="51"/>
      <c r="K68" s="51"/>
    </row>
    <row r="69" ht="13.5" customHeight="1">
      <c r="D69" s="19"/>
      <c r="E69" s="51"/>
      <c r="H69" s="51"/>
      <c r="K69" s="51"/>
    </row>
    <row r="70" ht="13.5" customHeight="1">
      <c r="D70" s="19"/>
      <c r="E70" s="51"/>
      <c r="H70" s="51"/>
      <c r="K70" s="51"/>
    </row>
    <row r="71" ht="13.5" customHeight="1">
      <c r="D71" s="19"/>
      <c r="E71" s="51"/>
      <c r="H71" s="51"/>
      <c r="K71" s="51"/>
    </row>
    <row r="72" ht="13.5" customHeight="1">
      <c r="D72" s="19"/>
      <c r="E72" s="51"/>
      <c r="H72" s="51"/>
      <c r="K72" s="51"/>
    </row>
    <row r="73" ht="13.5" customHeight="1">
      <c r="D73" s="19"/>
      <c r="E73" s="51"/>
      <c r="H73" s="51"/>
      <c r="K73" s="51"/>
    </row>
    <row r="74" ht="13.5" customHeight="1">
      <c r="D74" s="19"/>
      <c r="E74" s="51"/>
      <c r="H74" s="51"/>
      <c r="K74" s="51"/>
    </row>
    <row r="75" ht="13.5" customHeight="1">
      <c r="D75" s="19"/>
      <c r="E75" s="51"/>
      <c r="H75" s="51"/>
      <c r="K75" s="51"/>
    </row>
    <row r="76" ht="13.5" customHeight="1">
      <c r="D76" s="19"/>
      <c r="E76" s="51"/>
      <c r="H76" s="51"/>
      <c r="K76" s="51"/>
    </row>
    <row r="77" ht="13.5" customHeight="1">
      <c r="D77" s="19"/>
      <c r="E77" s="51"/>
      <c r="H77" s="51"/>
      <c r="K77" s="51"/>
    </row>
    <row r="78" ht="13.5" customHeight="1">
      <c r="D78" s="19"/>
      <c r="E78" s="51"/>
      <c r="H78" s="51"/>
      <c r="K78" s="51"/>
    </row>
    <row r="79" ht="13.5" customHeight="1">
      <c r="A79" s="61"/>
      <c r="B79" s="61"/>
      <c r="C79" s="61"/>
      <c r="D79" s="235"/>
      <c r="E79" s="75"/>
      <c r="F79" s="61"/>
      <c r="G79" s="61"/>
      <c r="H79" s="75"/>
      <c r="K79" s="51"/>
    </row>
    <row r="80" ht="13.5" customHeight="1">
      <c r="A80" s="61"/>
      <c r="B80" s="61"/>
      <c r="C80" s="61"/>
      <c r="D80" s="235"/>
      <c r="E80" s="75"/>
      <c r="F80" s="61"/>
      <c r="G80" s="61"/>
      <c r="H80" s="75"/>
      <c r="K80" s="51"/>
    </row>
    <row r="81" ht="13.5" customHeight="1">
      <c r="A81" s="61"/>
      <c r="B81" s="61"/>
      <c r="C81" s="61"/>
      <c r="D81" s="235"/>
      <c r="E81" s="75"/>
      <c r="F81" s="61"/>
      <c r="G81" s="61"/>
      <c r="H81" s="75"/>
      <c r="K81" s="51"/>
    </row>
    <row r="82" ht="13.5" customHeight="1">
      <c r="A82" s="61"/>
      <c r="B82" s="61"/>
      <c r="C82" s="61"/>
      <c r="D82" s="235"/>
      <c r="E82" s="75"/>
      <c r="F82" s="61"/>
      <c r="G82" s="61"/>
      <c r="H82" s="75"/>
      <c r="K82" s="51"/>
    </row>
    <row r="83" ht="13.5" customHeight="1">
      <c r="A83" s="61"/>
      <c r="B83" s="61"/>
      <c r="C83" s="61"/>
      <c r="D83" s="235"/>
      <c r="E83" s="75"/>
      <c r="F83" s="61"/>
      <c r="G83" s="61"/>
      <c r="H83" s="75"/>
      <c r="K83" s="51"/>
    </row>
    <row r="84" ht="13.5" customHeight="1">
      <c r="A84" s="61"/>
      <c r="B84" s="61"/>
      <c r="C84" s="61"/>
      <c r="D84" s="235"/>
      <c r="E84" s="75"/>
      <c r="F84" s="61"/>
      <c r="G84" s="61"/>
      <c r="H84" s="75"/>
      <c r="K84" s="51"/>
    </row>
    <row r="85" ht="13.5" customHeight="1">
      <c r="A85" s="61"/>
      <c r="B85" s="61"/>
      <c r="C85" s="61"/>
      <c r="D85" s="235"/>
      <c r="E85" s="75"/>
      <c r="F85" s="61"/>
      <c r="G85" s="61"/>
      <c r="H85" s="75"/>
      <c r="K85" s="51"/>
    </row>
    <row r="86" ht="13.5" customHeight="1">
      <c r="A86" s="61"/>
      <c r="B86" s="61"/>
      <c r="C86" s="61"/>
      <c r="D86" s="235"/>
      <c r="E86" s="75"/>
      <c r="F86" s="61"/>
      <c r="G86" s="61"/>
      <c r="H86" s="75"/>
      <c r="K86" s="51"/>
    </row>
    <row r="87" ht="13.5" customHeight="1">
      <c r="A87" s="61"/>
      <c r="B87" s="61"/>
      <c r="C87" s="61"/>
      <c r="D87" s="235"/>
      <c r="E87" s="75"/>
      <c r="F87" s="61"/>
      <c r="G87" s="61"/>
      <c r="H87" s="75"/>
      <c r="K87" s="51"/>
    </row>
    <row r="88" ht="13.5" customHeight="1">
      <c r="A88" s="61"/>
      <c r="B88" s="61"/>
      <c r="C88" s="61"/>
      <c r="D88" s="235"/>
      <c r="E88" s="75"/>
      <c r="F88" s="61"/>
      <c r="G88" s="61"/>
      <c r="H88" s="75"/>
      <c r="K88" s="51"/>
    </row>
    <row r="89" ht="13.5" customHeight="1">
      <c r="A89" s="61"/>
      <c r="B89" s="61"/>
      <c r="C89" s="61"/>
      <c r="D89" s="235"/>
      <c r="E89" s="75"/>
      <c r="F89" s="61"/>
      <c r="G89" s="61"/>
      <c r="H89" s="75"/>
      <c r="K89" s="51"/>
    </row>
    <row r="90" ht="13.5" customHeight="1">
      <c r="A90" s="61"/>
      <c r="B90" s="61"/>
      <c r="C90" s="61"/>
      <c r="D90" s="235"/>
      <c r="E90" s="75"/>
      <c r="F90" s="61"/>
      <c r="G90" s="61"/>
      <c r="H90" s="75"/>
      <c r="K90" s="51"/>
    </row>
    <row r="91" ht="13.5" customHeight="1">
      <c r="A91" s="61"/>
      <c r="B91" s="61"/>
      <c r="C91" s="61"/>
      <c r="D91" s="235"/>
      <c r="E91" s="75"/>
      <c r="F91" s="61"/>
      <c r="G91" s="61"/>
      <c r="H91" s="75"/>
      <c r="K91" s="51"/>
    </row>
    <row r="92" ht="13.5" customHeight="1">
      <c r="A92" s="61"/>
      <c r="B92" s="61"/>
      <c r="C92" s="61"/>
      <c r="D92" s="235"/>
      <c r="E92" s="75"/>
      <c r="F92" s="61"/>
      <c r="G92" s="61"/>
      <c r="H92" s="75"/>
      <c r="K92" s="51"/>
    </row>
    <row r="93" ht="13.5" customHeight="1">
      <c r="A93" s="61"/>
      <c r="B93" s="61"/>
      <c r="C93" s="61"/>
      <c r="D93" s="235"/>
      <c r="E93" s="75"/>
      <c r="F93" s="61"/>
      <c r="G93" s="61"/>
      <c r="H93" s="75"/>
      <c r="K93" s="51"/>
    </row>
    <row r="94" ht="13.5" customHeight="1">
      <c r="A94" s="61"/>
      <c r="B94" s="61"/>
      <c r="C94" s="61"/>
      <c r="D94" s="235"/>
      <c r="E94" s="75"/>
      <c r="F94" s="61"/>
      <c r="G94" s="61"/>
      <c r="H94" s="75"/>
      <c r="K94" s="51"/>
    </row>
    <row r="95" ht="13.5" customHeight="1">
      <c r="A95" s="61"/>
      <c r="B95" s="61"/>
      <c r="C95" s="61"/>
      <c r="D95" s="235"/>
      <c r="E95" s="75"/>
      <c r="F95" s="61"/>
      <c r="G95" s="61"/>
      <c r="H95" s="75"/>
      <c r="K95" s="51"/>
    </row>
    <row r="96" ht="13.5" customHeight="1">
      <c r="A96" s="61"/>
      <c r="B96" s="61"/>
      <c r="C96" s="61"/>
      <c r="D96" s="235"/>
      <c r="E96" s="75"/>
      <c r="F96" s="61"/>
      <c r="G96" s="61"/>
      <c r="H96" s="75"/>
      <c r="K96" s="51"/>
    </row>
    <row r="97" ht="13.5" customHeight="1">
      <c r="A97" s="61"/>
      <c r="B97" s="61"/>
      <c r="C97" s="61"/>
      <c r="D97" s="235"/>
      <c r="E97" s="75"/>
      <c r="F97" s="61"/>
      <c r="G97" s="61"/>
      <c r="H97" s="75"/>
      <c r="K97" s="51"/>
    </row>
    <row r="98" ht="13.5" customHeight="1">
      <c r="A98" s="61"/>
      <c r="B98" s="61"/>
      <c r="C98" s="61"/>
      <c r="D98" s="235"/>
      <c r="E98" s="75"/>
      <c r="F98" s="61"/>
      <c r="G98" s="61"/>
      <c r="H98" s="75"/>
      <c r="K98" s="51"/>
    </row>
    <row r="99" ht="13.5" customHeight="1">
      <c r="A99" s="61"/>
      <c r="B99" s="61"/>
      <c r="C99" s="61"/>
      <c r="D99" s="235"/>
      <c r="E99" s="75"/>
      <c r="F99" s="61"/>
      <c r="G99" s="61"/>
      <c r="H99" s="75"/>
      <c r="K99" s="51"/>
    </row>
    <row r="100" ht="13.5" customHeight="1">
      <c r="A100" s="61"/>
      <c r="B100" s="61"/>
      <c r="C100" s="61"/>
      <c r="D100" s="235"/>
      <c r="E100" s="75"/>
      <c r="F100" s="61"/>
      <c r="G100" s="61"/>
      <c r="H100" s="75"/>
      <c r="K100" s="51"/>
    </row>
    <row r="101" ht="13.5" customHeight="1">
      <c r="A101" s="61"/>
      <c r="B101" s="61"/>
      <c r="C101" s="61"/>
      <c r="D101" s="235"/>
      <c r="E101" s="75"/>
      <c r="F101" s="61"/>
      <c r="G101" s="61"/>
      <c r="H101" s="75"/>
      <c r="K101" s="51"/>
    </row>
    <row r="102" ht="13.5" customHeight="1">
      <c r="A102" s="61"/>
      <c r="B102" s="61"/>
      <c r="C102" s="61"/>
      <c r="D102" s="235"/>
      <c r="E102" s="75"/>
      <c r="F102" s="61"/>
      <c r="G102" s="61"/>
      <c r="H102" s="75"/>
      <c r="K102" s="51"/>
    </row>
    <row r="103" ht="13.5" customHeight="1">
      <c r="A103" s="61"/>
      <c r="B103" s="61"/>
      <c r="C103" s="61"/>
      <c r="D103" s="235"/>
      <c r="E103" s="75"/>
      <c r="F103" s="61"/>
      <c r="G103" s="61"/>
      <c r="H103" s="75"/>
      <c r="K103" s="51"/>
    </row>
    <row r="104" ht="13.5" customHeight="1">
      <c r="A104" s="61"/>
      <c r="B104" s="61"/>
      <c r="C104" s="61"/>
      <c r="D104" s="235"/>
      <c r="E104" s="75"/>
      <c r="F104" s="61"/>
      <c r="G104" s="61"/>
      <c r="H104" s="75"/>
      <c r="K104" s="51"/>
    </row>
    <row r="105" ht="13.5" customHeight="1">
      <c r="A105" s="61"/>
      <c r="B105" s="61"/>
      <c r="C105" s="61"/>
      <c r="D105" s="235"/>
      <c r="E105" s="75"/>
      <c r="F105" s="61"/>
      <c r="G105" s="61"/>
      <c r="H105" s="75"/>
      <c r="K105" s="51"/>
    </row>
    <row r="106" ht="13.5" customHeight="1">
      <c r="A106" s="61"/>
      <c r="B106" s="61"/>
      <c r="C106" s="61"/>
      <c r="D106" s="235"/>
      <c r="E106" s="75"/>
      <c r="F106" s="61"/>
      <c r="G106" s="61"/>
      <c r="H106" s="75"/>
      <c r="K106" s="51"/>
    </row>
    <row r="107" ht="13.5" customHeight="1">
      <c r="A107" s="61"/>
      <c r="B107" s="61"/>
      <c r="C107" s="61"/>
      <c r="D107" s="235"/>
      <c r="E107" s="75"/>
      <c r="F107" s="61"/>
      <c r="G107" s="61"/>
      <c r="H107" s="75"/>
      <c r="K107" s="51"/>
    </row>
    <row r="108" ht="13.5" customHeight="1">
      <c r="A108" s="61"/>
      <c r="B108" s="61"/>
      <c r="C108" s="61"/>
      <c r="D108" s="235"/>
      <c r="E108" s="75"/>
      <c r="F108" s="61"/>
      <c r="G108" s="61"/>
      <c r="H108" s="75"/>
      <c r="K108" s="51"/>
    </row>
    <row r="109" ht="13.5" customHeight="1">
      <c r="A109" s="61"/>
      <c r="B109" s="61"/>
      <c r="C109" s="61"/>
      <c r="D109" s="235"/>
      <c r="E109" s="75"/>
      <c r="F109" s="61"/>
      <c r="G109" s="61"/>
      <c r="H109" s="75"/>
      <c r="K109" s="51"/>
    </row>
    <row r="110" ht="13.5" customHeight="1">
      <c r="A110" s="61"/>
      <c r="B110" s="61"/>
      <c r="C110" s="61"/>
      <c r="D110" s="235"/>
      <c r="E110" s="75"/>
      <c r="F110" s="61"/>
      <c r="G110" s="61"/>
      <c r="H110" s="75"/>
      <c r="K110" s="51"/>
    </row>
    <row r="111" ht="13.5" customHeight="1">
      <c r="A111" s="61"/>
      <c r="B111" s="61"/>
      <c r="C111" s="61"/>
      <c r="D111" s="235"/>
      <c r="E111" s="75"/>
      <c r="F111" s="61"/>
      <c r="G111" s="61"/>
      <c r="H111" s="75"/>
      <c r="K111" s="51"/>
    </row>
    <row r="112" ht="13.5" customHeight="1">
      <c r="A112" s="61"/>
      <c r="B112" s="61"/>
      <c r="C112" s="61"/>
      <c r="D112" s="235"/>
      <c r="E112" s="75"/>
      <c r="F112" s="61"/>
      <c r="G112" s="61"/>
      <c r="H112" s="75"/>
      <c r="K112" s="51"/>
    </row>
    <row r="113" ht="13.5" customHeight="1">
      <c r="A113" s="61"/>
      <c r="B113" s="61"/>
      <c r="C113" s="61"/>
      <c r="D113" s="235"/>
      <c r="E113" s="75"/>
      <c r="F113" s="61"/>
      <c r="G113" s="61"/>
      <c r="H113" s="75"/>
      <c r="K113" s="51"/>
    </row>
    <row r="114" ht="13.5" customHeight="1">
      <c r="A114" s="61"/>
      <c r="B114" s="61"/>
      <c r="C114" s="61"/>
      <c r="D114" s="235"/>
      <c r="E114" s="75"/>
      <c r="F114" s="61"/>
      <c r="G114" s="61"/>
      <c r="H114" s="75"/>
      <c r="K114" s="51"/>
    </row>
    <row r="115" ht="13.5" customHeight="1">
      <c r="A115" s="61"/>
      <c r="B115" s="61"/>
      <c r="C115" s="61"/>
      <c r="D115" s="235"/>
      <c r="E115" s="75"/>
      <c r="F115" s="61"/>
      <c r="G115" s="61"/>
      <c r="H115" s="75"/>
      <c r="K115" s="51"/>
    </row>
    <row r="116" ht="13.5" customHeight="1">
      <c r="A116" s="61"/>
      <c r="B116" s="61"/>
      <c r="C116" s="61"/>
      <c r="D116" s="235"/>
      <c r="E116" s="75"/>
      <c r="F116" s="61"/>
      <c r="G116" s="61"/>
      <c r="H116" s="75"/>
      <c r="K116" s="51"/>
    </row>
    <row r="117" ht="13.5" customHeight="1">
      <c r="A117" s="61"/>
      <c r="B117" s="61"/>
      <c r="C117" s="61"/>
      <c r="D117" s="235"/>
      <c r="E117" s="75"/>
      <c r="F117" s="61"/>
      <c r="G117" s="61"/>
      <c r="H117" s="75"/>
      <c r="K117" s="51"/>
    </row>
    <row r="118" ht="13.5" customHeight="1">
      <c r="A118" s="61"/>
      <c r="B118" s="61"/>
      <c r="C118" s="61"/>
      <c r="D118" s="235"/>
      <c r="E118" s="75"/>
      <c r="F118" s="61"/>
      <c r="G118" s="61"/>
      <c r="H118" s="75"/>
      <c r="K118" s="51"/>
    </row>
    <row r="119" ht="13.5" customHeight="1">
      <c r="A119" s="61"/>
      <c r="B119" s="61"/>
      <c r="C119" s="61"/>
      <c r="D119" s="235"/>
      <c r="E119" s="75"/>
      <c r="F119" s="61"/>
      <c r="G119" s="61"/>
      <c r="H119" s="75"/>
      <c r="K119" s="51"/>
    </row>
    <row r="120" ht="13.5" customHeight="1">
      <c r="A120" s="61"/>
      <c r="B120" s="61"/>
      <c r="C120" s="61"/>
      <c r="D120" s="235"/>
      <c r="E120" s="75"/>
      <c r="F120" s="61"/>
      <c r="G120" s="61"/>
      <c r="H120" s="75"/>
      <c r="K120" s="51"/>
    </row>
    <row r="121" ht="13.5" customHeight="1">
      <c r="A121" s="61"/>
      <c r="B121" s="61"/>
      <c r="C121" s="61"/>
      <c r="D121" s="235"/>
      <c r="E121" s="75"/>
      <c r="F121" s="61"/>
      <c r="G121" s="61"/>
      <c r="H121" s="75"/>
      <c r="K121" s="51"/>
    </row>
    <row r="122" ht="13.5" customHeight="1">
      <c r="A122" s="61"/>
      <c r="B122" s="61"/>
      <c r="C122" s="61"/>
      <c r="D122" s="235"/>
      <c r="E122" s="75"/>
      <c r="F122" s="61"/>
      <c r="G122" s="61"/>
      <c r="H122" s="75"/>
      <c r="K122" s="51"/>
    </row>
    <row r="123" ht="13.5" customHeight="1">
      <c r="A123" s="61"/>
      <c r="B123" s="61"/>
      <c r="C123" s="61"/>
      <c r="D123" s="235"/>
      <c r="E123" s="75"/>
      <c r="F123" s="61"/>
      <c r="G123" s="61"/>
      <c r="H123" s="75"/>
      <c r="K123" s="51"/>
    </row>
    <row r="124" ht="13.5" customHeight="1">
      <c r="A124" s="61"/>
      <c r="B124" s="61"/>
      <c r="C124" s="61"/>
      <c r="D124" s="235"/>
      <c r="E124" s="75"/>
      <c r="F124" s="61"/>
      <c r="G124" s="61"/>
      <c r="H124" s="75"/>
      <c r="K124" s="51"/>
    </row>
    <row r="125" ht="13.5" customHeight="1">
      <c r="A125" s="61"/>
      <c r="B125" s="61"/>
      <c r="C125" s="61"/>
      <c r="D125" s="235"/>
      <c r="E125" s="75"/>
      <c r="F125" s="61"/>
      <c r="G125" s="61"/>
      <c r="H125" s="75"/>
      <c r="K125" s="51"/>
    </row>
    <row r="126" ht="13.5" customHeight="1">
      <c r="A126" s="61"/>
      <c r="B126" s="61"/>
      <c r="C126" s="61"/>
      <c r="D126" s="235"/>
      <c r="E126" s="75"/>
      <c r="F126" s="61"/>
      <c r="G126" s="61"/>
      <c r="H126" s="75"/>
      <c r="K126" s="51"/>
    </row>
    <row r="127" ht="13.5" customHeight="1">
      <c r="A127" s="61"/>
      <c r="B127" s="61"/>
      <c r="C127" s="61"/>
      <c r="D127" s="235"/>
      <c r="E127" s="75"/>
      <c r="F127" s="61"/>
      <c r="G127" s="61"/>
      <c r="H127" s="75"/>
      <c r="K127" s="51"/>
    </row>
    <row r="128" ht="13.5" customHeight="1">
      <c r="A128" s="61"/>
      <c r="B128" s="61"/>
      <c r="C128" s="61"/>
      <c r="D128" s="235"/>
      <c r="E128" s="75"/>
      <c r="F128" s="61"/>
      <c r="G128" s="61"/>
      <c r="H128" s="75"/>
      <c r="K128" s="51"/>
    </row>
    <row r="129" ht="13.5" customHeight="1">
      <c r="A129" s="61"/>
      <c r="B129" s="61"/>
      <c r="C129" s="61"/>
      <c r="D129" s="235"/>
      <c r="E129" s="75"/>
      <c r="F129" s="61"/>
      <c r="G129" s="61"/>
      <c r="H129" s="75"/>
      <c r="K129" s="51"/>
    </row>
    <row r="130" ht="13.5" customHeight="1">
      <c r="A130" s="61"/>
      <c r="B130" s="61"/>
      <c r="C130" s="61"/>
      <c r="D130" s="235"/>
      <c r="E130" s="75"/>
      <c r="F130" s="61"/>
      <c r="G130" s="61"/>
      <c r="H130" s="75"/>
      <c r="K130" s="51"/>
    </row>
    <row r="131" ht="13.5" customHeight="1">
      <c r="A131" s="61"/>
      <c r="B131" s="61"/>
      <c r="C131" s="61"/>
      <c r="D131" s="235"/>
      <c r="E131" s="75"/>
      <c r="F131" s="61"/>
      <c r="G131" s="61"/>
      <c r="H131" s="75"/>
      <c r="K131" s="51"/>
    </row>
    <row r="132" ht="13.5" customHeight="1">
      <c r="A132" s="61"/>
      <c r="B132" s="61"/>
      <c r="C132" s="61"/>
      <c r="D132" s="235"/>
      <c r="E132" s="75"/>
      <c r="F132" s="61"/>
      <c r="G132" s="61"/>
      <c r="H132" s="75"/>
      <c r="K132" s="51"/>
    </row>
    <row r="133" ht="13.5" customHeight="1">
      <c r="A133" s="61"/>
      <c r="B133" s="61"/>
      <c r="C133" s="61"/>
      <c r="D133" s="235"/>
      <c r="E133" s="75"/>
      <c r="F133" s="61"/>
      <c r="G133" s="61"/>
      <c r="H133" s="75"/>
      <c r="K133" s="51"/>
    </row>
    <row r="134" ht="13.5" customHeight="1">
      <c r="A134" s="61"/>
      <c r="B134" s="61"/>
      <c r="C134" s="61"/>
      <c r="D134" s="235"/>
      <c r="E134" s="75"/>
      <c r="F134" s="61"/>
      <c r="G134" s="61"/>
      <c r="H134" s="75"/>
      <c r="K134" s="51"/>
    </row>
    <row r="135" ht="13.5" customHeight="1">
      <c r="A135" s="61"/>
      <c r="B135" s="61"/>
      <c r="C135" s="61"/>
      <c r="D135" s="235"/>
      <c r="E135" s="75"/>
      <c r="F135" s="61"/>
      <c r="G135" s="61"/>
      <c r="H135" s="75"/>
      <c r="K135" s="51"/>
    </row>
    <row r="136" ht="13.5" customHeight="1">
      <c r="A136" s="61"/>
      <c r="B136" s="61"/>
      <c r="C136" s="61"/>
      <c r="D136" s="235"/>
      <c r="E136" s="75"/>
      <c r="F136" s="61"/>
      <c r="G136" s="61"/>
      <c r="H136" s="75"/>
      <c r="K136" s="51"/>
    </row>
    <row r="137" ht="13.5" customHeight="1">
      <c r="A137" s="61"/>
      <c r="B137" s="61"/>
      <c r="C137" s="61"/>
      <c r="D137" s="235"/>
      <c r="E137" s="75"/>
      <c r="F137" s="61"/>
      <c r="G137" s="61"/>
      <c r="H137" s="75"/>
      <c r="K137" s="51"/>
    </row>
    <row r="138" ht="13.5" customHeight="1">
      <c r="A138" s="61"/>
      <c r="B138" s="61"/>
      <c r="C138" s="61"/>
      <c r="D138" s="235"/>
      <c r="E138" s="75"/>
      <c r="F138" s="61"/>
      <c r="G138" s="61"/>
      <c r="H138" s="75"/>
      <c r="K138" s="51"/>
    </row>
    <row r="139" ht="13.5" customHeight="1">
      <c r="A139" s="61"/>
      <c r="B139" s="61"/>
      <c r="C139" s="61"/>
      <c r="D139" s="235"/>
      <c r="E139" s="75"/>
      <c r="F139" s="61"/>
      <c r="G139" s="61"/>
      <c r="H139" s="75"/>
      <c r="K139" s="51"/>
    </row>
    <row r="140" ht="13.5" customHeight="1">
      <c r="A140" s="61"/>
      <c r="B140" s="61"/>
      <c r="C140" s="61"/>
      <c r="D140" s="235"/>
      <c r="E140" s="75"/>
      <c r="F140" s="61"/>
      <c r="G140" s="61"/>
      <c r="H140" s="75"/>
      <c r="K140" s="51"/>
    </row>
    <row r="141" ht="13.5" customHeight="1">
      <c r="A141" s="61"/>
      <c r="B141" s="61"/>
      <c r="C141" s="61"/>
      <c r="D141" s="235"/>
      <c r="E141" s="75"/>
      <c r="F141" s="61"/>
      <c r="G141" s="61"/>
      <c r="H141" s="75"/>
      <c r="K141" s="51"/>
    </row>
    <row r="142" ht="13.5" customHeight="1">
      <c r="A142" s="61"/>
      <c r="B142" s="61"/>
      <c r="C142" s="61"/>
      <c r="D142" s="235"/>
      <c r="E142" s="75"/>
      <c r="F142" s="61"/>
      <c r="G142" s="61"/>
      <c r="H142" s="75"/>
      <c r="K142" s="51"/>
    </row>
    <row r="143" ht="13.5" customHeight="1">
      <c r="A143" s="61"/>
      <c r="B143" s="61"/>
      <c r="C143" s="61"/>
      <c r="D143" s="235"/>
      <c r="E143" s="75"/>
      <c r="F143" s="61"/>
      <c r="G143" s="61"/>
      <c r="H143" s="75"/>
      <c r="K143" s="51"/>
    </row>
    <row r="144" ht="13.5" customHeight="1">
      <c r="A144" s="61"/>
      <c r="B144" s="61"/>
      <c r="C144" s="61"/>
      <c r="D144" s="235"/>
      <c r="E144" s="75"/>
      <c r="F144" s="61"/>
      <c r="G144" s="61"/>
      <c r="H144" s="75"/>
      <c r="K144" s="51"/>
    </row>
    <row r="145" ht="13.5" customHeight="1">
      <c r="A145" s="61"/>
      <c r="B145" s="61"/>
      <c r="C145" s="61"/>
      <c r="D145" s="235"/>
      <c r="E145" s="75"/>
      <c r="F145" s="61"/>
      <c r="G145" s="61"/>
      <c r="H145" s="75"/>
      <c r="K145" s="51"/>
    </row>
    <row r="146" ht="13.5" customHeight="1">
      <c r="A146" s="61"/>
      <c r="B146" s="61"/>
      <c r="C146" s="61"/>
      <c r="D146" s="235"/>
      <c r="E146" s="75"/>
      <c r="F146" s="61"/>
      <c r="G146" s="61"/>
      <c r="H146" s="75"/>
      <c r="K146" s="51"/>
    </row>
    <row r="147" ht="13.5" customHeight="1">
      <c r="A147" s="61"/>
      <c r="B147" s="61"/>
      <c r="C147" s="61"/>
      <c r="D147" s="235"/>
      <c r="E147" s="75"/>
      <c r="F147" s="61"/>
      <c r="G147" s="61"/>
      <c r="H147" s="75"/>
      <c r="K147" s="51"/>
    </row>
    <row r="148" ht="13.5" customHeight="1">
      <c r="A148" s="61"/>
      <c r="B148" s="61"/>
      <c r="C148" s="61"/>
      <c r="D148" s="235"/>
      <c r="E148" s="75"/>
      <c r="F148" s="61"/>
      <c r="G148" s="61"/>
      <c r="H148" s="75"/>
      <c r="K148" s="51"/>
    </row>
    <row r="149" ht="13.5" customHeight="1">
      <c r="A149" s="61"/>
      <c r="B149" s="61"/>
      <c r="C149" s="61"/>
      <c r="D149" s="235"/>
      <c r="E149" s="75"/>
      <c r="F149" s="61"/>
      <c r="G149" s="61"/>
      <c r="H149" s="75"/>
      <c r="K149" s="51"/>
    </row>
    <row r="150" ht="13.5" customHeight="1">
      <c r="A150" s="61"/>
      <c r="B150" s="61"/>
      <c r="C150" s="61"/>
      <c r="D150" s="235"/>
      <c r="E150" s="75"/>
      <c r="F150" s="61"/>
      <c r="G150" s="61"/>
      <c r="H150" s="75"/>
      <c r="K150" s="51"/>
    </row>
    <row r="151" ht="13.5" customHeight="1">
      <c r="A151" s="61"/>
      <c r="B151" s="61"/>
      <c r="C151" s="61"/>
      <c r="D151" s="235"/>
      <c r="E151" s="75"/>
      <c r="F151" s="61"/>
      <c r="G151" s="61"/>
      <c r="H151" s="75"/>
      <c r="K151" s="51"/>
    </row>
    <row r="152" ht="13.5" customHeight="1">
      <c r="D152" s="19"/>
      <c r="E152" s="51"/>
      <c r="H152" s="51"/>
      <c r="K152" s="51"/>
    </row>
    <row r="153" ht="13.5" customHeight="1">
      <c r="D153" s="19"/>
      <c r="E153" s="51"/>
      <c r="H153" s="51"/>
      <c r="K153" s="51"/>
    </row>
    <row r="154" ht="13.5" customHeight="1">
      <c r="D154" s="19"/>
      <c r="E154" s="51"/>
      <c r="H154" s="51"/>
      <c r="K154" s="51"/>
    </row>
    <row r="155" ht="13.5" customHeight="1">
      <c r="D155" s="19"/>
      <c r="E155" s="51"/>
      <c r="H155" s="51"/>
      <c r="K155" s="51"/>
    </row>
    <row r="156" ht="13.5" customHeight="1">
      <c r="D156" s="19"/>
      <c r="E156" s="51"/>
      <c r="H156" s="51"/>
      <c r="K156" s="51"/>
    </row>
    <row r="157" ht="13.5" customHeight="1">
      <c r="D157" s="19"/>
      <c r="E157" s="51"/>
      <c r="H157" s="51"/>
      <c r="K157" s="51"/>
    </row>
    <row r="158" ht="13.5" customHeight="1">
      <c r="D158" s="19"/>
      <c r="E158" s="51"/>
      <c r="H158" s="51"/>
      <c r="K158" s="51"/>
    </row>
    <row r="159" ht="13.5" customHeight="1">
      <c r="D159" s="19"/>
      <c r="E159" s="51"/>
      <c r="H159" s="51"/>
      <c r="K159" s="51"/>
    </row>
    <row r="160" ht="13.5" customHeight="1">
      <c r="D160" s="19"/>
      <c r="E160" s="51"/>
      <c r="H160" s="51"/>
      <c r="K160" s="51"/>
    </row>
    <row r="161" ht="13.5" customHeight="1">
      <c r="D161" s="19"/>
      <c r="E161" s="51"/>
      <c r="H161" s="51"/>
      <c r="K161" s="51"/>
    </row>
    <row r="162" ht="13.5" customHeight="1">
      <c r="D162" s="19"/>
      <c r="E162" s="51"/>
      <c r="H162" s="51"/>
      <c r="K162" s="51"/>
    </row>
    <row r="163" ht="13.5" customHeight="1">
      <c r="D163" s="19"/>
      <c r="E163" s="51"/>
      <c r="H163" s="51"/>
      <c r="K163" s="51"/>
    </row>
    <row r="164" ht="13.5" customHeight="1">
      <c r="D164" s="19"/>
      <c r="E164" s="51"/>
      <c r="H164" s="51"/>
      <c r="K164" s="51"/>
    </row>
    <row r="165" ht="13.5" customHeight="1">
      <c r="D165" s="19"/>
      <c r="E165" s="51"/>
      <c r="H165" s="51"/>
      <c r="K165" s="51"/>
    </row>
    <row r="166" ht="13.5" customHeight="1">
      <c r="D166" s="19"/>
      <c r="E166" s="51"/>
      <c r="H166" s="51"/>
      <c r="K166" s="51"/>
    </row>
    <row r="167" ht="13.5" customHeight="1">
      <c r="D167" s="19"/>
      <c r="E167" s="51"/>
      <c r="H167" s="51"/>
      <c r="K167" s="51"/>
    </row>
    <row r="168" ht="13.5" customHeight="1">
      <c r="D168" s="19"/>
      <c r="E168" s="51"/>
      <c r="H168" s="51"/>
      <c r="K168" s="51"/>
    </row>
    <row r="169" ht="13.5" customHeight="1">
      <c r="D169" s="19"/>
      <c r="E169" s="51"/>
      <c r="H169" s="51"/>
      <c r="K169" s="51"/>
    </row>
    <row r="170" ht="13.5" customHeight="1">
      <c r="D170" s="19"/>
      <c r="E170" s="51"/>
      <c r="H170" s="51"/>
      <c r="K170" s="51"/>
    </row>
    <row r="171" ht="13.5" customHeight="1">
      <c r="D171" s="19"/>
      <c r="E171" s="51"/>
      <c r="H171" s="51"/>
      <c r="K171" s="51"/>
    </row>
    <row r="172" ht="13.5" customHeight="1">
      <c r="D172" s="19"/>
      <c r="E172" s="51"/>
      <c r="H172" s="51"/>
      <c r="K172" s="51"/>
    </row>
    <row r="173" ht="13.5" customHeight="1">
      <c r="D173" s="19"/>
      <c r="E173" s="51"/>
      <c r="H173" s="51"/>
      <c r="K173" s="51"/>
    </row>
    <row r="174" ht="13.5" customHeight="1">
      <c r="D174" s="19"/>
      <c r="E174" s="51"/>
      <c r="H174" s="51"/>
      <c r="K174" s="51"/>
    </row>
    <row r="175" ht="13.5" customHeight="1">
      <c r="D175" s="19"/>
      <c r="E175" s="51"/>
      <c r="H175" s="51"/>
      <c r="K175" s="51"/>
    </row>
    <row r="176" ht="13.5" customHeight="1">
      <c r="D176" s="19"/>
      <c r="E176" s="51"/>
      <c r="H176" s="51"/>
      <c r="K176" s="51"/>
    </row>
    <row r="177" ht="13.5" customHeight="1">
      <c r="D177" s="19"/>
      <c r="E177" s="51"/>
      <c r="H177" s="51"/>
      <c r="K177" s="51"/>
    </row>
    <row r="178" ht="13.5" customHeight="1">
      <c r="D178" s="19"/>
      <c r="E178" s="51"/>
      <c r="H178" s="51"/>
      <c r="K178" s="51"/>
    </row>
    <row r="179" ht="13.5" customHeight="1">
      <c r="D179" s="19"/>
      <c r="E179" s="51"/>
      <c r="H179" s="51"/>
      <c r="K179" s="51"/>
    </row>
    <row r="180" ht="13.5" customHeight="1">
      <c r="D180" s="19"/>
      <c r="E180" s="51"/>
      <c r="H180" s="51"/>
      <c r="K180" s="51"/>
    </row>
    <row r="181" ht="13.5" customHeight="1">
      <c r="D181" s="19"/>
      <c r="E181" s="51"/>
      <c r="H181" s="51"/>
      <c r="K181" s="51"/>
    </row>
    <row r="182" ht="13.5" customHeight="1">
      <c r="D182" s="19"/>
      <c r="E182" s="51"/>
      <c r="H182" s="51"/>
      <c r="K182" s="51"/>
    </row>
    <row r="183" ht="13.5" customHeight="1">
      <c r="D183" s="19"/>
      <c r="E183" s="51"/>
      <c r="H183" s="51"/>
      <c r="K183" s="51"/>
    </row>
    <row r="184" ht="13.5" customHeight="1">
      <c r="D184" s="19"/>
      <c r="E184" s="51"/>
      <c r="H184" s="51"/>
      <c r="K184" s="51"/>
    </row>
    <row r="185" ht="13.5" customHeight="1">
      <c r="D185" s="19"/>
      <c r="E185" s="51"/>
      <c r="H185" s="51"/>
      <c r="K185" s="51"/>
    </row>
    <row r="186" ht="13.5" customHeight="1">
      <c r="D186" s="19"/>
      <c r="E186" s="51"/>
      <c r="H186" s="51"/>
      <c r="K186" s="51"/>
    </row>
    <row r="187" ht="13.5" customHeight="1">
      <c r="D187" s="19"/>
      <c r="E187" s="51"/>
      <c r="H187" s="51"/>
      <c r="K187" s="51"/>
    </row>
    <row r="188" ht="13.5" customHeight="1">
      <c r="D188" s="19"/>
      <c r="E188" s="51"/>
      <c r="H188" s="51"/>
      <c r="K188" s="51"/>
    </row>
    <row r="189" ht="13.5" customHeight="1">
      <c r="D189" s="19"/>
      <c r="E189" s="51"/>
      <c r="H189" s="51"/>
      <c r="K189" s="51"/>
    </row>
    <row r="190" ht="13.5" customHeight="1">
      <c r="D190" s="19"/>
      <c r="E190" s="51"/>
      <c r="H190" s="51"/>
      <c r="K190" s="51"/>
    </row>
    <row r="191" ht="13.5" customHeight="1">
      <c r="D191" s="19"/>
      <c r="E191" s="51"/>
      <c r="H191" s="51"/>
      <c r="K191" s="51"/>
    </row>
    <row r="192" ht="13.5" customHeight="1">
      <c r="D192" s="19"/>
      <c r="E192" s="51"/>
      <c r="H192" s="51"/>
      <c r="K192" s="51"/>
    </row>
    <row r="193" ht="13.5" customHeight="1">
      <c r="D193" s="19"/>
      <c r="E193" s="51"/>
      <c r="H193" s="51"/>
      <c r="K193" s="51"/>
    </row>
    <row r="194" ht="13.5" customHeight="1">
      <c r="D194" s="19"/>
      <c r="E194" s="51"/>
      <c r="H194" s="51"/>
      <c r="K194" s="51"/>
    </row>
    <row r="195" ht="13.5" customHeight="1">
      <c r="D195" s="19"/>
      <c r="E195" s="51"/>
      <c r="H195" s="51"/>
      <c r="K195" s="51"/>
    </row>
    <row r="196" ht="13.5" customHeight="1">
      <c r="D196" s="19"/>
      <c r="E196" s="51"/>
      <c r="H196" s="51"/>
      <c r="K196" s="51"/>
    </row>
    <row r="197" ht="13.5" customHeight="1">
      <c r="D197" s="19"/>
      <c r="E197" s="51"/>
      <c r="H197" s="51"/>
      <c r="K197" s="51"/>
    </row>
    <row r="198" ht="13.5" customHeight="1">
      <c r="D198" s="19"/>
      <c r="E198" s="51"/>
      <c r="H198" s="51"/>
      <c r="K198" s="51"/>
    </row>
    <row r="199" ht="13.5" customHeight="1">
      <c r="D199" s="19"/>
      <c r="E199" s="51"/>
      <c r="H199" s="51"/>
      <c r="K199" s="51"/>
    </row>
    <row r="200" ht="13.5" customHeight="1">
      <c r="D200" s="19"/>
      <c r="E200" s="51"/>
      <c r="H200" s="51"/>
      <c r="K200" s="51"/>
    </row>
    <row r="201" ht="13.5" customHeight="1">
      <c r="D201" s="19"/>
      <c r="E201" s="51"/>
      <c r="H201" s="51"/>
      <c r="K201" s="51"/>
    </row>
    <row r="202" ht="13.5" customHeight="1">
      <c r="D202" s="19"/>
      <c r="E202" s="51"/>
      <c r="H202" s="51"/>
      <c r="K202" s="51"/>
    </row>
    <row r="203" ht="13.5" customHeight="1">
      <c r="D203" s="19"/>
      <c r="E203" s="51"/>
      <c r="H203" s="51"/>
      <c r="K203" s="51"/>
    </row>
    <row r="204" ht="13.5" customHeight="1">
      <c r="D204" s="19"/>
      <c r="E204" s="51"/>
      <c r="H204" s="51"/>
      <c r="K204" s="51"/>
    </row>
    <row r="205" ht="13.5" customHeight="1">
      <c r="D205" s="19"/>
      <c r="E205" s="51"/>
      <c r="H205" s="51"/>
      <c r="K205" s="51"/>
    </row>
    <row r="206" ht="13.5" customHeight="1">
      <c r="D206" s="19"/>
      <c r="E206" s="51"/>
      <c r="H206" s="51"/>
      <c r="K206" s="51"/>
    </row>
    <row r="207" ht="13.5" customHeight="1">
      <c r="D207" s="19"/>
      <c r="E207" s="51"/>
      <c r="H207" s="51"/>
      <c r="K207" s="51"/>
    </row>
    <row r="208" ht="13.5" customHeight="1">
      <c r="D208" s="19"/>
      <c r="E208" s="51"/>
      <c r="H208" s="51"/>
      <c r="K208" s="51"/>
    </row>
    <row r="209" ht="13.5" customHeight="1">
      <c r="D209" s="19"/>
      <c r="E209" s="51"/>
      <c r="H209" s="51"/>
      <c r="K209" s="51"/>
    </row>
    <row r="210" ht="13.5" customHeight="1">
      <c r="D210" s="19"/>
      <c r="E210" s="51"/>
      <c r="H210" s="51"/>
      <c r="K210" s="51"/>
    </row>
    <row r="211" ht="13.5" customHeight="1">
      <c r="D211" s="19"/>
      <c r="E211" s="51"/>
      <c r="H211" s="51"/>
      <c r="K211" s="51"/>
    </row>
    <row r="212" ht="13.5" customHeight="1">
      <c r="D212" s="19"/>
      <c r="E212" s="51"/>
      <c r="H212" s="51"/>
      <c r="K212" s="51"/>
    </row>
    <row r="213" ht="13.5" customHeight="1">
      <c r="D213" s="19"/>
      <c r="E213" s="51"/>
      <c r="H213" s="51"/>
      <c r="K213" s="51"/>
    </row>
    <row r="214" ht="13.5" customHeight="1">
      <c r="D214" s="19"/>
      <c r="E214" s="51"/>
      <c r="H214" s="51"/>
      <c r="K214" s="51"/>
    </row>
    <row r="215" ht="13.5" customHeight="1">
      <c r="D215" s="19"/>
      <c r="E215" s="51"/>
      <c r="H215" s="51"/>
      <c r="K215" s="51"/>
    </row>
    <row r="216" ht="13.5" customHeight="1">
      <c r="D216" s="19"/>
      <c r="E216" s="51"/>
      <c r="H216" s="51"/>
      <c r="K216" s="51"/>
    </row>
    <row r="217" ht="13.5" customHeight="1">
      <c r="D217" s="19"/>
      <c r="E217" s="51"/>
      <c r="H217" s="51"/>
      <c r="K217" s="51"/>
    </row>
    <row r="218" ht="13.5" customHeight="1">
      <c r="D218" s="19"/>
      <c r="E218" s="51"/>
      <c r="H218" s="51"/>
      <c r="K218" s="51"/>
    </row>
    <row r="219" ht="13.5" customHeight="1">
      <c r="D219" s="19"/>
      <c r="E219" s="51"/>
      <c r="H219" s="51"/>
      <c r="K219" s="51"/>
    </row>
    <row r="220" ht="13.5" customHeight="1">
      <c r="D220" s="19"/>
      <c r="E220" s="51"/>
      <c r="H220" s="51"/>
      <c r="K220" s="51"/>
    </row>
    <row r="221" ht="13.5" customHeight="1">
      <c r="D221" s="19"/>
      <c r="E221" s="51"/>
      <c r="H221" s="51"/>
      <c r="K221" s="51"/>
    </row>
    <row r="222" ht="13.5" customHeight="1">
      <c r="D222" s="19"/>
      <c r="E222" s="51"/>
      <c r="H222" s="51"/>
      <c r="K222" s="51"/>
    </row>
    <row r="223" ht="13.5" customHeight="1">
      <c r="D223" s="19"/>
      <c r="E223" s="51"/>
      <c r="H223" s="51"/>
      <c r="K223" s="51"/>
    </row>
    <row r="224" ht="13.5" customHeight="1">
      <c r="D224" s="19"/>
      <c r="E224" s="51"/>
      <c r="H224" s="51"/>
      <c r="K224" s="51"/>
    </row>
    <row r="225" ht="13.5" customHeight="1">
      <c r="D225" s="19"/>
      <c r="E225" s="51"/>
      <c r="H225" s="51"/>
      <c r="K225" s="51"/>
    </row>
    <row r="226" ht="13.5" customHeight="1">
      <c r="D226" s="19"/>
      <c r="E226" s="51"/>
      <c r="H226" s="51"/>
      <c r="K226" s="51"/>
    </row>
    <row r="227" ht="13.5" customHeight="1">
      <c r="D227" s="19"/>
      <c r="E227" s="51"/>
      <c r="H227" s="51"/>
      <c r="K227" s="51"/>
    </row>
    <row r="228" ht="13.5" customHeight="1">
      <c r="D228" s="19"/>
      <c r="E228" s="51"/>
      <c r="H228" s="51"/>
      <c r="K228" s="51"/>
    </row>
    <row r="229" ht="13.5" customHeight="1">
      <c r="D229" s="19"/>
      <c r="E229" s="51"/>
      <c r="H229" s="51"/>
      <c r="K229" s="51"/>
    </row>
    <row r="230" ht="13.5" customHeight="1">
      <c r="D230" s="19"/>
      <c r="E230" s="51"/>
      <c r="H230" s="51"/>
      <c r="K230" s="51"/>
    </row>
    <row r="231" ht="13.5" customHeight="1">
      <c r="D231" s="19"/>
      <c r="E231" s="51"/>
      <c r="H231" s="51"/>
      <c r="K231" s="51"/>
    </row>
    <row r="232" ht="13.5" customHeight="1">
      <c r="D232" s="19"/>
      <c r="E232" s="51"/>
      <c r="H232" s="51"/>
      <c r="K232" s="51"/>
    </row>
    <row r="233" ht="13.5" customHeight="1">
      <c r="D233" s="19"/>
      <c r="E233" s="51"/>
      <c r="H233" s="51"/>
      <c r="K233" s="51"/>
    </row>
    <row r="234" ht="13.5" customHeight="1">
      <c r="D234" s="19"/>
      <c r="E234" s="51"/>
      <c r="H234" s="51"/>
      <c r="K234" s="51"/>
    </row>
    <row r="235" ht="13.5" customHeight="1">
      <c r="D235" s="19"/>
      <c r="E235" s="51"/>
      <c r="H235" s="51"/>
      <c r="K235" s="51"/>
    </row>
    <row r="236" ht="13.5" customHeight="1">
      <c r="D236" s="19"/>
      <c r="E236" s="51"/>
      <c r="H236" s="51"/>
      <c r="K236" s="51"/>
    </row>
    <row r="237" ht="13.5" customHeight="1">
      <c r="D237" s="19"/>
      <c r="E237" s="51"/>
      <c r="H237" s="51"/>
      <c r="K237" s="51"/>
    </row>
    <row r="238" ht="13.5" customHeight="1">
      <c r="D238" s="19"/>
      <c r="E238" s="51"/>
      <c r="H238" s="51"/>
      <c r="K238" s="51"/>
    </row>
    <row r="239" ht="13.5" customHeight="1">
      <c r="D239" s="19"/>
      <c r="E239" s="51"/>
      <c r="H239" s="51"/>
      <c r="K239" s="51"/>
    </row>
    <row r="240" ht="13.5" customHeight="1">
      <c r="D240" s="19"/>
      <c r="E240" s="51"/>
      <c r="H240" s="51"/>
      <c r="K240" s="51"/>
    </row>
    <row r="241" ht="13.5" customHeight="1">
      <c r="D241" s="19"/>
      <c r="E241" s="51"/>
      <c r="H241" s="51"/>
      <c r="K241" s="51"/>
    </row>
    <row r="242" ht="13.5" customHeight="1">
      <c r="D242" s="19"/>
      <c r="E242" s="51"/>
      <c r="H242" s="51"/>
      <c r="K242" s="51"/>
    </row>
    <row r="243" ht="13.5" customHeight="1">
      <c r="D243" s="19"/>
      <c r="E243" s="51"/>
      <c r="H243" s="51"/>
      <c r="K243" s="51"/>
    </row>
    <row r="244" ht="13.5" customHeight="1">
      <c r="D244" s="19"/>
      <c r="E244" s="51"/>
      <c r="H244" s="51"/>
      <c r="K244" s="51"/>
    </row>
    <row r="245" ht="13.5" customHeight="1">
      <c r="D245" s="19"/>
      <c r="E245" s="51"/>
      <c r="H245" s="51"/>
      <c r="K245" s="51"/>
    </row>
    <row r="246" ht="13.5" customHeight="1">
      <c r="D246" s="19"/>
      <c r="E246" s="51"/>
      <c r="H246" s="51"/>
      <c r="K246" s="51"/>
    </row>
    <row r="247" ht="13.5" customHeight="1">
      <c r="D247" s="19"/>
      <c r="E247" s="51"/>
      <c r="H247" s="51"/>
      <c r="K247" s="51"/>
    </row>
    <row r="248" ht="13.5" customHeight="1">
      <c r="D248" s="19"/>
      <c r="E248" s="51"/>
      <c r="H248" s="51"/>
      <c r="K248" s="51"/>
    </row>
    <row r="249" ht="13.5" customHeight="1">
      <c r="D249" s="19"/>
      <c r="E249" s="51"/>
      <c r="H249" s="51"/>
      <c r="K249" s="51"/>
    </row>
    <row r="250" ht="13.5" customHeight="1">
      <c r="D250" s="19"/>
      <c r="E250" s="51"/>
      <c r="H250" s="51"/>
      <c r="K250" s="51"/>
    </row>
    <row r="251" ht="13.5" customHeight="1">
      <c r="D251" s="19"/>
      <c r="E251" s="51"/>
      <c r="H251" s="51"/>
      <c r="K251" s="51"/>
    </row>
    <row r="252" ht="13.5" customHeight="1">
      <c r="D252" s="19"/>
      <c r="E252" s="51"/>
      <c r="H252" s="51"/>
      <c r="K252" s="51"/>
    </row>
    <row r="253" ht="13.5" customHeight="1">
      <c r="D253" s="19"/>
      <c r="E253" s="51"/>
      <c r="H253" s="51"/>
      <c r="K253" s="51"/>
    </row>
    <row r="254" ht="13.5" customHeight="1">
      <c r="D254" s="19"/>
      <c r="E254" s="51"/>
      <c r="H254" s="51"/>
      <c r="K254" s="51"/>
    </row>
    <row r="255" ht="13.5" customHeight="1">
      <c r="D255" s="19"/>
      <c r="E255" s="51"/>
      <c r="H255" s="51"/>
      <c r="K255" s="51"/>
    </row>
    <row r="256" ht="13.5" customHeight="1">
      <c r="D256" s="19"/>
      <c r="E256" s="51"/>
      <c r="H256" s="51"/>
      <c r="K256" s="51"/>
    </row>
    <row r="257" ht="13.5" customHeight="1">
      <c r="D257" s="19"/>
      <c r="E257" s="51"/>
      <c r="H257" s="51"/>
      <c r="K257" s="51"/>
    </row>
    <row r="258" ht="13.5" customHeight="1">
      <c r="D258" s="19"/>
      <c r="E258" s="51"/>
      <c r="H258" s="51"/>
      <c r="K258" s="51"/>
    </row>
    <row r="259" ht="13.5" customHeight="1">
      <c r="D259" s="19"/>
      <c r="E259" s="51"/>
      <c r="H259" s="51"/>
      <c r="K259" s="51"/>
    </row>
    <row r="260" ht="13.5" customHeight="1">
      <c r="D260" s="19"/>
      <c r="E260" s="51"/>
      <c r="H260" s="51"/>
      <c r="K260" s="51"/>
    </row>
    <row r="261" ht="13.5" customHeight="1">
      <c r="D261" s="19"/>
      <c r="E261" s="51"/>
      <c r="H261" s="51"/>
      <c r="K261" s="51"/>
    </row>
    <row r="262" ht="13.5" customHeight="1">
      <c r="D262" s="19"/>
      <c r="E262" s="51"/>
      <c r="H262" s="51"/>
      <c r="K262" s="51"/>
    </row>
    <row r="263" ht="13.5" customHeight="1">
      <c r="D263" s="19"/>
      <c r="E263" s="51"/>
      <c r="H263" s="51"/>
      <c r="K263" s="51"/>
    </row>
    <row r="264" ht="13.5" customHeight="1">
      <c r="D264" s="19"/>
      <c r="E264" s="51"/>
      <c r="H264" s="51"/>
      <c r="K264" s="51"/>
    </row>
    <row r="265" ht="13.5" customHeight="1">
      <c r="D265" s="19"/>
      <c r="E265" s="51"/>
      <c r="H265" s="51"/>
      <c r="K265" s="51"/>
    </row>
    <row r="266" ht="13.5" customHeight="1">
      <c r="D266" s="19"/>
      <c r="E266" s="51"/>
      <c r="H266" s="51"/>
      <c r="K266" s="51"/>
    </row>
    <row r="267" ht="13.5" customHeight="1">
      <c r="D267" s="19"/>
      <c r="E267" s="51"/>
      <c r="H267" s="51"/>
      <c r="K267" s="51"/>
    </row>
    <row r="268" ht="13.5" customHeight="1">
      <c r="D268" s="19"/>
      <c r="E268" s="51"/>
      <c r="H268" s="51"/>
      <c r="K268" s="51"/>
    </row>
    <row r="269" ht="13.5" customHeight="1">
      <c r="D269" s="19"/>
      <c r="E269" s="51"/>
      <c r="H269" s="51"/>
      <c r="K269" s="51"/>
    </row>
    <row r="270" ht="13.5" customHeight="1">
      <c r="D270" s="19"/>
      <c r="E270" s="51"/>
      <c r="H270" s="51"/>
      <c r="K270" s="51"/>
    </row>
    <row r="271" ht="13.5" customHeight="1">
      <c r="D271" s="19"/>
      <c r="E271" s="51"/>
      <c r="H271" s="51"/>
      <c r="K271" s="51"/>
    </row>
    <row r="272" ht="13.5" customHeight="1">
      <c r="D272" s="19"/>
      <c r="E272" s="51"/>
      <c r="H272" s="51"/>
      <c r="K272" s="51"/>
    </row>
    <row r="273" ht="13.5" customHeight="1">
      <c r="D273" s="19"/>
      <c r="E273" s="51"/>
      <c r="H273" s="51"/>
      <c r="K273" s="51"/>
    </row>
    <row r="274" ht="13.5" customHeight="1">
      <c r="D274" s="19"/>
      <c r="E274" s="51"/>
      <c r="H274" s="51"/>
      <c r="K274" s="51"/>
    </row>
    <row r="275" ht="13.5" customHeight="1">
      <c r="D275" s="19"/>
      <c r="E275" s="51"/>
      <c r="H275" s="51"/>
      <c r="K275" s="51"/>
    </row>
    <row r="276" ht="13.5" customHeight="1">
      <c r="D276" s="19"/>
      <c r="E276" s="51"/>
      <c r="H276" s="51"/>
      <c r="K276" s="51"/>
    </row>
    <row r="277" ht="13.5" customHeight="1">
      <c r="D277" s="19"/>
      <c r="E277" s="51"/>
      <c r="H277" s="51"/>
      <c r="K277" s="51"/>
    </row>
    <row r="278" ht="13.5" customHeight="1">
      <c r="D278" s="19"/>
      <c r="E278" s="51"/>
      <c r="H278" s="51"/>
      <c r="K278" s="51"/>
    </row>
    <row r="279" ht="13.5" customHeight="1">
      <c r="D279" s="19"/>
      <c r="E279" s="51"/>
      <c r="H279" s="51"/>
      <c r="K279" s="51"/>
    </row>
    <row r="280" ht="13.5" customHeight="1">
      <c r="D280" s="19"/>
      <c r="E280" s="51"/>
      <c r="H280" s="51"/>
      <c r="K280" s="51"/>
    </row>
    <row r="281" ht="13.5" customHeight="1">
      <c r="D281" s="19"/>
      <c r="E281" s="51"/>
      <c r="H281" s="51"/>
      <c r="K281" s="51"/>
    </row>
    <row r="282" ht="13.5" customHeight="1">
      <c r="D282" s="19"/>
      <c r="E282" s="51"/>
      <c r="H282" s="51"/>
      <c r="K282" s="51"/>
    </row>
    <row r="283" ht="13.5" customHeight="1">
      <c r="D283" s="19"/>
      <c r="E283" s="51"/>
      <c r="H283" s="51"/>
      <c r="K283" s="51"/>
    </row>
    <row r="284" ht="13.5" customHeight="1">
      <c r="D284" s="19"/>
      <c r="E284" s="51"/>
      <c r="H284" s="51"/>
      <c r="K284" s="51"/>
    </row>
    <row r="285" ht="13.5" customHeight="1">
      <c r="D285" s="19"/>
      <c r="E285" s="51"/>
      <c r="H285" s="51"/>
      <c r="K285" s="51"/>
    </row>
    <row r="286" ht="13.5" customHeight="1">
      <c r="D286" s="19"/>
      <c r="E286" s="51"/>
      <c r="H286" s="51"/>
      <c r="K286" s="51"/>
    </row>
    <row r="287" ht="13.5" customHeight="1">
      <c r="D287" s="19"/>
      <c r="E287" s="51"/>
      <c r="H287" s="51"/>
      <c r="K287" s="51"/>
    </row>
    <row r="288" ht="13.5" customHeight="1">
      <c r="D288" s="19"/>
      <c r="E288" s="51"/>
      <c r="H288" s="51"/>
      <c r="K288" s="51"/>
    </row>
    <row r="289" ht="13.5" customHeight="1">
      <c r="D289" s="19"/>
      <c r="E289" s="51"/>
      <c r="H289" s="51"/>
      <c r="K289" s="51"/>
    </row>
    <row r="290" ht="13.5" customHeight="1">
      <c r="D290" s="19"/>
      <c r="E290" s="51"/>
      <c r="H290" s="51"/>
      <c r="K290" s="51"/>
    </row>
    <row r="291" ht="13.5" customHeight="1">
      <c r="D291" s="19"/>
      <c r="E291" s="51"/>
      <c r="H291" s="51"/>
      <c r="K291" s="51"/>
    </row>
    <row r="292" ht="13.5" customHeight="1">
      <c r="D292" s="19"/>
      <c r="E292" s="51"/>
      <c r="H292" s="51"/>
      <c r="K292" s="51"/>
    </row>
    <row r="293" ht="13.5" customHeight="1">
      <c r="D293" s="19"/>
      <c r="E293" s="51"/>
      <c r="H293" s="51"/>
      <c r="K293" s="51"/>
    </row>
    <row r="294" ht="13.5" customHeight="1">
      <c r="D294" s="19"/>
      <c r="E294" s="51"/>
      <c r="H294" s="51"/>
      <c r="K294" s="51"/>
    </row>
    <row r="295" ht="13.5" customHeight="1">
      <c r="D295" s="19"/>
      <c r="E295" s="51"/>
      <c r="H295" s="51"/>
      <c r="K295" s="51"/>
    </row>
    <row r="296" ht="13.5" customHeight="1">
      <c r="D296" s="19"/>
      <c r="E296" s="51"/>
      <c r="H296" s="51"/>
      <c r="K296" s="51"/>
    </row>
    <row r="297" ht="13.5" customHeight="1">
      <c r="D297" s="19"/>
      <c r="E297" s="51"/>
      <c r="H297" s="51"/>
      <c r="K297" s="51"/>
    </row>
    <row r="298" ht="13.5" customHeight="1">
      <c r="D298" s="19"/>
      <c r="E298" s="51"/>
      <c r="H298" s="51"/>
      <c r="K298" s="51"/>
    </row>
    <row r="299" ht="13.5" customHeight="1">
      <c r="D299" s="19"/>
      <c r="E299" s="51"/>
      <c r="H299" s="51"/>
      <c r="K299" s="51"/>
    </row>
    <row r="300" ht="13.5" customHeight="1">
      <c r="D300" s="19"/>
      <c r="E300" s="51"/>
      <c r="H300" s="51"/>
      <c r="K300" s="51"/>
    </row>
    <row r="301" ht="13.5" customHeight="1">
      <c r="D301" s="19"/>
      <c r="E301" s="51"/>
      <c r="H301" s="51"/>
      <c r="K301" s="51"/>
    </row>
    <row r="302" ht="13.5" customHeight="1">
      <c r="D302" s="19"/>
      <c r="E302" s="51"/>
      <c r="H302" s="51"/>
      <c r="K302" s="51"/>
    </row>
    <row r="303" ht="13.5" customHeight="1">
      <c r="D303" s="19"/>
      <c r="E303" s="51"/>
      <c r="H303" s="51"/>
      <c r="K303" s="51"/>
    </row>
    <row r="304" ht="13.5" customHeight="1">
      <c r="D304" s="19"/>
      <c r="E304" s="51"/>
      <c r="H304" s="51"/>
      <c r="K304" s="51"/>
    </row>
    <row r="305" ht="13.5" customHeight="1">
      <c r="D305" s="19"/>
      <c r="E305" s="51"/>
      <c r="H305" s="51"/>
      <c r="K305" s="51"/>
    </row>
    <row r="306" ht="13.5" customHeight="1">
      <c r="D306" s="19"/>
      <c r="E306" s="51"/>
      <c r="H306" s="51"/>
      <c r="K306" s="51"/>
    </row>
    <row r="307" ht="13.5" customHeight="1">
      <c r="D307" s="19"/>
      <c r="E307" s="51"/>
      <c r="H307" s="51"/>
      <c r="K307" s="51"/>
    </row>
    <row r="308" ht="13.5" customHeight="1">
      <c r="D308" s="19"/>
      <c r="E308" s="51"/>
      <c r="H308" s="51"/>
      <c r="K308" s="51"/>
    </row>
    <row r="309" ht="13.5" customHeight="1">
      <c r="D309" s="19"/>
      <c r="E309" s="51"/>
      <c r="H309" s="51"/>
      <c r="K309" s="51"/>
    </row>
    <row r="310" ht="13.5" customHeight="1">
      <c r="D310" s="19"/>
      <c r="E310" s="51"/>
      <c r="H310" s="51"/>
      <c r="K310" s="51"/>
    </row>
    <row r="311" ht="13.5" customHeight="1">
      <c r="D311" s="19"/>
      <c r="E311" s="51"/>
      <c r="H311" s="51"/>
      <c r="K311" s="51"/>
    </row>
    <row r="312" ht="13.5" customHeight="1">
      <c r="D312" s="19"/>
      <c r="E312" s="51"/>
      <c r="H312" s="51"/>
      <c r="K312" s="51"/>
    </row>
    <row r="313" ht="13.5" customHeight="1">
      <c r="D313" s="19"/>
      <c r="E313" s="51"/>
      <c r="H313" s="51"/>
      <c r="K313" s="51"/>
    </row>
    <row r="314" ht="13.5" customHeight="1">
      <c r="D314" s="19"/>
      <c r="E314" s="51"/>
      <c r="H314" s="51"/>
      <c r="K314" s="51"/>
    </row>
    <row r="315" ht="13.5" customHeight="1">
      <c r="D315" s="19"/>
      <c r="E315" s="51"/>
      <c r="H315" s="51"/>
      <c r="K315" s="51"/>
    </row>
    <row r="316" ht="13.5" customHeight="1">
      <c r="D316" s="19"/>
      <c r="E316" s="51"/>
      <c r="H316" s="51"/>
      <c r="K316" s="51"/>
    </row>
    <row r="317" ht="13.5" customHeight="1">
      <c r="D317" s="19"/>
      <c r="E317" s="51"/>
      <c r="H317" s="51"/>
      <c r="K317" s="51"/>
    </row>
    <row r="318" ht="13.5" customHeight="1">
      <c r="D318" s="19"/>
      <c r="E318" s="51"/>
      <c r="H318" s="51"/>
      <c r="K318" s="51"/>
    </row>
    <row r="319" ht="13.5" customHeight="1">
      <c r="D319" s="19"/>
      <c r="E319" s="51"/>
      <c r="H319" s="51"/>
      <c r="K319" s="51"/>
    </row>
    <row r="320" ht="13.5" customHeight="1">
      <c r="D320" s="19"/>
      <c r="E320" s="51"/>
      <c r="H320" s="51"/>
      <c r="K320" s="51"/>
    </row>
    <row r="321" ht="13.5" customHeight="1">
      <c r="D321" s="19"/>
      <c r="E321" s="51"/>
      <c r="H321" s="51"/>
      <c r="K321" s="51"/>
    </row>
    <row r="322" ht="13.5" customHeight="1">
      <c r="D322" s="19"/>
      <c r="E322" s="51"/>
      <c r="H322" s="51"/>
      <c r="K322" s="51"/>
    </row>
    <row r="323" ht="13.5" customHeight="1">
      <c r="D323" s="19"/>
      <c r="E323" s="51"/>
      <c r="H323" s="51"/>
      <c r="K323" s="51"/>
    </row>
    <row r="324" ht="13.5" customHeight="1">
      <c r="D324" s="19"/>
      <c r="E324" s="51"/>
      <c r="H324" s="51"/>
      <c r="K324" s="51"/>
    </row>
    <row r="325" ht="13.5" customHeight="1">
      <c r="D325" s="19"/>
      <c r="E325" s="51"/>
      <c r="H325" s="51"/>
      <c r="K325" s="51"/>
    </row>
    <row r="326" ht="13.5" customHeight="1">
      <c r="D326" s="19"/>
      <c r="E326" s="51"/>
      <c r="H326" s="51"/>
      <c r="K326" s="51"/>
    </row>
    <row r="327" ht="13.5" customHeight="1">
      <c r="D327" s="19"/>
      <c r="E327" s="51"/>
      <c r="H327" s="51"/>
      <c r="K327" s="51"/>
    </row>
    <row r="328" ht="13.5" customHeight="1">
      <c r="D328" s="19"/>
      <c r="E328" s="51"/>
      <c r="H328" s="51"/>
      <c r="K328" s="51"/>
    </row>
    <row r="329" ht="13.5" customHeight="1">
      <c r="D329" s="19"/>
      <c r="E329" s="51"/>
      <c r="H329" s="51"/>
      <c r="K329" s="51"/>
    </row>
    <row r="330" ht="13.5" customHeight="1">
      <c r="D330" s="19"/>
      <c r="E330" s="51"/>
      <c r="H330" s="51"/>
      <c r="K330" s="51"/>
    </row>
    <row r="331" ht="13.5" customHeight="1">
      <c r="D331" s="19"/>
      <c r="E331" s="51"/>
      <c r="H331" s="51"/>
      <c r="K331" s="51"/>
    </row>
    <row r="332" ht="13.5" customHeight="1">
      <c r="D332" s="19"/>
      <c r="E332" s="51"/>
      <c r="H332" s="51"/>
      <c r="K332" s="51"/>
    </row>
    <row r="333" ht="13.5" customHeight="1">
      <c r="D333" s="19"/>
      <c r="E333" s="51"/>
      <c r="H333" s="51"/>
      <c r="K333" s="51"/>
    </row>
    <row r="334" ht="13.5" customHeight="1">
      <c r="D334" s="19"/>
      <c r="E334" s="51"/>
      <c r="H334" s="51"/>
      <c r="K334" s="51"/>
    </row>
    <row r="335" ht="13.5" customHeight="1">
      <c r="D335" s="19"/>
      <c r="E335" s="51"/>
      <c r="H335" s="51"/>
      <c r="K335" s="51"/>
    </row>
    <row r="336" ht="13.5" customHeight="1">
      <c r="D336" s="19"/>
      <c r="E336" s="51"/>
      <c r="H336" s="51"/>
      <c r="K336" s="51"/>
    </row>
    <row r="337" ht="13.5" customHeight="1">
      <c r="D337" s="19"/>
      <c r="E337" s="51"/>
      <c r="H337" s="51"/>
      <c r="K337" s="51"/>
    </row>
    <row r="338" ht="13.5" customHeight="1">
      <c r="D338" s="19"/>
      <c r="E338" s="51"/>
      <c r="H338" s="51"/>
      <c r="K338" s="51"/>
    </row>
    <row r="339" ht="13.5" customHeight="1">
      <c r="D339" s="19"/>
      <c r="E339" s="51"/>
      <c r="H339" s="51"/>
      <c r="K339" s="51"/>
    </row>
    <row r="340" ht="13.5" customHeight="1">
      <c r="D340" s="19"/>
      <c r="E340" s="51"/>
      <c r="H340" s="51"/>
      <c r="K340" s="51"/>
    </row>
    <row r="341" ht="13.5" customHeight="1">
      <c r="D341" s="19"/>
      <c r="E341" s="51"/>
      <c r="H341" s="51"/>
      <c r="K341" s="51"/>
    </row>
    <row r="342" ht="13.5" customHeight="1">
      <c r="D342" s="19"/>
      <c r="E342" s="51"/>
      <c r="H342" s="51"/>
      <c r="K342" s="51"/>
    </row>
    <row r="343" ht="13.5" customHeight="1">
      <c r="D343" s="19"/>
      <c r="E343" s="51"/>
      <c r="H343" s="51"/>
      <c r="K343" s="51"/>
    </row>
    <row r="344" ht="13.5" customHeight="1">
      <c r="D344" s="19"/>
      <c r="E344" s="51"/>
      <c r="H344" s="51"/>
      <c r="K344" s="51"/>
    </row>
    <row r="345" ht="13.5" customHeight="1">
      <c r="D345" s="19"/>
      <c r="E345" s="51"/>
      <c r="H345" s="51"/>
      <c r="K345" s="51"/>
    </row>
    <row r="346" ht="13.5" customHeight="1">
      <c r="D346" s="19"/>
      <c r="E346" s="51"/>
      <c r="H346" s="51"/>
      <c r="K346" s="51"/>
    </row>
    <row r="347" ht="13.5" customHeight="1">
      <c r="D347" s="19"/>
      <c r="E347" s="51"/>
      <c r="H347" s="51"/>
      <c r="K347" s="51"/>
    </row>
    <row r="348" ht="13.5" customHeight="1">
      <c r="D348" s="19"/>
      <c r="E348" s="51"/>
      <c r="H348" s="51"/>
      <c r="K348" s="51"/>
    </row>
    <row r="349" ht="13.5" customHeight="1">
      <c r="D349" s="19"/>
      <c r="E349" s="51"/>
      <c r="H349" s="51"/>
      <c r="K349" s="51"/>
    </row>
    <row r="350" ht="13.5" customHeight="1">
      <c r="D350" s="19"/>
      <c r="E350" s="51"/>
      <c r="H350" s="51"/>
      <c r="K350" s="51"/>
    </row>
    <row r="351" ht="13.5" customHeight="1">
      <c r="D351" s="19"/>
      <c r="E351" s="51"/>
      <c r="H351" s="51"/>
      <c r="K351" s="51"/>
    </row>
    <row r="352" ht="13.5" customHeight="1">
      <c r="D352" s="19"/>
      <c r="E352" s="51"/>
      <c r="H352" s="51"/>
      <c r="K352" s="51"/>
    </row>
    <row r="353" ht="13.5" customHeight="1">
      <c r="D353" s="19"/>
      <c r="E353" s="51"/>
      <c r="H353" s="51"/>
      <c r="K353" s="51"/>
    </row>
    <row r="354" ht="13.5" customHeight="1">
      <c r="D354" s="19"/>
      <c r="E354" s="51"/>
      <c r="H354" s="51"/>
      <c r="K354" s="51"/>
    </row>
    <row r="355" ht="13.5" customHeight="1">
      <c r="D355" s="19"/>
      <c r="E355" s="51"/>
      <c r="H355" s="51"/>
      <c r="K355" s="51"/>
    </row>
    <row r="356" ht="13.5" customHeight="1">
      <c r="D356" s="19"/>
      <c r="E356" s="51"/>
      <c r="H356" s="51"/>
      <c r="K356" s="51"/>
    </row>
    <row r="357" ht="13.5" customHeight="1">
      <c r="D357" s="19"/>
      <c r="E357" s="51"/>
      <c r="H357" s="51"/>
      <c r="K357" s="51"/>
    </row>
    <row r="358" ht="13.5" customHeight="1">
      <c r="D358" s="19"/>
      <c r="E358" s="51"/>
      <c r="H358" s="51"/>
      <c r="K358" s="51"/>
    </row>
    <row r="359" ht="13.5" customHeight="1">
      <c r="D359" s="19"/>
      <c r="E359" s="51"/>
      <c r="H359" s="51"/>
      <c r="K359" s="51"/>
    </row>
    <row r="360" ht="13.5" customHeight="1">
      <c r="D360" s="19"/>
      <c r="E360" s="51"/>
      <c r="H360" s="51"/>
      <c r="K360" s="51"/>
    </row>
    <row r="361" ht="13.5" customHeight="1">
      <c r="D361" s="19"/>
      <c r="E361" s="51"/>
      <c r="H361" s="51"/>
      <c r="K361" s="51"/>
    </row>
    <row r="362" ht="13.5" customHeight="1">
      <c r="D362" s="19"/>
      <c r="E362" s="51"/>
      <c r="H362" s="51"/>
      <c r="K362" s="51"/>
    </row>
    <row r="363" ht="13.5" customHeight="1">
      <c r="D363" s="19"/>
      <c r="E363" s="51"/>
      <c r="H363" s="51"/>
      <c r="K363" s="51"/>
    </row>
    <row r="364" ht="13.5" customHeight="1">
      <c r="D364" s="19"/>
      <c r="E364" s="51"/>
      <c r="H364" s="51"/>
      <c r="K364" s="51"/>
    </row>
    <row r="365" ht="13.5" customHeight="1">
      <c r="D365" s="19"/>
      <c r="E365" s="51"/>
      <c r="H365" s="51"/>
      <c r="K365" s="51"/>
    </row>
    <row r="366" ht="13.5" customHeight="1">
      <c r="D366" s="19"/>
      <c r="E366" s="51"/>
      <c r="H366" s="51"/>
      <c r="K366" s="51"/>
    </row>
    <row r="367" ht="13.5" customHeight="1">
      <c r="D367" s="19"/>
      <c r="E367" s="51"/>
      <c r="H367" s="51"/>
      <c r="K367" s="51"/>
    </row>
    <row r="368" ht="13.5" customHeight="1">
      <c r="D368" s="19"/>
      <c r="E368" s="51"/>
      <c r="H368" s="51"/>
      <c r="K368" s="51"/>
    </row>
    <row r="369" ht="13.5" customHeight="1">
      <c r="D369" s="19"/>
      <c r="E369" s="51"/>
      <c r="H369" s="51"/>
      <c r="K369" s="51"/>
    </row>
    <row r="370" ht="13.5" customHeight="1">
      <c r="D370" s="19"/>
      <c r="E370" s="51"/>
      <c r="H370" s="51"/>
      <c r="K370" s="51"/>
    </row>
    <row r="371" ht="13.5" customHeight="1">
      <c r="D371" s="19"/>
      <c r="E371" s="51"/>
      <c r="H371" s="51"/>
      <c r="K371" s="51"/>
    </row>
    <row r="372" ht="13.5" customHeight="1">
      <c r="D372" s="19"/>
      <c r="E372" s="51"/>
      <c r="H372" s="51"/>
      <c r="K372" s="51"/>
    </row>
    <row r="373" ht="13.5" customHeight="1">
      <c r="D373" s="19"/>
      <c r="E373" s="51"/>
      <c r="H373" s="51"/>
      <c r="K373" s="51"/>
    </row>
    <row r="374" ht="13.5" customHeight="1">
      <c r="D374" s="19"/>
      <c r="E374" s="51"/>
      <c r="H374" s="51"/>
      <c r="K374" s="51"/>
    </row>
    <row r="375" ht="13.5" customHeight="1">
      <c r="D375" s="19"/>
      <c r="E375" s="51"/>
      <c r="H375" s="51"/>
      <c r="K375" s="51"/>
    </row>
    <row r="376" ht="13.5" customHeight="1">
      <c r="D376" s="19"/>
      <c r="E376" s="51"/>
      <c r="H376" s="51"/>
      <c r="K376" s="51"/>
    </row>
    <row r="377" ht="13.5" customHeight="1">
      <c r="D377" s="19"/>
      <c r="E377" s="51"/>
      <c r="H377" s="51"/>
      <c r="K377" s="51"/>
    </row>
    <row r="378" ht="13.5" customHeight="1">
      <c r="D378" s="19"/>
      <c r="E378" s="51"/>
      <c r="H378" s="51"/>
      <c r="K378" s="51"/>
    </row>
    <row r="379" ht="13.5" customHeight="1">
      <c r="D379" s="19"/>
      <c r="E379" s="51"/>
      <c r="H379" s="51"/>
      <c r="K379" s="51"/>
    </row>
    <row r="380" ht="13.5" customHeight="1">
      <c r="D380" s="19"/>
      <c r="E380" s="51"/>
      <c r="H380" s="51"/>
      <c r="K380" s="51"/>
    </row>
    <row r="381" ht="13.5" customHeight="1">
      <c r="D381" s="19"/>
      <c r="E381" s="51"/>
      <c r="H381" s="51"/>
      <c r="K381" s="51"/>
    </row>
    <row r="382" ht="13.5" customHeight="1">
      <c r="D382" s="19"/>
      <c r="E382" s="51"/>
      <c r="H382" s="51"/>
      <c r="K382" s="51"/>
    </row>
    <row r="383" ht="13.5" customHeight="1">
      <c r="D383" s="19"/>
      <c r="E383" s="51"/>
      <c r="H383" s="51"/>
      <c r="K383" s="51"/>
    </row>
    <row r="384" ht="13.5" customHeight="1">
      <c r="D384" s="19"/>
      <c r="E384" s="51"/>
      <c r="H384" s="51"/>
      <c r="K384" s="51"/>
    </row>
    <row r="385" ht="13.5" customHeight="1">
      <c r="D385" s="19"/>
      <c r="E385" s="51"/>
      <c r="H385" s="51"/>
      <c r="K385" s="51"/>
    </row>
    <row r="386" ht="13.5" customHeight="1">
      <c r="D386" s="19"/>
      <c r="E386" s="51"/>
      <c r="H386" s="51"/>
      <c r="K386" s="51"/>
    </row>
    <row r="387" ht="13.5" customHeight="1">
      <c r="D387" s="19"/>
      <c r="E387" s="51"/>
      <c r="H387" s="51"/>
      <c r="K387" s="51"/>
    </row>
    <row r="388" ht="13.5" customHeight="1">
      <c r="D388" s="19"/>
      <c r="E388" s="51"/>
      <c r="H388" s="51"/>
      <c r="K388" s="51"/>
    </row>
    <row r="389" ht="13.5" customHeight="1">
      <c r="D389" s="19"/>
      <c r="E389" s="51"/>
      <c r="H389" s="51"/>
      <c r="K389" s="51"/>
    </row>
    <row r="390" ht="13.5" customHeight="1">
      <c r="D390" s="19"/>
      <c r="E390" s="51"/>
      <c r="H390" s="51"/>
      <c r="K390" s="51"/>
    </row>
    <row r="391" ht="13.5" customHeight="1">
      <c r="D391" s="19"/>
      <c r="E391" s="51"/>
      <c r="H391" s="51"/>
      <c r="K391" s="51"/>
    </row>
    <row r="392" ht="13.5" customHeight="1">
      <c r="D392" s="19"/>
      <c r="E392" s="51"/>
      <c r="H392" s="51"/>
      <c r="K392" s="51"/>
    </row>
    <row r="393" ht="13.5" customHeight="1">
      <c r="D393" s="19"/>
      <c r="E393" s="51"/>
      <c r="H393" s="51"/>
      <c r="K393" s="51"/>
    </row>
    <row r="394" ht="13.5" customHeight="1">
      <c r="D394" s="19"/>
      <c r="E394" s="51"/>
      <c r="H394" s="51"/>
      <c r="K394" s="51"/>
    </row>
    <row r="395" ht="13.5" customHeight="1">
      <c r="D395" s="19"/>
      <c r="E395" s="51"/>
      <c r="H395" s="51"/>
      <c r="K395" s="51"/>
    </row>
    <row r="396" ht="13.5" customHeight="1">
      <c r="D396" s="19"/>
      <c r="E396" s="51"/>
      <c r="H396" s="51"/>
      <c r="K396" s="51"/>
    </row>
    <row r="397" ht="13.5" customHeight="1">
      <c r="D397" s="19"/>
      <c r="E397" s="51"/>
      <c r="H397" s="51"/>
      <c r="K397" s="51"/>
    </row>
    <row r="398" ht="13.5" customHeight="1">
      <c r="D398" s="19"/>
      <c r="E398" s="51"/>
      <c r="H398" s="51"/>
      <c r="K398" s="51"/>
    </row>
    <row r="399" ht="13.5" customHeight="1">
      <c r="D399" s="19"/>
      <c r="E399" s="51"/>
      <c r="H399" s="51"/>
      <c r="K399" s="51"/>
    </row>
    <row r="400" ht="13.5" customHeight="1">
      <c r="D400" s="19"/>
      <c r="E400" s="51"/>
      <c r="H400" s="51"/>
      <c r="K400" s="51"/>
    </row>
    <row r="401" ht="13.5" customHeight="1">
      <c r="D401" s="19"/>
      <c r="E401" s="51"/>
      <c r="H401" s="51"/>
      <c r="K401" s="51"/>
    </row>
    <row r="402" ht="13.5" customHeight="1">
      <c r="D402" s="19"/>
      <c r="E402" s="51"/>
      <c r="H402" s="51"/>
      <c r="K402" s="51"/>
    </row>
    <row r="403" ht="13.5" customHeight="1">
      <c r="D403" s="19"/>
      <c r="E403" s="51"/>
      <c r="H403" s="51"/>
      <c r="K403" s="51"/>
    </row>
    <row r="404" ht="13.5" customHeight="1">
      <c r="D404" s="19"/>
      <c r="E404" s="51"/>
      <c r="H404" s="51"/>
      <c r="K404" s="51"/>
    </row>
    <row r="405" ht="13.5" customHeight="1">
      <c r="D405" s="19"/>
      <c r="E405" s="51"/>
      <c r="H405" s="51"/>
      <c r="K405" s="51"/>
    </row>
    <row r="406" ht="13.5" customHeight="1">
      <c r="D406" s="19"/>
      <c r="E406" s="51"/>
      <c r="H406" s="51"/>
      <c r="K406" s="51"/>
    </row>
    <row r="407" ht="13.5" customHeight="1">
      <c r="D407" s="19"/>
      <c r="E407" s="51"/>
      <c r="H407" s="51"/>
      <c r="K407" s="51"/>
    </row>
    <row r="408" ht="13.5" customHeight="1">
      <c r="D408" s="19"/>
      <c r="E408" s="51"/>
      <c r="H408" s="51"/>
      <c r="K408" s="51"/>
    </row>
    <row r="409" ht="13.5" customHeight="1">
      <c r="D409" s="19"/>
      <c r="E409" s="51"/>
      <c r="H409" s="51"/>
      <c r="K409" s="51"/>
    </row>
    <row r="410" ht="13.5" customHeight="1">
      <c r="D410" s="19"/>
      <c r="E410" s="51"/>
      <c r="H410" s="51"/>
      <c r="K410" s="51"/>
    </row>
    <row r="411" ht="13.5" customHeight="1">
      <c r="D411" s="19"/>
      <c r="E411" s="51"/>
      <c r="H411" s="51"/>
      <c r="K411" s="51"/>
    </row>
    <row r="412" ht="13.5" customHeight="1">
      <c r="D412" s="19"/>
      <c r="E412" s="51"/>
      <c r="H412" s="51"/>
      <c r="K412" s="51"/>
    </row>
    <row r="413" ht="13.5" customHeight="1">
      <c r="D413" s="19"/>
      <c r="E413" s="51"/>
      <c r="H413" s="51"/>
      <c r="K413" s="51"/>
    </row>
    <row r="414" ht="13.5" customHeight="1">
      <c r="D414" s="19"/>
      <c r="E414" s="51"/>
      <c r="H414" s="51"/>
      <c r="K414" s="51"/>
    </row>
    <row r="415" ht="13.5" customHeight="1">
      <c r="D415" s="19"/>
      <c r="E415" s="51"/>
      <c r="H415" s="51"/>
      <c r="K415" s="51"/>
    </row>
    <row r="416" ht="13.5" customHeight="1">
      <c r="D416" s="19"/>
      <c r="E416" s="51"/>
      <c r="H416" s="51"/>
      <c r="K416" s="51"/>
    </row>
    <row r="417" ht="13.5" customHeight="1">
      <c r="D417" s="19"/>
      <c r="E417" s="51"/>
      <c r="H417" s="51"/>
      <c r="K417" s="51"/>
    </row>
    <row r="418" ht="13.5" customHeight="1">
      <c r="D418" s="19"/>
      <c r="E418" s="51"/>
      <c r="H418" s="51"/>
      <c r="K418" s="51"/>
    </row>
    <row r="419" ht="13.5" customHeight="1">
      <c r="D419" s="19"/>
      <c r="E419" s="51"/>
      <c r="H419" s="51"/>
      <c r="K419" s="51"/>
    </row>
    <row r="420" ht="13.5" customHeight="1">
      <c r="D420" s="19"/>
      <c r="E420" s="51"/>
      <c r="H420" s="51"/>
      <c r="K420" s="51"/>
    </row>
    <row r="421" ht="13.5" customHeight="1">
      <c r="D421" s="19"/>
      <c r="E421" s="51"/>
      <c r="H421" s="51"/>
      <c r="K421" s="51"/>
    </row>
    <row r="422" ht="13.5" customHeight="1">
      <c r="D422" s="19"/>
      <c r="E422" s="51"/>
      <c r="H422" s="51"/>
      <c r="K422" s="51"/>
    </row>
    <row r="423" ht="13.5" customHeight="1">
      <c r="D423" s="19"/>
      <c r="E423" s="51"/>
      <c r="H423" s="51"/>
      <c r="K423" s="51"/>
    </row>
    <row r="424" ht="13.5" customHeight="1">
      <c r="D424" s="19"/>
      <c r="E424" s="51"/>
      <c r="H424" s="51"/>
      <c r="K424" s="51"/>
    </row>
    <row r="425" ht="13.5" customHeight="1">
      <c r="D425" s="19"/>
      <c r="E425" s="51"/>
      <c r="H425" s="51"/>
      <c r="K425" s="51"/>
    </row>
    <row r="426" ht="13.5" customHeight="1">
      <c r="D426" s="19"/>
      <c r="E426" s="51"/>
      <c r="H426" s="51"/>
      <c r="K426" s="51"/>
    </row>
    <row r="427" ht="13.5" customHeight="1">
      <c r="D427" s="19"/>
      <c r="E427" s="51"/>
      <c r="H427" s="51"/>
      <c r="K427" s="51"/>
    </row>
    <row r="428" ht="13.5" customHeight="1">
      <c r="D428" s="19"/>
      <c r="E428" s="51"/>
      <c r="H428" s="51"/>
      <c r="K428" s="51"/>
    </row>
    <row r="429" ht="13.5" customHeight="1">
      <c r="D429" s="19"/>
      <c r="E429" s="51"/>
      <c r="H429" s="51"/>
      <c r="K429" s="51"/>
    </row>
    <row r="430" ht="13.5" customHeight="1">
      <c r="D430" s="19"/>
      <c r="E430" s="51"/>
      <c r="H430" s="51"/>
      <c r="K430" s="51"/>
    </row>
    <row r="431" ht="13.5" customHeight="1">
      <c r="D431" s="19"/>
      <c r="E431" s="51"/>
      <c r="H431" s="51"/>
      <c r="K431" s="51"/>
    </row>
    <row r="432" ht="13.5" customHeight="1">
      <c r="D432" s="19"/>
      <c r="E432" s="51"/>
      <c r="H432" s="51"/>
      <c r="K432" s="51"/>
    </row>
    <row r="433" ht="13.5" customHeight="1">
      <c r="D433" s="19"/>
      <c r="E433" s="51"/>
      <c r="H433" s="51"/>
      <c r="K433" s="51"/>
    </row>
    <row r="434" ht="13.5" customHeight="1">
      <c r="D434" s="19"/>
      <c r="E434" s="51"/>
      <c r="H434" s="51"/>
      <c r="K434" s="51"/>
    </row>
    <row r="435" ht="13.5" customHeight="1">
      <c r="D435" s="19"/>
      <c r="E435" s="51"/>
      <c r="H435" s="51"/>
      <c r="K435" s="51"/>
    </row>
    <row r="436" ht="13.5" customHeight="1">
      <c r="D436" s="19"/>
      <c r="E436" s="51"/>
      <c r="H436" s="51"/>
      <c r="K436" s="51"/>
    </row>
    <row r="437" ht="13.5" customHeight="1">
      <c r="D437" s="19"/>
      <c r="E437" s="51"/>
      <c r="H437" s="51"/>
      <c r="K437" s="51"/>
    </row>
    <row r="438" ht="13.5" customHeight="1">
      <c r="D438" s="19"/>
      <c r="E438" s="51"/>
      <c r="H438" s="51"/>
      <c r="K438" s="51"/>
    </row>
    <row r="439" ht="13.5" customHeight="1">
      <c r="D439" s="19"/>
      <c r="E439" s="51"/>
      <c r="H439" s="51"/>
      <c r="K439" s="51"/>
    </row>
    <row r="440" ht="13.5" customHeight="1">
      <c r="D440" s="19"/>
      <c r="E440" s="51"/>
      <c r="H440" s="51"/>
      <c r="K440" s="51"/>
    </row>
    <row r="441" ht="13.5" customHeight="1">
      <c r="D441" s="19"/>
      <c r="E441" s="51"/>
      <c r="H441" s="51"/>
      <c r="K441" s="51"/>
    </row>
    <row r="442" ht="13.5" customHeight="1">
      <c r="D442" s="19"/>
      <c r="E442" s="51"/>
      <c r="H442" s="51"/>
      <c r="K442" s="51"/>
    </row>
    <row r="443" ht="13.5" customHeight="1">
      <c r="D443" s="19"/>
      <c r="E443" s="51"/>
      <c r="H443" s="51"/>
      <c r="K443" s="51"/>
    </row>
    <row r="444" ht="13.5" customHeight="1">
      <c r="D444" s="19"/>
      <c r="E444" s="51"/>
      <c r="H444" s="51"/>
      <c r="K444" s="51"/>
    </row>
    <row r="445" ht="13.5" customHeight="1">
      <c r="D445" s="19"/>
      <c r="E445" s="51"/>
      <c r="H445" s="51"/>
      <c r="K445" s="51"/>
    </row>
    <row r="446" ht="13.5" customHeight="1">
      <c r="D446" s="19"/>
      <c r="E446" s="51"/>
      <c r="H446" s="51"/>
      <c r="K446" s="51"/>
    </row>
    <row r="447" ht="13.5" customHeight="1">
      <c r="D447" s="19"/>
      <c r="E447" s="51"/>
      <c r="H447" s="51"/>
      <c r="K447" s="51"/>
    </row>
    <row r="448" ht="13.5" customHeight="1">
      <c r="D448" s="19"/>
      <c r="E448" s="51"/>
      <c r="H448" s="51"/>
      <c r="K448" s="51"/>
    </row>
    <row r="449" ht="13.5" customHeight="1">
      <c r="D449" s="19"/>
      <c r="E449" s="51"/>
      <c r="H449" s="51"/>
      <c r="K449" s="51"/>
    </row>
    <row r="450" ht="13.5" customHeight="1">
      <c r="D450" s="19"/>
      <c r="E450" s="51"/>
      <c r="H450" s="51"/>
      <c r="K450" s="51"/>
    </row>
    <row r="451" ht="13.5" customHeight="1">
      <c r="D451" s="19"/>
      <c r="E451" s="51"/>
      <c r="H451" s="51"/>
      <c r="K451" s="51"/>
    </row>
    <row r="452" ht="13.5" customHeight="1">
      <c r="D452" s="19"/>
      <c r="E452" s="51"/>
      <c r="H452" s="51"/>
      <c r="K452" s="51"/>
    </row>
    <row r="453" ht="13.5" customHeight="1">
      <c r="D453" s="19"/>
      <c r="E453" s="51"/>
      <c r="H453" s="51"/>
      <c r="K453" s="51"/>
    </row>
    <row r="454" ht="13.5" customHeight="1">
      <c r="D454" s="19"/>
      <c r="E454" s="51"/>
      <c r="H454" s="51"/>
      <c r="K454" s="51"/>
    </row>
    <row r="455" ht="13.5" customHeight="1">
      <c r="D455" s="19"/>
      <c r="E455" s="51"/>
      <c r="H455" s="51"/>
      <c r="K455" s="51"/>
    </row>
    <row r="456" ht="13.5" customHeight="1">
      <c r="D456" s="19"/>
      <c r="E456" s="51"/>
      <c r="H456" s="51"/>
      <c r="K456" s="51"/>
    </row>
    <row r="457" ht="13.5" customHeight="1">
      <c r="D457" s="19"/>
      <c r="E457" s="51"/>
      <c r="H457" s="51"/>
      <c r="K457" s="51"/>
    </row>
    <row r="458" ht="13.5" customHeight="1">
      <c r="D458" s="19"/>
      <c r="E458" s="51"/>
      <c r="H458" s="51"/>
      <c r="K458" s="51"/>
    </row>
    <row r="459" ht="13.5" customHeight="1">
      <c r="D459" s="19"/>
      <c r="E459" s="51"/>
      <c r="H459" s="51"/>
      <c r="K459" s="51"/>
    </row>
    <row r="460" ht="13.5" customHeight="1">
      <c r="D460" s="19"/>
      <c r="E460" s="51"/>
      <c r="H460" s="51"/>
      <c r="K460" s="51"/>
    </row>
    <row r="461" ht="13.5" customHeight="1">
      <c r="D461" s="19"/>
      <c r="E461" s="51"/>
      <c r="H461" s="51"/>
      <c r="K461" s="51"/>
    </row>
    <row r="462" ht="13.5" customHeight="1">
      <c r="D462" s="19"/>
      <c r="E462" s="51"/>
      <c r="H462" s="51"/>
      <c r="K462" s="51"/>
    </row>
    <row r="463" ht="13.5" customHeight="1">
      <c r="D463" s="19"/>
      <c r="E463" s="51"/>
      <c r="H463" s="51"/>
      <c r="K463" s="51"/>
    </row>
    <row r="464" ht="13.5" customHeight="1">
      <c r="D464" s="19"/>
      <c r="E464" s="51"/>
      <c r="H464" s="51"/>
      <c r="K464" s="51"/>
    </row>
    <row r="465" ht="13.5" customHeight="1">
      <c r="D465" s="19"/>
      <c r="E465" s="51"/>
      <c r="H465" s="51"/>
      <c r="K465" s="51"/>
    </row>
    <row r="466" ht="13.5" customHeight="1">
      <c r="D466" s="19"/>
      <c r="E466" s="51"/>
      <c r="H466" s="51"/>
      <c r="K466" s="51"/>
    </row>
    <row r="467" ht="13.5" customHeight="1">
      <c r="D467" s="19"/>
      <c r="E467" s="51"/>
      <c r="H467" s="51"/>
      <c r="K467" s="51"/>
    </row>
    <row r="468" ht="13.5" customHeight="1">
      <c r="D468" s="19"/>
      <c r="E468" s="51"/>
      <c r="H468" s="51"/>
      <c r="K468" s="51"/>
    </row>
    <row r="469" ht="13.5" customHeight="1">
      <c r="D469" s="19"/>
      <c r="E469" s="51"/>
      <c r="H469" s="51"/>
      <c r="K469" s="51"/>
    </row>
    <row r="470" ht="13.5" customHeight="1">
      <c r="D470" s="19"/>
      <c r="E470" s="51"/>
      <c r="H470" s="51"/>
      <c r="K470" s="51"/>
    </row>
    <row r="471" ht="13.5" customHeight="1">
      <c r="D471" s="19"/>
      <c r="E471" s="51"/>
      <c r="H471" s="51"/>
      <c r="K471" s="51"/>
    </row>
    <row r="472" ht="13.5" customHeight="1">
      <c r="D472" s="19"/>
      <c r="E472" s="51"/>
      <c r="H472" s="51"/>
      <c r="K472" s="51"/>
    </row>
    <row r="473" ht="13.5" customHeight="1">
      <c r="D473" s="19"/>
      <c r="E473" s="51"/>
      <c r="H473" s="51"/>
      <c r="K473" s="51"/>
    </row>
    <row r="474" ht="13.5" customHeight="1">
      <c r="D474" s="19"/>
      <c r="E474" s="51"/>
      <c r="H474" s="51"/>
      <c r="K474" s="51"/>
    </row>
    <row r="475" ht="13.5" customHeight="1">
      <c r="D475" s="19"/>
      <c r="E475" s="51"/>
      <c r="H475" s="51"/>
      <c r="K475" s="51"/>
    </row>
    <row r="476" ht="13.5" customHeight="1">
      <c r="D476" s="19"/>
      <c r="E476" s="51"/>
      <c r="H476" s="51"/>
      <c r="K476" s="51"/>
    </row>
    <row r="477" ht="13.5" customHeight="1">
      <c r="D477" s="19"/>
      <c r="E477" s="51"/>
      <c r="H477" s="51"/>
      <c r="K477" s="51"/>
    </row>
    <row r="478" ht="13.5" customHeight="1">
      <c r="D478" s="19"/>
      <c r="E478" s="51"/>
      <c r="H478" s="51"/>
      <c r="K478" s="51"/>
    </row>
    <row r="479" ht="13.5" customHeight="1">
      <c r="D479" s="19"/>
      <c r="E479" s="51"/>
      <c r="H479" s="51"/>
      <c r="K479" s="51"/>
    </row>
    <row r="480" ht="13.5" customHeight="1">
      <c r="D480" s="19"/>
      <c r="E480" s="51"/>
      <c r="H480" s="51"/>
      <c r="K480" s="51"/>
    </row>
    <row r="481" ht="13.5" customHeight="1">
      <c r="D481" s="19"/>
      <c r="E481" s="51"/>
      <c r="H481" s="51"/>
      <c r="K481" s="51"/>
    </row>
    <row r="482" ht="13.5" customHeight="1">
      <c r="D482" s="19"/>
      <c r="E482" s="51"/>
      <c r="H482" s="51"/>
      <c r="K482" s="51"/>
    </row>
    <row r="483" ht="13.5" customHeight="1">
      <c r="D483" s="19"/>
      <c r="E483" s="51"/>
      <c r="H483" s="51"/>
      <c r="K483" s="51"/>
    </row>
    <row r="484" ht="13.5" customHeight="1">
      <c r="D484" s="19"/>
      <c r="E484" s="51"/>
      <c r="H484" s="51"/>
      <c r="K484" s="51"/>
    </row>
    <row r="485" ht="13.5" customHeight="1">
      <c r="D485" s="19"/>
      <c r="E485" s="51"/>
      <c r="H485" s="51"/>
      <c r="K485" s="51"/>
    </row>
    <row r="486" ht="13.5" customHeight="1">
      <c r="D486" s="19"/>
      <c r="E486" s="51"/>
      <c r="H486" s="51"/>
      <c r="K486" s="51"/>
    </row>
    <row r="487" ht="13.5" customHeight="1">
      <c r="D487" s="19"/>
      <c r="E487" s="51"/>
      <c r="H487" s="51"/>
      <c r="K487" s="51"/>
    </row>
    <row r="488" ht="13.5" customHeight="1">
      <c r="D488" s="19"/>
      <c r="E488" s="51"/>
      <c r="H488" s="51"/>
      <c r="K488" s="51"/>
    </row>
    <row r="489" ht="13.5" customHeight="1">
      <c r="D489" s="19"/>
      <c r="E489" s="51"/>
      <c r="H489" s="51"/>
      <c r="K489" s="51"/>
    </row>
    <row r="490" ht="13.5" customHeight="1">
      <c r="D490" s="19"/>
      <c r="E490" s="51"/>
      <c r="H490" s="51"/>
      <c r="K490" s="51"/>
    </row>
    <row r="491" ht="13.5" customHeight="1">
      <c r="D491" s="19"/>
      <c r="E491" s="51"/>
      <c r="H491" s="51"/>
      <c r="K491" s="51"/>
    </row>
    <row r="492" ht="13.5" customHeight="1">
      <c r="D492" s="19"/>
      <c r="E492" s="51"/>
      <c r="H492" s="51"/>
      <c r="K492" s="51"/>
    </row>
    <row r="493" ht="13.5" customHeight="1">
      <c r="D493" s="19"/>
      <c r="E493" s="51"/>
      <c r="H493" s="51"/>
      <c r="K493" s="51"/>
    </row>
    <row r="494" ht="13.5" customHeight="1">
      <c r="D494" s="19"/>
      <c r="E494" s="51"/>
      <c r="H494" s="51"/>
      <c r="K494" s="51"/>
    </row>
    <row r="495" ht="13.5" customHeight="1">
      <c r="D495" s="19"/>
      <c r="E495" s="51"/>
      <c r="H495" s="51"/>
      <c r="K495" s="51"/>
    </row>
    <row r="496" ht="13.5" customHeight="1">
      <c r="D496" s="19"/>
      <c r="E496" s="51"/>
      <c r="H496" s="51"/>
      <c r="K496" s="51"/>
    </row>
    <row r="497" ht="13.5" customHeight="1">
      <c r="D497" s="19"/>
      <c r="E497" s="51"/>
      <c r="H497" s="51"/>
      <c r="K497" s="51"/>
    </row>
    <row r="498" ht="13.5" customHeight="1">
      <c r="D498" s="19"/>
      <c r="E498" s="51"/>
      <c r="H498" s="51"/>
      <c r="K498" s="51"/>
    </row>
    <row r="499" ht="13.5" customHeight="1">
      <c r="D499" s="19"/>
      <c r="E499" s="51"/>
      <c r="H499" s="51"/>
      <c r="K499" s="51"/>
    </row>
    <row r="500" ht="13.5" customHeight="1">
      <c r="D500" s="19"/>
      <c r="E500" s="51"/>
      <c r="H500" s="51"/>
      <c r="K500" s="51"/>
    </row>
    <row r="501" ht="13.5" customHeight="1">
      <c r="D501" s="19"/>
      <c r="E501" s="51"/>
      <c r="H501" s="51"/>
      <c r="K501" s="51"/>
    </row>
    <row r="502" ht="13.5" customHeight="1">
      <c r="D502" s="19"/>
      <c r="E502" s="51"/>
      <c r="H502" s="51"/>
      <c r="K502" s="51"/>
    </row>
    <row r="503" ht="13.5" customHeight="1">
      <c r="D503" s="19"/>
      <c r="E503" s="51"/>
      <c r="H503" s="51"/>
      <c r="K503" s="51"/>
    </row>
    <row r="504" ht="13.5" customHeight="1">
      <c r="D504" s="19"/>
      <c r="E504" s="51"/>
      <c r="H504" s="51"/>
      <c r="K504" s="51"/>
    </row>
    <row r="505" ht="13.5" customHeight="1">
      <c r="D505" s="19"/>
      <c r="E505" s="51"/>
      <c r="H505" s="51"/>
      <c r="K505" s="51"/>
    </row>
    <row r="506" ht="13.5" customHeight="1">
      <c r="D506" s="19"/>
      <c r="E506" s="51"/>
      <c r="H506" s="51"/>
      <c r="K506" s="51"/>
    </row>
    <row r="507" ht="13.5" customHeight="1">
      <c r="D507" s="19"/>
      <c r="E507" s="51"/>
      <c r="H507" s="51"/>
      <c r="K507" s="51"/>
    </row>
    <row r="508" ht="13.5" customHeight="1">
      <c r="D508" s="19"/>
      <c r="E508" s="51"/>
      <c r="H508" s="51"/>
      <c r="K508" s="51"/>
    </row>
    <row r="509" ht="13.5" customHeight="1">
      <c r="D509" s="19"/>
      <c r="E509" s="51"/>
      <c r="H509" s="51"/>
      <c r="K509" s="51"/>
    </row>
    <row r="510" ht="13.5" customHeight="1">
      <c r="D510" s="19"/>
      <c r="E510" s="51"/>
      <c r="H510" s="51"/>
      <c r="K510" s="51"/>
    </row>
    <row r="511" ht="13.5" customHeight="1">
      <c r="D511" s="19"/>
      <c r="E511" s="51"/>
      <c r="H511" s="51"/>
      <c r="K511" s="51"/>
    </row>
    <row r="512" ht="13.5" customHeight="1">
      <c r="D512" s="19"/>
      <c r="E512" s="51"/>
      <c r="H512" s="51"/>
      <c r="K512" s="51"/>
    </row>
    <row r="513" ht="13.5" customHeight="1">
      <c r="D513" s="19"/>
      <c r="E513" s="51"/>
      <c r="H513" s="51"/>
      <c r="K513" s="51"/>
    </row>
    <row r="514" ht="13.5" customHeight="1">
      <c r="D514" s="19"/>
      <c r="E514" s="51"/>
      <c r="H514" s="51"/>
      <c r="K514" s="51"/>
    </row>
    <row r="515" ht="13.5" customHeight="1">
      <c r="D515" s="19"/>
      <c r="E515" s="51"/>
      <c r="H515" s="51"/>
      <c r="K515" s="51"/>
    </row>
    <row r="516" ht="13.5" customHeight="1">
      <c r="D516" s="19"/>
      <c r="E516" s="51"/>
      <c r="H516" s="51"/>
      <c r="K516" s="51"/>
    </row>
    <row r="517" ht="13.5" customHeight="1">
      <c r="D517" s="19"/>
      <c r="E517" s="51"/>
      <c r="H517" s="51"/>
      <c r="K517" s="51"/>
    </row>
    <row r="518" ht="13.5" customHeight="1">
      <c r="D518" s="19"/>
      <c r="E518" s="51"/>
      <c r="H518" s="51"/>
      <c r="K518" s="51"/>
    </row>
    <row r="519" ht="13.5" customHeight="1">
      <c r="D519" s="19"/>
      <c r="E519" s="51"/>
      <c r="H519" s="51"/>
      <c r="K519" s="51"/>
    </row>
    <row r="520" ht="13.5" customHeight="1">
      <c r="D520" s="19"/>
      <c r="E520" s="51"/>
      <c r="H520" s="51"/>
      <c r="K520" s="51"/>
    </row>
    <row r="521" ht="13.5" customHeight="1">
      <c r="D521" s="19"/>
      <c r="E521" s="51"/>
      <c r="H521" s="51"/>
      <c r="K521" s="51"/>
    </row>
    <row r="522" ht="13.5" customHeight="1">
      <c r="D522" s="19"/>
      <c r="E522" s="51"/>
      <c r="H522" s="51"/>
      <c r="K522" s="51"/>
    </row>
    <row r="523" ht="13.5" customHeight="1">
      <c r="D523" s="19"/>
      <c r="E523" s="51"/>
      <c r="H523" s="51"/>
      <c r="K523" s="51"/>
    </row>
    <row r="524" ht="13.5" customHeight="1">
      <c r="D524" s="19"/>
      <c r="E524" s="51"/>
      <c r="H524" s="51"/>
      <c r="K524" s="51"/>
    </row>
    <row r="525" ht="13.5" customHeight="1">
      <c r="D525" s="19"/>
      <c r="E525" s="51"/>
      <c r="H525" s="51"/>
      <c r="K525" s="51"/>
    </row>
    <row r="526" ht="13.5" customHeight="1">
      <c r="D526" s="19"/>
      <c r="E526" s="51"/>
      <c r="H526" s="51"/>
      <c r="K526" s="51"/>
    </row>
    <row r="527" ht="13.5" customHeight="1">
      <c r="D527" s="19"/>
      <c r="E527" s="51"/>
      <c r="H527" s="51"/>
      <c r="K527" s="51"/>
    </row>
    <row r="528" ht="13.5" customHeight="1">
      <c r="D528" s="19"/>
      <c r="E528" s="51"/>
      <c r="H528" s="51"/>
      <c r="K528" s="51"/>
    </row>
    <row r="529" ht="13.5" customHeight="1">
      <c r="D529" s="19"/>
      <c r="E529" s="51"/>
      <c r="H529" s="51"/>
      <c r="K529" s="51"/>
    </row>
    <row r="530" ht="13.5" customHeight="1">
      <c r="D530" s="19"/>
      <c r="E530" s="51"/>
      <c r="H530" s="51"/>
      <c r="K530" s="51"/>
    </row>
    <row r="531" ht="13.5" customHeight="1">
      <c r="D531" s="19"/>
      <c r="E531" s="51"/>
      <c r="H531" s="51"/>
      <c r="K531" s="51"/>
    </row>
    <row r="532" ht="13.5" customHeight="1">
      <c r="D532" s="19"/>
      <c r="E532" s="51"/>
      <c r="H532" s="51"/>
      <c r="K532" s="51"/>
    </row>
    <row r="533" ht="13.5" customHeight="1">
      <c r="D533" s="19"/>
      <c r="E533" s="51"/>
      <c r="H533" s="51"/>
      <c r="K533" s="51"/>
    </row>
    <row r="534" ht="13.5" customHeight="1">
      <c r="D534" s="19"/>
      <c r="E534" s="51"/>
      <c r="H534" s="51"/>
      <c r="K534" s="51"/>
    </row>
    <row r="535" ht="13.5" customHeight="1">
      <c r="D535" s="19"/>
      <c r="E535" s="51"/>
      <c r="H535" s="51"/>
      <c r="K535" s="51"/>
    </row>
    <row r="536" ht="13.5" customHeight="1">
      <c r="D536" s="19"/>
      <c r="E536" s="51"/>
      <c r="H536" s="51"/>
      <c r="K536" s="51"/>
    </row>
    <row r="537" ht="13.5" customHeight="1">
      <c r="D537" s="19"/>
      <c r="E537" s="51"/>
      <c r="H537" s="51"/>
      <c r="K537" s="51"/>
    </row>
    <row r="538" ht="13.5" customHeight="1">
      <c r="D538" s="19"/>
      <c r="E538" s="51"/>
      <c r="H538" s="51"/>
      <c r="K538" s="51"/>
    </row>
    <row r="539" ht="13.5" customHeight="1">
      <c r="D539" s="19"/>
      <c r="E539" s="51"/>
      <c r="H539" s="51"/>
      <c r="K539" s="51"/>
    </row>
    <row r="540" ht="13.5" customHeight="1">
      <c r="D540" s="19"/>
      <c r="E540" s="51"/>
      <c r="H540" s="51"/>
      <c r="K540" s="51"/>
    </row>
    <row r="541" ht="13.5" customHeight="1">
      <c r="D541" s="19"/>
      <c r="E541" s="51"/>
      <c r="H541" s="51"/>
      <c r="K541" s="51"/>
    </row>
    <row r="542" ht="13.5" customHeight="1">
      <c r="D542" s="19"/>
      <c r="E542" s="51"/>
      <c r="H542" s="51"/>
      <c r="K542" s="51"/>
    </row>
    <row r="543" ht="13.5" customHeight="1">
      <c r="D543" s="19"/>
      <c r="E543" s="51"/>
      <c r="H543" s="51"/>
      <c r="K543" s="51"/>
    </row>
    <row r="544" ht="13.5" customHeight="1">
      <c r="D544" s="19"/>
      <c r="E544" s="51"/>
      <c r="H544" s="51"/>
      <c r="K544" s="51"/>
    </row>
    <row r="545" ht="13.5" customHeight="1">
      <c r="D545" s="19"/>
      <c r="E545" s="51"/>
      <c r="H545" s="51"/>
      <c r="K545" s="51"/>
    </row>
    <row r="546" ht="13.5" customHeight="1">
      <c r="D546" s="19"/>
      <c r="E546" s="51"/>
      <c r="H546" s="51"/>
      <c r="K546" s="51"/>
    </row>
    <row r="547" ht="13.5" customHeight="1">
      <c r="D547" s="19"/>
      <c r="E547" s="51"/>
      <c r="H547" s="51"/>
      <c r="K547" s="51"/>
    </row>
    <row r="548" ht="13.5" customHeight="1">
      <c r="D548" s="19"/>
      <c r="E548" s="51"/>
      <c r="H548" s="51"/>
      <c r="K548" s="51"/>
    </row>
    <row r="549" ht="13.5" customHeight="1">
      <c r="D549" s="19"/>
      <c r="E549" s="51"/>
      <c r="H549" s="51"/>
      <c r="K549" s="51"/>
    </row>
    <row r="550" ht="13.5" customHeight="1">
      <c r="D550" s="19"/>
      <c r="E550" s="51"/>
      <c r="H550" s="51"/>
      <c r="K550" s="51"/>
    </row>
    <row r="551" ht="13.5" customHeight="1">
      <c r="D551" s="19"/>
      <c r="E551" s="51"/>
      <c r="H551" s="51"/>
      <c r="K551" s="51"/>
    </row>
    <row r="552" ht="13.5" customHeight="1">
      <c r="D552" s="19"/>
      <c r="E552" s="51"/>
      <c r="H552" s="51"/>
      <c r="K552" s="51"/>
    </row>
    <row r="553" ht="13.5" customHeight="1">
      <c r="D553" s="19"/>
      <c r="E553" s="51"/>
      <c r="H553" s="51"/>
      <c r="K553" s="51"/>
    </row>
    <row r="554" ht="13.5" customHeight="1">
      <c r="D554" s="19"/>
      <c r="E554" s="51"/>
      <c r="H554" s="51"/>
      <c r="K554" s="51"/>
    </row>
    <row r="555" ht="13.5" customHeight="1">
      <c r="D555" s="19"/>
      <c r="E555" s="51"/>
      <c r="H555" s="51"/>
      <c r="K555" s="51"/>
    </row>
    <row r="556" ht="13.5" customHeight="1">
      <c r="D556" s="19"/>
      <c r="E556" s="51"/>
      <c r="H556" s="51"/>
      <c r="K556" s="51"/>
    </row>
    <row r="557" ht="13.5" customHeight="1">
      <c r="D557" s="19"/>
      <c r="E557" s="51"/>
      <c r="H557" s="51"/>
      <c r="K557" s="51"/>
    </row>
    <row r="558" ht="13.5" customHeight="1">
      <c r="D558" s="19"/>
      <c r="E558" s="51"/>
      <c r="H558" s="51"/>
      <c r="K558" s="51"/>
    </row>
    <row r="559" ht="13.5" customHeight="1">
      <c r="D559" s="19"/>
      <c r="E559" s="51"/>
      <c r="H559" s="51"/>
      <c r="K559" s="51"/>
    </row>
    <row r="560" ht="13.5" customHeight="1">
      <c r="D560" s="19"/>
      <c r="E560" s="51"/>
      <c r="H560" s="51"/>
      <c r="K560" s="51"/>
    </row>
    <row r="561" ht="13.5" customHeight="1">
      <c r="D561" s="19"/>
      <c r="E561" s="51"/>
      <c r="H561" s="51"/>
      <c r="K561" s="51"/>
    </row>
    <row r="562" ht="13.5" customHeight="1">
      <c r="D562" s="19"/>
      <c r="E562" s="51"/>
      <c r="H562" s="51"/>
      <c r="K562" s="51"/>
    </row>
    <row r="563" ht="13.5" customHeight="1">
      <c r="D563" s="19"/>
      <c r="E563" s="51"/>
      <c r="H563" s="51"/>
      <c r="K563" s="51"/>
    </row>
    <row r="564" ht="13.5" customHeight="1">
      <c r="D564" s="19"/>
      <c r="E564" s="51"/>
      <c r="H564" s="51"/>
      <c r="K564" s="51"/>
    </row>
    <row r="565" ht="13.5" customHeight="1">
      <c r="D565" s="19"/>
      <c r="E565" s="51"/>
      <c r="H565" s="51"/>
      <c r="K565" s="51"/>
    </row>
    <row r="566" ht="13.5" customHeight="1">
      <c r="D566" s="19"/>
      <c r="E566" s="51"/>
      <c r="H566" s="51"/>
      <c r="K566" s="51"/>
    </row>
    <row r="567" ht="13.5" customHeight="1">
      <c r="D567" s="19"/>
      <c r="E567" s="51"/>
      <c r="H567" s="51"/>
      <c r="K567" s="51"/>
    </row>
    <row r="568" ht="13.5" customHeight="1">
      <c r="D568" s="19"/>
      <c r="E568" s="51"/>
      <c r="H568" s="51"/>
      <c r="K568" s="51"/>
    </row>
    <row r="569" ht="13.5" customHeight="1">
      <c r="D569" s="19"/>
      <c r="E569" s="51"/>
      <c r="H569" s="51"/>
      <c r="K569" s="51"/>
    </row>
    <row r="570" ht="13.5" customHeight="1">
      <c r="D570" s="19"/>
      <c r="E570" s="51"/>
      <c r="H570" s="51"/>
      <c r="K570" s="51"/>
    </row>
    <row r="571" ht="13.5" customHeight="1">
      <c r="D571" s="19"/>
      <c r="E571" s="51"/>
      <c r="H571" s="51"/>
      <c r="K571" s="51"/>
    </row>
    <row r="572" ht="13.5" customHeight="1">
      <c r="D572" s="19"/>
      <c r="E572" s="51"/>
      <c r="H572" s="51"/>
      <c r="K572" s="51"/>
    </row>
    <row r="573" ht="13.5" customHeight="1">
      <c r="D573" s="19"/>
      <c r="E573" s="51"/>
      <c r="H573" s="51"/>
      <c r="K573" s="51"/>
    </row>
    <row r="574" ht="13.5" customHeight="1">
      <c r="D574" s="19"/>
      <c r="E574" s="51"/>
      <c r="H574" s="51"/>
      <c r="K574" s="51"/>
    </row>
    <row r="575" ht="13.5" customHeight="1">
      <c r="D575" s="19"/>
      <c r="E575" s="51"/>
      <c r="H575" s="51"/>
      <c r="K575" s="51"/>
    </row>
    <row r="576" ht="13.5" customHeight="1">
      <c r="D576" s="19"/>
      <c r="E576" s="51"/>
      <c r="H576" s="51"/>
      <c r="K576" s="51"/>
    </row>
    <row r="577" ht="13.5" customHeight="1">
      <c r="D577" s="19"/>
      <c r="E577" s="51"/>
      <c r="H577" s="51"/>
      <c r="K577" s="51"/>
    </row>
    <row r="578" ht="13.5" customHeight="1">
      <c r="D578" s="19"/>
      <c r="E578" s="51"/>
      <c r="H578" s="51"/>
      <c r="K578" s="51"/>
    </row>
    <row r="579" ht="13.5" customHeight="1">
      <c r="D579" s="19"/>
      <c r="E579" s="51"/>
      <c r="H579" s="51"/>
      <c r="K579" s="51"/>
    </row>
    <row r="580" ht="13.5" customHeight="1">
      <c r="D580" s="19"/>
      <c r="E580" s="51"/>
      <c r="H580" s="51"/>
      <c r="K580" s="51"/>
    </row>
    <row r="581" ht="13.5" customHeight="1">
      <c r="D581" s="19"/>
      <c r="E581" s="51"/>
      <c r="H581" s="51"/>
      <c r="K581" s="51"/>
    </row>
    <row r="582" ht="13.5" customHeight="1">
      <c r="D582" s="19"/>
      <c r="E582" s="51"/>
      <c r="H582" s="51"/>
      <c r="K582" s="51"/>
    </row>
    <row r="583" ht="13.5" customHeight="1">
      <c r="D583" s="19"/>
      <c r="E583" s="51"/>
      <c r="H583" s="51"/>
      <c r="K583" s="51"/>
    </row>
    <row r="584" ht="13.5" customHeight="1">
      <c r="D584" s="19"/>
      <c r="E584" s="51"/>
      <c r="H584" s="51"/>
      <c r="K584" s="51"/>
    </row>
    <row r="585" ht="13.5" customHeight="1">
      <c r="D585" s="19"/>
      <c r="E585" s="51"/>
      <c r="H585" s="51"/>
      <c r="K585" s="51"/>
    </row>
    <row r="586" ht="13.5" customHeight="1">
      <c r="D586" s="19"/>
      <c r="E586" s="51"/>
      <c r="H586" s="51"/>
      <c r="K586" s="51"/>
    </row>
    <row r="587" ht="13.5" customHeight="1">
      <c r="D587" s="19"/>
      <c r="E587" s="51"/>
      <c r="H587" s="51"/>
      <c r="K587" s="51"/>
    </row>
    <row r="588" ht="13.5" customHeight="1">
      <c r="D588" s="19"/>
      <c r="E588" s="51"/>
      <c r="H588" s="51"/>
      <c r="K588" s="51"/>
    </row>
    <row r="589" ht="13.5" customHeight="1">
      <c r="D589" s="19"/>
      <c r="E589" s="51"/>
      <c r="H589" s="51"/>
      <c r="K589" s="51"/>
    </row>
    <row r="590" ht="13.5" customHeight="1">
      <c r="D590" s="19"/>
      <c r="E590" s="51"/>
      <c r="H590" s="51"/>
      <c r="K590" s="51"/>
    </row>
    <row r="591" ht="13.5" customHeight="1">
      <c r="D591" s="19"/>
      <c r="E591" s="51"/>
      <c r="H591" s="51"/>
      <c r="K591" s="51"/>
    </row>
    <row r="592" ht="13.5" customHeight="1">
      <c r="D592" s="19"/>
      <c r="E592" s="51"/>
      <c r="H592" s="51"/>
      <c r="K592" s="51"/>
    </row>
    <row r="593" ht="13.5" customHeight="1">
      <c r="D593" s="19"/>
      <c r="E593" s="51"/>
      <c r="H593" s="51"/>
      <c r="K593" s="51"/>
    </row>
    <row r="594" ht="13.5" customHeight="1">
      <c r="D594" s="19"/>
      <c r="E594" s="51"/>
      <c r="H594" s="51"/>
      <c r="K594" s="51"/>
    </row>
    <row r="595" ht="13.5" customHeight="1">
      <c r="D595" s="19"/>
      <c r="E595" s="51"/>
      <c r="H595" s="51"/>
      <c r="K595" s="51"/>
    </row>
    <row r="596" ht="13.5" customHeight="1">
      <c r="D596" s="19"/>
      <c r="E596" s="51"/>
      <c r="H596" s="51"/>
      <c r="K596" s="51"/>
    </row>
    <row r="597" ht="13.5" customHeight="1">
      <c r="D597" s="19"/>
      <c r="E597" s="51"/>
      <c r="H597" s="51"/>
      <c r="K597" s="51"/>
    </row>
    <row r="598" ht="13.5" customHeight="1">
      <c r="D598" s="19"/>
      <c r="E598" s="51"/>
      <c r="H598" s="51"/>
      <c r="K598" s="51"/>
    </row>
    <row r="599" ht="13.5" customHeight="1">
      <c r="D599" s="19"/>
      <c r="E599" s="51"/>
      <c r="H599" s="51"/>
      <c r="K599" s="51"/>
    </row>
    <row r="600" ht="13.5" customHeight="1">
      <c r="D600" s="19"/>
      <c r="E600" s="51"/>
      <c r="H600" s="51"/>
      <c r="K600" s="51"/>
    </row>
    <row r="601" ht="13.5" customHeight="1">
      <c r="D601" s="19"/>
      <c r="E601" s="51"/>
      <c r="H601" s="51"/>
      <c r="K601" s="51"/>
    </row>
    <row r="602" ht="13.5" customHeight="1">
      <c r="D602" s="19"/>
      <c r="E602" s="51"/>
      <c r="H602" s="51"/>
      <c r="K602" s="51"/>
    </row>
    <row r="603" ht="13.5" customHeight="1">
      <c r="D603" s="19"/>
      <c r="E603" s="51"/>
      <c r="H603" s="51"/>
      <c r="K603" s="51"/>
    </row>
    <row r="604" ht="13.5" customHeight="1">
      <c r="D604" s="19"/>
      <c r="E604" s="51"/>
      <c r="H604" s="51"/>
      <c r="K604" s="51"/>
    </row>
    <row r="605" ht="13.5" customHeight="1">
      <c r="D605" s="19"/>
      <c r="E605" s="51"/>
      <c r="H605" s="51"/>
      <c r="K605" s="51"/>
    </row>
    <row r="606" ht="13.5" customHeight="1">
      <c r="D606" s="19"/>
      <c r="E606" s="51"/>
      <c r="H606" s="51"/>
      <c r="K606" s="51"/>
    </row>
    <row r="607" ht="13.5" customHeight="1">
      <c r="D607" s="19"/>
      <c r="E607" s="51"/>
      <c r="H607" s="51"/>
      <c r="K607" s="51"/>
    </row>
    <row r="608" ht="13.5" customHeight="1">
      <c r="D608" s="19"/>
      <c r="E608" s="51"/>
      <c r="H608" s="51"/>
      <c r="K608" s="51"/>
    </row>
    <row r="609" ht="13.5" customHeight="1">
      <c r="D609" s="19"/>
      <c r="E609" s="51"/>
      <c r="H609" s="51"/>
      <c r="K609" s="51"/>
    </row>
    <row r="610" ht="13.5" customHeight="1">
      <c r="D610" s="19"/>
      <c r="E610" s="51"/>
      <c r="H610" s="51"/>
      <c r="K610" s="51"/>
    </row>
    <row r="611" ht="13.5" customHeight="1">
      <c r="D611" s="19"/>
      <c r="E611" s="51"/>
      <c r="H611" s="51"/>
      <c r="K611" s="51"/>
    </row>
    <row r="612" ht="13.5" customHeight="1">
      <c r="D612" s="19"/>
      <c r="E612" s="51"/>
      <c r="H612" s="51"/>
      <c r="K612" s="51"/>
    </row>
    <row r="613" ht="13.5" customHeight="1">
      <c r="D613" s="19"/>
      <c r="E613" s="51"/>
      <c r="H613" s="51"/>
      <c r="K613" s="51"/>
    </row>
    <row r="614" ht="13.5" customHeight="1">
      <c r="D614" s="19"/>
      <c r="E614" s="51"/>
      <c r="H614" s="51"/>
      <c r="K614" s="51"/>
    </row>
    <row r="615" ht="13.5" customHeight="1">
      <c r="D615" s="19"/>
      <c r="E615" s="51"/>
      <c r="H615" s="51"/>
      <c r="K615" s="51"/>
    </row>
    <row r="616" ht="13.5" customHeight="1">
      <c r="D616" s="19"/>
      <c r="E616" s="51"/>
      <c r="H616" s="51"/>
      <c r="K616" s="51"/>
    </row>
    <row r="617" ht="13.5" customHeight="1">
      <c r="D617" s="19"/>
      <c r="E617" s="51"/>
      <c r="H617" s="51"/>
      <c r="K617" s="51"/>
    </row>
    <row r="618" ht="13.5" customHeight="1">
      <c r="D618" s="19"/>
      <c r="E618" s="51"/>
      <c r="H618" s="51"/>
      <c r="K618" s="51"/>
    </row>
    <row r="619" ht="13.5" customHeight="1">
      <c r="D619" s="19"/>
      <c r="E619" s="51"/>
      <c r="H619" s="51"/>
      <c r="K619" s="51"/>
    </row>
    <row r="620" ht="13.5" customHeight="1">
      <c r="D620" s="19"/>
      <c r="E620" s="51"/>
      <c r="H620" s="51"/>
      <c r="K620" s="51"/>
    </row>
    <row r="621" ht="13.5" customHeight="1">
      <c r="D621" s="19"/>
      <c r="E621" s="51"/>
      <c r="H621" s="51"/>
      <c r="K621" s="51"/>
    </row>
    <row r="622" ht="13.5" customHeight="1">
      <c r="D622" s="19"/>
      <c r="E622" s="51"/>
      <c r="H622" s="51"/>
      <c r="K622" s="51"/>
    </row>
    <row r="623" ht="13.5" customHeight="1">
      <c r="D623" s="19"/>
      <c r="E623" s="51"/>
      <c r="H623" s="51"/>
      <c r="K623" s="51"/>
    </row>
    <row r="624" ht="13.5" customHeight="1">
      <c r="D624" s="19"/>
      <c r="E624" s="51"/>
      <c r="H624" s="51"/>
      <c r="K624" s="51"/>
    </row>
    <row r="625" ht="13.5" customHeight="1">
      <c r="D625" s="19"/>
      <c r="E625" s="51"/>
      <c r="H625" s="51"/>
      <c r="K625" s="51"/>
    </row>
    <row r="626" ht="13.5" customHeight="1">
      <c r="D626" s="19"/>
      <c r="E626" s="51"/>
      <c r="H626" s="51"/>
      <c r="K626" s="51"/>
    </row>
    <row r="627" ht="13.5" customHeight="1">
      <c r="D627" s="19"/>
      <c r="E627" s="51"/>
      <c r="H627" s="51"/>
      <c r="K627" s="51"/>
    </row>
    <row r="628" ht="13.5" customHeight="1">
      <c r="D628" s="19"/>
      <c r="E628" s="51"/>
      <c r="H628" s="51"/>
      <c r="K628" s="51"/>
    </row>
    <row r="629" ht="13.5" customHeight="1">
      <c r="D629" s="19"/>
      <c r="E629" s="51"/>
      <c r="H629" s="51"/>
      <c r="K629" s="51"/>
    </row>
    <row r="630" ht="13.5" customHeight="1">
      <c r="D630" s="19"/>
      <c r="E630" s="51"/>
      <c r="H630" s="51"/>
      <c r="K630" s="51"/>
    </row>
    <row r="631" ht="13.5" customHeight="1">
      <c r="D631" s="19"/>
      <c r="E631" s="51"/>
      <c r="H631" s="51"/>
      <c r="K631" s="51"/>
    </row>
    <row r="632" ht="13.5" customHeight="1">
      <c r="D632" s="19"/>
      <c r="E632" s="51"/>
      <c r="H632" s="51"/>
      <c r="K632" s="51"/>
    </row>
    <row r="633" ht="13.5" customHeight="1">
      <c r="D633" s="19"/>
      <c r="E633" s="51"/>
      <c r="H633" s="51"/>
      <c r="K633" s="51"/>
    </row>
    <row r="634" ht="13.5" customHeight="1">
      <c r="D634" s="19"/>
      <c r="E634" s="51"/>
      <c r="H634" s="51"/>
      <c r="K634" s="51"/>
    </row>
    <row r="635" ht="13.5" customHeight="1">
      <c r="D635" s="19"/>
      <c r="E635" s="51"/>
      <c r="H635" s="51"/>
      <c r="K635" s="51"/>
    </row>
    <row r="636" ht="13.5" customHeight="1">
      <c r="D636" s="19"/>
      <c r="E636" s="51"/>
      <c r="H636" s="51"/>
      <c r="K636" s="51"/>
    </row>
    <row r="637" ht="13.5" customHeight="1">
      <c r="D637" s="19"/>
      <c r="E637" s="51"/>
      <c r="H637" s="51"/>
      <c r="K637" s="51"/>
    </row>
    <row r="638" ht="13.5" customHeight="1">
      <c r="D638" s="19"/>
      <c r="E638" s="51"/>
      <c r="H638" s="51"/>
      <c r="K638" s="51"/>
    </row>
    <row r="639" ht="13.5" customHeight="1">
      <c r="D639" s="19"/>
      <c r="E639" s="51"/>
      <c r="H639" s="51"/>
      <c r="K639" s="51"/>
    </row>
    <row r="640" ht="13.5" customHeight="1">
      <c r="D640" s="19"/>
      <c r="E640" s="51"/>
      <c r="H640" s="51"/>
      <c r="K640" s="51"/>
    </row>
    <row r="641" ht="13.5" customHeight="1">
      <c r="D641" s="19"/>
      <c r="E641" s="51"/>
      <c r="H641" s="51"/>
      <c r="K641" s="51"/>
    </row>
    <row r="642" ht="13.5" customHeight="1">
      <c r="D642" s="19"/>
      <c r="E642" s="51"/>
      <c r="H642" s="51"/>
      <c r="K642" s="51"/>
    </row>
    <row r="643" ht="13.5" customHeight="1">
      <c r="D643" s="19"/>
      <c r="E643" s="51"/>
      <c r="H643" s="51"/>
      <c r="K643" s="51"/>
    </row>
    <row r="644" ht="13.5" customHeight="1">
      <c r="D644" s="19"/>
      <c r="E644" s="51"/>
      <c r="H644" s="51"/>
      <c r="K644" s="51"/>
    </row>
    <row r="645" ht="13.5" customHeight="1">
      <c r="D645" s="19"/>
      <c r="E645" s="51"/>
      <c r="H645" s="51"/>
      <c r="K645" s="51"/>
    </row>
    <row r="646" ht="13.5" customHeight="1">
      <c r="D646" s="19"/>
      <c r="E646" s="51"/>
      <c r="H646" s="51"/>
      <c r="K646" s="51"/>
    </row>
    <row r="647" ht="13.5" customHeight="1">
      <c r="D647" s="19"/>
      <c r="E647" s="51"/>
      <c r="H647" s="51"/>
      <c r="K647" s="51"/>
    </row>
    <row r="648" ht="13.5" customHeight="1">
      <c r="D648" s="19"/>
      <c r="E648" s="51"/>
      <c r="H648" s="51"/>
      <c r="K648" s="51"/>
    </row>
    <row r="649" ht="13.5" customHeight="1">
      <c r="D649" s="19"/>
      <c r="E649" s="51"/>
      <c r="H649" s="51"/>
      <c r="K649" s="51"/>
    </row>
    <row r="650" ht="13.5" customHeight="1">
      <c r="D650" s="19"/>
      <c r="E650" s="51"/>
      <c r="H650" s="51"/>
      <c r="K650" s="51"/>
    </row>
    <row r="651" ht="13.5" customHeight="1">
      <c r="D651" s="19"/>
      <c r="E651" s="51"/>
      <c r="H651" s="51"/>
      <c r="K651" s="51"/>
    </row>
    <row r="652" ht="13.5" customHeight="1">
      <c r="D652" s="19"/>
      <c r="E652" s="51"/>
      <c r="H652" s="51"/>
      <c r="K652" s="51"/>
    </row>
    <row r="653" ht="13.5" customHeight="1">
      <c r="D653" s="19"/>
      <c r="E653" s="51"/>
      <c r="H653" s="51"/>
      <c r="K653" s="51"/>
    </row>
    <row r="654" ht="13.5" customHeight="1">
      <c r="D654" s="19"/>
      <c r="E654" s="51"/>
      <c r="H654" s="51"/>
      <c r="K654" s="51"/>
    </row>
    <row r="655" ht="13.5" customHeight="1">
      <c r="D655" s="19"/>
      <c r="E655" s="51"/>
      <c r="H655" s="51"/>
      <c r="K655" s="51"/>
    </row>
    <row r="656" ht="13.5" customHeight="1">
      <c r="D656" s="19"/>
      <c r="E656" s="51"/>
      <c r="H656" s="51"/>
      <c r="K656" s="51"/>
    </row>
    <row r="657" ht="13.5" customHeight="1">
      <c r="D657" s="19"/>
      <c r="E657" s="51"/>
      <c r="H657" s="51"/>
      <c r="K657" s="51"/>
    </row>
    <row r="658" ht="13.5" customHeight="1">
      <c r="D658" s="19"/>
      <c r="E658" s="51"/>
      <c r="H658" s="51"/>
      <c r="K658" s="51"/>
    </row>
    <row r="659" ht="13.5" customHeight="1">
      <c r="D659" s="19"/>
      <c r="E659" s="51"/>
      <c r="H659" s="51"/>
      <c r="K659" s="51"/>
    </row>
    <row r="660" ht="13.5" customHeight="1">
      <c r="D660" s="19"/>
      <c r="E660" s="51"/>
      <c r="H660" s="51"/>
      <c r="K660" s="51"/>
    </row>
    <row r="661" ht="13.5" customHeight="1">
      <c r="D661" s="19"/>
      <c r="E661" s="51"/>
      <c r="H661" s="51"/>
      <c r="K661" s="51"/>
    </row>
    <row r="662" ht="13.5" customHeight="1">
      <c r="D662" s="19"/>
      <c r="E662" s="51"/>
      <c r="H662" s="51"/>
      <c r="K662" s="51"/>
    </row>
    <row r="663" ht="13.5" customHeight="1">
      <c r="D663" s="19"/>
      <c r="E663" s="51"/>
      <c r="H663" s="51"/>
      <c r="K663" s="51"/>
    </row>
    <row r="664" ht="13.5" customHeight="1">
      <c r="D664" s="19"/>
      <c r="E664" s="51"/>
      <c r="H664" s="51"/>
      <c r="K664" s="51"/>
    </row>
    <row r="665" ht="13.5" customHeight="1">
      <c r="D665" s="19"/>
      <c r="E665" s="51"/>
      <c r="H665" s="51"/>
      <c r="K665" s="51"/>
    </row>
    <row r="666" ht="13.5" customHeight="1">
      <c r="D666" s="19"/>
      <c r="E666" s="51"/>
      <c r="H666" s="51"/>
      <c r="K666" s="51"/>
    </row>
    <row r="667" ht="13.5" customHeight="1">
      <c r="D667" s="19"/>
      <c r="E667" s="51"/>
      <c r="H667" s="51"/>
      <c r="K667" s="51"/>
    </row>
    <row r="668" ht="13.5" customHeight="1">
      <c r="D668" s="19"/>
      <c r="E668" s="51"/>
      <c r="H668" s="51"/>
      <c r="K668" s="51"/>
    </row>
    <row r="669" ht="13.5" customHeight="1">
      <c r="D669" s="19"/>
      <c r="E669" s="51"/>
      <c r="H669" s="51"/>
      <c r="K669" s="51"/>
    </row>
    <row r="670" ht="13.5" customHeight="1">
      <c r="D670" s="19"/>
      <c r="E670" s="51"/>
      <c r="H670" s="51"/>
      <c r="K670" s="51"/>
    </row>
    <row r="671" ht="13.5" customHeight="1">
      <c r="D671" s="19"/>
      <c r="E671" s="51"/>
      <c r="H671" s="51"/>
      <c r="K671" s="51"/>
    </row>
    <row r="672" ht="13.5" customHeight="1">
      <c r="D672" s="19"/>
      <c r="E672" s="51"/>
      <c r="H672" s="51"/>
      <c r="K672" s="51"/>
    </row>
    <row r="673" ht="13.5" customHeight="1">
      <c r="D673" s="19"/>
      <c r="E673" s="51"/>
      <c r="H673" s="51"/>
      <c r="K673" s="51"/>
    </row>
    <row r="674" ht="13.5" customHeight="1">
      <c r="D674" s="19"/>
      <c r="E674" s="51"/>
      <c r="H674" s="51"/>
      <c r="K674" s="51"/>
    </row>
    <row r="675" ht="13.5" customHeight="1">
      <c r="D675" s="19"/>
      <c r="E675" s="51"/>
      <c r="H675" s="51"/>
      <c r="K675" s="51"/>
    </row>
    <row r="676" ht="13.5" customHeight="1">
      <c r="D676" s="19"/>
      <c r="E676" s="51"/>
      <c r="H676" s="51"/>
      <c r="K676" s="51"/>
    </row>
    <row r="677" ht="13.5" customHeight="1">
      <c r="D677" s="19"/>
      <c r="E677" s="51"/>
      <c r="H677" s="51"/>
      <c r="K677" s="51"/>
    </row>
    <row r="678" ht="13.5" customHeight="1">
      <c r="D678" s="19"/>
      <c r="E678" s="51"/>
      <c r="H678" s="51"/>
      <c r="K678" s="51"/>
    </row>
    <row r="679" ht="13.5" customHeight="1">
      <c r="D679" s="19"/>
      <c r="E679" s="51"/>
      <c r="H679" s="51"/>
      <c r="K679" s="51"/>
    </row>
    <row r="680" ht="13.5" customHeight="1">
      <c r="D680" s="19"/>
      <c r="E680" s="51"/>
      <c r="H680" s="51"/>
      <c r="K680" s="51"/>
    </row>
    <row r="681" ht="13.5" customHeight="1">
      <c r="D681" s="19"/>
      <c r="E681" s="51"/>
      <c r="H681" s="51"/>
      <c r="K681" s="51"/>
    </row>
    <row r="682" ht="13.5" customHeight="1">
      <c r="D682" s="19"/>
      <c r="E682" s="51"/>
      <c r="H682" s="51"/>
      <c r="K682" s="51"/>
    </row>
    <row r="683" ht="13.5" customHeight="1">
      <c r="D683" s="19"/>
      <c r="E683" s="51"/>
      <c r="H683" s="51"/>
      <c r="K683" s="51"/>
    </row>
    <row r="684" ht="13.5" customHeight="1">
      <c r="D684" s="19"/>
      <c r="E684" s="51"/>
      <c r="H684" s="51"/>
      <c r="K684" s="51"/>
    </row>
    <row r="685" ht="13.5" customHeight="1">
      <c r="D685" s="19"/>
      <c r="E685" s="51"/>
      <c r="H685" s="51"/>
      <c r="K685" s="51"/>
    </row>
    <row r="686" ht="13.5" customHeight="1">
      <c r="D686" s="19"/>
      <c r="E686" s="51"/>
      <c r="H686" s="51"/>
      <c r="K686" s="51"/>
    </row>
    <row r="687" ht="13.5" customHeight="1">
      <c r="D687" s="19"/>
      <c r="E687" s="51"/>
      <c r="H687" s="51"/>
      <c r="K687" s="51"/>
    </row>
    <row r="688" ht="13.5" customHeight="1">
      <c r="D688" s="19"/>
      <c r="E688" s="51"/>
      <c r="H688" s="51"/>
      <c r="K688" s="51"/>
    </row>
    <row r="689" ht="13.5" customHeight="1">
      <c r="D689" s="19"/>
      <c r="E689" s="51"/>
      <c r="H689" s="51"/>
      <c r="K689" s="51"/>
    </row>
    <row r="690" ht="13.5" customHeight="1">
      <c r="D690" s="19"/>
      <c r="E690" s="51"/>
      <c r="H690" s="51"/>
      <c r="K690" s="51"/>
    </row>
    <row r="691" ht="13.5" customHeight="1">
      <c r="D691" s="19"/>
      <c r="E691" s="51"/>
      <c r="H691" s="51"/>
      <c r="K691" s="51"/>
    </row>
    <row r="692" ht="13.5" customHeight="1">
      <c r="D692" s="19"/>
      <c r="E692" s="51"/>
      <c r="H692" s="51"/>
      <c r="K692" s="51"/>
    </row>
    <row r="693" ht="13.5" customHeight="1">
      <c r="D693" s="19"/>
      <c r="E693" s="51"/>
      <c r="H693" s="51"/>
      <c r="K693" s="51"/>
    </row>
    <row r="694" ht="13.5" customHeight="1">
      <c r="D694" s="19"/>
      <c r="E694" s="51"/>
      <c r="H694" s="51"/>
      <c r="K694" s="51"/>
    </row>
    <row r="695" ht="13.5" customHeight="1">
      <c r="D695" s="19"/>
      <c r="E695" s="51"/>
      <c r="H695" s="51"/>
      <c r="K695" s="51"/>
    </row>
    <row r="696" ht="13.5" customHeight="1">
      <c r="D696" s="19"/>
      <c r="E696" s="51"/>
      <c r="H696" s="51"/>
      <c r="K696" s="51"/>
    </row>
    <row r="697" ht="13.5" customHeight="1">
      <c r="D697" s="19"/>
      <c r="E697" s="51"/>
      <c r="H697" s="51"/>
      <c r="K697" s="51"/>
    </row>
    <row r="698" ht="13.5" customHeight="1">
      <c r="D698" s="19"/>
      <c r="E698" s="51"/>
      <c r="H698" s="51"/>
      <c r="K698" s="51"/>
    </row>
    <row r="699" ht="13.5" customHeight="1">
      <c r="D699" s="19"/>
      <c r="E699" s="51"/>
      <c r="H699" s="51"/>
      <c r="K699" s="51"/>
    </row>
    <row r="700" ht="13.5" customHeight="1">
      <c r="D700" s="19"/>
      <c r="E700" s="51"/>
      <c r="H700" s="51"/>
      <c r="K700" s="51"/>
    </row>
    <row r="701" ht="13.5" customHeight="1">
      <c r="D701" s="19"/>
      <c r="E701" s="51"/>
      <c r="H701" s="51"/>
      <c r="K701" s="51"/>
    </row>
    <row r="702" ht="13.5" customHeight="1">
      <c r="D702" s="19"/>
      <c r="E702" s="51"/>
      <c r="H702" s="51"/>
      <c r="K702" s="51"/>
    </row>
    <row r="703" ht="13.5" customHeight="1">
      <c r="D703" s="19"/>
      <c r="E703" s="51"/>
      <c r="H703" s="51"/>
      <c r="K703" s="51"/>
    </row>
    <row r="704" ht="13.5" customHeight="1">
      <c r="D704" s="19"/>
      <c r="E704" s="51"/>
      <c r="H704" s="51"/>
      <c r="K704" s="51"/>
    </row>
    <row r="705" ht="13.5" customHeight="1">
      <c r="D705" s="19"/>
      <c r="E705" s="51"/>
      <c r="H705" s="51"/>
      <c r="K705" s="51"/>
    </row>
    <row r="706" ht="13.5" customHeight="1">
      <c r="D706" s="19"/>
      <c r="E706" s="51"/>
      <c r="H706" s="51"/>
      <c r="K706" s="51"/>
    </row>
    <row r="707" ht="13.5" customHeight="1">
      <c r="D707" s="19"/>
      <c r="E707" s="51"/>
      <c r="H707" s="51"/>
      <c r="K707" s="51"/>
    </row>
    <row r="708" ht="13.5" customHeight="1">
      <c r="D708" s="19"/>
      <c r="E708" s="51"/>
      <c r="H708" s="51"/>
      <c r="K708" s="51"/>
    </row>
    <row r="709" ht="13.5" customHeight="1">
      <c r="D709" s="19"/>
      <c r="E709" s="51"/>
      <c r="H709" s="51"/>
      <c r="K709" s="51"/>
    </row>
    <row r="710" ht="13.5" customHeight="1">
      <c r="D710" s="19"/>
      <c r="E710" s="51"/>
      <c r="H710" s="51"/>
      <c r="K710" s="51"/>
    </row>
    <row r="711" ht="13.5" customHeight="1">
      <c r="D711" s="19"/>
      <c r="E711" s="51"/>
      <c r="H711" s="51"/>
      <c r="K711" s="51"/>
    </row>
    <row r="712" ht="13.5" customHeight="1">
      <c r="D712" s="19"/>
      <c r="E712" s="51"/>
      <c r="H712" s="51"/>
      <c r="K712" s="51"/>
    </row>
    <row r="713" ht="13.5" customHeight="1">
      <c r="D713" s="19"/>
      <c r="E713" s="51"/>
      <c r="H713" s="51"/>
      <c r="K713" s="51"/>
    </row>
    <row r="714" ht="13.5" customHeight="1">
      <c r="D714" s="19"/>
      <c r="E714" s="51"/>
      <c r="H714" s="51"/>
      <c r="K714" s="51"/>
    </row>
    <row r="715" ht="13.5" customHeight="1">
      <c r="D715" s="19"/>
      <c r="E715" s="51"/>
      <c r="H715" s="51"/>
      <c r="K715" s="51"/>
    </row>
    <row r="716" ht="13.5" customHeight="1">
      <c r="D716" s="19"/>
      <c r="E716" s="51"/>
      <c r="H716" s="51"/>
      <c r="K716" s="51"/>
    </row>
    <row r="717" ht="13.5" customHeight="1">
      <c r="D717" s="19"/>
      <c r="E717" s="51"/>
      <c r="H717" s="51"/>
      <c r="K717" s="51"/>
    </row>
    <row r="718" ht="13.5" customHeight="1">
      <c r="D718" s="19"/>
      <c r="E718" s="51"/>
      <c r="H718" s="51"/>
      <c r="K718" s="51"/>
    </row>
    <row r="719" ht="13.5" customHeight="1">
      <c r="D719" s="19"/>
      <c r="E719" s="51"/>
      <c r="H719" s="51"/>
      <c r="K719" s="51"/>
    </row>
    <row r="720" ht="13.5" customHeight="1">
      <c r="D720" s="19"/>
      <c r="E720" s="51"/>
      <c r="H720" s="51"/>
      <c r="K720" s="51"/>
    </row>
    <row r="721" ht="13.5" customHeight="1">
      <c r="D721" s="19"/>
      <c r="E721" s="51"/>
      <c r="H721" s="51"/>
      <c r="K721" s="51"/>
    </row>
    <row r="722" ht="13.5" customHeight="1">
      <c r="D722" s="19"/>
      <c r="E722" s="51"/>
      <c r="H722" s="51"/>
      <c r="K722" s="51"/>
    </row>
    <row r="723" ht="13.5" customHeight="1">
      <c r="D723" s="19"/>
      <c r="E723" s="51"/>
      <c r="H723" s="51"/>
      <c r="K723" s="51"/>
    </row>
    <row r="724" ht="13.5" customHeight="1">
      <c r="D724" s="19"/>
      <c r="E724" s="51"/>
      <c r="H724" s="51"/>
      <c r="K724" s="51"/>
    </row>
    <row r="725" ht="13.5" customHeight="1">
      <c r="D725" s="19"/>
      <c r="E725" s="51"/>
      <c r="H725" s="51"/>
      <c r="K725" s="51"/>
    </row>
    <row r="726" ht="13.5" customHeight="1">
      <c r="D726" s="19"/>
      <c r="E726" s="51"/>
      <c r="H726" s="51"/>
      <c r="K726" s="51"/>
    </row>
    <row r="727" ht="13.5" customHeight="1">
      <c r="D727" s="19"/>
      <c r="E727" s="51"/>
      <c r="H727" s="51"/>
      <c r="K727" s="51"/>
    </row>
    <row r="728" ht="13.5" customHeight="1">
      <c r="D728" s="19"/>
      <c r="E728" s="51"/>
      <c r="H728" s="51"/>
      <c r="K728" s="51"/>
    </row>
    <row r="729" ht="13.5" customHeight="1">
      <c r="D729" s="19"/>
      <c r="E729" s="51"/>
      <c r="H729" s="51"/>
      <c r="K729" s="51"/>
    </row>
    <row r="730" ht="13.5" customHeight="1">
      <c r="D730" s="19"/>
      <c r="E730" s="51"/>
      <c r="H730" s="51"/>
      <c r="K730" s="51"/>
    </row>
    <row r="731" ht="13.5" customHeight="1">
      <c r="D731" s="19"/>
      <c r="E731" s="51"/>
      <c r="H731" s="51"/>
      <c r="K731" s="51"/>
    </row>
    <row r="732" ht="13.5" customHeight="1">
      <c r="D732" s="19"/>
      <c r="E732" s="51"/>
      <c r="H732" s="51"/>
      <c r="K732" s="51"/>
    </row>
    <row r="733" ht="13.5" customHeight="1">
      <c r="D733" s="19"/>
      <c r="E733" s="51"/>
      <c r="H733" s="51"/>
      <c r="K733" s="51"/>
    </row>
    <row r="734" ht="13.5" customHeight="1">
      <c r="D734" s="19"/>
      <c r="E734" s="51"/>
      <c r="H734" s="51"/>
      <c r="K734" s="51"/>
    </row>
    <row r="735" ht="13.5" customHeight="1">
      <c r="D735" s="19"/>
      <c r="E735" s="51"/>
      <c r="H735" s="51"/>
      <c r="K735" s="51"/>
    </row>
    <row r="736" ht="13.5" customHeight="1">
      <c r="D736" s="19"/>
      <c r="E736" s="51"/>
      <c r="H736" s="51"/>
      <c r="K736" s="51"/>
    </row>
    <row r="737" ht="13.5" customHeight="1">
      <c r="D737" s="19"/>
      <c r="E737" s="51"/>
      <c r="H737" s="51"/>
      <c r="K737" s="51"/>
    </row>
    <row r="738" ht="13.5" customHeight="1">
      <c r="D738" s="19"/>
      <c r="E738" s="51"/>
      <c r="H738" s="51"/>
      <c r="K738" s="51"/>
    </row>
    <row r="739" ht="13.5" customHeight="1">
      <c r="D739" s="19"/>
      <c r="E739" s="51"/>
      <c r="H739" s="51"/>
      <c r="K739" s="51"/>
    </row>
    <row r="740" ht="13.5" customHeight="1">
      <c r="D740" s="19"/>
      <c r="E740" s="51"/>
      <c r="H740" s="51"/>
      <c r="K740" s="51"/>
    </row>
    <row r="741" ht="13.5" customHeight="1">
      <c r="D741" s="19"/>
      <c r="E741" s="51"/>
      <c r="H741" s="51"/>
      <c r="K741" s="51"/>
    </row>
    <row r="742" ht="13.5" customHeight="1">
      <c r="D742" s="19"/>
      <c r="E742" s="51"/>
      <c r="H742" s="51"/>
      <c r="K742" s="51"/>
    </row>
    <row r="743" ht="13.5" customHeight="1">
      <c r="D743" s="19"/>
      <c r="E743" s="51"/>
      <c r="H743" s="51"/>
      <c r="K743" s="51"/>
    </row>
    <row r="744" ht="13.5" customHeight="1">
      <c r="D744" s="19"/>
      <c r="E744" s="51"/>
      <c r="H744" s="51"/>
      <c r="K744" s="51"/>
    </row>
    <row r="745" ht="13.5" customHeight="1">
      <c r="D745" s="19"/>
      <c r="E745" s="51"/>
      <c r="H745" s="51"/>
      <c r="K745" s="51"/>
    </row>
    <row r="746" ht="13.5" customHeight="1">
      <c r="D746" s="19"/>
      <c r="E746" s="51"/>
      <c r="H746" s="51"/>
      <c r="K746" s="51"/>
    </row>
    <row r="747" ht="13.5" customHeight="1">
      <c r="D747" s="19"/>
      <c r="E747" s="51"/>
      <c r="H747" s="51"/>
      <c r="K747" s="51"/>
    </row>
    <row r="748" ht="13.5" customHeight="1">
      <c r="D748" s="19"/>
      <c r="E748" s="51"/>
      <c r="H748" s="51"/>
      <c r="K748" s="51"/>
    </row>
    <row r="749" ht="13.5" customHeight="1">
      <c r="D749" s="19"/>
      <c r="E749" s="51"/>
      <c r="H749" s="51"/>
      <c r="K749" s="51"/>
    </row>
    <row r="750" ht="13.5" customHeight="1">
      <c r="D750" s="19"/>
      <c r="E750" s="51"/>
      <c r="H750" s="51"/>
      <c r="K750" s="51"/>
    </row>
    <row r="751" ht="13.5" customHeight="1">
      <c r="D751" s="19"/>
      <c r="E751" s="51"/>
      <c r="H751" s="51"/>
      <c r="K751" s="51"/>
    </row>
    <row r="752" ht="13.5" customHeight="1">
      <c r="D752" s="19"/>
      <c r="E752" s="51"/>
      <c r="H752" s="51"/>
      <c r="K752" s="51"/>
    </row>
    <row r="753" ht="13.5" customHeight="1">
      <c r="D753" s="19"/>
      <c r="E753" s="51"/>
      <c r="H753" s="51"/>
      <c r="K753" s="51"/>
    </row>
    <row r="754" ht="13.5" customHeight="1">
      <c r="D754" s="19"/>
      <c r="E754" s="51"/>
      <c r="H754" s="51"/>
      <c r="K754" s="51"/>
    </row>
    <row r="755" ht="13.5" customHeight="1">
      <c r="D755" s="19"/>
      <c r="E755" s="51"/>
      <c r="H755" s="51"/>
      <c r="K755" s="51"/>
    </row>
    <row r="756" ht="13.5" customHeight="1">
      <c r="D756" s="19"/>
      <c r="E756" s="51"/>
      <c r="H756" s="51"/>
      <c r="K756" s="51"/>
    </row>
    <row r="757" ht="13.5" customHeight="1">
      <c r="D757" s="19"/>
      <c r="E757" s="51"/>
      <c r="H757" s="51"/>
      <c r="K757" s="51"/>
    </row>
    <row r="758" ht="13.5" customHeight="1">
      <c r="D758" s="19"/>
      <c r="E758" s="51"/>
      <c r="H758" s="51"/>
      <c r="K758" s="51"/>
    </row>
    <row r="759" ht="13.5" customHeight="1">
      <c r="D759" s="19"/>
      <c r="E759" s="51"/>
      <c r="H759" s="51"/>
      <c r="K759" s="51"/>
    </row>
    <row r="760" ht="13.5" customHeight="1">
      <c r="D760" s="19"/>
      <c r="E760" s="51"/>
      <c r="H760" s="51"/>
      <c r="K760" s="51"/>
    </row>
    <row r="761" ht="13.5" customHeight="1">
      <c r="D761" s="19"/>
      <c r="E761" s="51"/>
      <c r="H761" s="51"/>
      <c r="K761" s="51"/>
    </row>
    <row r="762" ht="13.5" customHeight="1">
      <c r="D762" s="19"/>
      <c r="E762" s="51"/>
      <c r="H762" s="51"/>
      <c r="K762" s="51"/>
    </row>
    <row r="763" ht="13.5" customHeight="1">
      <c r="D763" s="19"/>
      <c r="E763" s="51"/>
      <c r="H763" s="51"/>
      <c r="K763" s="51"/>
    </row>
    <row r="764" ht="13.5" customHeight="1">
      <c r="D764" s="19"/>
      <c r="E764" s="51"/>
      <c r="H764" s="51"/>
      <c r="K764" s="51"/>
    </row>
    <row r="765" ht="13.5" customHeight="1">
      <c r="D765" s="19"/>
      <c r="E765" s="51"/>
      <c r="H765" s="51"/>
      <c r="K765" s="51"/>
    </row>
    <row r="766" ht="13.5" customHeight="1">
      <c r="D766" s="19"/>
      <c r="E766" s="51"/>
      <c r="H766" s="51"/>
      <c r="K766" s="51"/>
    </row>
    <row r="767" ht="13.5" customHeight="1">
      <c r="D767" s="19"/>
      <c r="E767" s="51"/>
      <c r="H767" s="51"/>
      <c r="K767" s="51"/>
    </row>
    <row r="768" ht="13.5" customHeight="1">
      <c r="D768" s="19"/>
      <c r="E768" s="51"/>
      <c r="H768" s="51"/>
      <c r="K768" s="51"/>
    </row>
    <row r="769" ht="13.5" customHeight="1">
      <c r="D769" s="19"/>
      <c r="E769" s="51"/>
      <c r="H769" s="51"/>
      <c r="K769" s="51"/>
    </row>
    <row r="770" ht="13.5" customHeight="1">
      <c r="D770" s="19"/>
      <c r="E770" s="51"/>
      <c r="H770" s="51"/>
      <c r="K770" s="51"/>
    </row>
    <row r="771" ht="13.5" customHeight="1">
      <c r="D771" s="19"/>
      <c r="E771" s="51"/>
      <c r="H771" s="51"/>
      <c r="K771" s="51"/>
    </row>
    <row r="772" ht="13.5" customHeight="1">
      <c r="D772" s="19"/>
      <c r="E772" s="51"/>
      <c r="H772" s="51"/>
      <c r="K772" s="51"/>
    </row>
    <row r="773" ht="13.5" customHeight="1">
      <c r="D773" s="19"/>
      <c r="E773" s="51"/>
      <c r="H773" s="51"/>
      <c r="K773" s="51"/>
    </row>
    <row r="774" ht="13.5" customHeight="1">
      <c r="D774" s="19"/>
      <c r="E774" s="51"/>
      <c r="H774" s="51"/>
      <c r="K774" s="51"/>
    </row>
    <row r="775" ht="13.5" customHeight="1">
      <c r="D775" s="19"/>
      <c r="E775" s="51"/>
      <c r="H775" s="51"/>
      <c r="K775" s="51"/>
    </row>
    <row r="776" ht="13.5" customHeight="1">
      <c r="D776" s="19"/>
      <c r="E776" s="51"/>
      <c r="H776" s="51"/>
      <c r="K776" s="51"/>
    </row>
    <row r="777" ht="13.5" customHeight="1">
      <c r="D777" s="19"/>
      <c r="E777" s="51"/>
      <c r="H777" s="51"/>
      <c r="K777" s="51"/>
    </row>
    <row r="778" ht="13.5" customHeight="1">
      <c r="D778" s="19"/>
      <c r="E778" s="51"/>
      <c r="H778" s="51"/>
      <c r="K778" s="51"/>
    </row>
    <row r="779" ht="13.5" customHeight="1">
      <c r="D779" s="19"/>
      <c r="E779" s="51"/>
      <c r="H779" s="51"/>
      <c r="K779" s="51"/>
    </row>
    <row r="780" ht="13.5" customHeight="1">
      <c r="D780" s="19"/>
      <c r="E780" s="51"/>
      <c r="H780" s="51"/>
      <c r="K780" s="51"/>
    </row>
    <row r="781" ht="13.5" customHeight="1">
      <c r="D781" s="19"/>
      <c r="E781" s="51"/>
      <c r="H781" s="51"/>
      <c r="K781" s="51"/>
    </row>
    <row r="782" ht="13.5" customHeight="1">
      <c r="D782" s="19"/>
      <c r="E782" s="51"/>
      <c r="H782" s="51"/>
      <c r="K782" s="51"/>
    </row>
    <row r="783" ht="13.5" customHeight="1">
      <c r="D783" s="19"/>
      <c r="E783" s="51"/>
      <c r="H783" s="51"/>
      <c r="K783" s="51"/>
    </row>
    <row r="784" ht="13.5" customHeight="1">
      <c r="D784" s="19"/>
      <c r="E784" s="51"/>
      <c r="H784" s="51"/>
      <c r="K784" s="51"/>
    </row>
    <row r="785" ht="13.5" customHeight="1">
      <c r="D785" s="19"/>
      <c r="E785" s="51"/>
      <c r="H785" s="51"/>
      <c r="K785" s="51"/>
    </row>
    <row r="786" ht="13.5" customHeight="1">
      <c r="D786" s="19"/>
      <c r="E786" s="51"/>
      <c r="H786" s="51"/>
      <c r="K786" s="51"/>
    </row>
    <row r="787" ht="13.5" customHeight="1">
      <c r="D787" s="19"/>
      <c r="E787" s="51"/>
      <c r="H787" s="51"/>
      <c r="K787" s="51"/>
    </row>
    <row r="788" ht="13.5" customHeight="1">
      <c r="D788" s="19"/>
      <c r="E788" s="51"/>
      <c r="H788" s="51"/>
      <c r="K788" s="51"/>
    </row>
    <row r="789" ht="13.5" customHeight="1">
      <c r="D789" s="19"/>
      <c r="E789" s="51"/>
      <c r="H789" s="51"/>
      <c r="K789" s="51"/>
    </row>
    <row r="790" ht="13.5" customHeight="1">
      <c r="D790" s="19"/>
      <c r="E790" s="51"/>
      <c r="H790" s="51"/>
      <c r="K790" s="51"/>
    </row>
    <row r="791" ht="13.5" customHeight="1">
      <c r="D791" s="19"/>
      <c r="E791" s="51"/>
      <c r="H791" s="51"/>
      <c r="K791" s="51"/>
    </row>
    <row r="792" ht="13.5" customHeight="1">
      <c r="D792" s="19"/>
      <c r="E792" s="51"/>
      <c r="H792" s="51"/>
      <c r="K792" s="51"/>
    </row>
    <row r="793" ht="13.5" customHeight="1">
      <c r="D793" s="19"/>
      <c r="E793" s="51"/>
      <c r="H793" s="51"/>
      <c r="K793" s="51"/>
    </row>
    <row r="794" ht="13.5" customHeight="1">
      <c r="D794" s="19"/>
      <c r="E794" s="51"/>
      <c r="H794" s="51"/>
      <c r="K794" s="51"/>
    </row>
    <row r="795" ht="13.5" customHeight="1">
      <c r="D795" s="19"/>
      <c r="E795" s="51"/>
      <c r="H795" s="51"/>
      <c r="K795" s="51"/>
    </row>
    <row r="796" ht="13.5" customHeight="1">
      <c r="D796" s="19"/>
      <c r="E796" s="51"/>
      <c r="H796" s="51"/>
      <c r="K796" s="51"/>
    </row>
    <row r="797" ht="13.5" customHeight="1">
      <c r="D797" s="19"/>
      <c r="E797" s="51"/>
      <c r="H797" s="51"/>
      <c r="K797" s="51"/>
    </row>
    <row r="798" ht="13.5" customHeight="1">
      <c r="D798" s="19"/>
      <c r="E798" s="51"/>
      <c r="H798" s="51"/>
      <c r="K798" s="51"/>
    </row>
    <row r="799" ht="13.5" customHeight="1">
      <c r="D799" s="19"/>
      <c r="E799" s="51"/>
      <c r="H799" s="51"/>
      <c r="K799" s="51"/>
    </row>
    <row r="800" ht="13.5" customHeight="1">
      <c r="D800" s="19"/>
      <c r="E800" s="51"/>
      <c r="H800" s="51"/>
      <c r="K800" s="51"/>
    </row>
    <row r="801" ht="13.5" customHeight="1">
      <c r="D801" s="19"/>
      <c r="E801" s="51"/>
      <c r="H801" s="51"/>
      <c r="K801" s="51"/>
    </row>
    <row r="802" ht="13.5" customHeight="1">
      <c r="D802" s="19"/>
      <c r="E802" s="51"/>
      <c r="H802" s="51"/>
      <c r="K802" s="51"/>
    </row>
    <row r="803" ht="13.5" customHeight="1">
      <c r="D803" s="19"/>
      <c r="E803" s="51"/>
      <c r="H803" s="51"/>
      <c r="K803" s="51"/>
    </row>
    <row r="804" ht="13.5" customHeight="1">
      <c r="D804" s="19"/>
      <c r="E804" s="51"/>
      <c r="H804" s="51"/>
      <c r="K804" s="51"/>
    </row>
    <row r="805" ht="13.5" customHeight="1">
      <c r="D805" s="19"/>
      <c r="E805" s="51"/>
      <c r="H805" s="51"/>
      <c r="K805" s="51"/>
    </row>
    <row r="806" ht="13.5" customHeight="1">
      <c r="D806" s="19"/>
      <c r="E806" s="51"/>
      <c r="H806" s="51"/>
      <c r="K806" s="51"/>
    </row>
    <row r="807" ht="13.5" customHeight="1">
      <c r="D807" s="19"/>
      <c r="E807" s="51"/>
      <c r="H807" s="51"/>
      <c r="K807" s="51"/>
    </row>
    <row r="808" ht="13.5" customHeight="1">
      <c r="D808" s="19"/>
      <c r="E808" s="51"/>
      <c r="H808" s="51"/>
      <c r="K808" s="51"/>
    </row>
    <row r="809" ht="13.5" customHeight="1">
      <c r="D809" s="19"/>
      <c r="E809" s="51"/>
      <c r="H809" s="51"/>
      <c r="K809" s="51"/>
    </row>
    <row r="810" ht="13.5" customHeight="1">
      <c r="D810" s="19"/>
      <c r="E810" s="51"/>
      <c r="H810" s="51"/>
      <c r="K810" s="51"/>
    </row>
    <row r="811" ht="13.5" customHeight="1">
      <c r="D811" s="19"/>
      <c r="E811" s="51"/>
      <c r="H811" s="51"/>
      <c r="K811" s="51"/>
    </row>
    <row r="812" ht="13.5" customHeight="1">
      <c r="D812" s="19"/>
      <c r="E812" s="51"/>
      <c r="H812" s="51"/>
      <c r="K812" s="51"/>
    </row>
    <row r="813" ht="13.5" customHeight="1">
      <c r="D813" s="19"/>
      <c r="E813" s="51"/>
      <c r="H813" s="51"/>
      <c r="K813" s="51"/>
    </row>
    <row r="814" ht="13.5" customHeight="1">
      <c r="D814" s="19"/>
      <c r="E814" s="51"/>
      <c r="H814" s="51"/>
      <c r="K814" s="51"/>
    </row>
    <row r="815" ht="13.5" customHeight="1">
      <c r="D815" s="19"/>
      <c r="E815" s="51"/>
      <c r="H815" s="51"/>
      <c r="K815" s="51"/>
    </row>
    <row r="816" ht="13.5" customHeight="1">
      <c r="D816" s="19"/>
      <c r="E816" s="51"/>
      <c r="H816" s="51"/>
      <c r="K816" s="51"/>
    </row>
    <row r="817" ht="13.5" customHeight="1">
      <c r="D817" s="19"/>
      <c r="E817" s="51"/>
      <c r="H817" s="51"/>
      <c r="K817" s="51"/>
    </row>
    <row r="818" ht="13.5" customHeight="1">
      <c r="D818" s="19"/>
      <c r="E818" s="51"/>
      <c r="H818" s="51"/>
      <c r="K818" s="51"/>
    </row>
    <row r="819" ht="13.5" customHeight="1">
      <c r="D819" s="19"/>
      <c r="E819" s="51"/>
      <c r="H819" s="51"/>
      <c r="K819" s="51"/>
    </row>
    <row r="820" ht="13.5" customHeight="1">
      <c r="D820" s="19"/>
      <c r="E820" s="51"/>
      <c r="H820" s="51"/>
      <c r="K820" s="51"/>
    </row>
    <row r="821" ht="13.5" customHeight="1">
      <c r="D821" s="19"/>
      <c r="E821" s="51"/>
      <c r="H821" s="51"/>
      <c r="K821" s="51"/>
    </row>
    <row r="822" ht="13.5" customHeight="1">
      <c r="D822" s="19"/>
      <c r="E822" s="51"/>
      <c r="H822" s="51"/>
      <c r="K822" s="51"/>
    </row>
    <row r="823" ht="13.5" customHeight="1">
      <c r="D823" s="19"/>
      <c r="E823" s="51"/>
      <c r="H823" s="51"/>
      <c r="K823" s="51"/>
    </row>
    <row r="824" ht="13.5" customHeight="1">
      <c r="D824" s="19"/>
      <c r="E824" s="51"/>
      <c r="H824" s="51"/>
      <c r="K824" s="51"/>
    </row>
    <row r="825" ht="13.5" customHeight="1">
      <c r="D825" s="19"/>
      <c r="E825" s="51"/>
      <c r="H825" s="51"/>
      <c r="K825" s="51"/>
    </row>
    <row r="826" ht="13.5" customHeight="1">
      <c r="D826" s="19"/>
      <c r="E826" s="51"/>
      <c r="H826" s="51"/>
      <c r="K826" s="51"/>
    </row>
    <row r="827" ht="13.5" customHeight="1">
      <c r="D827" s="19"/>
      <c r="E827" s="51"/>
      <c r="H827" s="51"/>
      <c r="K827" s="51"/>
    </row>
    <row r="828" ht="13.5" customHeight="1">
      <c r="D828" s="19"/>
      <c r="E828" s="51"/>
      <c r="H828" s="51"/>
      <c r="K828" s="51"/>
    </row>
    <row r="829" ht="13.5" customHeight="1">
      <c r="D829" s="19"/>
      <c r="E829" s="51"/>
      <c r="H829" s="51"/>
      <c r="K829" s="51"/>
    </row>
    <row r="830" ht="13.5" customHeight="1">
      <c r="D830" s="19"/>
      <c r="E830" s="51"/>
      <c r="H830" s="51"/>
      <c r="K830" s="51"/>
    </row>
    <row r="831" ht="13.5" customHeight="1">
      <c r="D831" s="19"/>
      <c r="E831" s="51"/>
      <c r="H831" s="51"/>
      <c r="K831" s="51"/>
    </row>
    <row r="832" ht="13.5" customHeight="1">
      <c r="D832" s="19"/>
      <c r="E832" s="51"/>
      <c r="H832" s="51"/>
      <c r="K832" s="51"/>
    </row>
    <row r="833" ht="13.5" customHeight="1">
      <c r="D833" s="19"/>
      <c r="E833" s="51"/>
      <c r="H833" s="51"/>
      <c r="K833" s="51"/>
    </row>
    <row r="834" ht="13.5" customHeight="1">
      <c r="D834" s="19"/>
      <c r="E834" s="51"/>
      <c r="H834" s="51"/>
      <c r="K834" s="51"/>
    </row>
    <row r="835" ht="13.5" customHeight="1">
      <c r="D835" s="19"/>
      <c r="E835" s="51"/>
      <c r="H835" s="51"/>
      <c r="K835" s="51"/>
    </row>
    <row r="836" ht="13.5" customHeight="1">
      <c r="D836" s="19"/>
      <c r="E836" s="51"/>
      <c r="H836" s="51"/>
      <c r="K836" s="51"/>
    </row>
    <row r="837" ht="13.5" customHeight="1">
      <c r="D837" s="19"/>
      <c r="E837" s="51"/>
      <c r="H837" s="51"/>
      <c r="K837" s="51"/>
    </row>
    <row r="838" ht="13.5" customHeight="1">
      <c r="D838" s="19"/>
      <c r="E838" s="51"/>
      <c r="H838" s="51"/>
      <c r="K838" s="51"/>
    </row>
    <row r="839" ht="13.5" customHeight="1">
      <c r="D839" s="19"/>
      <c r="E839" s="51"/>
      <c r="H839" s="51"/>
      <c r="K839" s="51"/>
    </row>
    <row r="840" ht="13.5" customHeight="1">
      <c r="D840" s="19"/>
      <c r="E840" s="51"/>
      <c r="H840" s="51"/>
      <c r="K840" s="51"/>
    </row>
    <row r="841" ht="13.5" customHeight="1">
      <c r="D841" s="19"/>
      <c r="E841" s="51"/>
      <c r="H841" s="51"/>
      <c r="K841" s="51"/>
    </row>
    <row r="842" ht="13.5" customHeight="1">
      <c r="D842" s="19"/>
      <c r="E842" s="51"/>
      <c r="H842" s="51"/>
      <c r="K842" s="51"/>
    </row>
    <row r="843" ht="13.5" customHeight="1">
      <c r="D843" s="19"/>
      <c r="E843" s="51"/>
      <c r="H843" s="51"/>
      <c r="K843" s="51"/>
    </row>
    <row r="844" ht="13.5" customHeight="1">
      <c r="D844" s="19"/>
      <c r="E844" s="51"/>
      <c r="H844" s="51"/>
      <c r="K844" s="51"/>
    </row>
    <row r="845" ht="13.5" customHeight="1">
      <c r="D845" s="19"/>
      <c r="E845" s="51"/>
      <c r="H845" s="51"/>
      <c r="K845" s="51"/>
    </row>
    <row r="846" ht="13.5" customHeight="1">
      <c r="D846" s="19"/>
      <c r="E846" s="51"/>
      <c r="H846" s="51"/>
      <c r="K846" s="51"/>
    </row>
    <row r="847" ht="13.5" customHeight="1">
      <c r="D847" s="19"/>
      <c r="E847" s="51"/>
      <c r="H847" s="51"/>
      <c r="K847" s="51"/>
    </row>
    <row r="848" ht="13.5" customHeight="1">
      <c r="D848" s="19"/>
      <c r="E848" s="51"/>
      <c r="H848" s="51"/>
      <c r="K848" s="51"/>
    </row>
    <row r="849" ht="13.5" customHeight="1">
      <c r="D849" s="19"/>
      <c r="E849" s="51"/>
      <c r="H849" s="51"/>
      <c r="K849" s="51"/>
    </row>
    <row r="850" ht="13.5" customHeight="1">
      <c r="D850" s="19"/>
      <c r="E850" s="51"/>
      <c r="H850" s="51"/>
      <c r="K850" s="51"/>
    </row>
    <row r="851" ht="13.5" customHeight="1">
      <c r="D851" s="19"/>
      <c r="E851" s="51"/>
      <c r="H851" s="51"/>
      <c r="K851" s="51"/>
    </row>
    <row r="852" ht="13.5" customHeight="1">
      <c r="D852" s="19"/>
      <c r="E852" s="51"/>
      <c r="H852" s="51"/>
      <c r="K852" s="51"/>
    </row>
    <row r="853" ht="13.5" customHeight="1">
      <c r="D853" s="19"/>
      <c r="E853" s="51"/>
      <c r="H853" s="51"/>
      <c r="K853" s="51"/>
    </row>
    <row r="854" ht="13.5" customHeight="1">
      <c r="D854" s="19"/>
      <c r="E854" s="51"/>
      <c r="H854" s="51"/>
      <c r="K854" s="51"/>
    </row>
    <row r="855" ht="13.5" customHeight="1">
      <c r="D855" s="19"/>
      <c r="E855" s="51"/>
      <c r="H855" s="51"/>
      <c r="K855" s="51"/>
    </row>
    <row r="856" ht="13.5" customHeight="1">
      <c r="D856" s="19"/>
      <c r="E856" s="51"/>
      <c r="H856" s="51"/>
      <c r="K856" s="51"/>
    </row>
    <row r="857" ht="13.5" customHeight="1">
      <c r="D857" s="19"/>
      <c r="E857" s="51"/>
      <c r="H857" s="51"/>
      <c r="K857" s="51"/>
    </row>
    <row r="858" ht="13.5" customHeight="1">
      <c r="D858" s="19"/>
      <c r="E858" s="51"/>
      <c r="H858" s="51"/>
      <c r="K858" s="51"/>
    </row>
    <row r="859" ht="13.5" customHeight="1">
      <c r="D859" s="19"/>
      <c r="E859" s="51"/>
      <c r="H859" s="51"/>
      <c r="K859" s="51"/>
    </row>
    <row r="860" ht="13.5" customHeight="1">
      <c r="D860" s="19"/>
      <c r="E860" s="51"/>
      <c r="H860" s="51"/>
      <c r="K860" s="51"/>
    </row>
    <row r="861" ht="13.5" customHeight="1">
      <c r="D861" s="19"/>
      <c r="E861" s="51"/>
      <c r="H861" s="51"/>
      <c r="K861" s="51"/>
    </row>
    <row r="862" ht="13.5" customHeight="1">
      <c r="D862" s="19"/>
      <c r="E862" s="51"/>
      <c r="H862" s="51"/>
      <c r="K862" s="51"/>
    </row>
    <row r="863" ht="13.5" customHeight="1">
      <c r="D863" s="19"/>
      <c r="E863" s="51"/>
      <c r="H863" s="51"/>
      <c r="K863" s="51"/>
    </row>
    <row r="864" ht="13.5" customHeight="1">
      <c r="D864" s="19"/>
      <c r="E864" s="51"/>
      <c r="H864" s="51"/>
      <c r="K864" s="51"/>
    </row>
    <row r="865" ht="13.5" customHeight="1">
      <c r="D865" s="19"/>
      <c r="E865" s="51"/>
      <c r="H865" s="51"/>
      <c r="K865" s="51"/>
    </row>
    <row r="866" ht="13.5" customHeight="1">
      <c r="D866" s="19"/>
      <c r="E866" s="51"/>
      <c r="H866" s="51"/>
      <c r="K866" s="51"/>
    </row>
    <row r="867" ht="13.5" customHeight="1">
      <c r="D867" s="19"/>
      <c r="E867" s="51"/>
      <c r="H867" s="51"/>
      <c r="K867" s="51"/>
    </row>
    <row r="868" ht="13.5" customHeight="1">
      <c r="D868" s="19"/>
      <c r="E868" s="51"/>
      <c r="H868" s="51"/>
      <c r="K868" s="51"/>
    </row>
    <row r="869" ht="13.5" customHeight="1">
      <c r="D869" s="19"/>
      <c r="E869" s="51"/>
      <c r="H869" s="51"/>
      <c r="K869" s="51"/>
    </row>
    <row r="870" ht="13.5" customHeight="1">
      <c r="D870" s="19"/>
      <c r="E870" s="51"/>
      <c r="H870" s="51"/>
      <c r="K870" s="51"/>
    </row>
    <row r="871" ht="13.5" customHeight="1">
      <c r="D871" s="19"/>
      <c r="E871" s="51"/>
      <c r="H871" s="51"/>
      <c r="K871" s="51"/>
    </row>
    <row r="872" ht="13.5" customHeight="1">
      <c r="D872" s="19"/>
      <c r="E872" s="51"/>
      <c r="H872" s="51"/>
      <c r="K872" s="51"/>
    </row>
    <row r="873" ht="13.5" customHeight="1">
      <c r="D873" s="19"/>
      <c r="E873" s="51"/>
      <c r="H873" s="51"/>
      <c r="K873" s="51"/>
    </row>
    <row r="874" ht="13.5" customHeight="1">
      <c r="D874" s="19"/>
      <c r="E874" s="51"/>
      <c r="H874" s="51"/>
      <c r="K874" s="51"/>
    </row>
    <row r="875" ht="13.5" customHeight="1">
      <c r="D875" s="19"/>
      <c r="E875" s="51"/>
      <c r="H875" s="51"/>
      <c r="K875" s="51"/>
    </row>
    <row r="876" ht="13.5" customHeight="1">
      <c r="D876" s="19"/>
      <c r="E876" s="51"/>
      <c r="H876" s="51"/>
      <c r="K876" s="51"/>
    </row>
    <row r="877" ht="13.5" customHeight="1">
      <c r="D877" s="19"/>
      <c r="E877" s="51"/>
      <c r="H877" s="51"/>
      <c r="K877" s="51"/>
    </row>
    <row r="878" ht="13.5" customHeight="1">
      <c r="D878" s="19"/>
      <c r="E878" s="51"/>
      <c r="H878" s="51"/>
      <c r="K878" s="51"/>
    </row>
    <row r="879" ht="13.5" customHeight="1">
      <c r="D879" s="19"/>
      <c r="E879" s="51"/>
      <c r="H879" s="51"/>
      <c r="K879" s="51"/>
    </row>
    <row r="880" ht="13.5" customHeight="1">
      <c r="D880" s="19"/>
      <c r="E880" s="51"/>
      <c r="H880" s="51"/>
      <c r="K880" s="51"/>
    </row>
    <row r="881" ht="13.5" customHeight="1">
      <c r="D881" s="19"/>
      <c r="E881" s="51"/>
      <c r="H881" s="51"/>
      <c r="K881" s="51"/>
    </row>
    <row r="882" ht="13.5" customHeight="1">
      <c r="D882" s="19"/>
      <c r="E882" s="51"/>
      <c r="H882" s="51"/>
      <c r="K882" s="51"/>
    </row>
    <row r="883" ht="13.5" customHeight="1">
      <c r="D883" s="19"/>
      <c r="E883" s="51"/>
      <c r="H883" s="51"/>
      <c r="K883" s="51"/>
    </row>
    <row r="884" ht="13.5" customHeight="1">
      <c r="D884" s="19"/>
      <c r="E884" s="51"/>
      <c r="H884" s="51"/>
      <c r="K884" s="51"/>
    </row>
    <row r="885" ht="13.5" customHeight="1">
      <c r="D885" s="19"/>
      <c r="E885" s="51"/>
      <c r="H885" s="51"/>
      <c r="K885" s="51"/>
    </row>
    <row r="886" ht="13.5" customHeight="1">
      <c r="D886" s="19"/>
      <c r="E886" s="51"/>
      <c r="H886" s="51"/>
      <c r="K886" s="51"/>
    </row>
    <row r="887" ht="13.5" customHeight="1">
      <c r="D887" s="19"/>
      <c r="E887" s="51"/>
      <c r="H887" s="51"/>
      <c r="K887" s="51"/>
    </row>
    <row r="888" ht="13.5" customHeight="1">
      <c r="D888" s="19"/>
      <c r="E888" s="51"/>
      <c r="H888" s="51"/>
      <c r="K888" s="51"/>
    </row>
    <row r="889" ht="13.5" customHeight="1">
      <c r="D889" s="19"/>
      <c r="E889" s="51"/>
      <c r="H889" s="51"/>
      <c r="K889" s="51"/>
    </row>
    <row r="890" ht="13.5" customHeight="1">
      <c r="D890" s="19"/>
      <c r="E890" s="51"/>
      <c r="H890" s="51"/>
      <c r="K890" s="51"/>
    </row>
    <row r="891" ht="13.5" customHeight="1">
      <c r="D891" s="19"/>
      <c r="E891" s="51"/>
      <c r="H891" s="51"/>
      <c r="K891" s="51"/>
    </row>
    <row r="892" ht="13.5" customHeight="1">
      <c r="D892" s="19"/>
      <c r="E892" s="51"/>
      <c r="H892" s="51"/>
      <c r="K892" s="51"/>
    </row>
    <row r="893" ht="13.5" customHeight="1">
      <c r="D893" s="19"/>
      <c r="E893" s="51"/>
      <c r="H893" s="51"/>
      <c r="K893" s="51"/>
    </row>
    <row r="894" ht="13.5" customHeight="1">
      <c r="D894" s="19"/>
      <c r="E894" s="51"/>
      <c r="H894" s="51"/>
      <c r="K894" s="51"/>
    </row>
    <row r="895" ht="13.5" customHeight="1">
      <c r="D895" s="19"/>
      <c r="E895" s="51"/>
      <c r="H895" s="51"/>
      <c r="K895" s="51"/>
    </row>
    <row r="896" ht="13.5" customHeight="1">
      <c r="D896" s="19"/>
      <c r="E896" s="51"/>
      <c r="H896" s="51"/>
      <c r="K896" s="51"/>
    </row>
    <row r="897" ht="13.5" customHeight="1">
      <c r="D897" s="19"/>
      <c r="E897" s="51"/>
      <c r="H897" s="51"/>
      <c r="K897" s="51"/>
    </row>
    <row r="898" ht="13.5" customHeight="1">
      <c r="D898" s="19"/>
      <c r="E898" s="51"/>
      <c r="H898" s="51"/>
      <c r="K898" s="51"/>
    </row>
    <row r="899" ht="13.5" customHeight="1">
      <c r="D899" s="19"/>
      <c r="E899" s="51"/>
      <c r="H899" s="51"/>
      <c r="K899" s="51"/>
    </row>
    <row r="900" ht="13.5" customHeight="1">
      <c r="D900" s="19"/>
      <c r="E900" s="51"/>
      <c r="H900" s="51"/>
      <c r="K900" s="51"/>
    </row>
    <row r="901" ht="13.5" customHeight="1">
      <c r="D901" s="19"/>
      <c r="E901" s="51"/>
      <c r="H901" s="51"/>
      <c r="K901" s="51"/>
    </row>
    <row r="902" ht="13.5" customHeight="1">
      <c r="D902" s="19"/>
      <c r="E902" s="51"/>
      <c r="H902" s="51"/>
      <c r="K902" s="51"/>
    </row>
    <row r="903" ht="13.5" customHeight="1">
      <c r="D903" s="19"/>
      <c r="E903" s="51"/>
      <c r="H903" s="51"/>
      <c r="K903" s="51"/>
    </row>
    <row r="904" ht="13.5" customHeight="1">
      <c r="D904" s="19"/>
      <c r="E904" s="51"/>
      <c r="H904" s="51"/>
      <c r="K904" s="51"/>
    </row>
    <row r="905" ht="13.5" customHeight="1">
      <c r="D905" s="19"/>
      <c r="E905" s="51"/>
      <c r="H905" s="51"/>
      <c r="K905" s="51"/>
    </row>
    <row r="906" ht="13.5" customHeight="1">
      <c r="D906" s="19"/>
      <c r="E906" s="51"/>
      <c r="H906" s="51"/>
      <c r="K906" s="51"/>
    </row>
    <row r="907" ht="13.5" customHeight="1">
      <c r="D907" s="19"/>
      <c r="E907" s="51"/>
      <c r="H907" s="51"/>
      <c r="K907" s="51"/>
    </row>
    <row r="908" ht="13.5" customHeight="1">
      <c r="D908" s="19"/>
      <c r="E908" s="51"/>
      <c r="H908" s="51"/>
      <c r="K908" s="51"/>
    </row>
    <row r="909" ht="13.5" customHeight="1">
      <c r="D909" s="19"/>
      <c r="E909" s="51"/>
      <c r="H909" s="51"/>
      <c r="K909" s="51"/>
    </row>
    <row r="910" ht="13.5" customHeight="1">
      <c r="D910" s="19"/>
      <c r="E910" s="51"/>
      <c r="H910" s="51"/>
      <c r="K910" s="51"/>
    </row>
    <row r="911" ht="13.5" customHeight="1">
      <c r="D911" s="19"/>
      <c r="E911" s="51"/>
      <c r="H911" s="51"/>
      <c r="K911" s="51"/>
    </row>
    <row r="912" ht="13.5" customHeight="1">
      <c r="D912" s="19"/>
      <c r="E912" s="51"/>
      <c r="H912" s="51"/>
      <c r="K912" s="51"/>
    </row>
    <row r="913" ht="13.5" customHeight="1">
      <c r="D913" s="19"/>
      <c r="E913" s="51"/>
      <c r="H913" s="51"/>
      <c r="K913" s="51"/>
    </row>
    <row r="914" ht="13.5" customHeight="1">
      <c r="D914" s="19"/>
      <c r="E914" s="51"/>
      <c r="H914" s="51"/>
      <c r="K914" s="51"/>
    </row>
    <row r="915" ht="13.5" customHeight="1">
      <c r="D915" s="19"/>
      <c r="E915" s="51"/>
      <c r="H915" s="51"/>
      <c r="K915" s="51"/>
    </row>
    <row r="916" ht="13.5" customHeight="1">
      <c r="D916" s="19"/>
      <c r="E916" s="51"/>
      <c r="H916" s="51"/>
      <c r="K916" s="51"/>
    </row>
    <row r="917" ht="13.5" customHeight="1">
      <c r="D917" s="19"/>
      <c r="E917" s="51"/>
      <c r="H917" s="51"/>
      <c r="K917" s="51"/>
    </row>
    <row r="918" ht="13.5" customHeight="1">
      <c r="D918" s="19"/>
      <c r="E918" s="51"/>
      <c r="H918" s="51"/>
      <c r="K918" s="51"/>
    </row>
    <row r="919" ht="13.5" customHeight="1">
      <c r="D919" s="19"/>
      <c r="E919" s="51"/>
      <c r="H919" s="51"/>
      <c r="K919" s="51"/>
    </row>
    <row r="920" ht="13.5" customHeight="1">
      <c r="D920" s="19"/>
      <c r="E920" s="51"/>
      <c r="H920" s="51"/>
      <c r="K920" s="51"/>
    </row>
    <row r="921" ht="13.5" customHeight="1">
      <c r="D921" s="19"/>
      <c r="E921" s="51"/>
      <c r="H921" s="51"/>
      <c r="K921" s="51"/>
    </row>
    <row r="922" ht="13.5" customHeight="1">
      <c r="D922" s="19"/>
      <c r="E922" s="51"/>
      <c r="H922" s="51"/>
      <c r="K922" s="51"/>
    </row>
    <row r="923" ht="13.5" customHeight="1">
      <c r="D923" s="19"/>
      <c r="E923" s="51"/>
      <c r="H923" s="51"/>
      <c r="K923" s="51"/>
    </row>
    <row r="924" ht="13.5" customHeight="1">
      <c r="D924" s="19"/>
      <c r="E924" s="51"/>
      <c r="H924" s="51"/>
      <c r="K924" s="51"/>
    </row>
    <row r="925" ht="13.5" customHeight="1">
      <c r="D925" s="19"/>
      <c r="E925" s="51"/>
      <c r="H925" s="51"/>
      <c r="K925" s="51"/>
    </row>
    <row r="926" ht="13.5" customHeight="1">
      <c r="D926" s="19"/>
      <c r="E926" s="51"/>
      <c r="H926" s="51"/>
      <c r="K926" s="51"/>
    </row>
    <row r="927" ht="13.5" customHeight="1">
      <c r="D927" s="19"/>
      <c r="E927" s="51"/>
      <c r="H927" s="51"/>
      <c r="K927" s="51"/>
    </row>
    <row r="928" ht="13.5" customHeight="1">
      <c r="D928" s="19"/>
      <c r="E928" s="51"/>
      <c r="H928" s="51"/>
      <c r="K928" s="51"/>
    </row>
    <row r="929" ht="13.5" customHeight="1">
      <c r="D929" s="19"/>
      <c r="E929" s="51"/>
      <c r="H929" s="51"/>
      <c r="K929" s="51"/>
    </row>
    <row r="930" ht="13.5" customHeight="1">
      <c r="D930" s="19"/>
      <c r="E930" s="51"/>
      <c r="H930" s="51"/>
      <c r="K930" s="51"/>
    </row>
    <row r="931" ht="13.5" customHeight="1">
      <c r="D931" s="19"/>
      <c r="E931" s="51"/>
      <c r="H931" s="51"/>
      <c r="K931" s="51"/>
    </row>
    <row r="932" ht="13.5" customHeight="1">
      <c r="D932" s="19"/>
      <c r="E932" s="51"/>
      <c r="H932" s="51"/>
      <c r="K932" s="51"/>
    </row>
    <row r="933" ht="13.5" customHeight="1">
      <c r="D933" s="19"/>
      <c r="E933" s="51"/>
      <c r="H933" s="51"/>
      <c r="K933" s="51"/>
    </row>
    <row r="934" ht="13.5" customHeight="1">
      <c r="D934" s="19"/>
      <c r="E934" s="51"/>
      <c r="H934" s="51"/>
      <c r="K934" s="51"/>
    </row>
    <row r="935" ht="13.5" customHeight="1">
      <c r="D935" s="19"/>
      <c r="E935" s="51"/>
      <c r="H935" s="51"/>
      <c r="K935" s="51"/>
    </row>
    <row r="936" ht="13.5" customHeight="1">
      <c r="D936" s="19"/>
      <c r="E936" s="51"/>
      <c r="H936" s="51"/>
      <c r="K936" s="51"/>
    </row>
    <row r="937" ht="13.5" customHeight="1">
      <c r="D937" s="19"/>
      <c r="E937" s="51"/>
      <c r="H937" s="51"/>
      <c r="K937" s="51"/>
    </row>
    <row r="938" ht="13.5" customHeight="1">
      <c r="D938" s="19"/>
      <c r="E938" s="51"/>
      <c r="H938" s="51"/>
      <c r="K938" s="51"/>
    </row>
    <row r="939" ht="13.5" customHeight="1">
      <c r="D939" s="19"/>
      <c r="E939" s="51"/>
      <c r="H939" s="51"/>
      <c r="K939" s="51"/>
    </row>
    <row r="940" ht="13.5" customHeight="1">
      <c r="D940" s="19"/>
      <c r="E940" s="51"/>
      <c r="H940" s="51"/>
      <c r="K940" s="51"/>
    </row>
    <row r="941" ht="13.5" customHeight="1">
      <c r="D941" s="19"/>
      <c r="E941" s="51"/>
      <c r="H941" s="51"/>
      <c r="K941" s="51"/>
    </row>
    <row r="942" ht="13.5" customHeight="1">
      <c r="D942" s="19"/>
      <c r="E942" s="51"/>
      <c r="H942" s="51"/>
      <c r="K942" s="51"/>
    </row>
    <row r="943" ht="13.5" customHeight="1">
      <c r="D943" s="19"/>
      <c r="E943" s="51"/>
      <c r="H943" s="51"/>
      <c r="K943" s="51"/>
    </row>
    <row r="944" ht="13.5" customHeight="1">
      <c r="D944" s="19"/>
      <c r="E944" s="51"/>
      <c r="H944" s="51"/>
      <c r="K944" s="51"/>
    </row>
    <row r="945" ht="13.5" customHeight="1">
      <c r="D945" s="19"/>
      <c r="E945" s="51"/>
      <c r="H945" s="51"/>
      <c r="K945" s="51"/>
    </row>
    <row r="946" ht="13.5" customHeight="1">
      <c r="D946" s="19"/>
      <c r="E946" s="51"/>
      <c r="H946" s="51"/>
      <c r="K946" s="51"/>
    </row>
    <row r="947" ht="13.5" customHeight="1">
      <c r="D947" s="19"/>
      <c r="E947" s="51"/>
      <c r="H947" s="51"/>
      <c r="K947" s="51"/>
    </row>
    <row r="948" ht="13.5" customHeight="1">
      <c r="D948" s="19"/>
      <c r="E948" s="51"/>
      <c r="H948" s="51"/>
      <c r="K948" s="51"/>
    </row>
    <row r="949" ht="13.5" customHeight="1">
      <c r="D949" s="19"/>
      <c r="E949" s="51"/>
      <c r="H949" s="51"/>
      <c r="K949" s="51"/>
    </row>
    <row r="950" ht="13.5" customHeight="1">
      <c r="D950" s="19"/>
      <c r="E950" s="51"/>
      <c r="H950" s="51"/>
      <c r="K950" s="51"/>
    </row>
    <row r="951" ht="13.5" customHeight="1">
      <c r="D951" s="19"/>
      <c r="E951" s="51"/>
      <c r="H951" s="51"/>
      <c r="K951" s="51"/>
    </row>
    <row r="952" ht="13.5" customHeight="1">
      <c r="D952" s="19"/>
      <c r="E952" s="51"/>
      <c r="H952" s="51"/>
      <c r="K952" s="51"/>
    </row>
    <row r="953" ht="13.5" customHeight="1">
      <c r="D953" s="19"/>
      <c r="E953" s="51"/>
      <c r="H953" s="51"/>
      <c r="K953" s="51"/>
    </row>
    <row r="954" ht="13.5" customHeight="1">
      <c r="D954" s="19"/>
      <c r="E954" s="51"/>
      <c r="H954" s="51"/>
      <c r="K954" s="51"/>
    </row>
    <row r="955" ht="13.5" customHeight="1">
      <c r="D955" s="19"/>
      <c r="E955" s="51"/>
      <c r="H955" s="51"/>
      <c r="K955" s="51"/>
    </row>
    <row r="956" ht="13.5" customHeight="1">
      <c r="D956" s="19"/>
      <c r="E956" s="51"/>
      <c r="H956" s="51"/>
      <c r="K956" s="51"/>
    </row>
    <row r="957" ht="13.5" customHeight="1">
      <c r="D957" s="19"/>
      <c r="E957" s="51"/>
      <c r="H957" s="51"/>
      <c r="K957" s="51"/>
    </row>
    <row r="958" ht="13.5" customHeight="1">
      <c r="D958" s="19"/>
      <c r="E958" s="51"/>
      <c r="H958" s="51"/>
      <c r="K958" s="51"/>
    </row>
    <row r="959" ht="13.5" customHeight="1">
      <c r="D959" s="19"/>
      <c r="E959" s="51"/>
      <c r="H959" s="51"/>
      <c r="K959" s="51"/>
    </row>
    <row r="960" ht="13.5" customHeight="1">
      <c r="D960" s="19"/>
      <c r="E960" s="51"/>
      <c r="H960" s="51"/>
      <c r="K960" s="51"/>
    </row>
    <row r="961" ht="13.5" customHeight="1">
      <c r="D961" s="19"/>
      <c r="E961" s="51"/>
      <c r="H961" s="51"/>
      <c r="K961" s="51"/>
    </row>
    <row r="962" ht="13.5" customHeight="1">
      <c r="D962" s="19"/>
      <c r="E962" s="51"/>
      <c r="H962" s="51"/>
      <c r="K962" s="51"/>
    </row>
    <row r="963" ht="13.5" customHeight="1">
      <c r="D963" s="19"/>
      <c r="E963" s="51"/>
      <c r="H963" s="51"/>
      <c r="K963" s="51"/>
    </row>
    <row r="964" ht="13.5" customHeight="1">
      <c r="D964" s="19"/>
      <c r="E964" s="51"/>
      <c r="H964" s="51"/>
      <c r="K964" s="51"/>
    </row>
    <row r="965" ht="13.5" customHeight="1">
      <c r="D965" s="19"/>
      <c r="E965" s="51"/>
      <c r="H965" s="51"/>
      <c r="K965" s="51"/>
    </row>
    <row r="966" ht="13.5" customHeight="1">
      <c r="D966" s="19"/>
      <c r="E966" s="51"/>
      <c r="H966" s="51"/>
      <c r="K966" s="51"/>
    </row>
    <row r="967" ht="13.5" customHeight="1">
      <c r="D967" s="19"/>
      <c r="E967" s="51"/>
      <c r="H967" s="51"/>
      <c r="K967" s="51"/>
    </row>
    <row r="968" ht="13.5" customHeight="1">
      <c r="D968" s="19"/>
      <c r="E968" s="51"/>
      <c r="H968" s="51"/>
      <c r="K968" s="51"/>
    </row>
    <row r="969" ht="13.5" customHeight="1">
      <c r="D969" s="19"/>
      <c r="E969" s="51"/>
      <c r="H969" s="51"/>
      <c r="K969" s="51"/>
    </row>
    <row r="970" ht="13.5" customHeight="1">
      <c r="D970" s="19"/>
      <c r="E970" s="51"/>
      <c r="H970" s="51"/>
      <c r="K970" s="51"/>
    </row>
    <row r="971" ht="13.5" customHeight="1">
      <c r="D971" s="19"/>
      <c r="E971" s="51"/>
      <c r="H971" s="51"/>
      <c r="K971" s="51"/>
    </row>
    <row r="972" ht="13.5" customHeight="1">
      <c r="D972" s="19"/>
      <c r="E972" s="51"/>
      <c r="H972" s="51"/>
      <c r="K972" s="51"/>
    </row>
    <row r="973" ht="13.5" customHeight="1">
      <c r="D973" s="19"/>
      <c r="E973" s="51"/>
      <c r="H973" s="51"/>
      <c r="K973" s="51"/>
    </row>
    <row r="974" ht="13.5" customHeight="1">
      <c r="D974" s="19"/>
      <c r="E974" s="51"/>
      <c r="H974" s="51"/>
      <c r="K974" s="51"/>
    </row>
    <row r="975" ht="13.5" customHeight="1">
      <c r="D975" s="19"/>
      <c r="E975" s="51"/>
      <c r="H975" s="51"/>
      <c r="K975" s="51"/>
    </row>
    <row r="976" ht="13.5" customHeight="1">
      <c r="D976" s="19"/>
      <c r="E976" s="51"/>
      <c r="H976" s="51"/>
      <c r="K976" s="51"/>
    </row>
    <row r="977" ht="13.5" customHeight="1">
      <c r="D977" s="19"/>
      <c r="E977" s="51"/>
      <c r="H977" s="51"/>
      <c r="K977" s="51"/>
    </row>
    <row r="978" ht="13.5" customHeight="1">
      <c r="D978" s="19"/>
      <c r="E978" s="51"/>
      <c r="H978" s="51"/>
      <c r="K978" s="51"/>
    </row>
    <row r="979" ht="13.5" customHeight="1">
      <c r="D979" s="19"/>
      <c r="E979" s="51"/>
      <c r="H979" s="51"/>
      <c r="K979" s="51"/>
    </row>
    <row r="980" ht="13.5" customHeight="1">
      <c r="D980" s="19"/>
      <c r="E980" s="51"/>
      <c r="H980" s="51"/>
      <c r="K980" s="51"/>
    </row>
    <row r="981" ht="13.5" customHeight="1">
      <c r="D981" s="19"/>
      <c r="E981" s="51"/>
      <c r="H981" s="51"/>
      <c r="K981" s="51"/>
    </row>
    <row r="982" ht="13.5" customHeight="1">
      <c r="D982" s="19"/>
      <c r="E982" s="51"/>
      <c r="H982" s="51"/>
      <c r="K982" s="51"/>
    </row>
    <row r="983" ht="13.5" customHeight="1">
      <c r="D983" s="19"/>
      <c r="E983" s="51"/>
      <c r="H983" s="51"/>
      <c r="K983" s="51"/>
    </row>
    <row r="984" ht="13.5" customHeight="1">
      <c r="D984" s="19"/>
      <c r="E984" s="51"/>
      <c r="H984" s="51"/>
      <c r="K984" s="51"/>
    </row>
    <row r="985" ht="13.5" customHeight="1">
      <c r="D985" s="19"/>
      <c r="E985" s="51"/>
      <c r="H985" s="51"/>
      <c r="K985" s="51"/>
    </row>
    <row r="986" ht="13.5" customHeight="1">
      <c r="D986" s="19"/>
      <c r="E986" s="51"/>
      <c r="H986" s="51"/>
      <c r="K986" s="51"/>
    </row>
    <row r="987" ht="13.5" customHeight="1">
      <c r="D987" s="19"/>
      <c r="E987" s="51"/>
      <c r="H987" s="51"/>
      <c r="K987" s="51"/>
    </row>
    <row r="988" ht="13.5" customHeight="1">
      <c r="D988" s="19"/>
      <c r="E988" s="51"/>
      <c r="H988" s="51"/>
      <c r="K988" s="51"/>
    </row>
    <row r="989" ht="13.5" customHeight="1">
      <c r="D989" s="19"/>
      <c r="E989" s="51"/>
      <c r="H989" s="51"/>
      <c r="K989" s="51"/>
    </row>
    <row r="990" ht="13.5" customHeight="1">
      <c r="D990" s="19"/>
      <c r="E990" s="51"/>
      <c r="H990" s="51"/>
      <c r="K990" s="51"/>
    </row>
    <row r="991" ht="13.5" customHeight="1">
      <c r="D991" s="19"/>
      <c r="E991" s="51"/>
      <c r="H991" s="51"/>
      <c r="K991" s="51"/>
    </row>
    <row r="992" ht="13.5" customHeight="1">
      <c r="D992" s="19"/>
      <c r="E992" s="51"/>
      <c r="H992" s="51"/>
      <c r="K992" s="51"/>
    </row>
    <row r="993" ht="13.5" customHeight="1">
      <c r="D993" s="19"/>
      <c r="E993" s="51"/>
      <c r="H993" s="51"/>
      <c r="K993" s="51"/>
    </row>
    <row r="994" ht="13.5" customHeight="1">
      <c r="D994" s="19"/>
      <c r="E994" s="51"/>
      <c r="H994" s="51"/>
      <c r="K994" s="51"/>
    </row>
    <row r="995" ht="13.5" customHeight="1">
      <c r="D995" s="19"/>
      <c r="E995" s="51"/>
      <c r="H995" s="51"/>
      <c r="K995" s="51"/>
    </row>
    <row r="996" ht="13.5" customHeight="1">
      <c r="D996" s="19"/>
      <c r="E996" s="51"/>
      <c r="H996" s="51"/>
      <c r="K996" s="51"/>
    </row>
    <row r="997" ht="13.5" customHeight="1">
      <c r="D997" s="19"/>
      <c r="E997" s="51"/>
      <c r="H997" s="51"/>
      <c r="K997" s="51"/>
    </row>
    <row r="998" ht="13.5" customHeight="1">
      <c r="D998" s="19"/>
      <c r="E998" s="51"/>
      <c r="H998" s="51"/>
      <c r="K998" s="51"/>
    </row>
    <row r="999" ht="13.5" customHeight="1">
      <c r="D999" s="19"/>
      <c r="E999" s="51"/>
      <c r="H999" s="51"/>
      <c r="K999" s="51"/>
    </row>
    <row r="1000" ht="13.5" customHeight="1">
      <c r="D1000" s="19"/>
      <c r="E1000" s="51"/>
      <c r="H1000" s="51"/>
      <c r="K1000" s="51"/>
    </row>
  </sheetData>
  <autoFilter ref="$A$1:$C$69"/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13"/>
    <col customWidth="1" min="3" max="3" width="8.88"/>
    <col customWidth="1" min="4" max="4" width="15.75"/>
    <col customWidth="1" min="5" max="5" width="15.5"/>
    <col customWidth="1" min="6" max="6" width="20.88"/>
    <col customWidth="1" min="7" max="7" width="27.5"/>
    <col customWidth="1" min="8" max="8" width="4.0"/>
    <col customWidth="1" min="9" max="9" width="2.38"/>
    <col customWidth="1" min="10" max="10" width="27.38"/>
    <col customWidth="1" min="11" max="11" width="14.0"/>
    <col customWidth="1" min="12" max="12" width="9.88"/>
    <col customWidth="1" min="13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5.0" customHeight="1">
      <c r="A2" s="14">
        <v>1.0</v>
      </c>
      <c r="B2" s="14" t="s">
        <v>9</v>
      </c>
      <c r="C2" s="14">
        <v>2130870.0</v>
      </c>
      <c r="D2" s="16">
        <v>46218.0</v>
      </c>
      <c r="E2" s="17">
        <v>7914.99</v>
      </c>
      <c r="F2" s="14"/>
      <c r="G2" s="181" t="s">
        <v>19</v>
      </c>
      <c r="H2" s="14"/>
      <c r="I2" s="14"/>
      <c r="J2" s="21">
        <v>183447.0</v>
      </c>
      <c r="K2" s="29">
        <v>90500.51000000001</v>
      </c>
    </row>
    <row r="3" ht="13.5" customHeight="1">
      <c r="A3" s="14">
        <v>2.0</v>
      </c>
      <c r="B3" s="14" t="s">
        <v>9</v>
      </c>
      <c r="C3" s="14">
        <v>2130870.0</v>
      </c>
      <c r="D3" s="16">
        <v>46218.0</v>
      </c>
      <c r="E3" s="17">
        <v>4568.82</v>
      </c>
      <c r="F3" s="14"/>
      <c r="G3" s="181" t="s">
        <v>19</v>
      </c>
      <c r="H3" s="14"/>
      <c r="I3" s="14"/>
      <c r="J3" s="21">
        <v>183448.0</v>
      </c>
      <c r="K3" s="29">
        <v>565466.71</v>
      </c>
    </row>
    <row r="4" ht="13.5" customHeight="1">
      <c r="A4" s="14">
        <v>3.0</v>
      </c>
      <c r="B4" s="14" t="s">
        <v>9</v>
      </c>
      <c r="C4" s="14">
        <v>2130870.0</v>
      </c>
      <c r="D4" s="16">
        <v>46218.0</v>
      </c>
      <c r="E4" s="17">
        <v>766.43</v>
      </c>
      <c r="F4" s="14"/>
      <c r="G4" s="181" t="s">
        <v>19</v>
      </c>
      <c r="H4" s="14"/>
      <c r="I4" s="14"/>
      <c r="J4" s="21">
        <v>183453.0</v>
      </c>
      <c r="K4" s="29">
        <v>4255.8</v>
      </c>
    </row>
    <row r="5" ht="13.5" customHeight="1">
      <c r="A5" s="14">
        <v>4.0</v>
      </c>
      <c r="B5" s="14" t="s">
        <v>9</v>
      </c>
      <c r="C5" s="14">
        <v>2130870.0</v>
      </c>
      <c r="D5" s="16">
        <v>46218.0</v>
      </c>
      <c r="E5" s="17">
        <v>5520811.36</v>
      </c>
      <c r="F5" s="14" t="s">
        <v>10</v>
      </c>
      <c r="G5" s="181" t="s">
        <v>19</v>
      </c>
      <c r="H5" s="14"/>
      <c r="I5" s="14"/>
      <c r="J5" s="21">
        <v>183461.0</v>
      </c>
      <c r="K5" s="29">
        <v>315.59</v>
      </c>
    </row>
    <row r="6" ht="13.5" customHeight="1">
      <c r="A6" s="14">
        <v>5.0</v>
      </c>
      <c r="B6" s="14" t="s">
        <v>9</v>
      </c>
      <c r="C6" s="14">
        <v>2130870.0</v>
      </c>
      <c r="D6" s="16">
        <v>46218.0</v>
      </c>
      <c r="E6" s="17">
        <v>10496.59</v>
      </c>
      <c r="F6" s="14" t="s">
        <v>15</v>
      </c>
      <c r="G6" s="181" t="s">
        <v>19</v>
      </c>
      <c r="H6" s="14"/>
      <c r="I6" s="14"/>
      <c r="J6" s="21" t="s">
        <v>141</v>
      </c>
      <c r="K6" s="29">
        <v>654.0</v>
      </c>
    </row>
    <row r="7" ht="13.5" customHeight="1">
      <c r="A7" s="14">
        <v>6.0</v>
      </c>
      <c r="B7" s="14" t="s">
        <v>9</v>
      </c>
      <c r="C7" s="14">
        <v>2050808.0</v>
      </c>
      <c r="D7" s="16">
        <v>46218.0</v>
      </c>
      <c r="E7" s="17">
        <v>39084.54</v>
      </c>
      <c r="F7" s="14"/>
      <c r="G7" s="181" t="s">
        <v>19</v>
      </c>
      <c r="H7" s="14"/>
      <c r="I7" s="14"/>
      <c r="J7" s="21" t="s">
        <v>142</v>
      </c>
      <c r="K7" s="29">
        <v>139240.5</v>
      </c>
    </row>
    <row r="8" ht="13.5" customHeight="1">
      <c r="A8" s="14">
        <v>7.0</v>
      </c>
      <c r="B8" s="14" t="s">
        <v>9</v>
      </c>
      <c r="C8" s="14">
        <v>2050808.0</v>
      </c>
      <c r="D8" s="16">
        <v>46218.0</v>
      </c>
      <c r="E8" s="17">
        <v>23646.62</v>
      </c>
      <c r="F8" s="14"/>
      <c r="G8" s="181" t="s">
        <v>19</v>
      </c>
      <c r="H8" s="14"/>
      <c r="I8" s="14"/>
      <c r="J8" s="23" t="s">
        <v>143</v>
      </c>
      <c r="K8" s="29">
        <v>173.28</v>
      </c>
    </row>
    <row r="9" ht="13.5" customHeight="1">
      <c r="A9" s="14">
        <v>8.0</v>
      </c>
      <c r="B9" s="14" t="s">
        <v>9</v>
      </c>
      <c r="C9" s="14">
        <v>2050900.0</v>
      </c>
      <c r="D9" s="16">
        <v>46218.0</v>
      </c>
      <c r="E9" s="17">
        <v>35024.04</v>
      </c>
      <c r="F9" s="14"/>
      <c r="G9" s="181" t="s">
        <v>19</v>
      </c>
      <c r="H9" s="14"/>
      <c r="I9" s="14"/>
      <c r="J9" s="23">
        <v>183661.0</v>
      </c>
      <c r="K9" s="29">
        <v>101.75</v>
      </c>
    </row>
    <row r="10" ht="13.5" customHeight="1">
      <c r="A10" s="30">
        <v>9.0</v>
      </c>
      <c r="B10" s="30" t="s">
        <v>16</v>
      </c>
      <c r="C10" s="30">
        <v>2090821.0</v>
      </c>
      <c r="D10" s="31">
        <v>46218.0</v>
      </c>
      <c r="E10" s="32">
        <v>521.21</v>
      </c>
      <c r="F10" s="30"/>
      <c r="G10" s="236" t="s">
        <v>19</v>
      </c>
      <c r="H10" s="14"/>
      <c r="I10" s="14"/>
      <c r="J10" s="23">
        <v>183662.0</v>
      </c>
      <c r="K10" s="29">
        <v>1032.34</v>
      </c>
    </row>
    <row r="11" ht="13.5" customHeight="1">
      <c r="A11" s="23">
        <v>10.0</v>
      </c>
      <c r="B11" s="23" t="s">
        <v>20</v>
      </c>
      <c r="C11" s="23">
        <v>1200393.0</v>
      </c>
      <c r="D11" s="49">
        <v>46218.0</v>
      </c>
      <c r="E11" s="29">
        <v>269169.5</v>
      </c>
      <c r="F11" s="23"/>
      <c r="G11" s="62" t="s">
        <v>19</v>
      </c>
      <c r="H11" s="14"/>
      <c r="I11" s="14"/>
      <c r="J11" s="23">
        <v>183663.0</v>
      </c>
      <c r="K11" s="29">
        <v>807.4</v>
      </c>
    </row>
    <row r="12" ht="13.5" customHeight="1">
      <c r="A12" s="23">
        <v>11.0</v>
      </c>
      <c r="B12" s="23" t="s">
        <v>20</v>
      </c>
      <c r="C12" s="23">
        <v>1040211.0</v>
      </c>
      <c r="D12" s="49">
        <v>46218.0</v>
      </c>
      <c r="E12" s="29">
        <v>292323.91</v>
      </c>
      <c r="F12" s="23"/>
      <c r="G12" s="62" t="s">
        <v>19</v>
      </c>
      <c r="H12" s="14"/>
      <c r="I12" s="14"/>
      <c r="J12" s="23">
        <v>183665.0</v>
      </c>
      <c r="K12" s="29">
        <v>5379.8</v>
      </c>
    </row>
    <row r="13" ht="13.5" customHeight="1">
      <c r="A13" s="23">
        <v>17.0</v>
      </c>
      <c r="B13" s="23" t="s">
        <v>20</v>
      </c>
      <c r="C13" s="23">
        <v>1200393.0</v>
      </c>
      <c r="D13" s="49">
        <v>46218.0</v>
      </c>
      <c r="E13" s="29">
        <v>11356.77</v>
      </c>
      <c r="F13" s="23"/>
      <c r="G13" s="62" t="s">
        <v>19</v>
      </c>
      <c r="H13" s="14"/>
      <c r="I13" s="14"/>
      <c r="J13" s="23">
        <v>183666.0</v>
      </c>
      <c r="K13" s="29">
        <v>2595.18</v>
      </c>
    </row>
    <row r="14" ht="13.5" customHeight="1">
      <c r="A14" s="23">
        <v>19.0</v>
      </c>
      <c r="B14" s="23" t="s">
        <v>20</v>
      </c>
      <c r="C14" s="23">
        <v>1040211.0</v>
      </c>
      <c r="D14" s="49">
        <v>46218.0</v>
      </c>
      <c r="E14" s="29">
        <v>79143.74</v>
      </c>
      <c r="F14" s="23"/>
      <c r="G14" s="62" t="s">
        <v>19</v>
      </c>
      <c r="H14" s="14"/>
      <c r="I14" s="14"/>
      <c r="J14" s="23">
        <v>183667.0</v>
      </c>
      <c r="K14" s="29">
        <v>1740.93</v>
      </c>
    </row>
    <row r="15" ht="13.5" customHeight="1">
      <c r="A15" s="23">
        <v>20.0</v>
      </c>
      <c r="B15" s="23" t="s">
        <v>20</v>
      </c>
      <c r="C15" s="23">
        <v>1200393.0</v>
      </c>
      <c r="D15" s="49">
        <v>46218.0</v>
      </c>
      <c r="E15" s="29">
        <v>3973.3</v>
      </c>
      <c r="F15" s="23"/>
      <c r="G15" s="62" t="s">
        <v>19</v>
      </c>
      <c r="H15" s="14"/>
      <c r="I15" s="14"/>
      <c r="J15" s="23">
        <v>183693.0</v>
      </c>
      <c r="K15" s="29">
        <v>742.65</v>
      </c>
    </row>
    <row r="16" ht="13.5" customHeight="1">
      <c r="A16" s="14">
        <v>21.0</v>
      </c>
      <c r="B16" s="14" t="s">
        <v>20</v>
      </c>
      <c r="C16" s="14">
        <v>1060345.0</v>
      </c>
      <c r="D16" s="16">
        <v>46218.0</v>
      </c>
      <c r="E16" s="17">
        <v>4300000.0</v>
      </c>
      <c r="F16" s="14"/>
      <c r="G16" s="181" t="s">
        <v>19</v>
      </c>
      <c r="H16" s="14"/>
      <c r="I16" s="14"/>
      <c r="J16" s="23">
        <v>183694.0</v>
      </c>
      <c r="K16" s="29">
        <v>1000.86</v>
      </c>
    </row>
    <row r="17" ht="13.5" customHeight="1">
      <c r="A17" s="23">
        <v>22.0</v>
      </c>
      <c r="B17" s="23" t="s">
        <v>47</v>
      </c>
      <c r="C17" s="23">
        <v>1040500.0</v>
      </c>
      <c r="D17" s="49">
        <v>46218.0</v>
      </c>
      <c r="E17" s="29">
        <v>173.28</v>
      </c>
      <c r="F17" s="23"/>
      <c r="G17" s="62" t="s">
        <v>11</v>
      </c>
      <c r="H17" s="14"/>
      <c r="I17" s="14"/>
      <c r="J17" s="23">
        <v>183695.0</v>
      </c>
      <c r="K17" s="29">
        <v>565.25</v>
      </c>
    </row>
    <row r="18" ht="13.5" customHeight="1">
      <c r="A18" s="23">
        <v>23.0</v>
      </c>
      <c r="B18" s="23" t="s">
        <v>20</v>
      </c>
      <c r="C18" s="23">
        <v>1040109.0</v>
      </c>
      <c r="D18" s="49">
        <v>46218.0</v>
      </c>
      <c r="E18" s="29">
        <v>742.65</v>
      </c>
      <c r="F18" s="23"/>
      <c r="G18" s="62" t="s">
        <v>11</v>
      </c>
      <c r="H18" s="14"/>
      <c r="I18" s="14"/>
      <c r="J18" s="23">
        <v>183696.0</v>
      </c>
      <c r="K18" s="29">
        <v>1326.4</v>
      </c>
    </row>
    <row r="19" ht="13.5" customHeight="1">
      <c r="A19" s="23">
        <v>24.0</v>
      </c>
      <c r="B19" s="23" t="s">
        <v>20</v>
      </c>
      <c r="C19" s="23">
        <v>1040109.0</v>
      </c>
      <c r="D19" s="49">
        <v>46218.0</v>
      </c>
      <c r="E19" s="29">
        <v>2595.18</v>
      </c>
      <c r="F19" s="23"/>
      <c r="G19" s="62" t="s">
        <v>11</v>
      </c>
      <c r="H19" s="14"/>
      <c r="I19" s="14"/>
      <c r="J19" s="14"/>
      <c r="K19" s="17"/>
    </row>
    <row r="20" ht="13.5" customHeight="1">
      <c r="A20" s="23">
        <v>25.0</v>
      </c>
      <c r="B20" s="23" t="s">
        <v>20</v>
      </c>
      <c r="C20" s="23">
        <v>1040109.0</v>
      </c>
      <c r="D20" s="49">
        <v>46218.0</v>
      </c>
      <c r="E20" s="29">
        <v>146.92</v>
      </c>
      <c r="F20" s="23"/>
      <c r="G20" s="62" t="s">
        <v>11</v>
      </c>
      <c r="H20" s="14"/>
      <c r="I20" s="14"/>
      <c r="J20" s="14"/>
      <c r="K20" s="17"/>
    </row>
    <row r="21" ht="13.5" customHeight="1">
      <c r="A21" s="23">
        <v>26.0</v>
      </c>
      <c r="B21" s="23" t="s">
        <v>20</v>
      </c>
      <c r="C21" s="23">
        <v>1040109.0</v>
      </c>
      <c r="D21" s="49">
        <v>46218.0</v>
      </c>
      <c r="E21" s="29">
        <v>329.72</v>
      </c>
      <c r="F21" s="23"/>
      <c r="G21" s="62" t="s">
        <v>19</v>
      </c>
      <c r="H21" s="14"/>
      <c r="I21" s="14"/>
      <c r="J21" s="14"/>
      <c r="K21" s="17"/>
    </row>
    <row r="22" ht="13.5" customHeight="1">
      <c r="A22" s="23">
        <v>27.0</v>
      </c>
      <c r="B22" s="23" t="s">
        <v>20</v>
      </c>
      <c r="C22" s="23">
        <v>1040109.0</v>
      </c>
      <c r="D22" s="49">
        <v>46218.0</v>
      </c>
      <c r="E22" s="29">
        <v>1000.86</v>
      </c>
      <c r="F22" s="23"/>
      <c r="G22" s="62" t="s">
        <v>11</v>
      </c>
      <c r="H22" s="14"/>
      <c r="I22" s="14"/>
      <c r="J22" s="14"/>
      <c r="K22" s="17"/>
    </row>
    <row r="23" ht="13.5" customHeight="1">
      <c r="A23" s="23">
        <v>28.0</v>
      </c>
      <c r="B23" s="23" t="s">
        <v>20</v>
      </c>
      <c r="C23" s="23">
        <v>1040109.0</v>
      </c>
      <c r="D23" s="49">
        <v>46218.0</v>
      </c>
      <c r="E23" s="29">
        <v>101.75</v>
      </c>
      <c r="F23" s="23"/>
      <c r="G23" s="62" t="s">
        <v>19</v>
      </c>
      <c r="H23" s="14"/>
      <c r="I23" s="14"/>
      <c r="J23" s="14"/>
      <c r="K23" s="17"/>
    </row>
    <row r="24" ht="13.5" customHeight="1">
      <c r="A24" s="23">
        <v>29.0</v>
      </c>
      <c r="B24" s="23" t="s">
        <v>20</v>
      </c>
      <c r="C24" s="23">
        <v>1040375.0</v>
      </c>
      <c r="D24" s="49">
        <v>46218.0</v>
      </c>
      <c r="E24" s="29">
        <v>1032.34</v>
      </c>
      <c r="F24" s="23"/>
      <c r="G24" s="62" t="s">
        <v>19</v>
      </c>
      <c r="H24" s="14"/>
      <c r="I24" s="14"/>
      <c r="J24" s="14"/>
      <c r="K24" s="17"/>
    </row>
    <row r="25" ht="13.5" customHeight="1">
      <c r="A25" s="23">
        <v>30.0</v>
      </c>
      <c r="B25" s="23" t="s">
        <v>20</v>
      </c>
      <c r="C25" s="23">
        <v>1040375.0</v>
      </c>
      <c r="D25" s="49">
        <v>46218.0</v>
      </c>
      <c r="E25" s="29">
        <v>807.4</v>
      </c>
      <c r="F25" s="23"/>
      <c r="G25" s="62" t="s">
        <v>19</v>
      </c>
      <c r="H25" s="14"/>
      <c r="I25" s="14"/>
      <c r="J25" s="14"/>
      <c r="K25" s="17"/>
    </row>
    <row r="26" ht="13.5" customHeight="1">
      <c r="A26" s="23">
        <v>31.0</v>
      </c>
      <c r="B26" s="23" t="s">
        <v>20</v>
      </c>
      <c r="C26" s="23">
        <v>1040375.0</v>
      </c>
      <c r="D26" s="49">
        <v>46218.0</v>
      </c>
      <c r="E26" s="29">
        <v>565.25</v>
      </c>
      <c r="F26" s="23"/>
      <c r="G26" s="62" t="s">
        <v>11</v>
      </c>
      <c r="H26" s="14"/>
      <c r="I26" s="14"/>
      <c r="J26" s="14"/>
      <c r="K26" s="17"/>
    </row>
    <row r="27" ht="13.5" customHeight="1">
      <c r="A27" s="23">
        <v>32.0</v>
      </c>
      <c r="B27" s="23" t="s">
        <v>20</v>
      </c>
      <c r="C27" s="23">
        <v>1040375.0</v>
      </c>
      <c r="D27" s="49">
        <v>46218.0</v>
      </c>
      <c r="E27" s="29">
        <v>1326.4</v>
      </c>
      <c r="F27" s="33"/>
      <c r="G27" s="62" t="s">
        <v>19</v>
      </c>
      <c r="H27" s="14"/>
      <c r="I27" s="14"/>
      <c r="J27" s="14"/>
      <c r="K27" s="17"/>
    </row>
    <row r="28" ht="13.5" customHeight="1">
      <c r="A28" s="23">
        <v>33.0</v>
      </c>
      <c r="B28" s="23" t="s">
        <v>20</v>
      </c>
      <c r="C28" s="23">
        <v>1040303.0</v>
      </c>
      <c r="D28" s="49">
        <v>46218.0</v>
      </c>
      <c r="E28" s="29">
        <v>5379.8</v>
      </c>
      <c r="F28" s="33"/>
      <c r="G28" s="62" t="s">
        <v>19</v>
      </c>
      <c r="H28" s="14"/>
      <c r="I28" s="14"/>
      <c r="J28" s="14"/>
      <c r="K28" s="17"/>
    </row>
    <row r="29" ht="13.5" customHeight="1">
      <c r="A29" s="23">
        <v>34.0</v>
      </c>
      <c r="B29" s="23" t="s">
        <v>20</v>
      </c>
      <c r="C29" s="23">
        <v>1040375.0</v>
      </c>
      <c r="D29" s="49">
        <v>46218.0</v>
      </c>
      <c r="E29" s="29">
        <v>1740.93</v>
      </c>
      <c r="F29" s="33"/>
      <c r="G29" s="62" t="s">
        <v>19</v>
      </c>
      <c r="H29" s="23"/>
      <c r="I29" s="23"/>
      <c r="J29" s="23"/>
      <c r="K29" s="29"/>
      <c r="L29" s="61"/>
    </row>
    <row r="30" ht="13.5" customHeight="1">
      <c r="A30" s="23">
        <v>36.0</v>
      </c>
      <c r="B30" s="23" t="s">
        <v>20</v>
      </c>
      <c r="C30" s="23">
        <v>1040109.0</v>
      </c>
      <c r="D30" s="49">
        <v>46218.0</v>
      </c>
      <c r="E30" s="29">
        <v>107.51</v>
      </c>
      <c r="F30" s="33"/>
      <c r="G30" s="62" t="s">
        <v>19</v>
      </c>
      <c r="H30" s="23"/>
      <c r="I30" s="23"/>
      <c r="J30" s="23"/>
      <c r="K30" s="29"/>
      <c r="L30" s="61"/>
    </row>
    <row r="31" ht="13.5" customHeight="1">
      <c r="A31" s="23">
        <v>37.0</v>
      </c>
      <c r="B31" s="23" t="s">
        <v>20</v>
      </c>
      <c r="C31" s="23">
        <v>1040109.0</v>
      </c>
      <c r="D31" s="49">
        <v>46218.0</v>
      </c>
      <c r="E31" s="29">
        <v>514.66</v>
      </c>
      <c r="F31" s="33"/>
      <c r="G31" s="62" t="s">
        <v>19</v>
      </c>
      <c r="H31" s="23"/>
      <c r="I31" s="23"/>
      <c r="J31" s="23"/>
      <c r="K31" s="29"/>
      <c r="L31" s="61"/>
    </row>
    <row r="32" ht="13.5" customHeight="1">
      <c r="A32" s="23">
        <v>38.0</v>
      </c>
      <c r="B32" s="23" t="s">
        <v>20</v>
      </c>
      <c r="C32" s="23">
        <v>1040109.0</v>
      </c>
      <c r="D32" s="49">
        <v>46218.0</v>
      </c>
      <c r="E32" s="29">
        <v>346.46</v>
      </c>
      <c r="F32" s="33"/>
      <c r="G32" s="62" t="s">
        <v>19</v>
      </c>
      <c r="H32" s="23"/>
      <c r="I32" s="23"/>
      <c r="J32" s="23"/>
      <c r="K32" s="29"/>
      <c r="L32" s="61"/>
    </row>
    <row r="33" ht="13.5" customHeight="1">
      <c r="A33" s="23">
        <v>40.0</v>
      </c>
      <c r="B33" s="23" t="s">
        <v>20</v>
      </c>
      <c r="C33" s="23">
        <v>1040109.0</v>
      </c>
      <c r="D33" s="49">
        <v>46218.0</v>
      </c>
      <c r="E33" s="29">
        <v>2338.77</v>
      </c>
      <c r="F33" s="33"/>
      <c r="G33" s="62" t="s">
        <v>19</v>
      </c>
      <c r="H33" s="23"/>
      <c r="I33" s="23"/>
      <c r="J33" s="23"/>
      <c r="K33" s="29"/>
      <c r="L33" s="61"/>
    </row>
    <row r="34" ht="13.5" customHeight="1">
      <c r="A34" s="23">
        <v>43.0</v>
      </c>
      <c r="B34" s="23" t="s">
        <v>20</v>
      </c>
      <c r="C34" s="23">
        <v>1040109.0</v>
      </c>
      <c r="D34" s="49">
        <v>46218.0</v>
      </c>
      <c r="E34" s="29">
        <v>107.51</v>
      </c>
      <c r="F34" s="33"/>
      <c r="G34" s="62" t="s">
        <v>19</v>
      </c>
      <c r="H34" s="23"/>
      <c r="I34" s="23"/>
      <c r="J34" s="23"/>
      <c r="K34" s="29"/>
      <c r="L34" s="61"/>
    </row>
    <row r="35" ht="13.5" customHeight="1">
      <c r="A35" s="23">
        <v>44.0</v>
      </c>
      <c r="B35" s="23" t="s">
        <v>20</v>
      </c>
      <c r="C35" s="23">
        <v>1040109.0</v>
      </c>
      <c r="D35" s="49">
        <v>46218.0</v>
      </c>
      <c r="E35" s="29">
        <v>117.64</v>
      </c>
      <c r="F35" s="33"/>
      <c r="G35" s="62" t="s">
        <v>19</v>
      </c>
      <c r="H35" s="23"/>
      <c r="I35" s="23"/>
      <c r="J35" s="23"/>
      <c r="K35" s="29"/>
      <c r="L35" s="61"/>
    </row>
    <row r="36" ht="13.5" customHeight="1">
      <c r="A36" s="23">
        <v>45.0</v>
      </c>
      <c r="B36" s="23" t="s">
        <v>20</v>
      </c>
      <c r="C36" s="23">
        <v>1040109.0</v>
      </c>
      <c r="D36" s="49">
        <v>46218.0</v>
      </c>
      <c r="E36" s="29">
        <v>723.25</v>
      </c>
      <c r="F36" s="33"/>
      <c r="G36" s="62" t="s">
        <v>19</v>
      </c>
      <c r="H36" s="23"/>
      <c r="I36" s="23"/>
      <c r="J36" s="23"/>
      <c r="K36" s="29"/>
      <c r="L36" s="61"/>
    </row>
    <row r="37" ht="13.5" customHeight="1">
      <c r="A37" s="23">
        <v>51.0</v>
      </c>
      <c r="B37" s="23" t="s">
        <v>20</v>
      </c>
      <c r="C37" s="23">
        <v>1040109.0</v>
      </c>
      <c r="D37" s="49">
        <v>46218.0</v>
      </c>
      <c r="E37" s="29">
        <v>25255.5</v>
      </c>
      <c r="F37" s="33"/>
      <c r="G37" s="62" t="s">
        <v>19</v>
      </c>
      <c r="H37" s="23"/>
      <c r="I37" s="23"/>
      <c r="J37" s="23"/>
      <c r="K37" s="29"/>
      <c r="L37" s="61"/>
    </row>
    <row r="38" ht="13.5" customHeight="1">
      <c r="A38" s="23">
        <v>52.0</v>
      </c>
      <c r="B38" s="23" t="s">
        <v>20</v>
      </c>
      <c r="C38" s="23">
        <v>1040109.0</v>
      </c>
      <c r="D38" s="49">
        <v>46218.0</v>
      </c>
      <c r="E38" s="29">
        <v>113985.0</v>
      </c>
      <c r="F38" s="33"/>
      <c r="G38" s="62" t="s">
        <v>19</v>
      </c>
      <c r="H38" s="23"/>
      <c r="I38" s="23"/>
      <c r="J38" s="23"/>
      <c r="K38" s="29"/>
      <c r="L38" s="61"/>
    </row>
    <row r="39" ht="13.5" customHeight="1">
      <c r="A39" s="23">
        <v>60.0</v>
      </c>
      <c r="B39" s="23" t="s">
        <v>20</v>
      </c>
      <c r="C39" s="23">
        <v>1040375.0</v>
      </c>
      <c r="D39" s="49">
        <v>46218.0</v>
      </c>
      <c r="E39" s="29">
        <v>53.99</v>
      </c>
      <c r="F39" s="33"/>
      <c r="G39" s="62" t="s">
        <v>19</v>
      </c>
      <c r="H39" s="23"/>
      <c r="I39" s="23"/>
      <c r="J39" s="23"/>
      <c r="K39" s="29"/>
      <c r="L39" s="61"/>
    </row>
    <row r="40" ht="13.5" customHeight="1">
      <c r="A40" s="23">
        <v>62.0</v>
      </c>
      <c r="B40" s="23" t="s">
        <v>20</v>
      </c>
      <c r="C40" s="23">
        <v>1040375.0</v>
      </c>
      <c r="D40" s="49">
        <v>46218.0</v>
      </c>
      <c r="E40" s="29">
        <v>261.6</v>
      </c>
      <c r="F40" s="33"/>
      <c r="G40" s="62" t="s">
        <v>19</v>
      </c>
      <c r="H40" s="23"/>
      <c r="I40" s="23"/>
      <c r="J40" s="23"/>
      <c r="K40" s="29"/>
      <c r="L40" s="61"/>
    </row>
    <row r="41" ht="13.5" customHeight="1">
      <c r="A41" s="23">
        <v>65.0</v>
      </c>
      <c r="B41" s="23" t="s">
        <v>47</v>
      </c>
      <c r="C41" s="23">
        <v>1170144.0</v>
      </c>
      <c r="D41" s="49">
        <v>46218.0</v>
      </c>
      <c r="E41" s="29">
        <v>654.0</v>
      </c>
      <c r="F41" s="33"/>
      <c r="G41" s="62" t="s">
        <v>19</v>
      </c>
      <c r="H41" s="23"/>
      <c r="I41" s="23"/>
      <c r="J41" s="23"/>
      <c r="K41" s="29"/>
      <c r="L41" s="61"/>
    </row>
    <row r="42" ht="13.5" customHeight="1">
      <c r="A42" s="14">
        <v>75.0</v>
      </c>
      <c r="B42" s="14" t="s">
        <v>20</v>
      </c>
      <c r="C42" s="14">
        <v>1040258.0</v>
      </c>
      <c r="D42" s="16">
        <v>46218.0</v>
      </c>
      <c r="E42" s="17">
        <v>6.47</v>
      </c>
      <c r="F42" s="15"/>
      <c r="G42" s="181" t="s">
        <v>19</v>
      </c>
      <c r="H42" s="23"/>
      <c r="I42" s="23"/>
      <c r="J42" s="23"/>
      <c r="K42" s="29"/>
      <c r="L42" s="61"/>
    </row>
    <row r="43" ht="13.5" customHeight="1">
      <c r="A43" s="14"/>
      <c r="B43" s="14"/>
      <c r="C43" s="14"/>
      <c r="D43" s="14"/>
      <c r="E43" s="17"/>
      <c r="F43" s="15"/>
      <c r="G43" s="181"/>
      <c r="H43" s="23"/>
      <c r="I43" s="23"/>
      <c r="J43" s="23"/>
      <c r="K43" s="29"/>
      <c r="L43" s="61"/>
    </row>
    <row r="44" ht="13.5" customHeight="1">
      <c r="A44" s="14"/>
      <c r="B44" s="14"/>
      <c r="C44" s="14"/>
      <c r="D44" s="14"/>
      <c r="E44" s="17"/>
      <c r="F44" s="15"/>
      <c r="G44" s="181"/>
      <c r="H44" s="23"/>
      <c r="I44" s="23"/>
      <c r="J44" s="23"/>
      <c r="K44" s="29"/>
      <c r="L44" s="61"/>
    </row>
    <row r="45" ht="13.5" customHeight="1">
      <c r="A45" s="14"/>
      <c r="B45" s="14"/>
      <c r="C45" s="14"/>
      <c r="D45" s="14"/>
      <c r="E45" s="17"/>
      <c r="F45" s="15"/>
      <c r="G45" s="181"/>
      <c r="H45" s="23"/>
      <c r="I45" s="23"/>
      <c r="J45" s="23"/>
      <c r="K45" s="29"/>
      <c r="L45" s="61"/>
    </row>
    <row r="46" ht="13.5" customHeight="1">
      <c r="E46" s="51"/>
      <c r="F46" s="12"/>
      <c r="G46" s="74"/>
      <c r="H46" s="61"/>
      <c r="I46" s="61"/>
      <c r="J46" s="61"/>
      <c r="K46" s="75"/>
      <c r="L46" s="61"/>
    </row>
    <row r="47" ht="13.5" customHeight="1">
      <c r="E47" s="51"/>
      <c r="F47" s="12"/>
      <c r="G47" s="74"/>
      <c r="H47" s="61"/>
      <c r="I47" s="61"/>
      <c r="J47" s="61"/>
      <c r="K47" s="75"/>
      <c r="L47" s="61"/>
    </row>
    <row r="48" ht="13.5" customHeight="1">
      <c r="E48" s="51"/>
      <c r="F48" s="12"/>
      <c r="G48" s="74"/>
      <c r="H48" s="61"/>
      <c r="I48" s="61"/>
      <c r="J48" s="61"/>
      <c r="K48" s="75"/>
      <c r="L48" s="61"/>
    </row>
    <row r="49" ht="13.5" customHeight="1">
      <c r="E49" s="51"/>
      <c r="F49" s="12"/>
      <c r="G49" s="74"/>
      <c r="H49" s="61"/>
      <c r="I49" s="61"/>
      <c r="J49" s="61"/>
      <c r="K49" s="75"/>
      <c r="L49" s="61"/>
    </row>
    <row r="50" ht="13.5" customHeight="1">
      <c r="E50" s="51"/>
      <c r="F50" s="12"/>
      <c r="G50" s="74"/>
      <c r="H50" s="61"/>
      <c r="I50" s="61"/>
      <c r="J50" s="61"/>
      <c r="K50" s="75"/>
      <c r="L50" s="61"/>
    </row>
    <row r="51" ht="13.5" customHeight="1">
      <c r="E51" s="51"/>
      <c r="F51" s="12"/>
      <c r="G51" s="74"/>
      <c r="H51" s="61"/>
      <c r="I51" s="61"/>
      <c r="J51" s="61"/>
      <c r="K51" s="75"/>
      <c r="L51" s="61"/>
    </row>
    <row r="52" ht="13.5" customHeight="1">
      <c r="E52" s="51"/>
      <c r="F52" s="12"/>
      <c r="G52" s="74"/>
      <c r="H52" s="61"/>
      <c r="I52" s="61"/>
      <c r="J52" s="61"/>
      <c r="K52" s="75"/>
      <c r="L52" s="61"/>
    </row>
    <row r="53" ht="13.5" customHeight="1">
      <c r="E53" s="51"/>
      <c r="F53" s="12"/>
      <c r="G53" s="74"/>
      <c r="H53" s="61"/>
      <c r="I53" s="61"/>
      <c r="J53" s="61"/>
      <c r="K53" s="75"/>
      <c r="L53" s="61"/>
    </row>
    <row r="54" ht="13.5" customHeight="1">
      <c r="E54" s="51"/>
      <c r="F54" s="12"/>
      <c r="G54" s="74"/>
      <c r="H54" s="61"/>
      <c r="I54" s="61"/>
      <c r="J54" s="61"/>
      <c r="K54" s="75"/>
      <c r="L54" s="61"/>
    </row>
    <row r="55" ht="13.5" customHeight="1">
      <c r="E55" s="51"/>
      <c r="F55" s="12"/>
      <c r="G55" s="74"/>
      <c r="H55" s="61"/>
      <c r="I55" s="61"/>
      <c r="J55" s="61"/>
      <c r="K55" s="75"/>
      <c r="L55" s="61"/>
    </row>
    <row r="56" ht="13.5" customHeight="1">
      <c r="E56" s="51"/>
      <c r="F56" s="12"/>
      <c r="G56" s="74"/>
      <c r="H56" s="61"/>
      <c r="I56" s="61"/>
      <c r="J56" s="61"/>
      <c r="K56" s="75"/>
      <c r="L56" s="61"/>
    </row>
    <row r="57" ht="13.5" customHeight="1">
      <c r="E57" s="51"/>
      <c r="F57" s="12"/>
      <c r="G57" s="74"/>
      <c r="H57" s="61"/>
      <c r="I57" s="61"/>
      <c r="J57" s="61"/>
      <c r="K57" s="75"/>
      <c r="L57" s="61"/>
    </row>
    <row r="58" ht="13.5" customHeight="1">
      <c r="E58" s="51"/>
      <c r="F58" s="12"/>
      <c r="G58" s="74"/>
      <c r="H58" s="61"/>
      <c r="I58" s="61"/>
      <c r="J58" s="61"/>
      <c r="K58" s="75"/>
      <c r="L58" s="61"/>
    </row>
    <row r="59" ht="13.5" customHeight="1">
      <c r="E59" s="51"/>
      <c r="F59" s="12"/>
      <c r="G59" s="74"/>
      <c r="H59" s="61"/>
      <c r="I59" s="61"/>
      <c r="J59" s="61"/>
      <c r="K59" s="75"/>
      <c r="L59" s="61"/>
    </row>
    <row r="60" ht="13.5" customHeight="1">
      <c r="E60" s="51"/>
      <c r="F60" s="12"/>
      <c r="G60" s="74"/>
      <c r="H60" s="61"/>
      <c r="I60" s="61"/>
      <c r="J60" s="61"/>
      <c r="K60" s="75"/>
      <c r="L60" s="61"/>
    </row>
    <row r="61" ht="13.5" customHeight="1">
      <c r="E61" s="51"/>
      <c r="F61" s="12"/>
      <c r="G61" s="74"/>
      <c r="H61" s="61"/>
      <c r="I61" s="61"/>
      <c r="J61" s="61"/>
      <c r="K61" s="75"/>
      <c r="L61" s="61"/>
    </row>
    <row r="62" ht="13.5" customHeight="1">
      <c r="E62" s="51"/>
      <c r="F62" s="12"/>
      <c r="G62" s="74"/>
      <c r="H62" s="61"/>
      <c r="I62" s="61"/>
      <c r="J62" s="61"/>
      <c r="K62" s="75"/>
      <c r="L62" s="61"/>
    </row>
    <row r="63" ht="13.5" customHeight="1">
      <c r="E63" s="51"/>
      <c r="F63" s="12"/>
      <c r="G63" s="74"/>
      <c r="H63" s="61"/>
      <c r="I63" s="61"/>
      <c r="J63" s="61"/>
      <c r="K63" s="75"/>
      <c r="L63" s="61"/>
    </row>
    <row r="64" ht="13.5" customHeight="1">
      <c r="E64" s="51"/>
      <c r="F64" s="12"/>
      <c r="G64" s="74"/>
      <c r="H64" s="61"/>
      <c r="I64" s="61"/>
      <c r="J64" s="61"/>
      <c r="K64" s="75"/>
      <c r="L64" s="61"/>
    </row>
    <row r="65" ht="13.5" customHeight="1">
      <c r="E65" s="51"/>
      <c r="F65" s="12"/>
      <c r="G65" s="74"/>
      <c r="H65" s="61"/>
      <c r="I65" s="61"/>
      <c r="J65" s="61"/>
      <c r="K65" s="75"/>
      <c r="L65" s="61"/>
    </row>
    <row r="66" ht="13.5" customHeight="1">
      <c r="E66" s="51"/>
      <c r="F66" s="12"/>
      <c r="G66" s="74"/>
      <c r="H66" s="61"/>
      <c r="I66" s="61"/>
      <c r="J66" s="61"/>
      <c r="K66" s="75"/>
      <c r="L66" s="61"/>
    </row>
    <row r="67" ht="13.5" customHeight="1">
      <c r="A67" s="230"/>
      <c r="B67" s="230"/>
      <c r="C67" s="230"/>
      <c r="D67" s="61"/>
      <c r="E67" s="75"/>
      <c r="F67" s="69"/>
      <c r="G67" s="65"/>
      <c r="H67" s="61"/>
      <c r="I67" s="61"/>
      <c r="J67" s="61"/>
      <c r="K67" s="75"/>
      <c r="L67" s="61"/>
    </row>
    <row r="68" ht="13.5" customHeight="1">
      <c r="A68" s="230"/>
      <c r="B68" s="230"/>
      <c r="C68" s="230"/>
      <c r="D68" s="61"/>
      <c r="E68" s="75"/>
      <c r="F68" s="69"/>
      <c r="G68" s="65"/>
      <c r="H68" s="61"/>
      <c r="I68" s="61"/>
      <c r="J68" s="61"/>
      <c r="K68" s="75"/>
      <c r="L68" s="61"/>
    </row>
    <row r="69" ht="13.5" customHeight="1">
      <c r="A69" s="230"/>
      <c r="B69" s="230"/>
      <c r="C69" s="230"/>
      <c r="D69" s="61"/>
      <c r="E69" s="75"/>
      <c r="F69" s="69"/>
      <c r="G69" s="65"/>
      <c r="H69" s="61"/>
      <c r="I69" s="61"/>
      <c r="J69" s="61"/>
      <c r="K69" s="75"/>
      <c r="L69" s="61"/>
    </row>
    <row r="70" ht="13.5" customHeight="1">
      <c r="A70" s="230"/>
      <c r="B70" s="230"/>
      <c r="C70" s="230"/>
      <c r="D70" s="61"/>
      <c r="E70" s="75"/>
      <c r="F70" s="69"/>
      <c r="G70" s="65"/>
      <c r="H70" s="61"/>
      <c r="I70" s="61"/>
      <c r="J70" s="61"/>
      <c r="K70" s="75"/>
      <c r="L70" s="61"/>
    </row>
    <row r="71" ht="13.5" customHeight="1">
      <c r="A71" s="230"/>
      <c r="B71" s="230"/>
      <c r="C71" s="230"/>
      <c r="D71" s="61"/>
      <c r="E71" s="75"/>
      <c r="F71" s="69"/>
      <c r="G71" s="65"/>
      <c r="H71" s="61"/>
      <c r="I71" s="61"/>
      <c r="J71" s="61"/>
      <c r="K71" s="75"/>
      <c r="L71" s="61"/>
    </row>
    <row r="72" ht="13.5" customHeight="1">
      <c r="A72" s="230"/>
      <c r="B72" s="230"/>
      <c r="C72" s="230"/>
      <c r="D72" s="61"/>
      <c r="E72" s="75"/>
      <c r="F72" s="69"/>
      <c r="G72" s="65"/>
      <c r="H72" s="61"/>
      <c r="I72" s="61"/>
      <c r="J72" s="61"/>
      <c r="K72" s="75"/>
      <c r="L72" s="61"/>
    </row>
    <row r="73" ht="13.5" customHeight="1">
      <c r="A73" s="230"/>
      <c r="B73" s="230"/>
      <c r="C73" s="230"/>
      <c r="D73" s="61"/>
      <c r="E73" s="75"/>
      <c r="F73" s="69"/>
      <c r="G73" s="65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5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5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5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5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5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5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5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5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5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5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5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5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5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5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5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5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5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5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5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5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5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5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5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5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5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5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5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5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5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5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5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5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5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5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5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5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5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5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5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5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5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5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5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5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5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5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5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5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5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5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5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5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5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5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5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5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5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5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5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5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5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5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5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5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5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5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5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5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5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5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5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5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5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5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G148" s="65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G149" s="74"/>
      <c r="H149" s="61"/>
      <c r="I149" s="61"/>
      <c r="J149" s="61"/>
      <c r="K149" s="75"/>
      <c r="L149" s="61"/>
    </row>
    <row r="150" ht="13.5" customHeight="1">
      <c r="A150" s="61"/>
      <c r="B150" s="61"/>
      <c r="C150" s="61"/>
      <c r="D150" s="61"/>
      <c r="E150" s="75"/>
      <c r="F150" s="69"/>
      <c r="G150" s="74"/>
      <c r="H150" s="61"/>
      <c r="I150" s="61"/>
      <c r="J150" s="61"/>
      <c r="K150" s="75"/>
      <c r="L150" s="61"/>
    </row>
    <row r="151" ht="13.5" customHeight="1">
      <c r="E151" s="51"/>
      <c r="F151" s="12"/>
      <c r="G151" s="74"/>
      <c r="K151" s="51"/>
    </row>
    <row r="152" ht="13.5" customHeight="1">
      <c r="E152" s="51"/>
      <c r="F152" s="12"/>
      <c r="G152" s="74"/>
      <c r="K152" s="51"/>
    </row>
    <row r="153" ht="13.5" customHeight="1">
      <c r="E153" s="51"/>
      <c r="F153" s="12"/>
      <c r="G153" s="74"/>
      <c r="K153" s="51"/>
    </row>
    <row r="154" ht="13.5" customHeight="1">
      <c r="E154" s="51"/>
      <c r="F154" s="12"/>
      <c r="G154" s="74"/>
      <c r="K154" s="51"/>
    </row>
    <row r="155" ht="13.5" customHeight="1">
      <c r="E155" s="51"/>
      <c r="F155" s="12"/>
      <c r="G155" s="74"/>
      <c r="K155" s="51"/>
    </row>
    <row r="156" ht="13.5" customHeight="1">
      <c r="E156" s="51"/>
      <c r="F156" s="12"/>
      <c r="G156" s="74"/>
      <c r="K156" s="51"/>
    </row>
    <row r="157" ht="13.5" customHeight="1">
      <c r="E157" s="51"/>
      <c r="F157" s="12"/>
      <c r="G157" s="74"/>
      <c r="K157" s="51"/>
    </row>
    <row r="158" ht="13.5" customHeight="1">
      <c r="E158" s="51"/>
      <c r="F158" s="12"/>
      <c r="G158" s="74"/>
      <c r="K158" s="51"/>
    </row>
    <row r="159" ht="13.5" customHeight="1">
      <c r="E159" s="51"/>
      <c r="F159" s="12"/>
      <c r="G159" s="74"/>
      <c r="K159" s="51"/>
    </row>
    <row r="160" ht="13.5" customHeight="1">
      <c r="E160" s="51"/>
      <c r="F160" s="12"/>
      <c r="G160" s="74"/>
      <c r="K160" s="51"/>
    </row>
    <row r="161" ht="13.5" customHeight="1">
      <c r="E161" s="51"/>
      <c r="F161" s="12"/>
      <c r="G161" s="74"/>
      <c r="K161" s="51"/>
    </row>
    <row r="162" ht="13.5" customHeight="1">
      <c r="E162" s="51"/>
      <c r="F162" s="12"/>
      <c r="G162" s="74"/>
      <c r="K162" s="51"/>
    </row>
    <row r="163" ht="13.5" customHeight="1">
      <c r="E163" s="51"/>
      <c r="F163" s="12"/>
      <c r="G163" s="74"/>
      <c r="K163" s="51"/>
    </row>
    <row r="164" ht="13.5" customHeight="1">
      <c r="E164" s="51"/>
      <c r="F164" s="12"/>
      <c r="G164" s="74"/>
      <c r="K164" s="51"/>
    </row>
    <row r="165" ht="13.5" customHeight="1">
      <c r="E165" s="51"/>
      <c r="F165" s="12"/>
      <c r="G165" s="74"/>
      <c r="K165" s="51"/>
    </row>
    <row r="166" ht="13.5" customHeight="1">
      <c r="E166" s="51"/>
      <c r="F166" s="12"/>
      <c r="G166" s="74"/>
      <c r="K166" s="51"/>
    </row>
    <row r="167" ht="13.5" customHeight="1">
      <c r="E167" s="51"/>
      <c r="F167" s="12"/>
      <c r="G167" s="74"/>
      <c r="K167" s="51"/>
    </row>
    <row r="168" ht="13.5" customHeight="1">
      <c r="E168" s="51"/>
      <c r="F168" s="12"/>
      <c r="G168" s="74"/>
      <c r="K168" s="51"/>
    </row>
    <row r="169" ht="13.5" customHeight="1">
      <c r="E169" s="51"/>
      <c r="F169" s="12"/>
      <c r="G169" s="74"/>
      <c r="K169" s="51"/>
    </row>
    <row r="170" ht="13.5" customHeight="1">
      <c r="E170" s="51"/>
      <c r="F170" s="12"/>
      <c r="G170" s="74"/>
      <c r="K170" s="51"/>
    </row>
    <row r="171" ht="13.5" customHeight="1">
      <c r="E171" s="51"/>
      <c r="F171" s="12"/>
      <c r="G171" s="74"/>
      <c r="K171" s="51"/>
    </row>
    <row r="172" ht="13.5" customHeight="1">
      <c r="E172" s="51"/>
      <c r="F172" s="12"/>
      <c r="G172" s="74"/>
      <c r="K172" s="51"/>
    </row>
    <row r="173" ht="13.5" customHeight="1">
      <c r="E173" s="51"/>
      <c r="F173" s="12"/>
      <c r="G173" s="74"/>
      <c r="K173" s="51"/>
    </row>
    <row r="174" ht="13.5" customHeight="1">
      <c r="E174" s="51"/>
      <c r="F174" s="12"/>
      <c r="G174" s="74"/>
      <c r="K174" s="51"/>
    </row>
    <row r="175" ht="13.5" customHeight="1">
      <c r="E175" s="51"/>
      <c r="F175" s="12"/>
      <c r="G175" s="74"/>
      <c r="K175" s="51"/>
    </row>
    <row r="176" ht="13.5" customHeight="1">
      <c r="E176" s="51"/>
      <c r="F176" s="12"/>
      <c r="G176" s="74"/>
      <c r="K176" s="51"/>
    </row>
    <row r="177" ht="13.5" customHeight="1">
      <c r="E177" s="51"/>
      <c r="F177" s="12"/>
      <c r="G177" s="74"/>
      <c r="K177" s="51"/>
    </row>
    <row r="178" ht="13.5" customHeight="1">
      <c r="E178" s="51"/>
      <c r="F178" s="12"/>
      <c r="G178" s="74"/>
      <c r="K178" s="51"/>
    </row>
    <row r="179" ht="13.5" customHeight="1">
      <c r="E179" s="51"/>
      <c r="F179" s="12"/>
      <c r="G179" s="74"/>
      <c r="K179" s="51"/>
    </row>
    <row r="180" ht="13.5" customHeight="1">
      <c r="E180" s="51"/>
      <c r="F180" s="12"/>
      <c r="G180" s="74"/>
      <c r="K180" s="51"/>
    </row>
    <row r="181" ht="13.5" customHeight="1">
      <c r="E181" s="51"/>
      <c r="F181" s="12"/>
      <c r="G181" s="74"/>
      <c r="K181" s="51"/>
    </row>
    <row r="182" ht="13.5" customHeight="1">
      <c r="E182" s="51"/>
      <c r="F182" s="12"/>
      <c r="G182" s="74"/>
      <c r="K182" s="51"/>
    </row>
    <row r="183" ht="13.5" customHeight="1">
      <c r="E183" s="51"/>
      <c r="F183" s="12"/>
      <c r="G183" s="74"/>
      <c r="K183" s="51"/>
    </row>
    <row r="184" ht="13.5" customHeight="1">
      <c r="E184" s="51"/>
      <c r="F184" s="12"/>
      <c r="G184" s="74"/>
      <c r="K184" s="51"/>
    </row>
    <row r="185" ht="13.5" customHeight="1">
      <c r="E185" s="51"/>
      <c r="F185" s="12"/>
      <c r="G185" s="74"/>
      <c r="K185" s="51"/>
    </row>
    <row r="186" ht="13.5" customHeight="1">
      <c r="E186" s="51"/>
      <c r="F186" s="12"/>
      <c r="G186" s="74"/>
      <c r="K186" s="51"/>
    </row>
    <row r="187" ht="13.5" customHeight="1">
      <c r="E187" s="51"/>
      <c r="F187" s="12"/>
      <c r="G187" s="74"/>
      <c r="K187" s="51"/>
    </row>
    <row r="188" ht="13.5" customHeight="1">
      <c r="E188" s="51"/>
      <c r="F188" s="12"/>
      <c r="G188" s="74"/>
      <c r="K188" s="51"/>
    </row>
    <row r="189" ht="13.5" customHeight="1">
      <c r="E189" s="51"/>
      <c r="F189" s="12"/>
      <c r="G189" s="74"/>
      <c r="K189" s="51"/>
    </row>
    <row r="190" ht="13.5" customHeight="1">
      <c r="E190" s="51"/>
      <c r="F190" s="12"/>
      <c r="G190" s="74"/>
      <c r="K190" s="51"/>
    </row>
    <row r="191" ht="13.5" customHeight="1">
      <c r="E191" s="51"/>
      <c r="F191" s="12"/>
      <c r="G191" s="74"/>
      <c r="K191" s="51"/>
    </row>
    <row r="192" ht="13.5" customHeight="1">
      <c r="E192" s="51"/>
      <c r="F192" s="12"/>
      <c r="G192" s="74"/>
      <c r="K192" s="51"/>
    </row>
    <row r="193" ht="13.5" customHeight="1">
      <c r="E193" s="51"/>
      <c r="F193" s="12"/>
      <c r="G193" s="74"/>
      <c r="K193" s="51"/>
    </row>
    <row r="194" ht="13.5" customHeight="1">
      <c r="E194" s="51"/>
      <c r="F194" s="12"/>
      <c r="G194" s="74"/>
      <c r="K194" s="51"/>
    </row>
    <row r="195" ht="13.5" customHeight="1">
      <c r="E195" s="51"/>
      <c r="F195" s="12"/>
      <c r="G195" s="74"/>
      <c r="K195" s="51"/>
    </row>
    <row r="196" ht="13.5" customHeight="1">
      <c r="E196" s="51"/>
      <c r="F196" s="12"/>
      <c r="G196" s="74"/>
      <c r="K196" s="51"/>
    </row>
    <row r="197" ht="13.5" customHeight="1">
      <c r="E197" s="51"/>
      <c r="F197" s="12"/>
      <c r="G197" s="74"/>
      <c r="K197" s="51"/>
    </row>
    <row r="198" ht="13.5" customHeight="1">
      <c r="E198" s="51"/>
      <c r="F198" s="12"/>
      <c r="G198" s="74"/>
      <c r="K198" s="51"/>
    </row>
    <row r="199" ht="13.5" customHeight="1">
      <c r="E199" s="51"/>
      <c r="F199" s="12"/>
      <c r="G199" s="74"/>
      <c r="K199" s="51"/>
    </row>
    <row r="200" ht="13.5" customHeight="1">
      <c r="E200" s="51"/>
      <c r="F200" s="12"/>
      <c r="G200" s="74"/>
      <c r="K200" s="51"/>
    </row>
    <row r="201" ht="13.5" customHeight="1">
      <c r="E201" s="51"/>
      <c r="F201" s="12"/>
      <c r="G201" s="74"/>
      <c r="K201" s="51"/>
    </row>
    <row r="202" ht="13.5" customHeight="1">
      <c r="E202" s="51"/>
      <c r="F202" s="12"/>
      <c r="G202" s="74"/>
      <c r="K202" s="51"/>
    </row>
    <row r="203" ht="13.5" customHeight="1">
      <c r="E203" s="51"/>
      <c r="F203" s="12"/>
      <c r="G203" s="74"/>
      <c r="K203" s="51"/>
    </row>
    <row r="204" ht="13.5" customHeight="1">
      <c r="E204" s="51"/>
      <c r="F204" s="12"/>
      <c r="G204" s="74"/>
      <c r="K204" s="51"/>
    </row>
    <row r="205" ht="13.5" customHeight="1">
      <c r="E205" s="51"/>
      <c r="F205" s="12"/>
      <c r="G205" s="74"/>
      <c r="K205" s="51"/>
    </row>
    <row r="206" ht="13.5" customHeight="1">
      <c r="E206" s="51"/>
      <c r="F206" s="12"/>
      <c r="G206" s="74"/>
      <c r="K206" s="51"/>
    </row>
    <row r="207" ht="13.5" customHeight="1">
      <c r="E207" s="51"/>
      <c r="F207" s="12"/>
      <c r="G207" s="74"/>
      <c r="K207" s="51"/>
    </row>
    <row r="208" ht="13.5" customHeight="1">
      <c r="E208" s="51"/>
      <c r="F208" s="12"/>
      <c r="G208" s="74"/>
      <c r="K208" s="51"/>
    </row>
    <row r="209" ht="13.5" customHeight="1">
      <c r="E209" s="51"/>
      <c r="F209" s="12"/>
      <c r="G209" s="74"/>
      <c r="K209" s="51"/>
    </row>
    <row r="210" ht="13.5" customHeight="1">
      <c r="E210" s="51"/>
      <c r="F210" s="12"/>
      <c r="G210" s="74"/>
      <c r="K210" s="51"/>
    </row>
    <row r="211" ht="13.5" customHeight="1">
      <c r="E211" s="51"/>
      <c r="F211" s="12"/>
      <c r="G211" s="74"/>
      <c r="K211" s="51"/>
    </row>
    <row r="212" ht="13.5" customHeight="1">
      <c r="E212" s="51"/>
      <c r="F212" s="12"/>
      <c r="G212" s="74"/>
      <c r="K212" s="51"/>
    </row>
    <row r="213" ht="13.5" customHeight="1">
      <c r="E213" s="51"/>
      <c r="F213" s="12"/>
      <c r="G213" s="74"/>
      <c r="K213" s="51"/>
    </row>
    <row r="214" ht="13.5" customHeight="1">
      <c r="E214" s="51"/>
      <c r="F214" s="12"/>
      <c r="G214" s="74"/>
      <c r="K214" s="51"/>
    </row>
    <row r="215" ht="13.5" customHeight="1">
      <c r="E215" s="51"/>
      <c r="F215" s="12"/>
      <c r="G215" s="74"/>
      <c r="K215" s="51"/>
    </row>
    <row r="216" ht="13.5" customHeight="1">
      <c r="E216" s="51"/>
      <c r="F216" s="12"/>
      <c r="G216" s="74"/>
      <c r="K216" s="51"/>
    </row>
    <row r="217" ht="13.5" customHeight="1">
      <c r="E217" s="51"/>
      <c r="F217" s="12"/>
      <c r="G217" s="74"/>
      <c r="K217" s="51"/>
    </row>
    <row r="218" ht="13.5" customHeight="1">
      <c r="E218" s="51"/>
      <c r="F218" s="12"/>
      <c r="G218" s="74"/>
      <c r="K218" s="51"/>
    </row>
    <row r="219" ht="13.5" customHeight="1">
      <c r="E219" s="51"/>
      <c r="F219" s="12"/>
      <c r="G219" s="74"/>
      <c r="K219" s="51"/>
    </row>
    <row r="220" ht="13.5" customHeight="1">
      <c r="E220" s="51"/>
      <c r="F220" s="12"/>
      <c r="G220" s="74"/>
      <c r="K220" s="51"/>
    </row>
    <row r="221" ht="13.5" customHeight="1">
      <c r="E221" s="51"/>
      <c r="F221" s="12"/>
      <c r="G221" s="74"/>
      <c r="K221" s="51"/>
    </row>
    <row r="222" ht="13.5" customHeight="1">
      <c r="E222" s="51"/>
      <c r="F222" s="12"/>
      <c r="G222" s="74"/>
      <c r="K222" s="51"/>
    </row>
    <row r="223" ht="13.5" customHeight="1">
      <c r="E223" s="51"/>
      <c r="F223" s="12"/>
      <c r="G223" s="74"/>
      <c r="K223" s="51"/>
    </row>
    <row r="224" ht="13.5" customHeight="1">
      <c r="E224" s="51"/>
      <c r="F224" s="12"/>
      <c r="G224" s="74"/>
      <c r="K224" s="51"/>
    </row>
    <row r="225" ht="13.5" customHeight="1">
      <c r="E225" s="51"/>
      <c r="F225" s="12"/>
      <c r="G225" s="74"/>
      <c r="K225" s="51"/>
    </row>
    <row r="226" ht="13.5" customHeight="1">
      <c r="E226" s="51"/>
      <c r="F226" s="12"/>
      <c r="G226" s="74"/>
      <c r="K226" s="51"/>
    </row>
    <row r="227" ht="13.5" customHeight="1">
      <c r="E227" s="51"/>
      <c r="F227" s="12"/>
      <c r="G227" s="74"/>
      <c r="K227" s="51"/>
    </row>
    <row r="228" ht="13.5" customHeight="1">
      <c r="E228" s="51"/>
      <c r="F228" s="12"/>
      <c r="G228" s="74"/>
      <c r="K228" s="51"/>
    </row>
    <row r="229" ht="13.5" customHeight="1">
      <c r="E229" s="51"/>
      <c r="F229" s="12"/>
      <c r="G229" s="74"/>
      <c r="K229" s="51"/>
    </row>
    <row r="230" ht="13.5" customHeight="1">
      <c r="E230" s="51"/>
      <c r="F230" s="12"/>
      <c r="G230" s="74"/>
      <c r="K230" s="51"/>
    </row>
    <row r="231" ht="13.5" customHeight="1">
      <c r="E231" s="51"/>
      <c r="F231" s="12"/>
      <c r="G231" s="74"/>
      <c r="K231" s="51"/>
    </row>
    <row r="232" ht="13.5" customHeight="1">
      <c r="E232" s="51"/>
      <c r="F232" s="12"/>
      <c r="G232" s="74"/>
      <c r="K232" s="51"/>
    </row>
    <row r="233" ht="13.5" customHeight="1">
      <c r="E233" s="51"/>
      <c r="F233" s="12"/>
      <c r="G233" s="74"/>
      <c r="K233" s="51"/>
    </row>
    <row r="234" ht="13.5" customHeight="1">
      <c r="E234" s="51"/>
      <c r="F234" s="12"/>
      <c r="G234" s="74"/>
      <c r="K234" s="51"/>
    </row>
    <row r="235" ht="13.5" customHeight="1">
      <c r="E235" s="51"/>
      <c r="F235" s="12"/>
      <c r="G235" s="74"/>
      <c r="K235" s="51"/>
    </row>
    <row r="236" ht="13.5" customHeight="1">
      <c r="E236" s="51"/>
      <c r="F236" s="12"/>
      <c r="G236" s="74"/>
      <c r="K236" s="51"/>
    </row>
    <row r="237" ht="13.5" customHeight="1">
      <c r="E237" s="51"/>
      <c r="F237" s="12"/>
      <c r="G237" s="74"/>
      <c r="K237" s="51"/>
    </row>
    <row r="238" ht="13.5" customHeight="1">
      <c r="E238" s="51"/>
      <c r="F238" s="12"/>
      <c r="G238" s="74"/>
      <c r="K238" s="51"/>
    </row>
    <row r="239" ht="13.5" customHeight="1">
      <c r="E239" s="51"/>
      <c r="F239" s="12"/>
      <c r="G239" s="74"/>
      <c r="K239" s="51"/>
    </row>
    <row r="240" ht="13.5" customHeight="1">
      <c r="E240" s="51"/>
      <c r="F240" s="12"/>
      <c r="G240" s="74"/>
      <c r="K240" s="51"/>
    </row>
    <row r="241" ht="13.5" customHeight="1">
      <c r="E241" s="51"/>
      <c r="F241" s="12"/>
      <c r="G241" s="74"/>
      <c r="K241" s="51"/>
    </row>
    <row r="242" ht="13.5" customHeight="1">
      <c r="E242" s="51"/>
      <c r="F242" s="12"/>
      <c r="G242" s="74"/>
      <c r="K242" s="51"/>
    </row>
    <row r="243" ht="13.5" customHeight="1">
      <c r="E243" s="51"/>
      <c r="F243" s="12"/>
      <c r="G243" s="74"/>
      <c r="K243" s="51"/>
    </row>
    <row r="244" ht="13.5" customHeight="1">
      <c r="E244" s="51"/>
      <c r="F244" s="12"/>
      <c r="G244" s="74"/>
      <c r="K244" s="51"/>
    </row>
    <row r="245" ht="13.5" customHeight="1">
      <c r="E245" s="51"/>
      <c r="F245" s="12"/>
      <c r="G245" s="74"/>
      <c r="K245" s="51"/>
    </row>
    <row r="246" ht="13.5" customHeight="1">
      <c r="E246" s="51"/>
      <c r="F246" s="12"/>
      <c r="G246" s="74"/>
      <c r="K246" s="51"/>
    </row>
    <row r="247" ht="13.5" customHeight="1">
      <c r="E247" s="51"/>
      <c r="F247" s="12"/>
      <c r="G247" s="74"/>
      <c r="K247" s="51"/>
    </row>
    <row r="248" ht="13.5" customHeight="1">
      <c r="E248" s="51"/>
      <c r="F248" s="12"/>
      <c r="G248" s="74"/>
      <c r="K248" s="51"/>
    </row>
    <row r="249" ht="13.5" customHeight="1">
      <c r="E249" s="51"/>
      <c r="F249" s="12"/>
      <c r="G249" s="74"/>
      <c r="K249" s="51"/>
    </row>
    <row r="250" ht="13.5" customHeight="1">
      <c r="E250" s="51"/>
      <c r="F250" s="12"/>
      <c r="G250" s="74"/>
      <c r="K250" s="51"/>
    </row>
    <row r="251" ht="13.5" customHeight="1">
      <c r="E251" s="51"/>
      <c r="F251" s="12"/>
      <c r="G251" s="74"/>
      <c r="K251" s="51"/>
    </row>
    <row r="252" ht="13.5" customHeight="1">
      <c r="E252" s="51"/>
      <c r="F252" s="12"/>
      <c r="G252" s="74"/>
      <c r="K252" s="51"/>
    </row>
    <row r="253" ht="13.5" customHeight="1">
      <c r="E253" s="51"/>
      <c r="F253" s="12"/>
      <c r="G253" s="74"/>
      <c r="K253" s="51"/>
    </row>
    <row r="254" ht="13.5" customHeight="1">
      <c r="E254" s="51"/>
      <c r="F254" s="12"/>
      <c r="G254" s="74"/>
      <c r="K254" s="51"/>
    </row>
    <row r="255" ht="13.5" customHeight="1">
      <c r="E255" s="51"/>
      <c r="F255" s="12"/>
      <c r="G255" s="74"/>
      <c r="K255" s="51"/>
    </row>
    <row r="256" ht="13.5" customHeight="1">
      <c r="E256" s="51"/>
      <c r="F256" s="12"/>
      <c r="G256" s="74"/>
      <c r="K256" s="51"/>
    </row>
    <row r="257" ht="13.5" customHeight="1">
      <c r="E257" s="51"/>
      <c r="F257" s="12"/>
      <c r="G257" s="74"/>
      <c r="K257" s="51"/>
    </row>
    <row r="258" ht="13.5" customHeight="1">
      <c r="E258" s="51"/>
      <c r="F258" s="12"/>
      <c r="G258" s="74"/>
      <c r="K258" s="51"/>
    </row>
    <row r="259" ht="13.5" customHeight="1">
      <c r="E259" s="51"/>
      <c r="F259" s="12"/>
      <c r="G259" s="74"/>
      <c r="K259" s="51"/>
    </row>
    <row r="260" ht="13.5" customHeight="1">
      <c r="E260" s="51"/>
      <c r="F260" s="12"/>
      <c r="G260" s="74"/>
      <c r="K260" s="51"/>
    </row>
    <row r="261" ht="13.5" customHeight="1">
      <c r="E261" s="51"/>
      <c r="F261" s="12"/>
      <c r="G261" s="74"/>
      <c r="K261" s="51"/>
    </row>
    <row r="262" ht="13.5" customHeight="1">
      <c r="E262" s="51"/>
      <c r="F262" s="12"/>
      <c r="G262" s="74"/>
      <c r="K262" s="51"/>
    </row>
    <row r="263" ht="13.5" customHeight="1">
      <c r="E263" s="51"/>
      <c r="F263" s="12"/>
      <c r="G263" s="74"/>
      <c r="K263" s="51"/>
    </row>
    <row r="264" ht="13.5" customHeight="1">
      <c r="E264" s="51"/>
      <c r="F264" s="12"/>
      <c r="G264" s="74"/>
      <c r="K264" s="51"/>
    </row>
    <row r="265" ht="13.5" customHeight="1">
      <c r="E265" s="51"/>
      <c r="F265" s="12"/>
      <c r="G265" s="74"/>
      <c r="K265" s="51"/>
    </row>
    <row r="266" ht="13.5" customHeight="1">
      <c r="E266" s="51"/>
      <c r="F266" s="12"/>
      <c r="G266" s="74"/>
      <c r="K266" s="51"/>
    </row>
    <row r="267" ht="13.5" customHeight="1">
      <c r="E267" s="51"/>
      <c r="F267" s="12"/>
      <c r="G267" s="74"/>
      <c r="K267" s="51"/>
    </row>
    <row r="268" ht="13.5" customHeight="1">
      <c r="E268" s="51"/>
      <c r="F268" s="12"/>
      <c r="G268" s="74"/>
      <c r="K268" s="51"/>
    </row>
    <row r="269" ht="13.5" customHeight="1">
      <c r="E269" s="51"/>
      <c r="F269" s="12"/>
      <c r="G269" s="74"/>
      <c r="K269" s="51"/>
    </row>
    <row r="270" ht="13.5" customHeight="1">
      <c r="E270" s="51"/>
      <c r="F270" s="12"/>
      <c r="G270" s="74"/>
      <c r="K270" s="51"/>
    </row>
    <row r="271" ht="13.5" customHeight="1">
      <c r="E271" s="51"/>
      <c r="F271" s="12"/>
      <c r="G271" s="74"/>
      <c r="K271" s="51"/>
    </row>
    <row r="272" ht="13.5" customHeight="1">
      <c r="E272" s="51"/>
      <c r="F272" s="12"/>
      <c r="G272" s="74"/>
      <c r="K272" s="51"/>
    </row>
    <row r="273" ht="13.5" customHeight="1">
      <c r="E273" s="51"/>
      <c r="F273" s="12"/>
      <c r="G273" s="74"/>
      <c r="K273" s="51"/>
    </row>
    <row r="274" ht="13.5" customHeight="1">
      <c r="E274" s="51"/>
      <c r="F274" s="12"/>
      <c r="G274" s="74"/>
      <c r="K274" s="51"/>
    </row>
    <row r="275" ht="13.5" customHeight="1">
      <c r="E275" s="51"/>
      <c r="F275" s="12"/>
      <c r="G275" s="74"/>
      <c r="K275" s="51"/>
    </row>
    <row r="276" ht="13.5" customHeight="1">
      <c r="E276" s="51"/>
      <c r="F276" s="12"/>
      <c r="G276" s="74"/>
      <c r="K276" s="51"/>
    </row>
    <row r="277" ht="13.5" customHeight="1">
      <c r="E277" s="51"/>
      <c r="F277" s="12"/>
      <c r="G277" s="74"/>
      <c r="K277" s="51"/>
    </row>
    <row r="278" ht="13.5" customHeight="1">
      <c r="E278" s="51"/>
      <c r="F278" s="12"/>
      <c r="G278" s="74"/>
      <c r="K278" s="51"/>
    </row>
    <row r="279" ht="13.5" customHeight="1">
      <c r="E279" s="51"/>
      <c r="F279" s="12"/>
      <c r="G279" s="74"/>
      <c r="K279" s="51"/>
    </row>
    <row r="280" ht="13.5" customHeight="1">
      <c r="E280" s="51"/>
      <c r="F280" s="12"/>
      <c r="G280" s="74"/>
      <c r="K280" s="51"/>
    </row>
    <row r="281" ht="13.5" customHeight="1">
      <c r="E281" s="51"/>
      <c r="F281" s="12"/>
      <c r="G281" s="74"/>
      <c r="K281" s="51"/>
    </row>
    <row r="282" ht="13.5" customHeight="1">
      <c r="E282" s="51"/>
      <c r="F282" s="12"/>
      <c r="G282" s="74"/>
      <c r="K282" s="51"/>
    </row>
    <row r="283" ht="13.5" customHeight="1">
      <c r="E283" s="51"/>
      <c r="F283" s="12"/>
      <c r="G283" s="74"/>
      <c r="K283" s="51"/>
    </row>
    <row r="284" ht="13.5" customHeight="1">
      <c r="E284" s="51"/>
      <c r="F284" s="12"/>
      <c r="G284" s="74"/>
      <c r="K284" s="51"/>
    </row>
    <row r="285" ht="13.5" customHeight="1">
      <c r="E285" s="51"/>
      <c r="F285" s="12"/>
      <c r="G285" s="74"/>
      <c r="K285" s="51"/>
    </row>
    <row r="286" ht="13.5" customHeight="1">
      <c r="E286" s="51"/>
      <c r="F286" s="12"/>
      <c r="G286" s="74"/>
      <c r="K286" s="51"/>
    </row>
    <row r="287" ht="13.5" customHeight="1">
      <c r="E287" s="51"/>
      <c r="F287" s="12"/>
      <c r="G287" s="74"/>
      <c r="K287" s="51"/>
    </row>
    <row r="288" ht="13.5" customHeight="1">
      <c r="E288" s="51"/>
      <c r="F288" s="12"/>
      <c r="G288" s="74"/>
      <c r="K288" s="51"/>
    </row>
    <row r="289" ht="13.5" customHeight="1">
      <c r="E289" s="51"/>
      <c r="F289" s="12"/>
      <c r="G289" s="74"/>
      <c r="K289" s="51"/>
    </row>
    <row r="290" ht="13.5" customHeight="1">
      <c r="E290" s="51"/>
      <c r="F290" s="12"/>
      <c r="G290" s="74"/>
      <c r="K290" s="51"/>
    </row>
    <row r="291" ht="13.5" customHeight="1">
      <c r="E291" s="51"/>
      <c r="F291" s="12"/>
      <c r="G291" s="74"/>
      <c r="K291" s="51"/>
    </row>
    <row r="292" ht="13.5" customHeight="1">
      <c r="E292" s="51"/>
      <c r="F292" s="12"/>
      <c r="G292" s="74"/>
      <c r="K292" s="51"/>
    </row>
    <row r="293" ht="13.5" customHeight="1">
      <c r="E293" s="51"/>
      <c r="F293" s="12"/>
      <c r="G293" s="74"/>
      <c r="K293" s="51"/>
    </row>
    <row r="294" ht="13.5" customHeight="1">
      <c r="E294" s="51"/>
      <c r="F294" s="12"/>
      <c r="G294" s="74"/>
      <c r="K294" s="51"/>
    </row>
    <row r="295" ht="13.5" customHeight="1">
      <c r="E295" s="51"/>
      <c r="F295" s="12"/>
      <c r="G295" s="74"/>
      <c r="K295" s="51"/>
    </row>
    <row r="296" ht="13.5" customHeight="1">
      <c r="E296" s="51"/>
      <c r="F296" s="12"/>
      <c r="G296" s="74"/>
      <c r="K296" s="51"/>
    </row>
    <row r="297" ht="13.5" customHeight="1">
      <c r="E297" s="51"/>
      <c r="F297" s="12"/>
      <c r="G297" s="74"/>
      <c r="K297" s="51"/>
    </row>
    <row r="298" ht="13.5" customHeight="1">
      <c r="E298" s="51"/>
      <c r="F298" s="12"/>
      <c r="G298" s="74"/>
      <c r="K298" s="51"/>
    </row>
    <row r="299" ht="13.5" customHeight="1">
      <c r="E299" s="51"/>
      <c r="F299" s="12"/>
      <c r="G299" s="74"/>
      <c r="K299" s="51"/>
    </row>
    <row r="300" ht="13.5" customHeight="1">
      <c r="E300" s="51"/>
      <c r="F300" s="12"/>
      <c r="G300" s="74"/>
      <c r="K300" s="51"/>
    </row>
    <row r="301" ht="13.5" customHeight="1">
      <c r="E301" s="51"/>
      <c r="F301" s="12"/>
      <c r="G301" s="74"/>
      <c r="K301" s="51"/>
    </row>
    <row r="302" ht="13.5" customHeight="1">
      <c r="E302" s="51"/>
      <c r="F302" s="12"/>
      <c r="G302" s="74"/>
      <c r="K302" s="51"/>
    </row>
    <row r="303" ht="13.5" customHeight="1">
      <c r="E303" s="51"/>
      <c r="F303" s="12"/>
      <c r="G303" s="74"/>
      <c r="K303" s="51"/>
    </row>
    <row r="304" ht="13.5" customHeight="1">
      <c r="E304" s="51"/>
      <c r="F304" s="12"/>
      <c r="G304" s="74"/>
      <c r="K304" s="51"/>
    </row>
    <row r="305" ht="13.5" customHeight="1">
      <c r="E305" s="51"/>
      <c r="F305" s="12"/>
      <c r="G305" s="74"/>
      <c r="K305" s="51"/>
    </row>
    <row r="306" ht="13.5" customHeight="1">
      <c r="E306" s="51"/>
      <c r="F306" s="12"/>
      <c r="G306" s="74"/>
      <c r="K306" s="51"/>
    </row>
    <row r="307" ht="13.5" customHeight="1">
      <c r="E307" s="51"/>
      <c r="F307" s="12"/>
      <c r="G307" s="74"/>
      <c r="K307" s="51"/>
    </row>
    <row r="308" ht="13.5" customHeight="1">
      <c r="E308" s="51"/>
      <c r="F308" s="12"/>
      <c r="G308" s="74"/>
      <c r="K308" s="51"/>
    </row>
    <row r="309" ht="13.5" customHeight="1">
      <c r="E309" s="51"/>
      <c r="F309" s="12"/>
      <c r="G309" s="74"/>
      <c r="K309" s="51"/>
    </row>
    <row r="310" ht="13.5" customHeight="1">
      <c r="E310" s="51"/>
      <c r="F310" s="12"/>
      <c r="G310" s="74"/>
      <c r="K310" s="51"/>
    </row>
    <row r="311" ht="13.5" customHeight="1">
      <c r="E311" s="51"/>
      <c r="F311" s="12"/>
      <c r="G311" s="74"/>
      <c r="K311" s="51"/>
    </row>
    <row r="312" ht="13.5" customHeight="1">
      <c r="E312" s="51"/>
      <c r="F312" s="12"/>
      <c r="G312" s="74"/>
      <c r="K312" s="51"/>
    </row>
    <row r="313" ht="13.5" customHeight="1">
      <c r="E313" s="51"/>
      <c r="F313" s="12"/>
      <c r="G313" s="74"/>
      <c r="K313" s="51"/>
    </row>
    <row r="314" ht="13.5" customHeight="1">
      <c r="E314" s="51"/>
      <c r="F314" s="12"/>
      <c r="G314" s="74"/>
      <c r="K314" s="51"/>
    </row>
    <row r="315" ht="13.5" customHeight="1">
      <c r="E315" s="51"/>
      <c r="F315" s="12"/>
      <c r="G315" s="74"/>
      <c r="K315" s="51"/>
    </row>
    <row r="316" ht="13.5" customHeight="1">
      <c r="E316" s="51"/>
      <c r="F316" s="12"/>
      <c r="G316" s="74"/>
      <c r="K316" s="51"/>
    </row>
    <row r="317" ht="13.5" customHeight="1">
      <c r="E317" s="51"/>
      <c r="F317" s="12"/>
      <c r="G317" s="74"/>
      <c r="K317" s="51"/>
    </row>
    <row r="318" ht="13.5" customHeight="1">
      <c r="E318" s="51"/>
      <c r="F318" s="12"/>
      <c r="G318" s="74"/>
      <c r="K318" s="51"/>
    </row>
    <row r="319" ht="13.5" customHeight="1">
      <c r="E319" s="51"/>
      <c r="F319" s="12"/>
      <c r="G319" s="74"/>
      <c r="K319" s="51"/>
    </row>
    <row r="320" ht="13.5" customHeight="1">
      <c r="E320" s="51"/>
      <c r="F320" s="12"/>
      <c r="G320" s="74"/>
      <c r="K320" s="51"/>
    </row>
    <row r="321" ht="13.5" customHeight="1">
      <c r="E321" s="51"/>
      <c r="F321" s="12"/>
      <c r="G321" s="74"/>
      <c r="K321" s="51"/>
    </row>
    <row r="322" ht="13.5" customHeight="1">
      <c r="E322" s="51"/>
      <c r="F322" s="12"/>
      <c r="G322" s="74"/>
      <c r="K322" s="51"/>
    </row>
    <row r="323" ht="13.5" customHeight="1">
      <c r="E323" s="51"/>
      <c r="F323" s="12"/>
      <c r="G323" s="74"/>
      <c r="K323" s="51"/>
    </row>
    <row r="324" ht="13.5" customHeight="1">
      <c r="E324" s="51"/>
      <c r="F324" s="12"/>
      <c r="G324" s="74"/>
      <c r="K324" s="51"/>
    </row>
    <row r="325" ht="13.5" customHeight="1">
      <c r="E325" s="51"/>
      <c r="F325" s="12"/>
      <c r="G325" s="74"/>
      <c r="K325" s="51"/>
    </row>
    <row r="326" ht="13.5" customHeight="1">
      <c r="E326" s="51"/>
      <c r="F326" s="12"/>
      <c r="G326" s="74"/>
      <c r="K326" s="51"/>
    </row>
    <row r="327" ht="13.5" customHeight="1">
      <c r="E327" s="51"/>
      <c r="F327" s="12"/>
      <c r="G327" s="74"/>
      <c r="K327" s="51"/>
    </row>
    <row r="328" ht="13.5" customHeight="1">
      <c r="E328" s="51"/>
      <c r="F328" s="12"/>
      <c r="G328" s="74"/>
      <c r="K328" s="51"/>
    </row>
    <row r="329" ht="13.5" customHeight="1">
      <c r="E329" s="51"/>
      <c r="F329" s="12"/>
      <c r="G329" s="74"/>
      <c r="K329" s="51"/>
    </row>
    <row r="330" ht="13.5" customHeight="1">
      <c r="E330" s="51"/>
      <c r="F330" s="12"/>
      <c r="G330" s="74"/>
      <c r="K330" s="51"/>
    </row>
    <row r="331" ht="13.5" customHeight="1">
      <c r="E331" s="51"/>
      <c r="F331" s="12"/>
      <c r="G331" s="74"/>
      <c r="K331" s="51"/>
    </row>
    <row r="332" ht="13.5" customHeight="1">
      <c r="E332" s="51"/>
      <c r="F332" s="12"/>
      <c r="G332" s="74"/>
      <c r="K332" s="51"/>
    </row>
    <row r="333" ht="13.5" customHeight="1">
      <c r="E333" s="51"/>
      <c r="F333" s="12"/>
      <c r="G333" s="74"/>
      <c r="K333" s="51"/>
    </row>
    <row r="334" ht="13.5" customHeight="1">
      <c r="E334" s="51"/>
      <c r="F334" s="12"/>
      <c r="G334" s="74"/>
      <c r="K334" s="51"/>
    </row>
    <row r="335" ht="13.5" customHeight="1">
      <c r="E335" s="51"/>
      <c r="F335" s="12"/>
      <c r="G335" s="74"/>
      <c r="K335" s="51"/>
    </row>
    <row r="336" ht="13.5" customHeight="1">
      <c r="E336" s="51"/>
      <c r="F336" s="12"/>
      <c r="G336" s="74"/>
      <c r="K336" s="51"/>
    </row>
    <row r="337" ht="13.5" customHeight="1">
      <c r="E337" s="51"/>
      <c r="F337" s="12"/>
      <c r="G337" s="74"/>
      <c r="K337" s="51"/>
    </row>
    <row r="338" ht="13.5" customHeight="1">
      <c r="E338" s="51"/>
      <c r="F338" s="12"/>
      <c r="G338" s="74"/>
      <c r="K338" s="51"/>
    </row>
    <row r="339" ht="13.5" customHeight="1">
      <c r="E339" s="51"/>
      <c r="F339" s="12"/>
      <c r="G339" s="74"/>
      <c r="K339" s="51"/>
    </row>
    <row r="340" ht="13.5" customHeight="1">
      <c r="E340" s="51"/>
      <c r="F340" s="12"/>
      <c r="G340" s="74"/>
      <c r="K340" s="51"/>
    </row>
    <row r="341" ht="13.5" customHeight="1">
      <c r="E341" s="51"/>
      <c r="F341" s="12"/>
      <c r="G341" s="74"/>
      <c r="K341" s="51"/>
    </row>
    <row r="342" ht="13.5" customHeight="1">
      <c r="E342" s="51"/>
      <c r="F342" s="12"/>
      <c r="G342" s="74"/>
      <c r="K342" s="51"/>
    </row>
    <row r="343" ht="13.5" customHeight="1">
      <c r="E343" s="51"/>
      <c r="F343" s="12"/>
      <c r="G343" s="74"/>
      <c r="K343" s="51"/>
    </row>
    <row r="344" ht="13.5" customHeight="1">
      <c r="E344" s="51"/>
      <c r="F344" s="12"/>
      <c r="G344" s="74"/>
      <c r="K344" s="51"/>
    </row>
    <row r="345" ht="13.5" customHeight="1">
      <c r="E345" s="51"/>
      <c r="F345" s="12"/>
      <c r="G345" s="74"/>
      <c r="K345" s="51"/>
    </row>
    <row r="346" ht="13.5" customHeight="1">
      <c r="E346" s="51"/>
      <c r="F346" s="12"/>
      <c r="G346" s="74"/>
      <c r="K346" s="51"/>
    </row>
    <row r="347" ht="13.5" customHeight="1">
      <c r="E347" s="51"/>
      <c r="F347" s="12"/>
      <c r="G347" s="74"/>
      <c r="K347" s="51"/>
    </row>
    <row r="348" ht="13.5" customHeight="1">
      <c r="E348" s="51"/>
      <c r="F348" s="12"/>
      <c r="G348" s="74"/>
      <c r="K348" s="51"/>
    </row>
    <row r="349" ht="13.5" customHeight="1">
      <c r="E349" s="51"/>
      <c r="F349" s="12"/>
      <c r="G349" s="74"/>
      <c r="K349" s="51"/>
    </row>
    <row r="350" ht="13.5" customHeight="1">
      <c r="E350" s="51"/>
      <c r="F350" s="12"/>
      <c r="G350" s="74"/>
      <c r="K350" s="51"/>
    </row>
    <row r="351" ht="13.5" customHeight="1">
      <c r="E351" s="51"/>
      <c r="F351" s="12"/>
      <c r="G351" s="74"/>
      <c r="K351" s="51"/>
    </row>
    <row r="352" ht="13.5" customHeight="1">
      <c r="E352" s="51"/>
      <c r="F352" s="12"/>
      <c r="G352" s="74"/>
      <c r="K352" s="51"/>
    </row>
    <row r="353" ht="13.5" customHeight="1">
      <c r="E353" s="51"/>
      <c r="F353" s="12"/>
      <c r="G353" s="74"/>
      <c r="K353" s="51"/>
    </row>
    <row r="354" ht="13.5" customHeight="1">
      <c r="E354" s="51"/>
      <c r="F354" s="12"/>
      <c r="G354" s="74"/>
      <c r="K354" s="51"/>
    </row>
    <row r="355" ht="13.5" customHeight="1">
      <c r="E355" s="51"/>
      <c r="F355" s="12"/>
      <c r="G355" s="74"/>
      <c r="K355" s="51"/>
    </row>
    <row r="356" ht="13.5" customHeight="1">
      <c r="E356" s="51"/>
      <c r="F356" s="12"/>
      <c r="G356" s="74"/>
      <c r="K356" s="51"/>
    </row>
    <row r="357" ht="13.5" customHeight="1">
      <c r="E357" s="51"/>
      <c r="F357" s="12"/>
      <c r="G357" s="74"/>
      <c r="K357" s="51"/>
    </row>
    <row r="358" ht="13.5" customHeight="1">
      <c r="E358" s="51"/>
      <c r="F358" s="12"/>
      <c r="G358" s="74"/>
      <c r="K358" s="51"/>
    </row>
    <row r="359" ht="13.5" customHeight="1">
      <c r="E359" s="51"/>
      <c r="F359" s="12"/>
      <c r="G359" s="74"/>
      <c r="K359" s="51"/>
    </row>
    <row r="360" ht="13.5" customHeight="1">
      <c r="E360" s="51"/>
      <c r="F360" s="12"/>
      <c r="G360" s="74"/>
      <c r="K360" s="51"/>
    </row>
    <row r="361" ht="13.5" customHeight="1">
      <c r="E361" s="51"/>
      <c r="F361" s="12"/>
      <c r="G361" s="74"/>
      <c r="K361" s="51"/>
    </row>
    <row r="362" ht="13.5" customHeight="1">
      <c r="E362" s="51"/>
      <c r="F362" s="12"/>
      <c r="G362" s="74"/>
      <c r="K362" s="51"/>
    </row>
    <row r="363" ht="13.5" customHeight="1">
      <c r="E363" s="51"/>
      <c r="F363" s="12"/>
      <c r="G363" s="74"/>
      <c r="K363" s="51"/>
    </row>
    <row r="364" ht="13.5" customHeight="1">
      <c r="E364" s="51"/>
      <c r="F364" s="12"/>
      <c r="G364" s="74"/>
      <c r="K364" s="51"/>
    </row>
    <row r="365" ht="13.5" customHeight="1">
      <c r="E365" s="51"/>
      <c r="F365" s="12"/>
      <c r="G365" s="74"/>
      <c r="K365" s="51"/>
    </row>
    <row r="366" ht="13.5" customHeight="1">
      <c r="E366" s="51"/>
      <c r="F366" s="12"/>
      <c r="G366" s="74"/>
      <c r="K366" s="51"/>
    </row>
    <row r="367" ht="13.5" customHeight="1">
      <c r="E367" s="51"/>
      <c r="F367" s="12"/>
      <c r="G367" s="74"/>
      <c r="K367" s="51"/>
    </row>
    <row r="368" ht="13.5" customHeight="1">
      <c r="E368" s="51"/>
      <c r="F368" s="12"/>
      <c r="G368" s="74"/>
      <c r="K368" s="51"/>
    </row>
    <row r="369" ht="13.5" customHeight="1">
      <c r="E369" s="51"/>
      <c r="F369" s="12"/>
      <c r="G369" s="74"/>
      <c r="K369" s="51"/>
    </row>
    <row r="370" ht="13.5" customHeight="1">
      <c r="E370" s="51"/>
      <c r="F370" s="12"/>
      <c r="G370" s="74"/>
      <c r="K370" s="51"/>
    </row>
    <row r="371" ht="13.5" customHeight="1">
      <c r="E371" s="51"/>
      <c r="F371" s="12"/>
      <c r="G371" s="74"/>
      <c r="K371" s="51"/>
    </row>
    <row r="372" ht="13.5" customHeight="1">
      <c r="E372" s="51"/>
      <c r="F372" s="12"/>
      <c r="G372" s="74"/>
      <c r="K372" s="51"/>
    </row>
    <row r="373" ht="13.5" customHeight="1">
      <c r="E373" s="51"/>
      <c r="F373" s="12"/>
      <c r="G373" s="74"/>
      <c r="K373" s="51"/>
    </row>
    <row r="374" ht="13.5" customHeight="1">
      <c r="E374" s="51"/>
      <c r="F374" s="12"/>
      <c r="G374" s="74"/>
      <c r="K374" s="51"/>
    </row>
    <row r="375" ht="13.5" customHeight="1">
      <c r="E375" s="51"/>
      <c r="F375" s="12"/>
      <c r="G375" s="74"/>
      <c r="K375" s="51"/>
    </row>
    <row r="376" ht="13.5" customHeight="1">
      <c r="E376" s="51"/>
      <c r="F376" s="12"/>
      <c r="G376" s="74"/>
      <c r="K376" s="51"/>
    </row>
    <row r="377" ht="13.5" customHeight="1">
      <c r="E377" s="51"/>
      <c r="F377" s="12"/>
      <c r="G377" s="74"/>
      <c r="K377" s="51"/>
    </row>
    <row r="378" ht="13.5" customHeight="1">
      <c r="E378" s="51"/>
      <c r="F378" s="12"/>
      <c r="G378" s="74"/>
      <c r="K378" s="51"/>
    </row>
    <row r="379" ht="13.5" customHeight="1">
      <c r="E379" s="51"/>
      <c r="F379" s="12"/>
      <c r="G379" s="74"/>
      <c r="K379" s="51"/>
    </row>
    <row r="380" ht="13.5" customHeight="1">
      <c r="E380" s="51"/>
      <c r="F380" s="12"/>
      <c r="G380" s="74"/>
      <c r="K380" s="51"/>
    </row>
    <row r="381" ht="13.5" customHeight="1">
      <c r="E381" s="51"/>
      <c r="F381" s="12"/>
      <c r="G381" s="74"/>
      <c r="K381" s="51"/>
    </row>
    <row r="382" ht="13.5" customHeight="1">
      <c r="E382" s="51"/>
      <c r="F382" s="12"/>
      <c r="G382" s="74"/>
      <c r="K382" s="51"/>
    </row>
    <row r="383" ht="13.5" customHeight="1">
      <c r="E383" s="51"/>
      <c r="F383" s="12"/>
      <c r="G383" s="74"/>
      <c r="K383" s="51"/>
    </row>
    <row r="384" ht="13.5" customHeight="1">
      <c r="E384" s="51"/>
      <c r="F384" s="12"/>
      <c r="G384" s="74"/>
      <c r="K384" s="51"/>
    </row>
    <row r="385" ht="13.5" customHeight="1">
      <c r="E385" s="51"/>
      <c r="F385" s="12"/>
      <c r="G385" s="74"/>
      <c r="K385" s="51"/>
    </row>
    <row r="386" ht="13.5" customHeight="1">
      <c r="E386" s="51"/>
      <c r="F386" s="12"/>
      <c r="G386" s="74"/>
      <c r="K386" s="51"/>
    </row>
    <row r="387" ht="13.5" customHeight="1">
      <c r="E387" s="51"/>
      <c r="F387" s="12"/>
      <c r="G387" s="74"/>
      <c r="K387" s="51"/>
    </row>
    <row r="388" ht="13.5" customHeight="1">
      <c r="E388" s="51"/>
      <c r="F388" s="12"/>
      <c r="G388" s="74"/>
      <c r="K388" s="51"/>
    </row>
    <row r="389" ht="13.5" customHeight="1">
      <c r="E389" s="51"/>
      <c r="F389" s="12"/>
      <c r="G389" s="74"/>
      <c r="K389" s="51"/>
    </row>
    <row r="390" ht="13.5" customHeight="1">
      <c r="E390" s="51"/>
      <c r="F390" s="12"/>
      <c r="G390" s="74"/>
      <c r="K390" s="51"/>
    </row>
    <row r="391" ht="13.5" customHeight="1">
      <c r="E391" s="51"/>
      <c r="F391" s="12"/>
      <c r="G391" s="74"/>
      <c r="K391" s="51"/>
    </row>
    <row r="392" ht="13.5" customHeight="1">
      <c r="E392" s="51"/>
      <c r="F392" s="12"/>
      <c r="G392" s="74"/>
      <c r="K392" s="51"/>
    </row>
    <row r="393" ht="13.5" customHeight="1">
      <c r="E393" s="51"/>
      <c r="F393" s="12"/>
      <c r="G393" s="74"/>
      <c r="K393" s="51"/>
    </row>
    <row r="394" ht="13.5" customHeight="1">
      <c r="E394" s="51"/>
      <c r="F394" s="12"/>
      <c r="G394" s="74"/>
      <c r="K394" s="51"/>
    </row>
    <row r="395" ht="13.5" customHeight="1">
      <c r="E395" s="51"/>
      <c r="F395" s="12"/>
      <c r="G395" s="74"/>
      <c r="K395" s="51"/>
    </row>
    <row r="396" ht="13.5" customHeight="1">
      <c r="E396" s="51"/>
      <c r="F396" s="12"/>
      <c r="G396" s="74"/>
      <c r="K396" s="51"/>
    </row>
    <row r="397" ht="13.5" customHeight="1">
      <c r="E397" s="51"/>
      <c r="F397" s="12"/>
      <c r="G397" s="74"/>
      <c r="K397" s="51"/>
    </row>
    <row r="398" ht="13.5" customHeight="1">
      <c r="E398" s="51"/>
      <c r="F398" s="12"/>
      <c r="G398" s="74"/>
      <c r="K398" s="51"/>
    </row>
    <row r="399" ht="13.5" customHeight="1">
      <c r="E399" s="51"/>
      <c r="F399" s="12"/>
      <c r="G399" s="74"/>
      <c r="K399" s="51"/>
    </row>
    <row r="400" ht="13.5" customHeight="1">
      <c r="E400" s="51"/>
      <c r="F400" s="12"/>
      <c r="G400" s="74"/>
      <c r="K400" s="51"/>
    </row>
    <row r="401" ht="13.5" customHeight="1">
      <c r="E401" s="51"/>
      <c r="F401" s="12"/>
      <c r="G401" s="74"/>
      <c r="K401" s="51"/>
    </row>
    <row r="402" ht="13.5" customHeight="1">
      <c r="E402" s="51"/>
      <c r="F402" s="12"/>
      <c r="G402" s="74"/>
      <c r="K402" s="51"/>
    </row>
    <row r="403" ht="13.5" customHeight="1">
      <c r="E403" s="51"/>
      <c r="F403" s="12"/>
      <c r="G403" s="74"/>
      <c r="K403" s="51"/>
    </row>
    <row r="404" ht="13.5" customHeight="1">
      <c r="E404" s="51"/>
      <c r="F404" s="12"/>
      <c r="G404" s="74"/>
      <c r="K404" s="51"/>
    </row>
    <row r="405" ht="13.5" customHeight="1">
      <c r="E405" s="51"/>
      <c r="F405" s="12"/>
      <c r="G405" s="74"/>
      <c r="K405" s="51"/>
    </row>
    <row r="406" ht="13.5" customHeight="1">
      <c r="E406" s="51"/>
      <c r="F406" s="12"/>
      <c r="G406" s="74"/>
      <c r="K406" s="51"/>
    </row>
    <row r="407" ht="13.5" customHeight="1">
      <c r="E407" s="51"/>
      <c r="F407" s="12"/>
      <c r="G407" s="74"/>
      <c r="K407" s="51"/>
    </row>
    <row r="408" ht="13.5" customHeight="1">
      <c r="E408" s="51"/>
      <c r="F408" s="12"/>
      <c r="G408" s="74"/>
      <c r="K408" s="51"/>
    </row>
    <row r="409" ht="13.5" customHeight="1">
      <c r="E409" s="51"/>
      <c r="F409" s="12"/>
      <c r="G409" s="74"/>
      <c r="K409" s="51"/>
    </row>
    <row r="410" ht="13.5" customHeight="1">
      <c r="E410" s="51"/>
      <c r="F410" s="12"/>
      <c r="G410" s="74"/>
      <c r="K410" s="51"/>
    </row>
    <row r="411" ht="13.5" customHeight="1">
      <c r="E411" s="51"/>
      <c r="F411" s="12"/>
      <c r="G411" s="74"/>
      <c r="K411" s="51"/>
    </row>
    <row r="412" ht="13.5" customHeight="1">
      <c r="E412" s="51"/>
      <c r="F412" s="12"/>
      <c r="G412" s="74"/>
      <c r="K412" s="51"/>
    </row>
    <row r="413" ht="13.5" customHeight="1">
      <c r="E413" s="51"/>
      <c r="F413" s="12"/>
      <c r="G413" s="74"/>
      <c r="K413" s="51"/>
    </row>
    <row r="414" ht="13.5" customHeight="1">
      <c r="E414" s="51"/>
      <c r="F414" s="12"/>
      <c r="G414" s="74"/>
      <c r="K414" s="51"/>
    </row>
    <row r="415" ht="13.5" customHeight="1">
      <c r="E415" s="51"/>
      <c r="F415" s="12"/>
      <c r="G415" s="74"/>
      <c r="K415" s="51"/>
    </row>
    <row r="416" ht="13.5" customHeight="1">
      <c r="E416" s="51"/>
      <c r="F416" s="12"/>
      <c r="G416" s="74"/>
      <c r="K416" s="51"/>
    </row>
    <row r="417" ht="13.5" customHeight="1">
      <c r="E417" s="51"/>
      <c r="F417" s="12"/>
      <c r="G417" s="74"/>
      <c r="K417" s="51"/>
    </row>
    <row r="418" ht="13.5" customHeight="1">
      <c r="E418" s="51"/>
      <c r="F418" s="12"/>
      <c r="G418" s="74"/>
      <c r="K418" s="51"/>
    </row>
    <row r="419" ht="13.5" customHeight="1">
      <c r="E419" s="51"/>
      <c r="F419" s="12"/>
      <c r="G419" s="74"/>
      <c r="K419" s="51"/>
    </row>
    <row r="420" ht="13.5" customHeight="1">
      <c r="E420" s="51"/>
      <c r="F420" s="12"/>
      <c r="G420" s="74"/>
      <c r="K420" s="51"/>
    </row>
    <row r="421" ht="13.5" customHeight="1">
      <c r="E421" s="51"/>
      <c r="F421" s="12"/>
      <c r="G421" s="74"/>
      <c r="K421" s="51"/>
    </row>
    <row r="422" ht="13.5" customHeight="1">
      <c r="E422" s="51"/>
      <c r="F422" s="12"/>
      <c r="G422" s="74"/>
      <c r="K422" s="51"/>
    </row>
    <row r="423" ht="13.5" customHeight="1">
      <c r="E423" s="51"/>
      <c r="F423" s="12"/>
      <c r="G423" s="74"/>
      <c r="K423" s="51"/>
    </row>
    <row r="424" ht="13.5" customHeight="1">
      <c r="E424" s="51"/>
      <c r="F424" s="12"/>
      <c r="G424" s="74"/>
      <c r="K424" s="51"/>
    </row>
    <row r="425" ht="13.5" customHeight="1">
      <c r="E425" s="51"/>
      <c r="F425" s="12"/>
      <c r="G425" s="74"/>
      <c r="K425" s="51"/>
    </row>
    <row r="426" ht="13.5" customHeight="1">
      <c r="E426" s="51"/>
      <c r="F426" s="12"/>
      <c r="G426" s="74"/>
      <c r="K426" s="51"/>
    </row>
    <row r="427" ht="13.5" customHeight="1">
      <c r="E427" s="51"/>
      <c r="F427" s="12"/>
      <c r="G427" s="74"/>
      <c r="K427" s="51"/>
    </row>
    <row r="428" ht="13.5" customHeight="1">
      <c r="E428" s="51"/>
      <c r="F428" s="12"/>
      <c r="G428" s="74"/>
      <c r="K428" s="51"/>
    </row>
    <row r="429" ht="13.5" customHeight="1">
      <c r="E429" s="51"/>
      <c r="F429" s="12"/>
      <c r="G429" s="74"/>
      <c r="K429" s="51"/>
    </row>
    <row r="430" ht="13.5" customHeight="1">
      <c r="E430" s="51"/>
      <c r="F430" s="12"/>
      <c r="G430" s="74"/>
      <c r="K430" s="51"/>
    </row>
    <row r="431" ht="13.5" customHeight="1">
      <c r="E431" s="51"/>
      <c r="F431" s="12"/>
      <c r="G431" s="74"/>
      <c r="K431" s="51"/>
    </row>
    <row r="432" ht="13.5" customHeight="1">
      <c r="E432" s="51"/>
      <c r="F432" s="12"/>
      <c r="G432" s="74"/>
      <c r="K432" s="51"/>
    </row>
    <row r="433" ht="13.5" customHeight="1">
      <c r="E433" s="51"/>
      <c r="F433" s="12"/>
      <c r="G433" s="74"/>
      <c r="K433" s="51"/>
    </row>
    <row r="434" ht="13.5" customHeight="1">
      <c r="E434" s="51"/>
      <c r="F434" s="12"/>
      <c r="G434" s="74"/>
      <c r="K434" s="51"/>
    </row>
    <row r="435" ht="13.5" customHeight="1">
      <c r="E435" s="51"/>
      <c r="F435" s="12"/>
      <c r="G435" s="74"/>
      <c r="K435" s="51"/>
    </row>
    <row r="436" ht="13.5" customHeight="1">
      <c r="E436" s="51"/>
      <c r="F436" s="12"/>
      <c r="G436" s="74"/>
      <c r="K436" s="51"/>
    </row>
    <row r="437" ht="13.5" customHeight="1">
      <c r="E437" s="51"/>
      <c r="F437" s="12"/>
      <c r="G437" s="74"/>
      <c r="K437" s="51"/>
    </row>
    <row r="438" ht="13.5" customHeight="1">
      <c r="E438" s="51"/>
      <c r="F438" s="12"/>
      <c r="G438" s="74"/>
      <c r="K438" s="51"/>
    </row>
    <row r="439" ht="13.5" customHeight="1">
      <c r="E439" s="51"/>
      <c r="F439" s="12"/>
      <c r="G439" s="74"/>
      <c r="K439" s="51"/>
    </row>
    <row r="440" ht="13.5" customHeight="1">
      <c r="E440" s="51"/>
      <c r="F440" s="12"/>
      <c r="G440" s="74"/>
      <c r="K440" s="51"/>
    </row>
    <row r="441" ht="13.5" customHeight="1">
      <c r="E441" s="51"/>
      <c r="F441" s="12"/>
      <c r="G441" s="74"/>
      <c r="K441" s="51"/>
    </row>
    <row r="442" ht="13.5" customHeight="1">
      <c r="E442" s="51"/>
      <c r="F442" s="12"/>
      <c r="G442" s="74"/>
      <c r="K442" s="51"/>
    </row>
    <row r="443" ht="13.5" customHeight="1">
      <c r="E443" s="51"/>
      <c r="F443" s="12"/>
      <c r="G443" s="74"/>
      <c r="K443" s="51"/>
    </row>
    <row r="444" ht="13.5" customHeight="1">
      <c r="E444" s="51"/>
      <c r="F444" s="12"/>
      <c r="G444" s="74"/>
      <c r="K444" s="51"/>
    </row>
    <row r="445" ht="13.5" customHeight="1">
      <c r="E445" s="51"/>
      <c r="F445" s="12"/>
      <c r="G445" s="74"/>
      <c r="K445" s="51"/>
    </row>
    <row r="446" ht="13.5" customHeight="1">
      <c r="E446" s="51"/>
      <c r="F446" s="12"/>
      <c r="G446" s="74"/>
      <c r="K446" s="51"/>
    </row>
    <row r="447" ht="13.5" customHeight="1">
      <c r="E447" s="51"/>
      <c r="F447" s="12"/>
      <c r="G447" s="74"/>
      <c r="K447" s="51"/>
    </row>
    <row r="448" ht="13.5" customHeight="1">
      <c r="E448" s="51"/>
      <c r="F448" s="12"/>
      <c r="G448" s="74"/>
      <c r="K448" s="51"/>
    </row>
    <row r="449" ht="13.5" customHeight="1">
      <c r="E449" s="51"/>
      <c r="F449" s="12"/>
      <c r="G449" s="74"/>
      <c r="K449" s="51"/>
    </row>
    <row r="450" ht="13.5" customHeight="1">
      <c r="E450" s="51"/>
      <c r="F450" s="12"/>
      <c r="G450" s="74"/>
      <c r="K450" s="51"/>
    </row>
    <row r="451" ht="13.5" customHeight="1">
      <c r="E451" s="51"/>
      <c r="F451" s="12"/>
      <c r="G451" s="74"/>
      <c r="K451" s="51"/>
    </row>
    <row r="452" ht="13.5" customHeight="1">
      <c r="E452" s="51"/>
      <c r="F452" s="12"/>
      <c r="G452" s="74"/>
      <c r="K452" s="51"/>
    </row>
    <row r="453" ht="13.5" customHeight="1">
      <c r="E453" s="51"/>
      <c r="F453" s="12"/>
      <c r="G453" s="74"/>
      <c r="K453" s="51"/>
    </row>
    <row r="454" ht="13.5" customHeight="1">
      <c r="E454" s="51"/>
      <c r="F454" s="12"/>
      <c r="G454" s="74"/>
      <c r="K454" s="51"/>
    </row>
    <row r="455" ht="13.5" customHeight="1">
      <c r="E455" s="51"/>
      <c r="F455" s="12"/>
      <c r="G455" s="74"/>
      <c r="K455" s="51"/>
    </row>
    <row r="456" ht="13.5" customHeight="1">
      <c r="E456" s="51"/>
      <c r="F456" s="12"/>
      <c r="G456" s="74"/>
      <c r="K456" s="51"/>
    </row>
    <row r="457" ht="13.5" customHeight="1">
      <c r="E457" s="51"/>
      <c r="F457" s="12"/>
      <c r="G457" s="74"/>
      <c r="K457" s="51"/>
    </row>
    <row r="458" ht="13.5" customHeight="1">
      <c r="E458" s="51"/>
      <c r="F458" s="12"/>
      <c r="G458" s="74"/>
      <c r="K458" s="51"/>
    </row>
    <row r="459" ht="13.5" customHeight="1">
      <c r="E459" s="51"/>
      <c r="F459" s="12"/>
      <c r="G459" s="74"/>
      <c r="K459" s="51"/>
    </row>
    <row r="460" ht="13.5" customHeight="1">
      <c r="E460" s="51"/>
      <c r="F460" s="12"/>
      <c r="G460" s="74"/>
      <c r="K460" s="51"/>
    </row>
    <row r="461" ht="13.5" customHeight="1">
      <c r="E461" s="51"/>
      <c r="F461" s="12"/>
      <c r="G461" s="74"/>
      <c r="K461" s="51"/>
    </row>
    <row r="462" ht="13.5" customHeight="1">
      <c r="E462" s="51"/>
      <c r="F462" s="12"/>
      <c r="G462" s="74"/>
      <c r="K462" s="51"/>
    </row>
    <row r="463" ht="13.5" customHeight="1">
      <c r="E463" s="51"/>
      <c r="F463" s="12"/>
      <c r="G463" s="74"/>
      <c r="K463" s="51"/>
    </row>
    <row r="464" ht="13.5" customHeight="1">
      <c r="E464" s="51"/>
      <c r="F464" s="12"/>
      <c r="G464" s="74"/>
      <c r="K464" s="51"/>
    </row>
    <row r="465" ht="13.5" customHeight="1">
      <c r="E465" s="51"/>
      <c r="F465" s="12"/>
      <c r="G465" s="74"/>
      <c r="K465" s="51"/>
    </row>
    <row r="466" ht="13.5" customHeight="1">
      <c r="E466" s="51"/>
      <c r="F466" s="12"/>
      <c r="G466" s="74"/>
      <c r="K466" s="51"/>
    </row>
    <row r="467" ht="13.5" customHeight="1">
      <c r="E467" s="51"/>
      <c r="F467" s="12"/>
      <c r="G467" s="74"/>
      <c r="K467" s="51"/>
    </row>
    <row r="468" ht="13.5" customHeight="1">
      <c r="E468" s="51"/>
      <c r="F468" s="12"/>
      <c r="G468" s="74"/>
      <c r="K468" s="51"/>
    </row>
    <row r="469" ht="13.5" customHeight="1">
      <c r="E469" s="51"/>
      <c r="F469" s="12"/>
      <c r="G469" s="74"/>
      <c r="K469" s="51"/>
    </row>
    <row r="470" ht="13.5" customHeight="1">
      <c r="E470" s="51"/>
      <c r="F470" s="12"/>
      <c r="G470" s="74"/>
      <c r="K470" s="51"/>
    </row>
    <row r="471" ht="13.5" customHeight="1">
      <c r="E471" s="51"/>
      <c r="F471" s="12"/>
      <c r="G471" s="74"/>
      <c r="K471" s="51"/>
    </row>
    <row r="472" ht="13.5" customHeight="1">
      <c r="E472" s="51"/>
      <c r="F472" s="12"/>
      <c r="G472" s="74"/>
      <c r="K472" s="51"/>
    </row>
    <row r="473" ht="13.5" customHeight="1">
      <c r="E473" s="51"/>
      <c r="F473" s="12"/>
      <c r="G473" s="74"/>
      <c r="K473" s="51"/>
    </row>
    <row r="474" ht="13.5" customHeight="1">
      <c r="E474" s="51"/>
      <c r="F474" s="12"/>
      <c r="G474" s="74"/>
      <c r="K474" s="51"/>
    </row>
    <row r="475" ht="13.5" customHeight="1">
      <c r="E475" s="51"/>
      <c r="F475" s="12"/>
      <c r="G475" s="74"/>
      <c r="K475" s="51"/>
    </row>
    <row r="476" ht="13.5" customHeight="1">
      <c r="E476" s="51"/>
      <c r="F476" s="12"/>
      <c r="G476" s="74"/>
      <c r="K476" s="51"/>
    </row>
    <row r="477" ht="13.5" customHeight="1">
      <c r="E477" s="51"/>
      <c r="F477" s="12"/>
      <c r="G477" s="74"/>
      <c r="K477" s="51"/>
    </row>
    <row r="478" ht="13.5" customHeight="1">
      <c r="E478" s="51"/>
      <c r="F478" s="12"/>
      <c r="G478" s="74"/>
      <c r="K478" s="51"/>
    </row>
    <row r="479" ht="13.5" customHeight="1">
      <c r="E479" s="51"/>
      <c r="F479" s="12"/>
      <c r="G479" s="74"/>
      <c r="K479" s="51"/>
    </row>
    <row r="480" ht="13.5" customHeight="1">
      <c r="E480" s="51"/>
      <c r="F480" s="12"/>
      <c r="G480" s="74"/>
      <c r="K480" s="51"/>
    </row>
    <row r="481" ht="13.5" customHeight="1">
      <c r="E481" s="51"/>
      <c r="F481" s="12"/>
      <c r="G481" s="74"/>
      <c r="K481" s="51"/>
    </row>
    <row r="482" ht="13.5" customHeight="1">
      <c r="E482" s="51"/>
      <c r="F482" s="12"/>
      <c r="G482" s="74"/>
      <c r="K482" s="51"/>
    </row>
    <row r="483" ht="13.5" customHeight="1">
      <c r="E483" s="51"/>
      <c r="F483" s="12"/>
      <c r="G483" s="74"/>
      <c r="K483" s="51"/>
    </row>
    <row r="484" ht="13.5" customHeight="1">
      <c r="E484" s="51"/>
      <c r="F484" s="12"/>
      <c r="G484" s="74"/>
      <c r="K484" s="51"/>
    </row>
    <row r="485" ht="13.5" customHeight="1">
      <c r="E485" s="51"/>
      <c r="F485" s="12"/>
      <c r="G485" s="74"/>
      <c r="K485" s="51"/>
    </row>
    <row r="486" ht="13.5" customHeight="1">
      <c r="E486" s="51"/>
      <c r="F486" s="12"/>
      <c r="G486" s="74"/>
      <c r="K486" s="51"/>
    </row>
    <row r="487" ht="13.5" customHeight="1">
      <c r="E487" s="51"/>
      <c r="F487" s="12"/>
      <c r="G487" s="74"/>
      <c r="K487" s="51"/>
    </row>
    <row r="488" ht="13.5" customHeight="1">
      <c r="E488" s="51"/>
      <c r="F488" s="12"/>
      <c r="G488" s="74"/>
      <c r="K488" s="51"/>
    </row>
    <row r="489" ht="13.5" customHeight="1">
      <c r="E489" s="51"/>
      <c r="F489" s="12"/>
      <c r="G489" s="74"/>
      <c r="K489" s="51"/>
    </row>
    <row r="490" ht="13.5" customHeight="1">
      <c r="E490" s="51"/>
      <c r="F490" s="12"/>
      <c r="G490" s="74"/>
      <c r="K490" s="51"/>
    </row>
    <row r="491" ht="13.5" customHeight="1">
      <c r="E491" s="51"/>
      <c r="F491" s="12"/>
      <c r="G491" s="74"/>
      <c r="K491" s="51"/>
    </row>
    <row r="492" ht="13.5" customHeight="1">
      <c r="E492" s="51"/>
      <c r="F492" s="12"/>
      <c r="G492" s="74"/>
      <c r="K492" s="51"/>
    </row>
    <row r="493" ht="13.5" customHeight="1">
      <c r="E493" s="51"/>
      <c r="F493" s="12"/>
      <c r="G493" s="74"/>
      <c r="K493" s="51"/>
    </row>
    <row r="494" ht="13.5" customHeight="1">
      <c r="E494" s="51"/>
      <c r="F494" s="12"/>
      <c r="G494" s="74"/>
      <c r="K494" s="51"/>
    </row>
    <row r="495" ht="13.5" customHeight="1">
      <c r="E495" s="51"/>
      <c r="F495" s="12"/>
      <c r="G495" s="74"/>
      <c r="K495" s="51"/>
    </row>
    <row r="496" ht="13.5" customHeight="1">
      <c r="E496" s="51"/>
      <c r="F496" s="12"/>
      <c r="G496" s="74"/>
      <c r="K496" s="51"/>
    </row>
    <row r="497" ht="13.5" customHeight="1">
      <c r="E497" s="51"/>
      <c r="F497" s="12"/>
      <c r="G497" s="74"/>
      <c r="K497" s="51"/>
    </row>
    <row r="498" ht="13.5" customHeight="1">
      <c r="E498" s="51"/>
      <c r="F498" s="12"/>
      <c r="G498" s="74"/>
      <c r="K498" s="51"/>
    </row>
    <row r="499" ht="13.5" customHeight="1">
      <c r="E499" s="51"/>
      <c r="F499" s="12"/>
      <c r="G499" s="74"/>
      <c r="K499" s="51"/>
    </row>
    <row r="500" ht="13.5" customHeight="1">
      <c r="E500" s="51"/>
      <c r="F500" s="12"/>
      <c r="G500" s="74"/>
      <c r="K500" s="51"/>
    </row>
    <row r="501" ht="13.5" customHeight="1">
      <c r="E501" s="51"/>
      <c r="F501" s="12"/>
      <c r="G501" s="74"/>
      <c r="K501" s="51"/>
    </row>
    <row r="502" ht="13.5" customHeight="1">
      <c r="E502" s="51"/>
      <c r="F502" s="12"/>
      <c r="G502" s="74"/>
      <c r="K502" s="51"/>
    </row>
    <row r="503" ht="13.5" customHeight="1">
      <c r="E503" s="51"/>
      <c r="F503" s="12"/>
      <c r="G503" s="74"/>
      <c r="K503" s="51"/>
    </row>
    <row r="504" ht="13.5" customHeight="1">
      <c r="E504" s="51"/>
      <c r="F504" s="12"/>
      <c r="G504" s="74"/>
      <c r="K504" s="51"/>
    </row>
    <row r="505" ht="13.5" customHeight="1">
      <c r="E505" s="51"/>
      <c r="F505" s="12"/>
      <c r="G505" s="74"/>
      <c r="K505" s="51"/>
    </row>
    <row r="506" ht="13.5" customHeight="1">
      <c r="E506" s="51"/>
      <c r="F506" s="12"/>
      <c r="G506" s="74"/>
      <c r="K506" s="51"/>
    </row>
    <row r="507" ht="13.5" customHeight="1">
      <c r="E507" s="51"/>
      <c r="F507" s="12"/>
      <c r="G507" s="74"/>
      <c r="K507" s="51"/>
    </row>
    <row r="508" ht="13.5" customHeight="1">
      <c r="E508" s="51"/>
      <c r="F508" s="12"/>
      <c r="G508" s="74"/>
      <c r="K508" s="51"/>
    </row>
    <row r="509" ht="13.5" customHeight="1">
      <c r="E509" s="51"/>
      <c r="F509" s="12"/>
      <c r="G509" s="74"/>
      <c r="K509" s="51"/>
    </row>
    <row r="510" ht="13.5" customHeight="1">
      <c r="E510" s="51"/>
      <c r="F510" s="12"/>
      <c r="G510" s="74"/>
      <c r="K510" s="51"/>
    </row>
    <row r="511" ht="13.5" customHeight="1">
      <c r="E511" s="51"/>
      <c r="F511" s="12"/>
      <c r="G511" s="74"/>
      <c r="K511" s="51"/>
    </row>
    <row r="512" ht="13.5" customHeight="1">
      <c r="E512" s="51"/>
      <c r="F512" s="12"/>
      <c r="G512" s="74"/>
      <c r="K512" s="51"/>
    </row>
    <row r="513" ht="13.5" customHeight="1">
      <c r="E513" s="51"/>
      <c r="F513" s="12"/>
      <c r="G513" s="74"/>
      <c r="K513" s="51"/>
    </row>
    <row r="514" ht="13.5" customHeight="1">
      <c r="E514" s="51"/>
      <c r="F514" s="12"/>
      <c r="G514" s="74"/>
      <c r="K514" s="51"/>
    </row>
    <row r="515" ht="13.5" customHeight="1">
      <c r="E515" s="51"/>
      <c r="F515" s="12"/>
      <c r="G515" s="74"/>
      <c r="K515" s="51"/>
    </row>
    <row r="516" ht="13.5" customHeight="1">
      <c r="E516" s="51"/>
      <c r="F516" s="12"/>
      <c r="G516" s="74"/>
      <c r="K516" s="51"/>
    </row>
    <row r="517" ht="13.5" customHeight="1">
      <c r="E517" s="51"/>
      <c r="F517" s="12"/>
      <c r="G517" s="74"/>
      <c r="K517" s="51"/>
    </row>
    <row r="518" ht="13.5" customHeight="1">
      <c r="E518" s="51"/>
      <c r="F518" s="12"/>
      <c r="G518" s="74"/>
      <c r="K518" s="51"/>
    </row>
    <row r="519" ht="13.5" customHeight="1">
      <c r="E519" s="51"/>
      <c r="F519" s="12"/>
      <c r="G519" s="74"/>
      <c r="K519" s="51"/>
    </row>
    <row r="520" ht="13.5" customHeight="1">
      <c r="E520" s="51"/>
      <c r="F520" s="12"/>
      <c r="G520" s="74"/>
      <c r="K520" s="51"/>
    </row>
    <row r="521" ht="13.5" customHeight="1">
      <c r="E521" s="51"/>
      <c r="F521" s="12"/>
      <c r="G521" s="74"/>
      <c r="K521" s="51"/>
    </row>
    <row r="522" ht="13.5" customHeight="1">
      <c r="E522" s="51"/>
      <c r="F522" s="12"/>
      <c r="G522" s="74"/>
      <c r="K522" s="51"/>
    </row>
    <row r="523" ht="13.5" customHeight="1">
      <c r="E523" s="51"/>
      <c r="F523" s="12"/>
      <c r="G523" s="74"/>
      <c r="K523" s="51"/>
    </row>
    <row r="524" ht="13.5" customHeight="1">
      <c r="E524" s="51"/>
      <c r="F524" s="12"/>
      <c r="G524" s="74"/>
      <c r="K524" s="51"/>
    </row>
    <row r="525" ht="13.5" customHeight="1">
      <c r="E525" s="51"/>
      <c r="F525" s="12"/>
      <c r="G525" s="74"/>
      <c r="K525" s="51"/>
    </row>
    <row r="526" ht="13.5" customHeight="1">
      <c r="E526" s="51"/>
      <c r="F526" s="12"/>
      <c r="G526" s="74"/>
      <c r="K526" s="51"/>
    </row>
    <row r="527" ht="13.5" customHeight="1">
      <c r="E527" s="51"/>
      <c r="F527" s="12"/>
      <c r="G527" s="74"/>
      <c r="K527" s="51"/>
    </row>
    <row r="528" ht="13.5" customHeight="1">
      <c r="E528" s="51"/>
      <c r="F528" s="12"/>
      <c r="G528" s="74"/>
      <c r="K528" s="51"/>
    </row>
    <row r="529" ht="13.5" customHeight="1">
      <c r="E529" s="51"/>
      <c r="F529" s="12"/>
      <c r="G529" s="74"/>
      <c r="K529" s="51"/>
    </row>
    <row r="530" ht="13.5" customHeight="1">
      <c r="E530" s="51"/>
      <c r="F530" s="12"/>
      <c r="G530" s="74"/>
      <c r="K530" s="51"/>
    </row>
    <row r="531" ht="13.5" customHeight="1">
      <c r="E531" s="51"/>
      <c r="F531" s="12"/>
      <c r="G531" s="74"/>
      <c r="K531" s="51"/>
    </row>
    <row r="532" ht="13.5" customHeight="1">
      <c r="E532" s="51"/>
      <c r="F532" s="12"/>
      <c r="G532" s="74"/>
      <c r="K532" s="51"/>
    </row>
    <row r="533" ht="13.5" customHeight="1">
      <c r="E533" s="51"/>
      <c r="F533" s="12"/>
      <c r="G533" s="74"/>
      <c r="K533" s="51"/>
    </row>
    <row r="534" ht="13.5" customHeight="1">
      <c r="E534" s="51"/>
      <c r="F534" s="12"/>
      <c r="G534" s="74"/>
      <c r="K534" s="51"/>
    </row>
    <row r="535" ht="13.5" customHeight="1">
      <c r="E535" s="51"/>
      <c r="F535" s="12"/>
      <c r="G535" s="74"/>
      <c r="K535" s="51"/>
    </row>
    <row r="536" ht="13.5" customHeight="1">
      <c r="E536" s="51"/>
      <c r="F536" s="12"/>
      <c r="G536" s="74"/>
      <c r="K536" s="51"/>
    </row>
    <row r="537" ht="13.5" customHeight="1">
      <c r="E537" s="51"/>
      <c r="F537" s="12"/>
      <c r="G537" s="74"/>
      <c r="K537" s="51"/>
    </row>
    <row r="538" ht="13.5" customHeight="1">
      <c r="E538" s="51"/>
      <c r="F538" s="12"/>
      <c r="G538" s="74"/>
      <c r="K538" s="51"/>
    </row>
    <row r="539" ht="13.5" customHeight="1">
      <c r="E539" s="51"/>
      <c r="F539" s="12"/>
      <c r="G539" s="74"/>
      <c r="K539" s="51"/>
    </row>
    <row r="540" ht="13.5" customHeight="1">
      <c r="E540" s="51"/>
      <c r="F540" s="12"/>
      <c r="G540" s="74"/>
      <c r="K540" s="51"/>
    </row>
    <row r="541" ht="13.5" customHeight="1">
      <c r="E541" s="51"/>
      <c r="F541" s="12"/>
      <c r="G541" s="74"/>
      <c r="K541" s="51"/>
    </row>
    <row r="542" ht="13.5" customHeight="1">
      <c r="E542" s="51"/>
      <c r="F542" s="12"/>
      <c r="G542" s="74"/>
      <c r="K542" s="51"/>
    </row>
    <row r="543" ht="13.5" customHeight="1">
      <c r="E543" s="51"/>
      <c r="F543" s="12"/>
      <c r="G543" s="74"/>
      <c r="K543" s="51"/>
    </row>
    <row r="544" ht="13.5" customHeight="1">
      <c r="E544" s="51"/>
      <c r="F544" s="12"/>
      <c r="G544" s="74"/>
      <c r="K544" s="51"/>
    </row>
    <row r="545" ht="13.5" customHeight="1">
      <c r="E545" s="51"/>
      <c r="F545" s="12"/>
      <c r="G545" s="74"/>
      <c r="K545" s="51"/>
    </row>
    <row r="546" ht="13.5" customHeight="1">
      <c r="E546" s="51"/>
      <c r="F546" s="12"/>
      <c r="G546" s="74"/>
      <c r="K546" s="51"/>
    </row>
    <row r="547" ht="13.5" customHeight="1">
      <c r="E547" s="51"/>
      <c r="F547" s="12"/>
      <c r="G547" s="74"/>
      <c r="K547" s="51"/>
    </row>
    <row r="548" ht="13.5" customHeight="1">
      <c r="E548" s="51"/>
      <c r="F548" s="12"/>
      <c r="G548" s="74"/>
      <c r="K548" s="51"/>
    </row>
    <row r="549" ht="13.5" customHeight="1">
      <c r="E549" s="51"/>
      <c r="F549" s="12"/>
      <c r="G549" s="74"/>
      <c r="K549" s="51"/>
    </row>
    <row r="550" ht="13.5" customHeight="1">
      <c r="E550" s="51"/>
      <c r="F550" s="12"/>
      <c r="G550" s="74"/>
      <c r="K550" s="51"/>
    </row>
    <row r="551" ht="13.5" customHeight="1">
      <c r="E551" s="51"/>
      <c r="F551" s="12"/>
      <c r="G551" s="74"/>
      <c r="K551" s="51"/>
    </row>
    <row r="552" ht="13.5" customHeight="1">
      <c r="E552" s="51"/>
      <c r="F552" s="12"/>
      <c r="G552" s="74"/>
      <c r="K552" s="51"/>
    </row>
    <row r="553" ht="13.5" customHeight="1">
      <c r="E553" s="51"/>
      <c r="F553" s="12"/>
      <c r="G553" s="74"/>
      <c r="K553" s="51"/>
    </row>
    <row r="554" ht="13.5" customHeight="1">
      <c r="E554" s="51"/>
      <c r="F554" s="12"/>
      <c r="G554" s="74"/>
      <c r="K554" s="51"/>
    </row>
    <row r="555" ht="13.5" customHeight="1">
      <c r="E555" s="51"/>
      <c r="F555" s="12"/>
      <c r="G555" s="74"/>
      <c r="K555" s="51"/>
    </row>
    <row r="556" ht="13.5" customHeight="1">
      <c r="E556" s="51"/>
      <c r="F556" s="12"/>
      <c r="G556" s="74"/>
      <c r="K556" s="51"/>
    </row>
    <row r="557" ht="13.5" customHeight="1">
      <c r="E557" s="51"/>
      <c r="F557" s="12"/>
      <c r="G557" s="74"/>
      <c r="K557" s="51"/>
    </row>
    <row r="558" ht="13.5" customHeight="1">
      <c r="E558" s="51"/>
      <c r="F558" s="12"/>
      <c r="G558" s="74"/>
      <c r="K558" s="51"/>
    </row>
    <row r="559" ht="13.5" customHeight="1">
      <c r="E559" s="51"/>
      <c r="F559" s="12"/>
      <c r="G559" s="74"/>
      <c r="K559" s="51"/>
    </row>
    <row r="560" ht="13.5" customHeight="1">
      <c r="E560" s="51"/>
      <c r="F560" s="12"/>
      <c r="G560" s="74"/>
      <c r="K560" s="51"/>
    </row>
    <row r="561" ht="13.5" customHeight="1">
      <c r="E561" s="51"/>
      <c r="F561" s="12"/>
      <c r="G561" s="74"/>
      <c r="K561" s="51"/>
    </row>
    <row r="562" ht="13.5" customHeight="1">
      <c r="E562" s="51"/>
      <c r="F562" s="12"/>
      <c r="G562" s="74"/>
      <c r="K562" s="51"/>
    </row>
    <row r="563" ht="13.5" customHeight="1">
      <c r="E563" s="51"/>
      <c r="F563" s="12"/>
      <c r="G563" s="74"/>
      <c r="K563" s="51"/>
    </row>
    <row r="564" ht="13.5" customHeight="1">
      <c r="E564" s="51"/>
      <c r="F564" s="12"/>
      <c r="G564" s="74"/>
      <c r="K564" s="51"/>
    </row>
    <row r="565" ht="13.5" customHeight="1">
      <c r="E565" s="51"/>
      <c r="F565" s="12"/>
      <c r="G565" s="74"/>
      <c r="K565" s="51"/>
    </row>
    <row r="566" ht="13.5" customHeight="1">
      <c r="E566" s="51"/>
      <c r="F566" s="12"/>
      <c r="G566" s="74"/>
      <c r="K566" s="51"/>
    </row>
    <row r="567" ht="13.5" customHeight="1">
      <c r="E567" s="51"/>
      <c r="F567" s="12"/>
      <c r="G567" s="74"/>
      <c r="K567" s="51"/>
    </row>
    <row r="568" ht="13.5" customHeight="1">
      <c r="E568" s="51"/>
      <c r="F568" s="12"/>
      <c r="G568" s="74"/>
      <c r="K568" s="51"/>
    </row>
    <row r="569" ht="13.5" customHeight="1">
      <c r="E569" s="51"/>
      <c r="F569" s="12"/>
      <c r="G569" s="74"/>
      <c r="K569" s="51"/>
    </row>
    <row r="570" ht="13.5" customHeight="1">
      <c r="E570" s="51"/>
      <c r="F570" s="12"/>
      <c r="G570" s="74"/>
      <c r="K570" s="51"/>
    </row>
    <row r="571" ht="13.5" customHeight="1">
      <c r="E571" s="51"/>
      <c r="F571" s="12"/>
      <c r="G571" s="74"/>
      <c r="K571" s="51"/>
    </row>
    <row r="572" ht="13.5" customHeight="1">
      <c r="E572" s="51"/>
      <c r="F572" s="12"/>
      <c r="G572" s="74"/>
      <c r="K572" s="51"/>
    </row>
    <row r="573" ht="13.5" customHeight="1">
      <c r="E573" s="51"/>
      <c r="F573" s="12"/>
      <c r="G573" s="74"/>
      <c r="K573" s="51"/>
    </row>
    <row r="574" ht="13.5" customHeight="1">
      <c r="E574" s="51"/>
      <c r="F574" s="12"/>
      <c r="G574" s="74"/>
      <c r="K574" s="51"/>
    </row>
    <row r="575" ht="13.5" customHeight="1">
      <c r="E575" s="51"/>
      <c r="F575" s="12"/>
      <c r="G575" s="74"/>
      <c r="K575" s="51"/>
    </row>
    <row r="576" ht="13.5" customHeight="1">
      <c r="E576" s="51"/>
      <c r="F576" s="12"/>
      <c r="G576" s="74"/>
      <c r="K576" s="51"/>
    </row>
    <row r="577" ht="13.5" customHeight="1">
      <c r="E577" s="51"/>
      <c r="F577" s="12"/>
      <c r="G577" s="74"/>
      <c r="K577" s="51"/>
    </row>
    <row r="578" ht="13.5" customHeight="1">
      <c r="E578" s="51"/>
      <c r="F578" s="12"/>
      <c r="G578" s="74"/>
      <c r="K578" s="51"/>
    </row>
    <row r="579" ht="13.5" customHeight="1">
      <c r="E579" s="51"/>
      <c r="F579" s="12"/>
      <c r="G579" s="74"/>
      <c r="K579" s="51"/>
    </row>
    <row r="580" ht="13.5" customHeight="1">
      <c r="E580" s="51"/>
      <c r="F580" s="12"/>
      <c r="G580" s="74"/>
      <c r="K580" s="51"/>
    </row>
    <row r="581" ht="13.5" customHeight="1">
      <c r="E581" s="51"/>
      <c r="F581" s="12"/>
      <c r="G581" s="74"/>
      <c r="K581" s="51"/>
    </row>
    <row r="582" ht="13.5" customHeight="1">
      <c r="E582" s="51"/>
      <c r="F582" s="12"/>
      <c r="G582" s="74"/>
      <c r="K582" s="51"/>
    </row>
    <row r="583" ht="13.5" customHeight="1">
      <c r="E583" s="51"/>
      <c r="F583" s="12"/>
      <c r="G583" s="74"/>
      <c r="K583" s="51"/>
    </row>
    <row r="584" ht="13.5" customHeight="1">
      <c r="E584" s="51"/>
      <c r="F584" s="12"/>
      <c r="G584" s="74"/>
      <c r="K584" s="51"/>
    </row>
    <row r="585" ht="13.5" customHeight="1">
      <c r="E585" s="51"/>
      <c r="F585" s="12"/>
      <c r="G585" s="74"/>
      <c r="K585" s="51"/>
    </row>
    <row r="586" ht="13.5" customHeight="1">
      <c r="E586" s="51"/>
      <c r="F586" s="12"/>
      <c r="G586" s="74"/>
      <c r="K586" s="51"/>
    </row>
    <row r="587" ht="13.5" customHeight="1">
      <c r="E587" s="51"/>
      <c r="F587" s="12"/>
      <c r="G587" s="74"/>
      <c r="K587" s="51"/>
    </row>
    <row r="588" ht="13.5" customHeight="1">
      <c r="E588" s="51"/>
      <c r="F588" s="12"/>
      <c r="G588" s="74"/>
      <c r="K588" s="51"/>
    </row>
    <row r="589" ht="13.5" customHeight="1">
      <c r="E589" s="51"/>
      <c r="F589" s="12"/>
      <c r="G589" s="74"/>
      <c r="K589" s="51"/>
    </row>
    <row r="590" ht="13.5" customHeight="1">
      <c r="E590" s="51"/>
      <c r="F590" s="12"/>
      <c r="G590" s="74"/>
      <c r="K590" s="51"/>
    </row>
    <row r="591" ht="13.5" customHeight="1">
      <c r="E591" s="51"/>
      <c r="F591" s="12"/>
      <c r="G591" s="74"/>
      <c r="K591" s="51"/>
    </row>
    <row r="592" ht="13.5" customHeight="1">
      <c r="E592" s="51"/>
      <c r="F592" s="12"/>
      <c r="G592" s="74"/>
      <c r="K592" s="51"/>
    </row>
    <row r="593" ht="13.5" customHeight="1">
      <c r="E593" s="51"/>
      <c r="F593" s="12"/>
      <c r="G593" s="74"/>
      <c r="K593" s="51"/>
    </row>
    <row r="594" ht="13.5" customHeight="1">
      <c r="E594" s="51"/>
      <c r="F594" s="12"/>
      <c r="G594" s="74"/>
      <c r="K594" s="51"/>
    </row>
    <row r="595" ht="13.5" customHeight="1">
      <c r="E595" s="51"/>
      <c r="F595" s="12"/>
      <c r="G595" s="74"/>
      <c r="K595" s="51"/>
    </row>
    <row r="596" ht="13.5" customHeight="1">
      <c r="E596" s="51"/>
      <c r="F596" s="12"/>
      <c r="G596" s="74"/>
      <c r="K596" s="51"/>
    </row>
    <row r="597" ht="13.5" customHeight="1">
      <c r="E597" s="51"/>
      <c r="F597" s="12"/>
      <c r="G597" s="74"/>
      <c r="K597" s="51"/>
    </row>
    <row r="598" ht="13.5" customHeight="1">
      <c r="E598" s="51"/>
      <c r="F598" s="12"/>
      <c r="G598" s="74"/>
      <c r="K598" s="51"/>
    </row>
    <row r="599" ht="13.5" customHeight="1">
      <c r="E599" s="51"/>
      <c r="F599" s="12"/>
      <c r="G599" s="74"/>
      <c r="K599" s="51"/>
    </row>
    <row r="600" ht="13.5" customHeight="1">
      <c r="E600" s="51"/>
      <c r="F600" s="12"/>
      <c r="G600" s="74"/>
      <c r="K600" s="51"/>
    </row>
    <row r="601" ht="13.5" customHeight="1">
      <c r="E601" s="51"/>
      <c r="F601" s="12"/>
      <c r="G601" s="74"/>
      <c r="K601" s="51"/>
    </row>
    <row r="602" ht="13.5" customHeight="1">
      <c r="E602" s="51"/>
      <c r="F602" s="12"/>
      <c r="G602" s="74"/>
      <c r="K602" s="51"/>
    </row>
    <row r="603" ht="13.5" customHeight="1">
      <c r="E603" s="51"/>
      <c r="F603" s="12"/>
      <c r="G603" s="74"/>
      <c r="K603" s="51"/>
    </row>
    <row r="604" ht="13.5" customHeight="1">
      <c r="E604" s="51"/>
      <c r="F604" s="12"/>
      <c r="G604" s="74"/>
      <c r="K604" s="51"/>
    </row>
    <row r="605" ht="13.5" customHeight="1">
      <c r="E605" s="51"/>
      <c r="F605" s="12"/>
      <c r="G605" s="74"/>
      <c r="K605" s="51"/>
    </row>
    <row r="606" ht="13.5" customHeight="1">
      <c r="E606" s="51"/>
      <c r="F606" s="12"/>
      <c r="G606" s="74"/>
      <c r="K606" s="51"/>
    </row>
    <row r="607" ht="13.5" customHeight="1">
      <c r="E607" s="51"/>
      <c r="F607" s="12"/>
      <c r="G607" s="74"/>
      <c r="K607" s="51"/>
    </row>
    <row r="608" ht="13.5" customHeight="1">
      <c r="E608" s="51"/>
      <c r="F608" s="12"/>
      <c r="G608" s="74"/>
      <c r="K608" s="51"/>
    </row>
    <row r="609" ht="13.5" customHeight="1">
      <c r="E609" s="51"/>
      <c r="F609" s="12"/>
      <c r="G609" s="74"/>
      <c r="K609" s="51"/>
    </row>
    <row r="610" ht="13.5" customHeight="1">
      <c r="E610" s="51"/>
      <c r="F610" s="12"/>
      <c r="G610" s="74"/>
      <c r="K610" s="51"/>
    </row>
    <row r="611" ht="13.5" customHeight="1">
      <c r="E611" s="51"/>
      <c r="F611" s="12"/>
      <c r="G611" s="74"/>
      <c r="K611" s="51"/>
    </row>
    <row r="612" ht="13.5" customHeight="1">
      <c r="E612" s="51"/>
      <c r="F612" s="12"/>
      <c r="G612" s="74"/>
      <c r="K612" s="51"/>
    </row>
    <row r="613" ht="13.5" customHeight="1">
      <c r="E613" s="51"/>
      <c r="F613" s="12"/>
      <c r="G613" s="74"/>
      <c r="K613" s="51"/>
    </row>
    <row r="614" ht="13.5" customHeight="1">
      <c r="E614" s="51"/>
      <c r="F614" s="12"/>
      <c r="G614" s="74"/>
      <c r="K614" s="51"/>
    </row>
    <row r="615" ht="13.5" customHeight="1">
      <c r="E615" s="51"/>
      <c r="F615" s="12"/>
      <c r="G615" s="74"/>
      <c r="K615" s="51"/>
    </row>
    <row r="616" ht="13.5" customHeight="1">
      <c r="E616" s="51"/>
      <c r="F616" s="12"/>
      <c r="G616" s="74"/>
      <c r="K616" s="51"/>
    </row>
    <row r="617" ht="13.5" customHeight="1">
      <c r="E617" s="51"/>
      <c r="F617" s="12"/>
      <c r="G617" s="74"/>
      <c r="K617" s="51"/>
    </row>
    <row r="618" ht="13.5" customHeight="1">
      <c r="E618" s="51"/>
      <c r="F618" s="12"/>
      <c r="G618" s="74"/>
      <c r="K618" s="51"/>
    </row>
    <row r="619" ht="13.5" customHeight="1">
      <c r="E619" s="51"/>
      <c r="F619" s="12"/>
      <c r="G619" s="74"/>
      <c r="K619" s="51"/>
    </row>
    <row r="620" ht="13.5" customHeight="1">
      <c r="E620" s="51"/>
      <c r="F620" s="12"/>
      <c r="G620" s="74"/>
      <c r="K620" s="51"/>
    </row>
    <row r="621" ht="13.5" customHeight="1">
      <c r="E621" s="51"/>
      <c r="F621" s="12"/>
      <c r="G621" s="74"/>
      <c r="K621" s="51"/>
    </row>
    <row r="622" ht="13.5" customHeight="1">
      <c r="E622" s="51"/>
      <c r="F622" s="12"/>
      <c r="G622" s="74"/>
      <c r="K622" s="51"/>
    </row>
    <row r="623" ht="13.5" customHeight="1">
      <c r="E623" s="51"/>
      <c r="F623" s="12"/>
      <c r="G623" s="74"/>
      <c r="K623" s="51"/>
    </row>
    <row r="624" ht="13.5" customHeight="1">
      <c r="E624" s="51"/>
      <c r="F624" s="12"/>
      <c r="G624" s="74"/>
      <c r="K624" s="51"/>
    </row>
    <row r="625" ht="13.5" customHeight="1">
      <c r="E625" s="51"/>
      <c r="F625" s="12"/>
      <c r="G625" s="74"/>
      <c r="K625" s="51"/>
    </row>
    <row r="626" ht="13.5" customHeight="1">
      <c r="E626" s="51"/>
      <c r="F626" s="12"/>
      <c r="G626" s="74"/>
      <c r="K626" s="51"/>
    </row>
    <row r="627" ht="13.5" customHeight="1">
      <c r="E627" s="51"/>
      <c r="F627" s="12"/>
      <c r="G627" s="74"/>
      <c r="K627" s="51"/>
    </row>
    <row r="628" ht="13.5" customHeight="1">
      <c r="E628" s="51"/>
      <c r="F628" s="12"/>
      <c r="G628" s="74"/>
      <c r="K628" s="51"/>
    </row>
    <row r="629" ht="13.5" customHeight="1">
      <c r="E629" s="51"/>
      <c r="F629" s="12"/>
      <c r="G629" s="74"/>
      <c r="K629" s="51"/>
    </row>
    <row r="630" ht="13.5" customHeight="1">
      <c r="E630" s="51"/>
      <c r="F630" s="12"/>
      <c r="G630" s="74"/>
      <c r="K630" s="51"/>
    </row>
    <row r="631" ht="13.5" customHeight="1">
      <c r="E631" s="51"/>
      <c r="F631" s="12"/>
      <c r="G631" s="74"/>
      <c r="K631" s="51"/>
    </row>
    <row r="632" ht="13.5" customHeight="1">
      <c r="E632" s="51"/>
      <c r="F632" s="12"/>
      <c r="G632" s="74"/>
      <c r="K632" s="51"/>
    </row>
    <row r="633" ht="13.5" customHeight="1">
      <c r="E633" s="51"/>
      <c r="F633" s="12"/>
      <c r="G633" s="74"/>
      <c r="K633" s="51"/>
    </row>
    <row r="634" ht="13.5" customHeight="1">
      <c r="E634" s="51"/>
      <c r="F634" s="12"/>
      <c r="G634" s="74"/>
      <c r="K634" s="51"/>
    </row>
    <row r="635" ht="13.5" customHeight="1">
      <c r="E635" s="51"/>
      <c r="F635" s="12"/>
      <c r="G635" s="74"/>
      <c r="K635" s="51"/>
    </row>
    <row r="636" ht="13.5" customHeight="1">
      <c r="E636" s="51"/>
      <c r="F636" s="12"/>
      <c r="G636" s="74"/>
      <c r="K636" s="51"/>
    </row>
    <row r="637" ht="13.5" customHeight="1">
      <c r="E637" s="51"/>
      <c r="F637" s="12"/>
      <c r="G637" s="74"/>
      <c r="K637" s="51"/>
    </row>
    <row r="638" ht="13.5" customHeight="1">
      <c r="E638" s="51"/>
      <c r="F638" s="12"/>
      <c r="G638" s="74"/>
      <c r="K638" s="51"/>
    </row>
    <row r="639" ht="13.5" customHeight="1">
      <c r="E639" s="51"/>
      <c r="F639" s="12"/>
      <c r="G639" s="74"/>
      <c r="K639" s="51"/>
    </row>
    <row r="640" ht="13.5" customHeight="1">
      <c r="E640" s="51"/>
      <c r="F640" s="12"/>
      <c r="G640" s="74"/>
      <c r="K640" s="51"/>
    </row>
    <row r="641" ht="13.5" customHeight="1">
      <c r="E641" s="51"/>
      <c r="F641" s="12"/>
      <c r="G641" s="74"/>
      <c r="K641" s="51"/>
    </row>
    <row r="642" ht="13.5" customHeight="1">
      <c r="E642" s="51"/>
      <c r="F642" s="12"/>
      <c r="G642" s="74"/>
      <c r="K642" s="51"/>
    </row>
    <row r="643" ht="13.5" customHeight="1">
      <c r="E643" s="51"/>
      <c r="F643" s="12"/>
      <c r="G643" s="74"/>
      <c r="K643" s="51"/>
    </row>
    <row r="644" ht="13.5" customHeight="1">
      <c r="E644" s="51"/>
      <c r="F644" s="12"/>
      <c r="G644" s="74"/>
      <c r="K644" s="51"/>
    </row>
    <row r="645" ht="13.5" customHeight="1">
      <c r="E645" s="51"/>
      <c r="F645" s="12"/>
      <c r="G645" s="74"/>
      <c r="K645" s="51"/>
    </row>
    <row r="646" ht="13.5" customHeight="1">
      <c r="E646" s="51"/>
      <c r="F646" s="12"/>
      <c r="G646" s="74"/>
      <c r="K646" s="51"/>
    </row>
    <row r="647" ht="13.5" customHeight="1">
      <c r="E647" s="51"/>
      <c r="F647" s="12"/>
      <c r="G647" s="74"/>
      <c r="K647" s="51"/>
    </row>
    <row r="648" ht="13.5" customHeight="1">
      <c r="E648" s="51"/>
      <c r="F648" s="12"/>
      <c r="G648" s="74"/>
      <c r="K648" s="51"/>
    </row>
    <row r="649" ht="13.5" customHeight="1">
      <c r="E649" s="51"/>
      <c r="F649" s="12"/>
      <c r="G649" s="74"/>
      <c r="K649" s="51"/>
    </row>
    <row r="650" ht="13.5" customHeight="1">
      <c r="E650" s="51"/>
      <c r="F650" s="12"/>
      <c r="G650" s="74"/>
      <c r="K650" s="51"/>
    </row>
    <row r="651" ht="13.5" customHeight="1">
      <c r="E651" s="51"/>
      <c r="F651" s="12"/>
      <c r="G651" s="74"/>
      <c r="K651" s="51"/>
    </row>
    <row r="652" ht="13.5" customHeight="1">
      <c r="E652" s="51"/>
      <c r="F652" s="12"/>
      <c r="G652" s="74"/>
      <c r="K652" s="51"/>
    </row>
    <row r="653" ht="13.5" customHeight="1">
      <c r="E653" s="51"/>
      <c r="F653" s="12"/>
      <c r="G653" s="74"/>
      <c r="K653" s="51"/>
    </row>
    <row r="654" ht="13.5" customHeight="1">
      <c r="E654" s="51"/>
      <c r="F654" s="12"/>
      <c r="G654" s="74"/>
      <c r="K654" s="51"/>
    </row>
    <row r="655" ht="13.5" customHeight="1">
      <c r="E655" s="51"/>
      <c r="F655" s="12"/>
      <c r="G655" s="74"/>
      <c r="K655" s="51"/>
    </row>
    <row r="656" ht="13.5" customHeight="1">
      <c r="E656" s="51"/>
      <c r="F656" s="12"/>
      <c r="G656" s="74"/>
      <c r="K656" s="51"/>
    </row>
    <row r="657" ht="13.5" customHeight="1">
      <c r="E657" s="51"/>
      <c r="F657" s="12"/>
      <c r="G657" s="74"/>
      <c r="K657" s="51"/>
    </row>
    <row r="658" ht="13.5" customHeight="1">
      <c r="E658" s="51"/>
      <c r="F658" s="12"/>
      <c r="G658" s="74"/>
      <c r="K658" s="51"/>
    </row>
    <row r="659" ht="13.5" customHeight="1">
      <c r="E659" s="51"/>
      <c r="F659" s="12"/>
      <c r="G659" s="74"/>
      <c r="K659" s="51"/>
    </row>
    <row r="660" ht="13.5" customHeight="1">
      <c r="E660" s="51"/>
      <c r="F660" s="12"/>
      <c r="G660" s="74"/>
      <c r="K660" s="51"/>
    </row>
    <row r="661" ht="13.5" customHeight="1">
      <c r="E661" s="51"/>
      <c r="F661" s="12"/>
      <c r="G661" s="74"/>
      <c r="K661" s="51"/>
    </row>
    <row r="662" ht="13.5" customHeight="1">
      <c r="E662" s="51"/>
      <c r="F662" s="12"/>
      <c r="G662" s="74"/>
      <c r="K662" s="51"/>
    </row>
    <row r="663" ht="13.5" customHeight="1">
      <c r="E663" s="51"/>
      <c r="F663" s="12"/>
      <c r="G663" s="74"/>
      <c r="K663" s="51"/>
    </row>
    <row r="664" ht="13.5" customHeight="1">
      <c r="E664" s="51"/>
      <c r="F664" s="12"/>
      <c r="G664" s="74"/>
      <c r="K664" s="51"/>
    </row>
    <row r="665" ht="13.5" customHeight="1">
      <c r="E665" s="51"/>
      <c r="F665" s="12"/>
      <c r="G665" s="74"/>
      <c r="K665" s="51"/>
    </row>
    <row r="666" ht="13.5" customHeight="1">
      <c r="E666" s="51"/>
      <c r="F666" s="12"/>
      <c r="G666" s="74"/>
      <c r="K666" s="51"/>
    </row>
    <row r="667" ht="13.5" customHeight="1">
      <c r="E667" s="51"/>
      <c r="F667" s="12"/>
      <c r="G667" s="74"/>
      <c r="K667" s="51"/>
    </row>
    <row r="668" ht="13.5" customHeight="1">
      <c r="E668" s="51"/>
      <c r="F668" s="12"/>
      <c r="G668" s="74"/>
      <c r="K668" s="51"/>
    </row>
    <row r="669" ht="13.5" customHeight="1">
      <c r="E669" s="51"/>
      <c r="F669" s="12"/>
      <c r="G669" s="74"/>
      <c r="K669" s="51"/>
    </row>
    <row r="670" ht="13.5" customHeight="1">
      <c r="E670" s="51"/>
      <c r="F670" s="12"/>
      <c r="G670" s="74"/>
      <c r="K670" s="51"/>
    </row>
    <row r="671" ht="13.5" customHeight="1">
      <c r="E671" s="51"/>
      <c r="F671" s="12"/>
      <c r="G671" s="74"/>
      <c r="K671" s="51"/>
    </row>
    <row r="672" ht="13.5" customHeight="1">
      <c r="E672" s="51"/>
      <c r="F672" s="12"/>
      <c r="G672" s="74"/>
      <c r="K672" s="51"/>
    </row>
    <row r="673" ht="13.5" customHeight="1">
      <c r="E673" s="51"/>
      <c r="F673" s="12"/>
      <c r="G673" s="74"/>
      <c r="K673" s="51"/>
    </row>
    <row r="674" ht="13.5" customHeight="1">
      <c r="E674" s="51"/>
      <c r="F674" s="12"/>
      <c r="G674" s="74"/>
      <c r="K674" s="51"/>
    </row>
    <row r="675" ht="13.5" customHeight="1">
      <c r="E675" s="51"/>
      <c r="F675" s="12"/>
      <c r="G675" s="74"/>
      <c r="K675" s="51"/>
    </row>
    <row r="676" ht="13.5" customHeight="1">
      <c r="E676" s="51"/>
      <c r="F676" s="12"/>
      <c r="G676" s="74"/>
      <c r="K676" s="51"/>
    </row>
    <row r="677" ht="13.5" customHeight="1">
      <c r="E677" s="51"/>
      <c r="F677" s="12"/>
      <c r="G677" s="74"/>
      <c r="K677" s="51"/>
    </row>
    <row r="678" ht="13.5" customHeight="1">
      <c r="E678" s="51"/>
      <c r="F678" s="12"/>
      <c r="G678" s="74"/>
      <c r="K678" s="51"/>
    </row>
    <row r="679" ht="13.5" customHeight="1">
      <c r="E679" s="51"/>
      <c r="F679" s="12"/>
      <c r="G679" s="74"/>
      <c r="K679" s="51"/>
    </row>
    <row r="680" ht="13.5" customHeight="1">
      <c r="E680" s="51"/>
      <c r="F680" s="12"/>
      <c r="G680" s="74"/>
      <c r="K680" s="51"/>
    </row>
    <row r="681" ht="13.5" customHeight="1">
      <c r="E681" s="51"/>
      <c r="F681" s="12"/>
      <c r="G681" s="74"/>
      <c r="K681" s="51"/>
    </row>
    <row r="682" ht="13.5" customHeight="1">
      <c r="E682" s="51"/>
      <c r="F682" s="12"/>
      <c r="G682" s="74"/>
      <c r="K682" s="51"/>
    </row>
    <row r="683" ht="13.5" customHeight="1">
      <c r="E683" s="51"/>
      <c r="F683" s="12"/>
      <c r="G683" s="74"/>
      <c r="K683" s="51"/>
    </row>
    <row r="684" ht="13.5" customHeight="1">
      <c r="E684" s="51"/>
      <c r="F684" s="12"/>
      <c r="G684" s="74"/>
      <c r="K684" s="51"/>
    </row>
    <row r="685" ht="13.5" customHeight="1">
      <c r="E685" s="51"/>
      <c r="F685" s="12"/>
      <c r="G685" s="74"/>
      <c r="K685" s="51"/>
    </row>
    <row r="686" ht="13.5" customHeight="1">
      <c r="E686" s="51"/>
      <c r="F686" s="12"/>
      <c r="G686" s="74"/>
      <c r="K686" s="51"/>
    </row>
    <row r="687" ht="13.5" customHeight="1">
      <c r="E687" s="51"/>
      <c r="F687" s="12"/>
      <c r="G687" s="74"/>
      <c r="K687" s="51"/>
    </row>
    <row r="688" ht="13.5" customHeight="1">
      <c r="E688" s="51"/>
      <c r="F688" s="12"/>
      <c r="G688" s="74"/>
      <c r="K688" s="51"/>
    </row>
    <row r="689" ht="13.5" customHeight="1">
      <c r="E689" s="51"/>
      <c r="F689" s="12"/>
      <c r="G689" s="74"/>
      <c r="K689" s="51"/>
    </row>
    <row r="690" ht="13.5" customHeight="1">
      <c r="E690" s="51"/>
      <c r="F690" s="12"/>
      <c r="G690" s="74"/>
      <c r="K690" s="51"/>
    </row>
    <row r="691" ht="13.5" customHeight="1">
      <c r="E691" s="51"/>
      <c r="F691" s="12"/>
      <c r="G691" s="74"/>
      <c r="K691" s="51"/>
    </row>
    <row r="692" ht="13.5" customHeight="1">
      <c r="E692" s="51"/>
      <c r="F692" s="12"/>
      <c r="G692" s="74"/>
      <c r="K692" s="51"/>
    </row>
    <row r="693" ht="13.5" customHeight="1">
      <c r="E693" s="51"/>
      <c r="F693" s="12"/>
      <c r="G693" s="74"/>
      <c r="K693" s="51"/>
    </row>
    <row r="694" ht="13.5" customHeight="1">
      <c r="E694" s="51"/>
      <c r="F694" s="12"/>
      <c r="G694" s="74"/>
      <c r="K694" s="51"/>
    </row>
    <row r="695" ht="13.5" customHeight="1">
      <c r="E695" s="51"/>
      <c r="F695" s="12"/>
      <c r="G695" s="74"/>
      <c r="K695" s="51"/>
    </row>
    <row r="696" ht="13.5" customHeight="1">
      <c r="E696" s="51"/>
      <c r="F696" s="12"/>
      <c r="G696" s="74"/>
      <c r="K696" s="51"/>
    </row>
    <row r="697" ht="13.5" customHeight="1">
      <c r="E697" s="51"/>
      <c r="F697" s="12"/>
      <c r="G697" s="74"/>
      <c r="K697" s="51"/>
    </row>
    <row r="698" ht="13.5" customHeight="1">
      <c r="E698" s="51"/>
      <c r="F698" s="12"/>
      <c r="G698" s="74"/>
      <c r="K698" s="51"/>
    </row>
    <row r="699" ht="13.5" customHeight="1">
      <c r="E699" s="51"/>
      <c r="F699" s="12"/>
      <c r="G699" s="74"/>
      <c r="K699" s="51"/>
    </row>
    <row r="700" ht="13.5" customHeight="1">
      <c r="E700" s="51"/>
      <c r="F700" s="12"/>
      <c r="G700" s="74"/>
      <c r="K700" s="51"/>
    </row>
    <row r="701" ht="13.5" customHeight="1">
      <c r="E701" s="51"/>
      <c r="F701" s="12"/>
      <c r="G701" s="74"/>
      <c r="K701" s="51"/>
    </row>
    <row r="702" ht="13.5" customHeight="1">
      <c r="E702" s="51"/>
      <c r="F702" s="12"/>
      <c r="G702" s="74"/>
      <c r="K702" s="51"/>
    </row>
    <row r="703" ht="13.5" customHeight="1">
      <c r="E703" s="51"/>
      <c r="F703" s="12"/>
      <c r="G703" s="74"/>
      <c r="K703" s="51"/>
    </row>
    <row r="704" ht="13.5" customHeight="1">
      <c r="E704" s="51"/>
      <c r="F704" s="12"/>
      <c r="G704" s="74"/>
      <c r="K704" s="51"/>
    </row>
    <row r="705" ht="13.5" customHeight="1">
      <c r="E705" s="51"/>
      <c r="F705" s="12"/>
      <c r="G705" s="74"/>
      <c r="K705" s="51"/>
    </row>
    <row r="706" ht="13.5" customHeight="1">
      <c r="E706" s="51"/>
      <c r="F706" s="12"/>
      <c r="G706" s="74"/>
      <c r="K706" s="51"/>
    </row>
    <row r="707" ht="13.5" customHeight="1">
      <c r="E707" s="51"/>
      <c r="F707" s="12"/>
      <c r="G707" s="74"/>
      <c r="K707" s="51"/>
    </row>
    <row r="708" ht="13.5" customHeight="1">
      <c r="E708" s="51"/>
      <c r="F708" s="12"/>
      <c r="G708" s="74"/>
      <c r="K708" s="51"/>
    </row>
    <row r="709" ht="13.5" customHeight="1">
      <c r="E709" s="51"/>
      <c r="F709" s="12"/>
      <c r="G709" s="74"/>
      <c r="K709" s="51"/>
    </row>
    <row r="710" ht="13.5" customHeight="1">
      <c r="E710" s="51"/>
      <c r="F710" s="12"/>
      <c r="G710" s="74"/>
      <c r="K710" s="51"/>
    </row>
    <row r="711" ht="13.5" customHeight="1">
      <c r="E711" s="51"/>
      <c r="F711" s="12"/>
      <c r="G711" s="74"/>
      <c r="K711" s="51"/>
    </row>
    <row r="712" ht="13.5" customHeight="1">
      <c r="E712" s="51"/>
      <c r="F712" s="12"/>
      <c r="G712" s="74"/>
      <c r="K712" s="51"/>
    </row>
    <row r="713" ht="13.5" customHeight="1">
      <c r="E713" s="51"/>
      <c r="F713" s="12"/>
      <c r="G713" s="74"/>
      <c r="K713" s="51"/>
    </row>
    <row r="714" ht="13.5" customHeight="1">
      <c r="E714" s="51"/>
      <c r="F714" s="12"/>
      <c r="G714" s="74"/>
      <c r="K714" s="51"/>
    </row>
    <row r="715" ht="13.5" customHeight="1">
      <c r="E715" s="51"/>
      <c r="F715" s="12"/>
      <c r="G715" s="74"/>
      <c r="K715" s="51"/>
    </row>
    <row r="716" ht="13.5" customHeight="1">
      <c r="E716" s="51"/>
      <c r="F716" s="12"/>
      <c r="G716" s="74"/>
      <c r="K716" s="51"/>
    </row>
    <row r="717" ht="13.5" customHeight="1">
      <c r="E717" s="51"/>
      <c r="F717" s="12"/>
      <c r="G717" s="74"/>
      <c r="K717" s="51"/>
    </row>
    <row r="718" ht="13.5" customHeight="1">
      <c r="E718" s="51"/>
      <c r="F718" s="12"/>
      <c r="G718" s="74"/>
      <c r="K718" s="51"/>
    </row>
    <row r="719" ht="13.5" customHeight="1">
      <c r="E719" s="51"/>
      <c r="F719" s="12"/>
      <c r="G719" s="74"/>
      <c r="K719" s="51"/>
    </row>
    <row r="720" ht="13.5" customHeight="1">
      <c r="E720" s="51"/>
      <c r="F720" s="12"/>
      <c r="G720" s="74"/>
      <c r="K720" s="51"/>
    </row>
    <row r="721" ht="13.5" customHeight="1">
      <c r="E721" s="51"/>
      <c r="F721" s="12"/>
      <c r="G721" s="74"/>
      <c r="K721" s="51"/>
    </row>
    <row r="722" ht="13.5" customHeight="1">
      <c r="E722" s="51"/>
      <c r="F722" s="12"/>
      <c r="G722" s="74"/>
      <c r="K722" s="51"/>
    </row>
    <row r="723" ht="13.5" customHeight="1">
      <c r="E723" s="51"/>
      <c r="F723" s="12"/>
      <c r="G723" s="74"/>
      <c r="K723" s="51"/>
    </row>
    <row r="724" ht="13.5" customHeight="1">
      <c r="E724" s="51"/>
      <c r="F724" s="12"/>
      <c r="G724" s="74"/>
      <c r="K724" s="51"/>
    </row>
    <row r="725" ht="13.5" customHeight="1">
      <c r="E725" s="51"/>
      <c r="F725" s="12"/>
      <c r="G725" s="74"/>
      <c r="K725" s="51"/>
    </row>
    <row r="726" ht="13.5" customHeight="1">
      <c r="E726" s="51"/>
      <c r="F726" s="12"/>
      <c r="G726" s="74"/>
      <c r="K726" s="51"/>
    </row>
    <row r="727" ht="13.5" customHeight="1">
      <c r="E727" s="51"/>
      <c r="F727" s="12"/>
      <c r="G727" s="74"/>
      <c r="K727" s="51"/>
    </row>
    <row r="728" ht="13.5" customHeight="1">
      <c r="E728" s="51"/>
      <c r="F728" s="12"/>
      <c r="G728" s="74"/>
      <c r="K728" s="51"/>
    </row>
    <row r="729" ht="13.5" customHeight="1">
      <c r="E729" s="51"/>
      <c r="F729" s="12"/>
      <c r="G729" s="74"/>
      <c r="K729" s="51"/>
    </row>
    <row r="730" ht="13.5" customHeight="1">
      <c r="E730" s="51"/>
      <c r="F730" s="12"/>
      <c r="G730" s="74"/>
      <c r="K730" s="51"/>
    </row>
    <row r="731" ht="13.5" customHeight="1">
      <c r="E731" s="51"/>
      <c r="F731" s="12"/>
      <c r="G731" s="74"/>
      <c r="K731" s="51"/>
    </row>
    <row r="732" ht="13.5" customHeight="1">
      <c r="E732" s="51"/>
      <c r="F732" s="12"/>
      <c r="G732" s="74"/>
      <c r="K732" s="51"/>
    </row>
    <row r="733" ht="13.5" customHeight="1">
      <c r="E733" s="51"/>
      <c r="F733" s="12"/>
      <c r="G733" s="74"/>
      <c r="K733" s="51"/>
    </row>
    <row r="734" ht="13.5" customHeight="1">
      <c r="E734" s="51"/>
      <c r="F734" s="12"/>
      <c r="G734" s="74"/>
      <c r="K734" s="51"/>
    </row>
    <row r="735" ht="13.5" customHeight="1">
      <c r="E735" s="51"/>
      <c r="F735" s="12"/>
      <c r="G735" s="74"/>
      <c r="K735" s="51"/>
    </row>
    <row r="736" ht="13.5" customHeight="1">
      <c r="E736" s="51"/>
      <c r="F736" s="12"/>
      <c r="G736" s="74"/>
      <c r="K736" s="51"/>
    </row>
    <row r="737" ht="13.5" customHeight="1">
      <c r="E737" s="51"/>
      <c r="F737" s="12"/>
      <c r="G737" s="74"/>
      <c r="K737" s="51"/>
    </row>
    <row r="738" ht="13.5" customHeight="1">
      <c r="E738" s="51"/>
      <c r="F738" s="12"/>
      <c r="G738" s="74"/>
      <c r="K738" s="51"/>
    </row>
    <row r="739" ht="13.5" customHeight="1">
      <c r="E739" s="51"/>
      <c r="F739" s="12"/>
      <c r="G739" s="74"/>
      <c r="K739" s="51"/>
    </row>
    <row r="740" ht="13.5" customHeight="1">
      <c r="E740" s="51"/>
      <c r="F740" s="12"/>
      <c r="G740" s="74"/>
      <c r="K740" s="51"/>
    </row>
    <row r="741" ht="13.5" customHeight="1">
      <c r="E741" s="51"/>
      <c r="F741" s="12"/>
      <c r="G741" s="74"/>
      <c r="K741" s="51"/>
    </row>
    <row r="742" ht="13.5" customHeight="1">
      <c r="E742" s="51"/>
      <c r="F742" s="12"/>
      <c r="G742" s="74"/>
      <c r="K742" s="51"/>
    </row>
    <row r="743" ht="13.5" customHeight="1">
      <c r="E743" s="51"/>
      <c r="F743" s="12"/>
      <c r="G743" s="74"/>
      <c r="K743" s="51"/>
    </row>
    <row r="744" ht="13.5" customHeight="1">
      <c r="E744" s="51"/>
      <c r="F744" s="12"/>
      <c r="G744" s="74"/>
      <c r="K744" s="51"/>
    </row>
    <row r="745" ht="13.5" customHeight="1">
      <c r="E745" s="51"/>
      <c r="F745" s="12"/>
      <c r="G745" s="74"/>
      <c r="K745" s="51"/>
    </row>
    <row r="746" ht="13.5" customHeight="1">
      <c r="E746" s="51"/>
      <c r="F746" s="12"/>
      <c r="G746" s="74"/>
      <c r="K746" s="51"/>
    </row>
    <row r="747" ht="13.5" customHeight="1">
      <c r="E747" s="51"/>
      <c r="F747" s="12"/>
      <c r="G747" s="74"/>
      <c r="K747" s="51"/>
    </row>
    <row r="748" ht="13.5" customHeight="1">
      <c r="E748" s="51"/>
      <c r="F748" s="12"/>
      <c r="G748" s="74"/>
      <c r="K748" s="51"/>
    </row>
    <row r="749" ht="13.5" customHeight="1">
      <c r="E749" s="51"/>
      <c r="F749" s="12"/>
      <c r="G749" s="74"/>
      <c r="K749" s="51"/>
    </row>
    <row r="750" ht="13.5" customHeight="1">
      <c r="E750" s="51"/>
      <c r="F750" s="12"/>
      <c r="G750" s="74"/>
      <c r="K750" s="51"/>
    </row>
    <row r="751" ht="13.5" customHeight="1">
      <c r="E751" s="51"/>
      <c r="F751" s="12"/>
      <c r="G751" s="74"/>
      <c r="K751" s="51"/>
    </row>
    <row r="752" ht="13.5" customHeight="1">
      <c r="E752" s="51"/>
      <c r="F752" s="12"/>
      <c r="G752" s="74"/>
      <c r="K752" s="51"/>
    </row>
    <row r="753" ht="13.5" customHeight="1">
      <c r="E753" s="51"/>
      <c r="F753" s="12"/>
      <c r="G753" s="74"/>
      <c r="K753" s="51"/>
    </row>
    <row r="754" ht="13.5" customHeight="1">
      <c r="E754" s="51"/>
      <c r="F754" s="12"/>
      <c r="G754" s="74"/>
      <c r="K754" s="51"/>
    </row>
    <row r="755" ht="13.5" customHeight="1">
      <c r="E755" s="51"/>
      <c r="F755" s="12"/>
      <c r="G755" s="74"/>
      <c r="K755" s="51"/>
    </row>
    <row r="756" ht="13.5" customHeight="1">
      <c r="E756" s="51"/>
      <c r="F756" s="12"/>
      <c r="G756" s="74"/>
      <c r="K756" s="51"/>
    </row>
    <row r="757" ht="13.5" customHeight="1">
      <c r="E757" s="51"/>
      <c r="F757" s="12"/>
      <c r="G757" s="74"/>
      <c r="K757" s="51"/>
    </row>
    <row r="758" ht="13.5" customHeight="1">
      <c r="E758" s="51"/>
      <c r="F758" s="12"/>
      <c r="G758" s="74"/>
      <c r="K758" s="51"/>
    </row>
    <row r="759" ht="13.5" customHeight="1">
      <c r="E759" s="51"/>
      <c r="F759" s="12"/>
      <c r="G759" s="74"/>
      <c r="K759" s="51"/>
    </row>
    <row r="760" ht="13.5" customHeight="1">
      <c r="E760" s="51"/>
      <c r="F760" s="12"/>
      <c r="G760" s="74"/>
      <c r="K760" s="51"/>
    </row>
    <row r="761" ht="13.5" customHeight="1">
      <c r="E761" s="51"/>
      <c r="F761" s="12"/>
      <c r="G761" s="74"/>
      <c r="K761" s="51"/>
    </row>
    <row r="762" ht="13.5" customHeight="1">
      <c r="E762" s="51"/>
      <c r="F762" s="12"/>
      <c r="G762" s="74"/>
      <c r="K762" s="51"/>
    </row>
    <row r="763" ht="13.5" customHeight="1">
      <c r="E763" s="51"/>
      <c r="F763" s="12"/>
      <c r="G763" s="74"/>
      <c r="K763" s="51"/>
    </row>
    <row r="764" ht="13.5" customHeight="1">
      <c r="E764" s="51"/>
      <c r="F764" s="12"/>
      <c r="G764" s="74"/>
      <c r="K764" s="51"/>
    </row>
    <row r="765" ht="13.5" customHeight="1">
      <c r="E765" s="51"/>
      <c r="F765" s="12"/>
      <c r="G765" s="74"/>
      <c r="K765" s="51"/>
    </row>
    <row r="766" ht="13.5" customHeight="1">
      <c r="E766" s="51"/>
      <c r="F766" s="12"/>
      <c r="G766" s="74"/>
      <c r="K766" s="51"/>
    </row>
    <row r="767" ht="13.5" customHeight="1">
      <c r="E767" s="51"/>
      <c r="F767" s="12"/>
      <c r="G767" s="74"/>
      <c r="K767" s="51"/>
    </row>
    <row r="768" ht="13.5" customHeight="1">
      <c r="E768" s="51"/>
      <c r="F768" s="12"/>
      <c r="G768" s="74"/>
      <c r="K768" s="51"/>
    </row>
    <row r="769" ht="13.5" customHeight="1">
      <c r="E769" s="51"/>
      <c r="F769" s="12"/>
      <c r="G769" s="74"/>
      <c r="K769" s="51"/>
    </row>
    <row r="770" ht="13.5" customHeight="1">
      <c r="E770" s="51"/>
      <c r="F770" s="12"/>
      <c r="G770" s="74"/>
      <c r="K770" s="51"/>
    </row>
    <row r="771" ht="13.5" customHeight="1">
      <c r="E771" s="51"/>
      <c r="F771" s="12"/>
      <c r="G771" s="74"/>
      <c r="K771" s="51"/>
    </row>
    <row r="772" ht="13.5" customHeight="1">
      <c r="E772" s="51"/>
      <c r="F772" s="12"/>
      <c r="G772" s="74"/>
      <c r="K772" s="51"/>
    </row>
    <row r="773" ht="13.5" customHeight="1">
      <c r="E773" s="51"/>
      <c r="F773" s="12"/>
      <c r="G773" s="74"/>
      <c r="K773" s="51"/>
    </row>
    <row r="774" ht="13.5" customHeight="1">
      <c r="E774" s="51"/>
      <c r="F774" s="12"/>
      <c r="G774" s="74"/>
      <c r="K774" s="51"/>
    </row>
    <row r="775" ht="13.5" customHeight="1">
      <c r="E775" s="51"/>
      <c r="F775" s="12"/>
      <c r="G775" s="74"/>
      <c r="K775" s="51"/>
    </row>
    <row r="776" ht="13.5" customHeight="1">
      <c r="E776" s="51"/>
      <c r="F776" s="12"/>
      <c r="G776" s="74"/>
      <c r="K776" s="51"/>
    </row>
    <row r="777" ht="13.5" customHeight="1">
      <c r="E777" s="51"/>
      <c r="F777" s="12"/>
      <c r="G777" s="74"/>
      <c r="K777" s="51"/>
    </row>
    <row r="778" ht="13.5" customHeight="1">
      <c r="E778" s="51"/>
      <c r="F778" s="12"/>
      <c r="G778" s="74"/>
      <c r="K778" s="51"/>
    </row>
    <row r="779" ht="13.5" customHeight="1">
      <c r="E779" s="51"/>
      <c r="F779" s="12"/>
      <c r="G779" s="74"/>
      <c r="K779" s="51"/>
    </row>
    <row r="780" ht="13.5" customHeight="1">
      <c r="E780" s="51"/>
      <c r="F780" s="12"/>
      <c r="G780" s="74"/>
      <c r="K780" s="51"/>
    </row>
    <row r="781" ht="13.5" customHeight="1">
      <c r="E781" s="51"/>
      <c r="F781" s="12"/>
      <c r="G781" s="74"/>
      <c r="K781" s="51"/>
    </row>
    <row r="782" ht="13.5" customHeight="1">
      <c r="E782" s="51"/>
      <c r="F782" s="12"/>
      <c r="G782" s="74"/>
      <c r="K782" s="51"/>
    </row>
    <row r="783" ht="13.5" customHeight="1">
      <c r="E783" s="51"/>
      <c r="F783" s="12"/>
      <c r="G783" s="74"/>
      <c r="K783" s="51"/>
    </row>
    <row r="784" ht="13.5" customHeight="1">
      <c r="E784" s="51"/>
      <c r="F784" s="12"/>
      <c r="G784" s="74"/>
      <c r="K784" s="51"/>
    </row>
    <row r="785" ht="13.5" customHeight="1">
      <c r="E785" s="51"/>
      <c r="F785" s="12"/>
      <c r="G785" s="74"/>
      <c r="K785" s="51"/>
    </row>
    <row r="786" ht="13.5" customHeight="1">
      <c r="E786" s="51"/>
      <c r="F786" s="12"/>
      <c r="G786" s="74"/>
      <c r="K786" s="51"/>
    </row>
    <row r="787" ht="13.5" customHeight="1">
      <c r="E787" s="51"/>
      <c r="F787" s="12"/>
      <c r="G787" s="74"/>
      <c r="K787" s="51"/>
    </row>
    <row r="788" ht="13.5" customHeight="1">
      <c r="E788" s="51"/>
      <c r="F788" s="12"/>
      <c r="G788" s="74"/>
      <c r="K788" s="51"/>
    </row>
    <row r="789" ht="13.5" customHeight="1">
      <c r="E789" s="51"/>
      <c r="F789" s="12"/>
      <c r="G789" s="74"/>
      <c r="K789" s="51"/>
    </row>
    <row r="790" ht="13.5" customHeight="1">
      <c r="E790" s="51"/>
      <c r="F790" s="12"/>
      <c r="G790" s="74"/>
      <c r="K790" s="51"/>
    </row>
    <row r="791" ht="13.5" customHeight="1">
      <c r="E791" s="51"/>
      <c r="F791" s="12"/>
      <c r="G791" s="74"/>
      <c r="K791" s="51"/>
    </row>
    <row r="792" ht="13.5" customHeight="1">
      <c r="E792" s="51"/>
      <c r="F792" s="12"/>
      <c r="G792" s="74"/>
      <c r="K792" s="51"/>
    </row>
    <row r="793" ht="13.5" customHeight="1">
      <c r="E793" s="51"/>
      <c r="F793" s="12"/>
      <c r="G793" s="74"/>
      <c r="K793" s="51"/>
    </row>
    <row r="794" ht="13.5" customHeight="1">
      <c r="E794" s="51"/>
      <c r="F794" s="12"/>
      <c r="G794" s="74"/>
      <c r="K794" s="51"/>
    </row>
    <row r="795" ht="13.5" customHeight="1">
      <c r="E795" s="51"/>
      <c r="F795" s="12"/>
      <c r="G795" s="74"/>
      <c r="K795" s="51"/>
    </row>
    <row r="796" ht="13.5" customHeight="1">
      <c r="E796" s="51"/>
      <c r="F796" s="12"/>
      <c r="G796" s="74"/>
      <c r="K796" s="51"/>
    </row>
    <row r="797" ht="13.5" customHeight="1">
      <c r="E797" s="51"/>
      <c r="F797" s="12"/>
      <c r="G797" s="74"/>
      <c r="K797" s="51"/>
    </row>
    <row r="798" ht="13.5" customHeight="1">
      <c r="E798" s="51"/>
      <c r="F798" s="12"/>
      <c r="G798" s="74"/>
      <c r="K798" s="51"/>
    </row>
    <row r="799" ht="13.5" customHeight="1">
      <c r="E799" s="51"/>
      <c r="F799" s="12"/>
      <c r="G799" s="74"/>
      <c r="K799" s="51"/>
    </row>
    <row r="800" ht="13.5" customHeight="1">
      <c r="E800" s="51"/>
      <c r="F800" s="12"/>
      <c r="G800" s="74"/>
      <c r="K800" s="51"/>
    </row>
    <row r="801" ht="13.5" customHeight="1">
      <c r="E801" s="51"/>
      <c r="F801" s="12"/>
      <c r="G801" s="74"/>
      <c r="K801" s="51"/>
    </row>
    <row r="802" ht="13.5" customHeight="1">
      <c r="E802" s="51"/>
      <c r="F802" s="12"/>
      <c r="G802" s="74"/>
      <c r="K802" s="51"/>
    </row>
    <row r="803" ht="13.5" customHeight="1">
      <c r="E803" s="51"/>
      <c r="F803" s="12"/>
      <c r="G803" s="74"/>
      <c r="K803" s="51"/>
    </row>
    <row r="804" ht="13.5" customHeight="1">
      <c r="E804" s="51"/>
      <c r="F804" s="12"/>
      <c r="G804" s="74"/>
      <c r="K804" s="51"/>
    </row>
    <row r="805" ht="13.5" customHeight="1">
      <c r="E805" s="51"/>
      <c r="F805" s="12"/>
      <c r="G805" s="74"/>
      <c r="K805" s="51"/>
    </row>
    <row r="806" ht="13.5" customHeight="1">
      <c r="E806" s="51"/>
      <c r="F806" s="12"/>
      <c r="G806" s="74"/>
      <c r="K806" s="51"/>
    </row>
    <row r="807" ht="13.5" customHeight="1">
      <c r="E807" s="51"/>
      <c r="F807" s="12"/>
      <c r="G807" s="74"/>
      <c r="K807" s="51"/>
    </row>
    <row r="808" ht="13.5" customHeight="1">
      <c r="E808" s="51"/>
      <c r="F808" s="12"/>
      <c r="G808" s="74"/>
      <c r="K808" s="51"/>
    </row>
    <row r="809" ht="13.5" customHeight="1">
      <c r="E809" s="51"/>
      <c r="F809" s="12"/>
      <c r="G809" s="74"/>
      <c r="K809" s="51"/>
    </row>
    <row r="810" ht="13.5" customHeight="1">
      <c r="E810" s="51"/>
      <c r="F810" s="12"/>
      <c r="G810" s="74"/>
      <c r="K810" s="51"/>
    </row>
    <row r="811" ht="13.5" customHeight="1">
      <c r="E811" s="51"/>
      <c r="F811" s="12"/>
      <c r="G811" s="74"/>
      <c r="K811" s="51"/>
    </row>
    <row r="812" ht="13.5" customHeight="1">
      <c r="E812" s="51"/>
      <c r="F812" s="12"/>
      <c r="G812" s="74"/>
      <c r="K812" s="51"/>
    </row>
    <row r="813" ht="13.5" customHeight="1">
      <c r="E813" s="51"/>
      <c r="F813" s="12"/>
      <c r="G813" s="74"/>
      <c r="K813" s="51"/>
    </row>
    <row r="814" ht="13.5" customHeight="1">
      <c r="E814" s="51"/>
      <c r="F814" s="12"/>
      <c r="G814" s="74"/>
      <c r="K814" s="51"/>
    </row>
    <row r="815" ht="13.5" customHeight="1">
      <c r="E815" s="51"/>
      <c r="F815" s="12"/>
      <c r="G815" s="74"/>
      <c r="K815" s="51"/>
    </row>
    <row r="816" ht="13.5" customHeight="1">
      <c r="E816" s="51"/>
      <c r="F816" s="12"/>
      <c r="G816" s="74"/>
      <c r="K816" s="51"/>
    </row>
    <row r="817" ht="13.5" customHeight="1">
      <c r="E817" s="51"/>
      <c r="F817" s="12"/>
      <c r="G817" s="74"/>
      <c r="K817" s="51"/>
    </row>
    <row r="818" ht="13.5" customHeight="1">
      <c r="E818" s="51"/>
      <c r="F818" s="12"/>
      <c r="G818" s="74"/>
      <c r="K818" s="51"/>
    </row>
    <row r="819" ht="13.5" customHeight="1">
      <c r="E819" s="51"/>
      <c r="F819" s="12"/>
      <c r="G819" s="74"/>
      <c r="K819" s="51"/>
    </row>
    <row r="820" ht="13.5" customHeight="1">
      <c r="E820" s="51"/>
      <c r="F820" s="12"/>
      <c r="G820" s="74"/>
      <c r="K820" s="51"/>
    </row>
    <row r="821" ht="13.5" customHeight="1">
      <c r="E821" s="51"/>
      <c r="F821" s="12"/>
      <c r="G821" s="74"/>
      <c r="K821" s="51"/>
    </row>
    <row r="822" ht="13.5" customHeight="1">
      <c r="E822" s="51"/>
      <c r="F822" s="12"/>
      <c r="G822" s="74"/>
      <c r="K822" s="51"/>
    </row>
    <row r="823" ht="13.5" customHeight="1">
      <c r="E823" s="51"/>
      <c r="F823" s="12"/>
      <c r="G823" s="74"/>
      <c r="K823" s="51"/>
    </row>
    <row r="824" ht="13.5" customHeight="1">
      <c r="E824" s="51"/>
      <c r="F824" s="12"/>
      <c r="G824" s="74"/>
      <c r="K824" s="51"/>
    </row>
    <row r="825" ht="13.5" customHeight="1">
      <c r="E825" s="51"/>
      <c r="F825" s="12"/>
      <c r="G825" s="74"/>
      <c r="K825" s="51"/>
    </row>
    <row r="826" ht="13.5" customHeight="1">
      <c r="E826" s="51"/>
      <c r="F826" s="12"/>
      <c r="G826" s="74"/>
      <c r="K826" s="51"/>
    </row>
    <row r="827" ht="13.5" customHeight="1">
      <c r="E827" s="51"/>
      <c r="F827" s="12"/>
      <c r="G827" s="74"/>
      <c r="K827" s="51"/>
    </row>
    <row r="828" ht="13.5" customHeight="1">
      <c r="E828" s="51"/>
      <c r="F828" s="12"/>
      <c r="G828" s="74"/>
      <c r="K828" s="51"/>
    </row>
    <row r="829" ht="13.5" customHeight="1">
      <c r="E829" s="51"/>
      <c r="F829" s="12"/>
      <c r="G829" s="74"/>
      <c r="K829" s="51"/>
    </row>
    <row r="830" ht="13.5" customHeight="1">
      <c r="E830" s="51"/>
      <c r="F830" s="12"/>
      <c r="G830" s="74"/>
      <c r="K830" s="51"/>
    </row>
    <row r="831" ht="13.5" customHeight="1">
      <c r="E831" s="51"/>
      <c r="F831" s="12"/>
      <c r="G831" s="74"/>
      <c r="K831" s="51"/>
    </row>
    <row r="832" ht="13.5" customHeight="1">
      <c r="E832" s="51"/>
      <c r="F832" s="12"/>
      <c r="G832" s="74"/>
      <c r="K832" s="51"/>
    </row>
    <row r="833" ht="13.5" customHeight="1">
      <c r="E833" s="51"/>
      <c r="F833" s="12"/>
      <c r="G833" s="74"/>
      <c r="K833" s="51"/>
    </row>
    <row r="834" ht="13.5" customHeight="1">
      <c r="E834" s="51"/>
      <c r="F834" s="12"/>
      <c r="G834" s="74"/>
      <c r="K834" s="51"/>
    </row>
    <row r="835" ht="13.5" customHeight="1">
      <c r="E835" s="51"/>
      <c r="F835" s="12"/>
      <c r="G835" s="74"/>
      <c r="K835" s="51"/>
    </row>
    <row r="836" ht="13.5" customHeight="1">
      <c r="E836" s="51"/>
      <c r="F836" s="12"/>
      <c r="G836" s="74"/>
      <c r="K836" s="51"/>
    </row>
    <row r="837" ht="13.5" customHeight="1">
      <c r="E837" s="51"/>
      <c r="F837" s="12"/>
      <c r="G837" s="74"/>
      <c r="K837" s="51"/>
    </row>
    <row r="838" ht="13.5" customHeight="1">
      <c r="E838" s="51"/>
      <c r="F838" s="12"/>
      <c r="G838" s="74"/>
      <c r="K838" s="51"/>
    </row>
    <row r="839" ht="13.5" customHeight="1">
      <c r="E839" s="51"/>
      <c r="F839" s="12"/>
      <c r="G839" s="74"/>
      <c r="K839" s="51"/>
    </row>
    <row r="840" ht="13.5" customHeight="1">
      <c r="E840" s="51"/>
      <c r="F840" s="12"/>
      <c r="G840" s="74"/>
      <c r="K840" s="51"/>
    </row>
    <row r="841" ht="13.5" customHeight="1">
      <c r="E841" s="51"/>
      <c r="F841" s="12"/>
      <c r="G841" s="74"/>
      <c r="K841" s="51"/>
    </row>
    <row r="842" ht="13.5" customHeight="1">
      <c r="E842" s="51"/>
      <c r="F842" s="12"/>
      <c r="G842" s="74"/>
      <c r="K842" s="51"/>
    </row>
    <row r="843" ht="13.5" customHeight="1">
      <c r="E843" s="51"/>
      <c r="F843" s="12"/>
      <c r="G843" s="74"/>
      <c r="K843" s="51"/>
    </row>
    <row r="844" ht="13.5" customHeight="1">
      <c r="E844" s="51"/>
      <c r="F844" s="12"/>
      <c r="G844" s="74"/>
      <c r="K844" s="51"/>
    </row>
    <row r="845" ht="13.5" customHeight="1">
      <c r="E845" s="51"/>
      <c r="F845" s="12"/>
      <c r="G845" s="74"/>
      <c r="K845" s="51"/>
    </row>
    <row r="846" ht="13.5" customHeight="1">
      <c r="E846" s="51"/>
      <c r="F846" s="12"/>
      <c r="G846" s="74"/>
      <c r="K846" s="51"/>
    </row>
    <row r="847" ht="13.5" customHeight="1">
      <c r="E847" s="51"/>
      <c r="F847" s="12"/>
      <c r="G847" s="74"/>
      <c r="K847" s="51"/>
    </row>
    <row r="848" ht="13.5" customHeight="1">
      <c r="E848" s="51"/>
      <c r="F848" s="12"/>
      <c r="G848" s="74"/>
      <c r="K848" s="51"/>
    </row>
    <row r="849" ht="13.5" customHeight="1">
      <c r="E849" s="51"/>
      <c r="F849" s="12"/>
      <c r="G849" s="74"/>
      <c r="K849" s="51"/>
    </row>
    <row r="850" ht="13.5" customHeight="1">
      <c r="E850" s="51"/>
      <c r="F850" s="12"/>
      <c r="G850" s="74"/>
      <c r="K850" s="51"/>
    </row>
    <row r="851" ht="13.5" customHeight="1">
      <c r="E851" s="51"/>
      <c r="F851" s="12"/>
      <c r="G851" s="74"/>
      <c r="K851" s="51"/>
    </row>
    <row r="852" ht="13.5" customHeight="1">
      <c r="E852" s="51"/>
      <c r="F852" s="12"/>
      <c r="G852" s="74"/>
      <c r="K852" s="51"/>
    </row>
    <row r="853" ht="13.5" customHeight="1">
      <c r="E853" s="51"/>
      <c r="F853" s="12"/>
      <c r="G853" s="74"/>
      <c r="K853" s="51"/>
    </row>
    <row r="854" ht="13.5" customHeight="1">
      <c r="E854" s="51"/>
      <c r="F854" s="12"/>
      <c r="G854" s="74"/>
      <c r="K854" s="51"/>
    </row>
    <row r="855" ht="13.5" customHeight="1">
      <c r="E855" s="51"/>
      <c r="F855" s="12"/>
      <c r="G855" s="74"/>
      <c r="K855" s="51"/>
    </row>
    <row r="856" ht="13.5" customHeight="1">
      <c r="E856" s="51"/>
      <c r="F856" s="12"/>
      <c r="G856" s="74"/>
      <c r="K856" s="51"/>
    </row>
    <row r="857" ht="13.5" customHeight="1">
      <c r="E857" s="51"/>
      <c r="F857" s="12"/>
      <c r="G857" s="74"/>
      <c r="K857" s="51"/>
    </row>
    <row r="858" ht="13.5" customHeight="1">
      <c r="E858" s="51"/>
      <c r="F858" s="12"/>
      <c r="G858" s="74"/>
      <c r="K858" s="51"/>
    </row>
    <row r="859" ht="13.5" customHeight="1">
      <c r="E859" s="51"/>
      <c r="F859" s="12"/>
      <c r="G859" s="74"/>
      <c r="K859" s="51"/>
    </row>
    <row r="860" ht="13.5" customHeight="1">
      <c r="E860" s="51"/>
      <c r="F860" s="12"/>
      <c r="G860" s="74"/>
      <c r="K860" s="51"/>
    </row>
    <row r="861" ht="13.5" customHeight="1">
      <c r="E861" s="51"/>
      <c r="F861" s="12"/>
      <c r="G861" s="74"/>
      <c r="K861" s="51"/>
    </row>
    <row r="862" ht="13.5" customHeight="1">
      <c r="E862" s="51"/>
      <c r="F862" s="12"/>
      <c r="G862" s="74"/>
      <c r="K862" s="51"/>
    </row>
    <row r="863" ht="13.5" customHeight="1">
      <c r="E863" s="51"/>
      <c r="F863" s="12"/>
      <c r="G863" s="74"/>
      <c r="K863" s="51"/>
    </row>
    <row r="864" ht="13.5" customHeight="1">
      <c r="E864" s="51"/>
      <c r="F864" s="12"/>
      <c r="G864" s="74"/>
      <c r="K864" s="51"/>
    </row>
    <row r="865" ht="13.5" customHeight="1">
      <c r="E865" s="51"/>
      <c r="F865" s="12"/>
      <c r="G865" s="74"/>
      <c r="K865" s="51"/>
    </row>
    <row r="866" ht="13.5" customHeight="1">
      <c r="E866" s="51"/>
      <c r="F866" s="12"/>
      <c r="G866" s="74"/>
      <c r="K866" s="51"/>
    </row>
    <row r="867" ht="13.5" customHeight="1">
      <c r="E867" s="51"/>
      <c r="F867" s="12"/>
      <c r="G867" s="74"/>
      <c r="K867" s="51"/>
    </row>
    <row r="868" ht="13.5" customHeight="1">
      <c r="E868" s="51"/>
      <c r="F868" s="12"/>
      <c r="G868" s="74"/>
      <c r="K868" s="51"/>
    </row>
    <row r="869" ht="13.5" customHeight="1">
      <c r="E869" s="51"/>
      <c r="F869" s="12"/>
      <c r="G869" s="74"/>
      <c r="K869" s="51"/>
    </row>
    <row r="870" ht="13.5" customHeight="1">
      <c r="E870" s="51"/>
      <c r="F870" s="12"/>
      <c r="G870" s="74"/>
      <c r="K870" s="51"/>
    </row>
    <row r="871" ht="13.5" customHeight="1">
      <c r="E871" s="51"/>
      <c r="F871" s="12"/>
      <c r="G871" s="74"/>
      <c r="K871" s="51"/>
    </row>
    <row r="872" ht="13.5" customHeight="1">
      <c r="E872" s="51"/>
      <c r="F872" s="12"/>
      <c r="G872" s="74"/>
      <c r="K872" s="51"/>
    </row>
    <row r="873" ht="13.5" customHeight="1">
      <c r="E873" s="51"/>
      <c r="F873" s="12"/>
      <c r="G873" s="74"/>
      <c r="K873" s="51"/>
    </row>
    <row r="874" ht="13.5" customHeight="1">
      <c r="E874" s="51"/>
      <c r="F874" s="12"/>
      <c r="G874" s="74"/>
      <c r="K874" s="51"/>
    </row>
    <row r="875" ht="13.5" customHeight="1">
      <c r="E875" s="51"/>
      <c r="F875" s="12"/>
      <c r="G875" s="74"/>
      <c r="K875" s="51"/>
    </row>
    <row r="876" ht="13.5" customHeight="1">
      <c r="E876" s="51"/>
      <c r="F876" s="12"/>
      <c r="G876" s="74"/>
      <c r="K876" s="51"/>
    </row>
    <row r="877" ht="13.5" customHeight="1">
      <c r="E877" s="51"/>
      <c r="F877" s="12"/>
      <c r="G877" s="74"/>
      <c r="K877" s="51"/>
    </row>
    <row r="878" ht="13.5" customHeight="1">
      <c r="E878" s="51"/>
      <c r="F878" s="12"/>
      <c r="G878" s="74"/>
      <c r="K878" s="51"/>
    </row>
    <row r="879" ht="13.5" customHeight="1">
      <c r="E879" s="51"/>
      <c r="F879" s="12"/>
      <c r="G879" s="74"/>
      <c r="K879" s="51"/>
    </row>
    <row r="880" ht="13.5" customHeight="1">
      <c r="E880" s="51"/>
      <c r="F880" s="12"/>
      <c r="G880" s="74"/>
      <c r="K880" s="51"/>
    </row>
    <row r="881" ht="13.5" customHeight="1">
      <c r="E881" s="51"/>
      <c r="F881" s="12"/>
      <c r="G881" s="74"/>
      <c r="K881" s="51"/>
    </row>
    <row r="882" ht="13.5" customHeight="1">
      <c r="E882" s="51"/>
      <c r="F882" s="12"/>
      <c r="G882" s="74"/>
      <c r="K882" s="51"/>
    </row>
    <row r="883" ht="13.5" customHeight="1">
      <c r="E883" s="51"/>
      <c r="F883" s="12"/>
      <c r="G883" s="74"/>
      <c r="K883" s="51"/>
    </row>
    <row r="884" ht="13.5" customHeight="1">
      <c r="E884" s="51"/>
      <c r="F884" s="12"/>
      <c r="G884" s="74"/>
      <c r="K884" s="51"/>
    </row>
    <row r="885" ht="13.5" customHeight="1">
      <c r="E885" s="51"/>
      <c r="F885" s="12"/>
      <c r="G885" s="74"/>
      <c r="K885" s="51"/>
    </row>
    <row r="886" ht="13.5" customHeight="1">
      <c r="E886" s="51"/>
      <c r="F886" s="12"/>
      <c r="G886" s="74"/>
      <c r="K886" s="51"/>
    </row>
    <row r="887" ht="13.5" customHeight="1">
      <c r="E887" s="51"/>
      <c r="F887" s="12"/>
      <c r="G887" s="74"/>
      <c r="K887" s="51"/>
    </row>
    <row r="888" ht="13.5" customHeight="1">
      <c r="E888" s="51"/>
      <c r="F888" s="12"/>
      <c r="G888" s="74"/>
      <c r="K888" s="51"/>
    </row>
    <row r="889" ht="13.5" customHeight="1">
      <c r="E889" s="51"/>
      <c r="F889" s="12"/>
      <c r="G889" s="74"/>
      <c r="K889" s="51"/>
    </row>
    <row r="890" ht="13.5" customHeight="1">
      <c r="E890" s="51"/>
      <c r="F890" s="12"/>
      <c r="G890" s="74"/>
      <c r="K890" s="51"/>
    </row>
    <row r="891" ht="13.5" customHeight="1">
      <c r="E891" s="51"/>
      <c r="F891" s="12"/>
      <c r="G891" s="74"/>
      <c r="K891" s="51"/>
    </row>
    <row r="892" ht="13.5" customHeight="1">
      <c r="E892" s="51"/>
      <c r="F892" s="12"/>
      <c r="G892" s="74"/>
      <c r="K892" s="51"/>
    </row>
    <row r="893" ht="13.5" customHeight="1">
      <c r="E893" s="51"/>
      <c r="F893" s="12"/>
      <c r="G893" s="74"/>
      <c r="K893" s="51"/>
    </row>
    <row r="894" ht="13.5" customHeight="1">
      <c r="E894" s="51"/>
      <c r="F894" s="12"/>
      <c r="G894" s="74"/>
      <c r="K894" s="51"/>
    </row>
    <row r="895" ht="13.5" customHeight="1">
      <c r="E895" s="51"/>
      <c r="F895" s="12"/>
      <c r="G895" s="74"/>
      <c r="K895" s="51"/>
    </row>
    <row r="896" ht="13.5" customHeight="1">
      <c r="E896" s="51"/>
      <c r="F896" s="12"/>
      <c r="G896" s="74"/>
      <c r="K896" s="51"/>
    </row>
    <row r="897" ht="13.5" customHeight="1">
      <c r="E897" s="51"/>
      <c r="F897" s="12"/>
      <c r="G897" s="74"/>
      <c r="K897" s="51"/>
    </row>
    <row r="898" ht="13.5" customHeight="1">
      <c r="E898" s="51"/>
      <c r="F898" s="12"/>
      <c r="G898" s="74"/>
      <c r="K898" s="51"/>
    </row>
    <row r="899" ht="13.5" customHeight="1">
      <c r="E899" s="51"/>
      <c r="F899" s="12"/>
      <c r="G899" s="74"/>
      <c r="K899" s="51"/>
    </row>
    <row r="900" ht="13.5" customHeight="1">
      <c r="E900" s="51"/>
      <c r="F900" s="12"/>
      <c r="G900" s="74"/>
      <c r="K900" s="51"/>
    </row>
    <row r="901" ht="13.5" customHeight="1">
      <c r="E901" s="51"/>
      <c r="F901" s="12"/>
      <c r="G901" s="74"/>
      <c r="K901" s="51"/>
    </row>
    <row r="902" ht="13.5" customHeight="1">
      <c r="E902" s="51"/>
      <c r="F902" s="12"/>
      <c r="G902" s="74"/>
      <c r="K902" s="51"/>
    </row>
    <row r="903" ht="13.5" customHeight="1">
      <c r="E903" s="51"/>
      <c r="F903" s="12"/>
      <c r="G903" s="74"/>
      <c r="K903" s="51"/>
    </row>
    <row r="904" ht="13.5" customHeight="1">
      <c r="E904" s="51"/>
      <c r="F904" s="12"/>
      <c r="G904" s="74"/>
      <c r="K904" s="51"/>
    </row>
    <row r="905" ht="13.5" customHeight="1">
      <c r="E905" s="51"/>
      <c r="F905" s="12"/>
      <c r="G905" s="74"/>
      <c r="K905" s="51"/>
    </row>
    <row r="906" ht="13.5" customHeight="1">
      <c r="E906" s="51"/>
      <c r="F906" s="12"/>
      <c r="G906" s="74"/>
      <c r="K906" s="51"/>
    </row>
    <row r="907" ht="13.5" customHeight="1">
      <c r="E907" s="51"/>
      <c r="F907" s="12"/>
      <c r="G907" s="74"/>
      <c r="K907" s="51"/>
    </row>
    <row r="908" ht="13.5" customHeight="1">
      <c r="E908" s="51"/>
      <c r="F908" s="12"/>
      <c r="G908" s="74"/>
      <c r="K908" s="51"/>
    </row>
    <row r="909" ht="13.5" customHeight="1">
      <c r="E909" s="51"/>
      <c r="F909" s="12"/>
      <c r="G909" s="74"/>
      <c r="K909" s="51"/>
    </row>
    <row r="910" ht="13.5" customHeight="1">
      <c r="E910" s="51"/>
      <c r="F910" s="12"/>
      <c r="G910" s="74"/>
      <c r="K910" s="51"/>
    </row>
    <row r="911" ht="13.5" customHeight="1">
      <c r="E911" s="51"/>
      <c r="F911" s="12"/>
      <c r="G911" s="74"/>
      <c r="K911" s="51"/>
    </row>
    <row r="912" ht="13.5" customHeight="1">
      <c r="E912" s="51"/>
      <c r="F912" s="12"/>
      <c r="G912" s="74"/>
      <c r="K912" s="51"/>
    </row>
    <row r="913" ht="13.5" customHeight="1">
      <c r="E913" s="51"/>
      <c r="F913" s="12"/>
      <c r="G913" s="74"/>
      <c r="K913" s="51"/>
    </row>
    <row r="914" ht="13.5" customHeight="1">
      <c r="E914" s="51"/>
      <c r="F914" s="12"/>
      <c r="G914" s="74"/>
      <c r="K914" s="51"/>
    </row>
    <row r="915" ht="13.5" customHeight="1">
      <c r="E915" s="51"/>
      <c r="F915" s="12"/>
      <c r="G915" s="74"/>
      <c r="K915" s="51"/>
    </row>
    <row r="916" ht="13.5" customHeight="1">
      <c r="E916" s="51"/>
      <c r="F916" s="12"/>
      <c r="G916" s="74"/>
      <c r="K916" s="51"/>
    </row>
    <row r="917" ht="13.5" customHeight="1">
      <c r="E917" s="51"/>
      <c r="F917" s="12"/>
      <c r="G917" s="74"/>
      <c r="K917" s="51"/>
    </row>
    <row r="918" ht="13.5" customHeight="1">
      <c r="E918" s="51"/>
      <c r="F918" s="12"/>
      <c r="G918" s="74"/>
      <c r="K918" s="51"/>
    </row>
    <row r="919" ht="13.5" customHeight="1">
      <c r="E919" s="51"/>
      <c r="F919" s="12"/>
      <c r="G919" s="74"/>
      <c r="K919" s="51"/>
    </row>
    <row r="920" ht="13.5" customHeight="1">
      <c r="E920" s="51"/>
      <c r="F920" s="12"/>
      <c r="G920" s="74"/>
      <c r="K920" s="51"/>
    </row>
    <row r="921" ht="13.5" customHeight="1">
      <c r="E921" s="51"/>
      <c r="F921" s="12"/>
      <c r="G921" s="74"/>
      <c r="K921" s="51"/>
    </row>
    <row r="922" ht="13.5" customHeight="1">
      <c r="E922" s="51"/>
      <c r="F922" s="12"/>
      <c r="G922" s="74"/>
      <c r="K922" s="51"/>
    </row>
    <row r="923" ht="13.5" customHeight="1">
      <c r="E923" s="51"/>
      <c r="F923" s="12"/>
      <c r="G923" s="74"/>
      <c r="K923" s="51"/>
    </row>
    <row r="924" ht="13.5" customHeight="1">
      <c r="E924" s="51"/>
      <c r="F924" s="12"/>
      <c r="G924" s="74"/>
      <c r="K924" s="51"/>
    </row>
    <row r="925" ht="13.5" customHeight="1">
      <c r="E925" s="51"/>
      <c r="F925" s="12"/>
      <c r="G925" s="74"/>
      <c r="K925" s="51"/>
    </row>
    <row r="926" ht="13.5" customHeight="1">
      <c r="E926" s="51"/>
      <c r="F926" s="12"/>
      <c r="G926" s="74"/>
      <c r="K926" s="51"/>
    </row>
    <row r="927" ht="13.5" customHeight="1">
      <c r="E927" s="51"/>
      <c r="F927" s="12"/>
      <c r="G927" s="74"/>
      <c r="K927" s="51"/>
    </row>
    <row r="928" ht="13.5" customHeight="1">
      <c r="E928" s="51"/>
      <c r="F928" s="12"/>
      <c r="G928" s="74"/>
      <c r="K928" s="51"/>
    </row>
    <row r="929" ht="13.5" customHeight="1">
      <c r="E929" s="51"/>
      <c r="F929" s="12"/>
      <c r="G929" s="74"/>
      <c r="K929" s="51"/>
    </row>
    <row r="930" ht="13.5" customHeight="1">
      <c r="E930" s="51"/>
      <c r="F930" s="12"/>
      <c r="G930" s="74"/>
      <c r="K930" s="51"/>
    </row>
    <row r="931" ht="13.5" customHeight="1">
      <c r="E931" s="51"/>
      <c r="F931" s="12"/>
      <c r="G931" s="74"/>
      <c r="K931" s="51"/>
    </row>
    <row r="932" ht="13.5" customHeight="1">
      <c r="E932" s="51"/>
      <c r="F932" s="12"/>
      <c r="G932" s="74"/>
      <c r="K932" s="51"/>
    </row>
    <row r="933" ht="13.5" customHeight="1">
      <c r="E933" s="51"/>
      <c r="F933" s="12"/>
      <c r="G933" s="74"/>
      <c r="K933" s="51"/>
    </row>
    <row r="934" ht="13.5" customHeight="1">
      <c r="E934" s="51"/>
      <c r="F934" s="12"/>
      <c r="G934" s="74"/>
      <c r="K934" s="51"/>
    </row>
    <row r="935" ht="13.5" customHeight="1">
      <c r="E935" s="51"/>
      <c r="F935" s="12"/>
      <c r="G935" s="74"/>
      <c r="K935" s="51"/>
    </row>
    <row r="936" ht="13.5" customHeight="1">
      <c r="E936" s="51"/>
      <c r="F936" s="12"/>
      <c r="G936" s="74"/>
      <c r="K936" s="51"/>
    </row>
    <row r="937" ht="13.5" customHeight="1">
      <c r="E937" s="51"/>
      <c r="F937" s="12"/>
      <c r="G937" s="74"/>
      <c r="K937" s="51"/>
    </row>
    <row r="938" ht="13.5" customHeight="1">
      <c r="E938" s="51"/>
      <c r="F938" s="12"/>
      <c r="G938" s="74"/>
      <c r="K938" s="51"/>
    </row>
    <row r="939" ht="13.5" customHeight="1">
      <c r="E939" s="51"/>
      <c r="F939" s="12"/>
      <c r="G939" s="74"/>
      <c r="K939" s="51"/>
    </row>
    <row r="940" ht="13.5" customHeight="1">
      <c r="E940" s="51"/>
      <c r="F940" s="12"/>
      <c r="G940" s="74"/>
      <c r="K940" s="51"/>
    </row>
    <row r="941" ht="13.5" customHeight="1">
      <c r="E941" s="51"/>
      <c r="F941" s="12"/>
      <c r="G941" s="74"/>
      <c r="K941" s="51"/>
    </row>
    <row r="942" ht="13.5" customHeight="1">
      <c r="E942" s="51"/>
      <c r="F942" s="12"/>
      <c r="G942" s="74"/>
      <c r="K942" s="51"/>
    </row>
    <row r="943" ht="13.5" customHeight="1">
      <c r="E943" s="51"/>
      <c r="F943" s="12"/>
      <c r="G943" s="74"/>
      <c r="K943" s="51"/>
    </row>
    <row r="944" ht="13.5" customHeight="1">
      <c r="E944" s="51"/>
      <c r="F944" s="12"/>
      <c r="G944" s="74"/>
      <c r="K944" s="51"/>
    </row>
    <row r="945" ht="13.5" customHeight="1">
      <c r="E945" s="51"/>
      <c r="F945" s="12"/>
      <c r="G945" s="74"/>
      <c r="K945" s="51"/>
    </row>
    <row r="946" ht="13.5" customHeight="1">
      <c r="E946" s="51"/>
      <c r="F946" s="12"/>
      <c r="G946" s="74"/>
      <c r="K946" s="51"/>
    </row>
    <row r="947" ht="13.5" customHeight="1">
      <c r="E947" s="51"/>
      <c r="F947" s="12"/>
      <c r="G947" s="74"/>
      <c r="K947" s="51"/>
    </row>
    <row r="948" ht="13.5" customHeight="1">
      <c r="E948" s="51"/>
      <c r="F948" s="12"/>
      <c r="G948" s="74"/>
      <c r="K948" s="51"/>
    </row>
    <row r="949" ht="13.5" customHeight="1">
      <c r="E949" s="51"/>
      <c r="F949" s="12"/>
      <c r="G949" s="74"/>
      <c r="K949" s="51"/>
    </row>
    <row r="950" ht="13.5" customHeight="1">
      <c r="E950" s="51"/>
      <c r="F950" s="12"/>
      <c r="G950" s="74"/>
      <c r="K950" s="51"/>
    </row>
    <row r="951" ht="13.5" customHeight="1">
      <c r="E951" s="51"/>
      <c r="F951" s="12"/>
      <c r="G951" s="74"/>
      <c r="K951" s="51"/>
    </row>
    <row r="952" ht="13.5" customHeight="1">
      <c r="E952" s="51"/>
      <c r="F952" s="12"/>
      <c r="G952" s="74"/>
      <c r="K952" s="51"/>
    </row>
    <row r="953" ht="13.5" customHeight="1">
      <c r="E953" s="51"/>
      <c r="F953" s="12"/>
      <c r="G953" s="74"/>
      <c r="K953" s="51"/>
    </row>
    <row r="954" ht="13.5" customHeight="1">
      <c r="E954" s="51"/>
      <c r="F954" s="12"/>
      <c r="G954" s="74"/>
      <c r="K954" s="51"/>
    </row>
    <row r="955" ht="13.5" customHeight="1">
      <c r="E955" s="51"/>
      <c r="F955" s="12"/>
      <c r="G955" s="74"/>
      <c r="K955" s="51"/>
    </row>
    <row r="956" ht="13.5" customHeight="1">
      <c r="E956" s="51"/>
      <c r="F956" s="12"/>
      <c r="G956" s="74"/>
      <c r="K956" s="51"/>
    </row>
    <row r="957" ht="13.5" customHeight="1">
      <c r="E957" s="51"/>
      <c r="F957" s="12"/>
      <c r="G957" s="74"/>
      <c r="K957" s="51"/>
    </row>
    <row r="958" ht="13.5" customHeight="1">
      <c r="E958" s="51"/>
      <c r="F958" s="12"/>
      <c r="G958" s="74"/>
      <c r="K958" s="51"/>
    </row>
    <row r="959" ht="13.5" customHeight="1">
      <c r="E959" s="51"/>
      <c r="F959" s="12"/>
      <c r="G959" s="74"/>
      <c r="K959" s="51"/>
    </row>
    <row r="960" ht="13.5" customHeight="1">
      <c r="E960" s="51"/>
      <c r="F960" s="12"/>
      <c r="G960" s="74"/>
      <c r="K960" s="51"/>
    </row>
    <row r="961" ht="13.5" customHeight="1">
      <c r="E961" s="51"/>
      <c r="F961" s="12"/>
      <c r="G961" s="74"/>
      <c r="K961" s="51"/>
    </row>
    <row r="962" ht="13.5" customHeight="1">
      <c r="E962" s="51"/>
      <c r="F962" s="12"/>
      <c r="G962" s="74"/>
      <c r="K962" s="51"/>
    </row>
    <row r="963" ht="13.5" customHeight="1">
      <c r="E963" s="51"/>
      <c r="F963" s="12"/>
      <c r="G963" s="74"/>
      <c r="K963" s="51"/>
    </row>
    <row r="964" ht="13.5" customHeight="1">
      <c r="E964" s="51"/>
      <c r="F964" s="12"/>
      <c r="G964" s="74"/>
      <c r="K964" s="51"/>
    </row>
    <row r="965" ht="13.5" customHeight="1">
      <c r="E965" s="51"/>
      <c r="F965" s="12"/>
      <c r="G965" s="74"/>
      <c r="K965" s="51"/>
    </row>
    <row r="966" ht="13.5" customHeight="1">
      <c r="E966" s="51"/>
      <c r="F966" s="12"/>
      <c r="G966" s="74"/>
      <c r="K966" s="51"/>
    </row>
    <row r="967" ht="13.5" customHeight="1">
      <c r="E967" s="51"/>
      <c r="F967" s="12"/>
      <c r="G967" s="74"/>
      <c r="K967" s="51"/>
    </row>
    <row r="968" ht="13.5" customHeight="1">
      <c r="E968" s="51"/>
      <c r="F968" s="12"/>
      <c r="G968" s="74"/>
      <c r="K968" s="51"/>
    </row>
    <row r="969" ht="13.5" customHeight="1">
      <c r="E969" s="51"/>
      <c r="F969" s="12"/>
      <c r="G969" s="74"/>
      <c r="K969" s="51"/>
    </row>
    <row r="970" ht="13.5" customHeight="1">
      <c r="E970" s="51"/>
      <c r="F970" s="12"/>
      <c r="G970" s="74"/>
      <c r="K970" s="51"/>
    </row>
    <row r="971" ht="13.5" customHeight="1">
      <c r="E971" s="51"/>
      <c r="F971" s="12"/>
      <c r="G971" s="74"/>
      <c r="K971" s="51"/>
    </row>
    <row r="972" ht="13.5" customHeight="1">
      <c r="E972" s="51"/>
      <c r="F972" s="12"/>
      <c r="G972" s="74"/>
      <c r="K972" s="51"/>
    </row>
    <row r="973" ht="13.5" customHeight="1">
      <c r="E973" s="51"/>
      <c r="F973" s="12"/>
      <c r="G973" s="74"/>
      <c r="K973" s="51"/>
    </row>
    <row r="974" ht="13.5" customHeight="1">
      <c r="E974" s="51"/>
      <c r="F974" s="12"/>
      <c r="G974" s="74"/>
      <c r="K974" s="51"/>
    </row>
    <row r="975" ht="13.5" customHeight="1">
      <c r="E975" s="51"/>
      <c r="F975" s="12"/>
      <c r="G975" s="74"/>
      <c r="K975" s="51"/>
    </row>
    <row r="976" ht="13.5" customHeight="1">
      <c r="E976" s="51"/>
      <c r="F976" s="12"/>
      <c r="G976" s="74"/>
      <c r="K976" s="51"/>
    </row>
    <row r="977" ht="13.5" customHeight="1">
      <c r="E977" s="51"/>
      <c r="F977" s="12"/>
      <c r="G977" s="74"/>
      <c r="K977" s="51"/>
    </row>
    <row r="978" ht="13.5" customHeight="1">
      <c r="E978" s="51"/>
      <c r="F978" s="12"/>
      <c r="G978" s="74"/>
      <c r="K978" s="51"/>
    </row>
    <row r="979" ht="13.5" customHeight="1">
      <c r="E979" s="51"/>
      <c r="F979" s="12"/>
      <c r="G979" s="74"/>
      <c r="K979" s="51"/>
    </row>
    <row r="980" ht="13.5" customHeight="1">
      <c r="E980" s="51"/>
      <c r="F980" s="12"/>
      <c r="G980" s="74"/>
      <c r="K980" s="51"/>
    </row>
    <row r="981" ht="13.5" customHeight="1">
      <c r="E981" s="51"/>
      <c r="F981" s="12"/>
      <c r="G981" s="74"/>
      <c r="K981" s="51"/>
    </row>
    <row r="982" ht="13.5" customHeight="1">
      <c r="E982" s="51"/>
      <c r="F982" s="12"/>
      <c r="G982" s="74"/>
      <c r="K982" s="51"/>
    </row>
    <row r="983" ht="13.5" customHeight="1">
      <c r="E983" s="51"/>
      <c r="F983" s="12"/>
      <c r="G983" s="74"/>
      <c r="K983" s="51"/>
    </row>
    <row r="984" ht="13.5" customHeight="1">
      <c r="E984" s="51"/>
      <c r="F984" s="12"/>
      <c r="G984" s="74"/>
      <c r="K984" s="51"/>
    </row>
    <row r="985" ht="13.5" customHeight="1">
      <c r="E985" s="51"/>
      <c r="F985" s="12"/>
      <c r="G985" s="74"/>
      <c r="K985" s="51"/>
    </row>
    <row r="986" ht="13.5" customHeight="1">
      <c r="E986" s="51"/>
      <c r="F986" s="12"/>
      <c r="G986" s="74"/>
      <c r="K986" s="51"/>
    </row>
    <row r="987" ht="13.5" customHeight="1">
      <c r="E987" s="51"/>
      <c r="F987" s="12"/>
      <c r="G987" s="74"/>
      <c r="K987" s="51"/>
    </row>
    <row r="988" ht="13.5" customHeight="1">
      <c r="E988" s="51"/>
      <c r="F988" s="12"/>
      <c r="G988" s="74"/>
      <c r="K988" s="51"/>
    </row>
    <row r="989" ht="13.5" customHeight="1">
      <c r="E989" s="51"/>
      <c r="F989" s="12"/>
      <c r="G989" s="74"/>
      <c r="K989" s="51"/>
    </row>
    <row r="990" ht="13.5" customHeight="1">
      <c r="E990" s="51"/>
      <c r="F990" s="12"/>
      <c r="G990" s="74"/>
      <c r="K990" s="51"/>
    </row>
    <row r="991" ht="13.5" customHeight="1">
      <c r="E991" s="51"/>
      <c r="F991" s="12"/>
      <c r="G991" s="74"/>
      <c r="K991" s="51"/>
    </row>
    <row r="992" ht="13.5" customHeight="1">
      <c r="E992" s="51"/>
      <c r="F992" s="12"/>
      <c r="G992" s="74"/>
      <c r="K992" s="51"/>
    </row>
    <row r="993" ht="13.5" customHeight="1">
      <c r="E993" s="51"/>
      <c r="F993" s="12"/>
      <c r="G993" s="74"/>
      <c r="K993" s="51"/>
    </row>
    <row r="994" ht="13.5" customHeight="1">
      <c r="E994" s="51"/>
      <c r="F994" s="12"/>
      <c r="G994" s="74"/>
      <c r="K994" s="51"/>
    </row>
    <row r="995" ht="13.5" customHeight="1">
      <c r="E995" s="51"/>
      <c r="F995" s="12"/>
      <c r="G995" s="74"/>
      <c r="K995" s="51"/>
    </row>
    <row r="996" ht="13.5" customHeight="1">
      <c r="E996" s="51"/>
      <c r="F996" s="12"/>
      <c r="G996" s="74"/>
      <c r="K996" s="51"/>
    </row>
    <row r="997" ht="13.5" customHeight="1">
      <c r="E997" s="51"/>
      <c r="F997" s="12"/>
      <c r="G997" s="74"/>
      <c r="K997" s="51"/>
    </row>
    <row r="998" ht="13.5" customHeight="1">
      <c r="E998" s="51"/>
      <c r="F998" s="12"/>
      <c r="G998" s="74"/>
      <c r="K998" s="51"/>
    </row>
    <row r="999" ht="13.5" customHeight="1">
      <c r="E999" s="51"/>
      <c r="F999" s="12"/>
      <c r="G999" s="74"/>
      <c r="K999" s="51"/>
    </row>
    <row r="1000" ht="13.5" customHeight="1">
      <c r="E1000" s="51"/>
      <c r="F1000" s="12"/>
      <c r="G1000" s="74"/>
      <c r="K1000" s="51"/>
    </row>
  </sheetData>
  <autoFilter ref="$A$1:$E$66"/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5.75"/>
    <col customWidth="1" min="3" max="3" width="7.75"/>
    <col customWidth="1" min="4" max="4" width="12.63"/>
    <col customWidth="1" min="5" max="5" width="15.5"/>
    <col customWidth="1" min="6" max="6" width="9.88"/>
    <col customWidth="1" min="7" max="7" width="28.38"/>
    <col customWidth="1" min="8" max="8" width="11.25"/>
    <col customWidth="1" min="9" max="9" width="4.5"/>
    <col customWidth="1" min="10" max="10" width="27.38"/>
    <col customWidth="1" min="11" max="11" width="15.5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2.75" customHeight="1">
      <c r="A2" s="14">
        <v>1.0</v>
      </c>
      <c r="B2" s="14" t="s">
        <v>9</v>
      </c>
      <c r="C2" s="14">
        <v>2130870.0</v>
      </c>
      <c r="D2" s="16">
        <v>46219.0</v>
      </c>
      <c r="E2" s="17">
        <v>59234.25</v>
      </c>
      <c r="F2" s="14" t="s">
        <v>12</v>
      </c>
      <c r="G2" s="14" t="s">
        <v>19</v>
      </c>
      <c r="H2" s="14"/>
      <c r="I2" s="14"/>
      <c r="J2" s="21">
        <v>183463.0</v>
      </c>
      <c r="K2" s="29">
        <v>72380.78999999996</v>
      </c>
    </row>
    <row r="3" ht="13.5" customHeight="1">
      <c r="A3" s="14">
        <v>2.0</v>
      </c>
      <c r="B3" s="14" t="s">
        <v>9</v>
      </c>
      <c r="C3" s="14">
        <v>2130870.0</v>
      </c>
      <c r="D3" s="16">
        <v>46219.0</v>
      </c>
      <c r="E3" s="17">
        <v>7128422.54</v>
      </c>
      <c r="F3" s="14" t="s">
        <v>10</v>
      </c>
      <c r="G3" s="14" t="s">
        <v>19</v>
      </c>
      <c r="H3" s="14"/>
      <c r="I3" s="14"/>
      <c r="J3" s="21">
        <v>183464.0</v>
      </c>
      <c r="K3" s="29">
        <v>1588466.7300000002</v>
      </c>
    </row>
    <row r="4" ht="13.5" customHeight="1">
      <c r="A4" s="14">
        <v>3.0</v>
      </c>
      <c r="B4" s="14" t="s">
        <v>16</v>
      </c>
      <c r="C4" s="14">
        <v>2050752.0</v>
      </c>
      <c r="D4" s="16">
        <v>46219.0</v>
      </c>
      <c r="E4" s="17">
        <v>3741.52</v>
      </c>
      <c r="F4" s="14" t="s">
        <v>50</v>
      </c>
      <c r="G4" s="14" t="s">
        <v>19</v>
      </c>
      <c r="H4" s="14"/>
      <c r="I4" s="14"/>
      <c r="J4" s="21">
        <v>183465.0</v>
      </c>
      <c r="K4" s="29">
        <v>660169.1300000001</v>
      </c>
    </row>
    <row r="5" ht="13.5" customHeight="1">
      <c r="A5" s="14">
        <v>4.0</v>
      </c>
      <c r="B5" s="14" t="s">
        <v>16</v>
      </c>
      <c r="C5" s="14">
        <v>2090821.0</v>
      </c>
      <c r="D5" s="16">
        <v>46219.0</v>
      </c>
      <c r="E5" s="17">
        <v>643.07</v>
      </c>
      <c r="F5" s="14"/>
      <c r="G5" s="14" t="s">
        <v>19</v>
      </c>
      <c r="H5" s="14"/>
      <c r="I5" s="14"/>
      <c r="J5" s="21">
        <v>183468.0</v>
      </c>
      <c r="K5" s="29">
        <v>2365.6</v>
      </c>
    </row>
    <row r="6" ht="13.5" customHeight="1">
      <c r="A6" s="14">
        <v>5.0</v>
      </c>
      <c r="B6" s="14" t="s">
        <v>16</v>
      </c>
      <c r="C6" s="14">
        <v>2090821.0</v>
      </c>
      <c r="D6" s="16">
        <v>46219.0</v>
      </c>
      <c r="E6" s="17">
        <v>1122.73</v>
      </c>
      <c r="F6" s="14"/>
      <c r="G6" s="14" t="s">
        <v>19</v>
      </c>
      <c r="H6" s="14"/>
      <c r="I6" s="14"/>
      <c r="J6" s="21">
        <v>183474.0</v>
      </c>
      <c r="K6" s="29">
        <v>755.28</v>
      </c>
    </row>
    <row r="7" ht="13.5" customHeight="1">
      <c r="A7" s="30">
        <v>6.0</v>
      </c>
      <c r="B7" s="30" t="s">
        <v>16</v>
      </c>
      <c r="C7" s="30">
        <v>2090821.0</v>
      </c>
      <c r="D7" s="31">
        <v>46219.0</v>
      </c>
      <c r="E7" s="32">
        <v>1370.55</v>
      </c>
      <c r="F7" s="30"/>
      <c r="G7" s="30" t="s">
        <v>19</v>
      </c>
      <c r="H7" s="14"/>
      <c r="I7" s="14"/>
      <c r="J7" s="21">
        <v>183475.0</v>
      </c>
      <c r="K7" s="29">
        <v>5935.88</v>
      </c>
    </row>
    <row r="8" ht="13.5" customHeight="1">
      <c r="A8" s="23">
        <v>8.0</v>
      </c>
      <c r="B8" s="23" t="s">
        <v>20</v>
      </c>
      <c r="C8" s="23">
        <v>1200393.0</v>
      </c>
      <c r="D8" s="49">
        <v>46219.0</v>
      </c>
      <c r="E8" s="29">
        <v>594617.92</v>
      </c>
      <c r="F8" s="23"/>
      <c r="G8" s="23" t="s">
        <v>19</v>
      </c>
      <c r="H8" s="14"/>
      <c r="I8" s="14"/>
      <c r="J8" s="21" t="s">
        <v>144</v>
      </c>
      <c r="K8" s="29">
        <v>1394.56</v>
      </c>
    </row>
    <row r="9" ht="13.5" customHeight="1">
      <c r="A9" s="23">
        <v>15.0</v>
      </c>
      <c r="B9" s="23" t="s">
        <v>20</v>
      </c>
      <c r="C9" s="23">
        <v>1200393.0</v>
      </c>
      <c r="D9" s="49">
        <v>46219.0</v>
      </c>
      <c r="E9" s="29">
        <v>16714.56</v>
      </c>
      <c r="F9" s="23"/>
      <c r="G9" s="23" t="s">
        <v>19</v>
      </c>
      <c r="H9" s="14"/>
      <c r="I9" s="14"/>
      <c r="J9" s="14"/>
      <c r="K9" s="17"/>
    </row>
    <row r="10" ht="13.5" customHeight="1">
      <c r="A10" s="23">
        <v>16.0</v>
      </c>
      <c r="B10" s="23" t="s">
        <v>20</v>
      </c>
      <c r="C10" s="23">
        <v>1040211.0</v>
      </c>
      <c r="D10" s="49">
        <v>46219.0</v>
      </c>
      <c r="E10" s="29">
        <v>55666.23</v>
      </c>
      <c r="F10" s="23"/>
      <c r="G10" s="23" t="s">
        <v>19</v>
      </c>
      <c r="H10" s="14"/>
      <c r="I10" s="14"/>
      <c r="J10" s="14"/>
      <c r="K10" s="17"/>
    </row>
    <row r="11" ht="13.5" customHeight="1">
      <c r="A11" s="23">
        <v>17.0</v>
      </c>
      <c r="B11" s="23" t="s">
        <v>20</v>
      </c>
      <c r="C11" s="23">
        <v>1040211.0</v>
      </c>
      <c r="D11" s="49">
        <v>46219.0</v>
      </c>
      <c r="E11" s="29">
        <v>988078.98</v>
      </c>
      <c r="F11" s="23"/>
      <c r="G11" s="23" t="s">
        <v>19</v>
      </c>
      <c r="H11" s="14"/>
      <c r="I11" s="14"/>
      <c r="J11" s="14"/>
      <c r="K11" s="17"/>
    </row>
    <row r="12" ht="13.5" customHeight="1">
      <c r="A12" s="23">
        <v>18.0</v>
      </c>
      <c r="B12" s="23" t="s">
        <v>20</v>
      </c>
      <c r="C12" s="23">
        <v>1200393.0</v>
      </c>
      <c r="D12" s="49">
        <v>46219.0</v>
      </c>
      <c r="E12" s="29">
        <v>5769.83</v>
      </c>
      <c r="F12" s="23"/>
      <c r="G12" s="23" t="s">
        <v>19</v>
      </c>
      <c r="H12" s="14"/>
      <c r="I12" s="14"/>
      <c r="J12" s="14"/>
      <c r="K12" s="17"/>
    </row>
    <row r="13" ht="13.5" customHeight="1">
      <c r="A13" s="23">
        <v>20.0</v>
      </c>
      <c r="B13" s="23" t="s">
        <v>20</v>
      </c>
      <c r="C13" s="23">
        <v>1040250.0</v>
      </c>
      <c r="D13" s="49">
        <v>46219.0</v>
      </c>
      <c r="E13" s="29">
        <v>515485.31</v>
      </c>
      <c r="F13" s="23"/>
      <c r="G13" s="23" t="s">
        <v>19</v>
      </c>
      <c r="H13" s="14"/>
      <c r="I13" s="14"/>
      <c r="J13" s="14"/>
      <c r="K13" s="17"/>
    </row>
    <row r="14" ht="13.5" customHeight="1">
      <c r="A14" s="23">
        <v>22.0</v>
      </c>
      <c r="B14" s="23" t="s">
        <v>20</v>
      </c>
      <c r="C14" s="23">
        <v>1200393.0</v>
      </c>
      <c r="D14" s="49">
        <v>46219.0</v>
      </c>
      <c r="E14" s="29">
        <v>3585.84</v>
      </c>
      <c r="F14" s="33"/>
      <c r="G14" s="23" t="s">
        <v>19</v>
      </c>
      <c r="H14" s="14"/>
      <c r="I14" s="14"/>
      <c r="J14" s="14"/>
      <c r="K14" s="17"/>
    </row>
    <row r="15" ht="13.5" customHeight="1">
      <c r="A15" s="23">
        <v>23.0</v>
      </c>
      <c r="B15" s="23" t="s">
        <v>20</v>
      </c>
      <c r="C15" s="23">
        <v>1200393.0</v>
      </c>
      <c r="D15" s="49">
        <v>46219.0</v>
      </c>
      <c r="E15" s="29">
        <v>141097.98</v>
      </c>
      <c r="F15" s="33"/>
      <c r="G15" s="23" t="s">
        <v>19</v>
      </c>
      <c r="H15" s="14"/>
      <c r="I15" s="14"/>
      <c r="J15" s="14"/>
      <c r="K15" s="17"/>
    </row>
    <row r="16" ht="13.5" customHeight="1">
      <c r="A16" s="14">
        <v>24.0</v>
      </c>
      <c r="B16" s="14" t="s">
        <v>20</v>
      </c>
      <c r="C16" s="14">
        <v>1060345.0</v>
      </c>
      <c r="D16" s="16">
        <v>46219.0</v>
      </c>
      <c r="E16" s="17">
        <v>3600000.0</v>
      </c>
      <c r="F16" s="15"/>
      <c r="G16" s="14" t="s">
        <v>19</v>
      </c>
      <c r="H16" s="14"/>
      <c r="I16" s="14"/>
      <c r="J16" s="14"/>
      <c r="K16" s="17"/>
    </row>
    <row r="17" ht="13.5" customHeight="1">
      <c r="A17" s="23">
        <v>27.0</v>
      </c>
      <c r="B17" s="23" t="s">
        <v>47</v>
      </c>
      <c r="C17" s="23">
        <v>1170144.0</v>
      </c>
      <c r="D17" s="49">
        <v>46219.0</v>
      </c>
      <c r="E17" s="29">
        <v>1205.15</v>
      </c>
      <c r="F17" s="33"/>
      <c r="G17" s="23" t="s">
        <v>19</v>
      </c>
      <c r="H17" s="14"/>
      <c r="I17" s="14"/>
      <c r="J17" s="14"/>
      <c r="K17" s="17"/>
    </row>
    <row r="18" ht="13.5" customHeight="1">
      <c r="A18" s="23">
        <v>28.0</v>
      </c>
      <c r="B18" s="23" t="s">
        <v>47</v>
      </c>
      <c r="C18" s="23">
        <v>1170144.0</v>
      </c>
      <c r="D18" s="49">
        <v>46219.0</v>
      </c>
      <c r="E18" s="29">
        <v>491.09</v>
      </c>
      <c r="F18" s="33"/>
      <c r="G18" s="23" t="s">
        <v>19</v>
      </c>
      <c r="H18" s="14"/>
      <c r="I18" s="14"/>
      <c r="J18" s="14"/>
      <c r="K18" s="17"/>
    </row>
    <row r="19" ht="13.5" customHeight="1">
      <c r="A19" s="23">
        <v>29.0</v>
      </c>
      <c r="B19" s="23" t="s">
        <v>47</v>
      </c>
      <c r="C19" s="23">
        <v>1170144.0</v>
      </c>
      <c r="D19" s="49">
        <v>46219.0</v>
      </c>
      <c r="E19" s="29">
        <v>394.42</v>
      </c>
      <c r="F19" s="33"/>
      <c r="G19" s="23" t="s">
        <v>19</v>
      </c>
      <c r="H19" s="14"/>
      <c r="I19" s="14"/>
      <c r="J19" s="14"/>
      <c r="K19" s="17"/>
    </row>
    <row r="20" ht="13.5" customHeight="1">
      <c r="A20" s="23">
        <v>30.0</v>
      </c>
      <c r="B20" s="23" t="s">
        <v>47</v>
      </c>
      <c r="C20" s="23">
        <v>1170144.0</v>
      </c>
      <c r="D20" s="49">
        <v>46219.0</v>
      </c>
      <c r="E20" s="29">
        <v>92.68</v>
      </c>
      <c r="F20" s="33"/>
      <c r="G20" s="23" t="s">
        <v>19</v>
      </c>
      <c r="H20" s="14"/>
      <c r="I20" s="14"/>
      <c r="J20" s="14"/>
      <c r="K20" s="17"/>
    </row>
    <row r="21" ht="13.5" customHeight="1">
      <c r="A21" s="23">
        <v>31.0</v>
      </c>
      <c r="B21" s="23" t="s">
        <v>47</v>
      </c>
      <c r="C21" s="23">
        <v>1170144.0</v>
      </c>
      <c r="D21" s="49">
        <v>46219.0</v>
      </c>
      <c r="E21" s="29">
        <v>89.78</v>
      </c>
      <c r="F21" s="33"/>
      <c r="G21" s="23" t="s">
        <v>19</v>
      </c>
      <c r="H21" s="14"/>
      <c r="I21" s="14"/>
      <c r="J21" s="14"/>
      <c r="K21" s="17"/>
    </row>
    <row r="22" ht="13.5" customHeight="1">
      <c r="A22" s="23">
        <v>32.0</v>
      </c>
      <c r="B22" s="23" t="s">
        <v>47</v>
      </c>
      <c r="C22" s="23">
        <v>1170144.0</v>
      </c>
      <c r="D22" s="49">
        <v>46219.0</v>
      </c>
      <c r="E22" s="29">
        <v>42.4</v>
      </c>
      <c r="F22" s="33"/>
      <c r="G22" s="23" t="s">
        <v>19</v>
      </c>
      <c r="H22" s="14"/>
      <c r="I22" s="14"/>
      <c r="J22" s="14"/>
      <c r="K22" s="17"/>
    </row>
    <row r="23" ht="13.5" customHeight="1">
      <c r="A23" s="23">
        <v>33.0</v>
      </c>
      <c r="B23" s="23" t="s">
        <v>47</v>
      </c>
      <c r="C23" s="23">
        <v>1170144.0</v>
      </c>
      <c r="D23" s="49">
        <v>46219.0</v>
      </c>
      <c r="E23" s="29">
        <v>50.08</v>
      </c>
      <c r="F23" s="33"/>
      <c r="G23" s="23" t="s">
        <v>19</v>
      </c>
      <c r="H23" s="14"/>
      <c r="I23" s="14"/>
      <c r="J23" s="14"/>
      <c r="K23" s="17"/>
    </row>
    <row r="24" ht="13.5" customHeight="1">
      <c r="A24" s="23">
        <v>38.0</v>
      </c>
      <c r="B24" s="23" t="s">
        <v>47</v>
      </c>
      <c r="C24" s="23">
        <v>1170144.0</v>
      </c>
      <c r="D24" s="49">
        <v>46219.0</v>
      </c>
      <c r="E24" s="29">
        <v>4235.56</v>
      </c>
      <c r="F24" s="33"/>
      <c r="G24" s="23" t="s">
        <v>19</v>
      </c>
      <c r="H24" s="14"/>
      <c r="I24" s="14"/>
      <c r="J24" s="14"/>
      <c r="K24" s="17"/>
    </row>
    <row r="25" ht="13.5" customHeight="1">
      <c r="A25" s="23">
        <v>39.0</v>
      </c>
      <c r="B25" s="23" t="s">
        <v>47</v>
      </c>
      <c r="C25" s="23">
        <v>1170144.0</v>
      </c>
      <c r="D25" s="49">
        <v>46219.0</v>
      </c>
      <c r="E25" s="29">
        <v>878.04</v>
      </c>
      <c r="F25" s="33"/>
      <c r="G25" s="23" t="s">
        <v>19</v>
      </c>
      <c r="H25" s="14"/>
      <c r="I25" s="14"/>
      <c r="J25" s="14"/>
      <c r="K25" s="17"/>
    </row>
    <row r="26" ht="13.5" customHeight="1">
      <c r="A26" s="23">
        <v>40.0</v>
      </c>
      <c r="B26" s="23" t="s">
        <v>47</v>
      </c>
      <c r="C26" s="23">
        <v>1170144.0</v>
      </c>
      <c r="D26" s="49">
        <v>46219.0</v>
      </c>
      <c r="E26" s="29">
        <v>305.1</v>
      </c>
      <c r="F26" s="33"/>
      <c r="G26" s="23" t="s">
        <v>19</v>
      </c>
      <c r="H26" s="14"/>
      <c r="I26" s="14"/>
      <c r="J26" s="23"/>
      <c r="K26" s="29"/>
    </row>
    <row r="27" ht="13.5" customHeight="1">
      <c r="A27" s="23">
        <v>41.0</v>
      </c>
      <c r="B27" s="23" t="s">
        <v>47</v>
      </c>
      <c r="C27" s="23">
        <v>1170144.0</v>
      </c>
      <c r="D27" s="49">
        <v>46219.0</v>
      </c>
      <c r="E27" s="29">
        <v>471.87</v>
      </c>
      <c r="F27" s="33"/>
      <c r="G27" s="23" t="s">
        <v>19</v>
      </c>
      <c r="H27" s="23"/>
      <c r="I27" s="23"/>
      <c r="J27" s="23"/>
      <c r="K27" s="29"/>
      <c r="L27" s="61"/>
    </row>
    <row r="28" ht="13.5" customHeight="1">
      <c r="A28" s="23">
        <v>42.0</v>
      </c>
      <c r="B28" s="23" t="s">
        <v>47</v>
      </c>
      <c r="C28" s="23">
        <v>1170144.0</v>
      </c>
      <c r="D28" s="49">
        <v>46219.0</v>
      </c>
      <c r="E28" s="29">
        <v>45.31</v>
      </c>
      <c r="F28" s="33"/>
      <c r="G28" s="23" t="s">
        <v>19</v>
      </c>
      <c r="H28" s="23"/>
      <c r="I28" s="23"/>
      <c r="J28" s="23"/>
      <c r="K28" s="29"/>
      <c r="L28" s="61"/>
    </row>
    <row r="29" ht="13.5" customHeight="1">
      <c r="A29" s="23">
        <v>43.0</v>
      </c>
      <c r="B29" s="23" t="s">
        <v>47</v>
      </c>
      <c r="C29" s="23">
        <v>1170144.0</v>
      </c>
      <c r="D29" s="49">
        <v>46219.0</v>
      </c>
      <c r="E29" s="29">
        <v>1295.79</v>
      </c>
      <c r="F29" s="33"/>
      <c r="G29" s="23" t="s">
        <v>19</v>
      </c>
      <c r="H29" s="23"/>
      <c r="I29" s="23"/>
      <c r="J29" s="23"/>
      <c r="K29" s="29"/>
      <c r="L29" s="61"/>
    </row>
    <row r="30" ht="13.5" customHeight="1">
      <c r="A30" s="23">
        <v>44.0</v>
      </c>
      <c r="B30" s="23" t="s">
        <v>47</v>
      </c>
      <c r="C30" s="23">
        <v>1170144.0</v>
      </c>
      <c r="D30" s="49">
        <v>46219.0</v>
      </c>
      <c r="E30" s="29">
        <v>98.77</v>
      </c>
      <c r="F30" s="33"/>
      <c r="G30" s="23" t="s">
        <v>19</v>
      </c>
      <c r="H30" s="23"/>
      <c r="I30" s="23"/>
      <c r="J30" s="23"/>
      <c r="K30" s="29"/>
      <c r="L30" s="61"/>
    </row>
    <row r="31" ht="13.5" customHeight="1">
      <c r="A31" s="23">
        <v>46.0</v>
      </c>
      <c r="B31" s="23" t="s">
        <v>20</v>
      </c>
      <c r="C31" s="23">
        <v>1040375.0</v>
      </c>
      <c r="D31" s="49">
        <v>46219.0</v>
      </c>
      <c r="E31" s="29">
        <v>739.97</v>
      </c>
      <c r="F31" s="33"/>
      <c r="G31" s="23" t="s">
        <v>19</v>
      </c>
      <c r="H31" s="23"/>
      <c r="I31" s="23"/>
      <c r="J31" s="23"/>
      <c r="K31" s="29"/>
      <c r="L31" s="61"/>
    </row>
    <row r="32" ht="13.5" customHeight="1">
      <c r="A32" s="23">
        <v>48.0</v>
      </c>
      <c r="B32" s="23" t="s">
        <v>20</v>
      </c>
      <c r="C32" s="23">
        <v>1040375.0</v>
      </c>
      <c r="D32" s="49">
        <v>46219.0</v>
      </c>
      <c r="E32" s="29">
        <v>15.31</v>
      </c>
      <c r="F32" s="33"/>
      <c r="G32" s="23" t="s">
        <v>19</v>
      </c>
      <c r="H32" s="23"/>
      <c r="I32" s="23"/>
      <c r="J32" s="23"/>
      <c r="K32" s="29"/>
      <c r="L32" s="61"/>
    </row>
    <row r="33" ht="13.5" customHeight="1">
      <c r="A33" s="14"/>
      <c r="B33" s="14"/>
      <c r="C33" s="14"/>
      <c r="D33" s="14"/>
      <c r="E33" s="17"/>
      <c r="F33" s="15"/>
      <c r="G33" s="14"/>
      <c r="H33" s="23"/>
      <c r="I33" s="23"/>
      <c r="J33" s="23"/>
      <c r="K33" s="29"/>
      <c r="L33" s="61"/>
    </row>
    <row r="34" ht="13.5" customHeight="1">
      <c r="A34" s="14"/>
      <c r="B34" s="14"/>
      <c r="C34" s="14"/>
      <c r="D34" s="14"/>
      <c r="E34" s="17"/>
      <c r="F34" s="15"/>
      <c r="G34" s="14"/>
      <c r="H34" s="23"/>
      <c r="I34" s="23"/>
      <c r="J34" s="23"/>
      <c r="K34" s="29"/>
      <c r="L34" s="61"/>
    </row>
    <row r="35" ht="13.5" customHeight="1">
      <c r="A35" s="14"/>
      <c r="B35" s="14"/>
      <c r="C35" s="14"/>
      <c r="D35" s="14"/>
      <c r="E35" s="17"/>
      <c r="F35" s="15"/>
      <c r="G35" s="14"/>
      <c r="H35" s="23"/>
      <c r="I35" s="23"/>
      <c r="J35" s="23"/>
      <c r="K35" s="29"/>
      <c r="L35" s="61"/>
    </row>
    <row r="36" ht="13.5" customHeight="1">
      <c r="A36" s="14"/>
      <c r="B36" s="14"/>
      <c r="C36" s="14"/>
      <c r="D36" s="14"/>
      <c r="E36" s="17"/>
      <c r="F36" s="15"/>
      <c r="G36" s="14"/>
      <c r="H36" s="23"/>
      <c r="I36" s="23"/>
      <c r="J36" s="23"/>
      <c r="K36" s="29"/>
      <c r="L36" s="61"/>
    </row>
    <row r="37" ht="13.5" customHeight="1">
      <c r="E37" s="51"/>
      <c r="F37" s="12"/>
      <c r="H37" s="61"/>
      <c r="I37" s="61"/>
      <c r="J37" s="61"/>
      <c r="K37" s="75"/>
      <c r="L37" s="61"/>
    </row>
    <row r="38" ht="13.5" customHeight="1">
      <c r="E38" s="51"/>
      <c r="F38" s="12"/>
      <c r="H38" s="61"/>
      <c r="I38" s="61"/>
      <c r="J38" s="61"/>
      <c r="K38" s="75"/>
      <c r="L38" s="61"/>
    </row>
    <row r="39" ht="13.5" customHeight="1">
      <c r="E39" s="51"/>
      <c r="F39" s="12"/>
      <c r="H39" s="61"/>
      <c r="I39" s="61"/>
      <c r="J39" s="61"/>
      <c r="K39" s="75"/>
      <c r="L39" s="61"/>
    </row>
    <row r="40" ht="13.5" customHeight="1">
      <c r="E40" s="51"/>
      <c r="F40" s="12"/>
      <c r="H40" s="61"/>
      <c r="I40" s="61"/>
      <c r="J40" s="61"/>
      <c r="K40" s="75"/>
      <c r="L40" s="61"/>
    </row>
    <row r="41" ht="13.5" customHeight="1">
      <c r="E41" s="51"/>
      <c r="F41" s="12"/>
      <c r="H41" s="61"/>
      <c r="I41" s="61"/>
      <c r="J41" s="61"/>
      <c r="K41" s="75"/>
      <c r="L41" s="61"/>
    </row>
    <row r="42" ht="13.5" customHeight="1">
      <c r="E42" s="51"/>
      <c r="F42" s="12"/>
      <c r="H42" s="61"/>
      <c r="I42" s="61"/>
      <c r="J42" s="61"/>
      <c r="K42" s="75"/>
      <c r="L42" s="61"/>
    </row>
    <row r="43" ht="13.5" customHeight="1">
      <c r="E43" s="51"/>
      <c r="F43" s="12"/>
      <c r="H43" s="61"/>
      <c r="I43" s="61"/>
      <c r="J43" s="61"/>
      <c r="K43" s="75"/>
      <c r="L43" s="61"/>
    </row>
    <row r="44" ht="13.5" customHeight="1">
      <c r="E44" s="51"/>
      <c r="F44" s="12"/>
      <c r="H44" s="61"/>
      <c r="I44" s="61"/>
      <c r="J44" s="61"/>
      <c r="K44" s="75"/>
      <c r="L44" s="61"/>
    </row>
    <row r="45" ht="13.5" customHeight="1">
      <c r="E45" s="51"/>
      <c r="F45" s="12"/>
      <c r="H45" s="61"/>
      <c r="I45" s="61"/>
      <c r="J45" s="61"/>
      <c r="K45" s="75"/>
      <c r="L45" s="61"/>
    </row>
    <row r="46" ht="13.5" customHeight="1">
      <c r="E46" s="51"/>
      <c r="F46" s="12"/>
      <c r="H46" s="61"/>
      <c r="I46" s="61"/>
      <c r="J46" s="61"/>
      <c r="K46" s="75"/>
      <c r="L46" s="61"/>
    </row>
    <row r="47" ht="13.5" customHeight="1">
      <c r="E47" s="51"/>
      <c r="F47" s="12"/>
      <c r="H47" s="61"/>
      <c r="I47" s="61"/>
      <c r="J47" s="61"/>
      <c r="K47" s="75"/>
      <c r="L47" s="61"/>
    </row>
    <row r="48" ht="13.5" customHeight="1">
      <c r="E48" s="51"/>
      <c r="F48" s="12"/>
      <c r="H48" s="61"/>
      <c r="I48" s="61"/>
      <c r="J48" s="61"/>
      <c r="K48" s="75"/>
      <c r="L48" s="61"/>
    </row>
    <row r="49" ht="13.5" customHeight="1">
      <c r="E49" s="51"/>
      <c r="F49" s="12"/>
      <c r="H49" s="61"/>
      <c r="I49" s="61"/>
      <c r="J49" s="61"/>
      <c r="K49" s="75"/>
      <c r="L49" s="61"/>
    </row>
    <row r="50" ht="13.5" customHeight="1">
      <c r="E50" s="51"/>
      <c r="F50" s="12"/>
      <c r="H50" s="61"/>
      <c r="I50" s="61"/>
      <c r="J50" s="61"/>
      <c r="K50" s="75"/>
      <c r="L50" s="61"/>
    </row>
    <row r="51" ht="13.5" customHeight="1">
      <c r="A51" s="61"/>
      <c r="B51" s="61"/>
      <c r="C51" s="61"/>
      <c r="D51" s="61"/>
      <c r="E51" s="75"/>
      <c r="F51" s="69"/>
      <c r="G51" s="61"/>
      <c r="H51" s="61"/>
      <c r="I51" s="61"/>
      <c r="J51" s="61"/>
      <c r="K51" s="75"/>
      <c r="L51" s="61"/>
    </row>
    <row r="52" ht="13.5" customHeight="1">
      <c r="A52" s="61"/>
      <c r="B52" s="61"/>
      <c r="C52" s="61"/>
      <c r="D52" s="61"/>
      <c r="E52" s="75"/>
      <c r="F52" s="69"/>
      <c r="G52" s="61"/>
      <c r="H52" s="61"/>
      <c r="I52" s="61"/>
      <c r="J52" s="61"/>
      <c r="K52" s="75"/>
      <c r="L52" s="61"/>
    </row>
    <row r="53" ht="13.5" customHeight="1">
      <c r="A53" s="61"/>
      <c r="B53" s="61"/>
      <c r="C53" s="61"/>
      <c r="D53" s="61"/>
      <c r="E53" s="75"/>
      <c r="F53" s="69"/>
      <c r="G53" s="61"/>
      <c r="H53" s="61"/>
      <c r="I53" s="61"/>
      <c r="J53" s="61"/>
      <c r="K53" s="75"/>
      <c r="L53" s="61"/>
    </row>
    <row r="54" ht="13.5" customHeight="1">
      <c r="A54" s="61"/>
      <c r="B54" s="61"/>
      <c r="C54" s="61"/>
      <c r="D54" s="61"/>
      <c r="E54" s="75"/>
      <c r="F54" s="69"/>
      <c r="G54" s="61"/>
      <c r="H54" s="61"/>
      <c r="I54" s="61"/>
      <c r="J54" s="61"/>
      <c r="K54" s="75"/>
      <c r="L54" s="61"/>
    </row>
    <row r="55" ht="13.5" customHeight="1">
      <c r="A55" s="61"/>
      <c r="B55" s="61"/>
      <c r="C55" s="61"/>
      <c r="D55" s="61"/>
      <c r="E55" s="75"/>
      <c r="F55" s="69"/>
      <c r="G55" s="61"/>
      <c r="H55" s="61"/>
      <c r="I55" s="61"/>
      <c r="J55" s="61"/>
      <c r="K55" s="75"/>
      <c r="L55" s="61"/>
    </row>
    <row r="56" ht="13.5" customHeight="1">
      <c r="A56" s="61"/>
      <c r="B56" s="61"/>
      <c r="C56" s="61"/>
      <c r="D56" s="61"/>
      <c r="E56" s="75"/>
      <c r="F56" s="69"/>
      <c r="G56" s="61"/>
      <c r="H56" s="61"/>
      <c r="I56" s="61"/>
      <c r="J56" s="61"/>
      <c r="K56" s="75"/>
      <c r="L56" s="61"/>
    </row>
    <row r="57" ht="13.5" customHeight="1">
      <c r="A57" s="61"/>
      <c r="B57" s="61"/>
      <c r="C57" s="61"/>
      <c r="D57" s="61"/>
      <c r="E57" s="75"/>
      <c r="F57" s="69"/>
      <c r="G57" s="61"/>
      <c r="H57" s="61"/>
      <c r="I57" s="61"/>
      <c r="J57" s="61"/>
      <c r="K57" s="75"/>
      <c r="L57" s="61"/>
    </row>
    <row r="58" ht="13.5" customHeight="1">
      <c r="A58" s="61"/>
      <c r="B58" s="61"/>
      <c r="C58" s="61"/>
      <c r="D58" s="61"/>
      <c r="E58" s="75"/>
      <c r="F58" s="69"/>
      <c r="G58" s="61"/>
      <c r="H58" s="61"/>
      <c r="I58" s="61"/>
      <c r="J58" s="61"/>
      <c r="K58" s="75"/>
      <c r="L58" s="61"/>
    </row>
    <row r="59" ht="13.5" customHeight="1">
      <c r="A59" s="61"/>
      <c r="B59" s="61"/>
      <c r="C59" s="61"/>
      <c r="D59" s="61"/>
      <c r="E59" s="75"/>
      <c r="F59" s="69"/>
      <c r="G59" s="61"/>
      <c r="H59" s="61"/>
      <c r="I59" s="61"/>
      <c r="J59" s="61"/>
      <c r="K59" s="75"/>
      <c r="L59" s="61"/>
    </row>
    <row r="60" ht="13.5" customHeight="1">
      <c r="A60" s="61"/>
      <c r="B60" s="61"/>
      <c r="C60" s="61"/>
      <c r="D60" s="61"/>
      <c r="E60" s="75"/>
      <c r="F60" s="69"/>
      <c r="G60" s="61"/>
      <c r="H60" s="61"/>
      <c r="I60" s="61"/>
      <c r="J60" s="61"/>
      <c r="K60" s="75"/>
      <c r="L60" s="61"/>
    </row>
    <row r="61" ht="13.5" customHeight="1">
      <c r="A61" s="61"/>
      <c r="B61" s="61"/>
      <c r="C61" s="61"/>
      <c r="D61" s="61"/>
      <c r="E61" s="75"/>
      <c r="F61" s="69"/>
      <c r="G61" s="61"/>
      <c r="H61" s="61"/>
      <c r="I61" s="61"/>
      <c r="J61" s="61"/>
      <c r="K61" s="75"/>
      <c r="L61" s="61"/>
    </row>
    <row r="62" ht="13.5" customHeight="1">
      <c r="A62" s="61"/>
      <c r="B62" s="61"/>
      <c r="C62" s="61"/>
      <c r="D62" s="61"/>
      <c r="E62" s="75"/>
      <c r="F62" s="69"/>
      <c r="G62" s="61"/>
      <c r="H62" s="61"/>
      <c r="I62" s="61"/>
      <c r="J62" s="61"/>
      <c r="K62" s="75"/>
      <c r="L62" s="61"/>
    </row>
    <row r="63" ht="13.5" customHeight="1">
      <c r="A63" s="61"/>
      <c r="B63" s="61"/>
      <c r="C63" s="61"/>
      <c r="D63" s="61"/>
      <c r="E63" s="75"/>
      <c r="F63" s="69"/>
      <c r="G63" s="61"/>
      <c r="H63" s="61"/>
      <c r="I63" s="61"/>
      <c r="J63" s="61"/>
      <c r="K63" s="75"/>
      <c r="L63" s="61"/>
    </row>
    <row r="64" ht="13.5" customHeight="1">
      <c r="A64" s="61"/>
      <c r="B64" s="61"/>
      <c r="C64" s="61"/>
      <c r="D64" s="61"/>
      <c r="E64" s="75"/>
      <c r="F64" s="69"/>
      <c r="G64" s="61"/>
      <c r="H64" s="61"/>
      <c r="I64" s="61"/>
      <c r="J64" s="61"/>
      <c r="K64" s="75"/>
      <c r="L64" s="61"/>
    </row>
    <row r="65" ht="13.5" customHeight="1">
      <c r="A65" s="61"/>
      <c r="B65" s="61"/>
      <c r="C65" s="61"/>
      <c r="D65" s="61"/>
      <c r="E65" s="75"/>
      <c r="F65" s="69"/>
      <c r="G65" s="61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J149" s="61"/>
      <c r="K149" s="75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K150" s="51"/>
      <c r="L150" s="61"/>
    </row>
    <row r="151" ht="13.5" customHeight="1">
      <c r="E151" s="51"/>
      <c r="F151" s="12"/>
      <c r="K151" s="5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15.75"/>
    <col customWidth="1" min="3" max="3" width="7.25"/>
    <col customWidth="1" min="4" max="4" width="10.13"/>
    <col customWidth="1" min="5" max="5" width="16.5"/>
    <col customWidth="1" min="6" max="6" width="24.63"/>
    <col customWidth="1" min="7" max="7" width="27.5"/>
    <col customWidth="1" min="8" max="8" width="10.13"/>
    <col customWidth="1" min="9" max="9" width="8.63"/>
    <col customWidth="1" min="10" max="10" width="27.38"/>
    <col customWidth="1" min="11" max="11" width="15.5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46220.0</v>
      </c>
      <c r="E2" s="17">
        <v>143231.9</v>
      </c>
      <c r="F2" s="14" t="s">
        <v>10</v>
      </c>
      <c r="G2" s="14" t="s">
        <v>19</v>
      </c>
      <c r="H2" s="14"/>
      <c r="I2" s="14"/>
      <c r="J2" s="21">
        <v>183485.0</v>
      </c>
      <c r="K2" s="29">
        <v>67646.27999999997</v>
      </c>
    </row>
    <row r="3" ht="13.5" customHeight="1">
      <c r="A3" s="14">
        <v>2.0</v>
      </c>
      <c r="B3" s="14" t="s">
        <v>9</v>
      </c>
      <c r="C3" s="14">
        <v>2130870.0</v>
      </c>
      <c r="D3" s="16">
        <v>46220.0</v>
      </c>
      <c r="E3" s="17">
        <v>28554.14</v>
      </c>
      <c r="F3" s="14" t="s">
        <v>15</v>
      </c>
      <c r="G3" s="14" t="s">
        <v>19</v>
      </c>
      <c r="H3" s="14"/>
      <c r="I3" s="14"/>
      <c r="J3" s="21">
        <v>183486.0</v>
      </c>
      <c r="K3" s="29">
        <v>11533.49</v>
      </c>
    </row>
    <row r="4" ht="13.5" customHeight="1">
      <c r="A4" s="14">
        <v>3.0</v>
      </c>
      <c r="B4" s="14" t="s">
        <v>9</v>
      </c>
      <c r="C4" s="14">
        <v>2060855.0</v>
      </c>
      <c r="D4" s="16">
        <v>46220.0</v>
      </c>
      <c r="E4" s="17">
        <v>3.42E7</v>
      </c>
      <c r="F4" s="14" t="s">
        <v>21</v>
      </c>
      <c r="G4" s="14" t="s">
        <v>19</v>
      </c>
      <c r="H4" s="14"/>
      <c r="I4" s="14"/>
      <c r="J4" s="21">
        <v>183488.0</v>
      </c>
      <c r="K4" s="29">
        <v>254365.81000000008</v>
      </c>
    </row>
    <row r="5" ht="13.5" customHeight="1">
      <c r="A5" s="14">
        <v>4.0</v>
      </c>
      <c r="B5" s="14" t="s">
        <v>16</v>
      </c>
      <c r="C5" s="14">
        <v>2050752.0</v>
      </c>
      <c r="D5" s="16">
        <v>46220.0</v>
      </c>
      <c r="E5" s="17">
        <v>76268.6</v>
      </c>
      <c r="F5" s="14" t="s">
        <v>50</v>
      </c>
      <c r="G5" s="14" t="s">
        <v>19</v>
      </c>
      <c r="H5" s="14"/>
      <c r="I5" s="14"/>
      <c r="J5" s="21">
        <v>183493.0</v>
      </c>
      <c r="K5" s="29">
        <v>7884943.83</v>
      </c>
    </row>
    <row r="6" ht="13.5" customHeight="1">
      <c r="A6" s="14">
        <v>5.0</v>
      </c>
      <c r="B6" s="14" t="s">
        <v>16</v>
      </c>
      <c r="C6" s="14">
        <v>2090821.0</v>
      </c>
      <c r="D6" s="16">
        <v>46220.0</v>
      </c>
      <c r="E6" s="17">
        <v>103.98</v>
      </c>
      <c r="F6" s="14" t="s">
        <v>145</v>
      </c>
      <c r="G6" s="14" t="s">
        <v>19</v>
      </c>
      <c r="H6" s="14"/>
      <c r="I6" s="14"/>
      <c r="J6" s="21">
        <v>183494.0</v>
      </c>
      <c r="K6" s="29">
        <v>734387.8699999995</v>
      </c>
    </row>
    <row r="7" ht="13.5" customHeight="1">
      <c r="A7" s="30">
        <v>6.0</v>
      </c>
      <c r="B7" s="30" t="s">
        <v>16</v>
      </c>
      <c r="C7" s="30">
        <v>2090821.0</v>
      </c>
      <c r="D7" s="31">
        <v>46220.0</v>
      </c>
      <c r="E7" s="32">
        <v>1848.79</v>
      </c>
      <c r="F7" s="30" t="s">
        <v>145</v>
      </c>
      <c r="G7" s="30" t="s">
        <v>19</v>
      </c>
      <c r="H7" s="14"/>
      <c r="I7" s="14"/>
      <c r="J7" s="21">
        <v>183495.0</v>
      </c>
      <c r="K7" s="29">
        <v>886.29</v>
      </c>
    </row>
    <row r="8" ht="13.5" customHeight="1">
      <c r="A8" s="23">
        <v>10.0</v>
      </c>
      <c r="B8" s="23" t="s">
        <v>20</v>
      </c>
      <c r="C8" s="23">
        <v>1200393.0</v>
      </c>
      <c r="D8" s="49">
        <v>46220.0</v>
      </c>
      <c r="E8" s="29">
        <v>17455.97</v>
      </c>
      <c r="F8" s="23"/>
      <c r="G8" s="23" t="s">
        <v>19</v>
      </c>
      <c r="H8" s="14"/>
      <c r="I8" s="14"/>
      <c r="J8" s="21">
        <v>183499.0</v>
      </c>
      <c r="K8" s="29">
        <v>27611.310000000005</v>
      </c>
    </row>
    <row r="9" ht="13.5" customHeight="1">
      <c r="A9" s="23">
        <v>11.0</v>
      </c>
      <c r="B9" s="23" t="s">
        <v>20</v>
      </c>
      <c r="C9" s="23">
        <v>1200393.0</v>
      </c>
      <c r="D9" s="49">
        <v>46220.0</v>
      </c>
      <c r="E9" s="29">
        <v>236909.84</v>
      </c>
      <c r="F9" s="23"/>
      <c r="G9" s="23" t="s">
        <v>19</v>
      </c>
      <c r="H9" s="14"/>
      <c r="I9" s="14"/>
      <c r="J9" s="21">
        <v>183502.0</v>
      </c>
      <c r="K9" s="29">
        <v>112632.23999999999</v>
      </c>
    </row>
    <row r="10" ht="13.5" customHeight="1">
      <c r="A10" s="23">
        <v>14.0</v>
      </c>
      <c r="B10" s="23" t="s">
        <v>20</v>
      </c>
      <c r="C10" s="23">
        <v>1200393.0</v>
      </c>
      <c r="D10" s="49">
        <v>46220.0</v>
      </c>
      <c r="E10" s="29">
        <v>5990555.06</v>
      </c>
      <c r="F10" s="23"/>
      <c r="G10" s="23" t="s">
        <v>19</v>
      </c>
      <c r="H10" s="14"/>
      <c r="I10" s="14"/>
      <c r="J10" s="21" t="s">
        <v>146</v>
      </c>
      <c r="K10" s="29">
        <v>7071662.66</v>
      </c>
    </row>
    <row r="11" ht="13.5" customHeight="1">
      <c r="A11" s="23">
        <v>15.0</v>
      </c>
      <c r="B11" s="23" t="s">
        <v>20</v>
      </c>
      <c r="C11" s="23">
        <v>1040211.0</v>
      </c>
      <c r="D11" s="49">
        <v>46220.0</v>
      </c>
      <c r="E11" s="29">
        <v>1894388.77</v>
      </c>
      <c r="F11" s="23"/>
      <c r="G11" s="23" t="s">
        <v>19</v>
      </c>
      <c r="H11" s="14"/>
      <c r="I11" s="14"/>
      <c r="J11" s="21" t="s">
        <v>147</v>
      </c>
      <c r="K11" s="29">
        <v>443708.52</v>
      </c>
    </row>
    <row r="12" ht="13.5" customHeight="1">
      <c r="A12" s="23">
        <v>16.0</v>
      </c>
      <c r="B12" s="23" t="s">
        <v>20</v>
      </c>
      <c r="C12" s="23">
        <v>1200393.0</v>
      </c>
      <c r="D12" s="49">
        <v>46220.0</v>
      </c>
      <c r="E12" s="29">
        <v>11255.12</v>
      </c>
      <c r="F12" s="23"/>
      <c r="G12" s="23" t="s">
        <v>19</v>
      </c>
      <c r="H12" s="14"/>
      <c r="I12" s="14"/>
      <c r="J12" s="23" t="s">
        <v>148</v>
      </c>
      <c r="K12" s="29">
        <v>18985.72</v>
      </c>
    </row>
    <row r="13" ht="13.5" customHeight="1">
      <c r="A13" s="23">
        <v>17.0</v>
      </c>
      <c r="B13" s="23" t="s">
        <v>20</v>
      </c>
      <c r="C13" s="23">
        <v>1200393.0</v>
      </c>
      <c r="D13" s="49">
        <v>46220.0</v>
      </c>
      <c r="E13" s="29">
        <v>288045.32</v>
      </c>
      <c r="F13" s="23"/>
      <c r="G13" s="23" t="s">
        <v>19</v>
      </c>
      <c r="H13" s="14"/>
      <c r="I13" s="14"/>
      <c r="J13" s="14" t="s">
        <v>149</v>
      </c>
      <c r="K13" s="17">
        <v>7847.1</v>
      </c>
    </row>
    <row r="14" ht="13.5" customHeight="1">
      <c r="A14" s="23">
        <v>18.0</v>
      </c>
      <c r="B14" s="23" t="s">
        <v>20</v>
      </c>
      <c r="C14" s="23">
        <v>1040211.0</v>
      </c>
      <c r="D14" s="49">
        <v>46220.0</v>
      </c>
      <c r="E14" s="29">
        <v>435087.43</v>
      </c>
      <c r="F14" s="23"/>
      <c r="G14" s="23" t="s">
        <v>19</v>
      </c>
      <c r="H14" s="14"/>
      <c r="I14" s="14"/>
      <c r="J14" s="14"/>
      <c r="K14" s="17"/>
    </row>
    <row r="15" ht="13.5" customHeight="1">
      <c r="A15" s="23">
        <v>19.0</v>
      </c>
      <c r="B15" s="23" t="s">
        <v>20</v>
      </c>
      <c r="C15" s="23">
        <v>1200393.0</v>
      </c>
      <c r="D15" s="49">
        <v>46220.0</v>
      </c>
      <c r="E15" s="29">
        <v>3333.34</v>
      </c>
      <c r="F15" s="23"/>
      <c r="G15" s="23" t="s">
        <v>19</v>
      </c>
      <c r="H15" s="14"/>
      <c r="I15" s="14"/>
      <c r="J15" s="14"/>
      <c r="K15" s="17"/>
    </row>
    <row r="16" ht="13.5" customHeight="1">
      <c r="A16" s="23">
        <v>20.0</v>
      </c>
      <c r="B16" s="23" t="s">
        <v>20</v>
      </c>
      <c r="C16" s="23">
        <v>1040211.0</v>
      </c>
      <c r="D16" s="49">
        <v>46220.0</v>
      </c>
      <c r="E16" s="29">
        <v>24277.97</v>
      </c>
      <c r="F16" s="23"/>
      <c r="G16" s="23" t="s">
        <v>19</v>
      </c>
      <c r="H16" s="14"/>
      <c r="I16" s="14"/>
      <c r="J16" s="14"/>
      <c r="K16" s="17"/>
    </row>
    <row r="17" ht="13.5" customHeight="1">
      <c r="A17" s="23">
        <v>21.0</v>
      </c>
      <c r="B17" s="23" t="s">
        <v>20</v>
      </c>
      <c r="C17" s="23">
        <v>1040211.0</v>
      </c>
      <c r="D17" s="49">
        <v>46220.0</v>
      </c>
      <c r="E17" s="29">
        <v>112632.24</v>
      </c>
      <c r="F17" s="23"/>
      <c r="G17" s="23" t="s">
        <v>19</v>
      </c>
      <c r="H17" s="14"/>
      <c r="I17" s="14"/>
      <c r="J17" s="14"/>
      <c r="K17" s="17"/>
    </row>
    <row r="18" ht="13.5" customHeight="1">
      <c r="A18" s="23">
        <v>26.0</v>
      </c>
      <c r="B18" s="23" t="s">
        <v>20</v>
      </c>
      <c r="C18" s="23">
        <v>1200393.0</v>
      </c>
      <c r="D18" s="49">
        <v>46220.0</v>
      </c>
      <c r="E18" s="29">
        <v>1311.99</v>
      </c>
      <c r="F18" s="23"/>
      <c r="G18" s="23" t="s">
        <v>19</v>
      </c>
      <c r="H18" s="14"/>
      <c r="I18" s="14"/>
      <c r="J18" s="14"/>
      <c r="K18" s="17"/>
    </row>
    <row r="19" ht="13.5" customHeight="1">
      <c r="A19" s="23">
        <v>27.0</v>
      </c>
      <c r="B19" s="23" t="s">
        <v>20</v>
      </c>
      <c r="C19" s="23">
        <v>1040211.0</v>
      </c>
      <c r="D19" s="49">
        <v>46220.0</v>
      </c>
      <c r="E19" s="29">
        <v>10221.5</v>
      </c>
      <c r="F19" s="23"/>
      <c r="G19" s="23" t="s">
        <v>19</v>
      </c>
      <c r="H19" s="14"/>
      <c r="I19" s="14"/>
      <c r="J19" s="14"/>
      <c r="K19" s="17"/>
    </row>
    <row r="20" ht="13.5" customHeight="1">
      <c r="A20" s="23">
        <v>29.0</v>
      </c>
      <c r="B20" s="23" t="s">
        <v>20</v>
      </c>
      <c r="C20" s="23">
        <v>1040211.0</v>
      </c>
      <c r="D20" s="49">
        <v>46220.0</v>
      </c>
      <c r="E20" s="29">
        <v>57338.96</v>
      </c>
      <c r="F20" s="23"/>
      <c r="G20" s="23" t="s">
        <v>19</v>
      </c>
      <c r="H20" s="14"/>
      <c r="I20" s="14"/>
      <c r="J20" s="14"/>
      <c r="K20" s="17"/>
    </row>
    <row r="21" ht="13.5" customHeight="1">
      <c r="A21" s="23">
        <v>30.0</v>
      </c>
      <c r="B21" s="23" t="s">
        <v>20</v>
      </c>
      <c r="C21" s="23">
        <v>1200393.0</v>
      </c>
      <c r="D21" s="49">
        <v>46220.0</v>
      </c>
      <c r="E21" s="29">
        <v>10307.32</v>
      </c>
      <c r="F21" s="23"/>
      <c r="G21" s="23" t="s">
        <v>19</v>
      </c>
      <c r="H21" s="14"/>
      <c r="I21" s="14"/>
      <c r="J21" s="14"/>
      <c r="K21" s="17"/>
    </row>
    <row r="22" ht="13.5" customHeight="1">
      <c r="A22" s="23">
        <v>32.0</v>
      </c>
      <c r="B22" s="23" t="s">
        <v>20</v>
      </c>
      <c r="C22" s="23">
        <v>1200393.0</v>
      </c>
      <c r="D22" s="49">
        <v>46220.0</v>
      </c>
      <c r="E22" s="29">
        <v>133733.42</v>
      </c>
      <c r="F22" s="23"/>
      <c r="G22" s="23" t="s">
        <v>19</v>
      </c>
      <c r="H22" s="14"/>
      <c r="I22" s="14"/>
      <c r="J22" s="14"/>
      <c r="K22" s="17"/>
    </row>
    <row r="23" ht="13.5" customHeight="1">
      <c r="A23" s="23">
        <v>33.0</v>
      </c>
      <c r="B23" s="23" t="s">
        <v>20</v>
      </c>
      <c r="C23" s="23">
        <v>1040250.0</v>
      </c>
      <c r="D23" s="49">
        <v>46220.0</v>
      </c>
      <c r="E23" s="29">
        <v>309975.1</v>
      </c>
      <c r="F23" s="23"/>
      <c r="G23" s="23" t="s">
        <v>19</v>
      </c>
      <c r="H23" s="14"/>
      <c r="I23" s="14"/>
      <c r="J23" s="14"/>
      <c r="K23" s="17"/>
    </row>
    <row r="24" ht="13.5" customHeight="1">
      <c r="A24" s="14">
        <v>35.0</v>
      </c>
      <c r="B24" s="14" t="s">
        <v>47</v>
      </c>
      <c r="C24" s="14">
        <v>1040500.0</v>
      </c>
      <c r="D24" s="16">
        <v>46220.0</v>
      </c>
      <c r="E24" s="17">
        <v>7847.1</v>
      </c>
      <c r="F24" s="15"/>
      <c r="G24" s="15" t="s">
        <v>48</v>
      </c>
      <c r="H24" s="14"/>
      <c r="I24" s="14"/>
      <c r="J24" s="14"/>
      <c r="K24" s="17"/>
    </row>
    <row r="25" ht="13.5" customHeight="1">
      <c r="A25" s="23">
        <v>36.0</v>
      </c>
      <c r="B25" s="23" t="s">
        <v>20</v>
      </c>
      <c r="C25" s="23">
        <v>1040109.0</v>
      </c>
      <c r="D25" s="49">
        <v>46220.0</v>
      </c>
      <c r="E25" s="29">
        <v>131.78</v>
      </c>
      <c r="F25" s="33"/>
      <c r="G25" s="33" t="s">
        <v>19</v>
      </c>
      <c r="H25" s="14"/>
      <c r="I25" s="14"/>
      <c r="J25" s="14"/>
      <c r="K25" s="17"/>
    </row>
    <row r="26" ht="13.5" customHeight="1">
      <c r="A26" s="23">
        <v>38.0</v>
      </c>
      <c r="B26" s="23" t="s">
        <v>20</v>
      </c>
      <c r="C26" s="23">
        <v>1040109.0</v>
      </c>
      <c r="D26" s="49">
        <v>46220.0</v>
      </c>
      <c r="E26" s="29">
        <v>754.51</v>
      </c>
      <c r="F26" s="33"/>
      <c r="G26" s="33" t="s">
        <v>19</v>
      </c>
      <c r="H26" s="14"/>
      <c r="I26" s="14"/>
      <c r="J26" s="14"/>
      <c r="K26" s="17"/>
    </row>
    <row r="27" ht="13.5" customHeight="1">
      <c r="A27" s="23">
        <v>45.0</v>
      </c>
      <c r="B27" s="23" t="s">
        <v>20</v>
      </c>
      <c r="C27" s="23">
        <v>1040109.0</v>
      </c>
      <c r="D27" s="49">
        <v>46220.0</v>
      </c>
      <c r="E27" s="29">
        <v>3090000.0</v>
      </c>
      <c r="F27" s="33"/>
      <c r="G27" s="33" t="s">
        <v>19</v>
      </c>
      <c r="H27" s="14"/>
      <c r="I27" s="14"/>
      <c r="J27" s="14"/>
      <c r="K27" s="17"/>
    </row>
    <row r="28" ht="13.5" customHeight="1">
      <c r="A28" s="23">
        <v>46.0</v>
      </c>
      <c r="B28" s="23" t="s">
        <v>20</v>
      </c>
      <c r="C28" s="23">
        <v>1040109.0</v>
      </c>
      <c r="D28" s="49">
        <v>46220.0</v>
      </c>
      <c r="E28" s="29">
        <v>3981662.66</v>
      </c>
      <c r="F28" s="33"/>
      <c r="G28" s="33" t="s">
        <v>19</v>
      </c>
      <c r="H28" s="14"/>
      <c r="I28" s="14"/>
      <c r="J28" s="14"/>
      <c r="K28" s="17"/>
    </row>
    <row r="29" ht="13.5" customHeight="1">
      <c r="A29" s="14">
        <v>49.0</v>
      </c>
      <c r="B29" s="23" t="s">
        <v>20</v>
      </c>
      <c r="C29" s="23">
        <v>1040109.0</v>
      </c>
      <c r="D29" s="49">
        <v>46220.0</v>
      </c>
      <c r="E29" s="29">
        <v>18985.72</v>
      </c>
      <c r="F29" s="33"/>
      <c r="G29" s="33" t="s">
        <v>19</v>
      </c>
      <c r="H29" s="14"/>
      <c r="I29" s="14"/>
      <c r="J29" s="14"/>
      <c r="K29" s="17"/>
    </row>
    <row r="30" ht="13.5" customHeight="1">
      <c r="E30" s="51"/>
      <c r="F30" s="12"/>
      <c r="G30" s="12"/>
      <c r="K30" s="51"/>
    </row>
    <row r="31" ht="13.5" customHeight="1">
      <c r="E31" s="51"/>
      <c r="F31" s="12"/>
      <c r="G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J57" s="61"/>
      <c r="K57" s="75"/>
    </row>
    <row r="58" ht="13.5" customHeight="1">
      <c r="E58" s="51"/>
      <c r="F58" s="12"/>
      <c r="J58" s="61"/>
      <c r="K58" s="75"/>
    </row>
    <row r="59" ht="13.5" customHeight="1">
      <c r="E59" s="51"/>
      <c r="F59" s="12"/>
      <c r="H59" s="61"/>
      <c r="I59" s="61"/>
      <c r="J59" s="61"/>
      <c r="K59" s="75"/>
      <c r="L59" s="61"/>
    </row>
    <row r="60" ht="13.5" customHeight="1">
      <c r="E60" s="51"/>
      <c r="F60" s="12"/>
      <c r="H60" s="61"/>
      <c r="I60" s="61"/>
      <c r="J60" s="61"/>
      <c r="K60" s="75"/>
      <c r="L60" s="61"/>
    </row>
    <row r="61" ht="13.5" customHeight="1">
      <c r="E61" s="51"/>
      <c r="F61" s="12"/>
      <c r="H61" s="61"/>
      <c r="I61" s="61"/>
      <c r="J61" s="61"/>
      <c r="K61" s="75"/>
      <c r="L61" s="61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E63" s="51"/>
      <c r="F63" s="12"/>
      <c r="H63" s="61"/>
      <c r="I63" s="61"/>
      <c r="J63" s="61"/>
      <c r="K63" s="75"/>
      <c r="L63" s="61"/>
    </row>
    <row r="64" ht="13.5" customHeight="1">
      <c r="E64" s="51"/>
      <c r="F64" s="12"/>
      <c r="H64" s="61"/>
      <c r="I64" s="61"/>
      <c r="J64" s="61"/>
      <c r="K64" s="75"/>
      <c r="L64" s="61"/>
    </row>
    <row r="65" ht="13.5" customHeight="1">
      <c r="E65" s="51"/>
      <c r="F65" s="12"/>
      <c r="H65" s="61"/>
      <c r="I65" s="61"/>
      <c r="J65" s="61"/>
      <c r="K65" s="75"/>
      <c r="L65" s="61"/>
    </row>
    <row r="66" ht="13.5" customHeight="1">
      <c r="E66" s="51"/>
      <c r="F66" s="12"/>
      <c r="H66" s="61"/>
      <c r="I66" s="61"/>
      <c r="J66" s="61"/>
      <c r="K66" s="75"/>
      <c r="L66" s="61"/>
    </row>
    <row r="67" ht="13.5" customHeight="1">
      <c r="E67" s="51"/>
      <c r="F67" s="12"/>
      <c r="H67" s="61"/>
      <c r="I67" s="61"/>
      <c r="J67" s="61"/>
      <c r="K67" s="75"/>
      <c r="L67" s="61"/>
    </row>
    <row r="68" ht="13.5" customHeight="1">
      <c r="E68" s="51"/>
      <c r="F68" s="12"/>
      <c r="H68" s="61"/>
      <c r="I68" s="61"/>
      <c r="J68" s="61"/>
      <c r="K68" s="75"/>
      <c r="L68" s="61"/>
    </row>
    <row r="69" ht="13.5" customHeight="1">
      <c r="E69" s="51"/>
      <c r="F69" s="12"/>
      <c r="H69" s="61"/>
      <c r="I69" s="61"/>
      <c r="J69" s="61"/>
      <c r="K69" s="75"/>
      <c r="L69" s="61"/>
    </row>
    <row r="70" ht="13.5" customHeight="1">
      <c r="E70" s="51"/>
      <c r="F70" s="12"/>
      <c r="H70" s="61"/>
      <c r="I70" s="61"/>
      <c r="J70" s="61"/>
      <c r="K70" s="75"/>
      <c r="L70" s="61"/>
    </row>
    <row r="71" ht="13.5" customHeight="1">
      <c r="E71" s="51"/>
      <c r="F71" s="12"/>
      <c r="H71" s="61"/>
      <c r="I71" s="61"/>
      <c r="J71" s="61"/>
      <c r="K71" s="75"/>
      <c r="L71" s="61"/>
    </row>
    <row r="72" ht="13.5" customHeight="1">
      <c r="E72" s="51"/>
      <c r="F72" s="12"/>
      <c r="H72" s="61"/>
      <c r="I72" s="61"/>
      <c r="J72" s="61"/>
      <c r="K72" s="75"/>
      <c r="L72" s="61"/>
    </row>
    <row r="73" ht="13.5" customHeight="1">
      <c r="E73" s="51"/>
      <c r="F73" s="12"/>
      <c r="H73" s="61"/>
      <c r="I73" s="61"/>
      <c r="J73" s="61"/>
      <c r="K73" s="75"/>
      <c r="L73" s="61"/>
    </row>
    <row r="74" ht="13.5" customHeight="1">
      <c r="A74" s="69"/>
      <c r="B74" s="69"/>
      <c r="C74" s="69"/>
      <c r="D74" s="69"/>
      <c r="E74" s="238"/>
      <c r="F74" s="69"/>
      <c r="G74" s="61"/>
      <c r="H74" s="61"/>
      <c r="I74" s="61"/>
      <c r="J74" s="61"/>
      <c r="K74" s="75"/>
      <c r="L74" s="61"/>
    </row>
    <row r="75" ht="13.5" customHeight="1">
      <c r="A75" s="69"/>
      <c r="B75" s="69"/>
      <c r="C75" s="69"/>
      <c r="D75" s="69"/>
      <c r="E75" s="238"/>
      <c r="F75" s="69"/>
      <c r="G75" s="61"/>
      <c r="H75" s="61"/>
      <c r="I75" s="61"/>
      <c r="J75" s="61"/>
      <c r="K75" s="75"/>
      <c r="L75" s="61"/>
    </row>
    <row r="76" ht="13.5" customHeight="1">
      <c r="A76" s="69"/>
      <c r="B76" s="69"/>
      <c r="C76" s="69"/>
      <c r="D76" s="69"/>
      <c r="E76" s="238"/>
      <c r="F76" s="69"/>
      <c r="G76" s="61"/>
      <c r="H76" s="61"/>
      <c r="I76" s="61"/>
      <c r="J76" s="61"/>
      <c r="K76" s="75"/>
      <c r="L76" s="61"/>
    </row>
    <row r="77" ht="13.5" customHeight="1">
      <c r="A77" s="69"/>
      <c r="B77" s="69"/>
      <c r="C77" s="69"/>
      <c r="D77" s="69"/>
      <c r="E77" s="238"/>
      <c r="F77" s="69"/>
      <c r="G77" s="61"/>
      <c r="H77" s="61"/>
      <c r="I77" s="61"/>
      <c r="J77" s="61"/>
      <c r="K77" s="75"/>
      <c r="L77" s="61"/>
    </row>
    <row r="78" ht="13.5" customHeight="1">
      <c r="A78" s="69"/>
      <c r="B78" s="69"/>
      <c r="C78" s="69"/>
      <c r="D78" s="69"/>
      <c r="E78" s="238"/>
      <c r="F78" s="69"/>
      <c r="G78" s="61"/>
      <c r="H78" s="61"/>
      <c r="I78" s="61"/>
      <c r="J78" s="61"/>
      <c r="K78" s="75"/>
      <c r="L78" s="61"/>
    </row>
    <row r="79" ht="13.5" customHeight="1">
      <c r="A79" s="69"/>
      <c r="B79" s="69"/>
      <c r="C79" s="69"/>
      <c r="D79" s="69"/>
      <c r="E79" s="238"/>
      <c r="F79" s="69"/>
      <c r="G79" s="61"/>
      <c r="H79" s="61"/>
      <c r="I79" s="61"/>
      <c r="J79" s="61"/>
      <c r="K79" s="75"/>
      <c r="L79" s="61"/>
    </row>
    <row r="80" ht="13.5" customHeight="1">
      <c r="A80" s="69"/>
      <c r="B80" s="69"/>
      <c r="C80" s="69"/>
      <c r="D80" s="69"/>
      <c r="E80" s="238"/>
      <c r="F80" s="69"/>
      <c r="G80" s="61"/>
      <c r="H80" s="61"/>
      <c r="I80" s="61"/>
      <c r="J80" s="61"/>
      <c r="K80" s="75"/>
      <c r="L80" s="61"/>
    </row>
    <row r="81" ht="13.5" customHeight="1">
      <c r="A81" s="69"/>
      <c r="B81" s="69"/>
      <c r="C81" s="69"/>
      <c r="D81" s="69"/>
      <c r="E81" s="238"/>
      <c r="F81" s="69"/>
      <c r="G81" s="61"/>
      <c r="H81" s="61"/>
      <c r="I81" s="61"/>
      <c r="J81" s="61"/>
      <c r="K81" s="75"/>
      <c r="L81" s="61"/>
    </row>
    <row r="82" ht="13.5" customHeight="1">
      <c r="A82" s="69"/>
      <c r="B82" s="69"/>
      <c r="C82" s="69"/>
      <c r="D82" s="69"/>
      <c r="E82" s="238"/>
      <c r="F82" s="69"/>
      <c r="G82" s="61"/>
      <c r="H82" s="61"/>
      <c r="I82" s="61"/>
      <c r="J82" s="61"/>
      <c r="K82" s="75"/>
      <c r="L82" s="61"/>
    </row>
    <row r="83" ht="13.5" customHeight="1">
      <c r="A83" s="69"/>
      <c r="B83" s="69"/>
      <c r="C83" s="69"/>
      <c r="D83" s="69"/>
      <c r="E83" s="238"/>
      <c r="F83" s="69"/>
      <c r="G83" s="61"/>
      <c r="H83" s="61"/>
      <c r="I83" s="61"/>
      <c r="J83" s="61"/>
      <c r="K83" s="75"/>
      <c r="L83" s="61"/>
    </row>
    <row r="84" ht="13.5" customHeight="1">
      <c r="A84" s="69"/>
      <c r="B84" s="69"/>
      <c r="C84" s="69"/>
      <c r="D84" s="69"/>
      <c r="E84" s="238"/>
      <c r="F84" s="69"/>
      <c r="G84" s="61"/>
      <c r="H84" s="61"/>
      <c r="I84" s="61"/>
      <c r="J84" s="61"/>
      <c r="K84" s="75"/>
      <c r="L84" s="61"/>
    </row>
    <row r="85" ht="13.5" customHeight="1">
      <c r="A85" s="69"/>
      <c r="B85" s="69"/>
      <c r="C85" s="69"/>
      <c r="D85" s="69"/>
      <c r="E85" s="238"/>
      <c r="F85" s="69"/>
      <c r="G85" s="61"/>
      <c r="H85" s="61"/>
      <c r="I85" s="61"/>
      <c r="J85" s="61"/>
      <c r="K85" s="75"/>
      <c r="L85" s="61"/>
    </row>
    <row r="86" ht="13.5" customHeight="1">
      <c r="A86" s="69"/>
      <c r="B86" s="69"/>
      <c r="C86" s="69"/>
      <c r="D86" s="69"/>
      <c r="E86" s="238"/>
      <c r="F86" s="69"/>
      <c r="G86" s="61"/>
      <c r="H86" s="61"/>
      <c r="I86" s="61"/>
      <c r="J86" s="61"/>
      <c r="K86" s="75"/>
      <c r="L86" s="61"/>
    </row>
    <row r="87" ht="13.5" customHeight="1">
      <c r="A87" s="69"/>
      <c r="B87" s="69"/>
      <c r="C87" s="69"/>
      <c r="D87" s="69"/>
      <c r="E87" s="238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9"/>
      <c r="E88" s="238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9"/>
      <c r="E89" s="238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9"/>
      <c r="E90" s="238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9"/>
      <c r="E91" s="238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9"/>
      <c r="E92" s="238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9"/>
      <c r="E93" s="238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9"/>
      <c r="E94" s="238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9"/>
      <c r="E95" s="238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9"/>
      <c r="E96" s="238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9"/>
      <c r="E97" s="238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9"/>
      <c r="E98" s="238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9"/>
      <c r="E99" s="238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9"/>
      <c r="E100" s="238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9"/>
      <c r="E101" s="238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9"/>
      <c r="E102" s="238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9"/>
      <c r="E103" s="238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9"/>
      <c r="E104" s="238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9"/>
      <c r="E105" s="238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9"/>
      <c r="E106" s="238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9"/>
      <c r="E107" s="238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9"/>
      <c r="E108" s="238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9"/>
      <c r="E109" s="238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9"/>
      <c r="E110" s="238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9"/>
      <c r="E111" s="238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9"/>
      <c r="E112" s="238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9"/>
      <c r="E113" s="238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9"/>
      <c r="E114" s="238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9"/>
      <c r="E115" s="238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9"/>
      <c r="E116" s="238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9"/>
      <c r="E117" s="238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9"/>
      <c r="E118" s="238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9"/>
      <c r="E119" s="238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9"/>
      <c r="E120" s="238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9"/>
      <c r="E121" s="238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9"/>
      <c r="E122" s="238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9"/>
      <c r="E123" s="238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9"/>
      <c r="E124" s="238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9"/>
      <c r="E125" s="238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9"/>
      <c r="E126" s="238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9"/>
      <c r="E127" s="238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9"/>
      <c r="E128" s="238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9"/>
      <c r="E129" s="238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9"/>
      <c r="E130" s="238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9"/>
      <c r="E131" s="238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9"/>
      <c r="E132" s="238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9"/>
      <c r="E133" s="238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9"/>
      <c r="E134" s="238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9"/>
      <c r="E135" s="238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9"/>
      <c r="E136" s="238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9"/>
      <c r="E137" s="238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9"/>
      <c r="E138" s="238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9"/>
      <c r="E139" s="238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9"/>
      <c r="E140" s="238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9"/>
      <c r="E141" s="238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9"/>
      <c r="E142" s="238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9"/>
      <c r="E143" s="238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9"/>
      <c r="E144" s="238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9"/>
      <c r="E145" s="238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9"/>
      <c r="E146" s="238"/>
      <c r="F146" s="69"/>
      <c r="G146" s="61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9"/>
      <c r="E147" s="238"/>
      <c r="F147" s="69"/>
      <c r="G147" s="61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9"/>
      <c r="E148" s="238"/>
      <c r="F148" s="69"/>
      <c r="G148" s="61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9"/>
      <c r="E149" s="238"/>
      <c r="F149" s="69"/>
      <c r="G149" s="61"/>
      <c r="H149" s="61"/>
      <c r="I149" s="61"/>
      <c r="K149" s="51"/>
      <c r="L149" s="61"/>
    </row>
    <row r="150" ht="13.5" customHeight="1">
      <c r="A150" s="61"/>
      <c r="B150" s="61"/>
      <c r="C150" s="61"/>
      <c r="D150" s="69"/>
      <c r="E150" s="238"/>
      <c r="F150" s="69"/>
      <c r="H150" s="61"/>
      <c r="I150" s="61"/>
      <c r="K150" s="51"/>
      <c r="L150" s="61"/>
    </row>
    <row r="151" ht="13.5" customHeight="1">
      <c r="D151" s="12"/>
      <c r="E151" s="182"/>
      <c r="F151" s="12"/>
      <c r="K151" s="51"/>
    </row>
    <row r="152" ht="13.5" customHeight="1">
      <c r="D152" s="12"/>
      <c r="E152" s="182"/>
      <c r="F152" s="12"/>
      <c r="K152" s="51"/>
    </row>
    <row r="153" ht="13.5" customHeight="1">
      <c r="D153" s="12"/>
      <c r="E153" s="182"/>
      <c r="F153" s="12"/>
      <c r="K153" s="51"/>
    </row>
    <row r="154" ht="13.5" customHeight="1">
      <c r="D154" s="12"/>
      <c r="E154" s="182"/>
      <c r="F154" s="12"/>
      <c r="K154" s="51"/>
    </row>
    <row r="155" ht="13.5" customHeight="1">
      <c r="D155" s="12"/>
      <c r="E155" s="182"/>
      <c r="F155" s="12"/>
      <c r="K155" s="51"/>
    </row>
    <row r="156" ht="13.5" customHeight="1">
      <c r="D156" s="12"/>
      <c r="E156" s="182"/>
      <c r="F156" s="12"/>
      <c r="K156" s="51"/>
    </row>
    <row r="157" ht="13.5" customHeight="1">
      <c r="D157" s="12"/>
      <c r="E157" s="182"/>
      <c r="F157" s="12"/>
      <c r="K157" s="51"/>
    </row>
    <row r="158" ht="13.5" customHeight="1">
      <c r="D158" s="12"/>
      <c r="E158" s="182"/>
      <c r="F158" s="12"/>
      <c r="K158" s="51"/>
    </row>
    <row r="159" ht="13.5" customHeight="1">
      <c r="D159" s="12"/>
      <c r="E159" s="182"/>
      <c r="F159" s="12"/>
      <c r="K159" s="51"/>
    </row>
    <row r="160" ht="13.5" customHeight="1">
      <c r="D160" s="12"/>
      <c r="E160" s="182"/>
      <c r="F160" s="12"/>
      <c r="K160" s="51"/>
    </row>
    <row r="161" ht="13.5" customHeight="1">
      <c r="D161" s="12"/>
      <c r="E161" s="182"/>
      <c r="F161" s="12"/>
      <c r="K161" s="51"/>
    </row>
    <row r="162" ht="13.5" customHeight="1">
      <c r="D162" s="12"/>
      <c r="E162" s="182"/>
      <c r="F162" s="12"/>
      <c r="K162" s="51"/>
    </row>
    <row r="163" ht="13.5" customHeight="1">
      <c r="D163" s="12"/>
      <c r="E163" s="182"/>
      <c r="F163" s="12"/>
      <c r="K163" s="51"/>
    </row>
    <row r="164" ht="13.5" customHeight="1">
      <c r="D164" s="12"/>
      <c r="E164" s="182"/>
      <c r="F164" s="12"/>
      <c r="K164" s="51"/>
    </row>
    <row r="165" ht="13.5" customHeight="1">
      <c r="D165" s="12"/>
      <c r="E165" s="182"/>
      <c r="F165" s="12"/>
      <c r="K165" s="51"/>
    </row>
    <row r="166" ht="13.5" customHeight="1">
      <c r="D166" s="12"/>
      <c r="E166" s="182"/>
      <c r="F166" s="12"/>
      <c r="K166" s="51"/>
    </row>
    <row r="167" ht="13.5" customHeight="1">
      <c r="D167" s="12"/>
      <c r="E167" s="182"/>
      <c r="F167" s="12"/>
      <c r="K167" s="51"/>
    </row>
    <row r="168" ht="13.5" customHeight="1">
      <c r="D168" s="12"/>
      <c r="E168" s="182"/>
      <c r="F168" s="12"/>
      <c r="K168" s="51"/>
    </row>
    <row r="169" ht="13.5" customHeight="1">
      <c r="D169" s="12"/>
      <c r="E169" s="182"/>
      <c r="F169" s="12"/>
      <c r="K169" s="51"/>
    </row>
    <row r="170" ht="13.5" customHeight="1">
      <c r="D170" s="12"/>
      <c r="E170" s="182"/>
      <c r="F170" s="12"/>
      <c r="K170" s="51"/>
    </row>
    <row r="171" ht="13.5" customHeight="1">
      <c r="D171" s="12"/>
      <c r="E171" s="182"/>
      <c r="F171" s="12"/>
      <c r="K171" s="51"/>
    </row>
    <row r="172" ht="13.5" customHeight="1">
      <c r="D172" s="12"/>
      <c r="E172" s="182"/>
      <c r="F172" s="12"/>
      <c r="K172" s="51"/>
    </row>
    <row r="173" ht="13.5" customHeight="1">
      <c r="D173" s="12"/>
      <c r="E173" s="182"/>
      <c r="F173" s="12"/>
      <c r="K173" s="51"/>
    </row>
    <row r="174" ht="13.5" customHeight="1">
      <c r="D174" s="12"/>
      <c r="E174" s="182"/>
      <c r="F174" s="12"/>
      <c r="K174" s="51"/>
    </row>
    <row r="175" ht="13.5" customHeight="1">
      <c r="D175" s="12"/>
      <c r="E175" s="182"/>
      <c r="F175" s="12"/>
      <c r="K175" s="51"/>
    </row>
    <row r="176" ht="13.5" customHeight="1">
      <c r="D176" s="12"/>
      <c r="E176" s="182"/>
      <c r="F176" s="12"/>
      <c r="K176" s="51"/>
    </row>
    <row r="177" ht="13.5" customHeight="1">
      <c r="D177" s="12"/>
      <c r="E177" s="182"/>
      <c r="F177" s="12"/>
      <c r="K177" s="51"/>
    </row>
    <row r="178" ht="13.5" customHeight="1">
      <c r="D178" s="12"/>
      <c r="E178" s="182"/>
      <c r="F178" s="12"/>
      <c r="K178" s="51"/>
    </row>
    <row r="179" ht="13.5" customHeight="1">
      <c r="D179" s="12"/>
      <c r="E179" s="182"/>
      <c r="F179" s="12"/>
      <c r="K179" s="51"/>
    </row>
    <row r="180" ht="13.5" customHeight="1">
      <c r="D180" s="12"/>
      <c r="E180" s="182"/>
      <c r="F180" s="12"/>
      <c r="K180" s="51"/>
    </row>
    <row r="181" ht="13.5" customHeight="1">
      <c r="D181" s="12"/>
      <c r="E181" s="182"/>
      <c r="F181" s="12"/>
      <c r="K181" s="51"/>
    </row>
    <row r="182" ht="13.5" customHeight="1">
      <c r="D182" s="12"/>
      <c r="E182" s="182"/>
      <c r="F182" s="12"/>
      <c r="K182" s="51"/>
    </row>
    <row r="183" ht="13.5" customHeight="1">
      <c r="D183" s="12"/>
      <c r="E183" s="182"/>
      <c r="F183" s="12"/>
      <c r="K183" s="51"/>
    </row>
    <row r="184" ht="13.5" customHeight="1">
      <c r="D184" s="12"/>
      <c r="E184" s="182"/>
      <c r="F184" s="12"/>
      <c r="K184" s="51"/>
    </row>
    <row r="185" ht="13.5" customHeight="1">
      <c r="D185" s="12"/>
      <c r="E185" s="182"/>
      <c r="F185" s="12"/>
      <c r="K185" s="51"/>
    </row>
    <row r="186" ht="13.5" customHeight="1">
      <c r="D186" s="12"/>
      <c r="E186" s="182"/>
      <c r="F186" s="12"/>
      <c r="K186" s="51"/>
    </row>
    <row r="187" ht="13.5" customHeight="1">
      <c r="D187" s="12"/>
      <c r="E187" s="182"/>
      <c r="F187" s="12"/>
      <c r="K187" s="51"/>
    </row>
    <row r="188" ht="13.5" customHeight="1">
      <c r="D188" s="12"/>
      <c r="E188" s="182"/>
      <c r="F188" s="12"/>
      <c r="K188" s="51"/>
    </row>
    <row r="189" ht="13.5" customHeight="1">
      <c r="D189" s="12"/>
      <c r="E189" s="182"/>
      <c r="F189" s="12"/>
      <c r="K189" s="51"/>
    </row>
    <row r="190" ht="13.5" customHeight="1">
      <c r="D190" s="12"/>
      <c r="E190" s="182"/>
      <c r="F190" s="12"/>
      <c r="K190" s="51"/>
    </row>
    <row r="191" ht="13.5" customHeight="1">
      <c r="D191" s="12"/>
      <c r="E191" s="182"/>
      <c r="F191" s="12"/>
      <c r="K191" s="51"/>
    </row>
    <row r="192" ht="13.5" customHeight="1">
      <c r="D192" s="12"/>
      <c r="E192" s="182"/>
      <c r="F192" s="12"/>
      <c r="K192" s="51"/>
    </row>
    <row r="193" ht="13.5" customHeight="1">
      <c r="D193" s="12"/>
      <c r="E193" s="182"/>
      <c r="F193" s="12"/>
      <c r="K193" s="51"/>
    </row>
    <row r="194" ht="13.5" customHeight="1">
      <c r="D194" s="12"/>
      <c r="E194" s="182"/>
      <c r="F194" s="12"/>
      <c r="K194" s="51"/>
    </row>
    <row r="195" ht="13.5" customHeight="1">
      <c r="D195" s="12"/>
      <c r="E195" s="182"/>
      <c r="F195" s="12"/>
      <c r="K195" s="51"/>
    </row>
    <row r="196" ht="13.5" customHeight="1">
      <c r="D196" s="12"/>
      <c r="E196" s="182"/>
      <c r="F196" s="12"/>
      <c r="K196" s="51"/>
    </row>
    <row r="197" ht="13.5" customHeight="1">
      <c r="D197" s="12"/>
      <c r="E197" s="182"/>
      <c r="F197" s="12"/>
      <c r="K197" s="51"/>
    </row>
    <row r="198" ht="13.5" customHeight="1">
      <c r="D198" s="12"/>
      <c r="E198" s="182"/>
      <c r="F198" s="12"/>
      <c r="K198" s="51"/>
    </row>
    <row r="199" ht="13.5" customHeight="1">
      <c r="D199" s="12"/>
      <c r="E199" s="182"/>
      <c r="F199" s="12"/>
      <c r="K199" s="51"/>
    </row>
    <row r="200" ht="13.5" customHeight="1">
      <c r="D200" s="12"/>
      <c r="E200" s="182"/>
      <c r="F200" s="12"/>
      <c r="K200" s="51"/>
    </row>
    <row r="201" ht="13.5" customHeight="1">
      <c r="D201" s="12"/>
      <c r="E201" s="182"/>
      <c r="F201" s="12"/>
      <c r="K201" s="51"/>
    </row>
    <row r="202" ht="13.5" customHeight="1">
      <c r="D202" s="12"/>
      <c r="E202" s="182"/>
      <c r="F202" s="12"/>
      <c r="K202" s="51"/>
    </row>
    <row r="203" ht="13.5" customHeight="1">
      <c r="D203" s="12"/>
      <c r="E203" s="182"/>
      <c r="F203" s="12"/>
      <c r="K203" s="51"/>
    </row>
    <row r="204" ht="13.5" customHeight="1">
      <c r="D204" s="12"/>
      <c r="E204" s="182"/>
      <c r="F204" s="12"/>
      <c r="K204" s="51"/>
    </row>
    <row r="205" ht="13.5" customHeight="1">
      <c r="D205" s="12"/>
      <c r="E205" s="182"/>
      <c r="F205" s="12"/>
      <c r="K205" s="51"/>
    </row>
    <row r="206" ht="13.5" customHeight="1">
      <c r="D206" s="12"/>
      <c r="E206" s="182"/>
      <c r="F206" s="12"/>
      <c r="K206" s="51"/>
    </row>
    <row r="207" ht="13.5" customHeight="1">
      <c r="D207" s="12"/>
      <c r="E207" s="182"/>
      <c r="F207" s="12"/>
      <c r="K207" s="51"/>
    </row>
    <row r="208" ht="13.5" customHeight="1">
      <c r="D208" s="12"/>
      <c r="E208" s="182"/>
      <c r="F208" s="12"/>
      <c r="K208" s="51"/>
    </row>
    <row r="209" ht="13.5" customHeight="1">
      <c r="D209" s="12"/>
      <c r="E209" s="182"/>
      <c r="F209" s="12"/>
      <c r="K209" s="51"/>
    </row>
    <row r="210" ht="13.5" customHeight="1">
      <c r="D210" s="12"/>
      <c r="E210" s="182"/>
      <c r="F210" s="12"/>
      <c r="K210" s="51"/>
    </row>
    <row r="211" ht="13.5" customHeight="1">
      <c r="D211" s="12"/>
      <c r="E211" s="182"/>
      <c r="F211" s="12"/>
      <c r="K211" s="51"/>
    </row>
    <row r="212" ht="13.5" customHeight="1">
      <c r="D212" s="12"/>
      <c r="E212" s="182"/>
      <c r="F212" s="12"/>
      <c r="K212" s="51"/>
    </row>
    <row r="213" ht="13.5" customHeight="1">
      <c r="D213" s="12"/>
      <c r="E213" s="182"/>
      <c r="F213" s="12"/>
      <c r="K213" s="51"/>
    </row>
    <row r="214" ht="13.5" customHeight="1">
      <c r="D214" s="12"/>
      <c r="E214" s="182"/>
      <c r="F214" s="12"/>
      <c r="K214" s="51"/>
    </row>
    <row r="215" ht="13.5" customHeight="1">
      <c r="D215" s="12"/>
      <c r="E215" s="182"/>
      <c r="F215" s="12"/>
      <c r="K215" s="51"/>
    </row>
    <row r="216" ht="13.5" customHeight="1">
      <c r="D216" s="12"/>
      <c r="E216" s="182"/>
      <c r="F216" s="12"/>
      <c r="K216" s="51"/>
    </row>
    <row r="217" ht="13.5" customHeight="1">
      <c r="D217" s="12"/>
      <c r="E217" s="182"/>
      <c r="F217" s="12"/>
      <c r="K217" s="51"/>
    </row>
    <row r="218" ht="13.5" customHeight="1">
      <c r="D218" s="12"/>
      <c r="E218" s="182"/>
      <c r="F218" s="12"/>
      <c r="K218" s="51"/>
    </row>
    <row r="219" ht="13.5" customHeight="1">
      <c r="D219" s="12"/>
      <c r="E219" s="182"/>
      <c r="F219" s="12"/>
      <c r="K219" s="51"/>
    </row>
    <row r="220" ht="13.5" customHeight="1">
      <c r="D220" s="12"/>
      <c r="E220" s="182"/>
      <c r="F220" s="12"/>
      <c r="K220" s="51"/>
    </row>
    <row r="221" ht="13.5" customHeight="1">
      <c r="D221" s="12"/>
      <c r="E221" s="182"/>
      <c r="F221" s="12"/>
      <c r="K221" s="51"/>
    </row>
    <row r="222" ht="13.5" customHeight="1">
      <c r="D222" s="12"/>
      <c r="E222" s="182"/>
      <c r="F222" s="12"/>
      <c r="K222" s="51"/>
    </row>
    <row r="223" ht="13.5" customHeight="1">
      <c r="D223" s="12"/>
      <c r="E223" s="182"/>
      <c r="F223" s="12"/>
      <c r="K223" s="51"/>
    </row>
    <row r="224" ht="13.5" customHeight="1">
      <c r="D224" s="12"/>
      <c r="E224" s="182"/>
      <c r="F224" s="12"/>
      <c r="K224" s="51"/>
    </row>
    <row r="225" ht="13.5" customHeight="1">
      <c r="D225" s="12"/>
      <c r="E225" s="182"/>
      <c r="F225" s="12"/>
      <c r="K225" s="51"/>
    </row>
    <row r="226" ht="13.5" customHeight="1">
      <c r="D226" s="12"/>
      <c r="E226" s="182"/>
      <c r="F226" s="12"/>
      <c r="K226" s="51"/>
    </row>
    <row r="227" ht="13.5" customHeight="1">
      <c r="D227" s="12"/>
      <c r="E227" s="182"/>
      <c r="F227" s="12"/>
      <c r="K227" s="51"/>
    </row>
    <row r="228" ht="13.5" customHeight="1">
      <c r="D228" s="12"/>
      <c r="E228" s="182"/>
      <c r="F228" s="12"/>
      <c r="K228" s="51"/>
    </row>
    <row r="229" ht="13.5" customHeight="1">
      <c r="D229" s="12"/>
      <c r="E229" s="182"/>
      <c r="F229" s="12"/>
      <c r="K229" s="51"/>
    </row>
    <row r="230" ht="13.5" customHeight="1">
      <c r="D230" s="12"/>
      <c r="E230" s="182"/>
      <c r="F230" s="12"/>
      <c r="K230" s="51"/>
    </row>
    <row r="231" ht="13.5" customHeight="1">
      <c r="D231" s="12"/>
      <c r="E231" s="182"/>
      <c r="F231" s="12"/>
      <c r="K231" s="51"/>
    </row>
    <row r="232" ht="13.5" customHeight="1">
      <c r="D232" s="12"/>
      <c r="E232" s="182"/>
      <c r="F232" s="12"/>
      <c r="K232" s="51"/>
    </row>
    <row r="233" ht="13.5" customHeight="1">
      <c r="D233" s="12"/>
      <c r="E233" s="182"/>
      <c r="F233" s="12"/>
      <c r="K233" s="51"/>
    </row>
    <row r="234" ht="13.5" customHeight="1">
      <c r="D234" s="12"/>
      <c r="E234" s="182"/>
      <c r="F234" s="12"/>
      <c r="K234" s="51"/>
    </row>
    <row r="235" ht="13.5" customHeight="1">
      <c r="D235" s="12"/>
      <c r="E235" s="182"/>
      <c r="F235" s="12"/>
      <c r="K235" s="51"/>
    </row>
    <row r="236" ht="13.5" customHeight="1">
      <c r="D236" s="12"/>
      <c r="E236" s="182"/>
      <c r="F236" s="12"/>
      <c r="K236" s="51"/>
    </row>
    <row r="237" ht="13.5" customHeight="1">
      <c r="D237" s="12"/>
      <c r="E237" s="182"/>
      <c r="F237" s="12"/>
      <c r="K237" s="51"/>
    </row>
    <row r="238" ht="13.5" customHeight="1">
      <c r="D238" s="12"/>
      <c r="E238" s="182"/>
      <c r="F238" s="12"/>
      <c r="K238" s="51"/>
    </row>
    <row r="239" ht="13.5" customHeight="1">
      <c r="D239" s="12"/>
      <c r="E239" s="182"/>
      <c r="F239" s="12"/>
      <c r="K239" s="51"/>
    </row>
    <row r="240" ht="13.5" customHeight="1">
      <c r="D240" s="12"/>
      <c r="E240" s="182"/>
      <c r="F240" s="12"/>
      <c r="K240" s="51"/>
    </row>
    <row r="241" ht="13.5" customHeight="1">
      <c r="D241" s="12"/>
      <c r="E241" s="182"/>
      <c r="F241" s="12"/>
      <c r="K241" s="51"/>
    </row>
    <row r="242" ht="13.5" customHeight="1">
      <c r="D242" s="12"/>
      <c r="E242" s="182"/>
      <c r="F242" s="12"/>
      <c r="K242" s="51"/>
    </row>
    <row r="243" ht="13.5" customHeight="1">
      <c r="D243" s="12"/>
      <c r="E243" s="182"/>
      <c r="F243" s="12"/>
      <c r="K243" s="51"/>
    </row>
    <row r="244" ht="13.5" customHeight="1">
      <c r="D244" s="12"/>
      <c r="E244" s="182"/>
      <c r="F244" s="12"/>
      <c r="K244" s="51"/>
    </row>
    <row r="245" ht="13.5" customHeight="1">
      <c r="D245" s="12"/>
      <c r="E245" s="182"/>
      <c r="F245" s="12"/>
      <c r="K245" s="51"/>
    </row>
    <row r="246" ht="13.5" customHeight="1">
      <c r="D246" s="12"/>
      <c r="E246" s="182"/>
      <c r="F246" s="12"/>
      <c r="K246" s="51"/>
    </row>
    <row r="247" ht="13.5" customHeight="1">
      <c r="D247" s="12"/>
      <c r="E247" s="182"/>
      <c r="F247" s="12"/>
      <c r="K247" s="51"/>
    </row>
    <row r="248" ht="13.5" customHeight="1">
      <c r="D248" s="12"/>
      <c r="E248" s="182"/>
      <c r="F248" s="12"/>
      <c r="K248" s="51"/>
    </row>
    <row r="249" ht="13.5" customHeight="1">
      <c r="D249" s="12"/>
      <c r="E249" s="182"/>
      <c r="F249" s="12"/>
      <c r="K249" s="51"/>
    </row>
    <row r="250" ht="13.5" customHeight="1">
      <c r="D250" s="12"/>
      <c r="E250" s="182"/>
      <c r="F250" s="12"/>
      <c r="K250" s="51"/>
    </row>
    <row r="251" ht="13.5" customHeight="1">
      <c r="D251" s="12"/>
      <c r="E251" s="182"/>
      <c r="F251" s="12"/>
      <c r="K251" s="51"/>
    </row>
    <row r="252" ht="13.5" customHeight="1">
      <c r="D252" s="12"/>
      <c r="E252" s="182"/>
      <c r="F252" s="12"/>
      <c r="K252" s="51"/>
    </row>
    <row r="253" ht="13.5" customHeight="1">
      <c r="D253" s="12"/>
      <c r="E253" s="182"/>
      <c r="F253" s="12"/>
      <c r="K253" s="51"/>
    </row>
    <row r="254" ht="13.5" customHeight="1">
      <c r="D254" s="12"/>
      <c r="E254" s="182"/>
      <c r="F254" s="12"/>
      <c r="K254" s="51"/>
    </row>
    <row r="255" ht="13.5" customHeight="1">
      <c r="D255" s="12"/>
      <c r="E255" s="182"/>
      <c r="F255" s="12"/>
      <c r="K255" s="51"/>
    </row>
    <row r="256" ht="13.5" customHeight="1">
      <c r="D256" s="12"/>
      <c r="E256" s="182"/>
      <c r="F256" s="12"/>
      <c r="K256" s="51"/>
    </row>
    <row r="257" ht="13.5" customHeight="1">
      <c r="D257" s="12"/>
      <c r="E257" s="182"/>
      <c r="F257" s="12"/>
      <c r="K257" s="51"/>
    </row>
    <row r="258" ht="13.5" customHeight="1">
      <c r="D258" s="12"/>
      <c r="E258" s="182"/>
      <c r="F258" s="12"/>
      <c r="K258" s="51"/>
    </row>
    <row r="259" ht="13.5" customHeight="1">
      <c r="D259" s="12"/>
      <c r="E259" s="182"/>
      <c r="F259" s="12"/>
      <c r="K259" s="51"/>
    </row>
    <row r="260" ht="13.5" customHeight="1">
      <c r="D260" s="12"/>
      <c r="E260" s="182"/>
      <c r="F260" s="12"/>
      <c r="K260" s="51"/>
    </row>
    <row r="261" ht="13.5" customHeight="1">
      <c r="D261" s="12"/>
      <c r="E261" s="182"/>
      <c r="F261" s="12"/>
      <c r="K261" s="51"/>
    </row>
    <row r="262" ht="13.5" customHeight="1">
      <c r="D262" s="12"/>
      <c r="E262" s="182"/>
      <c r="F262" s="12"/>
      <c r="K262" s="51"/>
    </row>
    <row r="263" ht="13.5" customHeight="1">
      <c r="D263" s="12"/>
      <c r="E263" s="182"/>
      <c r="F263" s="12"/>
      <c r="K263" s="51"/>
    </row>
    <row r="264" ht="13.5" customHeight="1">
      <c r="D264" s="12"/>
      <c r="E264" s="182"/>
      <c r="F264" s="12"/>
      <c r="K264" s="51"/>
    </row>
    <row r="265" ht="13.5" customHeight="1">
      <c r="D265" s="12"/>
      <c r="E265" s="182"/>
      <c r="F265" s="12"/>
      <c r="K265" s="51"/>
    </row>
    <row r="266" ht="13.5" customHeight="1">
      <c r="D266" s="12"/>
      <c r="E266" s="182"/>
      <c r="F266" s="12"/>
      <c r="K266" s="51"/>
    </row>
    <row r="267" ht="13.5" customHeight="1">
      <c r="D267" s="12"/>
      <c r="E267" s="182"/>
      <c r="F267" s="12"/>
      <c r="K267" s="51"/>
    </row>
    <row r="268" ht="13.5" customHeight="1">
      <c r="D268" s="12"/>
      <c r="E268" s="182"/>
      <c r="F268" s="12"/>
      <c r="K268" s="51"/>
    </row>
    <row r="269" ht="13.5" customHeight="1">
      <c r="D269" s="12"/>
      <c r="E269" s="182"/>
      <c r="F269" s="12"/>
      <c r="K269" s="51"/>
    </row>
    <row r="270" ht="13.5" customHeight="1">
      <c r="D270" s="12"/>
      <c r="E270" s="182"/>
      <c r="F270" s="12"/>
      <c r="K270" s="51"/>
    </row>
    <row r="271" ht="13.5" customHeight="1">
      <c r="D271" s="12"/>
      <c r="E271" s="182"/>
      <c r="F271" s="12"/>
      <c r="K271" s="51"/>
    </row>
    <row r="272" ht="13.5" customHeight="1">
      <c r="D272" s="12"/>
      <c r="E272" s="182"/>
      <c r="F272" s="12"/>
      <c r="K272" s="51"/>
    </row>
    <row r="273" ht="13.5" customHeight="1">
      <c r="D273" s="12"/>
      <c r="E273" s="182"/>
      <c r="F273" s="12"/>
      <c r="K273" s="51"/>
    </row>
    <row r="274" ht="13.5" customHeight="1">
      <c r="D274" s="12"/>
      <c r="E274" s="182"/>
      <c r="F274" s="12"/>
      <c r="K274" s="51"/>
    </row>
    <row r="275" ht="13.5" customHeight="1">
      <c r="D275" s="12"/>
      <c r="E275" s="182"/>
      <c r="F275" s="12"/>
      <c r="K275" s="51"/>
    </row>
    <row r="276" ht="13.5" customHeight="1">
      <c r="D276" s="12"/>
      <c r="E276" s="182"/>
      <c r="F276" s="12"/>
      <c r="K276" s="51"/>
    </row>
    <row r="277" ht="13.5" customHeight="1">
      <c r="D277" s="12"/>
      <c r="E277" s="182"/>
      <c r="F277" s="12"/>
      <c r="K277" s="51"/>
    </row>
    <row r="278" ht="13.5" customHeight="1">
      <c r="D278" s="12"/>
      <c r="E278" s="182"/>
      <c r="F278" s="12"/>
      <c r="K278" s="51"/>
    </row>
    <row r="279" ht="13.5" customHeight="1">
      <c r="D279" s="12"/>
      <c r="E279" s="182"/>
      <c r="F279" s="12"/>
      <c r="K279" s="51"/>
    </row>
    <row r="280" ht="13.5" customHeight="1">
      <c r="D280" s="12"/>
      <c r="E280" s="182"/>
      <c r="F280" s="12"/>
      <c r="K280" s="51"/>
    </row>
    <row r="281" ht="13.5" customHeight="1">
      <c r="D281" s="12"/>
      <c r="E281" s="182"/>
      <c r="F281" s="12"/>
      <c r="K281" s="51"/>
    </row>
    <row r="282" ht="13.5" customHeight="1">
      <c r="D282" s="12"/>
      <c r="E282" s="182"/>
      <c r="F282" s="12"/>
      <c r="K282" s="51"/>
    </row>
    <row r="283" ht="13.5" customHeight="1">
      <c r="D283" s="12"/>
      <c r="E283" s="182"/>
      <c r="F283" s="12"/>
      <c r="K283" s="51"/>
    </row>
    <row r="284" ht="13.5" customHeight="1">
      <c r="D284" s="12"/>
      <c r="E284" s="182"/>
      <c r="F284" s="12"/>
      <c r="K284" s="51"/>
    </row>
    <row r="285" ht="13.5" customHeight="1">
      <c r="D285" s="12"/>
      <c r="E285" s="182"/>
      <c r="F285" s="12"/>
      <c r="K285" s="51"/>
    </row>
    <row r="286" ht="13.5" customHeight="1">
      <c r="D286" s="12"/>
      <c r="E286" s="182"/>
      <c r="F286" s="12"/>
      <c r="K286" s="51"/>
    </row>
    <row r="287" ht="13.5" customHeight="1">
      <c r="D287" s="12"/>
      <c r="E287" s="182"/>
      <c r="F287" s="12"/>
      <c r="K287" s="51"/>
    </row>
    <row r="288" ht="13.5" customHeight="1">
      <c r="D288" s="12"/>
      <c r="E288" s="182"/>
      <c r="F288" s="12"/>
      <c r="K288" s="51"/>
    </row>
    <row r="289" ht="13.5" customHeight="1">
      <c r="D289" s="12"/>
      <c r="E289" s="182"/>
      <c r="F289" s="12"/>
      <c r="K289" s="51"/>
    </row>
    <row r="290" ht="13.5" customHeight="1">
      <c r="D290" s="12"/>
      <c r="E290" s="182"/>
      <c r="F290" s="12"/>
      <c r="K290" s="51"/>
    </row>
    <row r="291" ht="13.5" customHeight="1">
      <c r="D291" s="12"/>
      <c r="E291" s="182"/>
      <c r="F291" s="12"/>
      <c r="K291" s="51"/>
    </row>
    <row r="292" ht="13.5" customHeight="1">
      <c r="D292" s="12"/>
      <c r="E292" s="182"/>
      <c r="F292" s="12"/>
      <c r="K292" s="51"/>
    </row>
    <row r="293" ht="13.5" customHeight="1">
      <c r="D293" s="12"/>
      <c r="E293" s="182"/>
      <c r="F293" s="12"/>
      <c r="K293" s="51"/>
    </row>
    <row r="294" ht="13.5" customHeight="1">
      <c r="D294" s="12"/>
      <c r="E294" s="182"/>
      <c r="F294" s="12"/>
      <c r="K294" s="51"/>
    </row>
    <row r="295" ht="13.5" customHeight="1">
      <c r="D295" s="12"/>
      <c r="E295" s="182"/>
      <c r="F295" s="12"/>
      <c r="K295" s="51"/>
    </row>
    <row r="296" ht="13.5" customHeight="1">
      <c r="D296" s="12"/>
      <c r="E296" s="182"/>
      <c r="F296" s="12"/>
      <c r="K296" s="51"/>
    </row>
    <row r="297" ht="13.5" customHeight="1">
      <c r="D297" s="12"/>
      <c r="E297" s="182"/>
      <c r="F297" s="12"/>
      <c r="K297" s="51"/>
    </row>
    <row r="298" ht="13.5" customHeight="1">
      <c r="D298" s="12"/>
      <c r="E298" s="182"/>
      <c r="F298" s="12"/>
      <c r="K298" s="51"/>
    </row>
    <row r="299" ht="13.5" customHeight="1">
      <c r="D299" s="12"/>
      <c r="E299" s="182"/>
      <c r="F299" s="12"/>
      <c r="K299" s="51"/>
    </row>
    <row r="300" ht="13.5" customHeight="1">
      <c r="D300" s="12"/>
      <c r="E300" s="182"/>
      <c r="F300" s="12"/>
      <c r="K300" s="51"/>
    </row>
    <row r="301" ht="13.5" customHeight="1">
      <c r="D301" s="12"/>
      <c r="E301" s="182"/>
      <c r="F301" s="12"/>
      <c r="K301" s="51"/>
    </row>
    <row r="302" ht="13.5" customHeight="1">
      <c r="D302" s="12"/>
      <c r="E302" s="182"/>
      <c r="F302" s="12"/>
      <c r="K302" s="51"/>
    </row>
    <row r="303" ht="13.5" customHeight="1">
      <c r="D303" s="12"/>
      <c r="E303" s="182"/>
      <c r="F303" s="12"/>
      <c r="K303" s="51"/>
    </row>
    <row r="304" ht="13.5" customHeight="1">
      <c r="D304" s="12"/>
      <c r="E304" s="182"/>
      <c r="F304" s="12"/>
      <c r="K304" s="51"/>
    </row>
    <row r="305" ht="13.5" customHeight="1">
      <c r="D305" s="12"/>
      <c r="E305" s="182"/>
      <c r="F305" s="12"/>
      <c r="K305" s="51"/>
    </row>
    <row r="306" ht="13.5" customHeight="1">
      <c r="D306" s="12"/>
      <c r="E306" s="182"/>
      <c r="F306" s="12"/>
      <c r="K306" s="51"/>
    </row>
    <row r="307" ht="13.5" customHeight="1">
      <c r="D307" s="12"/>
      <c r="E307" s="182"/>
      <c r="F307" s="12"/>
      <c r="K307" s="51"/>
    </row>
    <row r="308" ht="13.5" customHeight="1">
      <c r="D308" s="12"/>
      <c r="E308" s="182"/>
      <c r="F308" s="12"/>
      <c r="K308" s="51"/>
    </row>
    <row r="309" ht="13.5" customHeight="1">
      <c r="D309" s="12"/>
      <c r="E309" s="182"/>
      <c r="F309" s="12"/>
      <c r="K309" s="51"/>
    </row>
    <row r="310" ht="13.5" customHeight="1">
      <c r="D310" s="12"/>
      <c r="E310" s="182"/>
      <c r="F310" s="12"/>
      <c r="K310" s="51"/>
    </row>
    <row r="311" ht="13.5" customHeight="1">
      <c r="D311" s="12"/>
      <c r="E311" s="182"/>
      <c r="F311" s="12"/>
      <c r="K311" s="51"/>
    </row>
    <row r="312" ht="13.5" customHeight="1">
      <c r="D312" s="12"/>
      <c r="E312" s="182"/>
      <c r="F312" s="12"/>
      <c r="K312" s="51"/>
    </row>
    <row r="313" ht="13.5" customHeight="1">
      <c r="D313" s="12"/>
      <c r="E313" s="182"/>
      <c r="F313" s="12"/>
      <c r="K313" s="51"/>
    </row>
    <row r="314" ht="13.5" customHeight="1">
      <c r="D314" s="12"/>
      <c r="E314" s="182"/>
      <c r="F314" s="12"/>
      <c r="K314" s="51"/>
    </row>
    <row r="315" ht="13.5" customHeight="1">
      <c r="D315" s="12"/>
      <c r="E315" s="182"/>
      <c r="F315" s="12"/>
      <c r="K315" s="51"/>
    </row>
    <row r="316" ht="13.5" customHeight="1">
      <c r="D316" s="12"/>
      <c r="E316" s="182"/>
      <c r="F316" s="12"/>
      <c r="K316" s="51"/>
    </row>
    <row r="317" ht="13.5" customHeight="1">
      <c r="D317" s="12"/>
      <c r="E317" s="182"/>
      <c r="F317" s="12"/>
      <c r="K317" s="51"/>
    </row>
    <row r="318" ht="13.5" customHeight="1">
      <c r="D318" s="12"/>
      <c r="E318" s="182"/>
      <c r="F318" s="12"/>
      <c r="K318" s="51"/>
    </row>
    <row r="319" ht="13.5" customHeight="1">
      <c r="D319" s="12"/>
      <c r="E319" s="182"/>
      <c r="F319" s="12"/>
      <c r="K319" s="51"/>
    </row>
    <row r="320" ht="13.5" customHeight="1">
      <c r="D320" s="12"/>
      <c r="E320" s="182"/>
      <c r="F320" s="12"/>
      <c r="K320" s="51"/>
    </row>
    <row r="321" ht="13.5" customHeight="1">
      <c r="D321" s="12"/>
      <c r="E321" s="182"/>
      <c r="F321" s="12"/>
      <c r="K321" s="51"/>
    </row>
    <row r="322" ht="13.5" customHeight="1">
      <c r="D322" s="12"/>
      <c r="E322" s="182"/>
      <c r="F322" s="12"/>
      <c r="K322" s="51"/>
    </row>
    <row r="323" ht="13.5" customHeight="1">
      <c r="D323" s="12"/>
      <c r="E323" s="182"/>
      <c r="F323" s="12"/>
      <c r="K323" s="51"/>
    </row>
    <row r="324" ht="13.5" customHeight="1">
      <c r="D324" s="12"/>
      <c r="E324" s="182"/>
      <c r="F324" s="12"/>
      <c r="K324" s="51"/>
    </row>
    <row r="325" ht="13.5" customHeight="1">
      <c r="D325" s="12"/>
      <c r="E325" s="182"/>
      <c r="F325" s="12"/>
      <c r="K325" s="51"/>
    </row>
    <row r="326" ht="13.5" customHeight="1">
      <c r="D326" s="12"/>
      <c r="E326" s="182"/>
      <c r="F326" s="12"/>
      <c r="K326" s="51"/>
    </row>
    <row r="327" ht="13.5" customHeight="1">
      <c r="D327" s="12"/>
      <c r="E327" s="182"/>
      <c r="F327" s="12"/>
      <c r="K327" s="51"/>
    </row>
    <row r="328" ht="13.5" customHeight="1">
      <c r="D328" s="12"/>
      <c r="E328" s="182"/>
      <c r="F328" s="12"/>
      <c r="K328" s="51"/>
    </row>
    <row r="329" ht="13.5" customHeight="1">
      <c r="D329" s="12"/>
      <c r="E329" s="182"/>
      <c r="F329" s="12"/>
      <c r="K329" s="51"/>
    </row>
    <row r="330" ht="13.5" customHeight="1">
      <c r="D330" s="12"/>
      <c r="E330" s="182"/>
      <c r="F330" s="12"/>
      <c r="K330" s="51"/>
    </row>
    <row r="331" ht="13.5" customHeight="1">
      <c r="D331" s="12"/>
      <c r="E331" s="182"/>
      <c r="F331" s="12"/>
      <c r="K331" s="51"/>
    </row>
    <row r="332" ht="13.5" customHeight="1">
      <c r="D332" s="12"/>
      <c r="E332" s="182"/>
      <c r="F332" s="12"/>
      <c r="K332" s="51"/>
    </row>
    <row r="333" ht="13.5" customHeight="1">
      <c r="D333" s="12"/>
      <c r="E333" s="182"/>
      <c r="F333" s="12"/>
      <c r="K333" s="51"/>
    </row>
    <row r="334" ht="13.5" customHeight="1">
      <c r="D334" s="12"/>
      <c r="E334" s="182"/>
      <c r="F334" s="12"/>
      <c r="K334" s="51"/>
    </row>
    <row r="335" ht="13.5" customHeight="1">
      <c r="D335" s="12"/>
      <c r="E335" s="182"/>
      <c r="F335" s="12"/>
      <c r="K335" s="51"/>
    </row>
    <row r="336" ht="13.5" customHeight="1">
      <c r="D336" s="12"/>
      <c r="E336" s="182"/>
      <c r="F336" s="12"/>
      <c r="K336" s="51"/>
    </row>
    <row r="337" ht="13.5" customHeight="1">
      <c r="D337" s="12"/>
      <c r="E337" s="182"/>
      <c r="F337" s="12"/>
      <c r="K337" s="51"/>
    </row>
    <row r="338" ht="13.5" customHeight="1">
      <c r="D338" s="12"/>
      <c r="E338" s="182"/>
      <c r="F338" s="12"/>
      <c r="K338" s="51"/>
    </row>
    <row r="339" ht="13.5" customHeight="1">
      <c r="D339" s="12"/>
      <c r="E339" s="182"/>
      <c r="F339" s="12"/>
      <c r="K339" s="51"/>
    </row>
    <row r="340" ht="13.5" customHeight="1">
      <c r="D340" s="12"/>
      <c r="E340" s="182"/>
      <c r="F340" s="12"/>
      <c r="K340" s="51"/>
    </row>
    <row r="341" ht="13.5" customHeight="1">
      <c r="D341" s="12"/>
      <c r="E341" s="182"/>
      <c r="F341" s="12"/>
      <c r="K341" s="51"/>
    </row>
    <row r="342" ht="13.5" customHeight="1">
      <c r="D342" s="12"/>
      <c r="E342" s="182"/>
      <c r="F342" s="12"/>
      <c r="K342" s="51"/>
    </row>
    <row r="343" ht="13.5" customHeight="1">
      <c r="D343" s="12"/>
      <c r="E343" s="182"/>
      <c r="F343" s="12"/>
      <c r="K343" s="51"/>
    </row>
    <row r="344" ht="13.5" customHeight="1">
      <c r="D344" s="12"/>
      <c r="E344" s="182"/>
      <c r="F344" s="12"/>
      <c r="K344" s="51"/>
    </row>
    <row r="345" ht="13.5" customHeight="1">
      <c r="D345" s="12"/>
      <c r="E345" s="182"/>
      <c r="F345" s="12"/>
      <c r="K345" s="51"/>
    </row>
    <row r="346" ht="13.5" customHeight="1">
      <c r="D346" s="12"/>
      <c r="E346" s="182"/>
      <c r="F346" s="12"/>
      <c r="K346" s="51"/>
    </row>
    <row r="347" ht="13.5" customHeight="1">
      <c r="D347" s="12"/>
      <c r="E347" s="182"/>
      <c r="F347" s="12"/>
      <c r="K347" s="51"/>
    </row>
    <row r="348" ht="13.5" customHeight="1">
      <c r="D348" s="12"/>
      <c r="E348" s="182"/>
      <c r="F348" s="12"/>
      <c r="K348" s="51"/>
    </row>
    <row r="349" ht="13.5" customHeight="1">
      <c r="D349" s="12"/>
      <c r="E349" s="182"/>
      <c r="F349" s="12"/>
      <c r="K349" s="51"/>
    </row>
    <row r="350" ht="13.5" customHeight="1">
      <c r="D350" s="12"/>
      <c r="E350" s="182"/>
      <c r="F350" s="12"/>
      <c r="K350" s="51"/>
    </row>
    <row r="351" ht="13.5" customHeight="1">
      <c r="D351" s="12"/>
      <c r="E351" s="182"/>
      <c r="F351" s="12"/>
      <c r="K351" s="51"/>
    </row>
    <row r="352" ht="13.5" customHeight="1">
      <c r="D352" s="12"/>
      <c r="E352" s="182"/>
      <c r="F352" s="12"/>
      <c r="K352" s="51"/>
    </row>
    <row r="353" ht="13.5" customHeight="1">
      <c r="D353" s="12"/>
      <c r="E353" s="182"/>
      <c r="F353" s="12"/>
      <c r="K353" s="51"/>
    </row>
    <row r="354" ht="13.5" customHeight="1">
      <c r="D354" s="12"/>
      <c r="E354" s="182"/>
      <c r="F354" s="12"/>
      <c r="K354" s="51"/>
    </row>
    <row r="355" ht="13.5" customHeight="1">
      <c r="D355" s="12"/>
      <c r="E355" s="182"/>
      <c r="F355" s="12"/>
      <c r="K355" s="51"/>
    </row>
    <row r="356" ht="13.5" customHeight="1">
      <c r="D356" s="12"/>
      <c r="E356" s="182"/>
      <c r="F356" s="12"/>
      <c r="K356" s="51"/>
    </row>
    <row r="357" ht="13.5" customHeight="1">
      <c r="D357" s="12"/>
      <c r="E357" s="182"/>
      <c r="F357" s="12"/>
      <c r="K357" s="51"/>
    </row>
    <row r="358" ht="13.5" customHeight="1">
      <c r="D358" s="12"/>
      <c r="E358" s="182"/>
      <c r="F358" s="12"/>
      <c r="K358" s="51"/>
    </row>
    <row r="359" ht="13.5" customHeight="1">
      <c r="D359" s="12"/>
      <c r="E359" s="182"/>
      <c r="F359" s="12"/>
      <c r="K359" s="51"/>
    </row>
    <row r="360" ht="13.5" customHeight="1">
      <c r="D360" s="12"/>
      <c r="E360" s="182"/>
      <c r="F360" s="12"/>
      <c r="K360" s="51"/>
    </row>
    <row r="361" ht="13.5" customHeight="1">
      <c r="D361" s="12"/>
      <c r="E361" s="182"/>
      <c r="F361" s="12"/>
      <c r="K361" s="51"/>
    </row>
    <row r="362" ht="13.5" customHeight="1">
      <c r="D362" s="12"/>
      <c r="E362" s="182"/>
      <c r="F362" s="12"/>
      <c r="K362" s="51"/>
    </row>
    <row r="363" ht="13.5" customHeight="1">
      <c r="D363" s="12"/>
      <c r="E363" s="182"/>
      <c r="F363" s="12"/>
      <c r="K363" s="51"/>
    </row>
    <row r="364" ht="13.5" customHeight="1">
      <c r="D364" s="12"/>
      <c r="E364" s="182"/>
      <c r="F364" s="12"/>
      <c r="K364" s="51"/>
    </row>
    <row r="365" ht="13.5" customHeight="1">
      <c r="D365" s="12"/>
      <c r="E365" s="182"/>
      <c r="F365" s="12"/>
      <c r="K365" s="51"/>
    </row>
    <row r="366" ht="13.5" customHeight="1">
      <c r="D366" s="12"/>
      <c r="E366" s="182"/>
      <c r="F366" s="12"/>
      <c r="K366" s="51"/>
    </row>
    <row r="367" ht="13.5" customHeight="1">
      <c r="D367" s="12"/>
      <c r="E367" s="182"/>
      <c r="F367" s="12"/>
      <c r="K367" s="51"/>
    </row>
    <row r="368" ht="13.5" customHeight="1">
      <c r="D368" s="12"/>
      <c r="E368" s="182"/>
      <c r="F368" s="12"/>
      <c r="K368" s="51"/>
    </row>
    <row r="369" ht="13.5" customHeight="1">
      <c r="D369" s="12"/>
      <c r="E369" s="182"/>
      <c r="F369" s="12"/>
      <c r="K369" s="51"/>
    </row>
    <row r="370" ht="13.5" customHeight="1">
      <c r="D370" s="12"/>
      <c r="E370" s="182"/>
      <c r="F370" s="12"/>
      <c r="K370" s="51"/>
    </row>
    <row r="371" ht="13.5" customHeight="1">
      <c r="D371" s="12"/>
      <c r="E371" s="182"/>
      <c r="F371" s="12"/>
      <c r="K371" s="51"/>
    </row>
    <row r="372" ht="13.5" customHeight="1">
      <c r="D372" s="12"/>
      <c r="E372" s="182"/>
      <c r="F372" s="12"/>
      <c r="K372" s="51"/>
    </row>
    <row r="373" ht="13.5" customHeight="1">
      <c r="D373" s="12"/>
      <c r="E373" s="182"/>
      <c r="F373" s="12"/>
      <c r="K373" s="51"/>
    </row>
    <row r="374" ht="13.5" customHeight="1">
      <c r="D374" s="12"/>
      <c r="E374" s="182"/>
      <c r="F374" s="12"/>
      <c r="K374" s="51"/>
    </row>
    <row r="375" ht="13.5" customHeight="1">
      <c r="D375" s="12"/>
      <c r="E375" s="182"/>
      <c r="F375" s="12"/>
      <c r="K375" s="51"/>
    </row>
    <row r="376" ht="13.5" customHeight="1">
      <c r="D376" s="12"/>
      <c r="E376" s="182"/>
      <c r="F376" s="12"/>
      <c r="K376" s="51"/>
    </row>
    <row r="377" ht="13.5" customHeight="1">
      <c r="D377" s="12"/>
      <c r="E377" s="182"/>
      <c r="F377" s="12"/>
      <c r="K377" s="51"/>
    </row>
    <row r="378" ht="13.5" customHeight="1">
      <c r="D378" s="12"/>
      <c r="E378" s="182"/>
      <c r="F378" s="12"/>
      <c r="K378" s="51"/>
    </row>
    <row r="379" ht="13.5" customHeight="1">
      <c r="D379" s="12"/>
      <c r="E379" s="182"/>
      <c r="F379" s="12"/>
      <c r="K379" s="51"/>
    </row>
    <row r="380" ht="13.5" customHeight="1">
      <c r="D380" s="12"/>
      <c r="E380" s="182"/>
      <c r="F380" s="12"/>
      <c r="K380" s="51"/>
    </row>
    <row r="381" ht="13.5" customHeight="1">
      <c r="D381" s="12"/>
      <c r="E381" s="182"/>
      <c r="F381" s="12"/>
      <c r="K381" s="51"/>
    </row>
    <row r="382" ht="13.5" customHeight="1">
      <c r="D382" s="12"/>
      <c r="E382" s="182"/>
      <c r="F382" s="12"/>
      <c r="K382" s="51"/>
    </row>
    <row r="383" ht="13.5" customHeight="1">
      <c r="D383" s="12"/>
      <c r="E383" s="182"/>
      <c r="F383" s="12"/>
      <c r="K383" s="51"/>
    </row>
    <row r="384" ht="13.5" customHeight="1">
      <c r="D384" s="12"/>
      <c r="E384" s="182"/>
      <c r="F384" s="12"/>
      <c r="K384" s="51"/>
    </row>
    <row r="385" ht="13.5" customHeight="1">
      <c r="D385" s="12"/>
      <c r="E385" s="182"/>
      <c r="F385" s="12"/>
      <c r="K385" s="51"/>
    </row>
    <row r="386" ht="13.5" customHeight="1">
      <c r="D386" s="12"/>
      <c r="E386" s="182"/>
      <c r="F386" s="12"/>
      <c r="K386" s="51"/>
    </row>
    <row r="387" ht="13.5" customHeight="1">
      <c r="D387" s="12"/>
      <c r="E387" s="182"/>
      <c r="F387" s="12"/>
      <c r="K387" s="51"/>
    </row>
    <row r="388" ht="13.5" customHeight="1">
      <c r="D388" s="12"/>
      <c r="E388" s="182"/>
      <c r="F388" s="12"/>
      <c r="K388" s="51"/>
    </row>
    <row r="389" ht="13.5" customHeight="1">
      <c r="D389" s="12"/>
      <c r="E389" s="182"/>
      <c r="F389" s="12"/>
      <c r="K389" s="51"/>
    </row>
    <row r="390" ht="13.5" customHeight="1">
      <c r="D390" s="12"/>
      <c r="E390" s="182"/>
      <c r="F390" s="12"/>
      <c r="K390" s="51"/>
    </row>
    <row r="391" ht="13.5" customHeight="1">
      <c r="D391" s="12"/>
      <c r="E391" s="182"/>
      <c r="F391" s="12"/>
      <c r="K391" s="51"/>
    </row>
    <row r="392" ht="13.5" customHeight="1">
      <c r="D392" s="12"/>
      <c r="E392" s="182"/>
      <c r="F392" s="12"/>
      <c r="K392" s="51"/>
    </row>
    <row r="393" ht="13.5" customHeight="1">
      <c r="D393" s="12"/>
      <c r="E393" s="182"/>
      <c r="F393" s="12"/>
      <c r="K393" s="51"/>
    </row>
    <row r="394" ht="13.5" customHeight="1">
      <c r="D394" s="12"/>
      <c r="E394" s="182"/>
      <c r="F394" s="12"/>
      <c r="K394" s="51"/>
    </row>
    <row r="395" ht="13.5" customHeight="1">
      <c r="D395" s="12"/>
      <c r="E395" s="182"/>
      <c r="F395" s="12"/>
      <c r="K395" s="51"/>
    </row>
    <row r="396" ht="13.5" customHeight="1">
      <c r="D396" s="12"/>
      <c r="E396" s="182"/>
      <c r="F396" s="12"/>
      <c r="K396" s="51"/>
    </row>
    <row r="397" ht="13.5" customHeight="1">
      <c r="D397" s="12"/>
      <c r="E397" s="182"/>
      <c r="F397" s="12"/>
      <c r="K397" s="51"/>
    </row>
    <row r="398" ht="13.5" customHeight="1">
      <c r="D398" s="12"/>
      <c r="E398" s="182"/>
      <c r="F398" s="12"/>
      <c r="K398" s="51"/>
    </row>
    <row r="399" ht="13.5" customHeight="1">
      <c r="D399" s="12"/>
      <c r="E399" s="182"/>
      <c r="F399" s="12"/>
      <c r="K399" s="51"/>
    </row>
    <row r="400" ht="13.5" customHeight="1">
      <c r="D400" s="12"/>
      <c r="E400" s="182"/>
      <c r="F400" s="12"/>
      <c r="K400" s="51"/>
    </row>
    <row r="401" ht="13.5" customHeight="1">
      <c r="D401" s="12"/>
      <c r="E401" s="182"/>
      <c r="F401" s="12"/>
      <c r="K401" s="51"/>
    </row>
    <row r="402" ht="13.5" customHeight="1">
      <c r="D402" s="12"/>
      <c r="E402" s="182"/>
      <c r="F402" s="12"/>
      <c r="K402" s="51"/>
    </row>
    <row r="403" ht="13.5" customHeight="1">
      <c r="D403" s="12"/>
      <c r="E403" s="182"/>
      <c r="F403" s="12"/>
      <c r="K403" s="51"/>
    </row>
    <row r="404" ht="13.5" customHeight="1">
      <c r="D404" s="12"/>
      <c r="E404" s="182"/>
      <c r="F404" s="12"/>
      <c r="K404" s="51"/>
    </row>
    <row r="405" ht="13.5" customHeight="1">
      <c r="D405" s="12"/>
      <c r="E405" s="182"/>
      <c r="F405" s="12"/>
      <c r="K405" s="51"/>
    </row>
    <row r="406" ht="13.5" customHeight="1">
      <c r="D406" s="12"/>
      <c r="E406" s="182"/>
      <c r="F406" s="12"/>
      <c r="K406" s="51"/>
    </row>
    <row r="407" ht="13.5" customHeight="1">
      <c r="D407" s="12"/>
      <c r="E407" s="182"/>
      <c r="F407" s="12"/>
      <c r="K407" s="51"/>
    </row>
    <row r="408" ht="13.5" customHeight="1">
      <c r="D408" s="12"/>
      <c r="E408" s="182"/>
      <c r="F408" s="12"/>
      <c r="K408" s="51"/>
    </row>
    <row r="409" ht="13.5" customHeight="1">
      <c r="D409" s="12"/>
      <c r="E409" s="182"/>
      <c r="F409" s="12"/>
      <c r="K409" s="51"/>
    </row>
    <row r="410" ht="13.5" customHeight="1">
      <c r="D410" s="12"/>
      <c r="E410" s="182"/>
      <c r="F410" s="12"/>
      <c r="K410" s="51"/>
    </row>
    <row r="411" ht="13.5" customHeight="1">
      <c r="D411" s="12"/>
      <c r="E411" s="182"/>
      <c r="F411" s="12"/>
      <c r="K411" s="51"/>
    </row>
    <row r="412" ht="13.5" customHeight="1">
      <c r="D412" s="12"/>
      <c r="E412" s="182"/>
      <c r="F412" s="12"/>
      <c r="K412" s="51"/>
    </row>
    <row r="413" ht="13.5" customHeight="1">
      <c r="D413" s="12"/>
      <c r="E413" s="182"/>
      <c r="F413" s="12"/>
      <c r="K413" s="51"/>
    </row>
    <row r="414" ht="13.5" customHeight="1">
      <c r="D414" s="12"/>
      <c r="E414" s="182"/>
      <c r="F414" s="12"/>
      <c r="K414" s="51"/>
    </row>
    <row r="415" ht="13.5" customHeight="1">
      <c r="D415" s="12"/>
      <c r="E415" s="182"/>
      <c r="F415" s="12"/>
      <c r="K415" s="51"/>
    </row>
    <row r="416" ht="13.5" customHeight="1">
      <c r="D416" s="12"/>
      <c r="E416" s="182"/>
      <c r="F416" s="12"/>
      <c r="K416" s="51"/>
    </row>
    <row r="417" ht="13.5" customHeight="1">
      <c r="D417" s="12"/>
      <c r="E417" s="182"/>
      <c r="F417" s="12"/>
      <c r="K417" s="51"/>
    </row>
    <row r="418" ht="13.5" customHeight="1">
      <c r="D418" s="12"/>
      <c r="E418" s="182"/>
      <c r="F418" s="12"/>
      <c r="K418" s="51"/>
    </row>
    <row r="419" ht="13.5" customHeight="1">
      <c r="D419" s="12"/>
      <c r="E419" s="182"/>
      <c r="F419" s="12"/>
      <c r="K419" s="51"/>
    </row>
    <row r="420" ht="13.5" customHeight="1">
      <c r="D420" s="12"/>
      <c r="E420" s="182"/>
      <c r="F420" s="12"/>
      <c r="K420" s="51"/>
    </row>
    <row r="421" ht="13.5" customHeight="1">
      <c r="D421" s="12"/>
      <c r="E421" s="182"/>
      <c r="F421" s="12"/>
      <c r="K421" s="51"/>
    </row>
    <row r="422" ht="13.5" customHeight="1">
      <c r="D422" s="12"/>
      <c r="E422" s="182"/>
      <c r="F422" s="12"/>
      <c r="K422" s="51"/>
    </row>
    <row r="423" ht="13.5" customHeight="1">
      <c r="D423" s="12"/>
      <c r="E423" s="182"/>
      <c r="F423" s="12"/>
      <c r="K423" s="51"/>
    </row>
    <row r="424" ht="13.5" customHeight="1">
      <c r="D424" s="12"/>
      <c r="E424" s="182"/>
      <c r="F424" s="12"/>
      <c r="K424" s="51"/>
    </row>
    <row r="425" ht="13.5" customHeight="1">
      <c r="D425" s="12"/>
      <c r="E425" s="182"/>
      <c r="F425" s="12"/>
      <c r="K425" s="51"/>
    </row>
    <row r="426" ht="13.5" customHeight="1">
      <c r="D426" s="12"/>
      <c r="E426" s="182"/>
      <c r="F426" s="12"/>
      <c r="K426" s="51"/>
    </row>
    <row r="427" ht="13.5" customHeight="1">
      <c r="D427" s="12"/>
      <c r="E427" s="182"/>
      <c r="F427" s="12"/>
      <c r="K427" s="51"/>
    </row>
    <row r="428" ht="13.5" customHeight="1">
      <c r="D428" s="12"/>
      <c r="E428" s="182"/>
      <c r="F428" s="12"/>
      <c r="K428" s="51"/>
    </row>
    <row r="429" ht="13.5" customHeight="1">
      <c r="D429" s="12"/>
      <c r="E429" s="182"/>
      <c r="F429" s="12"/>
      <c r="K429" s="51"/>
    </row>
    <row r="430" ht="13.5" customHeight="1">
      <c r="D430" s="12"/>
      <c r="E430" s="182"/>
      <c r="F430" s="12"/>
      <c r="K430" s="51"/>
    </row>
    <row r="431" ht="13.5" customHeight="1">
      <c r="D431" s="12"/>
      <c r="E431" s="182"/>
      <c r="F431" s="12"/>
      <c r="K431" s="51"/>
    </row>
    <row r="432" ht="13.5" customHeight="1">
      <c r="D432" s="12"/>
      <c r="E432" s="182"/>
      <c r="F432" s="12"/>
      <c r="K432" s="51"/>
    </row>
    <row r="433" ht="13.5" customHeight="1">
      <c r="D433" s="12"/>
      <c r="E433" s="182"/>
      <c r="F433" s="12"/>
      <c r="K433" s="51"/>
    </row>
    <row r="434" ht="13.5" customHeight="1">
      <c r="D434" s="12"/>
      <c r="E434" s="182"/>
      <c r="F434" s="12"/>
      <c r="K434" s="51"/>
    </row>
    <row r="435" ht="13.5" customHeight="1">
      <c r="D435" s="12"/>
      <c r="E435" s="182"/>
      <c r="F435" s="12"/>
      <c r="K435" s="51"/>
    </row>
    <row r="436" ht="13.5" customHeight="1">
      <c r="D436" s="12"/>
      <c r="E436" s="182"/>
      <c r="F436" s="12"/>
      <c r="K436" s="51"/>
    </row>
    <row r="437" ht="13.5" customHeight="1">
      <c r="D437" s="12"/>
      <c r="E437" s="182"/>
      <c r="F437" s="12"/>
      <c r="K437" s="51"/>
    </row>
    <row r="438" ht="13.5" customHeight="1">
      <c r="D438" s="12"/>
      <c r="E438" s="182"/>
      <c r="F438" s="12"/>
      <c r="K438" s="51"/>
    </row>
    <row r="439" ht="13.5" customHeight="1">
      <c r="D439" s="12"/>
      <c r="E439" s="182"/>
      <c r="F439" s="12"/>
      <c r="K439" s="51"/>
    </row>
    <row r="440" ht="13.5" customHeight="1">
      <c r="D440" s="12"/>
      <c r="E440" s="182"/>
      <c r="F440" s="12"/>
      <c r="K440" s="51"/>
    </row>
    <row r="441" ht="13.5" customHeight="1">
      <c r="D441" s="12"/>
      <c r="E441" s="182"/>
      <c r="F441" s="12"/>
      <c r="K441" s="51"/>
    </row>
    <row r="442" ht="13.5" customHeight="1">
      <c r="D442" s="12"/>
      <c r="E442" s="182"/>
      <c r="F442" s="12"/>
      <c r="K442" s="51"/>
    </row>
    <row r="443" ht="13.5" customHeight="1">
      <c r="D443" s="12"/>
      <c r="E443" s="182"/>
      <c r="F443" s="12"/>
      <c r="K443" s="51"/>
    </row>
    <row r="444" ht="13.5" customHeight="1">
      <c r="D444" s="12"/>
      <c r="E444" s="182"/>
      <c r="F444" s="12"/>
      <c r="K444" s="51"/>
    </row>
    <row r="445" ht="13.5" customHeight="1">
      <c r="D445" s="12"/>
      <c r="E445" s="182"/>
      <c r="F445" s="12"/>
      <c r="K445" s="51"/>
    </row>
    <row r="446" ht="13.5" customHeight="1">
      <c r="D446" s="12"/>
      <c r="E446" s="182"/>
      <c r="F446" s="12"/>
      <c r="K446" s="51"/>
    </row>
    <row r="447" ht="13.5" customHeight="1">
      <c r="D447" s="12"/>
      <c r="E447" s="182"/>
      <c r="F447" s="12"/>
      <c r="K447" s="51"/>
    </row>
    <row r="448" ht="13.5" customHeight="1">
      <c r="D448" s="12"/>
      <c r="E448" s="182"/>
      <c r="F448" s="12"/>
      <c r="K448" s="51"/>
    </row>
    <row r="449" ht="13.5" customHeight="1">
      <c r="D449" s="12"/>
      <c r="E449" s="182"/>
      <c r="F449" s="12"/>
      <c r="K449" s="51"/>
    </row>
    <row r="450" ht="13.5" customHeight="1">
      <c r="D450" s="12"/>
      <c r="E450" s="182"/>
      <c r="F450" s="12"/>
      <c r="K450" s="51"/>
    </row>
    <row r="451" ht="13.5" customHeight="1">
      <c r="D451" s="12"/>
      <c r="E451" s="182"/>
      <c r="F451" s="12"/>
      <c r="K451" s="51"/>
    </row>
    <row r="452" ht="13.5" customHeight="1">
      <c r="D452" s="12"/>
      <c r="E452" s="182"/>
      <c r="F452" s="12"/>
      <c r="K452" s="51"/>
    </row>
    <row r="453" ht="13.5" customHeight="1">
      <c r="D453" s="12"/>
      <c r="E453" s="182"/>
      <c r="F453" s="12"/>
      <c r="K453" s="51"/>
    </row>
    <row r="454" ht="13.5" customHeight="1">
      <c r="D454" s="12"/>
      <c r="E454" s="182"/>
      <c r="F454" s="12"/>
      <c r="K454" s="51"/>
    </row>
    <row r="455" ht="13.5" customHeight="1">
      <c r="D455" s="12"/>
      <c r="E455" s="182"/>
      <c r="F455" s="12"/>
      <c r="K455" s="51"/>
    </row>
    <row r="456" ht="13.5" customHeight="1">
      <c r="D456" s="12"/>
      <c r="E456" s="182"/>
      <c r="F456" s="12"/>
      <c r="K456" s="51"/>
    </row>
    <row r="457" ht="13.5" customHeight="1">
      <c r="D457" s="12"/>
      <c r="E457" s="182"/>
      <c r="F457" s="12"/>
      <c r="K457" s="51"/>
    </row>
    <row r="458" ht="13.5" customHeight="1">
      <c r="D458" s="12"/>
      <c r="E458" s="182"/>
      <c r="F458" s="12"/>
      <c r="K458" s="51"/>
    </row>
    <row r="459" ht="13.5" customHeight="1">
      <c r="D459" s="12"/>
      <c r="E459" s="182"/>
      <c r="F459" s="12"/>
      <c r="K459" s="51"/>
    </row>
    <row r="460" ht="13.5" customHeight="1">
      <c r="D460" s="12"/>
      <c r="E460" s="182"/>
      <c r="F460" s="12"/>
      <c r="K460" s="51"/>
    </row>
    <row r="461" ht="13.5" customHeight="1">
      <c r="D461" s="12"/>
      <c r="E461" s="182"/>
      <c r="F461" s="12"/>
      <c r="K461" s="51"/>
    </row>
    <row r="462" ht="13.5" customHeight="1">
      <c r="D462" s="12"/>
      <c r="E462" s="182"/>
      <c r="F462" s="12"/>
      <c r="K462" s="51"/>
    </row>
    <row r="463" ht="13.5" customHeight="1">
      <c r="D463" s="12"/>
      <c r="E463" s="182"/>
      <c r="F463" s="12"/>
      <c r="K463" s="51"/>
    </row>
    <row r="464" ht="13.5" customHeight="1">
      <c r="D464" s="12"/>
      <c r="E464" s="182"/>
      <c r="F464" s="12"/>
      <c r="K464" s="51"/>
    </row>
    <row r="465" ht="13.5" customHeight="1">
      <c r="D465" s="12"/>
      <c r="E465" s="182"/>
      <c r="F465" s="12"/>
      <c r="K465" s="51"/>
    </row>
    <row r="466" ht="13.5" customHeight="1">
      <c r="D466" s="12"/>
      <c r="E466" s="182"/>
      <c r="F466" s="12"/>
      <c r="K466" s="51"/>
    </row>
    <row r="467" ht="13.5" customHeight="1">
      <c r="D467" s="12"/>
      <c r="E467" s="182"/>
      <c r="F467" s="12"/>
      <c r="K467" s="51"/>
    </row>
    <row r="468" ht="13.5" customHeight="1">
      <c r="D468" s="12"/>
      <c r="E468" s="182"/>
      <c r="F468" s="12"/>
      <c r="K468" s="51"/>
    </row>
    <row r="469" ht="13.5" customHeight="1">
      <c r="D469" s="12"/>
      <c r="E469" s="182"/>
      <c r="F469" s="12"/>
      <c r="K469" s="51"/>
    </row>
    <row r="470" ht="13.5" customHeight="1">
      <c r="D470" s="12"/>
      <c r="E470" s="182"/>
      <c r="F470" s="12"/>
      <c r="K470" s="51"/>
    </row>
    <row r="471" ht="13.5" customHeight="1">
      <c r="D471" s="12"/>
      <c r="E471" s="182"/>
      <c r="F471" s="12"/>
      <c r="K471" s="51"/>
    </row>
    <row r="472" ht="13.5" customHeight="1">
      <c r="D472" s="12"/>
      <c r="E472" s="182"/>
      <c r="F472" s="12"/>
      <c r="K472" s="51"/>
    </row>
    <row r="473" ht="13.5" customHeight="1">
      <c r="D473" s="12"/>
      <c r="E473" s="182"/>
      <c r="F473" s="12"/>
      <c r="K473" s="51"/>
    </row>
    <row r="474" ht="13.5" customHeight="1">
      <c r="D474" s="12"/>
      <c r="E474" s="182"/>
      <c r="F474" s="12"/>
      <c r="K474" s="51"/>
    </row>
    <row r="475" ht="13.5" customHeight="1">
      <c r="D475" s="12"/>
      <c r="E475" s="182"/>
      <c r="F475" s="12"/>
      <c r="K475" s="51"/>
    </row>
    <row r="476" ht="13.5" customHeight="1">
      <c r="D476" s="12"/>
      <c r="E476" s="182"/>
      <c r="F476" s="12"/>
      <c r="K476" s="51"/>
    </row>
    <row r="477" ht="13.5" customHeight="1">
      <c r="D477" s="12"/>
      <c r="E477" s="182"/>
      <c r="F477" s="12"/>
      <c r="K477" s="51"/>
    </row>
    <row r="478" ht="13.5" customHeight="1">
      <c r="D478" s="12"/>
      <c r="E478" s="182"/>
      <c r="F478" s="12"/>
      <c r="K478" s="51"/>
    </row>
    <row r="479" ht="13.5" customHeight="1">
      <c r="D479" s="12"/>
      <c r="E479" s="182"/>
      <c r="F479" s="12"/>
      <c r="K479" s="51"/>
    </row>
    <row r="480" ht="13.5" customHeight="1">
      <c r="D480" s="12"/>
      <c r="E480" s="182"/>
      <c r="F480" s="12"/>
      <c r="K480" s="51"/>
    </row>
    <row r="481" ht="13.5" customHeight="1">
      <c r="D481" s="12"/>
      <c r="E481" s="182"/>
      <c r="F481" s="12"/>
      <c r="K481" s="51"/>
    </row>
    <row r="482" ht="13.5" customHeight="1">
      <c r="D482" s="12"/>
      <c r="E482" s="182"/>
      <c r="F482" s="12"/>
      <c r="K482" s="51"/>
    </row>
    <row r="483" ht="13.5" customHeight="1">
      <c r="D483" s="12"/>
      <c r="E483" s="182"/>
      <c r="F483" s="12"/>
      <c r="K483" s="51"/>
    </row>
    <row r="484" ht="13.5" customHeight="1">
      <c r="D484" s="12"/>
      <c r="E484" s="182"/>
      <c r="F484" s="12"/>
      <c r="K484" s="51"/>
    </row>
    <row r="485" ht="13.5" customHeight="1">
      <c r="D485" s="12"/>
      <c r="E485" s="182"/>
      <c r="F485" s="12"/>
      <c r="K485" s="51"/>
    </row>
    <row r="486" ht="13.5" customHeight="1">
      <c r="D486" s="12"/>
      <c r="E486" s="182"/>
      <c r="F486" s="12"/>
      <c r="K486" s="51"/>
    </row>
    <row r="487" ht="13.5" customHeight="1">
      <c r="D487" s="12"/>
      <c r="E487" s="182"/>
      <c r="F487" s="12"/>
      <c r="K487" s="51"/>
    </row>
    <row r="488" ht="13.5" customHeight="1">
      <c r="D488" s="12"/>
      <c r="E488" s="182"/>
      <c r="F488" s="12"/>
      <c r="K488" s="51"/>
    </row>
    <row r="489" ht="13.5" customHeight="1">
      <c r="D489" s="12"/>
      <c r="E489" s="182"/>
      <c r="F489" s="12"/>
      <c r="K489" s="51"/>
    </row>
    <row r="490" ht="13.5" customHeight="1">
      <c r="D490" s="12"/>
      <c r="E490" s="182"/>
      <c r="F490" s="12"/>
      <c r="K490" s="51"/>
    </row>
    <row r="491" ht="13.5" customHeight="1">
      <c r="D491" s="12"/>
      <c r="E491" s="182"/>
      <c r="F491" s="12"/>
      <c r="K491" s="51"/>
    </row>
    <row r="492" ht="13.5" customHeight="1">
      <c r="D492" s="12"/>
      <c r="E492" s="182"/>
      <c r="F492" s="12"/>
      <c r="K492" s="51"/>
    </row>
    <row r="493" ht="13.5" customHeight="1">
      <c r="D493" s="12"/>
      <c r="E493" s="182"/>
      <c r="F493" s="12"/>
      <c r="K493" s="51"/>
    </row>
    <row r="494" ht="13.5" customHeight="1">
      <c r="D494" s="12"/>
      <c r="E494" s="182"/>
      <c r="F494" s="12"/>
      <c r="K494" s="51"/>
    </row>
    <row r="495" ht="13.5" customHeight="1">
      <c r="D495" s="12"/>
      <c r="E495" s="182"/>
      <c r="F495" s="12"/>
      <c r="K495" s="51"/>
    </row>
    <row r="496" ht="13.5" customHeight="1">
      <c r="D496" s="12"/>
      <c r="E496" s="182"/>
      <c r="F496" s="12"/>
      <c r="K496" s="51"/>
    </row>
    <row r="497" ht="13.5" customHeight="1">
      <c r="D497" s="12"/>
      <c r="E497" s="182"/>
      <c r="F497" s="12"/>
      <c r="K497" s="51"/>
    </row>
    <row r="498" ht="13.5" customHeight="1">
      <c r="D498" s="12"/>
      <c r="E498" s="182"/>
      <c r="F498" s="12"/>
      <c r="K498" s="51"/>
    </row>
    <row r="499" ht="13.5" customHeight="1">
      <c r="D499" s="12"/>
      <c r="E499" s="182"/>
      <c r="F499" s="12"/>
      <c r="K499" s="51"/>
    </row>
    <row r="500" ht="13.5" customHeight="1">
      <c r="D500" s="12"/>
      <c r="E500" s="182"/>
      <c r="F500" s="12"/>
      <c r="K500" s="51"/>
    </row>
    <row r="501" ht="13.5" customHeight="1">
      <c r="D501" s="12"/>
      <c r="E501" s="182"/>
      <c r="F501" s="12"/>
      <c r="K501" s="51"/>
    </row>
    <row r="502" ht="13.5" customHeight="1">
      <c r="D502" s="12"/>
      <c r="E502" s="182"/>
      <c r="F502" s="12"/>
      <c r="K502" s="51"/>
    </row>
    <row r="503" ht="13.5" customHeight="1">
      <c r="D503" s="12"/>
      <c r="E503" s="182"/>
      <c r="F503" s="12"/>
      <c r="K503" s="51"/>
    </row>
    <row r="504" ht="13.5" customHeight="1">
      <c r="D504" s="12"/>
      <c r="E504" s="182"/>
      <c r="F504" s="12"/>
      <c r="K504" s="51"/>
    </row>
    <row r="505" ht="13.5" customHeight="1">
      <c r="D505" s="12"/>
      <c r="E505" s="182"/>
      <c r="F505" s="12"/>
      <c r="K505" s="51"/>
    </row>
    <row r="506" ht="13.5" customHeight="1">
      <c r="D506" s="12"/>
      <c r="E506" s="182"/>
      <c r="F506" s="12"/>
      <c r="K506" s="51"/>
    </row>
    <row r="507" ht="13.5" customHeight="1">
      <c r="D507" s="12"/>
      <c r="E507" s="182"/>
      <c r="F507" s="12"/>
      <c r="K507" s="51"/>
    </row>
    <row r="508" ht="13.5" customHeight="1">
      <c r="D508" s="12"/>
      <c r="E508" s="182"/>
      <c r="F508" s="12"/>
      <c r="K508" s="51"/>
    </row>
    <row r="509" ht="13.5" customHeight="1">
      <c r="D509" s="12"/>
      <c r="E509" s="182"/>
      <c r="F509" s="12"/>
      <c r="K509" s="51"/>
    </row>
    <row r="510" ht="13.5" customHeight="1">
      <c r="D510" s="12"/>
      <c r="E510" s="182"/>
      <c r="F510" s="12"/>
      <c r="K510" s="51"/>
    </row>
    <row r="511" ht="13.5" customHeight="1">
      <c r="D511" s="12"/>
      <c r="E511" s="182"/>
      <c r="F511" s="12"/>
      <c r="K511" s="51"/>
    </row>
    <row r="512" ht="13.5" customHeight="1">
      <c r="D512" s="12"/>
      <c r="E512" s="182"/>
      <c r="F512" s="12"/>
      <c r="K512" s="51"/>
    </row>
    <row r="513" ht="13.5" customHeight="1">
      <c r="D513" s="12"/>
      <c r="E513" s="182"/>
      <c r="F513" s="12"/>
      <c r="K513" s="51"/>
    </row>
    <row r="514" ht="13.5" customHeight="1">
      <c r="D514" s="12"/>
      <c r="E514" s="182"/>
      <c r="F514" s="12"/>
      <c r="K514" s="51"/>
    </row>
    <row r="515" ht="13.5" customHeight="1">
      <c r="D515" s="12"/>
      <c r="E515" s="182"/>
      <c r="F515" s="12"/>
      <c r="K515" s="51"/>
    </row>
    <row r="516" ht="13.5" customHeight="1">
      <c r="D516" s="12"/>
      <c r="E516" s="182"/>
      <c r="F516" s="12"/>
      <c r="K516" s="51"/>
    </row>
    <row r="517" ht="13.5" customHeight="1">
      <c r="D517" s="12"/>
      <c r="E517" s="182"/>
      <c r="F517" s="12"/>
      <c r="K517" s="51"/>
    </row>
    <row r="518" ht="13.5" customHeight="1">
      <c r="D518" s="12"/>
      <c r="E518" s="182"/>
      <c r="F518" s="12"/>
      <c r="K518" s="51"/>
    </row>
    <row r="519" ht="13.5" customHeight="1">
      <c r="D519" s="12"/>
      <c r="E519" s="182"/>
      <c r="F519" s="12"/>
      <c r="K519" s="51"/>
    </row>
    <row r="520" ht="13.5" customHeight="1">
      <c r="D520" s="12"/>
      <c r="E520" s="182"/>
      <c r="F520" s="12"/>
      <c r="K520" s="51"/>
    </row>
    <row r="521" ht="13.5" customHeight="1">
      <c r="D521" s="12"/>
      <c r="E521" s="182"/>
      <c r="F521" s="12"/>
      <c r="K521" s="51"/>
    </row>
    <row r="522" ht="13.5" customHeight="1">
      <c r="D522" s="12"/>
      <c r="E522" s="182"/>
      <c r="F522" s="12"/>
      <c r="K522" s="51"/>
    </row>
    <row r="523" ht="13.5" customHeight="1">
      <c r="D523" s="12"/>
      <c r="E523" s="182"/>
      <c r="F523" s="12"/>
      <c r="K523" s="51"/>
    </row>
    <row r="524" ht="13.5" customHeight="1">
      <c r="D524" s="12"/>
      <c r="E524" s="182"/>
      <c r="F524" s="12"/>
      <c r="K524" s="51"/>
    </row>
    <row r="525" ht="13.5" customHeight="1">
      <c r="D525" s="12"/>
      <c r="E525" s="182"/>
      <c r="F525" s="12"/>
      <c r="K525" s="51"/>
    </row>
    <row r="526" ht="13.5" customHeight="1">
      <c r="D526" s="12"/>
      <c r="E526" s="182"/>
      <c r="F526" s="12"/>
      <c r="K526" s="51"/>
    </row>
    <row r="527" ht="13.5" customHeight="1">
      <c r="D527" s="12"/>
      <c r="E527" s="182"/>
      <c r="F527" s="12"/>
      <c r="K527" s="51"/>
    </row>
    <row r="528" ht="13.5" customHeight="1">
      <c r="D528" s="12"/>
      <c r="E528" s="182"/>
      <c r="F528" s="12"/>
      <c r="K528" s="51"/>
    </row>
    <row r="529" ht="13.5" customHeight="1">
      <c r="D529" s="12"/>
      <c r="E529" s="182"/>
      <c r="F529" s="12"/>
      <c r="K529" s="51"/>
    </row>
    <row r="530" ht="13.5" customHeight="1">
      <c r="D530" s="12"/>
      <c r="E530" s="182"/>
      <c r="F530" s="12"/>
      <c r="K530" s="51"/>
    </row>
    <row r="531" ht="13.5" customHeight="1">
      <c r="D531" s="12"/>
      <c r="E531" s="182"/>
      <c r="F531" s="12"/>
      <c r="K531" s="51"/>
    </row>
    <row r="532" ht="13.5" customHeight="1">
      <c r="D532" s="12"/>
      <c r="E532" s="182"/>
      <c r="F532" s="12"/>
      <c r="K532" s="51"/>
    </row>
    <row r="533" ht="13.5" customHeight="1">
      <c r="D533" s="12"/>
      <c r="E533" s="182"/>
      <c r="F533" s="12"/>
      <c r="K533" s="51"/>
    </row>
    <row r="534" ht="13.5" customHeight="1">
      <c r="D534" s="12"/>
      <c r="E534" s="182"/>
      <c r="F534" s="12"/>
      <c r="K534" s="51"/>
    </row>
    <row r="535" ht="13.5" customHeight="1">
      <c r="D535" s="12"/>
      <c r="E535" s="182"/>
      <c r="F535" s="12"/>
      <c r="K535" s="51"/>
    </row>
    <row r="536" ht="13.5" customHeight="1">
      <c r="D536" s="12"/>
      <c r="E536" s="182"/>
      <c r="F536" s="12"/>
      <c r="K536" s="51"/>
    </row>
    <row r="537" ht="13.5" customHeight="1">
      <c r="D537" s="12"/>
      <c r="E537" s="182"/>
      <c r="F537" s="12"/>
      <c r="K537" s="51"/>
    </row>
    <row r="538" ht="13.5" customHeight="1">
      <c r="D538" s="12"/>
      <c r="E538" s="182"/>
      <c r="F538" s="12"/>
      <c r="K538" s="51"/>
    </row>
    <row r="539" ht="13.5" customHeight="1">
      <c r="D539" s="12"/>
      <c r="E539" s="182"/>
      <c r="F539" s="12"/>
      <c r="K539" s="51"/>
    </row>
    <row r="540" ht="13.5" customHeight="1">
      <c r="D540" s="12"/>
      <c r="E540" s="182"/>
      <c r="F540" s="12"/>
      <c r="K540" s="51"/>
    </row>
    <row r="541" ht="13.5" customHeight="1">
      <c r="D541" s="12"/>
      <c r="E541" s="182"/>
      <c r="F541" s="12"/>
      <c r="K541" s="51"/>
    </row>
    <row r="542" ht="13.5" customHeight="1">
      <c r="D542" s="12"/>
      <c r="E542" s="182"/>
      <c r="F542" s="12"/>
      <c r="K542" s="51"/>
    </row>
    <row r="543" ht="13.5" customHeight="1">
      <c r="D543" s="12"/>
      <c r="E543" s="182"/>
      <c r="F543" s="12"/>
      <c r="K543" s="51"/>
    </row>
    <row r="544" ht="13.5" customHeight="1">
      <c r="D544" s="12"/>
      <c r="E544" s="182"/>
      <c r="F544" s="12"/>
      <c r="K544" s="51"/>
    </row>
    <row r="545" ht="13.5" customHeight="1">
      <c r="D545" s="12"/>
      <c r="E545" s="182"/>
      <c r="F545" s="12"/>
      <c r="K545" s="51"/>
    </row>
    <row r="546" ht="13.5" customHeight="1">
      <c r="D546" s="12"/>
      <c r="E546" s="182"/>
      <c r="F546" s="12"/>
      <c r="K546" s="51"/>
    </row>
    <row r="547" ht="13.5" customHeight="1">
      <c r="D547" s="12"/>
      <c r="E547" s="182"/>
      <c r="F547" s="12"/>
      <c r="K547" s="51"/>
    </row>
    <row r="548" ht="13.5" customHeight="1">
      <c r="D548" s="12"/>
      <c r="E548" s="182"/>
      <c r="F548" s="12"/>
      <c r="K548" s="51"/>
    </row>
    <row r="549" ht="13.5" customHeight="1">
      <c r="D549" s="12"/>
      <c r="E549" s="182"/>
      <c r="F549" s="12"/>
      <c r="K549" s="51"/>
    </row>
    <row r="550" ht="13.5" customHeight="1">
      <c r="D550" s="12"/>
      <c r="E550" s="182"/>
      <c r="F550" s="12"/>
      <c r="K550" s="51"/>
    </row>
    <row r="551" ht="13.5" customHeight="1">
      <c r="D551" s="12"/>
      <c r="E551" s="182"/>
      <c r="F551" s="12"/>
      <c r="K551" s="51"/>
    </row>
    <row r="552" ht="13.5" customHeight="1">
      <c r="D552" s="12"/>
      <c r="E552" s="182"/>
      <c r="F552" s="12"/>
      <c r="K552" s="51"/>
    </row>
    <row r="553" ht="13.5" customHeight="1">
      <c r="D553" s="12"/>
      <c r="E553" s="182"/>
      <c r="F553" s="12"/>
      <c r="K553" s="51"/>
    </row>
    <row r="554" ht="13.5" customHeight="1">
      <c r="D554" s="12"/>
      <c r="E554" s="182"/>
      <c r="F554" s="12"/>
      <c r="K554" s="51"/>
    </row>
    <row r="555" ht="13.5" customHeight="1">
      <c r="D555" s="12"/>
      <c r="E555" s="182"/>
      <c r="F555" s="12"/>
      <c r="K555" s="51"/>
    </row>
    <row r="556" ht="13.5" customHeight="1">
      <c r="D556" s="12"/>
      <c r="E556" s="182"/>
      <c r="F556" s="12"/>
      <c r="K556" s="51"/>
    </row>
    <row r="557" ht="13.5" customHeight="1">
      <c r="D557" s="12"/>
      <c r="E557" s="182"/>
      <c r="F557" s="12"/>
      <c r="K557" s="51"/>
    </row>
    <row r="558" ht="13.5" customHeight="1">
      <c r="D558" s="12"/>
      <c r="E558" s="182"/>
      <c r="F558" s="12"/>
      <c r="K558" s="51"/>
    </row>
    <row r="559" ht="13.5" customHeight="1">
      <c r="D559" s="12"/>
      <c r="E559" s="182"/>
      <c r="F559" s="12"/>
      <c r="K559" s="51"/>
    </row>
    <row r="560" ht="13.5" customHeight="1">
      <c r="D560" s="12"/>
      <c r="E560" s="182"/>
      <c r="F560" s="12"/>
      <c r="K560" s="51"/>
    </row>
    <row r="561" ht="13.5" customHeight="1">
      <c r="D561" s="12"/>
      <c r="E561" s="182"/>
      <c r="F561" s="12"/>
      <c r="K561" s="51"/>
    </row>
    <row r="562" ht="13.5" customHeight="1">
      <c r="D562" s="12"/>
      <c r="E562" s="182"/>
      <c r="F562" s="12"/>
      <c r="K562" s="51"/>
    </row>
    <row r="563" ht="13.5" customHeight="1">
      <c r="D563" s="12"/>
      <c r="E563" s="182"/>
      <c r="F563" s="12"/>
      <c r="K563" s="51"/>
    </row>
    <row r="564" ht="13.5" customHeight="1">
      <c r="D564" s="12"/>
      <c r="E564" s="182"/>
      <c r="F564" s="12"/>
      <c r="K564" s="51"/>
    </row>
    <row r="565" ht="13.5" customHeight="1">
      <c r="D565" s="12"/>
      <c r="E565" s="182"/>
      <c r="F565" s="12"/>
      <c r="K565" s="51"/>
    </row>
    <row r="566" ht="13.5" customHeight="1">
      <c r="D566" s="12"/>
      <c r="E566" s="182"/>
      <c r="F566" s="12"/>
      <c r="K566" s="51"/>
    </row>
    <row r="567" ht="13.5" customHeight="1">
      <c r="D567" s="12"/>
      <c r="E567" s="182"/>
      <c r="F567" s="12"/>
      <c r="K567" s="51"/>
    </row>
    <row r="568" ht="13.5" customHeight="1">
      <c r="D568" s="12"/>
      <c r="E568" s="182"/>
      <c r="F568" s="12"/>
      <c r="K568" s="51"/>
    </row>
    <row r="569" ht="13.5" customHeight="1">
      <c r="D569" s="12"/>
      <c r="E569" s="182"/>
      <c r="F569" s="12"/>
      <c r="K569" s="51"/>
    </row>
    <row r="570" ht="13.5" customHeight="1">
      <c r="D570" s="12"/>
      <c r="E570" s="182"/>
      <c r="F570" s="12"/>
      <c r="K570" s="51"/>
    </row>
    <row r="571" ht="13.5" customHeight="1">
      <c r="D571" s="12"/>
      <c r="E571" s="182"/>
      <c r="F571" s="12"/>
      <c r="K571" s="51"/>
    </row>
    <row r="572" ht="13.5" customHeight="1">
      <c r="D572" s="12"/>
      <c r="E572" s="182"/>
      <c r="F572" s="12"/>
      <c r="K572" s="51"/>
    </row>
    <row r="573" ht="13.5" customHeight="1">
      <c r="D573" s="12"/>
      <c r="E573" s="182"/>
      <c r="F573" s="12"/>
      <c r="K573" s="51"/>
    </row>
    <row r="574" ht="13.5" customHeight="1">
      <c r="D574" s="12"/>
      <c r="E574" s="182"/>
      <c r="F574" s="12"/>
      <c r="K574" s="51"/>
    </row>
    <row r="575" ht="13.5" customHeight="1">
      <c r="D575" s="12"/>
      <c r="E575" s="182"/>
      <c r="F575" s="12"/>
      <c r="K575" s="51"/>
    </row>
    <row r="576" ht="13.5" customHeight="1">
      <c r="D576" s="12"/>
      <c r="E576" s="182"/>
      <c r="F576" s="12"/>
      <c r="K576" s="51"/>
    </row>
    <row r="577" ht="13.5" customHeight="1">
      <c r="D577" s="12"/>
      <c r="E577" s="182"/>
      <c r="F577" s="12"/>
      <c r="K577" s="51"/>
    </row>
    <row r="578" ht="13.5" customHeight="1">
      <c r="D578" s="12"/>
      <c r="E578" s="182"/>
      <c r="F578" s="12"/>
      <c r="K578" s="51"/>
    </row>
    <row r="579" ht="13.5" customHeight="1">
      <c r="D579" s="12"/>
      <c r="E579" s="182"/>
      <c r="F579" s="12"/>
      <c r="K579" s="51"/>
    </row>
    <row r="580" ht="13.5" customHeight="1">
      <c r="D580" s="12"/>
      <c r="E580" s="182"/>
      <c r="F580" s="12"/>
      <c r="K580" s="51"/>
    </row>
    <row r="581" ht="13.5" customHeight="1">
      <c r="D581" s="12"/>
      <c r="E581" s="182"/>
      <c r="F581" s="12"/>
      <c r="K581" s="51"/>
    </row>
    <row r="582" ht="13.5" customHeight="1">
      <c r="D582" s="12"/>
      <c r="E582" s="182"/>
      <c r="F582" s="12"/>
      <c r="K582" s="51"/>
    </row>
    <row r="583" ht="13.5" customHeight="1">
      <c r="D583" s="12"/>
      <c r="E583" s="182"/>
      <c r="F583" s="12"/>
      <c r="K583" s="51"/>
    </row>
    <row r="584" ht="13.5" customHeight="1">
      <c r="D584" s="12"/>
      <c r="E584" s="182"/>
      <c r="F584" s="12"/>
      <c r="K584" s="51"/>
    </row>
    <row r="585" ht="13.5" customHeight="1">
      <c r="D585" s="12"/>
      <c r="E585" s="182"/>
      <c r="F585" s="12"/>
      <c r="K585" s="51"/>
    </row>
    <row r="586" ht="13.5" customHeight="1">
      <c r="D586" s="12"/>
      <c r="E586" s="182"/>
      <c r="F586" s="12"/>
      <c r="K586" s="51"/>
    </row>
    <row r="587" ht="13.5" customHeight="1">
      <c r="D587" s="12"/>
      <c r="E587" s="182"/>
      <c r="F587" s="12"/>
      <c r="K587" s="51"/>
    </row>
    <row r="588" ht="13.5" customHeight="1">
      <c r="D588" s="12"/>
      <c r="E588" s="182"/>
      <c r="F588" s="12"/>
      <c r="K588" s="51"/>
    </row>
    <row r="589" ht="13.5" customHeight="1">
      <c r="D589" s="12"/>
      <c r="E589" s="182"/>
      <c r="F589" s="12"/>
      <c r="K589" s="51"/>
    </row>
    <row r="590" ht="13.5" customHeight="1">
      <c r="D590" s="12"/>
      <c r="E590" s="182"/>
      <c r="F590" s="12"/>
      <c r="K590" s="51"/>
    </row>
    <row r="591" ht="13.5" customHeight="1">
      <c r="D591" s="12"/>
      <c r="E591" s="182"/>
      <c r="F591" s="12"/>
      <c r="K591" s="51"/>
    </row>
    <row r="592" ht="13.5" customHeight="1">
      <c r="D592" s="12"/>
      <c r="E592" s="182"/>
      <c r="F592" s="12"/>
      <c r="K592" s="51"/>
    </row>
    <row r="593" ht="13.5" customHeight="1">
      <c r="D593" s="12"/>
      <c r="E593" s="182"/>
      <c r="F593" s="12"/>
      <c r="K593" s="51"/>
    </row>
    <row r="594" ht="13.5" customHeight="1">
      <c r="D594" s="12"/>
      <c r="E594" s="182"/>
      <c r="F594" s="12"/>
      <c r="K594" s="51"/>
    </row>
    <row r="595" ht="13.5" customHeight="1">
      <c r="D595" s="12"/>
      <c r="E595" s="182"/>
      <c r="F595" s="12"/>
      <c r="K595" s="51"/>
    </row>
    <row r="596" ht="13.5" customHeight="1">
      <c r="D596" s="12"/>
      <c r="E596" s="182"/>
      <c r="F596" s="12"/>
      <c r="K596" s="51"/>
    </row>
    <row r="597" ht="13.5" customHeight="1">
      <c r="D597" s="12"/>
      <c r="E597" s="182"/>
      <c r="F597" s="12"/>
      <c r="K597" s="51"/>
    </row>
    <row r="598" ht="13.5" customHeight="1">
      <c r="D598" s="12"/>
      <c r="E598" s="182"/>
      <c r="F598" s="12"/>
      <c r="K598" s="51"/>
    </row>
    <row r="599" ht="13.5" customHeight="1">
      <c r="D599" s="12"/>
      <c r="E599" s="182"/>
      <c r="F599" s="12"/>
      <c r="K599" s="51"/>
    </row>
    <row r="600" ht="13.5" customHeight="1">
      <c r="D600" s="12"/>
      <c r="E600" s="182"/>
      <c r="F600" s="12"/>
      <c r="K600" s="51"/>
    </row>
    <row r="601" ht="13.5" customHeight="1">
      <c r="D601" s="12"/>
      <c r="E601" s="182"/>
      <c r="F601" s="12"/>
      <c r="K601" s="51"/>
    </row>
    <row r="602" ht="13.5" customHeight="1">
      <c r="D602" s="12"/>
      <c r="E602" s="182"/>
      <c r="F602" s="12"/>
      <c r="K602" s="51"/>
    </row>
    <row r="603" ht="13.5" customHeight="1">
      <c r="D603" s="12"/>
      <c r="E603" s="182"/>
      <c r="F603" s="12"/>
      <c r="K603" s="51"/>
    </row>
    <row r="604" ht="13.5" customHeight="1">
      <c r="D604" s="12"/>
      <c r="E604" s="182"/>
      <c r="F604" s="12"/>
      <c r="K604" s="51"/>
    </row>
    <row r="605" ht="13.5" customHeight="1">
      <c r="D605" s="12"/>
      <c r="E605" s="182"/>
      <c r="F605" s="12"/>
      <c r="K605" s="51"/>
    </row>
    <row r="606" ht="13.5" customHeight="1">
      <c r="D606" s="12"/>
      <c r="E606" s="182"/>
      <c r="F606" s="12"/>
      <c r="K606" s="51"/>
    </row>
    <row r="607" ht="13.5" customHeight="1">
      <c r="D607" s="12"/>
      <c r="E607" s="182"/>
      <c r="F607" s="12"/>
      <c r="K607" s="51"/>
    </row>
    <row r="608" ht="13.5" customHeight="1">
      <c r="D608" s="12"/>
      <c r="E608" s="182"/>
      <c r="F608" s="12"/>
      <c r="K608" s="51"/>
    </row>
    <row r="609" ht="13.5" customHeight="1">
      <c r="D609" s="12"/>
      <c r="E609" s="182"/>
      <c r="F609" s="12"/>
      <c r="K609" s="51"/>
    </row>
    <row r="610" ht="13.5" customHeight="1">
      <c r="D610" s="12"/>
      <c r="E610" s="182"/>
      <c r="F610" s="12"/>
      <c r="K610" s="51"/>
    </row>
    <row r="611" ht="13.5" customHeight="1">
      <c r="D611" s="12"/>
      <c r="E611" s="182"/>
      <c r="F611" s="12"/>
      <c r="K611" s="51"/>
    </row>
    <row r="612" ht="13.5" customHeight="1">
      <c r="D612" s="12"/>
      <c r="E612" s="182"/>
      <c r="F612" s="12"/>
      <c r="K612" s="51"/>
    </row>
    <row r="613" ht="13.5" customHeight="1">
      <c r="D613" s="12"/>
      <c r="E613" s="182"/>
      <c r="F613" s="12"/>
      <c r="K613" s="51"/>
    </row>
    <row r="614" ht="13.5" customHeight="1">
      <c r="D614" s="12"/>
      <c r="E614" s="182"/>
      <c r="F614" s="12"/>
      <c r="K614" s="51"/>
    </row>
    <row r="615" ht="13.5" customHeight="1">
      <c r="D615" s="12"/>
      <c r="E615" s="182"/>
      <c r="F615" s="12"/>
      <c r="K615" s="51"/>
    </row>
    <row r="616" ht="13.5" customHeight="1">
      <c r="D616" s="12"/>
      <c r="E616" s="182"/>
      <c r="F616" s="12"/>
      <c r="K616" s="51"/>
    </row>
    <row r="617" ht="13.5" customHeight="1">
      <c r="D617" s="12"/>
      <c r="E617" s="182"/>
      <c r="F617" s="12"/>
      <c r="K617" s="51"/>
    </row>
    <row r="618" ht="13.5" customHeight="1">
      <c r="D618" s="12"/>
      <c r="E618" s="182"/>
      <c r="F618" s="12"/>
      <c r="K618" s="51"/>
    </row>
    <row r="619" ht="13.5" customHeight="1">
      <c r="D619" s="12"/>
      <c r="E619" s="182"/>
      <c r="F619" s="12"/>
      <c r="K619" s="51"/>
    </row>
    <row r="620" ht="13.5" customHeight="1">
      <c r="D620" s="12"/>
      <c r="E620" s="182"/>
      <c r="F620" s="12"/>
      <c r="K620" s="51"/>
    </row>
    <row r="621" ht="13.5" customHeight="1">
      <c r="D621" s="12"/>
      <c r="E621" s="182"/>
      <c r="F621" s="12"/>
      <c r="K621" s="51"/>
    </row>
    <row r="622" ht="13.5" customHeight="1">
      <c r="D622" s="12"/>
      <c r="E622" s="182"/>
      <c r="F622" s="12"/>
      <c r="K622" s="51"/>
    </row>
    <row r="623" ht="13.5" customHeight="1">
      <c r="D623" s="12"/>
      <c r="E623" s="182"/>
      <c r="F623" s="12"/>
      <c r="K623" s="51"/>
    </row>
    <row r="624" ht="13.5" customHeight="1">
      <c r="D624" s="12"/>
      <c r="E624" s="182"/>
      <c r="F624" s="12"/>
      <c r="K624" s="51"/>
    </row>
    <row r="625" ht="13.5" customHeight="1">
      <c r="D625" s="12"/>
      <c r="E625" s="182"/>
      <c r="F625" s="12"/>
      <c r="K625" s="51"/>
    </row>
    <row r="626" ht="13.5" customHeight="1">
      <c r="D626" s="12"/>
      <c r="E626" s="182"/>
      <c r="F626" s="12"/>
      <c r="K626" s="51"/>
    </row>
    <row r="627" ht="13.5" customHeight="1">
      <c r="D627" s="12"/>
      <c r="E627" s="182"/>
      <c r="F627" s="12"/>
      <c r="K627" s="51"/>
    </row>
    <row r="628" ht="13.5" customHeight="1">
      <c r="D628" s="12"/>
      <c r="E628" s="182"/>
      <c r="F628" s="12"/>
      <c r="K628" s="51"/>
    </row>
    <row r="629" ht="13.5" customHeight="1">
      <c r="D629" s="12"/>
      <c r="E629" s="182"/>
      <c r="F629" s="12"/>
      <c r="K629" s="51"/>
    </row>
    <row r="630" ht="13.5" customHeight="1">
      <c r="D630" s="12"/>
      <c r="E630" s="182"/>
      <c r="F630" s="12"/>
      <c r="K630" s="51"/>
    </row>
    <row r="631" ht="13.5" customHeight="1">
      <c r="D631" s="12"/>
      <c r="E631" s="182"/>
      <c r="F631" s="12"/>
      <c r="K631" s="51"/>
    </row>
    <row r="632" ht="13.5" customHeight="1">
      <c r="D632" s="12"/>
      <c r="E632" s="182"/>
      <c r="F632" s="12"/>
      <c r="K632" s="51"/>
    </row>
    <row r="633" ht="13.5" customHeight="1">
      <c r="D633" s="12"/>
      <c r="E633" s="182"/>
      <c r="F633" s="12"/>
      <c r="K633" s="51"/>
    </row>
    <row r="634" ht="13.5" customHeight="1">
      <c r="D634" s="12"/>
      <c r="E634" s="182"/>
      <c r="F634" s="12"/>
      <c r="K634" s="51"/>
    </row>
    <row r="635" ht="13.5" customHeight="1">
      <c r="D635" s="12"/>
      <c r="E635" s="182"/>
      <c r="F635" s="12"/>
      <c r="K635" s="51"/>
    </row>
    <row r="636" ht="13.5" customHeight="1">
      <c r="D636" s="12"/>
      <c r="E636" s="182"/>
      <c r="F636" s="12"/>
      <c r="K636" s="51"/>
    </row>
    <row r="637" ht="13.5" customHeight="1">
      <c r="D637" s="12"/>
      <c r="E637" s="182"/>
      <c r="F637" s="12"/>
      <c r="K637" s="51"/>
    </row>
    <row r="638" ht="13.5" customHeight="1">
      <c r="D638" s="12"/>
      <c r="E638" s="182"/>
      <c r="F638" s="12"/>
      <c r="K638" s="51"/>
    </row>
    <row r="639" ht="13.5" customHeight="1">
      <c r="D639" s="12"/>
      <c r="E639" s="182"/>
      <c r="F639" s="12"/>
      <c r="K639" s="51"/>
    </row>
    <row r="640" ht="13.5" customHeight="1">
      <c r="D640" s="12"/>
      <c r="E640" s="182"/>
      <c r="F640" s="12"/>
      <c r="K640" s="51"/>
    </row>
    <row r="641" ht="13.5" customHeight="1">
      <c r="D641" s="12"/>
      <c r="E641" s="182"/>
      <c r="F641" s="12"/>
      <c r="K641" s="51"/>
    </row>
    <row r="642" ht="13.5" customHeight="1">
      <c r="D642" s="12"/>
      <c r="E642" s="182"/>
      <c r="F642" s="12"/>
      <c r="K642" s="51"/>
    </row>
    <row r="643" ht="13.5" customHeight="1">
      <c r="D643" s="12"/>
      <c r="E643" s="182"/>
      <c r="F643" s="12"/>
      <c r="K643" s="51"/>
    </row>
    <row r="644" ht="13.5" customHeight="1">
      <c r="D644" s="12"/>
      <c r="E644" s="182"/>
      <c r="F644" s="12"/>
      <c r="K644" s="51"/>
    </row>
    <row r="645" ht="13.5" customHeight="1">
      <c r="D645" s="12"/>
      <c r="E645" s="182"/>
      <c r="F645" s="12"/>
      <c r="K645" s="51"/>
    </row>
    <row r="646" ht="13.5" customHeight="1">
      <c r="D646" s="12"/>
      <c r="E646" s="182"/>
      <c r="F646" s="12"/>
      <c r="K646" s="51"/>
    </row>
    <row r="647" ht="13.5" customHeight="1">
      <c r="D647" s="12"/>
      <c r="E647" s="182"/>
      <c r="F647" s="12"/>
      <c r="K647" s="51"/>
    </row>
    <row r="648" ht="13.5" customHeight="1">
      <c r="D648" s="12"/>
      <c r="E648" s="182"/>
      <c r="F648" s="12"/>
      <c r="K648" s="51"/>
    </row>
    <row r="649" ht="13.5" customHeight="1">
      <c r="D649" s="12"/>
      <c r="E649" s="182"/>
      <c r="F649" s="12"/>
      <c r="K649" s="51"/>
    </row>
    <row r="650" ht="13.5" customHeight="1">
      <c r="D650" s="12"/>
      <c r="E650" s="182"/>
      <c r="F650" s="12"/>
      <c r="K650" s="51"/>
    </row>
    <row r="651" ht="13.5" customHeight="1">
      <c r="D651" s="12"/>
      <c r="E651" s="182"/>
      <c r="F651" s="12"/>
      <c r="K651" s="51"/>
    </row>
    <row r="652" ht="13.5" customHeight="1">
      <c r="D652" s="12"/>
      <c r="E652" s="182"/>
      <c r="F652" s="12"/>
      <c r="K652" s="51"/>
    </row>
    <row r="653" ht="13.5" customHeight="1">
      <c r="D653" s="12"/>
      <c r="E653" s="182"/>
      <c r="F653" s="12"/>
      <c r="K653" s="51"/>
    </row>
    <row r="654" ht="13.5" customHeight="1">
      <c r="D654" s="12"/>
      <c r="E654" s="182"/>
      <c r="F654" s="12"/>
      <c r="K654" s="51"/>
    </row>
    <row r="655" ht="13.5" customHeight="1">
      <c r="D655" s="12"/>
      <c r="E655" s="182"/>
      <c r="F655" s="12"/>
      <c r="K655" s="51"/>
    </row>
    <row r="656" ht="13.5" customHeight="1">
      <c r="D656" s="12"/>
      <c r="E656" s="182"/>
      <c r="F656" s="12"/>
      <c r="K656" s="51"/>
    </row>
    <row r="657" ht="13.5" customHeight="1">
      <c r="D657" s="12"/>
      <c r="E657" s="182"/>
      <c r="F657" s="12"/>
      <c r="K657" s="51"/>
    </row>
    <row r="658" ht="13.5" customHeight="1">
      <c r="D658" s="12"/>
      <c r="E658" s="182"/>
      <c r="F658" s="12"/>
      <c r="K658" s="51"/>
    </row>
    <row r="659" ht="13.5" customHeight="1">
      <c r="D659" s="12"/>
      <c r="E659" s="182"/>
      <c r="F659" s="12"/>
      <c r="K659" s="51"/>
    </row>
    <row r="660" ht="13.5" customHeight="1">
      <c r="D660" s="12"/>
      <c r="E660" s="182"/>
      <c r="F660" s="12"/>
      <c r="K660" s="51"/>
    </row>
    <row r="661" ht="13.5" customHeight="1">
      <c r="D661" s="12"/>
      <c r="E661" s="182"/>
      <c r="F661" s="12"/>
      <c r="K661" s="51"/>
    </row>
    <row r="662" ht="13.5" customHeight="1">
      <c r="D662" s="12"/>
      <c r="E662" s="182"/>
      <c r="F662" s="12"/>
      <c r="K662" s="51"/>
    </row>
    <row r="663" ht="13.5" customHeight="1">
      <c r="D663" s="12"/>
      <c r="E663" s="182"/>
      <c r="F663" s="12"/>
      <c r="K663" s="51"/>
    </row>
    <row r="664" ht="13.5" customHeight="1">
      <c r="D664" s="12"/>
      <c r="E664" s="182"/>
      <c r="F664" s="12"/>
      <c r="K664" s="51"/>
    </row>
    <row r="665" ht="13.5" customHeight="1">
      <c r="D665" s="12"/>
      <c r="E665" s="182"/>
      <c r="F665" s="12"/>
      <c r="K665" s="51"/>
    </row>
    <row r="666" ht="13.5" customHeight="1">
      <c r="D666" s="12"/>
      <c r="E666" s="182"/>
      <c r="F666" s="12"/>
      <c r="K666" s="51"/>
    </row>
    <row r="667" ht="13.5" customHeight="1">
      <c r="D667" s="12"/>
      <c r="E667" s="182"/>
      <c r="F667" s="12"/>
      <c r="K667" s="51"/>
    </row>
    <row r="668" ht="13.5" customHeight="1">
      <c r="D668" s="12"/>
      <c r="E668" s="182"/>
      <c r="F668" s="12"/>
      <c r="K668" s="51"/>
    </row>
    <row r="669" ht="13.5" customHeight="1">
      <c r="D669" s="12"/>
      <c r="E669" s="182"/>
      <c r="F669" s="12"/>
      <c r="K669" s="51"/>
    </row>
    <row r="670" ht="13.5" customHeight="1">
      <c r="D670" s="12"/>
      <c r="E670" s="182"/>
      <c r="F670" s="12"/>
      <c r="K670" s="51"/>
    </row>
    <row r="671" ht="13.5" customHeight="1">
      <c r="D671" s="12"/>
      <c r="E671" s="182"/>
      <c r="F671" s="12"/>
      <c r="K671" s="51"/>
    </row>
    <row r="672" ht="13.5" customHeight="1">
      <c r="D672" s="12"/>
      <c r="E672" s="182"/>
      <c r="F672" s="12"/>
      <c r="K672" s="51"/>
    </row>
    <row r="673" ht="13.5" customHeight="1">
      <c r="D673" s="12"/>
      <c r="E673" s="182"/>
      <c r="F673" s="12"/>
      <c r="K673" s="51"/>
    </row>
    <row r="674" ht="13.5" customHeight="1">
      <c r="D674" s="12"/>
      <c r="E674" s="182"/>
      <c r="F674" s="12"/>
      <c r="K674" s="51"/>
    </row>
    <row r="675" ht="13.5" customHeight="1">
      <c r="D675" s="12"/>
      <c r="E675" s="182"/>
      <c r="F675" s="12"/>
      <c r="K675" s="51"/>
    </row>
    <row r="676" ht="13.5" customHeight="1">
      <c r="D676" s="12"/>
      <c r="E676" s="182"/>
      <c r="F676" s="12"/>
      <c r="K676" s="51"/>
    </row>
    <row r="677" ht="13.5" customHeight="1">
      <c r="D677" s="12"/>
      <c r="E677" s="182"/>
      <c r="F677" s="12"/>
      <c r="K677" s="51"/>
    </row>
    <row r="678" ht="13.5" customHeight="1">
      <c r="D678" s="12"/>
      <c r="E678" s="182"/>
      <c r="F678" s="12"/>
      <c r="K678" s="51"/>
    </row>
    <row r="679" ht="13.5" customHeight="1">
      <c r="D679" s="12"/>
      <c r="E679" s="182"/>
      <c r="F679" s="12"/>
      <c r="K679" s="51"/>
    </row>
    <row r="680" ht="13.5" customHeight="1">
      <c r="D680" s="12"/>
      <c r="E680" s="182"/>
      <c r="F680" s="12"/>
      <c r="K680" s="51"/>
    </row>
    <row r="681" ht="13.5" customHeight="1">
      <c r="D681" s="12"/>
      <c r="E681" s="182"/>
      <c r="F681" s="12"/>
      <c r="K681" s="51"/>
    </row>
    <row r="682" ht="13.5" customHeight="1">
      <c r="D682" s="12"/>
      <c r="E682" s="182"/>
      <c r="F682" s="12"/>
      <c r="K682" s="51"/>
    </row>
    <row r="683" ht="13.5" customHeight="1">
      <c r="D683" s="12"/>
      <c r="E683" s="182"/>
      <c r="F683" s="12"/>
      <c r="K683" s="51"/>
    </row>
    <row r="684" ht="13.5" customHeight="1">
      <c r="D684" s="12"/>
      <c r="E684" s="182"/>
      <c r="F684" s="12"/>
      <c r="K684" s="51"/>
    </row>
    <row r="685" ht="13.5" customHeight="1">
      <c r="D685" s="12"/>
      <c r="E685" s="182"/>
      <c r="F685" s="12"/>
      <c r="K685" s="51"/>
    </row>
    <row r="686" ht="13.5" customHeight="1">
      <c r="D686" s="12"/>
      <c r="E686" s="182"/>
      <c r="F686" s="12"/>
      <c r="K686" s="51"/>
    </row>
    <row r="687" ht="13.5" customHeight="1">
      <c r="D687" s="12"/>
      <c r="E687" s="182"/>
      <c r="F687" s="12"/>
      <c r="K687" s="51"/>
    </row>
    <row r="688" ht="13.5" customHeight="1">
      <c r="D688" s="12"/>
      <c r="E688" s="182"/>
      <c r="F688" s="12"/>
      <c r="K688" s="51"/>
    </row>
    <row r="689" ht="13.5" customHeight="1">
      <c r="D689" s="12"/>
      <c r="E689" s="182"/>
      <c r="F689" s="12"/>
      <c r="K689" s="51"/>
    </row>
    <row r="690" ht="13.5" customHeight="1">
      <c r="D690" s="12"/>
      <c r="E690" s="182"/>
      <c r="F690" s="12"/>
      <c r="K690" s="51"/>
    </row>
    <row r="691" ht="13.5" customHeight="1">
      <c r="D691" s="12"/>
      <c r="E691" s="182"/>
      <c r="F691" s="12"/>
      <c r="K691" s="51"/>
    </row>
    <row r="692" ht="13.5" customHeight="1">
      <c r="D692" s="12"/>
      <c r="E692" s="182"/>
      <c r="F692" s="12"/>
      <c r="K692" s="51"/>
    </row>
    <row r="693" ht="13.5" customHeight="1">
      <c r="D693" s="12"/>
      <c r="E693" s="182"/>
      <c r="F693" s="12"/>
      <c r="K693" s="51"/>
    </row>
    <row r="694" ht="13.5" customHeight="1">
      <c r="D694" s="12"/>
      <c r="E694" s="182"/>
      <c r="F694" s="12"/>
      <c r="K694" s="51"/>
    </row>
    <row r="695" ht="13.5" customHeight="1">
      <c r="D695" s="12"/>
      <c r="E695" s="182"/>
      <c r="F695" s="12"/>
      <c r="K695" s="51"/>
    </row>
    <row r="696" ht="13.5" customHeight="1">
      <c r="D696" s="12"/>
      <c r="E696" s="182"/>
      <c r="F696" s="12"/>
      <c r="K696" s="51"/>
    </row>
    <row r="697" ht="13.5" customHeight="1">
      <c r="D697" s="12"/>
      <c r="E697" s="182"/>
      <c r="F697" s="12"/>
      <c r="K697" s="51"/>
    </row>
    <row r="698" ht="13.5" customHeight="1">
      <c r="D698" s="12"/>
      <c r="E698" s="182"/>
      <c r="F698" s="12"/>
      <c r="K698" s="51"/>
    </row>
    <row r="699" ht="13.5" customHeight="1">
      <c r="D699" s="12"/>
      <c r="E699" s="182"/>
      <c r="F699" s="12"/>
      <c r="K699" s="51"/>
    </row>
    <row r="700" ht="13.5" customHeight="1">
      <c r="D700" s="12"/>
      <c r="E700" s="182"/>
      <c r="F700" s="12"/>
      <c r="K700" s="51"/>
    </row>
    <row r="701" ht="13.5" customHeight="1">
      <c r="D701" s="12"/>
      <c r="E701" s="182"/>
      <c r="F701" s="12"/>
      <c r="K701" s="51"/>
    </row>
    <row r="702" ht="13.5" customHeight="1">
      <c r="D702" s="12"/>
      <c r="E702" s="182"/>
      <c r="F702" s="12"/>
      <c r="K702" s="51"/>
    </row>
    <row r="703" ht="13.5" customHeight="1">
      <c r="D703" s="12"/>
      <c r="E703" s="182"/>
      <c r="F703" s="12"/>
      <c r="K703" s="51"/>
    </row>
    <row r="704" ht="13.5" customHeight="1">
      <c r="D704" s="12"/>
      <c r="E704" s="182"/>
      <c r="F704" s="12"/>
      <c r="K704" s="51"/>
    </row>
    <row r="705" ht="13.5" customHeight="1">
      <c r="D705" s="12"/>
      <c r="E705" s="182"/>
      <c r="F705" s="12"/>
      <c r="K705" s="51"/>
    </row>
    <row r="706" ht="13.5" customHeight="1">
      <c r="D706" s="12"/>
      <c r="E706" s="182"/>
      <c r="F706" s="12"/>
      <c r="K706" s="51"/>
    </row>
    <row r="707" ht="13.5" customHeight="1">
      <c r="D707" s="12"/>
      <c r="E707" s="182"/>
      <c r="F707" s="12"/>
      <c r="K707" s="51"/>
    </row>
    <row r="708" ht="13.5" customHeight="1">
      <c r="D708" s="12"/>
      <c r="E708" s="182"/>
      <c r="F708" s="12"/>
      <c r="K708" s="51"/>
    </row>
    <row r="709" ht="13.5" customHeight="1">
      <c r="D709" s="12"/>
      <c r="E709" s="182"/>
      <c r="F709" s="12"/>
      <c r="K709" s="51"/>
    </row>
    <row r="710" ht="13.5" customHeight="1">
      <c r="D710" s="12"/>
      <c r="E710" s="182"/>
      <c r="F710" s="12"/>
      <c r="K710" s="51"/>
    </row>
    <row r="711" ht="13.5" customHeight="1">
      <c r="D711" s="12"/>
      <c r="E711" s="182"/>
      <c r="F711" s="12"/>
      <c r="K711" s="51"/>
    </row>
    <row r="712" ht="13.5" customHeight="1">
      <c r="D712" s="12"/>
      <c r="E712" s="182"/>
      <c r="F712" s="12"/>
      <c r="K712" s="51"/>
    </row>
    <row r="713" ht="13.5" customHeight="1">
      <c r="D713" s="12"/>
      <c r="E713" s="182"/>
      <c r="F713" s="12"/>
      <c r="K713" s="51"/>
    </row>
    <row r="714" ht="13.5" customHeight="1">
      <c r="D714" s="12"/>
      <c r="E714" s="182"/>
      <c r="F714" s="12"/>
      <c r="K714" s="51"/>
    </row>
    <row r="715" ht="13.5" customHeight="1">
      <c r="D715" s="12"/>
      <c r="E715" s="182"/>
      <c r="F715" s="12"/>
      <c r="K715" s="51"/>
    </row>
    <row r="716" ht="13.5" customHeight="1">
      <c r="D716" s="12"/>
      <c r="E716" s="182"/>
      <c r="F716" s="12"/>
      <c r="K716" s="51"/>
    </row>
    <row r="717" ht="13.5" customHeight="1">
      <c r="D717" s="12"/>
      <c r="E717" s="182"/>
      <c r="F717" s="12"/>
      <c r="K717" s="51"/>
    </row>
    <row r="718" ht="13.5" customHeight="1">
      <c r="D718" s="12"/>
      <c r="E718" s="182"/>
      <c r="F718" s="12"/>
      <c r="K718" s="51"/>
    </row>
    <row r="719" ht="13.5" customHeight="1">
      <c r="D719" s="12"/>
      <c r="E719" s="182"/>
      <c r="F719" s="12"/>
      <c r="K719" s="51"/>
    </row>
    <row r="720" ht="13.5" customHeight="1">
      <c r="D720" s="12"/>
      <c r="E720" s="182"/>
      <c r="F720" s="12"/>
      <c r="K720" s="51"/>
    </row>
    <row r="721" ht="13.5" customHeight="1">
      <c r="D721" s="12"/>
      <c r="E721" s="182"/>
      <c r="F721" s="12"/>
      <c r="K721" s="51"/>
    </row>
    <row r="722" ht="13.5" customHeight="1">
      <c r="D722" s="12"/>
      <c r="E722" s="182"/>
      <c r="F722" s="12"/>
      <c r="K722" s="51"/>
    </row>
    <row r="723" ht="13.5" customHeight="1">
      <c r="D723" s="12"/>
      <c r="E723" s="182"/>
      <c r="F723" s="12"/>
      <c r="K723" s="51"/>
    </row>
    <row r="724" ht="13.5" customHeight="1">
      <c r="D724" s="12"/>
      <c r="E724" s="182"/>
      <c r="F724" s="12"/>
      <c r="K724" s="51"/>
    </row>
    <row r="725" ht="13.5" customHeight="1">
      <c r="D725" s="12"/>
      <c r="E725" s="182"/>
      <c r="F725" s="12"/>
      <c r="K725" s="51"/>
    </row>
    <row r="726" ht="13.5" customHeight="1">
      <c r="D726" s="12"/>
      <c r="E726" s="182"/>
      <c r="F726" s="12"/>
      <c r="K726" s="51"/>
    </row>
    <row r="727" ht="13.5" customHeight="1">
      <c r="D727" s="12"/>
      <c r="E727" s="182"/>
      <c r="F727" s="12"/>
      <c r="K727" s="51"/>
    </row>
    <row r="728" ht="13.5" customHeight="1">
      <c r="D728" s="12"/>
      <c r="E728" s="182"/>
      <c r="F728" s="12"/>
      <c r="K728" s="51"/>
    </row>
    <row r="729" ht="13.5" customHeight="1">
      <c r="D729" s="12"/>
      <c r="E729" s="182"/>
      <c r="F729" s="12"/>
      <c r="K729" s="51"/>
    </row>
    <row r="730" ht="13.5" customHeight="1">
      <c r="D730" s="12"/>
      <c r="E730" s="182"/>
      <c r="F730" s="12"/>
      <c r="K730" s="51"/>
    </row>
    <row r="731" ht="13.5" customHeight="1">
      <c r="D731" s="12"/>
      <c r="E731" s="182"/>
      <c r="F731" s="12"/>
      <c r="K731" s="51"/>
    </row>
    <row r="732" ht="13.5" customHeight="1">
      <c r="D732" s="12"/>
      <c r="E732" s="182"/>
      <c r="F732" s="12"/>
      <c r="K732" s="51"/>
    </row>
    <row r="733" ht="13.5" customHeight="1">
      <c r="D733" s="12"/>
      <c r="E733" s="182"/>
      <c r="F733" s="12"/>
      <c r="K733" s="51"/>
    </row>
    <row r="734" ht="13.5" customHeight="1">
      <c r="D734" s="12"/>
      <c r="E734" s="182"/>
      <c r="F734" s="12"/>
      <c r="K734" s="51"/>
    </row>
    <row r="735" ht="13.5" customHeight="1">
      <c r="D735" s="12"/>
      <c r="E735" s="182"/>
      <c r="F735" s="12"/>
      <c r="K735" s="51"/>
    </row>
    <row r="736" ht="13.5" customHeight="1">
      <c r="D736" s="12"/>
      <c r="E736" s="182"/>
      <c r="F736" s="12"/>
      <c r="K736" s="51"/>
    </row>
    <row r="737" ht="13.5" customHeight="1">
      <c r="D737" s="12"/>
      <c r="E737" s="182"/>
      <c r="F737" s="12"/>
      <c r="K737" s="51"/>
    </row>
    <row r="738" ht="13.5" customHeight="1">
      <c r="D738" s="12"/>
      <c r="E738" s="182"/>
      <c r="F738" s="12"/>
      <c r="K738" s="51"/>
    </row>
    <row r="739" ht="13.5" customHeight="1">
      <c r="D739" s="12"/>
      <c r="E739" s="182"/>
      <c r="F739" s="12"/>
      <c r="K739" s="51"/>
    </row>
    <row r="740" ht="13.5" customHeight="1">
      <c r="D740" s="12"/>
      <c r="E740" s="182"/>
      <c r="F740" s="12"/>
      <c r="K740" s="51"/>
    </row>
    <row r="741" ht="13.5" customHeight="1">
      <c r="D741" s="12"/>
      <c r="E741" s="182"/>
      <c r="F741" s="12"/>
      <c r="K741" s="51"/>
    </row>
    <row r="742" ht="13.5" customHeight="1">
      <c r="D742" s="12"/>
      <c r="E742" s="182"/>
      <c r="F742" s="12"/>
      <c r="K742" s="51"/>
    </row>
    <row r="743" ht="13.5" customHeight="1">
      <c r="D743" s="12"/>
      <c r="E743" s="182"/>
      <c r="F743" s="12"/>
      <c r="K743" s="51"/>
    </row>
    <row r="744" ht="13.5" customHeight="1">
      <c r="D744" s="12"/>
      <c r="E744" s="182"/>
      <c r="F744" s="12"/>
      <c r="K744" s="51"/>
    </row>
    <row r="745" ht="13.5" customHeight="1">
      <c r="D745" s="12"/>
      <c r="E745" s="182"/>
      <c r="F745" s="12"/>
      <c r="K745" s="51"/>
    </row>
    <row r="746" ht="13.5" customHeight="1">
      <c r="D746" s="12"/>
      <c r="E746" s="182"/>
      <c r="F746" s="12"/>
      <c r="K746" s="51"/>
    </row>
    <row r="747" ht="13.5" customHeight="1">
      <c r="D747" s="12"/>
      <c r="E747" s="182"/>
      <c r="F747" s="12"/>
      <c r="K747" s="51"/>
    </row>
    <row r="748" ht="13.5" customHeight="1">
      <c r="D748" s="12"/>
      <c r="E748" s="182"/>
      <c r="F748" s="12"/>
      <c r="K748" s="51"/>
    </row>
    <row r="749" ht="13.5" customHeight="1">
      <c r="D749" s="12"/>
      <c r="E749" s="182"/>
      <c r="F749" s="12"/>
      <c r="K749" s="51"/>
    </row>
    <row r="750" ht="13.5" customHeight="1">
      <c r="D750" s="12"/>
      <c r="E750" s="182"/>
      <c r="F750" s="12"/>
      <c r="K750" s="51"/>
    </row>
    <row r="751" ht="13.5" customHeight="1">
      <c r="D751" s="12"/>
      <c r="E751" s="182"/>
      <c r="F751" s="12"/>
      <c r="K751" s="51"/>
    </row>
    <row r="752" ht="13.5" customHeight="1">
      <c r="D752" s="12"/>
      <c r="E752" s="182"/>
      <c r="F752" s="12"/>
      <c r="K752" s="51"/>
    </row>
    <row r="753" ht="13.5" customHeight="1">
      <c r="D753" s="12"/>
      <c r="E753" s="182"/>
      <c r="F753" s="12"/>
      <c r="K753" s="51"/>
    </row>
    <row r="754" ht="13.5" customHeight="1">
      <c r="D754" s="12"/>
      <c r="E754" s="182"/>
      <c r="F754" s="12"/>
      <c r="K754" s="51"/>
    </row>
    <row r="755" ht="13.5" customHeight="1">
      <c r="D755" s="12"/>
      <c r="E755" s="182"/>
      <c r="F755" s="12"/>
      <c r="K755" s="51"/>
    </row>
    <row r="756" ht="13.5" customHeight="1">
      <c r="D756" s="12"/>
      <c r="E756" s="182"/>
      <c r="F756" s="12"/>
      <c r="K756" s="51"/>
    </row>
    <row r="757" ht="13.5" customHeight="1">
      <c r="D757" s="12"/>
      <c r="E757" s="182"/>
      <c r="F757" s="12"/>
      <c r="K757" s="51"/>
    </row>
    <row r="758" ht="13.5" customHeight="1">
      <c r="D758" s="12"/>
      <c r="E758" s="182"/>
      <c r="F758" s="12"/>
      <c r="K758" s="51"/>
    </row>
    <row r="759" ht="13.5" customHeight="1">
      <c r="D759" s="12"/>
      <c r="E759" s="182"/>
      <c r="F759" s="12"/>
      <c r="K759" s="51"/>
    </row>
    <row r="760" ht="13.5" customHeight="1">
      <c r="D760" s="12"/>
      <c r="E760" s="182"/>
      <c r="F760" s="12"/>
      <c r="K760" s="51"/>
    </row>
    <row r="761" ht="13.5" customHeight="1">
      <c r="D761" s="12"/>
      <c r="E761" s="182"/>
      <c r="F761" s="12"/>
      <c r="K761" s="51"/>
    </row>
    <row r="762" ht="13.5" customHeight="1">
      <c r="D762" s="12"/>
      <c r="E762" s="182"/>
      <c r="F762" s="12"/>
      <c r="K762" s="51"/>
    </row>
    <row r="763" ht="13.5" customHeight="1">
      <c r="D763" s="12"/>
      <c r="E763" s="182"/>
      <c r="F763" s="12"/>
      <c r="K763" s="51"/>
    </row>
    <row r="764" ht="13.5" customHeight="1">
      <c r="D764" s="12"/>
      <c r="E764" s="182"/>
      <c r="F764" s="12"/>
      <c r="K764" s="51"/>
    </row>
    <row r="765" ht="13.5" customHeight="1">
      <c r="D765" s="12"/>
      <c r="E765" s="182"/>
      <c r="F765" s="12"/>
      <c r="K765" s="51"/>
    </row>
    <row r="766" ht="13.5" customHeight="1">
      <c r="D766" s="12"/>
      <c r="E766" s="182"/>
      <c r="F766" s="12"/>
      <c r="K766" s="51"/>
    </row>
    <row r="767" ht="13.5" customHeight="1">
      <c r="D767" s="12"/>
      <c r="E767" s="182"/>
      <c r="F767" s="12"/>
      <c r="K767" s="51"/>
    </row>
    <row r="768" ht="13.5" customHeight="1">
      <c r="D768" s="12"/>
      <c r="E768" s="182"/>
      <c r="F768" s="12"/>
      <c r="K768" s="51"/>
    </row>
    <row r="769" ht="13.5" customHeight="1">
      <c r="D769" s="12"/>
      <c r="E769" s="182"/>
      <c r="F769" s="12"/>
      <c r="K769" s="51"/>
    </row>
    <row r="770" ht="13.5" customHeight="1">
      <c r="D770" s="12"/>
      <c r="E770" s="182"/>
      <c r="F770" s="12"/>
      <c r="K770" s="51"/>
    </row>
    <row r="771" ht="13.5" customHeight="1">
      <c r="D771" s="12"/>
      <c r="E771" s="182"/>
      <c r="F771" s="12"/>
      <c r="K771" s="51"/>
    </row>
    <row r="772" ht="13.5" customHeight="1">
      <c r="D772" s="12"/>
      <c r="E772" s="182"/>
      <c r="F772" s="12"/>
      <c r="K772" s="51"/>
    </row>
    <row r="773" ht="13.5" customHeight="1">
      <c r="D773" s="12"/>
      <c r="E773" s="182"/>
      <c r="F773" s="12"/>
      <c r="K773" s="51"/>
    </row>
    <row r="774" ht="13.5" customHeight="1">
      <c r="D774" s="12"/>
      <c r="E774" s="182"/>
      <c r="F774" s="12"/>
      <c r="K774" s="51"/>
    </row>
    <row r="775" ht="13.5" customHeight="1">
      <c r="D775" s="12"/>
      <c r="E775" s="182"/>
      <c r="F775" s="12"/>
      <c r="K775" s="51"/>
    </row>
    <row r="776" ht="13.5" customHeight="1">
      <c r="D776" s="12"/>
      <c r="E776" s="182"/>
      <c r="F776" s="12"/>
      <c r="K776" s="51"/>
    </row>
    <row r="777" ht="13.5" customHeight="1">
      <c r="D777" s="12"/>
      <c r="E777" s="182"/>
      <c r="F777" s="12"/>
      <c r="K777" s="51"/>
    </row>
    <row r="778" ht="13.5" customHeight="1">
      <c r="D778" s="12"/>
      <c r="E778" s="182"/>
      <c r="F778" s="12"/>
      <c r="K778" s="51"/>
    </row>
    <row r="779" ht="13.5" customHeight="1">
      <c r="D779" s="12"/>
      <c r="E779" s="182"/>
      <c r="F779" s="12"/>
      <c r="K779" s="51"/>
    </row>
    <row r="780" ht="13.5" customHeight="1">
      <c r="D780" s="12"/>
      <c r="E780" s="182"/>
      <c r="F780" s="12"/>
      <c r="K780" s="51"/>
    </row>
    <row r="781" ht="13.5" customHeight="1">
      <c r="D781" s="12"/>
      <c r="E781" s="182"/>
      <c r="F781" s="12"/>
      <c r="K781" s="51"/>
    </row>
    <row r="782" ht="13.5" customHeight="1">
      <c r="D782" s="12"/>
      <c r="E782" s="182"/>
      <c r="F782" s="12"/>
      <c r="K782" s="51"/>
    </row>
    <row r="783" ht="13.5" customHeight="1">
      <c r="D783" s="12"/>
      <c r="E783" s="182"/>
      <c r="F783" s="12"/>
      <c r="K783" s="51"/>
    </row>
    <row r="784" ht="13.5" customHeight="1">
      <c r="D784" s="12"/>
      <c r="E784" s="182"/>
      <c r="F784" s="12"/>
      <c r="K784" s="51"/>
    </row>
    <row r="785" ht="13.5" customHeight="1">
      <c r="D785" s="12"/>
      <c r="E785" s="182"/>
      <c r="F785" s="12"/>
      <c r="K785" s="51"/>
    </row>
    <row r="786" ht="13.5" customHeight="1">
      <c r="D786" s="12"/>
      <c r="E786" s="182"/>
      <c r="F786" s="12"/>
      <c r="K786" s="51"/>
    </row>
    <row r="787" ht="13.5" customHeight="1">
      <c r="D787" s="12"/>
      <c r="E787" s="182"/>
      <c r="F787" s="12"/>
      <c r="K787" s="51"/>
    </row>
    <row r="788" ht="13.5" customHeight="1">
      <c r="D788" s="12"/>
      <c r="E788" s="182"/>
      <c r="F788" s="12"/>
      <c r="K788" s="51"/>
    </row>
    <row r="789" ht="13.5" customHeight="1">
      <c r="D789" s="12"/>
      <c r="E789" s="182"/>
      <c r="F789" s="12"/>
      <c r="K789" s="51"/>
    </row>
    <row r="790" ht="13.5" customHeight="1">
      <c r="D790" s="12"/>
      <c r="E790" s="182"/>
      <c r="F790" s="12"/>
      <c r="K790" s="51"/>
    </row>
    <row r="791" ht="13.5" customHeight="1">
      <c r="D791" s="12"/>
      <c r="E791" s="182"/>
      <c r="F791" s="12"/>
      <c r="K791" s="51"/>
    </row>
    <row r="792" ht="13.5" customHeight="1">
      <c r="D792" s="12"/>
      <c r="E792" s="182"/>
      <c r="F792" s="12"/>
      <c r="K792" s="51"/>
    </row>
    <row r="793" ht="13.5" customHeight="1">
      <c r="D793" s="12"/>
      <c r="E793" s="182"/>
      <c r="F793" s="12"/>
      <c r="K793" s="51"/>
    </row>
    <row r="794" ht="13.5" customHeight="1">
      <c r="D794" s="12"/>
      <c r="E794" s="182"/>
      <c r="F794" s="12"/>
      <c r="K794" s="51"/>
    </row>
    <row r="795" ht="13.5" customHeight="1">
      <c r="D795" s="12"/>
      <c r="E795" s="182"/>
      <c r="F795" s="12"/>
      <c r="K795" s="51"/>
    </row>
    <row r="796" ht="13.5" customHeight="1">
      <c r="D796" s="12"/>
      <c r="E796" s="182"/>
      <c r="F796" s="12"/>
      <c r="K796" s="51"/>
    </row>
    <row r="797" ht="13.5" customHeight="1">
      <c r="D797" s="12"/>
      <c r="E797" s="182"/>
      <c r="F797" s="12"/>
      <c r="K797" s="51"/>
    </row>
    <row r="798" ht="13.5" customHeight="1">
      <c r="D798" s="12"/>
      <c r="E798" s="182"/>
      <c r="F798" s="12"/>
      <c r="K798" s="51"/>
    </row>
    <row r="799" ht="13.5" customHeight="1">
      <c r="D799" s="12"/>
      <c r="E799" s="182"/>
      <c r="F799" s="12"/>
      <c r="K799" s="51"/>
    </row>
    <row r="800" ht="13.5" customHeight="1">
      <c r="D800" s="12"/>
      <c r="E800" s="182"/>
      <c r="F800" s="12"/>
      <c r="K800" s="51"/>
    </row>
    <row r="801" ht="13.5" customHeight="1">
      <c r="D801" s="12"/>
      <c r="E801" s="182"/>
      <c r="F801" s="12"/>
      <c r="K801" s="51"/>
    </row>
    <row r="802" ht="13.5" customHeight="1">
      <c r="D802" s="12"/>
      <c r="E802" s="182"/>
      <c r="F802" s="12"/>
      <c r="K802" s="51"/>
    </row>
    <row r="803" ht="13.5" customHeight="1">
      <c r="D803" s="12"/>
      <c r="E803" s="182"/>
      <c r="F803" s="12"/>
      <c r="K803" s="51"/>
    </row>
    <row r="804" ht="13.5" customHeight="1">
      <c r="D804" s="12"/>
      <c r="E804" s="182"/>
      <c r="F804" s="12"/>
      <c r="K804" s="51"/>
    </row>
    <row r="805" ht="13.5" customHeight="1">
      <c r="D805" s="12"/>
      <c r="E805" s="182"/>
      <c r="F805" s="12"/>
      <c r="K805" s="51"/>
    </row>
    <row r="806" ht="13.5" customHeight="1">
      <c r="D806" s="12"/>
      <c r="E806" s="182"/>
      <c r="F806" s="12"/>
      <c r="K806" s="51"/>
    </row>
    <row r="807" ht="13.5" customHeight="1">
      <c r="D807" s="12"/>
      <c r="E807" s="182"/>
      <c r="F807" s="12"/>
      <c r="K807" s="51"/>
    </row>
    <row r="808" ht="13.5" customHeight="1">
      <c r="D808" s="12"/>
      <c r="E808" s="182"/>
      <c r="F808" s="12"/>
      <c r="K808" s="51"/>
    </row>
    <row r="809" ht="13.5" customHeight="1">
      <c r="D809" s="12"/>
      <c r="E809" s="182"/>
      <c r="F809" s="12"/>
      <c r="K809" s="51"/>
    </row>
    <row r="810" ht="13.5" customHeight="1">
      <c r="D810" s="12"/>
      <c r="E810" s="182"/>
      <c r="F810" s="12"/>
      <c r="K810" s="51"/>
    </row>
    <row r="811" ht="13.5" customHeight="1">
      <c r="D811" s="12"/>
      <c r="E811" s="182"/>
      <c r="F811" s="12"/>
      <c r="K811" s="51"/>
    </row>
    <row r="812" ht="13.5" customHeight="1">
      <c r="D812" s="12"/>
      <c r="E812" s="182"/>
      <c r="F812" s="12"/>
      <c r="K812" s="51"/>
    </row>
    <row r="813" ht="13.5" customHeight="1">
      <c r="D813" s="12"/>
      <c r="E813" s="182"/>
      <c r="F813" s="12"/>
      <c r="K813" s="51"/>
    </row>
    <row r="814" ht="13.5" customHeight="1">
      <c r="D814" s="12"/>
      <c r="E814" s="182"/>
      <c r="F814" s="12"/>
      <c r="K814" s="51"/>
    </row>
    <row r="815" ht="13.5" customHeight="1">
      <c r="D815" s="12"/>
      <c r="E815" s="182"/>
      <c r="F815" s="12"/>
      <c r="K815" s="51"/>
    </row>
    <row r="816" ht="13.5" customHeight="1">
      <c r="D816" s="12"/>
      <c r="E816" s="182"/>
      <c r="F816" s="12"/>
      <c r="K816" s="51"/>
    </row>
    <row r="817" ht="13.5" customHeight="1">
      <c r="D817" s="12"/>
      <c r="E817" s="182"/>
      <c r="F817" s="12"/>
      <c r="K817" s="51"/>
    </row>
    <row r="818" ht="13.5" customHeight="1">
      <c r="D818" s="12"/>
      <c r="E818" s="182"/>
      <c r="F818" s="12"/>
      <c r="K818" s="51"/>
    </row>
    <row r="819" ht="13.5" customHeight="1">
      <c r="D819" s="12"/>
      <c r="E819" s="182"/>
      <c r="F819" s="12"/>
      <c r="K819" s="51"/>
    </row>
    <row r="820" ht="13.5" customHeight="1">
      <c r="D820" s="12"/>
      <c r="E820" s="182"/>
      <c r="F820" s="12"/>
      <c r="K820" s="51"/>
    </row>
    <row r="821" ht="13.5" customHeight="1">
      <c r="D821" s="12"/>
      <c r="E821" s="182"/>
      <c r="F821" s="12"/>
      <c r="K821" s="51"/>
    </row>
    <row r="822" ht="13.5" customHeight="1">
      <c r="D822" s="12"/>
      <c r="E822" s="182"/>
      <c r="F822" s="12"/>
      <c r="K822" s="51"/>
    </row>
    <row r="823" ht="13.5" customHeight="1">
      <c r="D823" s="12"/>
      <c r="E823" s="182"/>
      <c r="F823" s="12"/>
      <c r="K823" s="51"/>
    </row>
    <row r="824" ht="13.5" customHeight="1">
      <c r="D824" s="12"/>
      <c r="E824" s="182"/>
      <c r="F824" s="12"/>
      <c r="K824" s="51"/>
    </row>
    <row r="825" ht="13.5" customHeight="1">
      <c r="D825" s="12"/>
      <c r="E825" s="182"/>
      <c r="F825" s="12"/>
      <c r="K825" s="51"/>
    </row>
    <row r="826" ht="13.5" customHeight="1">
      <c r="D826" s="12"/>
      <c r="E826" s="182"/>
      <c r="F826" s="12"/>
      <c r="K826" s="51"/>
    </row>
    <row r="827" ht="13.5" customHeight="1">
      <c r="D827" s="12"/>
      <c r="E827" s="182"/>
      <c r="F827" s="12"/>
      <c r="K827" s="51"/>
    </row>
    <row r="828" ht="13.5" customHeight="1">
      <c r="D828" s="12"/>
      <c r="E828" s="182"/>
      <c r="F828" s="12"/>
      <c r="K828" s="51"/>
    </row>
    <row r="829" ht="13.5" customHeight="1">
      <c r="D829" s="12"/>
      <c r="E829" s="182"/>
      <c r="F829" s="12"/>
      <c r="K829" s="51"/>
    </row>
    <row r="830" ht="13.5" customHeight="1">
      <c r="D830" s="12"/>
      <c r="E830" s="182"/>
      <c r="F830" s="12"/>
      <c r="K830" s="51"/>
    </row>
    <row r="831" ht="13.5" customHeight="1">
      <c r="D831" s="12"/>
      <c r="E831" s="182"/>
      <c r="F831" s="12"/>
      <c r="K831" s="51"/>
    </row>
    <row r="832" ht="13.5" customHeight="1">
      <c r="D832" s="12"/>
      <c r="E832" s="182"/>
      <c r="F832" s="12"/>
      <c r="K832" s="51"/>
    </row>
    <row r="833" ht="13.5" customHeight="1">
      <c r="D833" s="12"/>
      <c r="E833" s="182"/>
      <c r="F833" s="12"/>
      <c r="K833" s="51"/>
    </row>
    <row r="834" ht="13.5" customHeight="1">
      <c r="D834" s="12"/>
      <c r="E834" s="182"/>
      <c r="F834" s="12"/>
      <c r="K834" s="51"/>
    </row>
    <row r="835" ht="13.5" customHeight="1">
      <c r="D835" s="12"/>
      <c r="E835" s="182"/>
      <c r="F835" s="12"/>
      <c r="K835" s="51"/>
    </row>
    <row r="836" ht="13.5" customHeight="1">
      <c r="D836" s="12"/>
      <c r="E836" s="182"/>
      <c r="F836" s="12"/>
      <c r="K836" s="51"/>
    </row>
    <row r="837" ht="13.5" customHeight="1">
      <c r="D837" s="12"/>
      <c r="E837" s="182"/>
      <c r="F837" s="12"/>
      <c r="K837" s="51"/>
    </row>
    <row r="838" ht="13.5" customHeight="1">
      <c r="D838" s="12"/>
      <c r="E838" s="182"/>
      <c r="F838" s="12"/>
      <c r="K838" s="51"/>
    </row>
    <row r="839" ht="13.5" customHeight="1">
      <c r="D839" s="12"/>
      <c r="E839" s="182"/>
      <c r="F839" s="12"/>
      <c r="K839" s="51"/>
    </row>
    <row r="840" ht="13.5" customHeight="1">
      <c r="D840" s="12"/>
      <c r="E840" s="182"/>
      <c r="F840" s="12"/>
      <c r="K840" s="51"/>
    </row>
    <row r="841" ht="13.5" customHeight="1">
      <c r="D841" s="12"/>
      <c r="E841" s="182"/>
      <c r="F841" s="12"/>
      <c r="K841" s="51"/>
    </row>
    <row r="842" ht="13.5" customHeight="1">
      <c r="D842" s="12"/>
      <c r="E842" s="182"/>
      <c r="F842" s="12"/>
      <c r="K842" s="51"/>
    </row>
    <row r="843" ht="13.5" customHeight="1">
      <c r="D843" s="12"/>
      <c r="E843" s="182"/>
      <c r="F843" s="12"/>
      <c r="K843" s="51"/>
    </row>
    <row r="844" ht="13.5" customHeight="1">
      <c r="D844" s="12"/>
      <c r="E844" s="182"/>
      <c r="F844" s="12"/>
      <c r="K844" s="51"/>
    </row>
    <row r="845" ht="13.5" customHeight="1">
      <c r="D845" s="12"/>
      <c r="E845" s="182"/>
      <c r="F845" s="12"/>
      <c r="K845" s="51"/>
    </row>
    <row r="846" ht="13.5" customHeight="1">
      <c r="D846" s="12"/>
      <c r="E846" s="182"/>
      <c r="F846" s="12"/>
      <c r="K846" s="51"/>
    </row>
    <row r="847" ht="13.5" customHeight="1">
      <c r="D847" s="12"/>
      <c r="E847" s="182"/>
      <c r="F847" s="12"/>
      <c r="K847" s="51"/>
    </row>
    <row r="848" ht="13.5" customHeight="1">
      <c r="D848" s="12"/>
      <c r="E848" s="182"/>
      <c r="F848" s="12"/>
      <c r="K848" s="51"/>
    </row>
    <row r="849" ht="13.5" customHeight="1">
      <c r="D849" s="12"/>
      <c r="E849" s="182"/>
      <c r="F849" s="12"/>
      <c r="K849" s="51"/>
    </row>
    <row r="850" ht="13.5" customHeight="1">
      <c r="D850" s="12"/>
      <c r="E850" s="182"/>
      <c r="F850" s="12"/>
      <c r="K850" s="51"/>
    </row>
    <row r="851" ht="13.5" customHeight="1">
      <c r="D851" s="12"/>
      <c r="E851" s="182"/>
      <c r="F851" s="12"/>
      <c r="K851" s="51"/>
    </row>
    <row r="852" ht="13.5" customHeight="1">
      <c r="D852" s="12"/>
      <c r="E852" s="182"/>
      <c r="F852" s="12"/>
      <c r="K852" s="51"/>
    </row>
    <row r="853" ht="13.5" customHeight="1">
      <c r="D853" s="12"/>
      <c r="E853" s="182"/>
      <c r="F853" s="12"/>
      <c r="K853" s="51"/>
    </row>
    <row r="854" ht="13.5" customHeight="1">
      <c r="D854" s="12"/>
      <c r="E854" s="182"/>
      <c r="F854" s="12"/>
      <c r="K854" s="51"/>
    </row>
    <row r="855" ht="13.5" customHeight="1">
      <c r="D855" s="12"/>
      <c r="E855" s="182"/>
      <c r="F855" s="12"/>
      <c r="K855" s="51"/>
    </row>
    <row r="856" ht="13.5" customHeight="1">
      <c r="D856" s="12"/>
      <c r="E856" s="182"/>
      <c r="F856" s="12"/>
      <c r="K856" s="51"/>
    </row>
    <row r="857" ht="13.5" customHeight="1">
      <c r="D857" s="12"/>
      <c r="E857" s="182"/>
      <c r="F857" s="12"/>
      <c r="K857" s="51"/>
    </row>
    <row r="858" ht="13.5" customHeight="1">
      <c r="D858" s="12"/>
      <c r="E858" s="182"/>
      <c r="F858" s="12"/>
      <c r="K858" s="51"/>
    </row>
    <row r="859" ht="13.5" customHeight="1">
      <c r="D859" s="12"/>
      <c r="E859" s="182"/>
      <c r="F859" s="12"/>
      <c r="K859" s="51"/>
    </row>
    <row r="860" ht="13.5" customHeight="1">
      <c r="D860" s="12"/>
      <c r="E860" s="182"/>
      <c r="F860" s="12"/>
      <c r="K860" s="51"/>
    </row>
    <row r="861" ht="13.5" customHeight="1">
      <c r="D861" s="12"/>
      <c r="E861" s="182"/>
      <c r="F861" s="12"/>
      <c r="K861" s="51"/>
    </row>
    <row r="862" ht="13.5" customHeight="1">
      <c r="D862" s="12"/>
      <c r="E862" s="182"/>
      <c r="F862" s="12"/>
      <c r="K862" s="51"/>
    </row>
    <row r="863" ht="13.5" customHeight="1">
      <c r="D863" s="12"/>
      <c r="E863" s="182"/>
      <c r="F863" s="12"/>
      <c r="K863" s="51"/>
    </row>
    <row r="864" ht="13.5" customHeight="1">
      <c r="D864" s="12"/>
      <c r="E864" s="182"/>
      <c r="F864" s="12"/>
      <c r="K864" s="51"/>
    </row>
    <row r="865" ht="13.5" customHeight="1">
      <c r="D865" s="12"/>
      <c r="E865" s="182"/>
      <c r="F865" s="12"/>
      <c r="K865" s="51"/>
    </row>
    <row r="866" ht="13.5" customHeight="1">
      <c r="D866" s="12"/>
      <c r="E866" s="182"/>
      <c r="F866" s="12"/>
      <c r="K866" s="51"/>
    </row>
    <row r="867" ht="13.5" customHeight="1">
      <c r="D867" s="12"/>
      <c r="E867" s="182"/>
      <c r="F867" s="12"/>
      <c r="K867" s="51"/>
    </row>
    <row r="868" ht="13.5" customHeight="1">
      <c r="D868" s="12"/>
      <c r="E868" s="182"/>
      <c r="F868" s="12"/>
      <c r="K868" s="51"/>
    </row>
    <row r="869" ht="13.5" customHeight="1">
      <c r="D869" s="12"/>
      <c r="E869" s="182"/>
      <c r="F869" s="12"/>
      <c r="K869" s="51"/>
    </row>
    <row r="870" ht="13.5" customHeight="1">
      <c r="D870" s="12"/>
      <c r="E870" s="182"/>
      <c r="F870" s="12"/>
      <c r="K870" s="51"/>
    </row>
    <row r="871" ht="13.5" customHeight="1">
      <c r="D871" s="12"/>
      <c r="E871" s="182"/>
      <c r="F871" s="12"/>
      <c r="K871" s="51"/>
    </row>
    <row r="872" ht="13.5" customHeight="1">
      <c r="D872" s="12"/>
      <c r="E872" s="182"/>
      <c r="F872" s="12"/>
      <c r="K872" s="51"/>
    </row>
    <row r="873" ht="13.5" customHeight="1">
      <c r="D873" s="12"/>
      <c r="E873" s="182"/>
      <c r="F873" s="12"/>
      <c r="K873" s="51"/>
    </row>
    <row r="874" ht="13.5" customHeight="1">
      <c r="D874" s="12"/>
      <c r="E874" s="182"/>
      <c r="F874" s="12"/>
      <c r="K874" s="51"/>
    </row>
    <row r="875" ht="13.5" customHeight="1">
      <c r="D875" s="12"/>
      <c r="E875" s="182"/>
      <c r="F875" s="12"/>
      <c r="K875" s="51"/>
    </row>
    <row r="876" ht="13.5" customHeight="1">
      <c r="D876" s="12"/>
      <c r="E876" s="182"/>
      <c r="F876" s="12"/>
      <c r="K876" s="51"/>
    </row>
    <row r="877" ht="13.5" customHeight="1">
      <c r="D877" s="12"/>
      <c r="E877" s="182"/>
      <c r="F877" s="12"/>
      <c r="K877" s="51"/>
    </row>
    <row r="878" ht="13.5" customHeight="1">
      <c r="D878" s="12"/>
      <c r="E878" s="182"/>
      <c r="F878" s="12"/>
      <c r="K878" s="51"/>
    </row>
    <row r="879" ht="13.5" customHeight="1">
      <c r="D879" s="12"/>
      <c r="E879" s="182"/>
      <c r="F879" s="12"/>
      <c r="K879" s="51"/>
    </row>
    <row r="880" ht="13.5" customHeight="1">
      <c r="D880" s="12"/>
      <c r="E880" s="182"/>
      <c r="F880" s="12"/>
      <c r="K880" s="51"/>
    </row>
    <row r="881" ht="13.5" customHeight="1">
      <c r="D881" s="12"/>
      <c r="E881" s="182"/>
      <c r="F881" s="12"/>
      <c r="K881" s="51"/>
    </row>
    <row r="882" ht="13.5" customHeight="1">
      <c r="D882" s="12"/>
      <c r="E882" s="182"/>
      <c r="F882" s="12"/>
      <c r="K882" s="51"/>
    </row>
    <row r="883" ht="13.5" customHeight="1">
      <c r="D883" s="12"/>
      <c r="E883" s="182"/>
      <c r="F883" s="12"/>
      <c r="K883" s="51"/>
    </row>
    <row r="884" ht="13.5" customHeight="1">
      <c r="D884" s="12"/>
      <c r="E884" s="182"/>
      <c r="F884" s="12"/>
      <c r="K884" s="51"/>
    </row>
    <row r="885" ht="13.5" customHeight="1">
      <c r="D885" s="12"/>
      <c r="E885" s="182"/>
      <c r="F885" s="12"/>
      <c r="K885" s="51"/>
    </row>
    <row r="886" ht="13.5" customHeight="1">
      <c r="D886" s="12"/>
      <c r="E886" s="182"/>
      <c r="F886" s="12"/>
      <c r="K886" s="51"/>
    </row>
    <row r="887" ht="13.5" customHeight="1">
      <c r="D887" s="12"/>
      <c r="E887" s="182"/>
      <c r="F887" s="12"/>
      <c r="K887" s="51"/>
    </row>
    <row r="888" ht="13.5" customHeight="1">
      <c r="D888" s="12"/>
      <c r="E888" s="182"/>
      <c r="F888" s="12"/>
      <c r="K888" s="51"/>
    </row>
    <row r="889" ht="13.5" customHeight="1">
      <c r="D889" s="12"/>
      <c r="E889" s="182"/>
      <c r="F889" s="12"/>
      <c r="K889" s="51"/>
    </row>
    <row r="890" ht="13.5" customHeight="1">
      <c r="D890" s="12"/>
      <c r="E890" s="182"/>
      <c r="F890" s="12"/>
      <c r="K890" s="51"/>
    </row>
    <row r="891" ht="13.5" customHeight="1">
      <c r="D891" s="12"/>
      <c r="E891" s="182"/>
      <c r="F891" s="12"/>
      <c r="K891" s="51"/>
    </row>
    <row r="892" ht="13.5" customHeight="1">
      <c r="D892" s="12"/>
      <c r="E892" s="182"/>
      <c r="F892" s="12"/>
      <c r="K892" s="51"/>
    </row>
    <row r="893" ht="13.5" customHeight="1">
      <c r="D893" s="12"/>
      <c r="E893" s="182"/>
      <c r="F893" s="12"/>
      <c r="K893" s="51"/>
    </row>
    <row r="894" ht="13.5" customHeight="1">
      <c r="D894" s="12"/>
      <c r="E894" s="182"/>
      <c r="F894" s="12"/>
      <c r="K894" s="51"/>
    </row>
    <row r="895" ht="13.5" customHeight="1">
      <c r="D895" s="12"/>
      <c r="E895" s="182"/>
      <c r="F895" s="12"/>
      <c r="K895" s="51"/>
    </row>
    <row r="896" ht="13.5" customHeight="1">
      <c r="D896" s="12"/>
      <c r="E896" s="182"/>
      <c r="F896" s="12"/>
      <c r="K896" s="51"/>
    </row>
    <row r="897" ht="13.5" customHeight="1">
      <c r="D897" s="12"/>
      <c r="E897" s="182"/>
      <c r="F897" s="12"/>
      <c r="K897" s="51"/>
    </row>
    <row r="898" ht="13.5" customHeight="1">
      <c r="D898" s="12"/>
      <c r="E898" s="182"/>
      <c r="F898" s="12"/>
      <c r="K898" s="51"/>
    </row>
    <row r="899" ht="13.5" customHeight="1">
      <c r="D899" s="12"/>
      <c r="E899" s="182"/>
      <c r="F899" s="12"/>
      <c r="K899" s="51"/>
    </row>
    <row r="900" ht="13.5" customHeight="1">
      <c r="D900" s="12"/>
      <c r="E900" s="182"/>
      <c r="F900" s="12"/>
      <c r="K900" s="51"/>
    </row>
    <row r="901" ht="13.5" customHeight="1">
      <c r="D901" s="12"/>
      <c r="E901" s="182"/>
      <c r="F901" s="12"/>
      <c r="K901" s="51"/>
    </row>
    <row r="902" ht="13.5" customHeight="1">
      <c r="D902" s="12"/>
      <c r="E902" s="182"/>
      <c r="F902" s="12"/>
      <c r="K902" s="51"/>
    </row>
    <row r="903" ht="13.5" customHeight="1">
      <c r="D903" s="12"/>
      <c r="E903" s="182"/>
      <c r="F903" s="12"/>
      <c r="K903" s="51"/>
    </row>
    <row r="904" ht="13.5" customHeight="1">
      <c r="D904" s="12"/>
      <c r="E904" s="182"/>
      <c r="F904" s="12"/>
      <c r="K904" s="51"/>
    </row>
    <row r="905" ht="13.5" customHeight="1">
      <c r="D905" s="12"/>
      <c r="E905" s="182"/>
      <c r="F905" s="12"/>
      <c r="K905" s="51"/>
    </row>
    <row r="906" ht="13.5" customHeight="1">
      <c r="D906" s="12"/>
      <c r="E906" s="182"/>
      <c r="F906" s="12"/>
      <c r="K906" s="51"/>
    </row>
    <row r="907" ht="13.5" customHeight="1">
      <c r="D907" s="12"/>
      <c r="E907" s="182"/>
      <c r="F907" s="12"/>
      <c r="K907" s="51"/>
    </row>
    <row r="908" ht="13.5" customHeight="1">
      <c r="D908" s="12"/>
      <c r="E908" s="182"/>
      <c r="F908" s="12"/>
      <c r="K908" s="51"/>
    </row>
    <row r="909" ht="13.5" customHeight="1">
      <c r="D909" s="12"/>
      <c r="E909" s="182"/>
      <c r="F909" s="12"/>
      <c r="K909" s="51"/>
    </row>
    <row r="910" ht="13.5" customHeight="1">
      <c r="D910" s="12"/>
      <c r="E910" s="182"/>
      <c r="F910" s="12"/>
      <c r="K910" s="51"/>
    </row>
    <row r="911" ht="13.5" customHeight="1">
      <c r="D911" s="12"/>
      <c r="E911" s="182"/>
      <c r="F911" s="12"/>
      <c r="K911" s="51"/>
    </row>
    <row r="912" ht="13.5" customHeight="1">
      <c r="D912" s="12"/>
      <c r="E912" s="182"/>
      <c r="F912" s="12"/>
      <c r="K912" s="51"/>
    </row>
    <row r="913" ht="13.5" customHeight="1">
      <c r="D913" s="12"/>
      <c r="E913" s="182"/>
      <c r="F913" s="12"/>
      <c r="K913" s="51"/>
    </row>
    <row r="914" ht="13.5" customHeight="1">
      <c r="D914" s="12"/>
      <c r="E914" s="182"/>
      <c r="F914" s="12"/>
      <c r="K914" s="51"/>
    </row>
    <row r="915" ht="13.5" customHeight="1">
      <c r="D915" s="12"/>
      <c r="E915" s="182"/>
      <c r="F915" s="12"/>
      <c r="K915" s="51"/>
    </row>
    <row r="916" ht="13.5" customHeight="1">
      <c r="D916" s="12"/>
      <c r="E916" s="182"/>
      <c r="F916" s="12"/>
      <c r="K916" s="51"/>
    </row>
    <row r="917" ht="13.5" customHeight="1">
      <c r="D917" s="12"/>
      <c r="E917" s="182"/>
      <c r="F917" s="12"/>
      <c r="K917" s="51"/>
    </row>
    <row r="918" ht="13.5" customHeight="1">
      <c r="D918" s="12"/>
      <c r="E918" s="182"/>
      <c r="F918" s="12"/>
      <c r="K918" s="51"/>
    </row>
    <row r="919" ht="13.5" customHeight="1">
      <c r="D919" s="12"/>
      <c r="E919" s="182"/>
      <c r="F919" s="12"/>
      <c r="K919" s="51"/>
    </row>
    <row r="920" ht="13.5" customHeight="1">
      <c r="D920" s="12"/>
      <c r="E920" s="182"/>
      <c r="F920" s="12"/>
      <c r="K920" s="51"/>
    </row>
    <row r="921" ht="13.5" customHeight="1">
      <c r="D921" s="12"/>
      <c r="E921" s="182"/>
      <c r="F921" s="12"/>
      <c r="K921" s="51"/>
    </row>
    <row r="922" ht="13.5" customHeight="1">
      <c r="D922" s="12"/>
      <c r="E922" s="182"/>
      <c r="F922" s="12"/>
      <c r="K922" s="51"/>
    </row>
    <row r="923" ht="13.5" customHeight="1">
      <c r="D923" s="12"/>
      <c r="E923" s="182"/>
      <c r="F923" s="12"/>
      <c r="K923" s="51"/>
    </row>
    <row r="924" ht="13.5" customHeight="1">
      <c r="D924" s="12"/>
      <c r="E924" s="182"/>
      <c r="F924" s="12"/>
      <c r="K924" s="51"/>
    </row>
    <row r="925" ht="13.5" customHeight="1">
      <c r="D925" s="12"/>
      <c r="E925" s="182"/>
      <c r="F925" s="12"/>
      <c r="K925" s="51"/>
    </row>
    <row r="926" ht="13.5" customHeight="1">
      <c r="D926" s="12"/>
      <c r="E926" s="182"/>
      <c r="F926" s="12"/>
      <c r="K926" s="51"/>
    </row>
    <row r="927" ht="13.5" customHeight="1">
      <c r="D927" s="12"/>
      <c r="E927" s="182"/>
      <c r="F927" s="12"/>
      <c r="K927" s="51"/>
    </row>
    <row r="928" ht="13.5" customHeight="1">
      <c r="D928" s="12"/>
      <c r="E928" s="182"/>
      <c r="F928" s="12"/>
      <c r="K928" s="51"/>
    </row>
    <row r="929" ht="13.5" customHeight="1">
      <c r="D929" s="12"/>
      <c r="E929" s="182"/>
      <c r="F929" s="12"/>
      <c r="K929" s="51"/>
    </row>
    <row r="930" ht="13.5" customHeight="1">
      <c r="D930" s="12"/>
      <c r="E930" s="182"/>
      <c r="F930" s="12"/>
      <c r="K930" s="51"/>
    </row>
    <row r="931" ht="13.5" customHeight="1">
      <c r="D931" s="12"/>
      <c r="E931" s="182"/>
      <c r="F931" s="12"/>
      <c r="K931" s="51"/>
    </row>
    <row r="932" ht="13.5" customHeight="1">
      <c r="D932" s="12"/>
      <c r="E932" s="182"/>
      <c r="F932" s="12"/>
      <c r="K932" s="51"/>
    </row>
    <row r="933" ht="13.5" customHeight="1">
      <c r="D933" s="12"/>
      <c r="E933" s="182"/>
      <c r="F933" s="12"/>
      <c r="K933" s="51"/>
    </row>
    <row r="934" ht="13.5" customHeight="1">
      <c r="D934" s="12"/>
      <c r="E934" s="182"/>
      <c r="F934" s="12"/>
      <c r="K934" s="51"/>
    </row>
    <row r="935" ht="13.5" customHeight="1">
      <c r="D935" s="12"/>
      <c r="E935" s="182"/>
      <c r="F935" s="12"/>
      <c r="K935" s="51"/>
    </row>
    <row r="936" ht="13.5" customHeight="1">
      <c r="D936" s="12"/>
      <c r="E936" s="182"/>
      <c r="F936" s="12"/>
      <c r="K936" s="51"/>
    </row>
    <row r="937" ht="13.5" customHeight="1">
      <c r="D937" s="12"/>
      <c r="E937" s="182"/>
      <c r="F937" s="12"/>
      <c r="K937" s="51"/>
    </row>
    <row r="938" ht="13.5" customHeight="1">
      <c r="D938" s="12"/>
      <c r="E938" s="182"/>
      <c r="F938" s="12"/>
      <c r="K938" s="51"/>
    </row>
    <row r="939" ht="13.5" customHeight="1">
      <c r="D939" s="12"/>
      <c r="E939" s="182"/>
      <c r="F939" s="12"/>
      <c r="K939" s="51"/>
    </row>
    <row r="940" ht="13.5" customHeight="1">
      <c r="D940" s="12"/>
      <c r="E940" s="182"/>
      <c r="F940" s="12"/>
      <c r="K940" s="51"/>
    </row>
    <row r="941" ht="13.5" customHeight="1">
      <c r="D941" s="12"/>
      <c r="E941" s="182"/>
      <c r="F941" s="12"/>
      <c r="K941" s="51"/>
    </row>
    <row r="942" ht="13.5" customHeight="1">
      <c r="D942" s="12"/>
      <c r="E942" s="182"/>
      <c r="F942" s="12"/>
      <c r="K942" s="51"/>
    </row>
    <row r="943" ht="13.5" customHeight="1">
      <c r="D943" s="12"/>
      <c r="E943" s="182"/>
      <c r="F943" s="12"/>
      <c r="K943" s="51"/>
    </row>
    <row r="944" ht="13.5" customHeight="1">
      <c r="D944" s="12"/>
      <c r="E944" s="182"/>
      <c r="F944" s="12"/>
      <c r="K944" s="51"/>
    </row>
    <row r="945" ht="13.5" customHeight="1">
      <c r="D945" s="12"/>
      <c r="E945" s="182"/>
      <c r="F945" s="12"/>
      <c r="K945" s="51"/>
    </row>
    <row r="946" ht="13.5" customHeight="1">
      <c r="D946" s="12"/>
      <c r="E946" s="182"/>
      <c r="F946" s="12"/>
      <c r="K946" s="51"/>
    </row>
    <row r="947" ht="13.5" customHeight="1">
      <c r="D947" s="12"/>
      <c r="E947" s="182"/>
      <c r="F947" s="12"/>
      <c r="K947" s="51"/>
    </row>
    <row r="948" ht="13.5" customHeight="1">
      <c r="D948" s="12"/>
      <c r="E948" s="182"/>
      <c r="F948" s="12"/>
      <c r="K948" s="51"/>
    </row>
    <row r="949" ht="13.5" customHeight="1">
      <c r="D949" s="12"/>
      <c r="E949" s="182"/>
      <c r="F949" s="12"/>
      <c r="K949" s="51"/>
    </row>
    <row r="950" ht="13.5" customHeight="1">
      <c r="D950" s="12"/>
      <c r="E950" s="182"/>
      <c r="F950" s="12"/>
      <c r="K950" s="51"/>
    </row>
    <row r="951" ht="13.5" customHeight="1">
      <c r="D951" s="12"/>
      <c r="E951" s="182"/>
      <c r="F951" s="12"/>
      <c r="K951" s="51"/>
    </row>
    <row r="952" ht="13.5" customHeight="1">
      <c r="D952" s="12"/>
      <c r="E952" s="182"/>
      <c r="F952" s="12"/>
      <c r="K952" s="51"/>
    </row>
    <row r="953" ht="13.5" customHeight="1">
      <c r="D953" s="12"/>
      <c r="E953" s="182"/>
      <c r="F953" s="12"/>
      <c r="K953" s="51"/>
    </row>
    <row r="954" ht="13.5" customHeight="1">
      <c r="D954" s="12"/>
      <c r="E954" s="182"/>
      <c r="F954" s="12"/>
      <c r="K954" s="51"/>
    </row>
    <row r="955" ht="13.5" customHeight="1">
      <c r="D955" s="12"/>
      <c r="E955" s="182"/>
      <c r="F955" s="12"/>
      <c r="K955" s="51"/>
    </row>
    <row r="956" ht="13.5" customHeight="1">
      <c r="D956" s="12"/>
      <c r="E956" s="182"/>
      <c r="F956" s="12"/>
      <c r="K956" s="51"/>
    </row>
    <row r="957" ht="13.5" customHeight="1">
      <c r="D957" s="12"/>
      <c r="E957" s="182"/>
      <c r="F957" s="12"/>
      <c r="K957" s="51"/>
    </row>
    <row r="958" ht="13.5" customHeight="1">
      <c r="D958" s="12"/>
      <c r="E958" s="182"/>
      <c r="F958" s="12"/>
      <c r="K958" s="51"/>
    </row>
    <row r="959" ht="13.5" customHeight="1">
      <c r="D959" s="12"/>
      <c r="E959" s="182"/>
      <c r="F959" s="12"/>
      <c r="K959" s="51"/>
    </row>
    <row r="960" ht="13.5" customHeight="1">
      <c r="D960" s="12"/>
      <c r="E960" s="182"/>
      <c r="F960" s="12"/>
      <c r="K960" s="51"/>
    </row>
    <row r="961" ht="13.5" customHeight="1">
      <c r="D961" s="12"/>
      <c r="E961" s="182"/>
      <c r="F961" s="12"/>
      <c r="K961" s="51"/>
    </row>
    <row r="962" ht="13.5" customHeight="1">
      <c r="D962" s="12"/>
      <c r="E962" s="182"/>
      <c r="F962" s="12"/>
      <c r="K962" s="51"/>
    </row>
    <row r="963" ht="13.5" customHeight="1">
      <c r="D963" s="12"/>
      <c r="E963" s="182"/>
      <c r="F963" s="12"/>
      <c r="K963" s="51"/>
    </row>
    <row r="964" ht="13.5" customHeight="1">
      <c r="D964" s="12"/>
      <c r="E964" s="182"/>
      <c r="F964" s="12"/>
      <c r="K964" s="51"/>
    </row>
    <row r="965" ht="13.5" customHeight="1">
      <c r="D965" s="12"/>
      <c r="E965" s="182"/>
      <c r="F965" s="12"/>
      <c r="K965" s="51"/>
    </row>
    <row r="966" ht="13.5" customHeight="1">
      <c r="D966" s="12"/>
      <c r="E966" s="182"/>
      <c r="F966" s="12"/>
      <c r="K966" s="51"/>
    </row>
    <row r="967" ht="13.5" customHeight="1">
      <c r="D967" s="12"/>
      <c r="E967" s="182"/>
      <c r="F967" s="12"/>
      <c r="K967" s="51"/>
    </row>
    <row r="968" ht="13.5" customHeight="1">
      <c r="D968" s="12"/>
      <c r="E968" s="182"/>
      <c r="F968" s="12"/>
      <c r="K968" s="51"/>
    </row>
    <row r="969" ht="13.5" customHeight="1">
      <c r="D969" s="12"/>
      <c r="E969" s="182"/>
      <c r="F969" s="12"/>
      <c r="K969" s="51"/>
    </row>
    <row r="970" ht="13.5" customHeight="1">
      <c r="D970" s="12"/>
      <c r="E970" s="182"/>
      <c r="F970" s="12"/>
      <c r="K970" s="51"/>
    </row>
    <row r="971" ht="13.5" customHeight="1">
      <c r="D971" s="12"/>
      <c r="E971" s="182"/>
      <c r="F971" s="12"/>
      <c r="K971" s="51"/>
    </row>
    <row r="972" ht="13.5" customHeight="1">
      <c r="D972" s="12"/>
      <c r="E972" s="182"/>
      <c r="F972" s="12"/>
      <c r="K972" s="51"/>
    </row>
    <row r="973" ht="13.5" customHeight="1">
      <c r="D973" s="12"/>
      <c r="E973" s="182"/>
      <c r="F973" s="12"/>
      <c r="K973" s="51"/>
    </row>
    <row r="974" ht="13.5" customHeight="1">
      <c r="D974" s="12"/>
      <c r="E974" s="182"/>
      <c r="F974" s="12"/>
      <c r="K974" s="51"/>
    </row>
    <row r="975" ht="13.5" customHeight="1">
      <c r="D975" s="12"/>
      <c r="E975" s="182"/>
      <c r="F975" s="12"/>
      <c r="K975" s="51"/>
    </row>
    <row r="976" ht="13.5" customHeight="1">
      <c r="D976" s="12"/>
      <c r="E976" s="182"/>
      <c r="F976" s="12"/>
      <c r="K976" s="51"/>
    </row>
    <row r="977" ht="13.5" customHeight="1">
      <c r="D977" s="12"/>
      <c r="E977" s="182"/>
      <c r="F977" s="12"/>
      <c r="K977" s="51"/>
    </row>
    <row r="978" ht="13.5" customHeight="1">
      <c r="D978" s="12"/>
      <c r="E978" s="182"/>
      <c r="F978" s="12"/>
      <c r="K978" s="51"/>
    </row>
    <row r="979" ht="13.5" customHeight="1">
      <c r="D979" s="12"/>
      <c r="E979" s="182"/>
      <c r="F979" s="12"/>
      <c r="K979" s="51"/>
    </row>
    <row r="980" ht="13.5" customHeight="1">
      <c r="D980" s="12"/>
      <c r="E980" s="182"/>
      <c r="F980" s="12"/>
      <c r="K980" s="51"/>
    </row>
    <row r="981" ht="13.5" customHeight="1">
      <c r="D981" s="12"/>
      <c r="E981" s="182"/>
      <c r="F981" s="12"/>
      <c r="K981" s="51"/>
    </row>
    <row r="982" ht="13.5" customHeight="1">
      <c r="D982" s="12"/>
      <c r="E982" s="182"/>
      <c r="F982" s="12"/>
      <c r="K982" s="51"/>
    </row>
    <row r="983" ht="13.5" customHeight="1">
      <c r="D983" s="12"/>
      <c r="E983" s="182"/>
      <c r="F983" s="12"/>
      <c r="K983" s="51"/>
    </row>
    <row r="984" ht="13.5" customHeight="1">
      <c r="D984" s="12"/>
      <c r="E984" s="182"/>
      <c r="F984" s="12"/>
      <c r="K984" s="51"/>
    </row>
    <row r="985" ht="13.5" customHeight="1">
      <c r="D985" s="12"/>
      <c r="E985" s="182"/>
      <c r="F985" s="12"/>
      <c r="K985" s="51"/>
    </row>
    <row r="986" ht="13.5" customHeight="1">
      <c r="D986" s="12"/>
      <c r="E986" s="182"/>
      <c r="F986" s="12"/>
      <c r="K986" s="51"/>
    </row>
    <row r="987" ht="13.5" customHeight="1">
      <c r="D987" s="12"/>
      <c r="E987" s="182"/>
      <c r="F987" s="12"/>
      <c r="K987" s="51"/>
    </row>
    <row r="988" ht="13.5" customHeight="1">
      <c r="D988" s="12"/>
      <c r="E988" s="182"/>
      <c r="F988" s="12"/>
      <c r="K988" s="51"/>
    </row>
    <row r="989" ht="13.5" customHeight="1">
      <c r="D989" s="12"/>
      <c r="E989" s="182"/>
      <c r="F989" s="12"/>
      <c r="K989" s="51"/>
    </row>
    <row r="990" ht="13.5" customHeight="1">
      <c r="D990" s="12"/>
      <c r="E990" s="182"/>
      <c r="F990" s="12"/>
      <c r="K990" s="51"/>
    </row>
    <row r="991" ht="13.5" customHeight="1">
      <c r="D991" s="12"/>
      <c r="E991" s="182"/>
      <c r="F991" s="12"/>
      <c r="K991" s="51"/>
    </row>
    <row r="992" ht="13.5" customHeight="1">
      <c r="D992" s="12"/>
      <c r="E992" s="182"/>
      <c r="F992" s="12"/>
      <c r="K992" s="51"/>
    </row>
    <row r="993" ht="13.5" customHeight="1">
      <c r="D993" s="12"/>
      <c r="E993" s="182"/>
      <c r="F993" s="12"/>
      <c r="K993" s="51"/>
    </row>
    <row r="994" ht="13.5" customHeight="1">
      <c r="D994" s="12"/>
      <c r="E994" s="182"/>
      <c r="F994" s="12"/>
      <c r="K994" s="51"/>
    </row>
    <row r="995" ht="13.5" customHeight="1">
      <c r="D995" s="12"/>
      <c r="E995" s="182"/>
      <c r="F995" s="12"/>
      <c r="K995" s="51"/>
    </row>
    <row r="996" ht="13.5" customHeight="1">
      <c r="D996" s="12"/>
      <c r="E996" s="182"/>
      <c r="F996" s="12"/>
      <c r="K996" s="51"/>
    </row>
    <row r="997" ht="13.5" customHeight="1">
      <c r="D997" s="12"/>
      <c r="E997" s="182"/>
      <c r="F997" s="12"/>
      <c r="K997" s="51"/>
    </row>
    <row r="998" ht="13.5" customHeight="1">
      <c r="D998" s="12"/>
      <c r="E998" s="182"/>
      <c r="F998" s="12"/>
      <c r="K998" s="51"/>
    </row>
    <row r="999" ht="13.5" customHeight="1">
      <c r="D999" s="12"/>
      <c r="E999" s="182"/>
      <c r="F999" s="12"/>
      <c r="K999" s="51"/>
    </row>
    <row r="1000" ht="13.5" customHeight="1">
      <c r="D1000" s="12"/>
      <c r="E1000" s="182"/>
      <c r="F1000" s="12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5.13"/>
    <col customWidth="1" min="3" max="3" width="11.25"/>
    <col customWidth="1" min="4" max="4" width="13.0"/>
    <col customWidth="1" min="5" max="5" width="20.63"/>
    <col customWidth="1" min="6" max="6" width="21.13"/>
    <col customWidth="1" min="7" max="7" width="27.5"/>
    <col customWidth="1" min="8" max="8" width="21.5"/>
    <col customWidth="1" min="9" max="9" width="15.63"/>
    <col customWidth="1" min="10" max="10" width="26.88"/>
    <col customWidth="1" min="11" max="11" width="15.5"/>
    <col customWidth="1" min="12" max="12" width="14.5"/>
    <col customWidth="1" min="13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3.5" customHeight="1">
      <c r="A2" s="14">
        <v>1.0</v>
      </c>
      <c r="B2" s="14" t="s">
        <v>9</v>
      </c>
      <c r="C2" s="14">
        <v>2130870.0</v>
      </c>
      <c r="D2" s="16">
        <v>46223.0</v>
      </c>
      <c r="E2" s="17">
        <v>18985.72</v>
      </c>
      <c r="F2" s="14" t="s">
        <v>80</v>
      </c>
      <c r="G2" s="227" t="s">
        <v>19</v>
      </c>
      <c r="H2" s="14"/>
      <c r="I2" s="14"/>
      <c r="J2" s="21">
        <v>183560.0</v>
      </c>
      <c r="K2" s="29">
        <v>27710.570000000003</v>
      </c>
      <c r="L2" s="14"/>
    </row>
    <row r="3" ht="13.5" customHeight="1">
      <c r="A3" s="14">
        <v>2.0</v>
      </c>
      <c r="B3" s="14" t="s">
        <v>9</v>
      </c>
      <c r="C3" s="14">
        <v>2130870.0</v>
      </c>
      <c r="D3" s="16">
        <v>46223.0</v>
      </c>
      <c r="E3" s="17">
        <v>18162.03</v>
      </c>
      <c r="F3" s="14" t="s">
        <v>10</v>
      </c>
      <c r="G3" s="227" t="s">
        <v>19</v>
      </c>
      <c r="H3" s="14"/>
      <c r="I3" s="14"/>
      <c r="J3" s="21">
        <v>183561.0</v>
      </c>
      <c r="K3" s="29">
        <v>260402.04000000004</v>
      </c>
      <c r="L3" s="14"/>
    </row>
    <row r="4" ht="13.5" customHeight="1">
      <c r="A4" s="14">
        <v>3.0</v>
      </c>
      <c r="B4" s="14" t="s">
        <v>9</v>
      </c>
      <c r="C4" s="14">
        <v>2060855.0</v>
      </c>
      <c r="D4" s="16">
        <v>46223.0</v>
      </c>
      <c r="E4" s="17">
        <v>1.865E7</v>
      </c>
      <c r="F4" s="14" t="s">
        <v>21</v>
      </c>
      <c r="G4" s="227" t="s">
        <v>19</v>
      </c>
      <c r="H4" s="14"/>
      <c r="I4" s="14"/>
      <c r="J4" s="21">
        <v>183565.0</v>
      </c>
      <c r="K4" s="29">
        <v>52372.56</v>
      </c>
      <c r="L4" s="14"/>
    </row>
    <row r="5" ht="13.5" customHeight="1">
      <c r="A5" s="14">
        <v>4.0</v>
      </c>
      <c r="B5" s="14" t="s">
        <v>9</v>
      </c>
      <c r="C5" s="14">
        <v>2140632.0</v>
      </c>
      <c r="D5" s="16">
        <v>46223.0</v>
      </c>
      <c r="E5" s="17">
        <v>8336.52</v>
      </c>
      <c r="F5" s="14"/>
      <c r="G5" s="227" t="s">
        <v>19</v>
      </c>
      <c r="H5" s="14"/>
      <c r="I5" s="14"/>
      <c r="J5" s="21">
        <v>183566.0</v>
      </c>
      <c r="K5" s="29">
        <v>2317777.84</v>
      </c>
      <c r="L5" s="14"/>
    </row>
    <row r="6" ht="13.5" customHeight="1">
      <c r="A6" s="30">
        <v>5.0</v>
      </c>
      <c r="B6" s="30" t="s">
        <v>16</v>
      </c>
      <c r="C6" s="30">
        <v>2090821.0</v>
      </c>
      <c r="D6" s="31">
        <v>46223.0</v>
      </c>
      <c r="E6" s="32">
        <v>500.0</v>
      </c>
      <c r="F6" s="30"/>
      <c r="G6" s="237" t="s">
        <v>19</v>
      </c>
      <c r="H6" s="14"/>
      <c r="I6" s="14"/>
      <c r="J6" s="26">
        <v>183576.0</v>
      </c>
      <c r="K6" s="28">
        <v>658.72</v>
      </c>
      <c r="L6" s="14"/>
    </row>
    <row r="7" ht="13.5" customHeight="1">
      <c r="A7" s="23">
        <v>7.0</v>
      </c>
      <c r="B7" s="23" t="s">
        <v>20</v>
      </c>
      <c r="C7" s="23">
        <v>1040211.0</v>
      </c>
      <c r="D7" s="49">
        <v>46223.0</v>
      </c>
      <c r="E7" s="29">
        <v>26004.7</v>
      </c>
      <c r="F7" s="23"/>
      <c r="G7" s="21" t="s">
        <v>19</v>
      </c>
      <c r="H7" s="14"/>
      <c r="I7" s="14"/>
      <c r="J7" s="21">
        <v>183577.0</v>
      </c>
      <c r="K7" s="29">
        <v>498193.94</v>
      </c>
      <c r="L7" s="14"/>
    </row>
    <row r="8" ht="13.5" customHeight="1">
      <c r="A8" s="23">
        <v>8.0</v>
      </c>
      <c r="B8" s="23" t="s">
        <v>20</v>
      </c>
      <c r="C8" s="23">
        <v>1040211.0</v>
      </c>
      <c r="D8" s="49">
        <v>46223.0</v>
      </c>
      <c r="E8" s="29">
        <v>220094.58</v>
      </c>
      <c r="F8" s="23"/>
      <c r="G8" s="21" t="s">
        <v>19</v>
      </c>
      <c r="H8" s="14"/>
      <c r="I8" s="14"/>
      <c r="J8" s="21">
        <v>183586.0</v>
      </c>
      <c r="K8" s="29">
        <v>10762.0</v>
      </c>
      <c r="L8" s="14"/>
    </row>
    <row r="9" ht="13.5" customHeight="1">
      <c r="A9" s="23">
        <v>14.0</v>
      </c>
      <c r="B9" s="23" t="s">
        <v>20</v>
      </c>
      <c r="C9" s="23">
        <v>1200393.0</v>
      </c>
      <c r="D9" s="49">
        <v>46223.0</v>
      </c>
      <c r="E9" s="29">
        <v>1705.87</v>
      </c>
      <c r="F9" s="23"/>
      <c r="G9" s="21" t="s">
        <v>19</v>
      </c>
      <c r="H9" s="14"/>
      <c r="I9" s="14"/>
      <c r="J9" s="21" t="s">
        <v>150</v>
      </c>
      <c r="K9" s="29">
        <v>4657.16</v>
      </c>
      <c r="L9" s="14"/>
    </row>
    <row r="10" ht="13.5" customHeight="1">
      <c r="A10" s="23">
        <v>15.0</v>
      </c>
      <c r="B10" s="23" t="s">
        <v>20</v>
      </c>
      <c r="C10" s="23">
        <v>1200393.0</v>
      </c>
      <c r="D10" s="49">
        <v>46223.0</v>
      </c>
      <c r="E10" s="29">
        <v>4855.61</v>
      </c>
      <c r="F10" s="23"/>
      <c r="G10" s="21" t="s">
        <v>19</v>
      </c>
      <c r="H10" s="14"/>
      <c r="I10" s="14"/>
      <c r="J10" s="21" t="s">
        <v>151</v>
      </c>
      <c r="K10" s="29">
        <v>1113.53</v>
      </c>
      <c r="L10" s="14"/>
    </row>
    <row r="11" ht="13.5" customHeight="1">
      <c r="A11" s="23">
        <v>16.0</v>
      </c>
      <c r="B11" s="23" t="s">
        <v>20</v>
      </c>
      <c r="C11" s="23">
        <v>1200393.0</v>
      </c>
      <c r="D11" s="49">
        <v>46223.0</v>
      </c>
      <c r="E11" s="29">
        <v>35451.85</v>
      </c>
      <c r="F11" s="23"/>
      <c r="G11" s="21" t="s">
        <v>19</v>
      </c>
      <c r="H11" s="14"/>
      <c r="I11" s="14"/>
      <c r="J11" s="23">
        <v>183691.0</v>
      </c>
      <c r="K11" s="29">
        <v>506113.56</v>
      </c>
      <c r="L11" s="14"/>
    </row>
    <row r="12" ht="13.5" customHeight="1">
      <c r="A12" s="23">
        <v>17.0</v>
      </c>
      <c r="B12" s="23" t="s">
        <v>20</v>
      </c>
      <c r="C12" s="23">
        <v>1040250.0</v>
      </c>
      <c r="D12" s="49">
        <v>46223.0</v>
      </c>
      <c r="E12" s="29">
        <v>3316.26</v>
      </c>
      <c r="F12" s="23"/>
      <c r="G12" s="21" t="s">
        <v>19</v>
      </c>
      <c r="H12" s="14"/>
      <c r="I12" s="14"/>
      <c r="J12" s="23">
        <v>183679.0</v>
      </c>
      <c r="K12" s="29">
        <v>2276.59</v>
      </c>
      <c r="L12" s="14"/>
    </row>
    <row r="13" ht="13.5" customHeight="1">
      <c r="A13" s="23">
        <v>20.0</v>
      </c>
      <c r="B13" s="23" t="s">
        <v>20</v>
      </c>
      <c r="C13" s="23">
        <v>1200393.0</v>
      </c>
      <c r="D13" s="49">
        <v>46223.0</v>
      </c>
      <c r="E13" s="29">
        <v>1340.9</v>
      </c>
      <c r="F13" s="23"/>
      <c r="G13" s="21" t="s">
        <v>19</v>
      </c>
      <c r="H13" s="14"/>
      <c r="I13" s="14"/>
      <c r="J13" s="23">
        <v>183737.0</v>
      </c>
      <c r="K13" s="29">
        <v>1004.16</v>
      </c>
      <c r="L13" s="14"/>
    </row>
    <row r="14" ht="13.5" customHeight="1">
      <c r="A14" s="23">
        <v>21.0</v>
      </c>
      <c r="B14" s="23" t="s">
        <v>47</v>
      </c>
      <c r="C14" s="23">
        <v>1170144.0</v>
      </c>
      <c r="D14" s="49">
        <v>46223.0</v>
      </c>
      <c r="E14" s="29">
        <v>3075.7</v>
      </c>
      <c r="F14" s="23"/>
      <c r="G14" s="21" t="s">
        <v>19</v>
      </c>
      <c r="H14" s="14"/>
      <c r="I14" s="14"/>
      <c r="J14" s="23">
        <v>183738.0</v>
      </c>
      <c r="K14" s="29">
        <v>2457880.67</v>
      </c>
      <c r="L14" s="14"/>
    </row>
    <row r="15" ht="13.5" customHeight="1">
      <c r="A15" s="23">
        <v>22.0</v>
      </c>
      <c r="B15" s="23" t="s">
        <v>47</v>
      </c>
      <c r="C15" s="23">
        <v>1170144.0</v>
      </c>
      <c r="D15" s="49">
        <v>46223.0</v>
      </c>
      <c r="E15" s="29">
        <v>2314702.14</v>
      </c>
      <c r="F15" s="23"/>
      <c r="G15" s="21" t="s">
        <v>19</v>
      </c>
      <c r="H15" s="14"/>
      <c r="I15" s="14"/>
      <c r="J15" s="23">
        <v>183739.0</v>
      </c>
      <c r="K15" s="29">
        <v>2568.39</v>
      </c>
      <c r="L15" s="14"/>
    </row>
    <row r="16" ht="13.5" customHeight="1">
      <c r="A16" s="23">
        <v>23.0</v>
      </c>
      <c r="B16" s="23" t="s">
        <v>20</v>
      </c>
      <c r="C16" s="23">
        <v>1040109.0</v>
      </c>
      <c r="D16" s="49">
        <v>46223.0</v>
      </c>
      <c r="E16" s="29">
        <v>2568.39</v>
      </c>
      <c r="F16" s="23"/>
      <c r="G16" s="21" t="s">
        <v>19</v>
      </c>
      <c r="H16" s="14"/>
      <c r="I16" s="14"/>
      <c r="J16" s="23">
        <v>183759.0</v>
      </c>
      <c r="K16" s="29">
        <v>35709.96</v>
      </c>
      <c r="L16" s="14"/>
    </row>
    <row r="17" ht="13.5" customHeight="1">
      <c r="A17" s="23">
        <v>27.0</v>
      </c>
      <c r="B17" s="23" t="s">
        <v>20</v>
      </c>
      <c r="C17" s="23">
        <v>1040375.0</v>
      </c>
      <c r="D17" s="49">
        <v>46223.0</v>
      </c>
      <c r="E17" s="29">
        <v>506113.56</v>
      </c>
      <c r="F17" s="23"/>
      <c r="G17" s="21" t="s">
        <v>19</v>
      </c>
      <c r="H17" s="14"/>
      <c r="I17" s="14"/>
      <c r="J17" s="23">
        <v>183744.0</v>
      </c>
      <c r="K17" s="29">
        <v>2181653.35</v>
      </c>
      <c r="L17" s="14"/>
    </row>
    <row r="18" ht="13.5" customHeight="1">
      <c r="A18" s="23">
        <v>28.0</v>
      </c>
      <c r="B18" s="23" t="s">
        <v>20</v>
      </c>
      <c r="C18" s="23">
        <v>1040375.0</v>
      </c>
      <c r="D18" s="49">
        <v>46223.0</v>
      </c>
      <c r="E18" s="29">
        <v>35709.96</v>
      </c>
      <c r="F18" s="23"/>
      <c r="G18" s="21" t="s">
        <v>19</v>
      </c>
      <c r="H18" s="14"/>
      <c r="I18" s="14"/>
      <c r="J18" s="23">
        <v>183781.0</v>
      </c>
      <c r="K18" s="29">
        <v>1370.65</v>
      </c>
      <c r="L18" s="14"/>
    </row>
    <row r="19" ht="13.5" customHeight="1">
      <c r="A19" s="23">
        <v>29.0</v>
      </c>
      <c r="B19" s="23" t="s">
        <v>20</v>
      </c>
      <c r="C19" s="23">
        <v>1040375.0</v>
      </c>
      <c r="D19" s="49">
        <v>46223.0</v>
      </c>
      <c r="E19" s="29">
        <v>1370.65</v>
      </c>
      <c r="F19" s="23"/>
      <c r="G19" s="21" t="s">
        <v>19</v>
      </c>
      <c r="H19" s="14"/>
      <c r="I19" s="14"/>
      <c r="J19" s="23">
        <v>183787.0</v>
      </c>
      <c r="K19" s="29">
        <v>610378.32</v>
      </c>
      <c r="L19" s="14"/>
    </row>
    <row r="20" ht="13.5" customHeight="1">
      <c r="A20" s="23">
        <v>30.0</v>
      </c>
      <c r="B20" s="23" t="s">
        <v>20</v>
      </c>
      <c r="C20" s="23">
        <v>1040375.0</v>
      </c>
      <c r="D20" s="49">
        <v>46223.0</v>
      </c>
      <c r="E20" s="29">
        <v>2276.59</v>
      </c>
      <c r="F20" s="23"/>
      <c r="G20" s="21" t="s">
        <v>19</v>
      </c>
      <c r="H20" s="14"/>
      <c r="I20" s="14"/>
      <c r="J20" s="23" t="s">
        <v>152</v>
      </c>
      <c r="K20" s="29">
        <v>5530.98</v>
      </c>
      <c r="L20" s="14"/>
    </row>
    <row r="21" ht="13.5" customHeight="1">
      <c r="A21" s="23">
        <v>31.0</v>
      </c>
      <c r="B21" s="23" t="s">
        <v>20</v>
      </c>
      <c r="C21" s="23">
        <v>1040375.0</v>
      </c>
      <c r="D21" s="49">
        <v>46223.0</v>
      </c>
      <c r="E21" s="29">
        <v>1004.16</v>
      </c>
      <c r="F21" s="23"/>
      <c r="G21" s="21" t="s">
        <v>19</v>
      </c>
      <c r="H21" s="14"/>
      <c r="I21" s="14"/>
      <c r="J21" s="14"/>
      <c r="K21" s="17"/>
      <c r="L21" s="14"/>
    </row>
    <row r="22" ht="13.5" customHeight="1">
      <c r="A22" s="23">
        <v>32.0</v>
      </c>
      <c r="B22" s="23" t="s">
        <v>20</v>
      </c>
      <c r="C22" s="23">
        <v>1040375.0</v>
      </c>
      <c r="D22" s="49">
        <v>46223.0</v>
      </c>
      <c r="E22" s="29">
        <v>610378.32</v>
      </c>
      <c r="F22" s="23"/>
      <c r="G22" s="21" t="s">
        <v>19</v>
      </c>
      <c r="H22" s="14"/>
      <c r="I22" s="14"/>
      <c r="J22" s="14"/>
      <c r="K22" s="17"/>
      <c r="L22" s="14"/>
    </row>
    <row r="23" ht="13.5" customHeight="1">
      <c r="A23" s="23">
        <v>33.0</v>
      </c>
      <c r="B23" s="23" t="s">
        <v>20</v>
      </c>
      <c r="C23" s="23">
        <v>1040375.0</v>
      </c>
      <c r="D23" s="49">
        <v>46223.0</v>
      </c>
      <c r="E23" s="29">
        <v>775.32</v>
      </c>
      <c r="F23" s="23"/>
      <c r="G23" s="21" t="s">
        <v>19</v>
      </c>
      <c r="H23" s="14"/>
      <c r="I23" s="14"/>
      <c r="J23" s="14"/>
      <c r="K23" s="17"/>
      <c r="L23" s="14"/>
    </row>
    <row r="24" ht="13.5" customHeight="1">
      <c r="A24" s="23">
        <v>35.0</v>
      </c>
      <c r="B24" s="23" t="s">
        <v>20</v>
      </c>
      <c r="C24" s="23">
        <v>1040375.0</v>
      </c>
      <c r="D24" s="49">
        <v>46223.0</v>
      </c>
      <c r="E24" s="29">
        <v>892.12</v>
      </c>
      <c r="F24" s="23"/>
      <c r="G24" s="21" t="s">
        <v>19</v>
      </c>
      <c r="H24" s="14"/>
      <c r="I24" s="14"/>
      <c r="J24" s="14"/>
      <c r="K24" s="17"/>
      <c r="L24" s="14"/>
    </row>
    <row r="25" ht="13.5" customHeight="1">
      <c r="A25" s="23">
        <v>36.0</v>
      </c>
      <c r="B25" s="23" t="s">
        <v>20</v>
      </c>
      <c r="C25" s="23">
        <v>1040375.0</v>
      </c>
      <c r="D25" s="49">
        <v>46223.0</v>
      </c>
      <c r="E25" s="29">
        <v>86.72</v>
      </c>
      <c r="F25" s="23"/>
      <c r="G25" s="21" t="s">
        <v>19</v>
      </c>
      <c r="H25" s="14"/>
      <c r="I25" s="14"/>
      <c r="J25" s="14"/>
      <c r="K25" s="17"/>
      <c r="L25" s="14"/>
    </row>
    <row r="26" ht="13.5" customHeight="1">
      <c r="A26" s="23">
        <v>37.0</v>
      </c>
      <c r="B26" s="23" t="s">
        <v>20</v>
      </c>
      <c r="C26" s="23">
        <v>1040375.0</v>
      </c>
      <c r="D26" s="49">
        <v>46223.0</v>
      </c>
      <c r="E26" s="29">
        <v>852.9</v>
      </c>
      <c r="F26" s="23"/>
      <c r="G26" s="21" t="s">
        <v>19</v>
      </c>
      <c r="H26" s="14"/>
      <c r="I26" s="14"/>
      <c r="J26" s="14"/>
      <c r="K26" s="17"/>
      <c r="L26" s="14"/>
    </row>
    <row r="27" ht="13.5" customHeight="1">
      <c r="A27" s="23">
        <v>39.0</v>
      </c>
      <c r="B27" s="23" t="s">
        <v>20</v>
      </c>
      <c r="C27" s="23">
        <v>1040375.0</v>
      </c>
      <c r="D27" s="49">
        <v>46223.0</v>
      </c>
      <c r="E27" s="29">
        <v>2847.97</v>
      </c>
      <c r="F27" s="23"/>
      <c r="G27" s="21" t="s">
        <v>19</v>
      </c>
      <c r="H27" s="14"/>
      <c r="I27" s="14"/>
      <c r="J27" s="17"/>
      <c r="K27" s="17"/>
      <c r="L27" s="14"/>
      <c r="M27" s="51"/>
    </row>
    <row r="28" ht="13.5" customHeight="1">
      <c r="A28" s="23">
        <v>42.0</v>
      </c>
      <c r="B28" s="23" t="s">
        <v>20</v>
      </c>
      <c r="C28" s="23">
        <v>1040375.0</v>
      </c>
      <c r="D28" s="49">
        <v>46223.0</v>
      </c>
      <c r="E28" s="29">
        <v>46917.53</v>
      </c>
      <c r="F28" s="23"/>
      <c r="G28" s="21" t="s">
        <v>19</v>
      </c>
      <c r="H28" s="14"/>
      <c r="I28" s="14"/>
      <c r="J28" s="14"/>
      <c r="K28" s="17"/>
      <c r="L28" s="14"/>
    </row>
    <row r="29" ht="13.5" customHeight="1">
      <c r="A29" s="23">
        <v>44.0</v>
      </c>
      <c r="B29" s="23" t="s">
        <v>20</v>
      </c>
      <c r="C29" s="23">
        <v>1040375.0</v>
      </c>
      <c r="D29" s="49">
        <v>46223.0</v>
      </c>
      <c r="E29" s="29">
        <v>2457880.67</v>
      </c>
      <c r="F29" s="23"/>
      <c r="G29" s="21" t="s">
        <v>19</v>
      </c>
      <c r="H29" s="14"/>
      <c r="I29" s="14"/>
      <c r="J29" s="14"/>
      <c r="K29" s="17"/>
      <c r="L29" s="14"/>
    </row>
    <row r="30" ht="13.5" customHeight="1">
      <c r="A30" s="23">
        <v>45.0</v>
      </c>
      <c r="B30" s="23" t="s">
        <v>20</v>
      </c>
      <c r="C30" s="23">
        <v>1040375.0</v>
      </c>
      <c r="D30" s="49">
        <v>46223.0</v>
      </c>
      <c r="E30" s="29">
        <v>2181653.35</v>
      </c>
      <c r="F30" s="23"/>
      <c r="G30" s="21" t="s">
        <v>19</v>
      </c>
      <c r="H30" s="14"/>
      <c r="I30" s="14"/>
      <c r="J30" s="14"/>
      <c r="K30" s="17"/>
      <c r="L30" s="14"/>
    </row>
    <row r="31" ht="13.5" customHeight="1">
      <c r="A31" s="23">
        <v>49.0</v>
      </c>
      <c r="B31" s="23" t="s">
        <v>20</v>
      </c>
      <c r="C31" s="23">
        <v>1040375.0</v>
      </c>
      <c r="D31" s="49">
        <v>46223.0</v>
      </c>
      <c r="E31" s="29">
        <v>603.99</v>
      </c>
      <c r="F31" s="23"/>
      <c r="G31" s="21" t="s">
        <v>19</v>
      </c>
      <c r="H31" s="14"/>
      <c r="I31" s="14"/>
      <c r="J31" s="17"/>
      <c r="K31" s="17"/>
      <c r="L31" s="14"/>
    </row>
    <row r="32" ht="13.5" customHeight="1">
      <c r="A32" s="23">
        <v>50.0</v>
      </c>
      <c r="B32" s="23" t="s">
        <v>20</v>
      </c>
      <c r="C32" s="23">
        <v>1040375.0</v>
      </c>
      <c r="D32" s="49">
        <v>46223.0</v>
      </c>
      <c r="E32" s="29">
        <v>254.51</v>
      </c>
      <c r="F32" s="23"/>
      <c r="G32" s="21" t="s">
        <v>19</v>
      </c>
      <c r="H32" s="14"/>
      <c r="I32" s="14"/>
      <c r="J32" s="14"/>
      <c r="K32" s="17"/>
      <c r="L32" s="14"/>
    </row>
    <row r="33" ht="13.5" customHeight="1">
      <c r="A33" s="23">
        <v>51.0</v>
      </c>
      <c r="B33" s="23" t="s">
        <v>20</v>
      </c>
      <c r="C33" s="23">
        <v>1040375.0</v>
      </c>
      <c r="D33" s="49">
        <v>46223.0</v>
      </c>
      <c r="E33" s="29">
        <v>255.03</v>
      </c>
      <c r="F33" s="23"/>
      <c r="G33" s="21" t="s">
        <v>19</v>
      </c>
      <c r="H33" s="14"/>
      <c r="I33" s="14"/>
      <c r="J33" s="14"/>
      <c r="K33" s="17"/>
      <c r="L33" s="14"/>
    </row>
    <row r="34" ht="13.5" customHeight="1">
      <c r="A34" s="23">
        <v>52.0</v>
      </c>
      <c r="B34" s="23" t="s">
        <v>47</v>
      </c>
      <c r="C34" s="23">
        <v>1170144.0</v>
      </c>
      <c r="D34" s="49">
        <v>46223.0</v>
      </c>
      <c r="E34" s="29">
        <v>498193.94</v>
      </c>
      <c r="F34" s="23"/>
      <c r="G34" s="21" t="s">
        <v>19</v>
      </c>
      <c r="H34" s="239"/>
      <c r="I34" s="14"/>
      <c r="J34" s="239"/>
      <c r="K34" s="17"/>
      <c r="L34" s="14"/>
    </row>
    <row r="35" ht="13.5" customHeight="1">
      <c r="A35" s="23">
        <v>54.0</v>
      </c>
      <c r="B35" s="23" t="s">
        <v>47</v>
      </c>
      <c r="C35" s="23">
        <v>1170144.0</v>
      </c>
      <c r="D35" s="49">
        <v>46223.0</v>
      </c>
      <c r="E35" s="29">
        <v>6.9</v>
      </c>
      <c r="F35" s="33"/>
      <c r="G35" s="26" t="s">
        <v>19</v>
      </c>
      <c r="H35" s="14"/>
      <c r="I35" s="14"/>
      <c r="J35" s="14"/>
      <c r="K35" s="17"/>
      <c r="L35" s="14"/>
    </row>
    <row r="36" ht="13.5" customHeight="1">
      <c r="A36" s="23">
        <v>55.0</v>
      </c>
      <c r="B36" s="23" t="s">
        <v>47</v>
      </c>
      <c r="C36" s="23">
        <v>1170144.0</v>
      </c>
      <c r="D36" s="49">
        <v>46223.0</v>
      </c>
      <c r="E36" s="29">
        <v>116.34</v>
      </c>
      <c r="F36" s="33"/>
      <c r="G36" s="26" t="s">
        <v>19</v>
      </c>
      <c r="H36" s="17"/>
      <c r="I36" s="14"/>
      <c r="J36" s="14"/>
      <c r="K36" s="17"/>
      <c r="L36" s="14"/>
    </row>
    <row r="37" ht="13.5" customHeight="1">
      <c r="A37" s="23">
        <v>56.0</v>
      </c>
      <c r="B37" s="23" t="s">
        <v>47</v>
      </c>
      <c r="C37" s="23">
        <v>1170144.0</v>
      </c>
      <c r="D37" s="49">
        <v>46223.0</v>
      </c>
      <c r="E37" s="29">
        <v>115.34</v>
      </c>
      <c r="F37" s="33"/>
      <c r="G37" s="26" t="s">
        <v>19</v>
      </c>
      <c r="H37" s="14"/>
      <c r="I37" s="17"/>
      <c r="J37" s="17"/>
      <c r="K37" s="17"/>
      <c r="L37" s="14"/>
    </row>
    <row r="38" ht="13.5" customHeight="1">
      <c r="A38" s="23">
        <v>57.0</v>
      </c>
      <c r="B38" s="23" t="s">
        <v>47</v>
      </c>
      <c r="C38" s="23">
        <v>1170144.0</v>
      </c>
      <c r="D38" s="49">
        <v>46223.0</v>
      </c>
      <c r="E38" s="29">
        <v>337.06</v>
      </c>
      <c r="F38" s="33"/>
      <c r="G38" s="26" t="s">
        <v>19</v>
      </c>
      <c r="H38" s="239"/>
      <c r="I38" s="14"/>
      <c r="J38" s="14"/>
      <c r="K38" s="17"/>
      <c r="L38" s="14"/>
    </row>
    <row r="39" ht="13.5" customHeight="1">
      <c r="A39" s="23">
        <v>58.0</v>
      </c>
      <c r="B39" s="23" t="s">
        <v>47</v>
      </c>
      <c r="C39" s="23">
        <v>1170144.0</v>
      </c>
      <c r="D39" s="49">
        <v>46223.0</v>
      </c>
      <c r="E39" s="29">
        <v>74.37</v>
      </c>
      <c r="F39" s="33"/>
      <c r="G39" s="26" t="s">
        <v>19</v>
      </c>
      <c r="H39" s="14"/>
      <c r="I39" s="14"/>
      <c r="J39" s="17"/>
      <c r="K39" s="17"/>
      <c r="L39" s="14"/>
    </row>
    <row r="40" ht="13.5" customHeight="1">
      <c r="A40" s="23">
        <v>59.0</v>
      </c>
      <c r="B40" s="23" t="s">
        <v>47</v>
      </c>
      <c r="C40" s="23">
        <v>1170144.0</v>
      </c>
      <c r="D40" s="49">
        <v>46223.0</v>
      </c>
      <c r="E40" s="29">
        <v>8.71</v>
      </c>
      <c r="F40" s="33"/>
      <c r="G40" s="26" t="s">
        <v>19</v>
      </c>
      <c r="H40" s="14"/>
      <c r="I40" s="14"/>
      <c r="J40" s="14"/>
      <c r="K40" s="17"/>
      <c r="L40" s="14"/>
    </row>
    <row r="41" ht="13.5" customHeight="1">
      <c r="A41" s="23">
        <v>64.0</v>
      </c>
      <c r="B41" s="23" t="s">
        <v>20</v>
      </c>
      <c r="C41" s="23">
        <v>1040109.0</v>
      </c>
      <c r="D41" s="49">
        <v>46223.0</v>
      </c>
      <c r="E41" s="29">
        <v>5381.0</v>
      </c>
      <c r="F41" s="33"/>
      <c r="G41" s="26" t="s">
        <v>19</v>
      </c>
      <c r="H41" s="14"/>
      <c r="I41" s="14"/>
      <c r="J41" s="14"/>
      <c r="K41" s="17"/>
      <c r="L41" s="14"/>
    </row>
    <row r="42" ht="13.5" customHeight="1">
      <c r="A42" s="23">
        <v>65.0</v>
      </c>
      <c r="B42" s="23" t="s">
        <v>20</v>
      </c>
      <c r="C42" s="23">
        <v>1040109.0</v>
      </c>
      <c r="D42" s="49">
        <v>46223.0</v>
      </c>
      <c r="E42" s="29">
        <v>5381.0</v>
      </c>
      <c r="F42" s="33"/>
      <c r="G42" s="26" t="s">
        <v>19</v>
      </c>
      <c r="H42" s="14"/>
      <c r="I42" s="14"/>
      <c r="J42" s="14"/>
      <c r="K42" s="17"/>
      <c r="L42" s="14"/>
    </row>
    <row r="43" ht="13.5" customHeight="1">
      <c r="A43" s="23">
        <v>68.0</v>
      </c>
      <c r="B43" s="23" t="s">
        <v>20</v>
      </c>
      <c r="C43" s="23">
        <v>1040375.0</v>
      </c>
      <c r="D43" s="49">
        <v>46223.0</v>
      </c>
      <c r="E43" s="29">
        <v>5530.98</v>
      </c>
      <c r="F43" s="33"/>
      <c r="G43" s="26" t="s">
        <v>19</v>
      </c>
      <c r="H43" s="14"/>
      <c r="I43" s="14"/>
      <c r="J43" s="14"/>
      <c r="K43" s="17"/>
      <c r="L43" s="14"/>
    </row>
    <row r="44" ht="13.5" customHeight="1">
      <c r="A44" s="14">
        <v>69.0</v>
      </c>
      <c r="B44" s="14" t="s">
        <v>47</v>
      </c>
      <c r="C44" s="14">
        <v>1040500.0</v>
      </c>
      <c r="D44" s="16">
        <v>46223.0</v>
      </c>
      <c r="E44" s="17">
        <v>1007960.47</v>
      </c>
      <c r="F44" s="15"/>
      <c r="G44" s="240" t="s">
        <v>19</v>
      </c>
      <c r="H44" s="15"/>
      <c r="I44" s="14"/>
      <c r="J44" s="14"/>
      <c r="K44" s="17"/>
      <c r="L44" s="14"/>
    </row>
    <row r="45" ht="13.5" customHeight="1">
      <c r="A45" s="50">
        <v>82.0</v>
      </c>
      <c r="B45" s="50" t="s">
        <v>20</v>
      </c>
      <c r="C45" s="50">
        <v>1040258.0</v>
      </c>
      <c r="D45" s="241">
        <v>46223.0</v>
      </c>
      <c r="E45" s="51">
        <v>10.0</v>
      </c>
      <c r="F45" s="12"/>
      <c r="G45" s="94" t="s">
        <v>19</v>
      </c>
      <c r="K45" s="51"/>
    </row>
    <row r="46" ht="13.5" customHeight="1">
      <c r="E46" s="51"/>
      <c r="F46" s="12"/>
      <c r="G46" s="94"/>
      <c r="K46" s="51"/>
    </row>
    <row r="47" ht="13.5" customHeight="1">
      <c r="E47" s="51"/>
      <c r="F47" s="12"/>
      <c r="G47" s="94"/>
      <c r="K47" s="51"/>
    </row>
    <row r="48" ht="13.5" customHeight="1">
      <c r="E48" s="51"/>
      <c r="F48" s="12"/>
      <c r="G48" s="94"/>
      <c r="K48" s="51"/>
    </row>
    <row r="49" ht="13.5" customHeight="1">
      <c r="E49" s="51"/>
      <c r="F49" s="12"/>
      <c r="G49" s="94"/>
      <c r="K49" s="51"/>
    </row>
    <row r="50" ht="13.5" customHeight="1">
      <c r="E50" s="51"/>
      <c r="F50" s="12"/>
      <c r="G50" s="94"/>
      <c r="K50" s="51"/>
    </row>
    <row r="51" ht="13.5" customHeight="1">
      <c r="E51" s="51"/>
      <c r="F51" s="12"/>
      <c r="G51" s="94"/>
      <c r="K51" s="51"/>
    </row>
    <row r="52" ht="13.5" customHeight="1">
      <c r="E52" s="51"/>
      <c r="F52" s="12"/>
      <c r="G52" s="11"/>
      <c r="K52" s="51"/>
    </row>
    <row r="53" ht="13.5" customHeight="1">
      <c r="E53" s="51"/>
      <c r="F53" s="12"/>
      <c r="G53" s="11"/>
      <c r="K53" s="51"/>
    </row>
    <row r="54" ht="13.5" customHeight="1">
      <c r="E54" s="51"/>
      <c r="F54" s="12"/>
      <c r="G54" s="11"/>
      <c r="K54" s="51"/>
    </row>
    <row r="55" ht="13.5" customHeight="1">
      <c r="E55" s="51"/>
      <c r="F55" s="12"/>
      <c r="G55" s="11"/>
      <c r="K55" s="51"/>
    </row>
    <row r="56" ht="13.5" customHeight="1">
      <c r="E56" s="51"/>
      <c r="F56" s="12"/>
      <c r="G56" s="11"/>
      <c r="K56" s="51"/>
    </row>
    <row r="57" ht="13.5" customHeight="1">
      <c r="E57" s="51"/>
      <c r="F57" s="12"/>
      <c r="G57" s="11"/>
      <c r="K57" s="51"/>
    </row>
    <row r="58" ht="13.5" customHeight="1">
      <c r="E58" s="51"/>
      <c r="F58" s="12"/>
      <c r="G58" s="11"/>
      <c r="K58" s="51"/>
    </row>
    <row r="59" ht="13.5" customHeight="1">
      <c r="E59" s="51"/>
      <c r="F59" s="12"/>
      <c r="G59" s="11"/>
      <c r="K59" s="51"/>
    </row>
    <row r="60" ht="13.5" customHeight="1">
      <c r="E60" s="51"/>
      <c r="F60" s="12"/>
      <c r="G60" s="11"/>
      <c r="K60" s="51"/>
    </row>
    <row r="61" ht="13.5" customHeight="1">
      <c r="E61" s="51"/>
      <c r="F61" s="12"/>
      <c r="G61" s="11"/>
      <c r="K61" s="51"/>
    </row>
    <row r="62" ht="13.5" customHeight="1">
      <c r="E62" s="51"/>
      <c r="F62" s="12"/>
      <c r="G62" s="11"/>
      <c r="K62" s="51"/>
    </row>
    <row r="63" ht="13.5" customHeight="1">
      <c r="E63" s="51"/>
      <c r="F63" s="12"/>
      <c r="G63" s="11"/>
      <c r="K63" s="51"/>
    </row>
    <row r="64" ht="13.5" customHeight="1">
      <c r="E64" s="51"/>
      <c r="F64" s="12"/>
      <c r="G64" s="11"/>
      <c r="K64" s="51"/>
    </row>
    <row r="65" ht="13.5" customHeight="1">
      <c r="E65" s="51"/>
      <c r="F65" s="12"/>
      <c r="G65" s="11"/>
      <c r="K65" s="51"/>
    </row>
    <row r="66" ht="13.5" customHeight="1">
      <c r="E66" s="51"/>
      <c r="F66" s="12"/>
      <c r="G66" s="11"/>
      <c r="K66" s="51"/>
    </row>
    <row r="67" ht="13.5" customHeight="1">
      <c r="E67" s="51"/>
      <c r="F67" s="12"/>
      <c r="G67" s="11"/>
      <c r="K67" s="51"/>
    </row>
    <row r="68" ht="13.5" customHeight="1">
      <c r="E68" s="51"/>
      <c r="F68" s="12"/>
      <c r="G68" s="11"/>
      <c r="K68" s="51"/>
    </row>
    <row r="69" ht="13.5" customHeight="1">
      <c r="E69" s="51"/>
      <c r="F69" s="12"/>
      <c r="G69" s="11"/>
      <c r="K69" s="51"/>
    </row>
    <row r="70" ht="13.5" customHeight="1">
      <c r="E70" s="51"/>
      <c r="F70" s="12"/>
      <c r="G70" s="11"/>
      <c r="K70" s="51"/>
    </row>
    <row r="71" ht="13.5" customHeight="1">
      <c r="E71" s="51"/>
      <c r="F71" s="12"/>
      <c r="G71" s="11"/>
      <c r="K71" s="51"/>
    </row>
    <row r="72" ht="13.5" customHeight="1">
      <c r="E72" s="51"/>
      <c r="F72" s="12"/>
      <c r="G72" s="11"/>
      <c r="K72" s="51"/>
    </row>
    <row r="73" ht="13.5" customHeight="1">
      <c r="A73" s="242"/>
      <c r="B73" s="242"/>
      <c r="C73" s="242"/>
      <c r="D73" s="69"/>
      <c r="E73" s="243"/>
      <c r="F73" s="69"/>
      <c r="G73" s="77"/>
      <c r="H73" s="61"/>
      <c r="I73" s="61"/>
      <c r="J73" s="61"/>
      <c r="K73" s="75"/>
      <c r="L73" s="61"/>
    </row>
    <row r="74" ht="13.5" customHeight="1">
      <c r="A74" s="242"/>
      <c r="B74" s="242"/>
      <c r="C74" s="242"/>
      <c r="D74" s="69"/>
      <c r="E74" s="243"/>
      <c r="F74" s="69"/>
      <c r="G74" s="77"/>
      <c r="H74" s="61"/>
      <c r="I74" s="61"/>
      <c r="J74" s="61"/>
      <c r="K74" s="75"/>
      <c r="L74" s="61"/>
    </row>
    <row r="75" ht="13.5" customHeight="1">
      <c r="A75" s="242"/>
      <c r="B75" s="242"/>
      <c r="C75" s="242"/>
      <c r="D75" s="69"/>
      <c r="E75" s="243"/>
      <c r="F75" s="69"/>
      <c r="G75" s="77"/>
      <c r="H75" s="61"/>
      <c r="I75" s="61"/>
      <c r="J75" s="61"/>
      <c r="K75" s="75"/>
      <c r="L75" s="61"/>
    </row>
    <row r="76" ht="13.5" customHeight="1">
      <c r="A76" s="242"/>
      <c r="B76" s="242"/>
      <c r="C76" s="242"/>
      <c r="D76" s="69"/>
      <c r="E76" s="243"/>
      <c r="F76" s="69"/>
      <c r="G76" s="77"/>
      <c r="H76" s="61"/>
      <c r="I76" s="61"/>
      <c r="J76" s="61"/>
      <c r="K76" s="75"/>
      <c r="L76" s="61"/>
    </row>
    <row r="77" ht="13.5" customHeight="1">
      <c r="A77" s="242"/>
      <c r="B77" s="242"/>
      <c r="C77" s="242"/>
      <c r="D77" s="69"/>
      <c r="E77" s="243"/>
      <c r="F77" s="69"/>
      <c r="G77" s="77"/>
      <c r="H77" s="61"/>
      <c r="I77" s="61"/>
      <c r="J77" s="61"/>
      <c r="K77" s="75"/>
      <c r="L77" s="61"/>
    </row>
    <row r="78" ht="13.5" customHeight="1">
      <c r="A78" s="242"/>
      <c r="B78" s="242"/>
      <c r="C78" s="242"/>
      <c r="D78" s="69"/>
      <c r="E78" s="243"/>
      <c r="F78" s="69"/>
      <c r="G78" s="77"/>
      <c r="H78" s="61"/>
      <c r="I78" s="61"/>
      <c r="J78" s="61"/>
      <c r="K78" s="75"/>
      <c r="L78" s="61"/>
    </row>
    <row r="79" ht="13.5" customHeight="1">
      <c r="A79" s="242"/>
      <c r="B79" s="242"/>
      <c r="C79" s="242"/>
      <c r="D79" s="69"/>
      <c r="E79" s="243"/>
      <c r="F79" s="69"/>
      <c r="G79" s="77"/>
      <c r="H79" s="61"/>
      <c r="I79" s="61"/>
      <c r="J79" s="61"/>
      <c r="K79" s="75"/>
      <c r="L79" s="61"/>
    </row>
    <row r="80" ht="13.5" customHeight="1">
      <c r="A80" s="242"/>
      <c r="B80" s="242"/>
      <c r="C80" s="242"/>
      <c r="D80" s="69"/>
      <c r="E80" s="243"/>
      <c r="F80" s="69"/>
      <c r="G80" s="77"/>
      <c r="H80" s="61"/>
      <c r="I80" s="61"/>
      <c r="J80" s="61"/>
      <c r="K80" s="75"/>
      <c r="L80" s="61"/>
    </row>
    <row r="81" ht="13.5" customHeight="1">
      <c r="A81" s="242"/>
      <c r="B81" s="242"/>
      <c r="C81" s="242"/>
      <c r="D81" s="69"/>
      <c r="E81" s="243"/>
      <c r="F81" s="69"/>
      <c r="G81" s="77"/>
      <c r="H81" s="61"/>
      <c r="I81" s="61"/>
      <c r="J81" s="61"/>
      <c r="K81" s="75"/>
      <c r="L81" s="61"/>
    </row>
    <row r="82" ht="13.5" customHeight="1">
      <c r="A82" s="242"/>
      <c r="B82" s="242"/>
      <c r="C82" s="242"/>
      <c r="D82" s="69"/>
      <c r="E82" s="243"/>
      <c r="F82" s="69"/>
      <c r="G82" s="77"/>
      <c r="H82" s="61"/>
      <c r="I82" s="61"/>
      <c r="J82" s="61"/>
      <c r="K82" s="75"/>
      <c r="L82" s="61"/>
    </row>
    <row r="83" ht="13.5" customHeight="1">
      <c r="A83" s="242"/>
      <c r="B83" s="242"/>
      <c r="C83" s="242"/>
      <c r="D83" s="69"/>
      <c r="E83" s="243"/>
      <c r="F83" s="69"/>
      <c r="G83" s="77"/>
      <c r="H83" s="61"/>
      <c r="I83" s="61"/>
      <c r="J83" s="61"/>
      <c r="K83" s="75"/>
      <c r="L83" s="61"/>
    </row>
    <row r="84" ht="13.5" customHeight="1">
      <c r="A84" s="242"/>
      <c r="B84" s="242"/>
      <c r="C84" s="242"/>
      <c r="D84" s="69"/>
      <c r="E84" s="243"/>
      <c r="F84" s="69"/>
      <c r="G84" s="77"/>
      <c r="H84" s="61"/>
      <c r="I84" s="61"/>
      <c r="J84" s="61"/>
      <c r="K84" s="75"/>
      <c r="L84" s="61"/>
    </row>
    <row r="85" ht="13.5" customHeight="1">
      <c r="A85" s="69"/>
      <c r="B85" s="69"/>
      <c r="C85" s="69"/>
      <c r="D85" s="69"/>
      <c r="E85" s="243"/>
      <c r="F85" s="69"/>
      <c r="G85" s="77"/>
      <c r="H85" s="61"/>
      <c r="I85" s="61"/>
      <c r="J85" s="61"/>
      <c r="K85" s="75"/>
      <c r="L85" s="61"/>
    </row>
    <row r="86" ht="13.5" customHeight="1">
      <c r="A86" s="69"/>
      <c r="B86" s="69"/>
      <c r="C86" s="69"/>
      <c r="D86" s="69"/>
      <c r="E86" s="243"/>
      <c r="F86" s="69"/>
      <c r="G86" s="77"/>
      <c r="H86" s="61"/>
      <c r="I86" s="61"/>
      <c r="J86" s="61"/>
      <c r="K86" s="75"/>
      <c r="L86" s="61"/>
    </row>
    <row r="87" ht="13.5" customHeight="1">
      <c r="A87" s="69"/>
      <c r="B87" s="69"/>
      <c r="C87" s="69"/>
      <c r="D87" s="69"/>
      <c r="E87" s="243"/>
      <c r="F87" s="69"/>
      <c r="G87" s="77"/>
      <c r="H87" s="61"/>
      <c r="I87" s="61"/>
      <c r="J87" s="61"/>
      <c r="K87" s="75"/>
      <c r="L87" s="61"/>
    </row>
    <row r="88" ht="13.5" customHeight="1">
      <c r="A88" s="69"/>
      <c r="B88" s="69"/>
      <c r="C88" s="69"/>
      <c r="D88" s="69"/>
      <c r="E88" s="243"/>
      <c r="F88" s="69"/>
      <c r="G88" s="77"/>
      <c r="H88" s="61"/>
      <c r="I88" s="61"/>
      <c r="J88" s="61"/>
      <c r="K88" s="75"/>
      <c r="L88" s="61"/>
    </row>
    <row r="89" ht="13.5" customHeight="1">
      <c r="A89" s="69"/>
      <c r="B89" s="69"/>
      <c r="C89" s="69"/>
      <c r="D89" s="69"/>
      <c r="E89" s="243"/>
      <c r="F89" s="69"/>
      <c r="G89" s="77"/>
      <c r="H89" s="61"/>
      <c r="I89" s="61"/>
      <c r="J89" s="61"/>
      <c r="K89" s="75"/>
      <c r="L89" s="61"/>
    </row>
    <row r="90" ht="13.5" customHeight="1">
      <c r="A90" s="69"/>
      <c r="B90" s="69"/>
      <c r="C90" s="69"/>
      <c r="D90" s="69"/>
      <c r="E90" s="243"/>
      <c r="F90" s="69"/>
      <c r="G90" s="77"/>
      <c r="H90" s="61"/>
      <c r="I90" s="61"/>
      <c r="J90" s="61"/>
      <c r="K90" s="75"/>
      <c r="L90" s="61"/>
    </row>
    <row r="91" ht="13.5" customHeight="1">
      <c r="A91" s="69"/>
      <c r="B91" s="69"/>
      <c r="C91" s="69"/>
      <c r="D91" s="69"/>
      <c r="E91" s="243"/>
      <c r="F91" s="69"/>
      <c r="G91" s="77"/>
      <c r="H91" s="61"/>
      <c r="I91" s="61"/>
      <c r="J91" s="61"/>
      <c r="K91" s="75"/>
      <c r="L91" s="61"/>
    </row>
    <row r="92" ht="13.5" customHeight="1">
      <c r="A92" s="69"/>
      <c r="B92" s="69"/>
      <c r="C92" s="69"/>
      <c r="D92" s="69"/>
      <c r="E92" s="243"/>
      <c r="F92" s="69"/>
      <c r="G92" s="77"/>
      <c r="H92" s="61"/>
      <c r="I92" s="61"/>
      <c r="J92" s="61"/>
      <c r="K92" s="75"/>
      <c r="L92" s="61"/>
    </row>
    <row r="93" ht="13.5" customHeight="1">
      <c r="A93" s="244"/>
      <c r="B93" s="244"/>
      <c r="C93" s="244"/>
      <c r="D93" s="69"/>
      <c r="E93" s="243"/>
      <c r="F93" s="69"/>
      <c r="G93" s="77"/>
      <c r="H93" s="61"/>
      <c r="I93" s="61"/>
      <c r="J93" s="61"/>
      <c r="K93" s="75"/>
      <c r="L93" s="61"/>
    </row>
    <row r="94" ht="13.5" customHeight="1">
      <c r="A94" s="69"/>
      <c r="B94" s="69"/>
      <c r="C94" s="69"/>
      <c r="D94" s="69"/>
      <c r="E94" s="243"/>
      <c r="F94" s="69"/>
      <c r="G94" s="77"/>
      <c r="H94" s="61"/>
      <c r="I94" s="61"/>
      <c r="J94" s="61"/>
      <c r="K94" s="75"/>
      <c r="L94" s="61"/>
    </row>
    <row r="95" ht="13.5" customHeight="1">
      <c r="A95" s="69"/>
      <c r="B95" s="69"/>
      <c r="C95" s="69"/>
      <c r="D95" s="69"/>
      <c r="E95" s="243"/>
      <c r="F95" s="69"/>
      <c r="G95" s="77"/>
      <c r="H95" s="61"/>
      <c r="I95" s="61"/>
      <c r="J95" s="61"/>
      <c r="K95" s="75"/>
      <c r="L95" s="61"/>
    </row>
    <row r="96" ht="13.5" customHeight="1">
      <c r="A96" s="69"/>
      <c r="B96" s="69"/>
      <c r="C96" s="69"/>
      <c r="D96" s="69"/>
      <c r="E96" s="243"/>
      <c r="F96" s="69"/>
      <c r="G96" s="77"/>
      <c r="H96" s="61"/>
      <c r="I96" s="61"/>
      <c r="J96" s="61"/>
      <c r="K96" s="75"/>
      <c r="L96" s="61"/>
    </row>
    <row r="97" ht="13.5" customHeight="1">
      <c r="A97" s="69"/>
      <c r="B97" s="69"/>
      <c r="C97" s="69"/>
      <c r="D97" s="69"/>
      <c r="E97" s="243"/>
      <c r="F97" s="69"/>
      <c r="G97" s="77"/>
      <c r="H97" s="61"/>
      <c r="I97" s="61"/>
      <c r="J97" s="61"/>
      <c r="K97" s="75"/>
      <c r="L97" s="61"/>
    </row>
    <row r="98" ht="13.5" customHeight="1">
      <c r="A98" s="69"/>
      <c r="B98" s="69"/>
      <c r="C98" s="69"/>
      <c r="D98" s="69"/>
      <c r="E98" s="243"/>
      <c r="F98" s="69"/>
      <c r="G98" s="77"/>
      <c r="H98" s="61"/>
      <c r="I98" s="61"/>
      <c r="J98" s="61"/>
      <c r="K98" s="75"/>
      <c r="L98" s="61"/>
    </row>
    <row r="99" ht="13.5" customHeight="1">
      <c r="A99" s="69"/>
      <c r="B99" s="69"/>
      <c r="C99" s="69"/>
      <c r="D99" s="69"/>
      <c r="E99" s="243"/>
      <c r="F99" s="69"/>
      <c r="G99" s="77"/>
      <c r="H99" s="61"/>
      <c r="I99" s="61"/>
      <c r="J99" s="61"/>
      <c r="K99" s="75"/>
      <c r="L99" s="61"/>
    </row>
    <row r="100" ht="13.5" customHeight="1">
      <c r="A100" s="69"/>
      <c r="B100" s="69"/>
      <c r="C100" s="69"/>
      <c r="D100" s="69"/>
      <c r="E100" s="243"/>
      <c r="F100" s="69"/>
      <c r="G100" s="77"/>
      <c r="H100" s="61"/>
      <c r="I100" s="61"/>
      <c r="J100" s="61"/>
      <c r="K100" s="75"/>
      <c r="L100" s="61"/>
    </row>
    <row r="101" ht="13.5" customHeight="1">
      <c r="A101" s="245"/>
      <c r="B101" s="245"/>
      <c r="C101" s="245"/>
      <c r="D101" s="69"/>
      <c r="E101" s="243"/>
      <c r="F101" s="69"/>
      <c r="G101" s="77"/>
      <c r="H101" s="61"/>
      <c r="I101" s="61"/>
      <c r="J101" s="61"/>
      <c r="K101" s="75"/>
      <c r="L101" s="61"/>
    </row>
    <row r="102" ht="13.5" customHeight="1">
      <c r="A102" s="245"/>
      <c r="B102" s="245"/>
      <c r="C102" s="245"/>
      <c r="D102" s="69"/>
      <c r="E102" s="243"/>
      <c r="F102" s="69"/>
      <c r="G102" s="77"/>
      <c r="H102" s="61"/>
      <c r="I102" s="61"/>
      <c r="J102" s="61"/>
      <c r="K102" s="75"/>
      <c r="L102" s="61"/>
    </row>
    <row r="103" ht="13.5" customHeight="1">
      <c r="A103" s="246"/>
      <c r="B103" s="246"/>
      <c r="C103" s="246"/>
      <c r="D103" s="69"/>
      <c r="E103" s="243"/>
      <c r="F103" s="69"/>
      <c r="G103" s="77"/>
      <c r="H103" s="61"/>
      <c r="I103" s="61"/>
      <c r="J103" s="61"/>
      <c r="K103" s="75"/>
      <c r="L103" s="61"/>
    </row>
    <row r="104" ht="13.5" customHeight="1">
      <c r="A104" s="246"/>
      <c r="B104" s="246"/>
      <c r="C104" s="246"/>
      <c r="D104" s="69"/>
      <c r="E104" s="243"/>
      <c r="F104" s="69"/>
      <c r="G104" s="77"/>
      <c r="H104" s="61"/>
      <c r="I104" s="61"/>
      <c r="J104" s="61"/>
      <c r="K104" s="75"/>
      <c r="L104" s="61"/>
    </row>
    <row r="105" ht="13.5" customHeight="1">
      <c r="A105" s="247"/>
      <c r="B105" s="247"/>
      <c r="C105" s="247"/>
      <c r="D105" s="69"/>
      <c r="E105" s="243"/>
      <c r="F105" s="69"/>
      <c r="G105" s="77"/>
      <c r="H105" s="61"/>
      <c r="I105" s="61"/>
      <c r="J105" s="61"/>
      <c r="K105" s="75"/>
      <c r="L105" s="61"/>
    </row>
    <row r="106" ht="13.5" customHeight="1">
      <c r="A106" s="248"/>
      <c r="B106" s="248"/>
      <c r="C106" s="248"/>
      <c r="D106" s="69"/>
      <c r="E106" s="243"/>
      <c r="F106" s="69"/>
      <c r="G106" s="77"/>
      <c r="H106" s="61"/>
      <c r="I106" s="61"/>
      <c r="J106" s="61"/>
      <c r="K106" s="75"/>
      <c r="L106" s="61"/>
    </row>
    <row r="107" ht="13.5" customHeight="1">
      <c r="A107" s="248"/>
      <c r="B107" s="248"/>
      <c r="C107" s="248"/>
      <c r="D107" s="69"/>
      <c r="E107" s="243"/>
      <c r="F107" s="69"/>
      <c r="G107" s="77"/>
      <c r="H107" s="61"/>
      <c r="I107" s="61"/>
      <c r="J107" s="61"/>
      <c r="K107" s="75"/>
      <c r="L107" s="61"/>
    </row>
    <row r="108" ht="13.5" customHeight="1">
      <c r="A108" s="248"/>
      <c r="B108" s="248"/>
      <c r="C108" s="248"/>
      <c r="D108" s="69"/>
      <c r="E108" s="243"/>
      <c r="F108" s="69"/>
      <c r="G108" s="77"/>
      <c r="H108" s="61"/>
      <c r="I108" s="61"/>
      <c r="J108" s="61"/>
      <c r="K108" s="75"/>
      <c r="L108" s="61"/>
    </row>
    <row r="109" ht="13.5" customHeight="1">
      <c r="A109" s="248"/>
      <c r="B109" s="248"/>
      <c r="C109" s="248"/>
      <c r="D109" s="69"/>
      <c r="E109" s="243"/>
      <c r="F109" s="69"/>
      <c r="G109" s="77"/>
      <c r="H109" s="61"/>
      <c r="I109" s="61"/>
      <c r="J109" s="61"/>
      <c r="K109" s="75"/>
      <c r="L109" s="61"/>
    </row>
    <row r="110" ht="13.5" customHeight="1">
      <c r="A110" s="248"/>
      <c r="B110" s="248"/>
      <c r="C110" s="248"/>
      <c r="D110" s="69"/>
      <c r="E110" s="243"/>
      <c r="F110" s="69"/>
      <c r="G110" s="77"/>
      <c r="H110" s="61"/>
      <c r="I110" s="61"/>
      <c r="J110" s="61"/>
      <c r="K110" s="75"/>
      <c r="L110" s="61"/>
    </row>
    <row r="111" ht="13.5" customHeight="1">
      <c r="A111" s="248"/>
      <c r="B111" s="248"/>
      <c r="C111" s="248"/>
      <c r="D111" s="69"/>
      <c r="E111" s="243"/>
      <c r="F111" s="69"/>
      <c r="G111" s="77"/>
      <c r="H111" s="61"/>
      <c r="I111" s="61"/>
      <c r="J111" s="61"/>
      <c r="K111" s="75"/>
      <c r="L111" s="61"/>
    </row>
    <row r="112" ht="13.5" customHeight="1">
      <c r="A112" s="248"/>
      <c r="B112" s="248"/>
      <c r="C112" s="248"/>
      <c r="D112" s="69"/>
      <c r="E112" s="243"/>
      <c r="F112" s="69"/>
      <c r="G112" s="77"/>
      <c r="H112" s="61"/>
      <c r="I112" s="61"/>
      <c r="J112" s="61"/>
      <c r="K112" s="75"/>
      <c r="L112" s="61"/>
    </row>
    <row r="113" ht="13.5" customHeight="1">
      <c r="A113" s="248"/>
      <c r="B113" s="248"/>
      <c r="C113" s="248"/>
      <c r="D113" s="69"/>
      <c r="E113" s="243"/>
      <c r="F113" s="69"/>
      <c r="G113" s="77"/>
      <c r="H113" s="61"/>
      <c r="I113" s="61"/>
      <c r="J113" s="61"/>
      <c r="K113" s="75"/>
      <c r="L113" s="61"/>
    </row>
    <row r="114" ht="13.5" customHeight="1">
      <c r="A114" s="248"/>
      <c r="B114" s="248"/>
      <c r="C114" s="248"/>
      <c r="D114" s="69"/>
      <c r="E114" s="243"/>
      <c r="F114" s="69"/>
      <c r="G114" s="77"/>
      <c r="H114" s="61"/>
      <c r="I114" s="61"/>
      <c r="J114" s="61"/>
      <c r="K114" s="75"/>
      <c r="L114" s="61"/>
    </row>
    <row r="115" ht="13.5" customHeight="1">
      <c r="A115" s="245"/>
      <c r="B115" s="245"/>
      <c r="C115" s="245"/>
      <c r="D115" s="69"/>
      <c r="E115" s="243"/>
      <c r="F115" s="69"/>
      <c r="G115" s="77"/>
      <c r="H115" s="61"/>
      <c r="I115" s="61"/>
      <c r="J115" s="61"/>
      <c r="K115" s="75"/>
      <c r="L115" s="61"/>
    </row>
    <row r="116" ht="13.5" customHeight="1">
      <c r="A116" s="69"/>
      <c r="B116" s="69"/>
      <c r="C116" s="69"/>
      <c r="D116" s="69"/>
      <c r="E116" s="243"/>
      <c r="F116" s="69"/>
      <c r="G116" s="77"/>
      <c r="H116" s="61"/>
      <c r="I116" s="61"/>
      <c r="J116" s="61"/>
      <c r="K116" s="75"/>
      <c r="L116" s="61"/>
    </row>
    <row r="117" ht="13.5" customHeight="1">
      <c r="A117" s="69"/>
      <c r="B117" s="69"/>
      <c r="C117" s="69"/>
      <c r="D117" s="69"/>
      <c r="E117" s="243"/>
      <c r="F117" s="69"/>
      <c r="G117" s="77"/>
      <c r="H117" s="61"/>
      <c r="I117" s="61"/>
      <c r="J117" s="61"/>
      <c r="K117" s="75"/>
      <c r="L117" s="61"/>
    </row>
    <row r="118" ht="13.5" customHeight="1">
      <c r="A118" s="69"/>
      <c r="B118" s="69"/>
      <c r="C118" s="69"/>
      <c r="D118" s="69"/>
      <c r="E118" s="243"/>
      <c r="F118" s="69"/>
      <c r="G118" s="77"/>
      <c r="H118" s="61"/>
      <c r="I118" s="61"/>
      <c r="J118" s="61"/>
      <c r="K118" s="75"/>
      <c r="L118" s="61"/>
    </row>
    <row r="119" ht="13.5" customHeight="1">
      <c r="A119" s="69"/>
      <c r="B119" s="69"/>
      <c r="C119" s="69"/>
      <c r="D119" s="69"/>
      <c r="E119" s="243"/>
      <c r="F119" s="69"/>
      <c r="G119" s="77"/>
      <c r="H119" s="61"/>
      <c r="I119" s="61"/>
      <c r="J119" s="61"/>
      <c r="K119" s="75"/>
      <c r="L119" s="61"/>
    </row>
    <row r="120" ht="13.5" customHeight="1">
      <c r="A120" s="69"/>
      <c r="B120" s="69"/>
      <c r="C120" s="69"/>
      <c r="D120" s="69"/>
      <c r="E120" s="243"/>
      <c r="F120" s="69"/>
      <c r="G120" s="77"/>
      <c r="H120" s="61"/>
      <c r="I120" s="61"/>
      <c r="J120" s="61"/>
      <c r="K120" s="75"/>
      <c r="L120" s="61"/>
    </row>
    <row r="121" ht="13.5" customHeight="1">
      <c r="A121" s="69"/>
      <c r="B121" s="69"/>
      <c r="C121" s="69"/>
      <c r="D121" s="69"/>
      <c r="E121" s="243"/>
      <c r="F121" s="69"/>
      <c r="G121" s="77"/>
      <c r="H121" s="61"/>
      <c r="I121" s="61"/>
      <c r="J121" s="61"/>
      <c r="K121" s="75"/>
      <c r="L121" s="61"/>
    </row>
    <row r="122" ht="13.5" customHeight="1">
      <c r="A122" s="69"/>
      <c r="B122" s="69"/>
      <c r="C122" s="69"/>
      <c r="D122" s="69"/>
      <c r="E122" s="243"/>
      <c r="F122" s="69"/>
      <c r="G122" s="77"/>
      <c r="H122" s="61"/>
      <c r="I122" s="61"/>
      <c r="J122" s="61"/>
      <c r="K122" s="75"/>
      <c r="L122" s="61"/>
    </row>
    <row r="123" ht="13.5" customHeight="1">
      <c r="A123" s="69"/>
      <c r="B123" s="69"/>
      <c r="C123" s="69"/>
      <c r="D123" s="69"/>
      <c r="E123" s="243"/>
      <c r="F123" s="69"/>
      <c r="G123" s="77"/>
      <c r="H123" s="61"/>
      <c r="I123" s="61"/>
      <c r="J123" s="61"/>
      <c r="K123" s="75"/>
      <c r="L123" s="61"/>
    </row>
    <row r="124" ht="13.5" customHeight="1">
      <c r="A124" s="69"/>
      <c r="B124" s="69"/>
      <c r="C124" s="69"/>
      <c r="D124" s="69"/>
      <c r="E124" s="243"/>
      <c r="F124" s="69"/>
      <c r="G124" s="77"/>
      <c r="H124" s="61"/>
      <c r="I124" s="61"/>
      <c r="J124" s="61"/>
      <c r="K124" s="75"/>
      <c r="L124" s="61"/>
    </row>
    <row r="125" ht="13.5" customHeight="1">
      <c r="A125" s="69"/>
      <c r="B125" s="69"/>
      <c r="C125" s="69"/>
      <c r="D125" s="69"/>
      <c r="E125" s="243"/>
      <c r="F125" s="69"/>
      <c r="G125" s="77"/>
      <c r="H125" s="61"/>
      <c r="I125" s="61"/>
      <c r="J125" s="61"/>
      <c r="K125" s="75"/>
      <c r="L125" s="61"/>
    </row>
    <row r="126" ht="13.5" customHeight="1">
      <c r="A126" s="69"/>
      <c r="B126" s="69"/>
      <c r="C126" s="69"/>
      <c r="D126" s="69"/>
      <c r="E126" s="243"/>
      <c r="F126" s="69"/>
      <c r="G126" s="77"/>
      <c r="H126" s="61"/>
      <c r="I126" s="61"/>
      <c r="J126" s="61"/>
      <c r="K126" s="75"/>
      <c r="L126" s="61"/>
    </row>
    <row r="127" ht="13.5" customHeight="1">
      <c r="A127" s="69"/>
      <c r="B127" s="69"/>
      <c r="C127" s="69"/>
      <c r="D127" s="69"/>
      <c r="E127" s="243"/>
      <c r="F127" s="69"/>
      <c r="G127" s="77"/>
      <c r="H127" s="61"/>
      <c r="I127" s="61"/>
      <c r="J127" s="61"/>
      <c r="K127" s="75"/>
      <c r="L127" s="61"/>
    </row>
    <row r="128" ht="13.5" customHeight="1">
      <c r="A128" s="69"/>
      <c r="B128" s="69"/>
      <c r="C128" s="69"/>
      <c r="D128" s="69"/>
      <c r="E128" s="243"/>
      <c r="F128" s="69"/>
      <c r="G128" s="77"/>
      <c r="H128" s="61"/>
      <c r="I128" s="61"/>
      <c r="J128" s="61"/>
      <c r="K128" s="75"/>
      <c r="L128" s="61"/>
    </row>
    <row r="129" ht="13.5" customHeight="1">
      <c r="A129" s="69"/>
      <c r="B129" s="69"/>
      <c r="C129" s="69"/>
      <c r="D129" s="69"/>
      <c r="E129" s="243"/>
      <c r="F129" s="69"/>
      <c r="G129" s="77"/>
      <c r="H129" s="61"/>
      <c r="I129" s="61"/>
      <c r="J129" s="61"/>
      <c r="K129" s="75"/>
      <c r="L129" s="61"/>
    </row>
    <row r="130" ht="13.5" customHeight="1">
      <c r="A130" s="69"/>
      <c r="B130" s="69"/>
      <c r="C130" s="69"/>
      <c r="D130" s="69"/>
      <c r="E130" s="243"/>
      <c r="F130" s="69"/>
      <c r="G130" s="77"/>
      <c r="H130" s="61"/>
      <c r="I130" s="61"/>
      <c r="J130" s="61"/>
      <c r="K130" s="75"/>
      <c r="L130" s="61"/>
    </row>
    <row r="131" ht="13.5" customHeight="1">
      <c r="A131" s="69"/>
      <c r="B131" s="69"/>
      <c r="C131" s="69"/>
      <c r="D131" s="69"/>
      <c r="E131" s="243"/>
      <c r="F131" s="69"/>
      <c r="G131" s="77"/>
      <c r="H131" s="61"/>
      <c r="I131" s="61"/>
      <c r="J131" s="61"/>
      <c r="K131" s="75"/>
      <c r="L131" s="61"/>
    </row>
    <row r="132" ht="13.5" customHeight="1">
      <c r="A132" s="69"/>
      <c r="B132" s="69"/>
      <c r="C132" s="69"/>
      <c r="D132" s="69"/>
      <c r="E132" s="243"/>
      <c r="F132" s="69"/>
      <c r="G132" s="77"/>
      <c r="H132" s="61"/>
      <c r="I132" s="61"/>
      <c r="J132" s="61"/>
      <c r="K132" s="75"/>
      <c r="L132" s="61"/>
    </row>
    <row r="133" ht="13.5" customHeight="1">
      <c r="A133" s="69"/>
      <c r="B133" s="69"/>
      <c r="C133" s="69"/>
      <c r="D133" s="69"/>
      <c r="E133" s="243"/>
      <c r="F133" s="69"/>
      <c r="G133" s="77"/>
      <c r="H133" s="61"/>
      <c r="I133" s="61"/>
      <c r="J133" s="61"/>
      <c r="K133" s="75"/>
      <c r="L133" s="61"/>
    </row>
    <row r="134" ht="13.5" customHeight="1">
      <c r="A134" s="69"/>
      <c r="B134" s="69"/>
      <c r="C134" s="69"/>
      <c r="D134" s="69"/>
      <c r="E134" s="243"/>
      <c r="F134" s="69"/>
      <c r="G134" s="77"/>
      <c r="H134" s="61"/>
      <c r="I134" s="61"/>
      <c r="J134" s="61"/>
      <c r="K134" s="75"/>
      <c r="L134" s="61"/>
    </row>
    <row r="135" ht="13.5" customHeight="1">
      <c r="A135" s="69"/>
      <c r="B135" s="69"/>
      <c r="C135" s="69"/>
      <c r="D135" s="69"/>
      <c r="E135" s="243"/>
      <c r="F135" s="69"/>
      <c r="G135" s="77"/>
      <c r="H135" s="61"/>
      <c r="I135" s="61"/>
      <c r="J135" s="61"/>
      <c r="K135" s="75"/>
      <c r="L135" s="61"/>
    </row>
    <row r="136" ht="13.5" customHeight="1">
      <c r="A136" s="69"/>
      <c r="B136" s="69"/>
      <c r="C136" s="69"/>
      <c r="D136" s="69"/>
      <c r="E136" s="243"/>
      <c r="F136" s="69"/>
      <c r="G136" s="77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9"/>
      <c r="E137" s="243"/>
      <c r="F137" s="69"/>
      <c r="G137" s="77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9"/>
      <c r="E138" s="243"/>
      <c r="F138" s="69"/>
      <c r="G138" s="77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9"/>
      <c r="E139" s="243"/>
      <c r="F139" s="69"/>
      <c r="G139" s="77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9"/>
      <c r="E140" s="243"/>
      <c r="F140" s="69"/>
      <c r="G140" s="77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9"/>
      <c r="E141" s="243"/>
      <c r="F141" s="69"/>
      <c r="G141" s="77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9"/>
      <c r="E142" s="243"/>
      <c r="F142" s="69"/>
      <c r="G142" s="77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9"/>
      <c r="E143" s="243"/>
      <c r="F143" s="69"/>
      <c r="G143" s="77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9"/>
      <c r="E144" s="243"/>
      <c r="F144" s="69"/>
      <c r="G144" s="77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9"/>
      <c r="E145" s="243"/>
      <c r="F145" s="69"/>
      <c r="G145" s="77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9"/>
      <c r="E146" s="243"/>
      <c r="F146" s="69"/>
      <c r="G146" s="11"/>
      <c r="H146" s="61"/>
      <c r="K146" s="75"/>
      <c r="L146" s="61"/>
    </row>
    <row r="147" ht="13.5" customHeight="1">
      <c r="A147" s="61"/>
      <c r="B147" s="61"/>
      <c r="C147" s="61"/>
      <c r="D147" s="69"/>
      <c r="E147" s="243"/>
      <c r="F147" s="69"/>
      <c r="G147" s="11"/>
      <c r="H147" s="61"/>
      <c r="K147" s="75"/>
      <c r="L147" s="61"/>
    </row>
    <row r="148" ht="13.5" customHeight="1">
      <c r="A148" s="61"/>
      <c r="B148" s="61"/>
      <c r="C148" s="61"/>
      <c r="D148" s="69"/>
      <c r="E148" s="243"/>
      <c r="F148" s="69"/>
      <c r="G148" s="11"/>
      <c r="H148" s="61"/>
      <c r="K148" s="75"/>
      <c r="L148" s="61"/>
    </row>
    <row r="149" ht="13.5" customHeight="1">
      <c r="A149" s="61"/>
      <c r="B149" s="61"/>
      <c r="C149" s="61"/>
      <c r="D149" s="69"/>
      <c r="E149" s="243"/>
      <c r="F149" s="69"/>
      <c r="G149" s="11"/>
      <c r="H149" s="61"/>
      <c r="K149" s="75"/>
      <c r="L149" s="61"/>
    </row>
    <row r="150" ht="13.5" customHeight="1">
      <c r="A150" s="61"/>
      <c r="B150" s="61"/>
      <c r="C150" s="61"/>
      <c r="D150" s="69"/>
      <c r="E150" s="243"/>
      <c r="F150" s="69"/>
      <c r="G150" s="11"/>
      <c r="H150" s="61"/>
      <c r="K150" s="75"/>
      <c r="L150" s="61"/>
    </row>
    <row r="151" ht="13.5" customHeight="1">
      <c r="D151" s="12"/>
      <c r="E151" s="249"/>
      <c r="F151" s="12"/>
      <c r="G151" s="11"/>
      <c r="K151" s="51"/>
    </row>
    <row r="152" ht="13.5" customHeight="1">
      <c r="D152" s="12"/>
      <c r="E152" s="249"/>
      <c r="F152" s="12"/>
      <c r="G152" s="11"/>
      <c r="K152" s="51"/>
    </row>
    <row r="153" ht="13.5" customHeight="1">
      <c r="D153" s="12"/>
      <c r="E153" s="249"/>
      <c r="F153" s="12"/>
      <c r="G153" s="11"/>
      <c r="K153" s="51"/>
    </row>
    <row r="154" ht="13.5" customHeight="1">
      <c r="D154" s="12"/>
      <c r="E154" s="249"/>
      <c r="F154" s="12"/>
      <c r="G154" s="11"/>
      <c r="K154" s="51"/>
    </row>
    <row r="155" ht="13.5" customHeight="1">
      <c r="D155" s="12"/>
      <c r="E155" s="249"/>
      <c r="F155" s="12"/>
      <c r="G155" s="11"/>
      <c r="K155" s="51"/>
    </row>
    <row r="156" ht="13.5" customHeight="1">
      <c r="D156" s="12"/>
      <c r="E156" s="249"/>
      <c r="F156" s="12"/>
      <c r="G156" s="11"/>
      <c r="K156" s="51"/>
    </row>
    <row r="157" ht="13.5" customHeight="1">
      <c r="D157" s="12"/>
      <c r="E157" s="249"/>
      <c r="F157" s="12"/>
      <c r="G157" s="11"/>
      <c r="K157" s="51"/>
    </row>
    <row r="158" ht="13.5" customHeight="1">
      <c r="D158" s="12"/>
      <c r="E158" s="249"/>
      <c r="F158" s="12"/>
      <c r="G158" s="11"/>
      <c r="K158" s="51"/>
    </row>
    <row r="159" ht="13.5" customHeight="1">
      <c r="D159" s="12"/>
      <c r="E159" s="249"/>
      <c r="F159" s="12"/>
      <c r="G159" s="11"/>
      <c r="K159" s="51"/>
    </row>
    <row r="160" ht="13.5" customHeight="1">
      <c r="D160" s="12"/>
      <c r="E160" s="249"/>
      <c r="F160" s="12"/>
      <c r="G160" s="11"/>
      <c r="K160" s="51"/>
    </row>
    <row r="161" ht="13.5" customHeight="1">
      <c r="D161" s="12"/>
      <c r="E161" s="249"/>
      <c r="F161" s="12"/>
      <c r="G161" s="11"/>
      <c r="K161" s="51"/>
    </row>
    <row r="162" ht="13.5" customHeight="1">
      <c r="D162" s="12"/>
      <c r="E162" s="249"/>
      <c r="F162" s="12"/>
      <c r="G162" s="11"/>
      <c r="K162" s="51"/>
    </row>
    <row r="163" ht="13.5" customHeight="1">
      <c r="D163" s="12"/>
      <c r="E163" s="249"/>
      <c r="F163" s="12"/>
      <c r="G163" s="11"/>
      <c r="K163" s="51"/>
    </row>
    <row r="164" ht="13.5" customHeight="1">
      <c r="D164" s="12"/>
      <c r="E164" s="249"/>
      <c r="F164" s="12"/>
      <c r="G164" s="11"/>
      <c r="K164" s="51"/>
    </row>
    <row r="165" ht="13.5" customHeight="1">
      <c r="D165" s="12"/>
      <c r="E165" s="249"/>
      <c r="F165" s="12"/>
      <c r="G165" s="11"/>
      <c r="K165" s="51"/>
    </row>
    <row r="166" ht="13.5" customHeight="1">
      <c r="D166" s="12"/>
      <c r="E166" s="249"/>
      <c r="F166" s="12"/>
      <c r="G166" s="11"/>
      <c r="K166" s="51"/>
    </row>
    <row r="167" ht="13.5" customHeight="1">
      <c r="D167" s="12"/>
      <c r="E167" s="249"/>
      <c r="F167" s="12"/>
      <c r="G167" s="11"/>
      <c r="K167" s="51"/>
    </row>
    <row r="168" ht="13.5" customHeight="1">
      <c r="D168" s="12"/>
      <c r="E168" s="249"/>
      <c r="F168" s="12"/>
      <c r="G168" s="11"/>
      <c r="K168" s="51"/>
    </row>
    <row r="169" ht="13.5" customHeight="1">
      <c r="D169" s="12"/>
      <c r="E169" s="249"/>
      <c r="F169" s="12"/>
      <c r="G169" s="11"/>
      <c r="K169" s="51"/>
    </row>
    <row r="170" ht="13.5" customHeight="1">
      <c r="D170" s="12"/>
      <c r="E170" s="249"/>
      <c r="F170" s="12"/>
      <c r="G170" s="11"/>
      <c r="K170" s="51"/>
    </row>
    <row r="171" ht="13.5" customHeight="1">
      <c r="D171" s="12"/>
      <c r="E171" s="249"/>
      <c r="F171" s="12"/>
      <c r="G171" s="11"/>
      <c r="K171" s="51"/>
    </row>
    <row r="172" ht="13.5" customHeight="1">
      <c r="D172" s="12"/>
      <c r="E172" s="249"/>
      <c r="F172" s="12"/>
      <c r="G172" s="11"/>
      <c r="K172" s="51"/>
    </row>
    <row r="173" ht="13.5" customHeight="1">
      <c r="D173" s="12"/>
      <c r="E173" s="249"/>
      <c r="F173" s="12"/>
      <c r="G173" s="11"/>
      <c r="K173" s="51"/>
    </row>
    <row r="174" ht="13.5" customHeight="1">
      <c r="D174" s="12"/>
      <c r="E174" s="249"/>
      <c r="F174" s="12"/>
      <c r="G174" s="11"/>
      <c r="K174" s="51"/>
    </row>
    <row r="175" ht="13.5" customHeight="1">
      <c r="D175" s="12"/>
      <c r="E175" s="249"/>
      <c r="F175" s="12"/>
      <c r="G175" s="11"/>
      <c r="K175" s="51"/>
    </row>
    <row r="176" ht="13.5" customHeight="1">
      <c r="D176" s="12"/>
      <c r="E176" s="249"/>
      <c r="F176" s="12"/>
      <c r="G176" s="11"/>
      <c r="K176" s="51"/>
    </row>
    <row r="177" ht="13.5" customHeight="1">
      <c r="D177" s="12"/>
      <c r="E177" s="249"/>
      <c r="F177" s="12"/>
      <c r="G177" s="11"/>
      <c r="K177" s="51"/>
    </row>
    <row r="178" ht="13.5" customHeight="1">
      <c r="D178" s="12"/>
      <c r="E178" s="249"/>
      <c r="F178" s="12"/>
      <c r="G178" s="11"/>
      <c r="K178" s="51"/>
    </row>
    <row r="179" ht="13.5" customHeight="1">
      <c r="D179" s="12"/>
      <c r="E179" s="249"/>
      <c r="F179" s="12"/>
      <c r="G179" s="11"/>
      <c r="K179" s="51"/>
    </row>
    <row r="180" ht="13.5" customHeight="1">
      <c r="D180" s="12"/>
      <c r="E180" s="249"/>
      <c r="F180" s="12"/>
      <c r="G180" s="11"/>
      <c r="K180" s="51"/>
    </row>
    <row r="181" ht="13.5" customHeight="1">
      <c r="D181" s="12"/>
      <c r="E181" s="249"/>
      <c r="F181" s="12"/>
      <c r="G181" s="11"/>
      <c r="K181" s="51"/>
    </row>
    <row r="182" ht="13.5" customHeight="1">
      <c r="D182" s="12"/>
      <c r="E182" s="249"/>
      <c r="F182" s="12"/>
      <c r="G182" s="11"/>
      <c r="K182" s="51"/>
    </row>
    <row r="183" ht="13.5" customHeight="1">
      <c r="D183" s="12"/>
      <c r="E183" s="249"/>
      <c r="F183" s="12"/>
      <c r="G183" s="11"/>
      <c r="K183" s="51"/>
    </row>
    <row r="184" ht="13.5" customHeight="1">
      <c r="D184" s="12"/>
      <c r="E184" s="249"/>
      <c r="F184" s="12"/>
      <c r="G184" s="11"/>
      <c r="K184" s="51"/>
    </row>
    <row r="185" ht="13.5" customHeight="1">
      <c r="D185" s="12"/>
      <c r="E185" s="249"/>
      <c r="F185" s="12"/>
      <c r="G185" s="11"/>
      <c r="K185" s="51"/>
    </row>
    <row r="186" ht="13.5" customHeight="1">
      <c r="D186" s="12"/>
      <c r="E186" s="249"/>
      <c r="F186" s="12"/>
      <c r="G186" s="11"/>
      <c r="K186" s="51"/>
    </row>
    <row r="187" ht="13.5" customHeight="1">
      <c r="D187" s="12"/>
      <c r="E187" s="249"/>
      <c r="F187" s="12"/>
      <c r="G187" s="11"/>
      <c r="K187" s="51"/>
    </row>
    <row r="188" ht="13.5" customHeight="1">
      <c r="D188" s="12"/>
      <c r="E188" s="249"/>
      <c r="F188" s="12"/>
      <c r="G188" s="11"/>
      <c r="K188" s="51"/>
    </row>
    <row r="189" ht="13.5" customHeight="1">
      <c r="D189" s="12"/>
      <c r="E189" s="249"/>
      <c r="F189" s="12"/>
      <c r="G189" s="11"/>
      <c r="K189" s="51"/>
    </row>
    <row r="190" ht="13.5" customHeight="1">
      <c r="D190" s="12"/>
      <c r="E190" s="249"/>
      <c r="F190" s="12"/>
      <c r="G190" s="11"/>
      <c r="K190" s="51"/>
    </row>
    <row r="191" ht="13.5" customHeight="1">
      <c r="D191" s="12"/>
      <c r="E191" s="249"/>
      <c r="F191" s="12"/>
      <c r="G191" s="11"/>
      <c r="K191" s="51"/>
    </row>
    <row r="192" ht="13.5" customHeight="1">
      <c r="D192" s="12"/>
      <c r="E192" s="249"/>
      <c r="F192" s="12"/>
      <c r="G192" s="11"/>
      <c r="K192" s="51"/>
    </row>
    <row r="193" ht="13.5" customHeight="1">
      <c r="D193" s="12"/>
      <c r="E193" s="249"/>
      <c r="F193" s="12"/>
      <c r="G193" s="11"/>
      <c r="K193" s="51"/>
    </row>
    <row r="194" ht="13.5" customHeight="1">
      <c r="D194" s="12"/>
      <c r="E194" s="249"/>
      <c r="F194" s="12"/>
      <c r="G194" s="11"/>
      <c r="K194" s="51"/>
    </row>
    <row r="195" ht="13.5" customHeight="1">
      <c r="D195" s="12"/>
      <c r="E195" s="249"/>
      <c r="F195" s="12"/>
      <c r="G195" s="11"/>
      <c r="K195" s="51"/>
    </row>
    <row r="196" ht="13.5" customHeight="1">
      <c r="D196" s="12"/>
      <c r="E196" s="249"/>
      <c r="F196" s="12"/>
      <c r="G196" s="11"/>
      <c r="K196" s="51"/>
    </row>
    <row r="197" ht="13.5" customHeight="1">
      <c r="D197" s="12"/>
      <c r="E197" s="249"/>
      <c r="F197" s="12"/>
      <c r="G197" s="11"/>
      <c r="K197" s="51"/>
    </row>
    <row r="198" ht="13.5" customHeight="1">
      <c r="D198" s="12"/>
      <c r="E198" s="249"/>
      <c r="F198" s="12"/>
      <c r="G198" s="11"/>
      <c r="K198" s="51"/>
    </row>
    <row r="199" ht="13.5" customHeight="1">
      <c r="D199" s="12"/>
      <c r="E199" s="249"/>
      <c r="F199" s="12"/>
      <c r="G199" s="11"/>
      <c r="K199" s="51"/>
    </row>
    <row r="200" ht="13.5" customHeight="1">
      <c r="D200" s="12"/>
      <c r="E200" s="249"/>
      <c r="F200" s="12"/>
      <c r="G200" s="11"/>
      <c r="K200" s="51"/>
    </row>
    <row r="201" ht="13.5" customHeight="1">
      <c r="D201" s="12"/>
      <c r="E201" s="249"/>
      <c r="F201" s="12"/>
      <c r="G201" s="11"/>
      <c r="K201" s="51"/>
    </row>
    <row r="202" ht="13.5" customHeight="1">
      <c r="D202" s="12"/>
      <c r="E202" s="249"/>
      <c r="F202" s="12"/>
      <c r="G202" s="11"/>
      <c r="K202" s="51"/>
    </row>
    <row r="203" ht="13.5" customHeight="1">
      <c r="D203" s="12"/>
      <c r="E203" s="249"/>
      <c r="F203" s="12"/>
      <c r="G203" s="11"/>
      <c r="K203" s="51"/>
    </row>
    <row r="204" ht="13.5" customHeight="1">
      <c r="D204" s="12"/>
      <c r="E204" s="249"/>
      <c r="F204" s="12"/>
      <c r="G204" s="11"/>
      <c r="K204" s="51"/>
    </row>
    <row r="205" ht="13.5" customHeight="1">
      <c r="D205" s="12"/>
      <c r="E205" s="249"/>
      <c r="F205" s="12"/>
      <c r="G205" s="11"/>
      <c r="K205" s="51"/>
    </row>
    <row r="206" ht="13.5" customHeight="1">
      <c r="D206" s="12"/>
      <c r="E206" s="249"/>
      <c r="F206" s="12"/>
      <c r="G206" s="11"/>
      <c r="K206" s="51"/>
    </row>
    <row r="207" ht="13.5" customHeight="1">
      <c r="D207" s="12"/>
      <c r="E207" s="249"/>
      <c r="F207" s="12"/>
      <c r="G207" s="11"/>
      <c r="K207" s="51"/>
    </row>
    <row r="208" ht="13.5" customHeight="1">
      <c r="D208" s="12"/>
      <c r="E208" s="249"/>
      <c r="F208" s="12"/>
      <c r="G208" s="11"/>
      <c r="K208" s="51"/>
    </row>
    <row r="209" ht="13.5" customHeight="1">
      <c r="D209" s="12"/>
      <c r="E209" s="249"/>
      <c r="F209" s="12"/>
      <c r="G209" s="11"/>
      <c r="K209" s="51"/>
    </row>
    <row r="210" ht="13.5" customHeight="1">
      <c r="D210" s="12"/>
      <c r="E210" s="249"/>
      <c r="F210" s="12"/>
      <c r="G210" s="11"/>
      <c r="K210" s="51"/>
    </row>
    <row r="211" ht="13.5" customHeight="1">
      <c r="D211" s="12"/>
      <c r="E211" s="249"/>
      <c r="F211" s="12"/>
      <c r="G211" s="11"/>
      <c r="K211" s="51"/>
    </row>
    <row r="212" ht="13.5" customHeight="1">
      <c r="D212" s="12"/>
      <c r="E212" s="249"/>
      <c r="F212" s="12"/>
      <c r="G212" s="11"/>
      <c r="K212" s="51"/>
    </row>
    <row r="213" ht="13.5" customHeight="1">
      <c r="D213" s="12"/>
      <c r="E213" s="249"/>
      <c r="F213" s="12"/>
      <c r="G213" s="11"/>
      <c r="K213" s="51"/>
    </row>
    <row r="214" ht="13.5" customHeight="1">
      <c r="D214" s="12"/>
      <c r="E214" s="249"/>
      <c r="F214" s="12"/>
      <c r="G214" s="11"/>
      <c r="K214" s="51"/>
    </row>
    <row r="215" ht="13.5" customHeight="1">
      <c r="D215" s="12"/>
      <c r="E215" s="249"/>
      <c r="F215" s="12"/>
      <c r="G215" s="11"/>
      <c r="K215" s="51"/>
    </row>
    <row r="216" ht="13.5" customHeight="1">
      <c r="D216" s="12"/>
      <c r="E216" s="249"/>
      <c r="F216" s="12"/>
      <c r="G216" s="11"/>
      <c r="K216" s="51"/>
    </row>
    <row r="217" ht="13.5" customHeight="1">
      <c r="D217" s="12"/>
      <c r="E217" s="249"/>
      <c r="F217" s="12"/>
      <c r="G217" s="11"/>
      <c r="K217" s="51"/>
    </row>
    <row r="218" ht="13.5" customHeight="1">
      <c r="D218" s="12"/>
      <c r="E218" s="249"/>
      <c r="F218" s="12"/>
      <c r="G218" s="11"/>
      <c r="K218" s="51"/>
    </row>
    <row r="219" ht="13.5" customHeight="1">
      <c r="D219" s="12"/>
      <c r="E219" s="249"/>
      <c r="F219" s="12"/>
      <c r="G219" s="11"/>
      <c r="K219" s="51"/>
    </row>
    <row r="220" ht="13.5" customHeight="1">
      <c r="D220" s="12"/>
      <c r="E220" s="249"/>
      <c r="F220" s="12"/>
      <c r="G220" s="11"/>
      <c r="K220" s="51"/>
    </row>
    <row r="221" ht="13.5" customHeight="1">
      <c r="D221" s="12"/>
      <c r="E221" s="249"/>
      <c r="F221" s="12"/>
      <c r="G221" s="11"/>
      <c r="K221" s="51"/>
    </row>
    <row r="222" ht="13.5" customHeight="1">
      <c r="D222" s="12"/>
      <c r="E222" s="249"/>
      <c r="F222" s="12"/>
      <c r="G222" s="11"/>
      <c r="K222" s="51"/>
    </row>
    <row r="223" ht="13.5" customHeight="1">
      <c r="D223" s="12"/>
      <c r="E223" s="249"/>
      <c r="F223" s="12"/>
      <c r="G223" s="11"/>
      <c r="K223" s="51"/>
    </row>
    <row r="224" ht="13.5" customHeight="1">
      <c r="D224" s="12"/>
      <c r="E224" s="249"/>
      <c r="F224" s="12"/>
      <c r="G224" s="11"/>
      <c r="K224" s="51"/>
    </row>
    <row r="225" ht="13.5" customHeight="1">
      <c r="D225" s="12"/>
      <c r="E225" s="249"/>
      <c r="F225" s="12"/>
      <c r="G225" s="11"/>
      <c r="K225" s="51"/>
    </row>
    <row r="226" ht="13.5" customHeight="1">
      <c r="D226" s="12"/>
      <c r="E226" s="249"/>
      <c r="F226" s="12"/>
      <c r="G226" s="11"/>
      <c r="K226" s="51"/>
    </row>
    <row r="227" ht="13.5" customHeight="1">
      <c r="D227" s="12"/>
      <c r="E227" s="249"/>
      <c r="F227" s="12"/>
      <c r="G227" s="11"/>
      <c r="K227" s="51"/>
    </row>
    <row r="228" ht="13.5" customHeight="1">
      <c r="D228" s="12"/>
      <c r="E228" s="249"/>
      <c r="F228" s="12"/>
      <c r="G228" s="11"/>
      <c r="K228" s="51"/>
    </row>
    <row r="229" ht="13.5" customHeight="1">
      <c r="D229" s="12"/>
      <c r="E229" s="249"/>
      <c r="F229" s="12"/>
      <c r="G229" s="11"/>
      <c r="K229" s="51"/>
    </row>
    <row r="230" ht="13.5" customHeight="1">
      <c r="D230" s="12"/>
      <c r="E230" s="249"/>
      <c r="F230" s="12"/>
      <c r="G230" s="11"/>
      <c r="K230" s="51"/>
    </row>
    <row r="231" ht="13.5" customHeight="1">
      <c r="D231" s="12"/>
      <c r="E231" s="249"/>
      <c r="F231" s="12"/>
      <c r="G231" s="11"/>
      <c r="K231" s="51"/>
    </row>
    <row r="232" ht="13.5" customHeight="1">
      <c r="D232" s="12"/>
      <c r="E232" s="249"/>
      <c r="F232" s="12"/>
      <c r="G232" s="11"/>
      <c r="K232" s="51"/>
    </row>
    <row r="233" ht="13.5" customHeight="1">
      <c r="D233" s="12"/>
      <c r="E233" s="249"/>
      <c r="F233" s="12"/>
      <c r="G233" s="11"/>
      <c r="K233" s="51"/>
    </row>
    <row r="234" ht="13.5" customHeight="1">
      <c r="D234" s="12"/>
      <c r="E234" s="249"/>
      <c r="F234" s="12"/>
      <c r="G234" s="11"/>
      <c r="K234" s="51"/>
    </row>
    <row r="235" ht="13.5" customHeight="1">
      <c r="D235" s="12"/>
      <c r="E235" s="249"/>
      <c r="F235" s="12"/>
      <c r="G235" s="11"/>
      <c r="K235" s="51"/>
    </row>
    <row r="236" ht="13.5" customHeight="1">
      <c r="D236" s="12"/>
      <c r="E236" s="249"/>
      <c r="F236" s="12"/>
      <c r="G236" s="11"/>
      <c r="K236" s="51"/>
    </row>
    <row r="237" ht="13.5" customHeight="1">
      <c r="D237" s="12"/>
      <c r="E237" s="249"/>
      <c r="F237" s="12"/>
      <c r="G237" s="11"/>
      <c r="K237" s="51"/>
    </row>
    <row r="238" ht="13.5" customHeight="1">
      <c r="D238" s="12"/>
      <c r="E238" s="249"/>
      <c r="F238" s="12"/>
      <c r="G238" s="11"/>
      <c r="K238" s="51"/>
    </row>
    <row r="239" ht="13.5" customHeight="1">
      <c r="D239" s="12"/>
      <c r="E239" s="249"/>
      <c r="F239" s="12"/>
      <c r="G239" s="11"/>
      <c r="K239" s="51"/>
    </row>
    <row r="240" ht="13.5" customHeight="1">
      <c r="D240" s="12"/>
      <c r="E240" s="249"/>
      <c r="F240" s="12"/>
      <c r="G240" s="11"/>
      <c r="K240" s="51"/>
    </row>
    <row r="241" ht="13.5" customHeight="1">
      <c r="D241" s="12"/>
      <c r="E241" s="249"/>
      <c r="F241" s="12"/>
      <c r="G241" s="11"/>
      <c r="K241" s="51"/>
    </row>
    <row r="242" ht="13.5" customHeight="1">
      <c r="D242" s="12"/>
      <c r="E242" s="249"/>
      <c r="F242" s="12"/>
      <c r="G242" s="11"/>
      <c r="K242" s="51"/>
    </row>
    <row r="243" ht="13.5" customHeight="1">
      <c r="D243" s="12"/>
      <c r="E243" s="249"/>
      <c r="F243" s="12"/>
      <c r="G243" s="11"/>
      <c r="K243" s="51"/>
    </row>
    <row r="244" ht="13.5" customHeight="1">
      <c r="D244" s="12"/>
      <c r="E244" s="249"/>
      <c r="F244" s="12"/>
      <c r="G244" s="11"/>
      <c r="K244" s="51"/>
    </row>
    <row r="245" ht="13.5" customHeight="1">
      <c r="D245" s="12"/>
      <c r="E245" s="249"/>
      <c r="F245" s="12"/>
      <c r="G245" s="11"/>
      <c r="K245" s="51"/>
    </row>
    <row r="246" ht="13.5" customHeight="1">
      <c r="D246" s="12"/>
      <c r="E246" s="249"/>
      <c r="F246" s="12"/>
      <c r="G246" s="11"/>
      <c r="K246" s="51"/>
    </row>
    <row r="247" ht="13.5" customHeight="1">
      <c r="D247" s="12"/>
      <c r="E247" s="249"/>
      <c r="F247" s="12"/>
      <c r="G247" s="11"/>
      <c r="K247" s="51"/>
    </row>
    <row r="248" ht="13.5" customHeight="1">
      <c r="D248" s="12"/>
      <c r="E248" s="249"/>
      <c r="F248" s="12"/>
      <c r="G248" s="11"/>
      <c r="K248" s="51"/>
    </row>
    <row r="249" ht="13.5" customHeight="1">
      <c r="D249" s="12"/>
      <c r="E249" s="249"/>
      <c r="F249" s="12"/>
      <c r="G249" s="11"/>
      <c r="K249" s="51"/>
    </row>
    <row r="250" ht="13.5" customHeight="1">
      <c r="D250" s="12"/>
      <c r="E250" s="249"/>
      <c r="F250" s="12"/>
      <c r="G250" s="11"/>
      <c r="K250" s="51"/>
    </row>
    <row r="251" ht="13.5" customHeight="1">
      <c r="D251" s="12"/>
      <c r="E251" s="249"/>
      <c r="F251" s="12"/>
      <c r="G251" s="11"/>
      <c r="K251" s="51"/>
    </row>
    <row r="252" ht="13.5" customHeight="1">
      <c r="D252" s="12"/>
      <c r="E252" s="249"/>
      <c r="F252" s="12"/>
      <c r="G252" s="11"/>
      <c r="K252" s="51"/>
    </row>
    <row r="253" ht="13.5" customHeight="1">
      <c r="D253" s="12"/>
      <c r="E253" s="249"/>
      <c r="F253" s="12"/>
      <c r="G253" s="11"/>
      <c r="K253" s="51"/>
    </row>
    <row r="254" ht="13.5" customHeight="1">
      <c r="D254" s="12"/>
      <c r="E254" s="249"/>
      <c r="F254" s="12"/>
      <c r="G254" s="11"/>
      <c r="K254" s="51"/>
    </row>
    <row r="255" ht="13.5" customHeight="1">
      <c r="D255" s="12"/>
      <c r="E255" s="249"/>
      <c r="F255" s="12"/>
      <c r="G255" s="11"/>
      <c r="K255" s="51"/>
    </row>
    <row r="256" ht="13.5" customHeight="1">
      <c r="D256" s="12"/>
      <c r="E256" s="249"/>
      <c r="F256" s="12"/>
      <c r="G256" s="11"/>
      <c r="K256" s="51"/>
    </row>
    <row r="257" ht="13.5" customHeight="1">
      <c r="D257" s="12"/>
      <c r="E257" s="249"/>
      <c r="F257" s="12"/>
      <c r="G257" s="11"/>
      <c r="K257" s="51"/>
    </row>
    <row r="258" ht="13.5" customHeight="1">
      <c r="D258" s="12"/>
      <c r="E258" s="249"/>
      <c r="F258" s="12"/>
      <c r="G258" s="11"/>
      <c r="K258" s="51"/>
    </row>
    <row r="259" ht="13.5" customHeight="1">
      <c r="D259" s="12"/>
      <c r="E259" s="249"/>
      <c r="F259" s="12"/>
      <c r="G259" s="11"/>
      <c r="K259" s="51"/>
    </row>
    <row r="260" ht="13.5" customHeight="1">
      <c r="D260" s="12"/>
      <c r="E260" s="249"/>
      <c r="F260" s="12"/>
      <c r="G260" s="11"/>
      <c r="K260" s="51"/>
    </row>
    <row r="261" ht="13.5" customHeight="1">
      <c r="D261" s="12"/>
      <c r="E261" s="249"/>
      <c r="F261" s="12"/>
      <c r="G261" s="11"/>
      <c r="K261" s="51"/>
    </row>
    <row r="262" ht="13.5" customHeight="1">
      <c r="D262" s="12"/>
      <c r="E262" s="249"/>
      <c r="F262" s="12"/>
      <c r="G262" s="11"/>
      <c r="K262" s="51"/>
    </row>
    <row r="263" ht="13.5" customHeight="1">
      <c r="D263" s="12"/>
      <c r="E263" s="249"/>
      <c r="F263" s="12"/>
      <c r="G263" s="11"/>
      <c r="K263" s="51"/>
    </row>
    <row r="264" ht="13.5" customHeight="1">
      <c r="D264" s="12"/>
      <c r="E264" s="249"/>
      <c r="F264" s="12"/>
      <c r="G264" s="11"/>
      <c r="K264" s="51"/>
    </row>
    <row r="265" ht="13.5" customHeight="1">
      <c r="D265" s="12"/>
      <c r="E265" s="249"/>
      <c r="F265" s="12"/>
      <c r="G265" s="11"/>
      <c r="K265" s="51"/>
    </row>
    <row r="266" ht="13.5" customHeight="1">
      <c r="D266" s="12"/>
      <c r="E266" s="249"/>
      <c r="F266" s="12"/>
      <c r="G266" s="11"/>
      <c r="K266" s="51"/>
    </row>
    <row r="267" ht="13.5" customHeight="1">
      <c r="D267" s="12"/>
      <c r="E267" s="249"/>
      <c r="F267" s="12"/>
      <c r="G267" s="11"/>
      <c r="K267" s="51"/>
    </row>
    <row r="268" ht="13.5" customHeight="1">
      <c r="D268" s="12"/>
      <c r="E268" s="249"/>
      <c r="F268" s="12"/>
      <c r="G268" s="11"/>
      <c r="K268" s="51"/>
    </row>
    <row r="269" ht="13.5" customHeight="1">
      <c r="D269" s="12"/>
      <c r="E269" s="249"/>
      <c r="F269" s="12"/>
      <c r="G269" s="11"/>
      <c r="K269" s="51"/>
    </row>
    <row r="270" ht="13.5" customHeight="1">
      <c r="D270" s="12"/>
      <c r="E270" s="249"/>
      <c r="F270" s="12"/>
      <c r="G270" s="11"/>
      <c r="K270" s="51"/>
    </row>
    <row r="271" ht="13.5" customHeight="1">
      <c r="D271" s="12"/>
      <c r="E271" s="249"/>
      <c r="F271" s="12"/>
      <c r="G271" s="11"/>
      <c r="K271" s="51"/>
    </row>
    <row r="272" ht="13.5" customHeight="1">
      <c r="D272" s="12"/>
      <c r="E272" s="249"/>
      <c r="F272" s="12"/>
      <c r="G272" s="11"/>
      <c r="K272" s="51"/>
    </row>
    <row r="273" ht="13.5" customHeight="1">
      <c r="D273" s="12"/>
      <c r="E273" s="249"/>
      <c r="F273" s="12"/>
      <c r="G273" s="11"/>
      <c r="K273" s="51"/>
    </row>
    <row r="274" ht="13.5" customHeight="1">
      <c r="D274" s="12"/>
      <c r="E274" s="249"/>
      <c r="F274" s="12"/>
      <c r="G274" s="11"/>
      <c r="K274" s="51"/>
    </row>
    <row r="275" ht="13.5" customHeight="1">
      <c r="D275" s="12"/>
      <c r="E275" s="249"/>
      <c r="F275" s="12"/>
      <c r="G275" s="11"/>
      <c r="K275" s="51"/>
    </row>
    <row r="276" ht="13.5" customHeight="1">
      <c r="D276" s="12"/>
      <c r="E276" s="249"/>
      <c r="F276" s="12"/>
      <c r="G276" s="11"/>
      <c r="K276" s="51"/>
    </row>
    <row r="277" ht="13.5" customHeight="1">
      <c r="D277" s="12"/>
      <c r="E277" s="249"/>
      <c r="F277" s="12"/>
      <c r="G277" s="11"/>
      <c r="K277" s="51"/>
    </row>
    <row r="278" ht="13.5" customHeight="1">
      <c r="D278" s="12"/>
      <c r="E278" s="249"/>
      <c r="F278" s="12"/>
      <c r="G278" s="11"/>
      <c r="K278" s="51"/>
    </row>
    <row r="279" ht="13.5" customHeight="1">
      <c r="D279" s="12"/>
      <c r="E279" s="249"/>
      <c r="F279" s="12"/>
      <c r="G279" s="11"/>
      <c r="K279" s="51"/>
    </row>
    <row r="280" ht="13.5" customHeight="1">
      <c r="D280" s="12"/>
      <c r="E280" s="249"/>
      <c r="F280" s="12"/>
      <c r="G280" s="11"/>
      <c r="K280" s="51"/>
    </row>
    <row r="281" ht="13.5" customHeight="1">
      <c r="D281" s="12"/>
      <c r="E281" s="249"/>
      <c r="F281" s="12"/>
      <c r="G281" s="11"/>
      <c r="K281" s="51"/>
    </row>
    <row r="282" ht="13.5" customHeight="1">
      <c r="D282" s="12"/>
      <c r="E282" s="249"/>
      <c r="F282" s="12"/>
      <c r="G282" s="11"/>
      <c r="K282" s="51"/>
    </row>
    <row r="283" ht="13.5" customHeight="1">
      <c r="D283" s="12"/>
      <c r="E283" s="249"/>
      <c r="F283" s="12"/>
      <c r="G283" s="11"/>
      <c r="K283" s="51"/>
    </row>
    <row r="284" ht="13.5" customHeight="1">
      <c r="D284" s="12"/>
      <c r="E284" s="249"/>
      <c r="F284" s="12"/>
      <c r="G284" s="11"/>
      <c r="K284" s="51"/>
    </row>
    <row r="285" ht="13.5" customHeight="1">
      <c r="D285" s="12"/>
      <c r="E285" s="249"/>
      <c r="F285" s="12"/>
      <c r="G285" s="11"/>
      <c r="K285" s="51"/>
    </row>
    <row r="286" ht="13.5" customHeight="1">
      <c r="D286" s="12"/>
      <c r="E286" s="249"/>
      <c r="F286" s="12"/>
      <c r="G286" s="11"/>
      <c r="K286" s="51"/>
    </row>
    <row r="287" ht="13.5" customHeight="1">
      <c r="D287" s="12"/>
      <c r="E287" s="249"/>
      <c r="F287" s="12"/>
      <c r="G287" s="11"/>
      <c r="K287" s="51"/>
    </row>
    <row r="288" ht="13.5" customHeight="1">
      <c r="D288" s="12"/>
      <c r="E288" s="249"/>
      <c r="F288" s="12"/>
      <c r="G288" s="11"/>
      <c r="K288" s="51"/>
    </row>
    <row r="289" ht="13.5" customHeight="1">
      <c r="D289" s="12"/>
      <c r="E289" s="249"/>
      <c r="F289" s="12"/>
      <c r="G289" s="11"/>
      <c r="K289" s="51"/>
    </row>
    <row r="290" ht="13.5" customHeight="1">
      <c r="D290" s="12"/>
      <c r="E290" s="249"/>
      <c r="F290" s="12"/>
      <c r="G290" s="11"/>
      <c r="K290" s="51"/>
    </row>
    <row r="291" ht="13.5" customHeight="1">
      <c r="D291" s="12"/>
      <c r="E291" s="249"/>
      <c r="F291" s="12"/>
      <c r="G291" s="11"/>
      <c r="K291" s="51"/>
    </row>
    <row r="292" ht="13.5" customHeight="1">
      <c r="D292" s="12"/>
      <c r="E292" s="249"/>
      <c r="F292" s="12"/>
      <c r="G292" s="11"/>
      <c r="K292" s="51"/>
    </row>
    <row r="293" ht="13.5" customHeight="1">
      <c r="D293" s="12"/>
      <c r="E293" s="249"/>
      <c r="F293" s="12"/>
      <c r="G293" s="11"/>
      <c r="K293" s="51"/>
    </row>
    <row r="294" ht="13.5" customHeight="1">
      <c r="D294" s="12"/>
      <c r="E294" s="249"/>
      <c r="F294" s="12"/>
      <c r="G294" s="11"/>
      <c r="K294" s="51"/>
    </row>
    <row r="295" ht="13.5" customHeight="1">
      <c r="D295" s="12"/>
      <c r="E295" s="249"/>
      <c r="F295" s="12"/>
      <c r="G295" s="11"/>
      <c r="K295" s="51"/>
    </row>
    <row r="296" ht="13.5" customHeight="1">
      <c r="D296" s="12"/>
      <c r="E296" s="249"/>
      <c r="F296" s="12"/>
      <c r="G296" s="11"/>
      <c r="K296" s="51"/>
    </row>
    <row r="297" ht="13.5" customHeight="1">
      <c r="D297" s="12"/>
      <c r="E297" s="249"/>
      <c r="F297" s="12"/>
      <c r="G297" s="11"/>
      <c r="K297" s="51"/>
    </row>
    <row r="298" ht="13.5" customHeight="1">
      <c r="D298" s="12"/>
      <c r="E298" s="249"/>
      <c r="F298" s="12"/>
      <c r="G298" s="11"/>
      <c r="K298" s="51"/>
    </row>
    <row r="299" ht="13.5" customHeight="1">
      <c r="D299" s="12"/>
      <c r="E299" s="249"/>
      <c r="F299" s="12"/>
      <c r="G299" s="11"/>
      <c r="K299" s="51"/>
    </row>
    <row r="300" ht="13.5" customHeight="1">
      <c r="D300" s="12"/>
      <c r="E300" s="249"/>
      <c r="F300" s="12"/>
      <c r="G300" s="11"/>
      <c r="K300" s="51"/>
    </row>
    <row r="301" ht="13.5" customHeight="1">
      <c r="D301" s="12"/>
      <c r="E301" s="249"/>
      <c r="F301" s="12"/>
      <c r="G301" s="11"/>
      <c r="K301" s="51"/>
    </row>
    <row r="302" ht="13.5" customHeight="1">
      <c r="D302" s="12"/>
      <c r="E302" s="249"/>
      <c r="F302" s="12"/>
      <c r="G302" s="11"/>
      <c r="K302" s="51"/>
    </row>
    <row r="303" ht="13.5" customHeight="1">
      <c r="D303" s="12"/>
      <c r="E303" s="249"/>
      <c r="F303" s="12"/>
      <c r="G303" s="11"/>
      <c r="K303" s="51"/>
    </row>
    <row r="304" ht="13.5" customHeight="1">
      <c r="D304" s="12"/>
      <c r="E304" s="249"/>
      <c r="F304" s="12"/>
      <c r="G304" s="11"/>
      <c r="K304" s="51"/>
    </row>
    <row r="305" ht="13.5" customHeight="1">
      <c r="D305" s="12"/>
      <c r="E305" s="249"/>
      <c r="F305" s="12"/>
      <c r="G305" s="11"/>
      <c r="K305" s="51"/>
    </row>
    <row r="306" ht="13.5" customHeight="1">
      <c r="D306" s="12"/>
      <c r="E306" s="249"/>
      <c r="F306" s="12"/>
      <c r="G306" s="11"/>
      <c r="K306" s="51"/>
    </row>
    <row r="307" ht="13.5" customHeight="1">
      <c r="D307" s="12"/>
      <c r="E307" s="249"/>
      <c r="F307" s="12"/>
      <c r="G307" s="11"/>
      <c r="K307" s="51"/>
    </row>
    <row r="308" ht="13.5" customHeight="1">
      <c r="D308" s="12"/>
      <c r="E308" s="249"/>
      <c r="F308" s="12"/>
      <c r="G308" s="11"/>
      <c r="K308" s="51"/>
    </row>
    <row r="309" ht="13.5" customHeight="1">
      <c r="D309" s="12"/>
      <c r="E309" s="249"/>
      <c r="F309" s="12"/>
      <c r="G309" s="11"/>
      <c r="K309" s="51"/>
    </row>
    <row r="310" ht="13.5" customHeight="1">
      <c r="D310" s="12"/>
      <c r="E310" s="249"/>
      <c r="F310" s="12"/>
      <c r="G310" s="11"/>
      <c r="K310" s="51"/>
    </row>
    <row r="311" ht="13.5" customHeight="1">
      <c r="D311" s="12"/>
      <c r="E311" s="249"/>
      <c r="F311" s="12"/>
      <c r="G311" s="11"/>
      <c r="K311" s="51"/>
    </row>
    <row r="312" ht="13.5" customHeight="1">
      <c r="D312" s="12"/>
      <c r="E312" s="249"/>
      <c r="F312" s="12"/>
      <c r="G312" s="11"/>
      <c r="K312" s="51"/>
    </row>
    <row r="313" ht="13.5" customHeight="1">
      <c r="D313" s="12"/>
      <c r="E313" s="249"/>
      <c r="F313" s="12"/>
      <c r="G313" s="11"/>
      <c r="K313" s="51"/>
    </row>
    <row r="314" ht="13.5" customHeight="1">
      <c r="D314" s="12"/>
      <c r="E314" s="249"/>
      <c r="F314" s="12"/>
      <c r="G314" s="11"/>
      <c r="K314" s="51"/>
    </row>
    <row r="315" ht="13.5" customHeight="1">
      <c r="D315" s="12"/>
      <c r="E315" s="249"/>
      <c r="F315" s="12"/>
      <c r="G315" s="11"/>
      <c r="K315" s="51"/>
    </row>
    <row r="316" ht="13.5" customHeight="1">
      <c r="D316" s="12"/>
      <c r="E316" s="249"/>
      <c r="F316" s="12"/>
      <c r="G316" s="11"/>
      <c r="K316" s="51"/>
    </row>
    <row r="317" ht="13.5" customHeight="1">
      <c r="D317" s="12"/>
      <c r="E317" s="249"/>
      <c r="F317" s="12"/>
      <c r="G317" s="11"/>
      <c r="K317" s="51"/>
    </row>
    <row r="318" ht="13.5" customHeight="1">
      <c r="D318" s="12"/>
      <c r="E318" s="249"/>
      <c r="F318" s="12"/>
      <c r="G318" s="11"/>
      <c r="K318" s="51"/>
    </row>
    <row r="319" ht="13.5" customHeight="1">
      <c r="D319" s="12"/>
      <c r="E319" s="249"/>
      <c r="F319" s="12"/>
      <c r="G319" s="11"/>
      <c r="K319" s="51"/>
    </row>
    <row r="320" ht="13.5" customHeight="1">
      <c r="D320" s="12"/>
      <c r="E320" s="249"/>
      <c r="F320" s="12"/>
      <c r="G320" s="11"/>
      <c r="K320" s="51"/>
    </row>
    <row r="321" ht="13.5" customHeight="1">
      <c r="D321" s="12"/>
      <c r="E321" s="249"/>
      <c r="F321" s="12"/>
      <c r="G321" s="11"/>
      <c r="K321" s="51"/>
    </row>
    <row r="322" ht="13.5" customHeight="1">
      <c r="D322" s="12"/>
      <c r="E322" s="249"/>
      <c r="F322" s="12"/>
      <c r="G322" s="11"/>
      <c r="K322" s="51"/>
    </row>
    <row r="323" ht="13.5" customHeight="1">
      <c r="D323" s="12"/>
      <c r="E323" s="249"/>
      <c r="F323" s="12"/>
      <c r="G323" s="11"/>
      <c r="K323" s="51"/>
    </row>
    <row r="324" ht="13.5" customHeight="1">
      <c r="D324" s="12"/>
      <c r="E324" s="249"/>
      <c r="F324" s="12"/>
      <c r="G324" s="11"/>
      <c r="K324" s="51"/>
    </row>
    <row r="325" ht="13.5" customHeight="1">
      <c r="D325" s="12"/>
      <c r="E325" s="249"/>
      <c r="F325" s="12"/>
      <c r="G325" s="11"/>
      <c r="K325" s="51"/>
    </row>
    <row r="326" ht="13.5" customHeight="1">
      <c r="D326" s="12"/>
      <c r="E326" s="249"/>
      <c r="F326" s="12"/>
      <c r="G326" s="11"/>
      <c r="K326" s="51"/>
    </row>
    <row r="327" ht="13.5" customHeight="1">
      <c r="D327" s="12"/>
      <c r="E327" s="249"/>
      <c r="F327" s="12"/>
      <c r="G327" s="11"/>
      <c r="K327" s="51"/>
    </row>
    <row r="328" ht="13.5" customHeight="1">
      <c r="D328" s="12"/>
      <c r="E328" s="249"/>
      <c r="F328" s="12"/>
      <c r="G328" s="11"/>
      <c r="K328" s="51"/>
    </row>
    <row r="329" ht="13.5" customHeight="1">
      <c r="D329" s="12"/>
      <c r="E329" s="249"/>
      <c r="F329" s="12"/>
      <c r="G329" s="11"/>
      <c r="K329" s="51"/>
    </row>
    <row r="330" ht="13.5" customHeight="1">
      <c r="D330" s="12"/>
      <c r="E330" s="249"/>
      <c r="F330" s="12"/>
      <c r="G330" s="11"/>
      <c r="K330" s="51"/>
    </row>
    <row r="331" ht="13.5" customHeight="1">
      <c r="D331" s="12"/>
      <c r="E331" s="249"/>
      <c r="F331" s="12"/>
      <c r="G331" s="11"/>
      <c r="K331" s="51"/>
    </row>
    <row r="332" ht="13.5" customHeight="1">
      <c r="D332" s="12"/>
      <c r="E332" s="249"/>
      <c r="F332" s="12"/>
      <c r="G332" s="11"/>
      <c r="K332" s="51"/>
    </row>
    <row r="333" ht="13.5" customHeight="1">
      <c r="D333" s="12"/>
      <c r="E333" s="249"/>
      <c r="F333" s="12"/>
      <c r="G333" s="11"/>
      <c r="K333" s="51"/>
    </row>
    <row r="334" ht="13.5" customHeight="1">
      <c r="D334" s="12"/>
      <c r="E334" s="249"/>
      <c r="F334" s="12"/>
      <c r="G334" s="11"/>
      <c r="K334" s="51"/>
    </row>
    <row r="335" ht="13.5" customHeight="1">
      <c r="D335" s="12"/>
      <c r="E335" s="249"/>
      <c r="F335" s="12"/>
      <c r="G335" s="11"/>
      <c r="K335" s="51"/>
    </row>
    <row r="336" ht="13.5" customHeight="1">
      <c r="D336" s="12"/>
      <c r="E336" s="249"/>
      <c r="F336" s="12"/>
      <c r="G336" s="11"/>
      <c r="K336" s="51"/>
    </row>
    <row r="337" ht="13.5" customHeight="1">
      <c r="D337" s="12"/>
      <c r="E337" s="249"/>
      <c r="F337" s="12"/>
      <c r="G337" s="11"/>
      <c r="K337" s="51"/>
    </row>
    <row r="338" ht="13.5" customHeight="1">
      <c r="D338" s="12"/>
      <c r="E338" s="249"/>
      <c r="F338" s="12"/>
      <c r="G338" s="11"/>
      <c r="K338" s="51"/>
    </row>
    <row r="339" ht="13.5" customHeight="1">
      <c r="D339" s="12"/>
      <c r="E339" s="249"/>
      <c r="F339" s="12"/>
      <c r="G339" s="11"/>
      <c r="K339" s="51"/>
    </row>
    <row r="340" ht="13.5" customHeight="1">
      <c r="D340" s="12"/>
      <c r="E340" s="249"/>
      <c r="F340" s="12"/>
      <c r="G340" s="11"/>
      <c r="K340" s="51"/>
    </row>
    <row r="341" ht="13.5" customHeight="1">
      <c r="D341" s="12"/>
      <c r="E341" s="249"/>
      <c r="F341" s="12"/>
      <c r="G341" s="11"/>
      <c r="K341" s="51"/>
    </row>
    <row r="342" ht="13.5" customHeight="1">
      <c r="D342" s="12"/>
      <c r="E342" s="249"/>
      <c r="F342" s="12"/>
      <c r="G342" s="11"/>
      <c r="K342" s="51"/>
    </row>
    <row r="343" ht="13.5" customHeight="1">
      <c r="D343" s="12"/>
      <c r="E343" s="249"/>
      <c r="F343" s="12"/>
      <c r="G343" s="11"/>
      <c r="K343" s="51"/>
    </row>
    <row r="344" ht="13.5" customHeight="1">
      <c r="D344" s="12"/>
      <c r="E344" s="249"/>
      <c r="F344" s="12"/>
      <c r="G344" s="11"/>
      <c r="K344" s="51"/>
    </row>
    <row r="345" ht="13.5" customHeight="1">
      <c r="D345" s="12"/>
      <c r="E345" s="249"/>
      <c r="F345" s="12"/>
      <c r="G345" s="11"/>
      <c r="K345" s="51"/>
    </row>
    <row r="346" ht="13.5" customHeight="1">
      <c r="D346" s="12"/>
      <c r="E346" s="249"/>
      <c r="F346" s="12"/>
      <c r="G346" s="11"/>
      <c r="K346" s="51"/>
    </row>
    <row r="347" ht="13.5" customHeight="1">
      <c r="D347" s="12"/>
      <c r="E347" s="249"/>
      <c r="F347" s="12"/>
      <c r="G347" s="11"/>
      <c r="K347" s="51"/>
    </row>
    <row r="348" ht="13.5" customHeight="1">
      <c r="D348" s="12"/>
      <c r="E348" s="249"/>
      <c r="F348" s="12"/>
      <c r="G348" s="11"/>
      <c r="K348" s="51"/>
    </row>
    <row r="349" ht="13.5" customHeight="1">
      <c r="D349" s="12"/>
      <c r="E349" s="249"/>
      <c r="F349" s="12"/>
      <c r="G349" s="11"/>
      <c r="K349" s="51"/>
    </row>
    <row r="350" ht="13.5" customHeight="1">
      <c r="D350" s="12"/>
      <c r="E350" s="249"/>
      <c r="F350" s="12"/>
      <c r="G350" s="11"/>
      <c r="K350" s="51"/>
    </row>
    <row r="351" ht="13.5" customHeight="1">
      <c r="D351" s="12"/>
      <c r="E351" s="249"/>
      <c r="F351" s="12"/>
      <c r="G351" s="11"/>
      <c r="K351" s="51"/>
    </row>
    <row r="352" ht="13.5" customHeight="1">
      <c r="D352" s="12"/>
      <c r="E352" s="249"/>
      <c r="F352" s="12"/>
      <c r="G352" s="11"/>
      <c r="K352" s="51"/>
    </row>
    <row r="353" ht="13.5" customHeight="1">
      <c r="D353" s="12"/>
      <c r="E353" s="249"/>
      <c r="F353" s="12"/>
      <c r="G353" s="11"/>
      <c r="K353" s="51"/>
    </row>
    <row r="354" ht="13.5" customHeight="1">
      <c r="D354" s="12"/>
      <c r="E354" s="249"/>
      <c r="F354" s="12"/>
      <c r="G354" s="11"/>
      <c r="K354" s="51"/>
    </row>
    <row r="355" ht="13.5" customHeight="1">
      <c r="D355" s="12"/>
      <c r="E355" s="249"/>
      <c r="F355" s="12"/>
      <c r="G355" s="11"/>
      <c r="K355" s="51"/>
    </row>
    <row r="356" ht="13.5" customHeight="1">
      <c r="D356" s="12"/>
      <c r="E356" s="249"/>
      <c r="F356" s="12"/>
      <c r="G356" s="11"/>
      <c r="K356" s="51"/>
    </row>
    <row r="357" ht="13.5" customHeight="1">
      <c r="D357" s="12"/>
      <c r="E357" s="249"/>
      <c r="F357" s="12"/>
      <c r="G357" s="11"/>
      <c r="K357" s="51"/>
    </row>
    <row r="358" ht="13.5" customHeight="1">
      <c r="D358" s="12"/>
      <c r="E358" s="249"/>
      <c r="F358" s="12"/>
      <c r="G358" s="11"/>
      <c r="K358" s="51"/>
    </row>
    <row r="359" ht="13.5" customHeight="1">
      <c r="D359" s="12"/>
      <c r="E359" s="249"/>
      <c r="F359" s="12"/>
      <c r="G359" s="11"/>
      <c r="K359" s="51"/>
    </row>
    <row r="360" ht="13.5" customHeight="1">
      <c r="D360" s="12"/>
      <c r="E360" s="249"/>
      <c r="F360" s="12"/>
      <c r="G360" s="11"/>
      <c r="K360" s="51"/>
    </row>
    <row r="361" ht="13.5" customHeight="1">
      <c r="D361" s="12"/>
      <c r="E361" s="249"/>
      <c r="F361" s="12"/>
      <c r="G361" s="11"/>
      <c r="K361" s="51"/>
    </row>
    <row r="362" ht="13.5" customHeight="1">
      <c r="D362" s="12"/>
      <c r="E362" s="249"/>
      <c r="F362" s="12"/>
      <c r="G362" s="11"/>
      <c r="K362" s="51"/>
    </row>
    <row r="363" ht="13.5" customHeight="1">
      <c r="D363" s="12"/>
      <c r="E363" s="249"/>
      <c r="F363" s="12"/>
      <c r="G363" s="11"/>
      <c r="K363" s="51"/>
    </row>
    <row r="364" ht="13.5" customHeight="1">
      <c r="D364" s="12"/>
      <c r="E364" s="249"/>
      <c r="F364" s="12"/>
      <c r="G364" s="11"/>
      <c r="K364" s="51"/>
    </row>
    <row r="365" ht="13.5" customHeight="1">
      <c r="D365" s="12"/>
      <c r="E365" s="249"/>
      <c r="F365" s="12"/>
      <c r="G365" s="11"/>
      <c r="K365" s="51"/>
    </row>
    <row r="366" ht="13.5" customHeight="1">
      <c r="D366" s="12"/>
      <c r="E366" s="249"/>
      <c r="F366" s="12"/>
      <c r="G366" s="11"/>
      <c r="K366" s="51"/>
    </row>
    <row r="367" ht="13.5" customHeight="1">
      <c r="D367" s="12"/>
      <c r="E367" s="249"/>
      <c r="F367" s="12"/>
      <c r="G367" s="11"/>
      <c r="K367" s="51"/>
    </row>
    <row r="368" ht="13.5" customHeight="1">
      <c r="D368" s="12"/>
      <c r="E368" s="249"/>
      <c r="F368" s="12"/>
      <c r="G368" s="11"/>
      <c r="K368" s="51"/>
    </row>
    <row r="369" ht="13.5" customHeight="1">
      <c r="D369" s="12"/>
      <c r="E369" s="249"/>
      <c r="F369" s="12"/>
      <c r="G369" s="11"/>
      <c r="K369" s="51"/>
    </row>
    <row r="370" ht="13.5" customHeight="1">
      <c r="D370" s="12"/>
      <c r="E370" s="249"/>
      <c r="F370" s="12"/>
      <c r="G370" s="11"/>
      <c r="K370" s="51"/>
    </row>
    <row r="371" ht="13.5" customHeight="1">
      <c r="D371" s="12"/>
      <c r="E371" s="249"/>
      <c r="F371" s="12"/>
      <c r="G371" s="11"/>
      <c r="K371" s="51"/>
    </row>
    <row r="372" ht="13.5" customHeight="1">
      <c r="D372" s="12"/>
      <c r="E372" s="249"/>
      <c r="F372" s="12"/>
      <c r="G372" s="11"/>
      <c r="K372" s="51"/>
    </row>
    <row r="373" ht="13.5" customHeight="1">
      <c r="D373" s="12"/>
      <c r="E373" s="249"/>
      <c r="F373" s="12"/>
      <c r="G373" s="11"/>
      <c r="K373" s="51"/>
    </row>
    <row r="374" ht="13.5" customHeight="1">
      <c r="D374" s="12"/>
      <c r="E374" s="249"/>
      <c r="F374" s="12"/>
      <c r="G374" s="11"/>
      <c r="K374" s="51"/>
    </row>
    <row r="375" ht="13.5" customHeight="1">
      <c r="D375" s="12"/>
      <c r="E375" s="249"/>
      <c r="F375" s="12"/>
      <c r="G375" s="11"/>
      <c r="K375" s="51"/>
    </row>
    <row r="376" ht="13.5" customHeight="1">
      <c r="D376" s="12"/>
      <c r="E376" s="249"/>
      <c r="F376" s="12"/>
      <c r="G376" s="11"/>
      <c r="K376" s="51"/>
    </row>
    <row r="377" ht="13.5" customHeight="1">
      <c r="D377" s="12"/>
      <c r="E377" s="249"/>
      <c r="F377" s="12"/>
      <c r="G377" s="11"/>
      <c r="K377" s="51"/>
    </row>
    <row r="378" ht="13.5" customHeight="1">
      <c r="D378" s="12"/>
      <c r="E378" s="249"/>
      <c r="F378" s="12"/>
      <c r="G378" s="11"/>
      <c r="K378" s="51"/>
    </row>
    <row r="379" ht="13.5" customHeight="1">
      <c r="D379" s="12"/>
      <c r="E379" s="249"/>
      <c r="F379" s="12"/>
      <c r="G379" s="11"/>
      <c r="K379" s="51"/>
    </row>
    <row r="380" ht="13.5" customHeight="1">
      <c r="D380" s="12"/>
      <c r="E380" s="249"/>
      <c r="F380" s="12"/>
      <c r="G380" s="11"/>
      <c r="K380" s="51"/>
    </row>
    <row r="381" ht="13.5" customHeight="1">
      <c r="D381" s="12"/>
      <c r="E381" s="249"/>
      <c r="F381" s="12"/>
      <c r="G381" s="11"/>
      <c r="K381" s="51"/>
    </row>
    <row r="382" ht="13.5" customHeight="1">
      <c r="D382" s="12"/>
      <c r="E382" s="249"/>
      <c r="F382" s="12"/>
      <c r="G382" s="11"/>
      <c r="K382" s="51"/>
    </row>
    <row r="383" ht="13.5" customHeight="1">
      <c r="D383" s="12"/>
      <c r="E383" s="249"/>
      <c r="F383" s="12"/>
      <c r="G383" s="11"/>
      <c r="K383" s="51"/>
    </row>
    <row r="384" ht="13.5" customHeight="1">
      <c r="D384" s="12"/>
      <c r="E384" s="249"/>
      <c r="F384" s="12"/>
      <c r="G384" s="11"/>
      <c r="K384" s="51"/>
    </row>
    <row r="385" ht="13.5" customHeight="1">
      <c r="D385" s="12"/>
      <c r="E385" s="249"/>
      <c r="F385" s="12"/>
      <c r="G385" s="11"/>
      <c r="K385" s="51"/>
    </row>
    <row r="386" ht="13.5" customHeight="1">
      <c r="D386" s="12"/>
      <c r="E386" s="249"/>
      <c r="F386" s="12"/>
      <c r="G386" s="11"/>
      <c r="K386" s="51"/>
    </row>
    <row r="387" ht="13.5" customHeight="1">
      <c r="D387" s="12"/>
      <c r="E387" s="249"/>
      <c r="F387" s="12"/>
      <c r="G387" s="11"/>
      <c r="K387" s="51"/>
    </row>
    <row r="388" ht="13.5" customHeight="1">
      <c r="D388" s="12"/>
      <c r="E388" s="249"/>
      <c r="F388" s="12"/>
      <c r="G388" s="11"/>
      <c r="K388" s="51"/>
    </row>
    <row r="389" ht="13.5" customHeight="1">
      <c r="D389" s="12"/>
      <c r="E389" s="249"/>
      <c r="F389" s="12"/>
      <c r="G389" s="11"/>
      <c r="K389" s="51"/>
    </row>
    <row r="390" ht="13.5" customHeight="1">
      <c r="D390" s="12"/>
      <c r="E390" s="249"/>
      <c r="F390" s="12"/>
      <c r="G390" s="11"/>
      <c r="K390" s="51"/>
    </row>
    <row r="391" ht="13.5" customHeight="1">
      <c r="D391" s="12"/>
      <c r="E391" s="249"/>
      <c r="F391" s="12"/>
      <c r="G391" s="11"/>
      <c r="K391" s="51"/>
    </row>
    <row r="392" ht="13.5" customHeight="1">
      <c r="D392" s="12"/>
      <c r="E392" s="249"/>
      <c r="F392" s="12"/>
      <c r="G392" s="11"/>
      <c r="K392" s="51"/>
    </row>
    <row r="393" ht="13.5" customHeight="1">
      <c r="D393" s="12"/>
      <c r="E393" s="249"/>
      <c r="F393" s="12"/>
      <c r="G393" s="11"/>
      <c r="K393" s="51"/>
    </row>
    <row r="394" ht="13.5" customHeight="1">
      <c r="D394" s="12"/>
      <c r="E394" s="249"/>
      <c r="F394" s="12"/>
      <c r="G394" s="11"/>
      <c r="K394" s="51"/>
    </row>
    <row r="395" ht="13.5" customHeight="1">
      <c r="D395" s="12"/>
      <c r="E395" s="249"/>
      <c r="F395" s="12"/>
      <c r="G395" s="11"/>
      <c r="K395" s="51"/>
    </row>
    <row r="396" ht="13.5" customHeight="1">
      <c r="D396" s="12"/>
      <c r="E396" s="249"/>
      <c r="F396" s="12"/>
      <c r="G396" s="11"/>
      <c r="K396" s="51"/>
    </row>
    <row r="397" ht="13.5" customHeight="1">
      <c r="D397" s="12"/>
      <c r="E397" s="249"/>
      <c r="F397" s="12"/>
      <c r="G397" s="11"/>
      <c r="K397" s="51"/>
    </row>
    <row r="398" ht="13.5" customHeight="1">
      <c r="D398" s="12"/>
      <c r="E398" s="249"/>
      <c r="F398" s="12"/>
      <c r="G398" s="11"/>
      <c r="K398" s="51"/>
    </row>
    <row r="399" ht="13.5" customHeight="1">
      <c r="D399" s="12"/>
      <c r="E399" s="249"/>
      <c r="F399" s="12"/>
      <c r="G399" s="11"/>
      <c r="K399" s="51"/>
    </row>
    <row r="400" ht="13.5" customHeight="1">
      <c r="D400" s="12"/>
      <c r="E400" s="249"/>
      <c r="F400" s="12"/>
      <c r="G400" s="11"/>
      <c r="K400" s="51"/>
    </row>
    <row r="401" ht="13.5" customHeight="1">
      <c r="D401" s="12"/>
      <c r="E401" s="249"/>
      <c r="F401" s="12"/>
      <c r="G401" s="11"/>
      <c r="K401" s="51"/>
    </row>
    <row r="402" ht="13.5" customHeight="1">
      <c r="D402" s="12"/>
      <c r="E402" s="249"/>
      <c r="F402" s="12"/>
      <c r="G402" s="11"/>
      <c r="K402" s="51"/>
    </row>
    <row r="403" ht="13.5" customHeight="1">
      <c r="D403" s="12"/>
      <c r="E403" s="249"/>
      <c r="F403" s="12"/>
      <c r="G403" s="11"/>
      <c r="K403" s="51"/>
    </row>
    <row r="404" ht="13.5" customHeight="1">
      <c r="D404" s="12"/>
      <c r="E404" s="249"/>
      <c r="F404" s="12"/>
      <c r="G404" s="11"/>
      <c r="K404" s="51"/>
    </row>
    <row r="405" ht="13.5" customHeight="1">
      <c r="D405" s="12"/>
      <c r="E405" s="249"/>
      <c r="F405" s="12"/>
      <c r="G405" s="11"/>
      <c r="K405" s="51"/>
    </row>
    <row r="406" ht="13.5" customHeight="1">
      <c r="D406" s="12"/>
      <c r="E406" s="249"/>
      <c r="F406" s="12"/>
      <c r="G406" s="11"/>
      <c r="K406" s="51"/>
    </row>
    <row r="407" ht="13.5" customHeight="1">
      <c r="D407" s="12"/>
      <c r="E407" s="249"/>
      <c r="F407" s="12"/>
      <c r="G407" s="11"/>
      <c r="K407" s="51"/>
    </row>
    <row r="408" ht="13.5" customHeight="1">
      <c r="D408" s="12"/>
      <c r="E408" s="249"/>
      <c r="F408" s="12"/>
      <c r="G408" s="11"/>
      <c r="K408" s="51"/>
    </row>
    <row r="409" ht="13.5" customHeight="1">
      <c r="D409" s="12"/>
      <c r="E409" s="249"/>
      <c r="F409" s="12"/>
      <c r="G409" s="11"/>
      <c r="K409" s="51"/>
    </row>
    <row r="410" ht="13.5" customHeight="1">
      <c r="D410" s="12"/>
      <c r="E410" s="249"/>
      <c r="F410" s="12"/>
      <c r="G410" s="11"/>
      <c r="K410" s="51"/>
    </row>
    <row r="411" ht="13.5" customHeight="1">
      <c r="D411" s="12"/>
      <c r="E411" s="249"/>
      <c r="F411" s="12"/>
      <c r="G411" s="11"/>
      <c r="K411" s="51"/>
    </row>
    <row r="412" ht="13.5" customHeight="1">
      <c r="D412" s="12"/>
      <c r="E412" s="249"/>
      <c r="F412" s="12"/>
      <c r="G412" s="11"/>
      <c r="K412" s="51"/>
    </row>
    <row r="413" ht="13.5" customHeight="1">
      <c r="D413" s="12"/>
      <c r="E413" s="249"/>
      <c r="F413" s="12"/>
      <c r="G413" s="11"/>
      <c r="K413" s="51"/>
    </row>
    <row r="414" ht="13.5" customHeight="1">
      <c r="D414" s="12"/>
      <c r="E414" s="249"/>
      <c r="F414" s="12"/>
      <c r="G414" s="11"/>
      <c r="K414" s="51"/>
    </row>
    <row r="415" ht="13.5" customHeight="1">
      <c r="D415" s="12"/>
      <c r="E415" s="249"/>
      <c r="F415" s="12"/>
      <c r="G415" s="11"/>
      <c r="K415" s="51"/>
    </row>
    <row r="416" ht="13.5" customHeight="1">
      <c r="D416" s="12"/>
      <c r="E416" s="249"/>
      <c r="F416" s="12"/>
      <c r="G416" s="11"/>
      <c r="K416" s="51"/>
    </row>
    <row r="417" ht="13.5" customHeight="1">
      <c r="D417" s="12"/>
      <c r="E417" s="249"/>
      <c r="F417" s="12"/>
      <c r="G417" s="11"/>
      <c r="K417" s="51"/>
    </row>
    <row r="418" ht="13.5" customHeight="1">
      <c r="D418" s="12"/>
      <c r="E418" s="249"/>
      <c r="F418" s="12"/>
      <c r="G418" s="11"/>
      <c r="K418" s="51"/>
    </row>
    <row r="419" ht="13.5" customHeight="1">
      <c r="D419" s="12"/>
      <c r="E419" s="249"/>
      <c r="F419" s="12"/>
      <c r="G419" s="11"/>
      <c r="K419" s="51"/>
    </row>
    <row r="420" ht="13.5" customHeight="1">
      <c r="D420" s="12"/>
      <c r="E420" s="249"/>
      <c r="F420" s="12"/>
      <c r="G420" s="11"/>
      <c r="K420" s="51"/>
    </row>
    <row r="421" ht="13.5" customHeight="1">
      <c r="D421" s="12"/>
      <c r="E421" s="249"/>
      <c r="F421" s="12"/>
      <c r="G421" s="11"/>
      <c r="K421" s="51"/>
    </row>
    <row r="422" ht="13.5" customHeight="1">
      <c r="D422" s="12"/>
      <c r="E422" s="249"/>
      <c r="F422" s="12"/>
      <c r="G422" s="11"/>
      <c r="K422" s="51"/>
    </row>
    <row r="423" ht="13.5" customHeight="1">
      <c r="D423" s="12"/>
      <c r="E423" s="249"/>
      <c r="F423" s="12"/>
      <c r="G423" s="11"/>
      <c r="K423" s="51"/>
    </row>
    <row r="424" ht="13.5" customHeight="1">
      <c r="D424" s="12"/>
      <c r="E424" s="249"/>
      <c r="F424" s="12"/>
      <c r="G424" s="11"/>
      <c r="K424" s="51"/>
    </row>
    <row r="425" ht="13.5" customHeight="1">
      <c r="D425" s="12"/>
      <c r="E425" s="249"/>
      <c r="F425" s="12"/>
      <c r="G425" s="11"/>
      <c r="K425" s="51"/>
    </row>
    <row r="426" ht="13.5" customHeight="1">
      <c r="D426" s="12"/>
      <c r="E426" s="249"/>
      <c r="F426" s="12"/>
      <c r="G426" s="11"/>
      <c r="K426" s="51"/>
    </row>
    <row r="427" ht="13.5" customHeight="1">
      <c r="D427" s="12"/>
      <c r="E427" s="249"/>
      <c r="F427" s="12"/>
      <c r="G427" s="11"/>
      <c r="K427" s="51"/>
    </row>
    <row r="428" ht="13.5" customHeight="1">
      <c r="D428" s="12"/>
      <c r="E428" s="249"/>
      <c r="F428" s="12"/>
      <c r="G428" s="11"/>
      <c r="K428" s="51"/>
    </row>
    <row r="429" ht="13.5" customHeight="1">
      <c r="D429" s="12"/>
      <c r="E429" s="249"/>
      <c r="F429" s="12"/>
      <c r="G429" s="11"/>
      <c r="K429" s="51"/>
    </row>
    <row r="430" ht="13.5" customHeight="1">
      <c r="D430" s="12"/>
      <c r="E430" s="249"/>
      <c r="F430" s="12"/>
      <c r="G430" s="11"/>
      <c r="K430" s="51"/>
    </row>
    <row r="431" ht="13.5" customHeight="1">
      <c r="D431" s="12"/>
      <c r="E431" s="249"/>
      <c r="F431" s="12"/>
      <c r="G431" s="11"/>
      <c r="K431" s="51"/>
    </row>
    <row r="432" ht="13.5" customHeight="1">
      <c r="D432" s="12"/>
      <c r="E432" s="249"/>
      <c r="F432" s="12"/>
      <c r="G432" s="11"/>
      <c r="K432" s="51"/>
    </row>
    <row r="433" ht="13.5" customHeight="1">
      <c r="D433" s="12"/>
      <c r="E433" s="249"/>
      <c r="F433" s="12"/>
      <c r="G433" s="11"/>
      <c r="K433" s="51"/>
    </row>
    <row r="434" ht="13.5" customHeight="1">
      <c r="D434" s="12"/>
      <c r="E434" s="249"/>
      <c r="F434" s="12"/>
      <c r="G434" s="11"/>
      <c r="K434" s="51"/>
    </row>
    <row r="435" ht="13.5" customHeight="1">
      <c r="D435" s="12"/>
      <c r="E435" s="249"/>
      <c r="F435" s="12"/>
      <c r="G435" s="11"/>
      <c r="K435" s="51"/>
    </row>
    <row r="436" ht="13.5" customHeight="1">
      <c r="D436" s="12"/>
      <c r="E436" s="249"/>
      <c r="F436" s="12"/>
      <c r="G436" s="11"/>
      <c r="K436" s="51"/>
    </row>
    <row r="437" ht="13.5" customHeight="1">
      <c r="D437" s="12"/>
      <c r="E437" s="249"/>
      <c r="F437" s="12"/>
      <c r="G437" s="11"/>
      <c r="K437" s="51"/>
    </row>
    <row r="438" ht="13.5" customHeight="1">
      <c r="D438" s="12"/>
      <c r="E438" s="249"/>
      <c r="F438" s="12"/>
      <c r="G438" s="11"/>
      <c r="K438" s="51"/>
    </row>
    <row r="439" ht="13.5" customHeight="1">
      <c r="D439" s="12"/>
      <c r="E439" s="249"/>
      <c r="F439" s="12"/>
      <c r="G439" s="11"/>
      <c r="K439" s="51"/>
    </row>
    <row r="440" ht="13.5" customHeight="1">
      <c r="D440" s="12"/>
      <c r="E440" s="249"/>
      <c r="F440" s="12"/>
      <c r="G440" s="11"/>
      <c r="K440" s="51"/>
    </row>
    <row r="441" ht="13.5" customHeight="1">
      <c r="D441" s="12"/>
      <c r="E441" s="249"/>
      <c r="F441" s="12"/>
      <c r="G441" s="11"/>
      <c r="K441" s="51"/>
    </row>
    <row r="442" ht="13.5" customHeight="1">
      <c r="D442" s="12"/>
      <c r="E442" s="249"/>
      <c r="F442" s="12"/>
      <c r="G442" s="11"/>
      <c r="K442" s="51"/>
    </row>
    <row r="443" ht="13.5" customHeight="1">
      <c r="D443" s="12"/>
      <c r="E443" s="249"/>
      <c r="F443" s="12"/>
      <c r="G443" s="11"/>
      <c r="K443" s="51"/>
    </row>
    <row r="444" ht="13.5" customHeight="1">
      <c r="D444" s="12"/>
      <c r="E444" s="249"/>
      <c r="F444" s="12"/>
      <c r="G444" s="11"/>
      <c r="K444" s="51"/>
    </row>
    <row r="445" ht="13.5" customHeight="1">
      <c r="D445" s="12"/>
      <c r="E445" s="249"/>
      <c r="F445" s="12"/>
      <c r="G445" s="11"/>
      <c r="K445" s="51"/>
    </row>
    <row r="446" ht="13.5" customHeight="1">
      <c r="D446" s="12"/>
      <c r="E446" s="249"/>
      <c r="F446" s="12"/>
      <c r="G446" s="11"/>
      <c r="K446" s="51"/>
    </row>
    <row r="447" ht="13.5" customHeight="1">
      <c r="D447" s="12"/>
      <c r="E447" s="249"/>
      <c r="F447" s="12"/>
      <c r="G447" s="11"/>
      <c r="K447" s="51"/>
    </row>
    <row r="448" ht="13.5" customHeight="1">
      <c r="D448" s="12"/>
      <c r="E448" s="249"/>
      <c r="F448" s="12"/>
      <c r="G448" s="11"/>
      <c r="K448" s="51"/>
    </row>
    <row r="449" ht="13.5" customHeight="1">
      <c r="D449" s="12"/>
      <c r="E449" s="249"/>
      <c r="F449" s="12"/>
      <c r="G449" s="11"/>
      <c r="K449" s="51"/>
    </row>
    <row r="450" ht="13.5" customHeight="1">
      <c r="D450" s="12"/>
      <c r="E450" s="249"/>
      <c r="F450" s="12"/>
      <c r="G450" s="11"/>
      <c r="K450" s="51"/>
    </row>
    <row r="451" ht="13.5" customHeight="1">
      <c r="D451" s="12"/>
      <c r="E451" s="249"/>
      <c r="F451" s="12"/>
      <c r="G451" s="11"/>
      <c r="K451" s="51"/>
    </row>
    <row r="452" ht="13.5" customHeight="1">
      <c r="D452" s="12"/>
      <c r="E452" s="249"/>
      <c r="F452" s="12"/>
      <c r="G452" s="11"/>
      <c r="K452" s="51"/>
    </row>
    <row r="453" ht="13.5" customHeight="1">
      <c r="D453" s="12"/>
      <c r="E453" s="249"/>
      <c r="F453" s="12"/>
      <c r="G453" s="11"/>
      <c r="K453" s="51"/>
    </row>
    <row r="454" ht="13.5" customHeight="1">
      <c r="D454" s="12"/>
      <c r="E454" s="249"/>
      <c r="F454" s="12"/>
      <c r="G454" s="11"/>
      <c r="K454" s="51"/>
    </row>
    <row r="455" ht="13.5" customHeight="1">
      <c r="D455" s="12"/>
      <c r="E455" s="249"/>
      <c r="F455" s="12"/>
      <c r="G455" s="11"/>
      <c r="K455" s="51"/>
    </row>
    <row r="456" ht="13.5" customHeight="1">
      <c r="D456" s="12"/>
      <c r="E456" s="249"/>
      <c r="F456" s="12"/>
      <c r="G456" s="11"/>
      <c r="K456" s="51"/>
    </row>
    <row r="457" ht="13.5" customHeight="1">
      <c r="D457" s="12"/>
      <c r="E457" s="249"/>
      <c r="F457" s="12"/>
      <c r="G457" s="11"/>
      <c r="K457" s="51"/>
    </row>
    <row r="458" ht="13.5" customHeight="1">
      <c r="D458" s="12"/>
      <c r="E458" s="249"/>
      <c r="F458" s="12"/>
      <c r="G458" s="11"/>
      <c r="K458" s="51"/>
    </row>
    <row r="459" ht="13.5" customHeight="1">
      <c r="D459" s="12"/>
      <c r="E459" s="249"/>
      <c r="F459" s="12"/>
      <c r="G459" s="11"/>
      <c r="K459" s="51"/>
    </row>
    <row r="460" ht="13.5" customHeight="1">
      <c r="D460" s="12"/>
      <c r="E460" s="249"/>
      <c r="F460" s="12"/>
      <c r="G460" s="11"/>
      <c r="K460" s="51"/>
    </row>
    <row r="461" ht="13.5" customHeight="1">
      <c r="D461" s="12"/>
      <c r="E461" s="249"/>
      <c r="F461" s="12"/>
      <c r="G461" s="11"/>
      <c r="K461" s="51"/>
    </row>
    <row r="462" ht="13.5" customHeight="1">
      <c r="D462" s="12"/>
      <c r="E462" s="249"/>
      <c r="F462" s="12"/>
      <c r="G462" s="11"/>
      <c r="K462" s="51"/>
    </row>
    <row r="463" ht="13.5" customHeight="1">
      <c r="D463" s="12"/>
      <c r="E463" s="249"/>
      <c r="F463" s="12"/>
      <c r="G463" s="11"/>
      <c r="K463" s="51"/>
    </row>
    <row r="464" ht="13.5" customHeight="1">
      <c r="D464" s="12"/>
      <c r="E464" s="249"/>
      <c r="F464" s="12"/>
      <c r="G464" s="11"/>
      <c r="K464" s="51"/>
    </row>
    <row r="465" ht="13.5" customHeight="1">
      <c r="D465" s="12"/>
      <c r="E465" s="249"/>
      <c r="F465" s="12"/>
      <c r="G465" s="11"/>
      <c r="K465" s="51"/>
    </row>
    <row r="466" ht="13.5" customHeight="1">
      <c r="D466" s="12"/>
      <c r="E466" s="249"/>
      <c r="F466" s="12"/>
      <c r="G466" s="11"/>
      <c r="K466" s="51"/>
    </row>
    <row r="467" ht="13.5" customHeight="1">
      <c r="D467" s="12"/>
      <c r="E467" s="249"/>
      <c r="F467" s="12"/>
      <c r="G467" s="11"/>
      <c r="K467" s="51"/>
    </row>
    <row r="468" ht="13.5" customHeight="1">
      <c r="D468" s="12"/>
      <c r="E468" s="249"/>
      <c r="F468" s="12"/>
      <c r="G468" s="11"/>
      <c r="K468" s="51"/>
    </row>
    <row r="469" ht="13.5" customHeight="1">
      <c r="D469" s="12"/>
      <c r="E469" s="249"/>
      <c r="F469" s="12"/>
      <c r="G469" s="11"/>
      <c r="K469" s="51"/>
    </row>
    <row r="470" ht="13.5" customHeight="1">
      <c r="D470" s="12"/>
      <c r="E470" s="249"/>
      <c r="F470" s="12"/>
      <c r="G470" s="11"/>
      <c r="K470" s="51"/>
    </row>
    <row r="471" ht="13.5" customHeight="1">
      <c r="D471" s="12"/>
      <c r="E471" s="249"/>
      <c r="F471" s="12"/>
      <c r="G471" s="11"/>
      <c r="K471" s="51"/>
    </row>
    <row r="472" ht="13.5" customHeight="1">
      <c r="D472" s="12"/>
      <c r="E472" s="249"/>
      <c r="F472" s="12"/>
      <c r="G472" s="11"/>
      <c r="K472" s="51"/>
    </row>
    <row r="473" ht="13.5" customHeight="1">
      <c r="D473" s="12"/>
      <c r="E473" s="249"/>
      <c r="F473" s="12"/>
      <c r="G473" s="11"/>
      <c r="K473" s="51"/>
    </row>
    <row r="474" ht="13.5" customHeight="1">
      <c r="D474" s="12"/>
      <c r="E474" s="249"/>
      <c r="F474" s="12"/>
      <c r="G474" s="11"/>
      <c r="K474" s="51"/>
    </row>
    <row r="475" ht="13.5" customHeight="1">
      <c r="D475" s="12"/>
      <c r="E475" s="249"/>
      <c r="F475" s="12"/>
      <c r="G475" s="11"/>
      <c r="K475" s="51"/>
    </row>
    <row r="476" ht="13.5" customHeight="1">
      <c r="D476" s="12"/>
      <c r="E476" s="249"/>
      <c r="F476" s="12"/>
      <c r="G476" s="11"/>
      <c r="K476" s="51"/>
    </row>
    <row r="477" ht="13.5" customHeight="1">
      <c r="D477" s="12"/>
      <c r="E477" s="249"/>
      <c r="F477" s="12"/>
      <c r="G477" s="11"/>
      <c r="K477" s="51"/>
    </row>
    <row r="478" ht="13.5" customHeight="1">
      <c r="D478" s="12"/>
      <c r="E478" s="249"/>
      <c r="F478" s="12"/>
      <c r="G478" s="11"/>
      <c r="K478" s="51"/>
    </row>
    <row r="479" ht="13.5" customHeight="1">
      <c r="D479" s="12"/>
      <c r="E479" s="249"/>
      <c r="F479" s="12"/>
      <c r="G479" s="11"/>
      <c r="K479" s="51"/>
    </row>
    <row r="480" ht="13.5" customHeight="1">
      <c r="D480" s="12"/>
      <c r="E480" s="249"/>
      <c r="F480" s="12"/>
      <c r="G480" s="11"/>
      <c r="K480" s="51"/>
    </row>
    <row r="481" ht="13.5" customHeight="1">
      <c r="D481" s="12"/>
      <c r="E481" s="249"/>
      <c r="F481" s="12"/>
      <c r="G481" s="11"/>
      <c r="K481" s="51"/>
    </row>
    <row r="482" ht="13.5" customHeight="1">
      <c r="D482" s="12"/>
      <c r="E482" s="249"/>
      <c r="F482" s="12"/>
      <c r="G482" s="11"/>
      <c r="K482" s="51"/>
    </row>
    <row r="483" ht="13.5" customHeight="1">
      <c r="D483" s="12"/>
      <c r="E483" s="249"/>
      <c r="F483" s="12"/>
      <c r="G483" s="11"/>
      <c r="K483" s="51"/>
    </row>
    <row r="484" ht="13.5" customHeight="1">
      <c r="D484" s="12"/>
      <c r="E484" s="249"/>
      <c r="F484" s="12"/>
      <c r="G484" s="11"/>
      <c r="K484" s="51"/>
    </row>
    <row r="485" ht="13.5" customHeight="1">
      <c r="D485" s="12"/>
      <c r="E485" s="249"/>
      <c r="F485" s="12"/>
      <c r="G485" s="11"/>
      <c r="K485" s="51"/>
    </row>
    <row r="486" ht="13.5" customHeight="1">
      <c r="D486" s="12"/>
      <c r="E486" s="249"/>
      <c r="F486" s="12"/>
      <c r="G486" s="11"/>
      <c r="K486" s="51"/>
    </row>
    <row r="487" ht="13.5" customHeight="1">
      <c r="D487" s="12"/>
      <c r="E487" s="249"/>
      <c r="F487" s="12"/>
      <c r="G487" s="11"/>
      <c r="K487" s="51"/>
    </row>
    <row r="488" ht="13.5" customHeight="1">
      <c r="D488" s="12"/>
      <c r="E488" s="249"/>
      <c r="F488" s="12"/>
      <c r="G488" s="11"/>
      <c r="K488" s="51"/>
    </row>
    <row r="489" ht="13.5" customHeight="1">
      <c r="D489" s="12"/>
      <c r="E489" s="249"/>
      <c r="F489" s="12"/>
      <c r="G489" s="11"/>
      <c r="K489" s="51"/>
    </row>
    <row r="490" ht="13.5" customHeight="1">
      <c r="D490" s="12"/>
      <c r="E490" s="249"/>
      <c r="F490" s="12"/>
      <c r="G490" s="11"/>
      <c r="K490" s="51"/>
    </row>
    <row r="491" ht="13.5" customHeight="1">
      <c r="D491" s="12"/>
      <c r="E491" s="249"/>
      <c r="F491" s="12"/>
      <c r="G491" s="11"/>
      <c r="K491" s="51"/>
    </row>
    <row r="492" ht="13.5" customHeight="1">
      <c r="D492" s="12"/>
      <c r="E492" s="249"/>
      <c r="F492" s="12"/>
      <c r="G492" s="11"/>
      <c r="K492" s="51"/>
    </row>
    <row r="493" ht="13.5" customHeight="1">
      <c r="D493" s="12"/>
      <c r="E493" s="249"/>
      <c r="F493" s="12"/>
      <c r="G493" s="11"/>
      <c r="K493" s="51"/>
    </row>
    <row r="494" ht="13.5" customHeight="1">
      <c r="D494" s="12"/>
      <c r="E494" s="249"/>
      <c r="F494" s="12"/>
      <c r="G494" s="11"/>
      <c r="K494" s="51"/>
    </row>
    <row r="495" ht="13.5" customHeight="1">
      <c r="D495" s="12"/>
      <c r="E495" s="249"/>
      <c r="F495" s="12"/>
      <c r="G495" s="11"/>
      <c r="K495" s="51"/>
    </row>
    <row r="496" ht="13.5" customHeight="1">
      <c r="D496" s="12"/>
      <c r="E496" s="249"/>
      <c r="F496" s="12"/>
      <c r="G496" s="11"/>
      <c r="K496" s="51"/>
    </row>
    <row r="497" ht="13.5" customHeight="1">
      <c r="D497" s="12"/>
      <c r="E497" s="249"/>
      <c r="F497" s="12"/>
      <c r="G497" s="11"/>
      <c r="K497" s="51"/>
    </row>
    <row r="498" ht="13.5" customHeight="1">
      <c r="D498" s="12"/>
      <c r="E498" s="249"/>
      <c r="F498" s="12"/>
      <c r="G498" s="11"/>
      <c r="K498" s="51"/>
    </row>
    <row r="499" ht="13.5" customHeight="1">
      <c r="D499" s="12"/>
      <c r="E499" s="249"/>
      <c r="F499" s="12"/>
      <c r="G499" s="11"/>
      <c r="K499" s="51"/>
    </row>
    <row r="500" ht="13.5" customHeight="1">
      <c r="D500" s="12"/>
      <c r="E500" s="249"/>
      <c r="F500" s="12"/>
      <c r="G500" s="11"/>
      <c r="K500" s="51"/>
    </row>
    <row r="501" ht="13.5" customHeight="1">
      <c r="D501" s="12"/>
      <c r="E501" s="249"/>
      <c r="F501" s="12"/>
      <c r="G501" s="11"/>
      <c r="K501" s="51"/>
    </row>
    <row r="502" ht="13.5" customHeight="1">
      <c r="D502" s="12"/>
      <c r="E502" s="249"/>
      <c r="F502" s="12"/>
      <c r="G502" s="11"/>
      <c r="K502" s="51"/>
    </row>
    <row r="503" ht="13.5" customHeight="1">
      <c r="D503" s="12"/>
      <c r="E503" s="249"/>
      <c r="F503" s="12"/>
      <c r="G503" s="11"/>
      <c r="K503" s="51"/>
    </row>
    <row r="504" ht="13.5" customHeight="1">
      <c r="D504" s="12"/>
      <c r="E504" s="249"/>
      <c r="F504" s="12"/>
      <c r="G504" s="11"/>
      <c r="K504" s="51"/>
    </row>
    <row r="505" ht="13.5" customHeight="1">
      <c r="D505" s="12"/>
      <c r="E505" s="249"/>
      <c r="F505" s="12"/>
      <c r="G505" s="11"/>
      <c r="K505" s="51"/>
    </row>
    <row r="506" ht="13.5" customHeight="1">
      <c r="D506" s="12"/>
      <c r="E506" s="249"/>
      <c r="F506" s="12"/>
      <c r="G506" s="11"/>
      <c r="K506" s="51"/>
    </row>
    <row r="507" ht="13.5" customHeight="1">
      <c r="D507" s="12"/>
      <c r="E507" s="249"/>
      <c r="F507" s="12"/>
      <c r="G507" s="11"/>
      <c r="K507" s="51"/>
    </row>
    <row r="508" ht="13.5" customHeight="1">
      <c r="D508" s="12"/>
      <c r="E508" s="249"/>
      <c r="F508" s="12"/>
      <c r="G508" s="11"/>
      <c r="K508" s="51"/>
    </row>
    <row r="509" ht="13.5" customHeight="1">
      <c r="D509" s="12"/>
      <c r="E509" s="249"/>
      <c r="F509" s="12"/>
      <c r="G509" s="11"/>
      <c r="K509" s="51"/>
    </row>
    <row r="510" ht="13.5" customHeight="1">
      <c r="D510" s="12"/>
      <c r="E510" s="249"/>
      <c r="F510" s="12"/>
      <c r="G510" s="11"/>
      <c r="K510" s="51"/>
    </row>
    <row r="511" ht="13.5" customHeight="1">
      <c r="D511" s="12"/>
      <c r="E511" s="249"/>
      <c r="F511" s="12"/>
      <c r="G511" s="11"/>
      <c r="K511" s="51"/>
    </row>
    <row r="512" ht="13.5" customHeight="1">
      <c r="D512" s="12"/>
      <c r="E512" s="249"/>
      <c r="F512" s="12"/>
      <c r="G512" s="11"/>
      <c r="K512" s="51"/>
    </row>
    <row r="513" ht="13.5" customHeight="1">
      <c r="D513" s="12"/>
      <c r="E513" s="249"/>
      <c r="F513" s="12"/>
      <c r="G513" s="11"/>
      <c r="K513" s="51"/>
    </row>
    <row r="514" ht="13.5" customHeight="1">
      <c r="D514" s="12"/>
      <c r="E514" s="249"/>
      <c r="F514" s="12"/>
      <c r="G514" s="11"/>
      <c r="K514" s="51"/>
    </row>
    <row r="515" ht="13.5" customHeight="1">
      <c r="D515" s="12"/>
      <c r="E515" s="249"/>
      <c r="F515" s="12"/>
      <c r="G515" s="11"/>
      <c r="K515" s="51"/>
    </row>
    <row r="516" ht="13.5" customHeight="1">
      <c r="D516" s="12"/>
      <c r="E516" s="249"/>
      <c r="F516" s="12"/>
      <c r="G516" s="11"/>
      <c r="K516" s="51"/>
    </row>
    <row r="517" ht="13.5" customHeight="1">
      <c r="D517" s="12"/>
      <c r="E517" s="249"/>
      <c r="F517" s="12"/>
      <c r="G517" s="11"/>
      <c r="K517" s="51"/>
    </row>
    <row r="518" ht="13.5" customHeight="1">
      <c r="D518" s="12"/>
      <c r="E518" s="249"/>
      <c r="F518" s="12"/>
      <c r="G518" s="11"/>
      <c r="K518" s="51"/>
    </row>
    <row r="519" ht="13.5" customHeight="1">
      <c r="D519" s="12"/>
      <c r="E519" s="249"/>
      <c r="F519" s="12"/>
      <c r="G519" s="11"/>
      <c r="K519" s="51"/>
    </row>
    <row r="520" ht="13.5" customHeight="1">
      <c r="D520" s="12"/>
      <c r="E520" s="249"/>
      <c r="F520" s="12"/>
      <c r="G520" s="11"/>
      <c r="K520" s="51"/>
    </row>
    <row r="521" ht="13.5" customHeight="1">
      <c r="D521" s="12"/>
      <c r="E521" s="249"/>
      <c r="F521" s="12"/>
      <c r="G521" s="11"/>
      <c r="K521" s="51"/>
    </row>
    <row r="522" ht="13.5" customHeight="1">
      <c r="D522" s="12"/>
      <c r="E522" s="249"/>
      <c r="F522" s="12"/>
      <c r="G522" s="11"/>
      <c r="K522" s="51"/>
    </row>
    <row r="523" ht="13.5" customHeight="1">
      <c r="D523" s="12"/>
      <c r="E523" s="249"/>
      <c r="F523" s="12"/>
      <c r="G523" s="11"/>
      <c r="K523" s="51"/>
    </row>
    <row r="524" ht="13.5" customHeight="1">
      <c r="D524" s="12"/>
      <c r="E524" s="249"/>
      <c r="F524" s="12"/>
      <c r="G524" s="11"/>
      <c r="K524" s="51"/>
    </row>
    <row r="525" ht="13.5" customHeight="1">
      <c r="D525" s="12"/>
      <c r="E525" s="249"/>
      <c r="F525" s="12"/>
      <c r="G525" s="11"/>
      <c r="K525" s="51"/>
    </row>
    <row r="526" ht="13.5" customHeight="1">
      <c r="D526" s="12"/>
      <c r="E526" s="249"/>
      <c r="F526" s="12"/>
      <c r="G526" s="11"/>
      <c r="K526" s="51"/>
    </row>
    <row r="527" ht="13.5" customHeight="1">
      <c r="D527" s="12"/>
      <c r="E527" s="249"/>
      <c r="F527" s="12"/>
      <c r="G527" s="11"/>
      <c r="K527" s="51"/>
    </row>
    <row r="528" ht="13.5" customHeight="1">
      <c r="D528" s="12"/>
      <c r="E528" s="249"/>
      <c r="F528" s="12"/>
      <c r="G528" s="11"/>
      <c r="K528" s="51"/>
    </row>
    <row r="529" ht="13.5" customHeight="1">
      <c r="D529" s="12"/>
      <c r="E529" s="249"/>
      <c r="F529" s="12"/>
      <c r="G529" s="11"/>
      <c r="K529" s="51"/>
    </row>
    <row r="530" ht="13.5" customHeight="1">
      <c r="D530" s="12"/>
      <c r="E530" s="249"/>
      <c r="F530" s="12"/>
      <c r="G530" s="11"/>
      <c r="K530" s="51"/>
    </row>
    <row r="531" ht="13.5" customHeight="1">
      <c r="D531" s="12"/>
      <c r="E531" s="249"/>
      <c r="F531" s="12"/>
      <c r="G531" s="11"/>
      <c r="K531" s="51"/>
    </row>
    <row r="532" ht="13.5" customHeight="1">
      <c r="D532" s="12"/>
      <c r="E532" s="249"/>
      <c r="F532" s="12"/>
      <c r="G532" s="11"/>
      <c r="K532" s="51"/>
    </row>
    <row r="533" ht="13.5" customHeight="1">
      <c r="D533" s="12"/>
      <c r="E533" s="249"/>
      <c r="F533" s="12"/>
      <c r="G533" s="11"/>
      <c r="K533" s="51"/>
    </row>
    <row r="534" ht="13.5" customHeight="1">
      <c r="D534" s="12"/>
      <c r="E534" s="249"/>
      <c r="F534" s="12"/>
      <c r="G534" s="11"/>
      <c r="K534" s="51"/>
    </row>
    <row r="535" ht="13.5" customHeight="1">
      <c r="D535" s="12"/>
      <c r="E535" s="249"/>
      <c r="F535" s="12"/>
      <c r="G535" s="11"/>
      <c r="K535" s="51"/>
    </row>
    <row r="536" ht="13.5" customHeight="1">
      <c r="D536" s="12"/>
      <c r="E536" s="249"/>
      <c r="F536" s="12"/>
      <c r="G536" s="11"/>
      <c r="K536" s="51"/>
    </row>
    <row r="537" ht="13.5" customHeight="1">
      <c r="D537" s="12"/>
      <c r="E537" s="249"/>
      <c r="F537" s="12"/>
      <c r="G537" s="11"/>
      <c r="K537" s="51"/>
    </row>
    <row r="538" ht="13.5" customHeight="1">
      <c r="D538" s="12"/>
      <c r="E538" s="249"/>
      <c r="F538" s="12"/>
      <c r="G538" s="11"/>
      <c r="K538" s="51"/>
    </row>
    <row r="539" ht="13.5" customHeight="1">
      <c r="D539" s="12"/>
      <c r="E539" s="249"/>
      <c r="F539" s="12"/>
      <c r="G539" s="11"/>
      <c r="K539" s="51"/>
    </row>
    <row r="540" ht="13.5" customHeight="1">
      <c r="D540" s="12"/>
      <c r="E540" s="249"/>
      <c r="F540" s="12"/>
      <c r="G540" s="11"/>
      <c r="K540" s="51"/>
    </row>
    <row r="541" ht="13.5" customHeight="1">
      <c r="D541" s="12"/>
      <c r="E541" s="249"/>
      <c r="F541" s="12"/>
      <c r="G541" s="11"/>
      <c r="K541" s="51"/>
    </row>
    <row r="542" ht="13.5" customHeight="1">
      <c r="D542" s="12"/>
      <c r="E542" s="249"/>
      <c r="F542" s="12"/>
      <c r="G542" s="11"/>
      <c r="K542" s="51"/>
    </row>
    <row r="543" ht="13.5" customHeight="1">
      <c r="D543" s="12"/>
      <c r="E543" s="249"/>
      <c r="F543" s="12"/>
      <c r="G543" s="11"/>
      <c r="K543" s="51"/>
    </row>
    <row r="544" ht="13.5" customHeight="1">
      <c r="D544" s="12"/>
      <c r="E544" s="249"/>
      <c r="F544" s="12"/>
      <c r="G544" s="11"/>
      <c r="K544" s="51"/>
    </row>
    <row r="545" ht="13.5" customHeight="1">
      <c r="D545" s="12"/>
      <c r="E545" s="249"/>
      <c r="F545" s="12"/>
      <c r="G545" s="11"/>
      <c r="K545" s="51"/>
    </row>
    <row r="546" ht="13.5" customHeight="1">
      <c r="D546" s="12"/>
      <c r="E546" s="249"/>
      <c r="F546" s="12"/>
      <c r="G546" s="11"/>
      <c r="K546" s="51"/>
    </row>
    <row r="547" ht="13.5" customHeight="1">
      <c r="D547" s="12"/>
      <c r="E547" s="249"/>
      <c r="F547" s="12"/>
      <c r="G547" s="11"/>
      <c r="K547" s="51"/>
    </row>
    <row r="548" ht="13.5" customHeight="1">
      <c r="D548" s="12"/>
      <c r="E548" s="249"/>
      <c r="F548" s="12"/>
      <c r="G548" s="11"/>
      <c r="K548" s="51"/>
    </row>
    <row r="549" ht="13.5" customHeight="1">
      <c r="D549" s="12"/>
      <c r="E549" s="249"/>
      <c r="F549" s="12"/>
      <c r="G549" s="11"/>
      <c r="K549" s="51"/>
    </row>
    <row r="550" ht="13.5" customHeight="1">
      <c r="D550" s="12"/>
      <c r="E550" s="249"/>
      <c r="F550" s="12"/>
      <c r="G550" s="11"/>
      <c r="K550" s="51"/>
    </row>
    <row r="551" ht="13.5" customHeight="1">
      <c r="D551" s="12"/>
      <c r="E551" s="249"/>
      <c r="F551" s="12"/>
      <c r="G551" s="11"/>
      <c r="K551" s="51"/>
    </row>
    <row r="552" ht="13.5" customHeight="1">
      <c r="D552" s="12"/>
      <c r="E552" s="249"/>
      <c r="F552" s="12"/>
      <c r="G552" s="11"/>
      <c r="K552" s="51"/>
    </row>
    <row r="553" ht="13.5" customHeight="1">
      <c r="D553" s="12"/>
      <c r="E553" s="249"/>
      <c r="F553" s="12"/>
      <c r="G553" s="11"/>
      <c r="K553" s="51"/>
    </row>
    <row r="554" ht="13.5" customHeight="1">
      <c r="D554" s="12"/>
      <c r="E554" s="249"/>
      <c r="F554" s="12"/>
      <c r="G554" s="11"/>
      <c r="K554" s="51"/>
    </row>
    <row r="555" ht="13.5" customHeight="1">
      <c r="D555" s="12"/>
      <c r="E555" s="249"/>
      <c r="F555" s="12"/>
      <c r="G555" s="11"/>
      <c r="K555" s="51"/>
    </row>
    <row r="556" ht="13.5" customHeight="1">
      <c r="D556" s="12"/>
      <c r="E556" s="249"/>
      <c r="F556" s="12"/>
      <c r="G556" s="11"/>
      <c r="K556" s="51"/>
    </row>
    <row r="557" ht="13.5" customHeight="1">
      <c r="D557" s="12"/>
      <c r="E557" s="249"/>
      <c r="F557" s="12"/>
      <c r="G557" s="11"/>
      <c r="K557" s="51"/>
    </row>
    <row r="558" ht="13.5" customHeight="1">
      <c r="D558" s="12"/>
      <c r="E558" s="249"/>
      <c r="F558" s="12"/>
      <c r="G558" s="11"/>
      <c r="K558" s="51"/>
    </row>
    <row r="559" ht="13.5" customHeight="1">
      <c r="D559" s="12"/>
      <c r="E559" s="249"/>
      <c r="F559" s="12"/>
      <c r="G559" s="11"/>
      <c r="K559" s="51"/>
    </row>
    <row r="560" ht="13.5" customHeight="1">
      <c r="D560" s="12"/>
      <c r="E560" s="249"/>
      <c r="F560" s="12"/>
      <c r="G560" s="11"/>
      <c r="K560" s="51"/>
    </row>
    <row r="561" ht="13.5" customHeight="1">
      <c r="D561" s="12"/>
      <c r="E561" s="249"/>
      <c r="F561" s="12"/>
      <c r="G561" s="11"/>
      <c r="K561" s="51"/>
    </row>
    <row r="562" ht="13.5" customHeight="1">
      <c r="D562" s="12"/>
      <c r="E562" s="249"/>
      <c r="F562" s="12"/>
      <c r="G562" s="11"/>
      <c r="K562" s="51"/>
    </row>
    <row r="563" ht="13.5" customHeight="1">
      <c r="D563" s="12"/>
      <c r="E563" s="249"/>
      <c r="F563" s="12"/>
      <c r="G563" s="11"/>
      <c r="K563" s="51"/>
    </row>
    <row r="564" ht="13.5" customHeight="1">
      <c r="D564" s="12"/>
      <c r="E564" s="249"/>
      <c r="F564" s="12"/>
      <c r="G564" s="11"/>
      <c r="K564" s="51"/>
    </row>
    <row r="565" ht="13.5" customHeight="1">
      <c r="D565" s="12"/>
      <c r="E565" s="249"/>
      <c r="F565" s="12"/>
      <c r="G565" s="11"/>
      <c r="K565" s="51"/>
    </row>
    <row r="566" ht="13.5" customHeight="1">
      <c r="D566" s="12"/>
      <c r="E566" s="249"/>
      <c r="F566" s="12"/>
      <c r="G566" s="11"/>
      <c r="K566" s="51"/>
    </row>
    <row r="567" ht="13.5" customHeight="1">
      <c r="D567" s="12"/>
      <c r="E567" s="249"/>
      <c r="F567" s="12"/>
      <c r="G567" s="11"/>
      <c r="K567" s="51"/>
    </row>
    <row r="568" ht="13.5" customHeight="1">
      <c r="D568" s="12"/>
      <c r="E568" s="249"/>
      <c r="F568" s="12"/>
      <c r="G568" s="11"/>
      <c r="K568" s="51"/>
    </row>
    <row r="569" ht="13.5" customHeight="1">
      <c r="D569" s="12"/>
      <c r="E569" s="249"/>
      <c r="F569" s="12"/>
      <c r="G569" s="11"/>
      <c r="K569" s="51"/>
    </row>
    <row r="570" ht="13.5" customHeight="1">
      <c r="D570" s="12"/>
      <c r="E570" s="249"/>
      <c r="F570" s="12"/>
      <c r="G570" s="11"/>
      <c r="K570" s="51"/>
    </row>
    <row r="571" ht="13.5" customHeight="1">
      <c r="D571" s="12"/>
      <c r="E571" s="249"/>
      <c r="F571" s="12"/>
      <c r="G571" s="11"/>
      <c r="K571" s="51"/>
    </row>
    <row r="572" ht="13.5" customHeight="1">
      <c r="D572" s="12"/>
      <c r="E572" s="249"/>
      <c r="F572" s="12"/>
      <c r="G572" s="11"/>
      <c r="K572" s="51"/>
    </row>
    <row r="573" ht="13.5" customHeight="1">
      <c r="D573" s="12"/>
      <c r="E573" s="249"/>
      <c r="F573" s="12"/>
      <c r="G573" s="11"/>
      <c r="K573" s="51"/>
    </row>
    <row r="574" ht="13.5" customHeight="1">
      <c r="D574" s="12"/>
      <c r="E574" s="249"/>
      <c r="F574" s="12"/>
      <c r="G574" s="11"/>
      <c r="K574" s="51"/>
    </row>
    <row r="575" ht="13.5" customHeight="1">
      <c r="D575" s="12"/>
      <c r="E575" s="249"/>
      <c r="F575" s="12"/>
      <c r="G575" s="11"/>
      <c r="K575" s="51"/>
    </row>
    <row r="576" ht="13.5" customHeight="1">
      <c r="D576" s="12"/>
      <c r="E576" s="249"/>
      <c r="F576" s="12"/>
      <c r="G576" s="11"/>
      <c r="K576" s="51"/>
    </row>
    <row r="577" ht="13.5" customHeight="1">
      <c r="D577" s="12"/>
      <c r="E577" s="249"/>
      <c r="F577" s="12"/>
      <c r="G577" s="11"/>
      <c r="K577" s="51"/>
    </row>
    <row r="578" ht="13.5" customHeight="1">
      <c r="D578" s="12"/>
      <c r="E578" s="249"/>
      <c r="F578" s="12"/>
      <c r="G578" s="11"/>
      <c r="K578" s="51"/>
    </row>
    <row r="579" ht="13.5" customHeight="1">
      <c r="D579" s="12"/>
      <c r="E579" s="249"/>
      <c r="F579" s="12"/>
      <c r="G579" s="11"/>
      <c r="K579" s="51"/>
    </row>
    <row r="580" ht="13.5" customHeight="1">
      <c r="D580" s="12"/>
      <c r="E580" s="249"/>
      <c r="F580" s="12"/>
      <c r="G580" s="11"/>
      <c r="K580" s="51"/>
    </row>
    <row r="581" ht="13.5" customHeight="1">
      <c r="D581" s="12"/>
      <c r="E581" s="249"/>
      <c r="F581" s="12"/>
      <c r="G581" s="11"/>
      <c r="K581" s="51"/>
    </row>
    <row r="582" ht="13.5" customHeight="1">
      <c r="D582" s="12"/>
      <c r="E582" s="249"/>
      <c r="F582" s="12"/>
      <c r="G582" s="11"/>
      <c r="K582" s="51"/>
    </row>
    <row r="583" ht="13.5" customHeight="1">
      <c r="D583" s="12"/>
      <c r="E583" s="249"/>
      <c r="F583" s="12"/>
      <c r="G583" s="11"/>
      <c r="K583" s="51"/>
    </row>
    <row r="584" ht="13.5" customHeight="1">
      <c r="D584" s="12"/>
      <c r="E584" s="249"/>
      <c r="F584" s="12"/>
      <c r="G584" s="11"/>
      <c r="K584" s="51"/>
    </row>
    <row r="585" ht="13.5" customHeight="1">
      <c r="D585" s="12"/>
      <c r="E585" s="249"/>
      <c r="F585" s="12"/>
      <c r="G585" s="11"/>
      <c r="K585" s="51"/>
    </row>
    <row r="586" ht="13.5" customHeight="1">
      <c r="D586" s="12"/>
      <c r="E586" s="249"/>
      <c r="F586" s="12"/>
      <c r="G586" s="11"/>
      <c r="K586" s="51"/>
    </row>
    <row r="587" ht="13.5" customHeight="1">
      <c r="D587" s="12"/>
      <c r="E587" s="249"/>
      <c r="F587" s="12"/>
      <c r="G587" s="11"/>
      <c r="K587" s="51"/>
    </row>
    <row r="588" ht="13.5" customHeight="1">
      <c r="D588" s="12"/>
      <c r="E588" s="249"/>
      <c r="F588" s="12"/>
      <c r="G588" s="11"/>
      <c r="K588" s="51"/>
    </row>
    <row r="589" ht="13.5" customHeight="1">
      <c r="D589" s="12"/>
      <c r="E589" s="249"/>
      <c r="F589" s="12"/>
      <c r="G589" s="11"/>
      <c r="K589" s="51"/>
    </row>
    <row r="590" ht="13.5" customHeight="1">
      <c r="D590" s="12"/>
      <c r="E590" s="249"/>
      <c r="F590" s="12"/>
      <c r="G590" s="11"/>
      <c r="K590" s="51"/>
    </row>
    <row r="591" ht="13.5" customHeight="1">
      <c r="D591" s="12"/>
      <c r="E591" s="249"/>
      <c r="F591" s="12"/>
      <c r="G591" s="11"/>
      <c r="K591" s="51"/>
    </row>
    <row r="592" ht="13.5" customHeight="1">
      <c r="D592" s="12"/>
      <c r="E592" s="249"/>
      <c r="F592" s="12"/>
      <c r="G592" s="11"/>
      <c r="K592" s="51"/>
    </row>
    <row r="593" ht="13.5" customHeight="1">
      <c r="D593" s="12"/>
      <c r="E593" s="249"/>
      <c r="F593" s="12"/>
      <c r="G593" s="11"/>
      <c r="K593" s="51"/>
    </row>
    <row r="594" ht="13.5" customHeight="1">
      <c r="D594" s="12"/>
      <c r="E594" s="249"/>
      <c r="F594" s="12"/>
      <c r="G594" s="11"/>
      <c r="K594" s="51"/>
    </row>
    <row r="595" ht="13.5" customHeight="1">
      <c r="D595" s="12"/>
      <c r="E595" s="249"/>
      <c r="F595" s="12"/>
      <c r="G595" s="11"/>
      <c r="K595" s="51"/>
    </row>
    <row r="596" ht="13.5" customHeight="1">
      <c r="D596" s="12"/>
      <c r="E596" s="249"/>
      <c r="F596" s="12"/>
      <c r="G596" s="11"/>
      <c r="K596" s="51"/>
    </row>
    <row r="597" ht="13.5" customHeight="1">
      <c r="D597" s="12"/>
      <c r="E597" s="249"/>
      <c r="F597" s="12"/>
      <c r="G597" s="11"/>
      <c r="K597" s="51"/>
    </row>
    <row r="598" ht="13.5" customHeight="1">
      <c r="D598" s="12"/>
      <c r="E598" s="249"/>
      <c r="F598" s="12"/>
      <c r="G598" s="11"/>
      <c r="K598" s="51"/>
    </row>
    <row r="599" ht="13.5" customHeight="1">
      <c r="D599" s="12"/>
      <c r="E599" s="249"/>
      <c r="F599" s="12"/>
      <c r="G599" s="11"/>
      <c r="K599" s="51"/>
    </row>
    <row r="600" ht="13.5" customHeight="1">
      <c r="D600" s="12"/>
      <c r="E600" s="249"/>
      <c r="F600" s="12"/>
      <c r="G600" s="11"/>
      <c r="K600" s="51"/>
    </row>
    <row r="601" ht="13.5" customHeight="1">
      <c r="D601" s="12"/>
      <c r="E601" s="249"/>
      <c r="F601" s="12"/>
      <c r="G601" s="11"/>
      <c r="K601" s="51"/>
    </row>
    <row r="602" ht="13.5" customHeight="1">
      <c r="D602" s="12"/>
      <c r="E602" s="249"/>
      <c r="F602" s="12"/>
      <c r="G602" s="11"/>
      <c r="K602" s="51"/>
    </row>
    <row r="603" ht="13.5" customHeight="1">
      <c r="D603" s="12"/>
      <c r="E603" s="249"/>
      <c r="F603" s="12"/>
      <c r="G603" s="11"/>
      <c r="K603" s="51"/>
    </row>
    <row r="604" ht="13.5" customHeight="1">
      <c r="D604" s="12"/>
      <c r="E604" s="249"/>
      <c r="F604" s="12"/>
      <c r="G604" s="11"/>
      <c r="K604" s="51"/>
    </row>
    <row r="605" ht="13.5" customHeight="1">
      <c r="D605" s="12"/>
      <c r="E605" s="249"/>
      <c r="F605" s="12"/>
      <c r="G605" s="11"/>
      <c r="K605" s="51"/>
    </row>
    <row r="606" ht="13.5" customHeight="1">
      <c r="D606" s="12"/>
      <c r="E606" s="249"/>
      <c r="F606" s="12"/>
      <c r="G606" s="11"/>
      <c r="K606" s="51"/>
    </row>
    <row r="607" ht="13.5" customHeight="1">
      <c r="D607" s="12"/>
      <c r="E607" s="249"/>
      <c r="F607" s="12"/>
      <c r="G607" s="11"/>
      <c r="K607" s="51"/>
    </row>
    <row r="608" ht="13.5" customHeight="1">
      <c r="D608" s="12"/>
      <c r="E608" s="249"/>
      <c r="F608" s="12"/>
      <c r="G608" s="11"/>
      <c r="K608" s="51"/>
    </row>
    <row r="609" ht="13.5" customHeight="1">
      <c r="D609" s="12"/>
      <c r="E609" s="249"/>
      <c r="F609" s="12"/>
      <c r="G609" s="11"/>
      <c r="K609" s="51"/>
    </row>
    <row r="610" ht="13.5" customHeight="1">
      <c r="D610" s="12"/>
      <c r="E610" s="249"/>
      <c r="F610" s="12"/>
      <c r="G610" s="11"/>
      <c r="K610" s="51"/>
    </row>
    <row r="611" ht="13.5" customHeight="1">
      <c r="D611" s="12"/>
      <c r="E611" s="249"/>
      <c r="F611" s="12"/>
      <c r="G611" s="11"/>
      <c r="K611" s="51"/>
    </row>
    <row r="612" ht="13.5" customHeight="1">
      <c r="D612" s="12"/>
      <c r="E612" s="249"/>
      <c r="F612" s="12"/>
      <c r="G612" s="11"/>
      <c r="K612" s="51"/>
    </row>
    <row r="613" ht="13.5" customHeight="1">
      <c r="D613" s="12"/>
      <c r="E613" s="249"/>
      <c r="F613" s="12"/>
      <c r="G613" s="11"/>
      <c r="K613" s="51"/>
    </row>
    <row r="614" ht="13.5" customHeight="1">
      <c r="D614" s="12"/>
      <c r="E614" s="249"/>
      <c r="F614" s="12"/>
      <c r="G614" s="11"/>
      <c r="K614" s="51"/>
    </row>
    <row r="615" ht="13.5" customHeight="1">
      <c r="D615" s="12"/>
      <c r="E615" s="249"/>
      <c r="F615" s="12"/>
      <c r="G615" s="11"/>
      <c r="K615" s="51"/>
    </row>
    <row r="616" ht="13.5" customHeight="1">
      <c r="D616" s="12"/>
      <c r="E616" s="249"/>
      <c r="F616" s="12"/>
      <c r="G616" s="11"/>
      <c r="K616" s="51"/>
    </row>
    <row r="617" ht="13.5" customHeight="1">
      <c r="D617" s="12"/>
      <c r="E617" s="249"/>
      <c r="F617" s="12"/>
      <c r="G617" s="11"/>
      <c r="K617" s="51"/>
    </row>
    <row r="618" ht="13.5" customHeight="1">
      <c r="D618" s="12"/>
      <c r="E618" s="249"/>
      <c r="F618" s="12"/>
      <c r="G618" s="11"/>
      <c r="K618" s="51"/>
    </row>
    <row r="619" ht="13.5" customHeight="1">
      <c r="D619" s="12"/>
      <c r="E619" s="249"/>
      <c r="F619" s="12"/>
      <c r="G619" s="11"/>
      <c r="K619" s="51"/>
    </row>
    <row r="620" ht="13.5" customHeight="1">
      <c r="D620" s="12"/>
      <c r="E620" s="249"/>
      <c r="F620" s="12"/>
      <c r="G620" s="11"/>
      <c r="K620" s="51"/>
    </row>
    <row r="621" ht="13.5" customHeight="1">
      <c r="D621" s="12"/>
      <c r="E621" s="249"/>
      <c r="F621" s="12"/>
      <c r="G621" s="11"/>
      <c r="K621" s="51"/>
    </row>
    <row r="622" ht="13.5" customHeight="1">
      <c r="D622" s="12"/>
      <c r="E622" s="249"/>
      <c r="F622" s="12"/>
      <c r="G622" s="11"/>
      <c r="K622" s="51"/>
    </row>
    <row r="623" ht="13.5" customHeight="1">
      <c r="D623" s="12"/>
      <c r="E623" s="249"/>
      <c r="F623" s="12"/>
      <c r="G623" s="11"/>
      <c r="K623" s="51"/>
    </row>
    <row r="624" ht="13.5" customHeight="1">
      <c r="D624" s="12"/>
      <c r="E624" s="249"/>
      <c r="F624" s="12"/>
      <c r="G624" s="11"/>
      <c r="K624" s="51"/>
    </row>
    <row r="625" ht="13.5" customHeight="1">
      <c r="D625" s="12"/>
      <c r="E625" s="249"/>
      <c r="F625" s="12"/>
      <c r="G625" s="11"/>
      <c r="K625" s="51"/>
    </row>
    <row r="626" ht="13.5" customHeight="1">
      <c r="D626" s="12"/>
      <c r="E626" s="249"/>
      <c r="F626" s="12"/>
      <c r="G626" s="11"/>
      <c r="K626" s="51"/>
    </row>
    <row r="627" ht="13.5" customHeight="1">
      <c r="D627" s="12"/>
      <c r="E627" s="249"/>
      <c r="F627" s="12"/>
      <c r="G627" s="11"/>
      <c r="K627" s="51"/>
    </row>
    <row r="628" ht="13.5" customHeight="1">
      <c r="D628" s="12"/>
      <c r="E628" s="249"/>
      <c r="F628" s="12"/>
      <c r="G628" s="11"/>
      <c r="K628" s="51"/>
    </row>
    <row r="629" ht="13.5" customHeight="1">
      <c r="D629" s="12"/>
      <c r="E629" s="249"/>
      <c r="F629" s="12"/>
      <c r="G629" s="11"/>
      <c r="K629" s="51"/>
    </row>
    <row r="630" ht="13.5" customHeight="1">
      <c r="D630" s="12"/>
      <c r="E630" s="249"/>
      <c r="F630" s="12"/>
      <c r="G630" s="11"/>
      <c r="K630" s="51"/>
    </row>
    <row r="631" ht="13.5" customHeight="1">
      <c r="D631" s="12"/>
      <c r="E631" s="249"/>
      <c r="F631" s="12"/>
      <c r="G631" s="11"/>
      <c r="K631" s="51"/>
    </row>
    <row r="632" ht="13.5" customHeight="1">
      <c r="D632" s="12"/>
      <c r="E632" s="249"/>
      <c r="F632" s="12"/>
      <c r="G632" s="11"/>
      <c r="K632" s="51"/>
    </row>
    <row r="633" ht="13.5" customHeight="1">
      <c r="D633" s="12"/>
      <c r="E633" s="249"/>
      <c r="F633" s="12"/>
      <c r="G633" s="11"/>
      <c r="K633" s="51"/>
    </row>
    <row r="634" ht="13.5" customHeight="1">
      <c r="D634" s="12"/>
      <c r="E634" s="249"/>
      <c r="F634" s="12"/>
      <c r="G634" s="11"/>
      <c r="K634" s="51"/>
    </row>
    <row r="635" ht="13.5" customHeight="1">
      <c r="D635" s="12"/>
      <c r="E635" s="249"/>
      <c r="F635" s="12"/>
      <c r="G635" s="11"/>
      <c r="K635" s="51"/>
    </row>
    <row r="636" ht="13.5" customHeight="1">
      <c r="D636" s="12"/>
      <c r="E636" s="249"/>
      <c r="F636" s="12"/>
      <c r="G636" s="11"/>
      <c r="K636" s="51"/>
    </row>
    <row r="637" ht="13.5" customHeight="1">
      <c r="D637" s="12"/>
      <c r="E637" s="249"/>
      <c r="F637" s="12"/>
      <c r="G637" s="11"/>
      <c r="K637" s="51"/>
    </row>
    <row r="638" ht="13.5" customHeight="1">
      <c r="D638" s="12"/>
      <c r="E638" s="249"/>
      <c r="F638" s="12"/>
      <c r="G638" s="11"/>
      <c r="K638" s="51"/>
    </row>
    <row r="639" ht="13.5" customHeight="1">
      <c r="D639" s="12"/>
      <c r="E639" s="249"/>
      <c r="F639" s="12"/>
      <c r="G639" s="11"/>
      <c r="K639" s="51"/>
    </row>
    <row r="640" ht="13.5" customHeight="1">
      <c r="D640" s="12"/>
      <c r="E640" s="249"/>
      <c r="F640" s="12"/>
      <c r="G640" s="11"/>
      <c r="K640" s="51"/>
    </row>
    <row r="641" ht="13.5" customHeight="1">
      <c r="D641" s="12"/>
      <c r="E641" s="249"/>
      <c r="F641" s="12"/>
      <c r="G641" s="11"/>
      <c r="K641" s="51"/>
    </row>
    <row r="642" ht="13.5" customHeight="1">
      <c r="D642" s="12"/>
      <c r="E642" s="249"/>
      <c r="F642" s="12"/>
      <c r="G642" s="11"/>
      <c r="K642" s="51"/>
    </row>
    <row r="643" ht="13.5" customHeight="1">
      <c r="D643" s="12"/>
      <c r="E643" s="249"/>
      <c r="F643" s="12"/>
      <c r="G643" s="11"/>
      <c r="K643" s="51"/>
    </row>
    <row r="644" ht="13.5" customHeight="1">
      <c r="D644" s="12"/>
      <c r="E644" s="249"/>
      <c r="F644" s="12"/>
      <c r="G644" s="11"/>
      <c r="K644" s="51"/>
    </row>
    <row r="645" ht="13.5" customHeight="1">
      <c r="D645" s="12"/>
      <c r="E645" s="249"/>
      <c r="F645" s="12"/>
      <c r="G645" s="11"/>
      <c r="K645" s="51"/>
    </row>
    <row r="646" ht="13.5" customHeight="1">
      <c r="D646" s="12"/>
      <c r="E646" s="249"/>
      <c r="F646" s="12"/>
      <c r="G646" s="11"/>
      <c r="K646" s="51"/>
    </row>
    <row r="647" ht="13.5" customHeight="1">
      <c r="D647" s="12"/>
      <c r="E647" s="249"/>
      <c r="F647" s="12"/>
      <c r="G647" s="11"/>
      <c r="K647" s="51"/>
    </row>
    <row r="648" ht="13.5" customHeight="1">
      <c r="D648" s="12"/>
      <c r="E648" s="249"/>
      <c r="F648" s="12"/>
      <c r="G648" s="11"/>
      <c r="K648" s="51"/>
    </row>
    <row r="649" ht="13.5" customHeight="1">
      <c r="D649" s="12"/>
      <c r="E649" s="249"/>
      <c r="F649" s="12"/>
      <c r="G649" s="11"/>
      <c r="K649" s="51"/>
    </row>
    <row r="650" ht="13.5" customHeight="1">
      <c r="D650" s="12"/>
      <c r="E650" s="249"/>
      <c r="F650" s="12"/>
      <c r="G650" s="11"/>
      <c r="K650" s="51"/>
    </row>
    <row r="651" ht="13.5" customHeight="1">
      <c r="D651" s="12"/>
      <c r="E651" s="249"/>
      <c r="F651" s="12"/>
      <c r="G651" s="11"/>
      <c r="K651" s="51"/>
    </row>
    <row r="652" ht="13.5" customHeight="1">
      <c r="D652" s="12"/>
      <c r="E652" s="249"/>
      <c r="F652" s="12"/>
      <c r="G652" s="11"/>
      <c r="K652" s="51"/>
    </row>
    <row r="653" ht="13.5" customHeight="1">
      <c r="D653" s="12"/>
      <c r="E653" s="249"/>
      <c r="F653" s="12"/>
      <c r="G653" s="11"/>
      <c r="K653" s="51"/>
    </row>
    <row r="654" ht="13.5" customHeight="1">
      <c r="D654" s="12"/>
      <c r="E654" s="249"/>
      <c r="F654" s="12"/>
      <c r="G654" s="11"/>
      <c r="K654" s="51"/>
    </row>
    <row r="655" ht="13.5" customHeight="1">
      <c r="D655" s="12"/>
      <c r="E655" s="249"/>
      <c r="F655" s="12"/>
      <c r="G655" s="11"/>
      <c r="K655" s="51"/>
    </row>
    <row r="656" ht="13.5" customHeight="1">
      <c r="D656" s="12"/>
      <c r="E656" s="249"/>
      <c r="F656" s="12"/>
      <c r="G656" s="11"/>
      <c r="K656" s="51"/>
    </row>
    <row r="657" ht="13.5" customHeight="1">
      <c r="D657" s="12"/>
      <c r="E657" s="249"/>
      <c r="F657" s="12"/>
      <c r="G657" s="11"/>
      <c r="K657" s="51"/>
    </row>
    <row r="658" ht="13.5" customHeight="1">
      <c r="D658" s="12"/>
      <c r="E658" s="249"/>
      <c r="F658" s="12"/>
      <c r="G658" s="11"/>
      <c r="K658" s="51"/>
    </row>
    <row r="659" ht="13.5" customHeight="1">
      <c r="D659" s="12"/>
      <c r="E659" s="249"/>
      <c r="F659" s="12"/>
      <c r="G659" s="11"/>
      <c r="K659" s="51"/>
    </row>
    <row r="660" ht="13.5" customHeight="1">
      <c r="D660" s="12"/>
      <c r="E660" s="249"/>
      <c r="F660" s="12"/>
      <c r="G660" s="11"/>
      <c r="K660" s="51"/>
    </row>
    <row r="661" ht="13.5" customHeight="1">
      <c r="D661" s="12"/>
      <c r="E661" s="249"/>
      <c r="F661" s="12"/>
      <c r="G661" s="11"/>
      <c r="K661" s="51"/>
    </row>
    <row r="662" ht="13.5" customHeight="1">
      <c r="D662" s="12"/>
      <c r="E662" s="249"/>
      <c r="F662" s="12"/>
      <c r="G662" s="11"/>
      <c r="K662" s="51"/>
    </row>
    <row r="663" ht="13.5" customHeight="1">
      <c r="D663" s="12"/>
      <c r="E663" s="249"/>
      <c r="F663" s="12"/>
      <c r="G663" s="11"/>
      <c r="K663" s="51"/>
    </row>
    <row r="664" ht="13.5" customHeight="1">
      <c r="D664" s="12"/>
      <c r="E664" s="249"/>
      <c r="F664" s="12"/>
      <c r="G664" s="11"/>
      <c r="K664" s="51"/>
    </row>
    <row r="665" ht="13.5" customHeight="1">
      <c r="D665" s="12"/>
      <c r="E665" s="249"/>
      <c r="F665" s="12"/>
      <c r="G665" s="11"/>
      <c r="K665" s="51"/>
    </row>
    <row r="666" ht="13.5" customHeight="1">
      <c r="D666" s="12"/>
      <c r="E666" s="249"/>
      <c r="F666" s="12"/>
      <c r="G666" s="11"/>
      <c r="K666" s="51"/>
    </row>
    <row r="667" ht="13.5" customHeight="1">
      <c r="D667" s="12"/>
      <c r="E667" s="249"/>
      <c r="F667" s="12"/>
      <c r="G667" s="11"/>
      <c r="K667" s="51"/>
    </row>
    <row r="668" ht="13.5" customHeight="1">
      <c r="D668" s="12"/>
      <c r="E668" s="249"/>
      <c r="F668" s="12"/>
      <c r="G668" s="11"/>
      <c r="K668" s="51"/>
    </row>
    <row r="669" ht="13.5" customHeight="1">
      <c r="D669" s="12"/>
      <c r="E669" s="249"/>
      <c r="F669" s="12"/>
      <c r="G669" s="11"/>
      <c r="K669" s="51"/>
    </row>
    <row r="670" ht="13.5" customHeight="1">
      <c r="D670" s="12"/>
      <c r="E670" s="249"/>
      <c r="F670" s="12"/>
      <c r="G670" s="11"/>
      <c r="K670" s="51"/>
    </row>
    <row r="671" ht="13.5" customHeight="1">
      <c r="D671" s="12"/>
      <c r="E671" s="249"/>
      <c r="F671" s="12"/>
      <c r="G671" s="11"/>
      <c r="K671" s="51"/>
    </row>
    <row r="672" ht="13.5" customHeight="1">
      <c r="D672" s="12"/>
      <c r="E672" s="249"/>
      <c r="F672" s="12"/>
      <c r="G672" s="11"/>
      <c r="K672" s="51"/>
    </row>
    <row r="673" ht="13.5" customHeight="1">
      <c r="D673" s="12"/>
      <c r="E673" s="249"/>
      <c r="F673" s="12"/>
      <c r="G673" s="11"/>
      <c r="K673" s="51"/>
    </row>
    <row r="674" ht="13.5" customHeight="1">
      <c r="D674" s="12"/>
      <c r="E674" s="249"/>
      <c r="F674" s="12"/>
      <c r="G674" s="11"/>
      <c r="K674" s="51"/>
    </row>
    <row r="675" ht="13.5" customHeight="1">
      <c r="D675" s="12"/>
      <c r="E675" s="249"/>
      <c r="F675" s="12"/>
      <c r="G675" s="11"/>
      <c r="K675" s="51"/>
    </row>
    <row r="676" ht="13.5" customHeight="1">
      <c r="D676" s="12"/>
      <c r="E676" s="249"/>
      <c r="F676" s="12"/>
      <c r="G676" s="11"/>
      <c r="K676" s="51"/>
    </row>
    <row r="677" ht="13.5" customHeight="1">
      <c r="D677" s="12"/>
      <c r="E677" s="249"/>
      <c r="F677" s="12"/>
      <c r="G677" s="11"/>
      <c r="K677" s="51"/>
    </row>
    <row r="678" ht="13.5" customHeight="1">
      <c r="D678" s="12"/>
      <c r="E678" s="249"/>
      <c r="F678" s="12"/>
      <c r="G678" s="11"/>
      <c r="K678" s="51"/>
    </row>
    <row r="679" ht="13.5" customHeight="1">
      <c r="D679" s="12"/>
      <c r="E679" s="249"/>
      <c r="F679" s="12"/>
      <c r="G679" s="11"/>
      <c r="K679" s="51"/>
    </row>
    <row r="680" ht="13.5" customHeight="1">
      <c r="D680" s="12"/>
      <c r="E680" s="249"/>
      <c r="F680" s="12"/>
      <c r="G680" s="11"/>
      <c r="K680" s="51"/>
    </row>
    <row r="681" ht="13.5" customHeight="1">
      <c r="D681" s="12"/>
      <c r="E681" s="249"/>
      <c r="F681" s="12"/>
      <c r="G681" s="11"/>
      <c r="K681" s="51"/>
    </row>
    <row r="682" ht="13.5" customHeight="1">
      <c r="D682" s="12"/>
      <c r="E682" s="249"/>
      <c r="F682" s="12"/>
      <c r="G682" s="11"/>
      <c r="K682" s="51"/>
    </row>
    <row r="683" ht="13.5" customHeight="1">
      <c r="D683" s="12"/>
      <c r="E683" s="249"/>
      <c r="F683" s="12"/>
      <c r="G683" s="11"/>
      <c r="K683" s="51"/>
    </row>
    <row r="684" ht="13.5" customHeight="1">
      <c r="D684" s="12"/>
      <c r="E684" s="249"/>
      <c r="F684" s="12"/>
      <c r="G684" s="11"/>
      <c r="K684" s="51"/>
    </row>
    <row r="685" ht="13.5" customHeight="1">
      <c r="D685" s="12"/>
      <c r="E685" s="249"/>
      <c r="F685" s="12"/>
      <c r="G685" s="11"/>
      <c r="K685" s="51"/>
    </row>
    <row r="686" ht="13.5" customHeight="1">
      <c r="D686" s="12"/>
      <c r="E686" s="249"/>
      <c r="F686" s="12"/>
      <c r="G686" s="11"/>
      <c r="K686" s="51"/>
    </row>
    <row r="687" ht="13.5" customHeight="1">
      <c r="D687" s="12"/>
      <c r="E687" s="249"/>
      <c r="F687" s="12"/>
      <c r="G687" s="11"/>
      <c r="K687" s="51"/>
    </row>
    <row r="688" ht="13.5" customHeight="1">
      <c r="D688" s="12"/>
      <c r="E688" s="249"/>
      <c r="F688" s="12"/>
      <c r="G688" s="11"/>
      <c r="K688" s="51"/>
    </row>
    <row r="689" ht="13.5" customHeight="1">
      <c r="D689" s="12"/>
      <c r="E689" s="249"/>
      <c r="F689" s="12"/>
      <c r="G689" s="11"/>
      <c r="K689" s="51"/>
    </row>
    <row r="690" ht="13.5" customHeight="1">
      <c r="D690" s="12"/>
      <c r="E690" s="249"/>
      <c r="F690" s="12"/>
      <c r="G690" s="11"/>
      <c r="K690" s="51"/>
    </row>
    <row r="691" ht="13.5" customHeight="1">
      <c r="D691" s="12"/>
      <c r="E691" s="249"/>
      <c r="F691" s="12"/>
      <c r="G691" s="11"/>
      <c r="K691" s="51"/>
    </row>
    <row r="692" ht="13.5" customHeight="1">
      <c r="D692" s="12"/>
      <c r="E692" s="249"/>
      <c r="F692" s="12"/>
      <c r="G692" s="11"/>
      <c r="K692" s="51"/>
    </row>
    <row r="693" ht="13.5" customHeight="1">
      <c r="D693" s="12"/>
      <c r="E693" s="249"/>
      <c r="F693" s="12"/>
      <c r="G693" s="11"/>
      <c r="K693" s="51"/>
    </row>
    <row r="694" ht="13.5" customHeight="1">
      <c r="D694" s="12"/>
      <c r="E694" s="249"/>
      <c r="F694" s="12"/>
      <c r="G694" s="11"/>
      <c r="K694" s="51"/>
    </row>
    <row r="695" ht="13.5" customHeight="1">
      <c r="D695" s="12"/>
      <c r="E695" s="249"/>
      <c r="F695" s="12"/>
      <c r="G695" s="11"/>
      <c r="K695" s="51"/>
    </row>
    <row r="696" ht="13.5" customHeight="1">
      <c r="D696" s="12"/>
      <c r="E696" s="249"/>
      <c r="F696" s="12"/>
      <c r="G696" s="11"/>
      <c r="K696" s="51"/>
    </row>
    <row r="697" ht="13.5" customHeight="1">
      <c r="D697" s="12"/>
      <c r="E697" s="249"/>
      <c r="F697" s="12"/>
      <c r="G697" s="11"/>
      <c r="K697" s="51"/>
    </row>
    <row r="698" ht="13.5" customHeight="1">
      <c r="D698" s="12"/>
      <c r="E698" s="249"/>
      <c r="F698" s="12"/>
      <c r="G698" s="11"/>
      <c r="K698" s="51"/>
    </row>
    <row r="699" ht="13.5" customHeight="1">
      <c r="D699" s="12"/>
      <c r="E699" s="249"/>
      <c r="F699" s="12"/>
      <c r="G699" s="11"/>
      <c r="K699" s="51"/>
    </row>
    <row r="700" ht="13.5" customHeight="1">
      <c r="D700" s="12"/>
      <c r="E700" s="249"/>
      <c r="F700" s="12"/>
      <c r="G700" s="11"/>
      <c r="K700" s="51"/>
    </row>
    <row r="701" ht="13.5" customHeight="1">
      <c r="D701" s="12"/>
      <c r="E701" s="249"/>
      <c r="F701" s="12"/>
      <c r="G701" s="11"/>
      <c r="K701" s="51"/>
    </row>
    <row r="702" ht="13.5" customHeight="1">
      <c r="D702" s="12"/>
      <c r="E702" s="249"/>
      <c r="F702" s="12"/>
      <c r="G702" s="11"/>
      <c r="K702" s="51"/>
    </row>
    <row r="703" ht="13.5" customHeight="1">
      <c r="D703" s="12"/>
      <c r="E703" s="249"/>
      <c r="F703" s="12"/>
      <c r="G703" s="11"/>
      <c r="K703" s="51"/>
    </row>
    <row r="704" ht="13.5" customHeight="1">
      <c r="D704" s="12"/>
      <c r="E704" s="249"/>
      <c r="F704" s="12"/>
      <c r="G704" s="11"/>
      <c r="K704" s="51"/>
    </row>
    <row r="705" ht="13.5" customHeight="1">
      <c r="D705" s="12"/>
      <c r="E705" s="249"/>
      <c r="F705" s="12"/>
      <c r="G705" s="11"/>
      <c r="K705" s="51"/>
    </row>
    <row r="706" ht="13.5" customHeight="1">
      <c r="D706" s="12"/>
      <c r="E706" s="249"/>
      <c r="F706" s="12"/>
      <c r="G706" s="11"/>
      <c r="K706" s="51"/>
    </row>
    <row r="707" ht="13.5" customHeight="1">
      <c r="D707" s="12"/>
      <c r="E707" s="249"/>
      <c r="F707" s="12"/>
      <c r="G707" s="11"/>
      <c r="K707" s="51"/>
    </row>
    <row r="708" ht="13.5" customHeight="1">
      <c r="D708" s="12"/>
      <c r="E708" s="249"/>
      <c r="F708" s="12"/>
      <c r="G708" s="11"/>
      <c r="K708" s="51"/>
    </row>
    <row r="709" ht="13.5" customHeight="1">
      <c r="D709" s="12"/>
      <c r="E709" s="249"/>
      <c r="F709" s="12"/>
      <c r="G709" s="11"/>
      <c r="K709" s="51"/>
    </row>
    <row r="710" ht="13.5" customHeight="1">
      <c r="D710" s="12"/>
      <c r="E710" s="249"/>
      <c r="F710" s="12"/>
      <c r="G710" s="11"/>
      <c r="K710" s="51"/>
    </row>
    <row r="711" ht="13.5" customHeight="1">
      <c r="D711" s="12"/>
      <c r="E711" s="249"/>
      <c r="F711" s="12"/>
      <c r="G711" s="11"/>
      <c r="K711" s="51"/>
    </row>
    <row r="712" ht="13.5" customHeight="1">
      <c r="D712" s="12"/>
      <c r="E712" s="249"/>
      <c r="F712" s="12"/>
      <c r="G712" s="11"/>
      <c r="K712" s="51"/>
    </row>
    <row r="713" ht="13.5" customHeight="1">
      <c r="D713" s="12"/>
      <c r="E713" s="249"/>
      <c r="F713" s="12"/>
      <c r="G713" s="11"/>
      <c r="K713" s="51"/>
    </row>
    <row r="714" ht="13.5" customHeight="1">
      <c r="D714" s="12"/>
      <c r="E714" s="249"/>
      <c r="F714" s="12"/>
      <c r="G714" s="11"/>
      <c r="K714" s="51"/>
    </row>
    <row r="715" ht="13.5" customHeight="1">
      <c r="D715" s="12"/>
      <c r="E715" s="249"/>
      <c r="F715" s="12"/>
      <c r="G715" s="11"/>
      <c r="K715" s="51"/>
    </row>
    <row r="716" ht="13.5" customHeight="1">
      <c r="D716" s="12"/>
      <c r="E716" s="249"/>
      <c r="F716" s="12"/>
      <c r="G716" s="11"/>
      <c r="K716" s="51"/>
    </row>
    <row r="717" ht="13.5" customHeight="1">
      <c r="D717" s="12"/>
      <c r="E717" s="249"/>
      <c r="F717" s="12"/>
      <c r="G717" s="11"/>
      <c r="K717" s="51"/>
    </row>
    <row r="718" ht="13.5" customHeight="1">
      <c r="D718" s="12"/>
      <c r="E718" s="249"/>
      <c r="F718" s="12"/>
      <c r="G718" s="11"/>
      <c r="K718" s="51"/>
    </row>
    <row r="719" ht="13.5" customHeight="1">
      <c r="D719" s="12"/>
      <c r="E719" s="249"/>
      <c r="F719" s="12"/>
      <c r="G719" s="11"/>
      <c r="K719" s="51"/>
    </row>
    <row r="720" ht="13.5" customHeight="1">
      <c r="D720" s="12"/>
      <c r="E720" s="249"/>
      <c r="F720" s="12"/>
      <c r="G720" s="11"/>
      <c r="K720" s="51"/>
    </row>
    <row r="721" ht="13.5" customHeight="1">
      <c r="D721" s="12"/>
      <c r="E721" s="249"/>
      <c r="F721" s="12"/>
      <c r="G721" s="11"/>
      <c r="K721" s="51"/>
    </row>
    <row r="722" ht="13.5" customHeight="1">
      <c r="D722" s="12"/>
      <c r="E722" s="249"/>
      <c r="F722" s="12"/>
      <c r="G722" s="11"/>
      <c r="K722" s="51"/>
    </row>
    <row r="723" ht="13.5" customHeight="1">
      <c r="D723" s="12"/>
      <c r="E723" s="249"/>
      <c r="F723" s="12"/>
      <c r="G723" s="11"/>
      <c r="K723" s="51"/>
    </row>
    <row r="724" ht="13.5" customHeight="1">
      <c r="D724" s="12"/>
      <c r="E724" s="249"/>
      <c r="F724" s="12"/>
      <c r="G724" s="11"/>
      <c r="K724" s="51"/>
    </row>
    <row r="725" ht="13.5" customHeight="1">
      <c r="D725" s="12"/>
      <c r="E725" s="249"/>
      <c r="F725" s="12"/>
      <c r="G725" s="11"/>
      <c r="K725" s="51"/>
    </row>
    <row r="726" ht="13.5" customHeight="1">
      <c r="D726" s="12"/>
      <c r="E726" s="249"/>
      <c r="F726" s="12"/>
      <c r="G726" s="11"/>
      <c r="K726" s="51"/>
    </row>
    <row r="727" ht="13.5" customHeight="1">
      <c r="D727" s="12"/>
      <c r="E727" s="249"/>
      <c r="F727" s="12"/>
      <c r="G727" s="11"/>
      <c r="K727" s="51"/>
    </row>
    <row r="728" ht="13.5" customHeight="1">
      <c r="D728" s="12"/>
      <c r="E728" s="249"/>
      <c r="F728" s="12"/>
      <c r="G728" s="11"/>
      <c r="K728" s="51"/>
    </row>
    <row r="729" ht="13.5" customHeight="1">
      <c r="D729" s="12"/>
      <c r="E729" s="249"/>
      <c r="F729" s="12"/>
      <c r="G729" s="11"/>
      <c r="K729" s="51"/>
    </row>
    <row r="730" ht="13.5" customHeight="1">
      <c r="D730" s="12"/>
      <c r="E730" s="249"/>
      <c r="F730" s="12"/>
      <c r="G730" s="11"/>
      <c r="K730" s="51"/>
    </row>
    <row r="731" ht="13.5" customHeight="1">
      <c r="D731" s="12"/>
      <c r="E731" s="249"/>
      <c r="F731" s="12"/>
      <c r="G731" s="11"/>
      <c r="K731" s="51"/>
    </row>
    <row r="732" ht="13.5" customHeight="1">
      <c r="D732" s="12"/>
      <c r="E732" s="249"/>
      <c r="F732" s="12"/>
      <c r="G732" s="11"/>
      <c r="K732" s="51"/>
    </row>
    <row r="733" ht="13.5" customHeight="1">
      <c r="D733" s="12"/>
      <c r="E733" s="249"/>
      <c r="F733" s="12"/>
      <c r="G733" s="11"/>
      <c r="K733" s="51"/>
    </row>
    <row r="734" ht="13.5" customHeight="1">
      <c r="D734" s="12"/>
      <c r="E734" s="249"/>
      <c r="F734" s="12"/>
      <c r="G734" s="11"/>
      <c r="K734" s="51"/>
    </row>
    <row r="735" ht="13.5" customHeight="1">
      <c r="D735" s="12"/>
      <c r="E735" s="249"/>
      <c r="F735" s="12"/>
      <c r="G735" s="11"/>
      <c r="K735" s="51"/>
    </row>
    <row r="736" ht="13.5" customHeight="1">
      <c r="D736" s="12"/>
      <c r="E736" s="249"/>
      <c r="F736" s="12"/>
      <c r="G736" s="11"/>
      <c r="K736" s="51"/>
    </row>
    <row r="737" ht="13.5" customHeight="1">
      <c r="D737" s="12"/>
      <c r="E737" s="249"/>
      <c r="F737" s="12"/>
      <c r="G737" s="11"/>
      <c r="K737" s="51"/>
    </row>
    <row r="738" ht="13.5" customHeight="1">
      <c r="D738" s="12"/>
      <c r="E738" s="249"/>
      <c r="F738" s="12"/>
      <c r="G738" s="11"/>
      <c r="K738" s="51"/>
    </row>
    <row r="739" ht="13.5" customHeight="1">
      <c r="D739" s="12"/>
      <c r="E739" s="249"/>
      <c r="F739" s="12"/>
      <c r="G739" s="11"/>
      <c r="K739" s="51"/>
    </row>
    <row r="740" ht="13.5" customHeight="1">
      <c r="D740" s="12"/>
      <c r="E740" s="249"/>
      <c r="F740" s="12"/>
      <c r="G740" s="11"/>
      <c r="K740" s="51"/>
    </row>
    <row r="741" ht="13.5" customHeight="1">
      <c r="D741" s="12"/>
      <c r="E741" s="249"/>
      <c r="F741" s="12"/>
      <c r="G741" s="11"/>
      <c r="K741" s="51"/>
    </row>
    <row r="742" ht="13.5" customHeight="1">
      <c r="D742" s="12"/>
      <c r="E742" s="249"/>
      <c r="F742" s="12"/>
      <c r="G742" s="11"/>
      <c r="K742" s="51"/>
    </row>
    <row r="743" ht="13.5" customHeight="1">
      <c r="D743" s="12"/>
      <c r="E743" s="249"/>
      <c r="F743" s="12"/>
      <c r="G743" s="11"/>
      <c r="K743" s="51"/>
    </row>
    <row r="744" ht="13.5" customHeight="1">
      <c r="D744" s="12"/>
      <c r="E744" s="249"/>
      <c r="F744" s="12"/>
      <c r="G744" s="11"/>
      <c r="K744" s="51"/>
    </row>
    <row r="745" ht="13.5" customHeight="1">
      <c r="D745" s="12"/>
      <c r="E745" s="249"/>
      <c r="F745" s="12"/>
      <c r="G745" s="11"/>
      <c r="K745" s="51"/>
    </row>
    <row r="746" ht="13.5" customHeight="1">
      <c r="D746" s="12"/>
      <c r="E746" s="249"/>
      <c r="F746" s="12"/>
      <c r="G746" s="11"/>
      <c r="K746" s="51"/>
    </row>
    <row r="747" ht="13.5" customHeight="1">
      <c r="D747" s="12"/>
      <c r="E747" s="249"/>
      <c r="F747" s="12"/>
      <c r="G747" s="11"/>
      <c r="K747" s="51"/>
    </row>
    <row r="748" ht="13.5" customHeight="1">
      <c r="D748" s="12"/>
      <c r="E748" s="249"/>
      <c r="F748" s="12"/>
      <c r="G748" s="11"/>
      <c r="K748" s="51"/>
    </row>
    <row r="749" ht="13.5" customHeight="1">
      <c r="D749" s="12"/>
      <c r="E749" s="249"/>
      <c r="F749" s="12"/>
      <c r="G749" s="11"/>
      <c r="K749" s="51"/>
    </row>
    <row r="750" ht="13.5" customHeight="1">
      <c r="D750" s="12"/>
      <c r="E750" s="249"/>
      <c r="F750" s="12"/>
      <c r="G750" s="11"/>
      <c r="K750" s="51"/>
    </row>
    <row r="751" ht="13.5" customHeight="1">
      <c r="D751" s="12"/>
      <c r="E751" s="249"/>
      <c r="F751" s="12"/>
      <c r="G751" s="11"/>
      <c r="K751" s="51"/>
    </row>
    <row r="752" ht="13.5" customHeight="1">
      <c r="D752" s="12"/>
      <c r="E752" s="249"/>
      <c r="F752" s="12"/>
      <c r="G752" s="11"/>
      <c r="K752" s="51"/>
    </row>
    <row r="753" ht="13.5" customHeight="1">
      <c r="D753" s="12"/>
      <c r="E753" s="249"/>
      <c r="F753" s="12"/>
      <c r="G753" s="11"/>
      <c r="K753" s="51"/>
    </row>
    <row r="754" ht="13.5" customHeight="1">
      <c r="D754" s="12"/>
      <c r="E754" s="249"/>
      <c r="F754" s="12"/>
      <c r="G754" s="11"/>
      <c r="K754" s="51"/>
    </row>
    <row r="755" ht="13.5" customHeight="1">
      <c r="D755" s="12"/>
      <c r="E755" s="249"/>
      <c r="F755" s="12"/>
      <c r="G755" s="11"/>
      <c r="K755" s="51"/>
    </row>
    <row r="756" ht="13.5" customHeight="1">
      <c r="D756" s="12"/>
      <c r="E756" s="249"/>
      <c r="F756" s="12"/>
      <c r="G756" s="11"/>
      <c r="K756" s="51"/>
    </row>
    <row r="757" ht="13.5" customHeight="1">
      <c r="D757" s="12"/>
      <c r="E757" s="249"/>
      <c r="F757" s="12"/>
      <c r="G757" s="11"/>
      <c r="K757" s="51"/>
    </row>
    <row r="758" ht="13.5" customHeight="1">
      <c r="D758" s="12"/>
      <c r="E758" s="249"/>
      <c r="F758" s="12"/>
      <c r="G758" s="11"/>
      <c r="K758" s="51"/>
    </row>
    <row r="759" ht="13.5" customHeight="1">
      <c r="D759" s="12"/>
      <c r="E759" s="249"/>
      <c r="F759" s="12"/>
      <c r="G759" s="11"/>
      <c r="K759" s="51"/>
    </row>
    <row r="760" ht="13.5" customHeight="1">
      <c r="D760" s="12"/>
      <c r="E760" s="249"/>
      <c r="F760" s="12"/>
      <c r="G760" s="11"/>
      <c r="K760" s="51"/>
    </row>
    <row r="761" ht="13.5" customHeight="1">
      <c r="D761" s="12"/>
      <c r="E761" s="249"/>
      <c r="F761" s="12"/>
      <c r="G761" s="11"/>
      <c r="K761" s="51"/>
    </row>
    <row r="762" ht="13.5" customHeight="1">
      <c r="D762" s="12"/>
      <c r="E762" s="249"/>
      <c r="F762" s="12"/>
      <c r="G762" s="11"/>
      <c r="K762" s="51"/>
    </row>
    <row r="763" ht="13.5" customHeight="1">
      <c r="D763" s="12"/>
      <c r="E763" s="249"/>
      <c r="F763" s="12"/>
      <c r="G763" s="11"/>
      <c r="K763" s="51"/>
    </row>
    <row r="764" ht="13.5" customHeight="1">
      <c r="D764" s="12"/>
      <c r="E764" s="249"/>
      <c r="F764" s="12"/>
      <c r="G764" s="11"/>
      <c r="K764" s="51"/>
    </row>
    <row r="765" ht="13.5" customHeight="1">
      <c r="D765" s="12"/>
      <c r="E765" s="249"/>
      <c r="F765" s="12"/>
      <c r="G765" s="11"/>
      <c r="K765" s="51"/>
    </row>
    <row r="766" ht="13.5" customHeight="1">
      <c r="D766" s="12"/>
      <c r="E766" s="249"/>
      <c r="F766" s="12"/>
      <c r="G766" s="11"/>
      <c r="K766" s="51"/>
    </row>
    <row r="767" ht="13.5" customHeight="1">
      <c r="D767" s="12"/>
      <c r="E767" s="249"/>
      <c r="F767" s="12"/>
      <c r="G767" s="11"/>
      <c r="K767" s="51"/>
    </row>
    <row r="768" ht="13.5" customHeight="1">
      <c r="D768" s="12"/>
      <c r="E768" s="249"/>
      <c r="F768" s="12"/>
      <c r="G768" s="11"/>
      <c r="K768" s="51"/>
    </row>
    <row r="769" ht="13.5" customHeight="1">
      <c r="D769" s="12"/>
      <c r="E769" s="249"/>
      <c r="F769" s="12"/>
      <c r="G769" s="11"/>
      <c r="K769" s="51"/>
    </row>
    <row r="770" ht="13.5" customHeight="1">
      <c r="D770" s="12"/>
      <c r="E770" s="249"/>
      <c r="F770" s="12"/>
      <c r="G770" s="11"/>
      <c r="K770" s="51"/>
    </row>
    <row r="771" ht="13.5" customHeight="1">
      <c r="D771" s="12"/>
      <c r="E771" s="249"/>
      <c r="F771" s="12"/>
      <c r="G771" s="11"/>
      <c r="K771" s="51"/>
    </row>
    <row r="772" ht="13.5" customHeight="1">
      <c r="D772" s="12"/>
      <c r="E772" s="249"/>
      <c r="F772" s="12"/>
      <c r="G772" s="11"/>
      <c r="K772" s="51"/>
    </row>
    <row r="773" ht="13.5" customHeight="1">
      <c r="D773" s="12"/>
      <c r="E773" s="249"/>
      <c r="F773" s="12"/>
      <c r="G773" s="11"/>
      <c r="K773" s="51"/>
    </row>
    <row r="774" ht="13.5" customHeight="1">
      <c r="D774" s="12"/>
      <c r="E774" s="249"/>
      <c r="F774" s="12"/>
      <c r="G774" s="11"/>
      <c r="K774" s="51"/>
    </row>
    <row r="775" ht="13.5" customHeight="1">
      <c r="D775" s="12"/>
      <c r="E775" s="249"/>
      <c r="F775" s="12"/>
      <c r="G775" s="11"/>
      <c r="K775" s="51"/>
    </row>
    <row r="776" ht="13.5" customHeight="1">
      <c r="D776" s="12"/>
      <c r="E776" s="249"/>
      <c r="F776" s="12"/>
      <c r="G776" s="11"/>
      <c r="K776" s="51"/>
    </row>
    <row r="777" ht="13.5" customHeight="1">
      <c r="D777" s="12"/>
      <c r="E777" s="249"/>
      <c r="F777" s="12"/>
      <c r="G777" s="11"/>
      <c r="K777" s="51"/>
    </row>
    <row r="778" ht="13.5" customHeight="1">
      <c r="D778" s="12"/>
      <c r="E778" s="249"/>
      <c r="F778" s="12"/>
      <c r="G778" s="11"/>
      <c r="K778" s="51"/>
    </row>
    <row r="779" ht="13.5" customHeight="1">
      <c r="D779" s="12"/>
      <c r="E779" s="249"/>
      <c r="F779" s="12"/>
      <c r="G779" s="11"/>
      <c r="K779" s="51"/>
    </row>
    <row r="780" ht="13.5" customHeight="1">
      <c r="D780" s="12"/>
      <c r="E780" s="249"/>
      <c r="F780" s="12"/>
      <c r="G780" s="11"/>
      <c r="K780" s="51"/>
    </row>
    <row r="781" ht="13.5" customHeight="1">
      <c r="D781" s="12"/>
      <c r="E781" s="249"/>
      <c r="F781" s="12"/>
      <c r="G781" s="11"/>
      <c r="K781" s="51"/>
    </row>
    <row r="782" ht="13.5" customHeight="1">
      <c r="D782" s="12"/>
      <c r="E782" s="249"/>
      <c r="F782" s="12"/>
      <c r="G782" s="11"/>
      <c r="K782" s="51"/>
    </row>
    <row r="783" ht="13.5" customHeight="1">
      <c r="D783" s="12"/>
      <c r="E783" s="249"/>
      <c r="F783" s="12"/>
      <c r="G783" s="11"/>
      <c r="K783" s="51"/>
    </row>
    <row r="784" ht="13.5" customHeight="1">
      <c r="D784" s="12"/>
      <c r="E784" s="249"/>
      <c r="F784" s="12"/>
      <c r="G784" s="11"/>
      <c r="K784" s="51"/>
    </row>
    <row r="785" ht="13.5" customHeight="1">
      <c r="D785" s="12"/>
      <c r="E785" s="249"/>
      <c r="F785" s="12"/>
      <c r="G785" s="11"/>
      <c r="K785" s="51"/>
    </row>
    <row r="786" ht="13.5" customHeight="1">
      <c r="D786" s="12"/>
      <c r="E786" s="249"/>
      <c r="F786" s="12"/>
      <c r="G786" s="11"/>
      <c r="K786" s="51"/>
    </row>
    <row r="787" ht="13.5" customHeight="1">
      <c r="D787" s="12"/>
      <c r="E787" s="249"/>
      <c r="F787" s="12"/>
      <c r="G787" s="11"/>
      <c r="K787" s="51"/>
    </row>
    <row r="788" ht="13.5" customHeight="1">
      <c r="D788" s="12"/>
      <c r="E788" s="249"/>
      <c r="F788" s="12"/>
      <c r="G788" s="11"/>
      <c r="K788" s="51"/>
    </row>
    <row r="789" ht="13.5" customHeight="1">
      <c r="D789" s="12"/>
      <c r="E789" s="249"/>
      <c r="F789" s="12"/>
      <c r="G789" s="11"/>
      <c r="K789" s="51"/>
    </row>
    <row r="790" ht="13.5" customHeight="1">
      <c r="D790" s="12"/>
      <c r="E790" s="249"/>
      <c r="F790" s="12"/>
      <c r="G790" s="11"/>
      <c r="K790" s="51"/>
    </row>
    <row r="791" ht="13.5" customHeight="1">
      <c r="D791" s="12"/>
      <c r="E791" s="249"/>
      <c r="F791" s="12"/>
      <c r="G791" s="11"/>
      <c r="K791" s="51"/>
    </row>
    <row r="792" ht="13.5" customHeight="1">
      <c r="D792" s="12"/>
      <c r="E792" s="249"/>
      <c r="F792" s="12"/>
      <c r="G792" s="11"/>
      <c r="K792" s="51"/>
    </row>
    <row r="793" ht="13.5" customHeight="1">
      <c r="D793" s="12"/>
      <c r="E793" s="249"/>
      <c r="F793" s="12"/>
      <c r="G793" s="11"/>
      <c r="K793" s="51"/>
    </row>
    <row r="794" ht="13.5" customHeight="1">
      <c r="D794" s="12"/>
      <c r="E794" s="249"/>
      <c r="F794" s="12"/>
      <c r="G794" s="11"/>
      <c r="K794" s="51"/>
    </row>
    <row r="795" ht="13.5" customHeight="1">
      <c r="D795" s="12"/>
      <c r="E795" s="249"/>
      <c r="F795" s="12"/>
      <c r="G795" s="11"/>
      <c r="K795" s="51"/>
    </row>
    <row r="796" ht="13.5" customHeight="1">
      <c r="D796" s="12"/>
      <c r="E796" s="249"/>
      <c r="F796" s="12"/>
      <c r="G796" s="11"/>
      <c r="K796" s="51"/>
    </row>
    <row r="797" ht="13.5" customHeight="1">
      <c r="D797" s="12"/>
      <c r="E797" s="249"/>
      <c r="F797" s="12"/>
      <c r="G797" s="11"/>
      <c r="K797" s="51"/>
    </row>
    <row r="798" ht="13.5" customHeight="1">
      <c r="D798" s="12"/>
      <c r="E798" s="249"/>
      <c r="F798" s="12"/>
      <c r="G798" s="11"/>
      <c r="K798" s="51"/>
    </row>
    <row r="799" ht="13.5" customHeight="1">
      <c r="D799" s="12"/>
      <c r="E799" s="249"/>
      <c r="F799" s="12"/>
      <c r="G799" s="11"/>
      <c r="K799" s="51"/>
    </row>
    <row r="800" ht="13.5" customHeight="1">
      <c r="D800" s="12"/>
      <c r="E800" s="249"/>
      <c r="F800" s="12"/>
      <c r="G800" s="11"/>
      <c r="K800" s="51"/>
    </row>
    <row r="801" ht="13.5" customHeight="1">
      <c r="D801" s="12"/>
      <c r="E801" s="249"/>
      <c r="F801" s="12"/>
      <c r="G801" s="11"/>
      <c r="K801" s="51"/>
    </row>
    <row r="802" ht="13.5" customHeight="1">
      <c r="D802" s="12"/>
      <c r="E802" s="249"/>
      <c r="F802" s="12"/>
      <c r="G802" s="11"/>
      <c r="K802" s="51"/>
    </row>
    <row r="803" ht="13.5" customHeight="1">
      <c r="D803" s="12"/>
      <c r="E803" s="249"/>
      <c r="F803" s="12"/>
      <c r="G803" s="11"/>
      <c r="K803" s="51"/>
    </row>
    <row r="804" ht="13.5" customHeight="1">
      <c r="D804" s="12"/>
      <c r="E804" s="249"/>
      <c r="F804" s="12"/>
      <c r="G804" s="11"/>
      <c r="K804" s="51"/>
    </row>
    <row r="805" ht="13.5" customHeight="1">
      <c r="D805" s="12"/>
      <c r="E805" s="249"/>
      <c r="F805" s="12"/>
      <c r="G805" s="11"/>
      <c r="K805" s="51"/>
    </row>
    <row r="806" ht="13.5" customHeight="1">
      <c r="D806" s="12"/>
      <c r="E806" s="249"/>
      <c r="F806" s="12"/>
      <c r="G806" s="11"/>
      <c r="K806" s="51"/>
    </row>
    <row r="807" ht="13.5" customHeight="1">
      <c r="D807" s="12"/>
      <c r="E807" s="249"/>
      <c r="F807" s="12"/>
      <c r="G807" s="11"/>
      <c r="K807" s="51"/>
    </row>
    <row r="808" ht="13.5" customHeight="1">
      <c r="D808" s="12"/>
      <c r="E808" s="249"/>
      <c r="F808" s="12"/>
      <c r="G808" s="11"/>
      <c r="K808" s="51"/>
    </row>
    <row r="809" ht="13.5" customHeight="1">
      <c r="D809" s="12"/>
      <c r="E809" s="249"/>
      <c r="F809" s="12"/>
      <c r="G809" s="11"/>
      <c r="K809" s="51"/>
    </row>
    <row r="810" ht="13.5" customHeight="1">
      <c r="D810" s="12"/>
      <c r="E810" s="249"/>
      <c r="F810" s="12"/>
      <c r="G810" s="11"/>
      <c r="K810" s="51"/>
    </row>
    <row r="811" ht="13.5" customHeight="1">
      <c r="D811" s="12"/>
      <c r="E811" s="249"/>
      <c r="F811" s="12"/>
      <c r="G811" s="11"/>
      <c r="K811" s="51"/>
    </row>
    <row r="812" ht="13.5" customHeight="1">
      <c r="D812" s="12"/>
      <c r="E812" s="249"/>
      <c r="F812" s="12"/>
      <c r="G812" s="11"/>
      <c r="K812" s="51"/>
    </row>
    <row r="813" ht="13.5" customHeight="1">
      <c r="D813" s="12"/>
      <c r="E813" s="249"/>
      <c r="F813" s="12"/>
      <c r="G813" s="11"/>
      <c r="K813" s="51"/>
    </row>
    <row r="814" ht="13.5" customHeight="1">
      <c r="D814" s="12"/>
      <c r="E814" s="249"/>
      <c r="F814" s="12"/>
      <c r="G814" s="11"/>
      <c r="K814" s="51"/>
    </row>
    <row r="815" ht="13.5" customHeight="1">
      <c r="D815" s="12"/>
      <c r="E815" s="249"/>
      <c r="F815" s="12"/>
      <c r="G815" s="11"/>
      <c r="K815" s="51"/>
    </row>
    <row r="816" ht="13.5" customHeight="1">
      <c r="D816" s="12"/>
      <c r="E816" s="249"/>
      <c r="F816" s="12"/>
      <c r="G816" s="11"/>
      <c r="K816" s="51"/>
    </row>
    <row r="817" ht="13.5" customHeight="1">
      <c r="D817" s="12"/>
      <c r="E817" s="249"/>
      <c r="F817" s="12"/>
      <c r="G817" s="11"/>
      <c r="K817" s="51"/>
    </row>
    <row r="818" ht="13.5" customHeight="1">
      <c r="D818" s="12"/>
      <c r="E818" s="249"/>
      <c r="F818" s="12"/>
      <c r="G818" s="11"/>
      <c r="K818" s="51"/>
    </row>
    <row r="819" ht="13.5" customHeight="1">
      <c r="D819" s="12"/>
      <c r="E819" s="249"/>
      <c r="F819" s="12"/>
      <c r="G819" s="11"/>
      <c r="K819" s="51"/>
    </row>
    <row r="820" ht="13.5" customHeight="1">
      <c r="D820" s="12"/>
      <c r="E820" s="249"/>
      <c r="F820" s="12"/>
      <c r="G820" s="11"/>
      <c r="K820" s="51"/>
    </row>
    <row r="821" ht="13.5" customHeight="1">
      <c r="D821" s="12"/>
      <c r="E821" s="249"/>
      <c r="F821" s="12"/>
      <c r="G821" s="11"/>
      <c r="K821" s="51"/>
    </row>
    <row r="822" ht="13.5" customHeight="1">
      <c r="D822" s="12"/>
      <c r="E822" s="249"/>
      <c r="F822" s="12"/>
      <c r="G822" s="11"/>
      <c r="K822" s="51"/>
    </row>
    <row r="823" ht="13.5" customHeight="1">
      <c r="D823" s="12"/>
      <c r="E823" s="249"/>
      <c r="F823" s="12"/>
      <c r="G823" s="11"/>
      <c r="K823" s="51"/>
    </row>
    <row r="824" ht="13.5" customHeight="1">
      <c r="D824" s="12"/>
      <c r="E824" s="249"/>
      <c r="F824" s="12"/>
      <c r="G824" s="11"/>
      <c r="K824" s="51"/>
    </row>
    <row r="825" ht="13.5" customHeight="1">
      <c r="D825" s="12"/>
      <c r="E825" s="249"/>
      <c r="F825" s="12"/>
      <c r="G825" s="11"/>
      <c r="K825" s="51"/>
    </row>
    <row r="826" ht="13.5" customHeight="1">
      <c r="D826" s="12"/>
      <c r="E826" s="249"/>
      <c r="F826" s="12"/>
      <c r="G826" s="11"/>
      <c r="K826" s="51"/>
    </row>
    <row r="827" ht="13.5" customHeight="1">
      <c r="D827" s="12"/>
      <c r="E827" s="249"/>
      <c r="F827" s="12"/>
      <c r="G827" s="11"/>
      <c r="K827" s="51"/>
    </row>
    <row r="828" ht="13.5" customHeight="1">
      <c r="D828" s="12"/>
      <c r="E828" s="249"/>
      <c r="F828" s="12"/>
      <c r="G828" s="11"/>
      <c r="K828" s="51"/>
    </row>
    <row r="829" ht="13.5" customHeight="1">
      <c r="D829" s="12"/>
      <c r="E829" s="249"/>
      <c r="F829" s="12"/>
      <c r="G829" s="11"/>
      <c r="K829" s="51"/>
    </row>
    <row r="830" ht="13.5" customHeight="1">
      <c r="D830" s="12"/>
      <c r="E830" s="249"/>
      <c r="F830" s="12"/>
      <c r="G830" s="11"/>
      <c r="K830" s="51"/>
    </row>
    <row r="831" ht="13.5" customHeight="1">
      <c r="D831" s="12"/>
      <c r="E831" s="249"/>
      <c r="F831" s="12"/>
      <c r="G831" s="11"/>
      <c r="K831" s="51"/>
    </row>
    <row r="832" ht="13.5" customHeight="1">
      <c r="D832" s="12"/>
      <c r="E832" s="249"/>
      <c r="F832" s="12"/>
      <c r="G832" s="11"/>
      <c r="K832" s="51"/>
    </row>
    <row r="833" ht="13.5" customHeight="1">
      <c r="D833" s="12"/>
      <c r="E833" s="249"/>
      <c r="F833" s="12"/>
      <c r="G833" s="11"/>
      <c r="K833" s="51"/>
    </row>
    <row r="834" ht="13.5" customHeight="1">
      <c r="D834" s="12"/>
      <c r="E834" s="249"/>
      <c r="F834" s="12"/>
      <c r="G834" s="11"/>
      <c r="K834" s="51"/>
    </row>
    <row r="835" ht="13.5" customHeight="1">
      <c r="D835" s="12"/>
      <c r="E835" s="249"/>
      <c r="F835" s="12"/>
      <c r="G835" s="11"/>
      <c r="K835" s="51"/>
    </row>
    <row r="836" ht="13.5" customHeight="1">
      <c r="D836" s="12"/>
      <c r="E836" s="249"/>
      <c r="F836" s="12"/>
      <c r="G836" s="11"/>
      <c r="K836" s="51"/>
    </row>
    <row r="837" ht="13.5" customHeight="1">
      <c r="D837" s="12"/>
      <c r="E837" s="249"/>
      <c r="F837" s="12"/>
      <c r="G837" s="11"/>
      <c r="K837" s="51"/>
    </row>
    <row r="838" ht="13.5" customHeight="1">
      <c r="D838" s="12"/>
      <c r="E838" s="249"/>
      <c r="F838" s="12"/>
      <c r="G838" s="11"/>
      <c r="K838" s="51"/>
    </row>
    <row r="839" ht="13.5" customHeight="1">
      <c r="D839" s="12"/>
      <c r="E839" s="249"/>
      <c r="F839" s="12"/>
      <c r="G839" s="11"/>
      <c r="K839" s="51"/>
    </row>
    <row r="840" ht="13.5" customHeight="1">
      <c r="D840" s="12"/>
      <c r="E840" s="249"/>
      <c r="F840" s="12"/>
      <c r="G840" s="11"/>
      <c r="K840" s="51"/>
    </row>
    <row r="841" ht="13.5" customHeight="1">
      <c r="D841" s="12"/>
      <c r="E841" s="249"/>
      <c r="F841" s="12"/>
      <c r="G841" s="11"/>
      <c r="K841" s="51"/>
    </row>
    <row r="842" ht="13.5" customHeight="1">
      <c r="D842" s="12"/>
      <c r="E842" s="249"/>
      <c r="F842" s="12"/>
      <c r="G842" s="11"/>
      <c r="K842" s="51"/>
    </row>
    <row r="843" ht="13.5" customHeight="1">
      <c r="D843" s="12"/>
      <c r="E843" s="249"/>
      <c r="F843" s="12"/>
      <c r="G843" s="11"/>
      <c r="K843" s="51"/>
    </row>
    <row r="844" ht="13.5" customHeight="1">
      <c r="D844" s="12"/>
      <c r="E844" s="249"/>
      <c r="F844" s="12"/>
      <c r="G844" s="11"/>
      <c r="K844" s="51"/>
    </row>
    <row r="845" ht="13.5" customHeight="1">
      <c r="D845" s="12"/>
      <c r="E845" s="249"/>
      <c r="F845" s="12"/>
      <c r="G845" s="11"/>
      <c r="K845" s="51"/>
    </row>
    <row r="846" ht="13.5" customHeight="1">
      <c r="D846" s="12"/>
      <c r="E846" s="249"/>
      <c r="F846" s="12"/>
      <c r="G846" s="11"/>
      <c r="K846" s="51"/>
    </row>
    <row r="847" ht="13.5" customHeight="1">
      <c r="D847" s="12"/>
      <c r="E847" s="249"/>
      <c r="F847" s="12"/>
      <c r="G847" s="11"/>
      <c r="K847" s="51"/>
    </row>
    <row r="848" ht="13.5" customHeight="1">
      <c r="D848" s="12"/>
      <c r="E848" s="249"/>
      <c r="F848" s="12"/>
      <c r="G848" s="11"/>
      <c r="K848" s="51"/>
    </row>
    <row r="849" ht="13.5" customHeight="1">
      <c r="D849" s="12"/>
      <c r="E849" s="249"/>
      <c r="F849" s="12"/>
      <c r="G849" s="11"/>
      <c r="K849" s="51"/>
    </row>
    <row r="850" ht="13.5" customHeight="1">
      <c r="D850" s="12"/>
      <c r="E850" s="249"/>
      <c r="F850" s="12"/>
      <c r="G850" s="11"/>
      <c r="K850" s="51"/>
    </row>
    <row r="851" ht="13.5" customHeight="1">
      <c r="D851" s="12"/>
      <c r="E851" s="249"/>
      <c r="F851" s="12"/>
      <c r="G851" s="11"/>
      <c r="K851" s="51"/>
    </row>
    <row r="852" ht="13.5" customHeight="1">
      <c r="D852" s="12"/>
      <c r="E852" s="249"/>
      <c r="F852" s="12"/>
      <c r="G852" s="11"/>
      <c r="K852" s="51"/>
    </row>
    <row r="853" ht="13.5" customHeight="1">
      <c r="D853" s="12"/>
      <c r="E853" s="249"/>
      <c r="F853" s="12"/>
      <c r="G853" s="11"/>
      <c r="K853" s="51"/>
    </row>
    <row r="854" ht="13.5" customHeight="1">
      <c r="D854" s="12"/>
      <c r="E854" s="249"/>
      <c r="F854" s="12"/>
      <c r="G854" s="11"/>
      <c r="K854" s="51"/>
    </row>
    <row r="855" ht="13.5" customHeight="1">
      <c r="D855" s="12"/>
      <c r="E855" s="249"/>
      <c r="F855" s="12"/>
      <c r="G855" s="11"/>
      <c r="K855" s="51"/>
    </row>
    <row r="856" ht="13.5" customHeight="1">
      <c r="D856" s="12"/>
      <c r="E856" s="249"/>
      <c r="F856" s="12"/>
      <c r="G856" s="11"/>
      <c r="K856" s="51"/>
    </row>
    <row r="857" ht="13.5" customHeight="1">
      <c r="D857" s="12"/>
      <c r="E857" s="249"/>
      <c r="F857" s="12"/>
      <c r="G857" s="11"/>
      <c r="K857" s="51"/>
    </row>
    <row r="858" ht="13.5" customHeight="1">
      <c r="D858" s="12"/>
      <c r="E858" s="249"/>
      <c r="F858" s="12"/>
      <c r="G858" s="11"/>
      <c r="K858" s="51"/>
    </row>
    <row r="859" ht="13.5" customHeight="1">
      <c r="D859" s="12"/>
      <c r="E859" s="249"/>
      <c r="F859" s="12"/>
      <c r="G859" s="11"/>
      <c r="K859" s="51"/>
    </row>
    <row r="860" ht="13.5" customHeight="1">
      <c r="D860" s="12"/>
      <c r="E860" s="249"/>
      <c r="F860" s="12"/>
      <c r="G860" s="11"/>
      <c r="K860" s="51"/>
    </row>
    <row r="861" ht="13.5" customHeight="1">
      <c r="D861" s="12"/>
      <c r="E861" s="249"/>
      <c r="F861" s="12"/>
      <c r="G861" s="11"/>
      <c r="K861" s="51"/>
    </row>
    <row r="862" ht="13.5" customHeight="1">
      <c r="D862" s="12"/>
      <c r="E862" s="249"/>
      <c r="F862" s="12"/>
      <c r="G862" s="11"/>
      <c r="K862" s="51"/>
    </row>
    <row r="863" ht="13.5" customHeight="1">
      <c r="D863" s="12"/>
      <c r="E863" s="249"/>
      <c r="F863" s="12"/>
      <c r="G863" s="11"/>
      <c r="K863" s="51"/>
    </row>
    <row r="864" ht="13.5" customHeight="1">
      <c r="D864" s="12"/>
      <c r="E864" s="249"/>
      <c r="F864" s="12"/>
      <c r="G864" s="11"/>
      <c r="K864" s="51"/>
    </row>
    <row r="865" ht="13.5" customHeight="1">
      <c r="D865" s="12"/>
      <c r="E865" s="249"/>
      <c r="F865" s="12"/>
      <c r="G865" s="11"/>
      <c r="K865" s="51"/>
    </row>
    <row r="866" ht="13.5" customHeight="1">
      <c r="D866" s="12"/>
      <c r="E866" s="249"/>
      <c r="F866" s="12"/>
      <c r="G866" s="11"/>
      <c r="K866" s="51"/>
    </row>
    <row r="867" ht="13.5" customHeight="1">
      <c r="D867" s="12"/>
      <c r="E867" s="249"/>
      <c r="F867" s="12"/>
      <c r="G867" s="11"/>
      <c r="K867" s="51"/>
    </row>
    <row r="868" ht="13.5" customHeight="1">
      <c r="D868" s="12"/>
      <c r="E868" s="249"/>
      <c r="F868" s="12"/>
      <c r="G868" s="11"/>
      <c r="K868" s="51"/>
    </row>
    <row r="869" ht="13.5" customHeight="1">
      <c r="D869" s="12"/>
      <c r="E869" s="249"/>
      <c r="F869" s="12"/>
      <c r="G869" s="11"/>
      <c r="K869" s="51"/>
    </row>
    <row r="870" ht="13.5" customHeight="1">
      <c r="D870" s="12"/>
      <c r="E870" s="249"/>
      <c r="F870" s="12"/>
      <c r="G870" s="11"/>
      <c r="K870" s="51"/>
    </row>
    <row r="871" ht="13.5" customHeight="1">
      <c r="D871" s="12"/>
      <c r="E871" s="249"/>
      <c r="F871" s="12"/>
      <c r="G871" s="11"/>
      <c r="K871" s="51"/>
    </row>
    <row r="872" ht="13.5" customHeight="1">
      <c r="D872" s="12"/>
      <c r="E872" s="249"/>
      <c r="F872" s="12"/>
      <c r="G872" s="11"/>
      <c r="K872" s="51"/>
    </row>
    <row r="873" ht="13.5" customHeight="1">
      <c r="D873" s="12"/>
      <c r="E873" s="249"/>
      <c r="F873" s="12"/>
      <c r="G873" s="11"/>
      <c r="K873" s="51"/>
    </row>
    <row r="874" ht="13.5" customHeight="1">
      <c r="D874" s="12"/>
      <c r="E874" s="249"/>
      <c r="F874" s="12"/>
      <c r="G874" s="11"/>
      <c r="K874" s="51"/>
    </row>
    <row r="875" ht="13.5" customHeight="1">
      <c r="D875" s="12"/>
      <c r="E875" s="249"/>
      <c r="F875" s="12"/>
      <c r="G875" s="11"/>
      <c r="K875" s="51"/>
    </row>
    <row r="876" ht="13.5" customHeight="1">
      <c r="D876" s="12"/>
      <c r="E876" s="249"/>
      <c r="F876" s="12"/>
      <c r="G876" s="11"/>
      <c r="K876" s="51"/>
    </row>
    <row r="877" ht="13.5" customHeight="1">
      <c r="D877" s="12"/>
      <c r="E877" s="249"/>
      <c r="F877" s="12"/>
      <c r="G877" s="11"/>
      <c r="K877" s="51"/>
    </row>
    <row r="878" ht="13.5" customHeight="1">
      <c r="D878" s="12"/>
      <c r="E878" s="249"/>
      <c r="F878" s="12"/>
      <c r="G878" s="11"/>
      <c r="K878" s="51"/>
    </row>
    <row r="879" ht="13.5" customHeight="1">
      <c r="D879" s="12"/>
      <c r="E879" s="249"/>
      <c r="F879" s="12"/>
      <c r="G879" s="11"/>
      <c r="K879" s="51"/>
    </row>
    <row r="880" ht="13.5" customHeight="1">
      <c r="D880" s="12"/>
      <c r="E880" s="249"/>
      <c r="F880" s="12"/>
      <c r="G880" s="11"/>
      <c r="K880" s="51"/>
    </row>
    <row r="881" ht="13.5" customHeight="1">
      <c r="D881" s="12"/>
      <c r="E881" s="249"/>
      <c r="F881" s="12"/>
      <c r="G881" s="11"/>
      <c r="K881" s="51"/>
    </row>
    <row r="882" ht="13.5" customHeight="1">
      <c r="D882" s="12"/>
      <c r="E882" s="249"/>
      <c r="F882" s="12"/>
      <c r="G882" s="11"/>
      <c r="K882" s="51"/>
    </row>
    <row r="883" ht="13.5" customHeight="1">
      <c r="D883" s="12"/>
      <c r="E883" s="249"/>
      <c r="F883" s="12"/>
      <c r="G883" s="11"/>
      <c r="K883" s="51"/>
    </row>
    <row r="884" ht="13.5" customHeight="1">
      <c r="D884" s="12"/>
      <c r="E884" s="249"/>
      <c r="F884" s="12"/>
      <c r="G884" s="11"/>
      <c r="K884" s="51"/>
    </row>
    <row r="885" ht="13.5" customHeight="1">
      <c r="D885" s="12"/>
      <c r="E885" s="249"/>
      <c r="F885" s="12"/>
      <c r="G885" s="11"/>
      <c r="K885" s="51"/>
    </row>
    <row r="886" ht="13.5" customHeight="1">
      <c r="D886" s="12"/>
      <c r="E886" s="249"/>
      <c r="F886" s="12"/>
      <c r="G886" s="11"/>
      <c r="K886" s="51"/>
    </row>
    <row r="887" ht="13.5" customHeight="1">
      <c r="D887" s="12"/>
      <c r="E887" s="249"/>
      <c r="F887" s="12"/>
      <c r="G887" s="11"/>
      <c r="K887" s="51"/>
    </row>
    <row r="888" ht="13.5" customHeight="1">
      <c r="D888" s="12"/>
      <c r="E888" s="249"/>
      <c r="F888" s="12"/>
      <c r="G888" s="11"/>
      <c r="K888" s="51"/>
    </row>
    <row r="889" ht="13.5" customHeight="1">
      <c r="D889" s="12"/>
      <c r="E889" s="249"/>
      <c r="F889" s="12"/>
      <c r="G889" s="11"/>
      <c r="K889" s="51"/>
    </row>
    <row r="890" ht="13.5" customHeight="1">
      <c r="D890" s="12"/>
      <c r="E890" s="249"/>
      <c r="F890" s="12"/>
      <c r="G890" s="11"/>
      <c r="K890" s="51"/>
    </row>
    <row r="891" ht="13.5" customHeight="1">
      <c r="D891" s="12"/>
      <c r="E891" s="249"/>
      <c r="F891" s="12"/>
      <c r="G891" s="11"/>
      <c r="K891" s="51"/>
    </row>
    <row r="892" ht="13.5" customHeight="1">
      <c r="D892" s="12"/>
      <c r="E892" s="249"/>
      <c r="F892" s="12"/>
      <c r="G892" s="11"/>
      <c r="K892" s="51"/>
    </row>
    <row r="893" ht="13.5" customHeight="1">
      <c r="D893" s="12"/>
      <c r="E893" s="249"/>
      <c r="F893" s="12"/>
      <c r="G893" s="11"/>
      <c r="K893" s="51"/>
    </row>
    <row r="894" ht="13.5" customHeight="1">
      <c r="D894" s="12"/>
      <c r="E894" s="249"/>
      <c r="F894" s="12"/>
      <c r="G894" s="11"/>
      <c r="K894" s="51"/>
    </row>
    <row r="895" ht="13.5" customHeight="1">
      <c r="D895" s="12"/>
      <c r="E895" s="249"/>
      <c r="F895" s="12"/>
      <c r="G895" s="11"/>
      <c r="K895" s="51"/>
    </row>
    <row r="896" ht="13.5" customHeight="1">
      <c r="D896" s="12"/>
      <c r="E896" s="249"/>
      <c r="F896" s="12"/>
      <c r="G896" s="11"/>
      <c r="K896" s="51"/>
    </row>
    <row r="897" ht="13.5" customHeight="1">
      <c r="D897" s="12"/>
      <c r="E897" s="249"/>
      <c r="F897" s="12"/>
      <c r="G897" s="11"/>
      <c r="K897" s="51"/>
    </row>
    <row r="898" ht="13.5" customHeight="1">
      <c r="D898" s="12"/>
      <c r="E898" s="249"/>
      <c r="F898" s="12"/>
      <c r="G898" s="11"/>
      <c r="K898" s="51"/>
    </row>
    <row r="899" ht="13.5" customHeight="1">
      <c r="D899" s="12"/>
      <c r="E899" s="249"/>
      <c r="F899" s="12"/>
      <c r="G899" s="11"/>
      <c r="K899" s="51"/>
    </row>
    <row r="900" ht="13.5" customHeight="1">
      <c r="D900" s="12"/>
      <c r="E900" s="249"/>
      <c r="F900" s="12"/>
      <c r="G900" s="11"/>
      <c r="K900" s="51"/>
    </row>
    <row r="901" ht="13.5" customHeight="1">
      <c r="D901" s="12"/>
      <c r="E901" s="249"/>
      <c r="F901" s="12"/>
      <c r="G901" s="11"/>
      <c r="K901" s="51"/>
    </row>
    <row r="902" ht="13.5" customHeight="1">
      <c r="D902" s="12"/>
      <c r="E902" s="249"/>
      <c r="F902" s="12"/>
      <c r="G902" s="11"/>
      <c r="K902" s="51"/>
    </row>
    <row r="903" ht="13.5" customHeight="1">
      <c r="D903" s="12"/>
      <c r="E903" s="249"/>
      <c r="F903" s="12"/>
      <c r="G903" s="11"/>
      <c r="K903" s="51"/>
    </row>
    <row r="904" ht="13.5" customHeight="1">
      <c r="D904" s="12"/>
      <c r="E904" s="249"/>
      <c r="F904" s="12"/>
      <c r="G904" s="11"/>
      <c r="K904" s="51"/>
    </row>
    <row r="905" ht="13.5" customHeight="1">
      <c r="D905" s="12"/>
      <c r="E905" s="249"/>
      <c r="F905" s="12"/>
      <c r="G905" s="11"/>
      <c r="K905" s="51"/>
    </row>
    <row r="906" ht="13.5" customHeight="1">
      <c r="D906" s="12"/>
      <c r="E906" s="249"/>
      <c r="F906" s="12"/>
      <c r="G906" s="11"/>
      <c r="K906" s="51"/>
    </row>
    <row r="907" ht="13.5" customHeight="1">
      <c r="D907" s="12"/>
      <c r="E907" s="249"/>
      <c r="F907" s="12"/>
      <c r="G907" s="11"/>
      <c r="K907" s="51"/>
    </row>
    <row r="908" ht="13.5" customHeight="1">
      <c r="D908" s="12"/>
      <c r="E908" s="249"/>
      <c r="F908" s="12"/>
      <c r="G908" s="11"/>
      <c r="K908" s="51"/>
    </row>
    <row r="909" ht="13.5" customHeight="1">
      <c r="D909" s="12"/>
      <c r="E909" s="249"/>
      <c r="F909" s="12"/>
      <c r="G909" s="11"/>
      <c r="K909" s="51"/>
    </row>
    <row r="910" ht="13.5" customHeight="1">
      <c r="D910" s="12"/>
      <c r="E910" s="249"/>
      <c r="F910" s="12"/>
      <c r="G910" s="11"/>
      <c r="K910" s="51"/>
    </row>
    <row r="911" ht="13.5" customHeight="1">
      <c r="D911" s="12"/>
      <c r="E911" s="249"/>
      <c r="F911" s="12"/>
      <c r="G911" s="11"/>
      <c r="K911" s="51"/>
    </row>
    <row r="912" ht="13.5" customHeight="1">
      <c r="D912" s="12"/>
      <c r="E912" s="249"/>
      <c r="F912" s="12"/>
      <c r="G912" s="11"/>
      <c r="K912" s="51"/>
    </row>
    <row r="913" ht="13.5" customHeight="1">
      <c r="D913" s="12"/>
      <c r="E913" s="249"/>
      <c r="F913" s="12"/>
      <c r="G913" s="11"/>
      <c r="K913" s="51"/>
    </row>
    <row r="914" ht="13.5" customHeight="1">
      <c r="D914" s="12"/>
      <c r="E914" s="249"/>
      <c r="F914" s="12"/>
      <c r="G914" s="11"/>
      <c r="K914" s="51"/>
    </row>
    <row r="915" ht="13.5" customHeight="1">
      <c r="D915" s="12"/>
      <c r="E915" s="249"/>
      <c r="F915" s="12"/>
      <c r="G915" s="11"/>
      <c r="K915" s="51"/>
    </row>
    <row r="916" ht="13.5" customHeight="1">
      <c r="D916" s="12"/>
      <c r="E916" s="249"/>
      <c r="F916" s="12"/>
      <c r="G916" s="11"/>
      <c r="K916" s="51"/>
    </row>
    <row r="917" ht="13.5" customHeight="1">
      <c r="D917" s="12"/>
      <c r="E917" s="249"/>
      <c r="F917" s="12"/>
      <c r="G917" s="11"/>
      <c r="K917" s="51"/>
    </row>
    <row r="918" ht="13.5" customHeight="1">
      <c r="D918" s="12"/>
      <c r="E918" s="249"/>
      <c r="F918" s="12"/>
      <c r="G918" s="11"/>
      <c r="K918" s="51"/>
    </row>
    <row r="919" ht="13.5" customHeight="1">
      <c r="D919" s="12"/>
      <c r="E919" s="249"/>
      <c r="F919" s="12"/>
      <c r="G919" s="11"/>
      <c r="K919" s="51"/>
    </row>
    <row r="920" ht="13.5" customHeight="1">
      <c r="D920" s="12"/>
      <c r="E920" s="249"/>
      <c r="F920" s="12"/>
      <c r="G920" s="11"/>
      <c r="K920" s="51"/>
    </row>
    <row r="921" ht="13.5" customHeight="1">
      <c r="D921" s="12"/>
      <c r="E921" s="249"/>
      <c r="F921" s="12"/>
      <c r="G921" s="11"/>
      <c r="K921" s="51"/>
    </row>
    <row r="922" ht="13.5" customHeight="1">
      <c r="D922" s="12"/>
      <c r="E922" s="249"/>
      <c r="F922" s="12"/>
      <c r="G922" s="11"/>
      <c r="K922" s="51"/>
    </row>
    <row r="923" ht="13.5" customHeight="1">
      <c r="D923" s="12"/>
      <c r="E923" s="249"/>
      <c r="F923" s="12"/>
      <c r="G923" s="11"/>
      <c r="K923" s="51"/>
    </row>
    <row r="924" ht="13.5" customHeight="1">
      <c r="D924" s="12"/>
      <c r="E924" s="249"/>
      <c r="F924" s="12"/>
      <c r="G924" s="11"/>
      <c r="K924" s="51"/>
    </row>
    <row r="925" ht="13.5" customHeight="1">
      <c r="D925" s="12"/>
      <c r="E925" s="249"/>
      <c r="F925" s="12"/>
      <c r="G925" s="11"/>
      <c r="K925" s="51"/>
    </row>
    <row r="926" ht="13.5" customHeight="1">
      <c r="D926" s="12"/>
      <c r="E926" s="249"/>
      <c r="F926" s="12"/>
      <c r="G926" s="11"/>
      <c r="K926" s="51"/>
    </row>
    <row r="927" ht="13.5" customHeight="1">
      <c r="D927" s="12"/>
      <c r="E927" s="249"/>
      <c r="F927" s="12"/>
      <c r="G927" s="11"/>
      <c r="K927" s="51"/>
    </row>
    <row r="928" ht="13.5" customHeight="1">
      <c r="D928" s="12"/>
      <c r="E928" s="249"/>
      <c r="F928" s="12"/>
      <c r="G928" s="11"/>
      <c r="K928" s="51"/>
    </row>
    <row r="929" ht="13.5" customHeight="1">
      <c r="D929" s="12"/>
      <c r="E929" s="249"/>
      <c r="F929" s="12"/>
      <c r="G929" s="11"/>
      <c r="K929" s="51"/>
    </row>
    <row r="930" ht="13.5" customHeight="1">
      <c r="D930" s="12"/>
      <c r="E930" s="249"/>
      <c r="F930" s="12"/>
      <c r="G930" s="11"/>
      <c r="K930" s="51"/>
    </row>
    <row r="931" ht="13.5" customHeight="1">
      <c r="D931" s="12"/>
      <c r="E931" s="249"/>
      <c r="F931" s="12"/>
      <c r="G931" s="11"/>
      <c r="K931" s="51"/>
    </row>
    <row r="932" ht="13.5" customHeight="1">
      <c r="D932" s="12"/>
      <c r="E932" s="249"/>
      <c r="F932" s="12"/>
      <c r="G932" s="11"/>
      <c r="K932" s="51"/>
    </row>
    <row r="933" ht="13.5" customHeight="1">
      <c r="D933" s="12"/>
      <c r="E933" s="249"/>
      <c r="F933" s="12"/>
      <c r="G933" s="11"/>
      <c r="K933" s="51"/>
    </row>
    <row r="934" ht="13.5" customHeight="1">
      <c r="D934" s="12"/>
      <c r="E934" s="249"/>
      <c r="F934" s="12"/>
      <c r="G934" s="11"/>
      <c r="K934" s="51"/>
    </row>
    <row r="935" ht="13.5" customHeight="1">
      <c r="D935" s="12"/>
      <c r="E935" s="249"/>
      <c r="F935" s="12"/>
      <c r="G935" s="11"/>
      <c r="K935" s="51"/>
    </row>
    <row r="936" ht="13.5" customHeight="1">
      <c r="D936" s="12"/>
      <c r="E936" s="249"/>
      <c r="F936" s="12"/>
      <c r="G936" s="11"/>
      <c r="K936" s="51"/>
    </row>
    <row r="937" ht="13.5" customHeight="1">
      <c r="D937" s="12"/>
      <c r="E937" s="249"/>
      <c r="F937" s="12"/>
      <c r="G937" s="11"/>
      <c r="K937" s="51"/>
    </row>
    <row r="938" ht="13.5" customHeight="1">
      <c r="D938" s="12"/>
      <c r="E938" s="249"/>
      <c r="F938" s="12"/>
      <c r="G938" s="11"/>
      <c r="K938" s="51"/>
    </row>
    <row r="939" ht="13.5" customHeight="1">
      <c r="D939" s="12"/>
      <c r="E939" s="249"/>
      <c r="F939" s="12"/>
      <c r="G939" s="11"/>
      <c r="K939" s="51"/>
    </row>
    <row r="940" ht="13.5" customHeight="1">
      <c r="D940" s="12"/>
      <c r="E940" s="249"/>
      <c r="F940" s="12"/>
      <c r="G940" s="11"/>
      <c r="K940" s="51"/>
    </row>
    <row r="941" ht="13.5" customHeight="1">
      <c r="D941" s="12"/>
      <c r="E941" s="249"/>
      <c r="F941" s="12"/>
      <c r="G941" s="11"/>
      <c r="K941" s="51"/>
    </row>
    <row r="942" ht="13.5" customHeight="1">
      <c r="D942" s="12"/>
      <c r="E942" s="249"/>
      <c r="F942" s="12"/>
      <c r="G942" s="11"/>
      <c r="K942" s="51"/>
    </row>
    <row r="943" ht="13.5" customHeight="1">
      <c r="D943" s="12"/>
      <c r="E943" s="249"/>
      <c r="F943" s="12"/>
      <c r="G943" s="11"/>
      <c r="K943" s="51"/>
    </row>
    <row r="944" ht="13.5" customHeight="1">
      <c r="D944" s="12"/>
      <c r="E944" s="249"/>
      <c r="F944" s="12"/>
      <c r="G944" s="11"/>
      <c r="K944" s="51"/>
    </row>
    <row r="945" ht="13.5" customHeight="1">
      <c r="D945" s="12"/>
      <c r="E945" s="249"/>
      <c r="F945" s="12"/>
      <c r="G945" s="11"/>
      <c r="K945" s="51"/>
    </row>
    <row r="946" ht="13.5" customHeight="1">
      <c r="D946" s="12"/>
      <c r="E946" s="249"/>
      <c r="F946" s="12"/>
      <c r="G946" s="11"/>
      <c r="K946" s="51"/>
    </row>
    <row r="947" ht="13.5" customHeight="1">
      <c r="D947" s="12"/>
      <c r="E947" s="249"/>
      <c r="F947" s="12"/>
      <c r="G947" s="11"/>
      <c r="K947" s="51"/>
    </row>
    <row r="948" ht="13.5" customHeight="1">
      <c r="D948" s="12"/>
      <c r="E948" s="249"/>
      <c r="F948" s="12"/>
      <c r="G948" s="11"/>
      <c r="K948" s="51"/>
    </row>
    <row r="949" ht="13.5" customHeight="1">
      <c r="D949" s="12"/>
      <c r="E949" s="249"/>
      <c r="F949" s="12"/>
      <c r="G949" s="11"/>
      <c r="K949" s="51"/>
    </row>
    <row r="950" ht="13.5" customHeight="1">
      <c r="D950" s="12"/>
      <c r="E950" s="249"/>
      <c r="F950" s="12"/>
      <c r="G950" s="11"/>
      <c r="K950" s="51"/>
    </row>
    <row r="951" ht="13.5" customHeight="1">
      <c r="D951" s="12"/>
      <c r="E951" s="249"/>
      <c r="F951" s="12"/>
      <c r="G951" s="11"/>
      <c r="K951" s="51"/>
    </row>
    <row r="952" ht="13.5" customHeight="1">
      <c r="D952" s="12"/>
      <c r="E952" s="249"/>
      <c r="F952" s="12"/>
      <c r="G952" s="11"/>
      <c r="K952" s="51"/>
    </row>
    <row r="953" ht="13.5" customHeight="1">
      <c r="D953" s="12"/>
      <c r="E953" s="249"/>
      <c r="F953" s="12"/>
      <c r="G953" s="11"/>
      <c r="K953" s="51"/>
    </row>
    <row r="954" ht="13.5" customHeight="1">
      <c r="D954" s="12"/>
      <c r="E954" s="249"/>
      <c r="F954" s="12"/>
      <c r="G954" s="11"/>
      <c r="K954" s="51"/>
    </row>
    <row r="955" ht="13.5" customHeight="1">
      <c r="D955" s="12"/>
      <c r="E955" s="249"/>
      <c r="F955" s="12"/>
      <c r="G955" s="11"/>
      <c r="K955" s="51"/>
    </row>
    <row r="956" ht="13.5" customHeight="1">
      <c r="D956" s="12"/>
      <c r="E956" s="249"/>
      <c r="F956" s="12"/>
      <c r="G956" s="11"/>
      <c r="K956" s="51"/>
    </row>
    <row r="957" ht="13.5" customHeight="1">
      <c r="D957" s="12"/>
      <c r="E957" s="249"/>
      <c r="F957" s="12"/>
      <c r="G957" s="11"/>
      <c r="K957" s="51"/>
    </row>
    <row r="958" ht="13.5" customHeight="1">
      <c r="D958" s="12"/>
      <c r="E958" s="249"/>
      <c r="F958" s="12"/>
      <c r="G958" s="11"/>
      <c r="K958" s="51"/>
    </row>
    <row r="959" ht="13.5" customHeight="1">
      <c r="D959" s="12"/>
      <c r="E959" s="249"/>
      <c r="F959" s="12"/>
      <c r="G959" s="11"/>
      <c r="K959" s="51"/>
    </row>
    <row r="960" ht="13.5" customHeight="1">
      <c r="D960" s="12"/>
      <c r="E960" s="249"/>
      <c r="F960" s="12"/>
      <c r="G960" s="11"/>
      <c r="K960" s="51"/>
    </row>
    <row r="961" ht="13.5" customHeight="1">
      <c r="D961" s="12"/>
      <c r="E961" s="249"/>
      <c r="F961" s="12"/>
      <c r="G961" s="11"/>
      <c r="K961" s="51"/>
    </row>
    <row r="962" ht="13.5" customHeight="1">
      <c r="D962" s="12"/>
      <c r="E962" s="249"/>
      <c r="F962" s="12"/>
      <c r="G962" s="11"/>
      <c r="K962" s="51"/>
    </row>
    <row r="963" ht="13.5" customHeight="1">
      <c r="D963" s="12"/>
      <c r="E963" s="249"/>
      <c r="F963" s="12"/>
      <c r="G963" s="11"/>
      <c r="K963" s="51"/>
    </row>
    <row r="964" ht="13.5" customHeight="1">
      <c r="D964" s="12"/>
      <c r="E964" s="249"/>
      <c r="F964" s="12"/>
      <c r="G964" s="11"/>
      <c r="K964" s="51"/>
    </row>
    <row r="965" ht="13.5" customHeight="1">
      <c r="D965" s="12"/>
      <c r="E965" s="249"/>
      <c r="F965" s="12"/>
      <c r="G965" s="11"/>
      <c r="K965" s="51"/>
    </row>
    <row r="966" ht="13.5" customHeight="1">
      <c r="D966" s="12"/>
      <c r="E966" s="249"/>
      <c r="F966" s="12"/>
      <c r="G966" s="11"/>
      <c r="K966" s="51"/>
    </row>
    <row r="967" ht="13.5" customHeight="1">
      <c r="D967" s="12"/>
      <c r="E967" s="249"/>
      <c r="F967" s="12"/>
      <c r="G967" s="11"/>
      <c r="K967" s="51"/>
    </row>
    <row r="968" ht="13.5" customHeight="1">
      <c r="D968" s="12"/>
      <c r="E968" s="249"/>
      <c r="F968" s="12"/>
      <c r="G968" s="11"/>
      <c r="K968" s="51"/>
    </row>
    <row r="969" ht="13.5" customHeight="1">
      <c r="D969" s="12"/>
      <c r="E969" s="249"/>
      <c r="F969" s="12"/>
      <c r="G969" s="11"/>
      <c r="K969" s="51"/>
    </row>
    <row r="970" ht="13.5" customHeight="1">
      <c r="D970" s="12"/>
      <c r="E970" s="249"/>
      <c r="F970" s="12"/>
      <c r="G970" s="11"/>
      <c r="K970" s="51"/>
    </row>
    <row r="971" ht="13.5" customHeight="1">
      <c r="D971" s="12"/>
      <c r="E971" s="249"/>
      <c r="F971" s="12"/>
      <c r="G971" s="11"/>
      <c r="K971" s="51"/>
    </row>
    <row r="972" ht="13.5" customHeight="1">
      <c r="D972" s="12"/>
      <c r="E972" s="249"/>
      <c r="F972" s="12"/>
      <c r="G972" s="11"/>
      <c r="K972" s="51"/>
    </row>
    <row r="973" ht="13.5" customHeight="1">
      <c r="D973" s="12"/>
      <c r="E973" s="249"/>
      <c r="F973" s="12"/>
      <c r="G973" s="11"/>
      <c r="K973" s="51"/>
    </row>
    <row r="974" ht="13.5" customHeight="1">
      <c r="D974" s="12"/>
      <c r="E974" s="249"/>
      <c r="F974" s="12"/>
      <c r="G974" s="11"/>
      <c r="K974" s="51"/>
    </row>
    <row r="975" ht="13.5" customHeight="1">
      <c r="D975" s="12"/>
      <c r="E975" s="249"/>
      <c r="F975" s="12"/>
      <c r="G975" s="11"/>
      <c r="K975" s="51"/>
    </row>
    <row r="976" ht="13.5" customHeight="1">
      <c r="D976" s="12"/>
      <c r="E976" s="249"/>
      <c r="F976" s="12"/>
      <c r="G976" s="11"/>
      <c r="K976" s="51"/>
    </row>
    <row r="977" ht="13.5" customHeight="1">
      <c r="D977" s="12"/>
      <c r="E977" s="249"/>
      <c r="F977" s="12"/>
      <c r="G977" s="11"/>
      <c r="K977" s="51"/>
    </row>
    <row r="978" ht="13.5" customHeight="1">
      <c r="D978" s="12"/>
      <c r="E978" s="249"/>
      <c r="F978" s="12"/>
      <c r="G978" s="11"/>
      <c r="K978" s="51"/>
    </row>
    <row r="979" ht="13.5" customHeight="1">
      <c r="D979" s="12"/>
      <c r="E979" s="249"/>
      <c r="F979" s="12"/>
      <c r="G979" s="11"/>
      <c r="K979" s="51"/>
    </row>
    <row r="980" ht="13.5" customHeight="1">
      <c r="D980" s="12"/>
      <c r="E980" s="249"/>
      <c r="F980" s="12"/>
      <c r="G980" s="11"/>
      <c r="K980" s="51"/>
    </row>
    <row r="981" ht="13.5" customHeight="1">
      <c r="D981" s="12"/>
      <c r="E981" s="249"/>
      <c r="F981" s="12"/>
      <c r="G981" s="11"/>
      <c r="K981" s="51"/>
    </row>
    <row r="982" ht="13.5" customHeight="1">
      <c r="D982" s="12"/>
      <c r="E982" s="249"/>
      <c r="F982" s="12"/>
      <c r="G982" s="11"/>
      <c r="K982" s="51"/>
    </row>
    <row r="983" ht="13.5" customHeight="1">
      <c r="D983" s="12"/>
      <c r="E983" s="249"/>
      <c r="F983" s="12"/>
      <c r="G983" s="11"/>
      <c r="K983" s="51"/>
    </row>
    <row r="984" ht="13.5" customHeight="1">
      <c r="D984" s="12"/>
      <c r="E984" s="249"/>
      <c r="F984" s="12"/>
      <c r="G984" s="11"/>
      <c r="K984" s="51"/>
    </row>
    <row r="985" ht="13.5" customHeight="1">
      <c r="D985" s="12"/>
      <c r="E985" s="249"/>
      <c r="F985" s="12"/>
      <c r="G985" s="11"/>
      <c r="K985" s="51"/>
    </row>
    <row r="986" ht="13.5" customHeight="1">
      <c r="D986" s="12"/>
      <c r="E986" s="249"/>
      <c r="F986" s="12"/>
      <c r="G986" s="11"/>
      <c r="K986" s="51"/>
    </row>
    <row r="987" ht="13.5" customHeight="1">
      <c r="D987" s="12"/>
      <c r="E987" s="249"/>
      <c r="F987" s="12"/>
      <c r="G987" s="11"/>
      <c r="K987" s="51"/>
    </row>
    <row r="988" ht="13.5" customHeight="1">
      <c r="D988" s="12"/>
      <c r="E988" s="249"/>
      <c r="F988" s="12"/>
      <c r="G988" s="11"/>
      <c r="K988" s="51"/>
    </row>
    <row r="989" ht="13.5" customHeight="1">
      <c r="D989" s="12"/>
      <c r="E989" s="249"/>
      <c r="F989" s="12"/>
      <c r="G989" s="11"/>
      <c r="K989" s="51"/>
    </row>
    <row r="990" ht="13.5" customHeight="1">
      <c r="D990" s="12"/>
      <c r="E990" s="249"/>
      <c r="F990" s="12"/>
      <c r="G990" s="11"/>
      <c r="K990" s="51"/>
    </row>
    <row r="991" ht="13.5" customHeight="1">
      <c r="D991" s="12"/>
      <c r="E991" s="249"/>
      <c r="F991" s="12"/>
      <c r="G991" s="11"/>
      <c r="K991" s="51"/>
    </row>
    <row r="992" ht="13.5" customHeight="1">
      <c r="D992" s="12"/>
      <c r="E992" s="249"/>
      <c r="F992" s="12"/>
      <c r="G992" s="11"/>
      <c r="K992" s="51"/>
    </row>
    <row r="993" ht="13.5" customHeight="1">
      <c r="D993" s="12"/>
      <c r="E993" s="249"/>
      <c r="F993" s="12"/>
      <c r="G993" s="11"/>
      <c r="K993" s="51"/>
    </row>
    <row r="994" ht="13.5" customHeight="1">
      <c r="D994" s="12"/>
      <c r="E994" s="249"/>
      <c r="F994" s="12"/>
      <c r="G994" s="11"/>
      <c r="K994" s="51"/>
    </row>
    <row r="995" ht="13.5" customHeight="1">
      <c r="D995" s="12"/>
      <c r="E995" s="249"/>
      <c r="F995" s="12"/>
      <c r="G995" s="11"/>
      <c r="K995" s="51"/>
    </row>
    <row r="996" ht="13.5" customHeight="1">
      <c r="D996" s="12"/>
      <c r="E996" s="249"/>
      <c r="F996" s="12"/>
      <c r="G996" s="11"/>
      <c r="K996" s="51"/>
    </row>
    <row r="997" ht="13.5" customHeight="1">
      <c r="D997" s="12"/>
      <c r="E997" s="249"/>
      <c r="F997" s="12"/>
      <c r="G997" s="11"/>
      <c r="K997" s="51"/>
    </row>
    <row r="998" ht="13.5" customHeight="1">
      <c r="D998" s="12"/>
      <c r="E998" s="249"/>
      <c r="F998" s="12"/>
      <c r="G998" s="11"/>
      <c r="K998" s="51"/>
    </row>
    <row r="999" ht="13.5" customHeight="1">
      <c r="D999" s="12"/>
      <c r="E999" s="249"/>
      <c r="F999" s="12"/>
      <c r="G999" s="11"/>
      <c r="K999" s="51"/>
    </row>
    <row r="1000" ht="13.5" customHeight="1">
      <c r="D1000" s="12"/>
      <c r="E1000" s="249"/>
      <c r="F1000" s="12"/>
      <c r="G1000" s="11"/>
      <c r="K1000" s="51"/>
    </row>
  </sheetData>
  <autoFilter ref="$A$1:$E$136"/>
  <printOptions/>
  <pageMargins bottom="0.787401575" footer="0.0" header="0.0" left="0.511811024" right="0.511811024" top="0.7874015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5.13"/>
    <col customWidth="1" min="3" max="3" width="8.88"/>
    <col customWidth="1" min="4" max="4" width="12.63"/>
    <col customWidth="1" min="5" max="5" width="15.5"/>
    <col customWidth="1" min="6" max="6" width="14.88"/>
    <col customWidth="1" min="7" max="7" width="26.13"/>
    <col customWidth="1" min="8" max="26" width="14.88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3.5" customHeight="1">
      <c r="A2" s="14">
        <v>1.0</v>
      </c>
      <c r="B2" s="14" t="s">
        <v>9</v>
      </c>
      <c r="C2" s="14">
        <v>2130870.0</v>
      </c>
      <c r="D2" s="16">
        <v>46224.0</v>
      </c>
      <c r="E2" s="17">
        <v>23607.02</v>
      </c>
      <c r="F2" s="14" t="s">
        <v>80</v>
      </c>
      <c r="G2" s="14" t="s">
        <v>19</v>
      </c>
      <c r="H2" s="34"/>
      <c r="I2" s="34"/>
      <c r="J2" s="21">
        <v>183589.0</v>
      </c>
      <c r="K2" s="29">
        <v>25181.50999999999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3.5" customHeight="1">
      <c r="A3" s="14">
        <v>2.0</v>
      </c>
      <c r="B3" s="14" t="s">
        <v>9</v>
      </c>
      <c r="C3" s="14">
        <v>2130870.0</v>
      </c>
      <c r="D3" s="16">
        <v>46224.0</v>
      </c>
      <c r="E3" s="17">
        <v>30466.29</v>
      </c>
      <c r="F3" s="14" t="s">
        <v>10</v>
      </c>
      <c r="G3" s="30" t="s">
        <v>19</v>
      </c>
      <c r="H3" s="23"/>
      <c r="I3" s="34"/>
      <c r="J3" s="21">
        <v>183590.0</v>
      </c>
      <c r="K3" s="29">
        <v>304786.24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30">
        <v>3.0</v>
      </c>
      <c r="B4" s="30" t="s">
        <v>16</v>
      </c>
      <c r="C4" s="30">
        <v>2050752.0</v>
      </c>
      <c r="D4" s="31">
        <v>46224.0</v>
      </c>
      <c r="E4" s="32">
        <v>2558299.47</v>
      </c>
      <c r="F4" s="30"/>
      <c r="G4" s="30" t="s">
        <v>19</v>
      </c>
      <c r="H4" s="34"/>
      <c r="I4" s="34"/>
      <c r="J4" s="21">
        <v>183598.0</v>
      </c>
      <c r="K4" s="29">
        <v>134304.57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3">
        <v>5.0</v>
      </c>
      <c r="B5" s="23" t="s">
        <v>20</v>
      </c>
      <c r="C5" s="23">
        <v>1040211.0</v>
      </c>
      <c r="D5" s="49">
        <v>46224.0</v>
      </c>
      <c r="E5" s="29">
        <v>288816.74</v>
      </c>
      <c r="F5" s="23"/>
      <c r="G5" s="23" t="s">
        <v>19</v>
      </c>
      <c r="H5" s="34"/>
      <c r="I5" s="34"/>
      <c r="J5" s="21">
        <v>183608.0</v>
      </c>
      <c r="K5" s="29">
        <v>467.17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3">
        <v>6.0</v>
      </c>
      <c r="B6" s="23" t="s">
        <v>20</v>
      </c>
      <c r="C6" s="23">
        <v>1200393.0</v>
      </c>
      <c r="D6" s="49">
        <v>46224.0</v>
      </c>
      <c r="E6" s="29">
        <v>134304.57</v>
      </c>
      <c r="F6" s="23"/>
      <c r="G6" s="23" t="s">
        <v>19</v>
      </c>
      <c r="H6" s="34"/>
      <c r="I6" s="34"/>
      <c r="J6" s="34"/>
      <c r="K6" s="17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3">
        <v>16.0</v>
      </c>
      <c r="B7" s="23" t="s">
        <v>20</v>
      </c>
      <c r="C7" s="23">
        <v>1200393.0</v>
      </c>
      <c r="D7" s="49">
        <v>46224.0</v>
      </c>
      <c r="E7" s="29">
        <v>2799.98</v>
      </c>
      <c r="F7" s="23"/>
      <c r="G7" s="23" t="s">
        <v>19</v>
      </c>
      <c r="H7" s="34"/>
      <c r="I7" s="34"/>
      <c r="J7" s="34"/>
      <c r="K7" s="17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3">
        <v>17.0</v>
      </c>
      <c r="B8" s="23" t="s">
        <v>20</v>
      </c>
      <c r="C8" s="23">
        <v>1040211.0</v>
      </c>
      <c r="D8" s="49">
        <v>46224.0</v>
      </c>
      <c r="E8" s="29">
        <v>22381.53</v>
      </c>
      <c r="F8" s="23"/>
      <c r="G8" s="23" t="s">
        <v>19</v>
      </c>
      <c r="H8" s="34"/>
      <c r="I8" s="34"/>
      <c r="J8" s="34"/>
      <c r="K8" s="17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3">
        <v>19.0</v>
      </c>
      <c r="B9" s="23" t="s">
        <v>20</v>
      </c>
      <c r="C9" s="23">
        <v>1200393.0</v>
      </c>
      <c r="D9" s="49">
        <v>46224.0</v>
      </c>
      <c r="E9" s="29">
        <v>15969.5</v>
      </c>
      <c r="F9" s="23"/>
      <c r="G9" s="23" t="s">
        <v>19</v>
      </c>
      <c r="H9" s="34"/>
      <c r="I9" s="34"/>
      <c r="J9" s="34"/>
      <c r="K9" s="17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14">
        <v>21.0</v>
      </c>
      <c r="B10" s="14" t="s">
        <v>20</v>
      </c>
      <c r="C10" s="14">
        <v>1060345.0</v>
      </c>
      <c r="D10" s="16">
        <v>46224.0</v>
      </c>
      <c r="E10" s="17">
        <v>2000000.0</v>
      </c>
      <c r="F10" s="14"/>
      <c r="G10" s="14" t="s">
        <v>19</v>
      </c>
      <c r="H10" s="34"/>
      <c r="I10" s="34"/>
      <c r="J10" s="34"/>
      <c r="K10" s="17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3">
        <v>29.0</v>
      </c>
      <c r="B11" s="23" t="s">
        <v>20</v>
      </c>
      <c r="C11" s="23">
        <v>1040361.0</v>
      </c>
      <c r="D11" s="49">
        <v>46224.0</v>
      </c>
      <c r="E11" s="29">
        <v>314.08</v>
      </c>
      <c r="F11" s="23"/>
      <c r="G11" s="23" t="s">
        <v>19</v>
      </c>
      <c r="H11" s="34"/>
      <c r="I11" s="34"/>
      <c r="J11" s="34"/>
      <c r="K11" s="17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3">
        <v>30.0</v>
      </c>
      <c r="B12" s="23" t="s">
        <v>20</v>
      </c>
      <c r="C12" s="23">
        <v>1040361.0</v>
      </c>
      <c r="D12" s="49">
        <v>46224.0</v>
      </c>
      <c r="E12" s="29">
        <v>77.4</v>
      </c>
      <c r="F12" s="23"/>
      <c r="G12" s="23" t="s">
        <v>19</v>
      </c>
      <c r="H12" s="34"/>
      <c r="I12" s="34"/>
      <c r="J12" s="34"/>
      <c r="K12" s="17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3">
        <v>31.0</v>
      </c>
      <c r="B13" s="23" t="s">
        <v>20</v>
      </c>
      <c r="C13" s="23">
        <v>1040361.0</v>
      </c>
      <c r="D13" s="49">
        <v>46224.0</v>
      </c>
      <c r="E13" s="29">
        <v>75.69</v>
      </c>
      <c r="F13" s="23"/>
      <c r="G13" s="23" t="s">
        <v>19</v>
      </c>
      <c r="H13" s="34"/>
      <c r="I13" s="34"/>
      <c r="J13" s="34"/>
      <c r="K13" s="17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181"/>
      <c r="B14" s="181"/>
      <c r="C14" s="181"/>
      <c r="D14" s="15"/>
      <c r="E14" s="17"/>
      <c r="F14" s="34"/>
      <c r="G14" s="34"/>
      <c r="H14" s="34"/>
      <c r="I14" s="34"/>
      <c r="J14" s="34"/>
      <c r="K14" s="17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181"/>
      <c r="B15" s="181"/>
      <c r="C15" s="181"/>
      <c r="D15" s="15"/>
      <c r="E15" s="17"/>
      <c r="F15" s="34"/>
      <c r="G15" s="34"/>
      <c r="H15" s="34"/>
      <c r="I15" s="34"/>
      <c r="J15" s="34"/>
      <c r="K15" s="17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74"/>
      <c r="B16" s="74"/>
      <c r="C16" s="74"/>
      <c r="D16" s="12"/>
      <c r="E16" s="51"/>
      <c r="F16" s="24"/>
      <c r="G16" s="24"/>
      <c r="H16" s="24"/>
      <c r="I16" s="24"/>
      <c r="J16" s="24"/>
      <c r="K16" s="51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74"/>
      <c r="B17" s="74"/>
      <c r="C17" s="74"/>
      <c r="D17" s="12"/>
      <c r="E17" s="51"/>
      <c r="F17" s="24"/>
      <c r="G17" s="24"/>
      <c r="H17" s="24"/>
      <c r="I17" s="24"/>
      <c r="J17" s="24"/>
      <c r="K17" s="51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74"/>
      <c r="B18" s="74"/>
      <c r="C18" s="74"/>
      <c r="D18" s="12"/>
      <c r="E18" s="51"/>
      <c r="F18" s="24"/>
      <c r="G18" s="24"/>
      <c r="H18" s="24"/>
      <c r="I18" s="24"/>
      <c r="J18" s="24"/>
      <c r="K18" s="51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74"/>
      <c r="B19" s="74"/>
      <c r="C19" s="74"/>
      <c r="D19" s="12"/>
      <c r="E19" s="51"/>
      <c r="F19" s="24"/>
      <c r="G19" s="24"/>
      <c r="H19" s="24"/>
      <c r="I19" s="24"/>
      <c r="J19" s="24"/>
      <c r="K19" s="51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74"/>
      <c r="B20" s="74"/>
      <c r="C20" s="74"/>
      <c r="D20" s="12"/>
      <c r="E20" s="51"/>
      <c r="F20" s="24"/>
      <c r="G20" s="24"/>
      <c r="H20" s="24"/>
      <c r="I20" s="24"/>
      <c r="J20" s="24"/>
      <c r="K20" s="51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3.5" customHeight="1">
      <c r="A21" s="74"/>
      <c r="B21" s="74"/>
      <c r="C21" s="74"/>
      <c r="D21" s="12"/>
      <c r="E21" s="51"/>
      <c r="F21" s="24"/>
      <c r="G21" s="24"/>
      <c r="H21" s="24"/>
      <c r="I21" s="24"/>
      <c r="J21" s="24"/>
      <c r="K21" s="51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>
      <c r="A22" s="74"/>
      <c r="B22" s="74"/>
      <c r="C22" s="74"/>
      <c r="D22" s="12"/>
      <c r="E22" s="51"/>
      <c r="F22" s="24"/>
      <c r="G22" s="24"/>
      <c r="H22" s="212"/>
      <c r="I22" s="24"/>
      <c r="J22" s="24"/>
      <c r="K22" s="51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>
      <c r="A23" s="74"/>
      <c r="B23" s="74"/>
      <c r="C23" s="74"/>
      <c r="D23" s="12"/>
      <c r="E23" s="51"/>
      <c r="F23" s="24"/>
      <c r="G23" s="24"/>
      <c r="H23" s="24"/>
      <c r="I23" s="24"/>
      <c r="J23" s="24"/>
      <c r="K23" s="51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>
      <c r="A24" s="74"/>
      <c r="B24" s="74"/>
      <c r="C24" s="74"/>
      <c r="D24" s="12"/>
      <c r="E24" s="51"/>
      <c r="F24" s="24"/>
      <c r="G24" s="24"/>
      <c r="H24" s="24"/>
      <c r="I24" s="24"/>
      <c r="J24" s="24"/>
      <c r="K24" s="51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>
      <c r="A25" s="74"/>
      <c r="B25" s="74"/>
      <c r="C25" s="74"/>
      <c r="D25" s="12"/>
      <c r="E25" s="51"/>
      <c r="F25" s="24"/>
      <c r="G25" s="24"/>
      <c r="H25" s="24"/>
      <c r="I25" s="24"/>
      <c r="J25" s="24"/>
      <c r="K25" s="51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3.5" customHeight="1">
      <c r="A26" s="74"/>
      <c r="B26" s="74"/>
      <c r="C26" s="74"/>
      <c r="D26" s="12"/>
      <c r="E26" s="51"/>
      <c r="F26" s="24"/>
      <c r="G26" s="250"/>
      <c r="H26" s="24"/>
      <c r="I26" s="24"/>
      <c r="J26" s="24"/>
      <c r="K26" s="51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>
      <c r="A27" s="74"/>
      <c r="B27" s="74"/>
      <c r="C27" s="74"/>
      <c r="D27" s="12"/>
      <c r="E27" s="51"/>
      <c r="F27" s="24"/>
      <c r="G27" s="24"/>
      <c r="H27" s="24"/>
      <c r="I27" s="24"/>
      <c r="J27" s="24"/>
      <c r="K27" s="51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>
      <c r="A28" s="74"/>
      <c r="B28" s="74"/>
      <c r="C28" s="74"/>
      <c r="D28" s="12"/>
      <c r="E28" s="51"/>
      <c r="F28" s="24"/>
      <c r="G28" s="24"/>
      <c r="H28" s="24"/>
      <c r="I28" s="24"/>
      <c r="J28" s="24"/>
      <c r="K28" s="51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>
      <c r="A29" s="74"/>
      <c r="B29" s="74"/>
      <c r="C29" s="74"/>
      <c r="D29" s="12"/>
      <c r="E29" s="51"/>
      <c r="F29" s="24"/>
      <c r="G29" s="24"/>
      <c r="H29" s="24"/>
      <c r="I29" s="24"/>
      <c r="J29" s="24"/>
      <c r="K29" s="5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3.5" customHeight="1">
      <c r="A30" s="74"/>
      <c r="B30" s="74"/>
      <c r="C30" s="74"/>
      <c r="D30" s="12"/>
      <c r="E30" s="51"/>
      <c r="F30" s="24"/>
      <c r="G30" s="24"/>
      <c r="H30" s="24"/>
      <c r="I30" s="24"/>
      <c r="J30" s="24"/>
      <c r="K30" s="51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3.5" customHeight="1">
      <c r="A31" s="74"/>
      <c r="B31" s="74"/>
      <c r="C31" s="74"/>
      <c r="D31" s="12"/>
      <c r="E31" s="51"/>
      <c r="F31" s="24"/>
      <c r="G31" s="24"/>
      <c r="H31" s="24"/>
      <c r="I31" s="24"/>
      <c r="J31" s="24"/>
      <c r="K31" s="51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>
      <c r="A32" s="74"/>
      <c r="B32" s="74"/>
      <c r="C32" s="74"/>
      <c r="D32" s="12"/>
      <c r="E32" s="51"/>
      <c r="F32" s="24"/>
      <c r="G32" s="24"/>
      <c r="H32" s="24"/>
      <c r="I32" s="24"/>
      <c r="J32" s="24"/>
      <c r="K32" s="51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3.5" customHeight="1">
      <c r="A33" s="74"/>
      <c r="B33" s="74"/>
      <c r="C33" s="74"/>
      <c r="D33" s="12"/>
      <c r="E33" s="51"/>
      <c r="F33" s="24"/>
      <c r="G33" s="24"/>
      <c r="H33" s="24"/>
      <c r="I33" s="24"/>
      <c r="J33" s="24"/>
      <c r="K33" s="51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3.5" customHeight="1">
      <c r="E34" s="51"/>
      <c r="F34" s="61"/>
      <c r="G34" s="61"/>
      <c r="H34" s="61"/>
      <c r="I34" s="24"/>
      <c r="J34" s="24"/>
      <c r="K34" s="51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3.5" customHeight="1">
      <c r="E35" s="51"/>
      <c r="F35" s="61"/>
      <c r="G35" s="61"/>
      <c r="H35" s="61"/>
      <c r="I35" s="24"/>
      <c r="J35" s="24"/>
      <c r="K35" s="51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3.5" customHeight="1">
      <c r="E36" s="51"/>
      <c r="F36" s="61"/>
      <c r="G36" s="61"/>
      <c r="H36" s="61"/>
      <c r="I36" s="24"/>
      <c r="J36" s="24"/>
      <c r="K36" s="51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3.5" customHeight="1">
      <c r="E37" s="51"/>
      <c r="F37" s="61"/>
      <c r="G37" s="61"/>
      <c r="H37" s="61"/>
      <c r="I37" s="24"/>
      <c r="J37" s="24"/>
      <c r="K37" s="51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3.5" customHeight="1">
      <c r="E38" s="51"/>
      <c r="F38" s="61"/>
      <c r="G38" s="61"/>
      <c r="H38" s="61"/>
      <c r="I38" s="24"/>
      <c r="J38" s="24"/>
      <c r="K38" s="51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3.5" customHeight="1">
      <c r="E39" s="51"/>
      <c r="F39" s="61"/>
      <c r="G39" s="61"/>
      <c r="H39" s="61"/>
      <c r="I39" s="24"/>
      <c r="J39" s="24"/>
      <c r="K39" s="51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3.5" customHeight="1">
      <c r="E40" s="51"/>
      <c r="F40" s="61"/>
      <c r="G40" s="61"/>
      <c r="H40" s="61"/>
      <c r="I40" s="24"/>
      <c r="J40" s="24"/>
      <c r="K40" s="51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3.5" customHeight="1">
      <c r="E41" s="51"/>
      <c r="F41" s="61"/>
      <c r="G41" s="61"/>
      <c r="H41" s="61"/>
      <c r="I41" s="24"/>
      <c r="J41" s="24"/>
      <c r="K41" s="51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3.5" customHeight="1">
      <c r="A42" s="61"/>
      <c r="B42" s="61"/>
      <c r="C42" s="61"/>
      <c r="D42" s="69"/>
      <c r="E42" s="75"/>
      <c r="F42" s="61"/>
      <c r="G42" s="61"/>
      <c r="H42" s="61"/>
      <c r="I42" s="24"/>
      <c r="J42" s="24"/>
      <c r="K42" s="51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3.5" customHeight="1">
      <c r="A43" s="61"/>
      <c r="B43" s="61"/>
      <c r="C43" s="61"/>
      <c r="D43" s="69"/>
      <c r="E43" s="75"/>
      <c r="F43" s="61"/>
      <c r="G43" s="61"/>
      <c r="H43" s="61"/>
      <c r="I43" s="24"/>
      <c r="J43" s="24"/>
      <c r="K43" s="51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3.5" customHeight="1">
      <c r="A44" s="61"/>
      <c r="B44" s="61"/>
      <c r="C44" s="61"/>
      <c r="D44" s="69"/>
      <c r="E44" s="75"/>
      <c r="F44" s="61"/>
      <c r="G44" s="61"/>
      <c r="H44" s="61"/>
      <c r="I44" s="24"/>
      <c r="J44" s="24"/>
      <c r="K44" s="51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3.5" customHeight="1">
      <c r="A45" s="61"/>
      <c r="B45" s="61"/>
      <c r="C45" s="61"/>
      <c r="D45" s="69"/>
      <c r="E45" s="75"/>
      <c r="F45" s="61"/>
      <c r="G45" s="61"/>
      <c r="H45" s="61"/>
      <c r="I45" s="24"/>
      <c r="J45" s="24"/>
      <c r="K45" s="51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3.5" customHeight="1">
      <c r="A46" s="61"/>
      <c r="B46" s="61"/>
      <c r="C46" s="61"/>
      <c r="D46" s="69"/>
      <c r="E46" s="75"/>
      <c r="F46" s="61"/>
      <c r="G46" s="61"/>
      <c r="H46" s="61"/>
      <c r="I46" s="24"/>
      <c r="J46" s="24"/>
      <c r="K46" s="51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3.5" customHeight="1">
      <c r="A47" s="61"/>
      <c r="B47" s="61"/>
      <c r="C47" s="61"/>
      <c r="D47" s="69"/>
      <c r="E47" s="75"/>
      <c r="F47" s="61"/>
      <c r="G47" s="61"/>
      <c r="H47" s="61"/>
      <c r="I47" s="24"/>
      <c r="J47" s="24"/>
      <c r="K47" s="51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3.5" customHeight="1">
      <c r="A48" s="61"/>
      <c r="B48" s="61"/>
      <c r="C48" s="61"/>
      <c r="D48" s="69"/>
      <c r="E48" s="75"/>
      <c r="F48" s="61"/>
      <c r="G48" s="61"/>
      <c r="H48" s="61"/>
      <c r="I48" s="24"/>
      <c r="J48" s="24"/>
      <c r="K48" s="51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3.5" customHeight="1">
      <c r="A49" s="61"/>
      <c r="B49" s="61"/>
      <c r="C49" s="61"/>
      <c r="D49" s="69"/>
      <c r="E49" s="75"/>
      <c r="F49" s="61"/>
      <c r="G49" s="61"/>
      <c r="H49" s="61"/>
      <c r="I49" s="24"/>
      <c r="J49" s="24"/>
      <c r="K49" s="51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3.5" customHeight="1">
      <c r="A50" s="61"/>
      <c r="B50" s="61"/>
      <c r="C50" s="61"/>
      <c r="D50" s="69"/>
      <c r="E50" s="75"/>
      <c r="F50" s="61"/>
      <c r="G50" s="61"/>
      <c r="H50" s="61"/>
      <c r="I50" s="24"/>
      <c r="J50" s="24"/>
      <c r="K50" s="51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3.5" customHeight="1">
      <c r="A51" s="61"/>
      <c r="B51" s="61"/>
      <c r="C51" s="61"/>
      <c r="D51" s="69"/>
      <c r="E51" s="75"/>
      <c r="F51" s="61"/>
      <c r="G51" s="61"/>
      <c r="H51" s="61"/>
      <c r="I51" s="24"/>
      <c r="J51" s="24"/>
      <c r="K51" s="51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A52" s="61"/>
      <c r="B52" s="61"/>
      <c r="C52" s="61"/>
      <c r="D52" s="69"/>
      <c r="E52" s="75"/>
      <c r="F52" s="61"/>
      <c r="G52" s="61"/>
      <c r="H52" s="61"/>
      <c r="I52" s="24"/>
      <c r="J52" s="24"/>
      <c r="K52" s="51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3.5" customHeight="1">
      <c r="A53" s="61"/>
      <c r="B53" s="61"/>
      <c r="C53" s="61"/>
      <c r="D53" s="69"/>
      <c r="E53" s="75"/>
      <c r="F53" s="61"/>
      <c r="G53" s="61"/>
      <c r="H53" s="61"/>
      <c r="I53" s="24"/>
      <c r="J53" s="24"/>
      <c r="K53" s="51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3.5" customHeight="1">
      <c r="A54" s="61"/>
      <c r="B54" s="61"/>
      <c r="C54" s="61"/>
      <c r="D54" s="69"/>
      <c r="E54" s="75"/>
      <c r="F54" s="61"/>
      <c r="G54" s="61"/>
      <c r="H54" s="61"/>
      <c r="I54" s="24"/>
      <c r="J54" s="24"/>
      <c r="K54" s="51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3.5" customHeight="1">
      <c r="A55" s="61"/>
      <c r="B55" s="61"/>
      <c r="C55" s="61"/>
      <c r="D55" s="69"/>
      <c r="E55" s="75"/>
      <c r="F55" s="61"/>
      <c r="G55" s="61"/>
      <c r="H55" s="61"/>
      <c r="I55" s="24"/>
      <c r="J55" s="24"/>
      <c r="K55" s="51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3.5" customHeight="1">
      <c r="A56" s="61"/>
      <c r="B56" s="61"/>
      <c r="C56" s="61"/>
      <c r="D56" s="69"/>
      <c r="E56" s="75"/>
      <c r="F56" s="61"/>
      <c r="G56" s="61"/>
      <c r="H56" s="61"/>
      <c r="I56" s="24"/>
      <c r="J56" s="24"/>
      <c r="K56" s="51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3.5" customHeight="1">
      <c r="A57" s="61"/>
      <c r="B57" s="61"/>
      <c r="C57" s="61"/>
      <c r="D57" s="69"/>
      <c r="E57" s="75"/>
      <c r="F57" s="61"/>
      <c r="G57" s="61"/>
      <c r="H57" s="61"/>
      <c r="I57" s="24"/>
      <c r="J57" s="24"/>
      <c r="K57" s="51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3.5" customHeight="1">
      <c r="A58" s="61"/>
      <c r="B58" s="61"/>
      <c r="C58" s="61"/>
      <c r="D58" s="69"/>
      <c r="E58" s="75"/>
      <c r="F58" s="61"/>
      <c r="G58" s="61"/>
      <c r="H58" s="61"/>
      <c r="I58" s="24"/>
      <c r="J58" s="24"/>
      <c r="K58" s="51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61"/>
      <c r="B59" s="61"/>
      <c r="C59" s="61"/>
      <c r="D59" s="69"/>
      <c r="E59" s="75"/>
      <c r="F59" s="61"/>
      <c r="G59" s="61"/>
      <c r="H59" s="61"/>
      <c r="I59" s="24"/>
      <c r="J59" s="24"/>
      <c r="K59" s="51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61"/>
      <c r="B60" s="61"/>
      <c r="C60" s="61"/>
      <c r="D60" s="69"/>
      <c r="E60" s="75"/>
      <c r="F60" s="61"/>
      <c r="G60" s="61"/>
      <c r="H60" s="61"/>
      <c r="I60" s="24"/>
      <c r="J60" s="24"/>
      <c r="K60" s="51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61"/>
      <c r="B61" s="61"/>
      <c r="C61" s="61"/>
      <c r="D61" s="69"/>
      <c r="E61" s="75"/>
      <c r="F61" s="61"/>
      <c r="G61" s="61"/>
      <c r="H61" s="61"/>
      <c r="I61" s="24"/>
      <c r="J61" s="24"/>
      <c r="K61" s="51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A62" s="61"/>
      <c r="B62" s="61"/>
      <c r="C62" s="61"/>
      <c r="D62" s="69"/>
      <c r="E62" s="75"/>
      <c r="F62" s="61"/>
      <c r="G62" s="61"/>
      <c r="H62" s="61"/>
      <c r="I62" s="24"/>
      <c r="J62" s="24"/>
      <c r="K62" s="51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A63" s="61"/>
      <c r="B63" s="61"/>
      <c r="C63" s="61"/>
      <c r="D63" s="69"/>
      <c r="E63" s="75"/>
      <c r="F63" s="61"/>
      <c r="G63" s="61"/>
      <c r="H63" s="61"/>
      <c r="I63" s="24"/>
      <c r="J63" s="24"/>
      <c r="K63" s="51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61"/>
      <c r="B64" s="61"/>
      <c r="C64" s="61"/>
      <c r="D64" s="69"/>
      <c r="E64" s="75"/>
      <c r="F64" s="61"/>
      <c r="G64" s="61"/>
      <c r="H64" s="61"/>
      <c r="I64" s="24"/>
      <c r="J64" s="24"/>
      <c r="K64" s="51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3.5" customHeight="1">
      <c r="A65" s="61"/>
      <c r="B65" s="61"/>
      <c r="C65" s="61"/>
      <c r="D65" s="69"/>
      <c r="E65" s="75"/>
      <c r="F65" s="61"/>
      <c r="G65" s="61"/>
      <c r="H65" s="61"/>
      <c r="I65" s="24"/>
      <c r="J65" s="24"/>
      <c r="K65" s="51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3.5" customHeight="1">
      <c r="A66" s="61"/>
      <c r="B66" s="61"/>
      <c r="C66" s="61"/>
      <c r="D66" s="69"/>
      <c r="E66" s="75"/>
      <c r="F66" s="61"/>
      <c r="G66" s="61"/>
      <c r="H66" s="61"/>
      <c r="I66" s="24"/>
      <c r="J66" s="24"/>
      <c r="K66" s="51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61"/>
      <c r="B67" s="61"/>
      <c r="C67" s="61"/>
      <c r="D67" s="69"/>
      <c r="E67" s="75"/>
      <c r="F67" s="61"/>
      <c r="G67" s="61"/>
      <c r="H67" s="61"/>
      <c r="I67" s="24"/>
      <c r="J67" s="24"/>
      <c r="K67" s="51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61"/>
      <c r="B68" s="61"/>
      <c r="C68" s="61"/>
      <c r="D68" s="69"/>
      <c r="E68" s="75"/>
      <c r="F68" s="61"/>
      <c r="G68" s="61"/>
      <c r="H68" s="61"/>
      <c r="I68" s="24"/>
      <c r="J68" s="24"/>
      <c r="K68" s="51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61"/>
      <c r="B69" s="61"/>
      <c r="C69" s="61"/>
      <c r="D69" s="69"/>
      <c r="E69" s="75"/>
      <c r="F69" s="61"/>
      <c r="G69" s="61"/>
      <c r="H69" s="61"/>
      <c r="I69" s="24"/>
      <c r="J69" s="24"/>
      <c r="K69" s="51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61"/>
      <c r="B70" s="61"/>
      <c r="C70" s="61"/>
      <c r="D70" s="69"/>
      <c r="E70" s="75"/>
      <c r="F70" s="61"/>
      <c r="G70" s="61"/>
      <c r="H70" s="61"/>
      <c r="I70" s="24"/>
      <c r="J70" s="24"/>
      <c r="K70" s="51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61"/>
      <c r="B71" s="61"/>
      <c r="C71" s="61"/>
      <c r="D71" s="69"/>
      <c r="E71" s="75"/>
      <c r="F71" s="61"/>
      <c r="G71" s="61"/>
      <c r="H71" s="61"/>
      <c r="I71" s="24"/>
      <c r="J71" s="24"/>
      <c r="K71" s="51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61"/>
      <c r="B72" s="61"/>
      <c r="C72" s="61"/>
      <c r="D72" s="69"/>
      <c r="E72" s="75"/>
      <c r="F72" s="61"/>
      <c r="G72" s="61"/>
      <c r="H72" s="61"/>
      <c r="I72" s="24"/>
      <c r="J72" s="24"/>
      <c r="K72" s="51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61"/>
      <c r="B73" s="61"/>
      <c r="C73" s="61"/>
      <c r="D73" s="69"/>
      <c r="E73" s="75"/>
      <c r="F73" s="61"/>
      <c r="G73" s="61"/>
      <c r="H73" s="61"/>
      <c r="I73" s="24"/>
      <c r="J73" s="24"/>
      <c r="K73" s="51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61"/>
      <c r="B74" s="61"/>
      <c r="C74" s="61"/>
      <c r="D74" s="69"/>
      <c r="E74" s="75"/>
      <c r="F74" s="61"/>
      <c r="G74" s="61"/>
      <c r="H74" s="61"/>
      <c r="I74" s="24"/>
      <c r="J74" s="24"/>
      <c r="K74" s="51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3.5" customHeight="1">
      <c r="A75" s="61"/>
      <c r="B75" s="61"/>
      <c r="C75" s="61"/>
      <c r="D75" s="69"/>
      <c r="E75" s="75"/>
      <c r="F75" s="61"/>
      <c r="G75" s="61"/>
      <c r="H75" s="61"/>
      <c r="I75" s="24"/>
      <c r="J75" s="24"/>
      <c r="K75" s="51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65"/>
      <c r="B76" s="65"/>
      <c r="C76" s="65"/>
      <c r="D76" s="69"/>
      <c r="E76" s="75"/>
      <c r="F76" s="61"/>
      <c r="G76" s="61"/>
      <c r="H76" s="61"/>
      <c r="I76" s="24"/>
      <c r="J76" s="24"/>
      <c r="K76" s="51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65"/>
      <c r="B77" s="65"/>
      <c r="C77" s="65"/>
      <c r="D77" s="69"/>
      <c r="E77" s="75"/>
      <c r="F77" s="61"/>
      <c r="G77" s="61"/>
      <c r="H77" s="61"/>
      <c r="I77" s="24"/>
      <c r="J77" s="24"/>
      <c r="K77" s="51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65"/>
      <c r="B78" s="65"/>
      <c r="C78" s="65"/>
      <c r="D78" s="69"/>
      <c r="E78" s="75"/>
      <c r="F78" s="61"/>
      <c r="G78" s="61"/>
      <c r="H78" s="61"/>
      <c r="I78" s="24"/>
      <c r="J78" s="24"/>
      <c r="K78" s="51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65"/>
      <c r="B79" s="65"/>
      <c r="C79" s="65"/>
      <c r="D79" s="69"/>
      <c r="E79" s="75"/>
      <c r="F79" s="61"/>
      <c r="G79" s="61"/>
      <c r="H79" s="61"/>
      <c r="I79" s="24"/>
      <c r="J79" s="24"/>
      <c r="K79" s="51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65"/>
      <c r="B80" s="65"/>
      <c r="C80" s="65"/>
      <c r="D80" s="69"/>
      <c r="E80" s="75"/>
      <c r="F80" s="61"/>
      <c r="G80" s="61"/>
      <c r="H80" s="61"/>
      <c r="I80" s="24"/>
      <c r="J80" s="24"/>
      <c r="K80" s="51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65"/>
      <c r="B81" s="65"/>
      <c r="C81" s="65"/>
      <c r="D81" s="69"/>
      <c r="E81" s="75"/>
      <c r="F81" s="61"/>
      <c r="G81" s="61"/>
      <c r="H81" s="61"/>
      <c r="I81" s="24"/>
      <c r="J81" s="24"/>
      <c r="K81" s="51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65"/>
      <c r="B82" s="65"/>
      <c r="C82" s="65"/>
      <c r="D82" s="69"/>
      <c r="E82" s="75"/>
      <c r="F82" s="61"/>
      <c r="G82" s="61"/>
      <c r="H82" s="61"/>
      <c r="I82" s="24"/>
      <c r="J82" s="24"/>
      <c r="K82" s="51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65"/>
      <c r="B83" s="65"/>
      <c r="C83" s="65"/>
      <c r="D83" s="69"/>
      <c r="E83" s="75"/>
      <c r="F83" s="61"/>
      <c r="G83" s="61"/>
      <c r="H83" s="61"/>
      <c r="I83" s="24"/>
      <c r="J83" s="24"/>
      <c r="K83" s="51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65"/>
      <c r="B84" s="65"/>
      <c r="C84" s="65"/>
      <c r="D84" s="69"/>
      <c r="E84" s="75"/>
      <c r="F84" s="61"/>
      <c r="G84" s="61"/>
      <c r="H84" s="61"/>
      <c r="I84" s="24"/>
      <c r="J84" s="24"/>
      <c r="K84" s="51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65"/>
      <c r="B85" s="65"/>
      <c r="C85" s="65"/>
      <c r="D85" s="69"/>
      <c r="E85" s="75"/>
      <c r="F85" s="61"/>
      <c r="G85" s="61"/>
      <c r="H85" s="61"/>
      <c r="I85" s="24"/>
      <c r="J85" s="24"/>
      <c r="K85" s="51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65"/>
      <c r="B86" s="65"/>
      <c r="C86" s="65"/>
      <c r="D86" s="69"/>
      <c r="E86" s="75"/>
      <c r="F86" s="61"/>
      <c r="G86" s="61"/>
      <c r="H86" s="61"/>
      <c r="I86" s="24"/>
      <c r="J86" s="24"/>
      <c r="K86" s="51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65"/>
      <c r="B87" s="65"/>
      <c r="C87" s="65"/>
      <c r="D87" s="69"/>
      <c r="E87" s="75"/>
      <c r="F87" s="61"/>
      <c r="G87" s="61"/>
      <c r="H87" s="61"/>
      <c r="I87" s="24"/>
      <c r="J87" s="24"/>
      <c r="K87" s="51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65"/>
      <c r="B88" s="65"/>
      <c r="C88" s="65"/>
      <c r="D88" s="69"/>
      <c r="E88" s="75"/>
      <c r="F88" s="61"/>
      <c r="G88" s="61"/>
      <c r="H88" s="61"/>
      <c r="I88" s="24"/>
      <c r="J88" s="24"/>
      <c r="K88" s="51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65"/>
      <c r="B89" s="65"/>
      <c r="C89" s="65"/>
      <c r="D89" s="69"/>
      <c r="E89" s="75"/>
      <c r="F89" s="61"/>
      <c r="G89" s="61"/>
      <c r="H89" s="61"/>
      <c r="I89" s="24"/>
      <c r="J89" s="24"/>
      <c r="K89" s="51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65"/>
      <c r="B90" s="65"/>
      <c r="C90" s="65"/>
      <c r="D90" s="69"/>
      <c r="E90" s="75"/>
      <c r="F90" s="61"/>
      <c r="G90" s="61"/>
      <c r="H90" s="61"/>
      <c r="I90" s="24"/>
      <c r="J90" s="24"/>
      <c r="K90" s="51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65"/>
      <c r="B91" s="65"/>
      <c r="C91" s="65"/>
      <c r="D91" s="69"/>
      <c r="E91" s="75"/>
      <c r="F91" s="61"/>
      <c r="G91" s="61"/>
      <c r="H91" s="61"/>
      <c r="I91" s="24"/>
      <c r="J91" s="24"/>
      <c r="K91" s="51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65"/>
      <c r="B92" s="65"/>
      <c r="C92" s="65"/>
      <c r="D92" s="69"/>
      <c r="E92" s="75"/>
      <c r="F92" s="61"/>
      <c r="G92" s="61"/>
      <c r="H92" s="61"/>
      <c r="I92" s="24"/>
      <c r="J92" s="24"/>
      <c r="K92" s="51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65"/>
      <c r="B93" s="65"/>
      <c r="C93" s="65"/>
      <c r="D93" s="69"/>
      <c r="E93" s="75"/>
      <c r="F93" s="61"/>
      <c r="G93" s="61"/>
      <c r="H93" s="61"/>
      <c r="I93" s="24"/>
      <c r="J93" s="24"/>
      <c r="K93" s="51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65"/>
      <c r="B94" s="65"/>
      <c r="C94" s="65"/>
      <c r="D94" s="69"/>
      <c r="E94" s="75"/>
      <c r="F94" s="61"/>
      <c r="G94" s="61"/>
      <c r="H94" s="61"/>
      <c r="I94" s="24"/>
      <c r="J94" s="24"/>
      <c r="K94" s="51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65"/>
      <c r="B95" s="65"/>
      <c r="C95" s="65"/>
      <c r="D95" s="69"/>
      <c r="E95" s="75"/>
      <c r="F95" s="61"/>
      <c r="G95" s="61"/>
      <c r="H95" s="61"/>
      <c r="I95" s="24"/>
      <c r="J95" s="24"/>
      <c r="K95" s="51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65"/>
      <c r="B96" s="65"/>
      <c r="C96" s="65"/>
      <c r="D96" s="69"/>
      <c r="E96" s="75"/>
      <c r="F96" s="61"/>
      <c r="G96" s="61"/>
      <c r="H96" s="61"/>
      <c r="I96" s="24"/>
      <c r="J96" s="24"/>
      <c r="K96" s="51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65"/>
      <c r="B97" s="65"/>
      <c r="C97" s="65"/>
      <c r="D97" s="69"/>
      <c r="E97" s="75"/>
      <c r="F97" s="61"/>
      <c r="G97" s="61"/>
      <c r="H97" s="61"/>
      <c r="I97" s="24"/>
      <c r="J97" s="24"/>
      <c r="K97" s="51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65"/>
      <c r="B98" s="65"/>
      <c r="C98" s="65"/>
      <c r="D98" s="69"/>
      <c r="E98" s="75"/>
      <c r="F98" s="61"/>
      <c r="G98" s="61"/>
      <c r="H98" s="61"/>
      <c r="I98" s="24"/>
      <c r="J98" s="24"/>
      <c r="K98" s="51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65"/>
      <c r="B99" s="65"/>
      <c r="C99" s="65"/>
      <c r="D99" s="69"/>
      <c r="E99" s="75"/>
      <c r="F99" s="61"/>
      <c r="G99" s="61"/>
      <c r="H99" s="61"/>
      <c r="I99" s="24"/>
      <c r="J99" s="24"/>
      <c r="K99" s="51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65"/>
      <c r="B100" s="65"/>
      <c r="C100" s="65"/>
      <c r="D100" s="69"/>
      <c r="E100" s="75"/>
      <c r="F100" s="61"/>
      <c r="G100" s="61"/>
      <c r="H100" s="61"/>
      <c r="I100" s="24"/>
      <c r="J100" s="24"/>
      <c r="K100" s="51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65"/>
      <c r="B101" s="65"/>
      <c r="C101" s="65"/>
      <c r="D101" s="69"/>
      <c r="E101" s="75"/>
      <c r="F101" s="61"/>
      <c r="G101" s="61"/>
      <c r="H101" s="61"/>
      <c r="I101" s="24"/>
      <c r="J101" s="24"/>
      <c r="K101" s="51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65"/>
      <c r="B102" s="65"/>
      <c r="C102" s="65"/>
      <c r="D102" s="69"/>
      <c r="E102" s="75"/>
      <c r="F102" s="61"/>
      <c r="G102" s="61"/>
      <c r="H102" s="61"/>
      <c r="I102" s="24"/>
      <c r="J102" s="24"/>
      <c r="K102" s="51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65"/>
      <c r="B103" s="65"/>
      <c r="C103" s="65"/>
      <c r="D103" s="69"/>
      <c r="E103" s="75"/>
      <c r="F103" s="61"/>
      <c r="G103" s="61"/>
      <c r="H103" s="61"/>
      <c r="I103" s="24"/>
      <c r="J103" s="24"/>
      <c r="K103" s="51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65"/>
      <c r="B104" s="65"/>
      <c r="C104" s="65"/>
      <c r="D104" s="69"/>
      <c r="E104" s="75"/>
      <c r="F104" s="61"/>
      <c r="G104" s="61"/>
      <c r="H104" s="61"/>
      <c r="I104" s="24"/>
      <c r="J104" s="24"/>
      <c r="K104" s="51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3.5" customHeight="1">
      <c r="A105" s="65"/>
      <c r="B105" s="65"/>
      <c r="C105" s="65"/>
      <c r="D105" s="69"/>
      <c r="E105" s="75"/>
      <c r="F105" s="61"/>
      <c r="G105" s="61"/>
      <c r="H105" s="61"/>
      <c r="I105" s="24"/>
      <c r="J105" s="24"/>
      <c r="K105" s="51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65"/>
      <c r="B106" s="65"/>
      <c r="C106" s="65"/>
      <c r="D106" s="69"/>
      <c r="E106" s="75"/>
      <c r="F106" s="61"/>
      <c r="G106" s="61"/>
      <c r="H106" s="61"/>
      <c r="I106" s="24"/>
      <c r="J106" s="24"/>
      <c r="K106" s="51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3.5" customHeight="1">
      <c r="A107" s="65"/>
      <c r="B107" s="65"/>
      <c r="C107" s="65"/>
      <c r="D107" s="69"/>
      <c r="E107" s="75"/>
      <c r="F107" s="61"/>
      <c r="G107" s="61"/>
      <c r="H107" s="61"/>
      <c r="I107" s="24"/>
      <c r="J107" s="24"/>
      <c r="K107" s="51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3.5" customHeight="1">
      <c r="A108" s="65"/>
      <c r="B108" s="65"/>
      <c r="C108" s="65"/>
      <c r="D108" s="69"/>
      <c r="E108" s="75"/>
      <c r="F108" s="61"/>
      <c r="G108" s="61"/>
      <c r="H108" s="61"/>
      <c r="I108" s="24"/>
      <c r="J108" s="24"/>
      <c r="K108" s="51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3.5" customHeight="1">
      <c r="A109" s="65"/>
      <c r="B109" s="65"/>
      <c r="C109" s="65"/>
      <c r="D109" s="69"/>
      <c r="E109" s="75"/>
      <c r="F109" s="61"/>
      <c r="G109" s="61"/>
      <c r="H109" s="61"/>
      <c r="I109" s="24"/>
      <c r="J109" s="24"/>
      <c r="K109" s="51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3.5" customHeight="1">
      <c r="A110" s="65"/>
      <c r="B110" s="65"/>
      <c r="C110" s="65"/>
      <c r="D110" s="69"/>
      <c r="E110" s="75"/>
      <c r="F110" s="61"/>
      <c r="G110" s="61"/>
      <c r="H110" s="61"/>
      <c r="I110" s="24"/>
      <c r="J110" s="24"/>
      <c r="K110" s="51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3.5" customHeight="1">
      <c r="A111" s="65"/>
      <c r="B111" s="65"/>
      <c r="C111" s="65"/>
      <c r="D111" s="69"/>
      <c r="E111" s="75"/>
      <c r="F111" s="61"/>
      <c r="G111" s="61"/>
      <c r="H111" s="61"/>
      <c r="I111" s="24"/>
      <c r="J111" s="24"/>
      <c r="K111" s="51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3.5" customHeight="1">
      <c r="A112" s="65"/>
      <c r="B112" s="65"/>
      <c r="C112" s="65"/>
      <c r="D112" s="69"/>
      <c r="E112" s="75"/>
      <c r="F112" s="61"/>
      <c r="G112" s="61"/>
      <c r="H112" s="61"/>
      <c r="I112" s="24"/>
      <c r="J112" s="24"/>
      <c r="K112" s="51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3.5" customHeight="1">
      <c r="A113" s="65"/>
      <c r="B113" s="65"/>
      <c r="C113" s="65"/>
      <c r="D113" s="69"/>
      <c r="E113" s="75"/>
      <c r="F113" s="61"/>
      <c r="G113" s="61"/>
      <c r="H113" s="61"/>
      <c r="I113" s="24"/>
      <c r="J113" s="24"/>
      <c r="K113" s="51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3.5" customHeight="1">
      <c r="A114" s="65"/>
      <c r="B114" s="65"/>
      <c r="C114" s="65"/>
      <c r="D114" s="69"/>
      <c r="E114" s="75"/>
      <c r="F114" s="61"/>
      <c r="G114" s="61"/>
      <c r="H114" s="61"/>
      <c r="I114" s="24"/>
      <c r="J114" s="24"/>
      <c r="K114" s="51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3.5" customHeight="1">
      <c r="A115" s="65"/>
      <c r="B115" s="65"/>
      <c r="C115" s="65"/>
      <c r="D115" s="69"/>
      <c r="E115" s="75"/>
      <c r="F115" s="61"/>
      <c r="G115" s="61"/>
      <c r="H115" s="61"/>
      <c r="I115" s="24"/>
      <c r="J115" s="24"/>
      <c r="K115" s="51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3.5" customHeight="1">
      <c r="A116" s="65"/>
      <c r="B116" s="65"/>
      <c r="C116" s="65"/>
      <c r="D116" s="69"/>
      <c r="E116" s="75"/>
      <c r="F116" s="61"/>
      <c r="G116" s="61"/>
      <c r="H116" s="61"/>
      <c r="I116" s="24"/>
      <c r="J116" s="24"/>
      <c r="K116" s="51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3.5" customHeight="1">
      <c r="A117" s="65"/>
      <c r="B117" s="65"/>
      <c r="C117" s="65"/>
      <c r="D117" s="69"/>
      <c r="E117" s="75"/>
      <c r="F117" s="61"/>
      <c r="G117" s="61"/>
      <c r="H117" s="61"/>
      <c r="I117" s="24"/>
      <c r="J117" s="24"/>
      <c r="K117" s="51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3.5" customHeight="1">
      <c r="A118" s="65"/>
      <c r="B118" s="65"/>
      <c r="C118" s="65"/>
      <c r="D118" s="69"/>
      <c r="E118" s="75"/>
      <c r="F118" s="61"/>
      <c r="G118" s="61"/>
      <c r="H118" s="61"/>
      <c r="I118" s="24"/>
      <c r="J118" s="24"/>
      <c r="K118" s="51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3.5" customHeight="1">
      <c r="A119" s="65"/>
      <c r="B119" s="65"/>
      <c r="C119" s="65"/>
      <c r="D119" s="69"/>
      <c r="E119" s="75"/>
      <c r="F119" s="61"/>
      <c r="G119" s="61"/>
      <c r="H119" s="61"/>
      <c r="I119" s="24"/>
      <c r="J119" s="24"/>
      <c r="K119" s="51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3.5" customHeight="1">
      <c r="A120" s="65"/>
      <c r="B120" s="65"/>
      <c r="C120" s="65"/>
      <c r="D120" s="69"/>
      <c r="E120" s="75"/>
      <c r="F120" s="61"/>
      <c r="G120" s="61"/>
      <c r="H120" s="61"/>
      <c r="I120" s="24"/>
      <c r="J120" s="24"/>
      <c r="K120" s="51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3.5" customHeight="1">
      <c r="A121" s="65"/>
      <c r="B121" s="65"/>
      <c r="C121" s="65"/>
      <c r="D121" s="69"/>
      <c r="E121" s="75"/>
      <c r="F121" s="61"/>
      <c r="G121" s="61"/>
      <c r="H121" s="61"/>
      <c r="I121" s="24"/>
      <c r="J121" s="24"/>
      <c r="K121" s="51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3.5" customHeight="1">
      <c r="A122" s="65"/>
      <c r="B122" s="65"/>
      <c r="C122" s="65"/>
      <c r="D122" s="69"/>
      <c r="E122" s="75"/>
      <c r="F122" s="61"/>
      <c r="G122" s="61"/>
      <c r="H122" s="61"/>
      <c r="I122" s="24"/>
      <c r="J122" s="24"/>
      <c r="K122" s="51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3.5" customHeight="1">
      <c r="A123" s="65"/>
      <c r="B123" s="65"/>
      <c r="C123" s="65"/>
      <c r="D123" s="69"/>
      <c r="E123" s="75"/>
      <c r="F123" s="61"/>
      <c r="G123" s="61"/>
      <c r="H123" s="61"/>
      <c r="I123" s="24"/>
      <c r="J123" s="24"/>
      <c r="K123" s="51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3.5" customHeight="1">
      <c r="A124" s="65"/>
      <c r="B124" s="65"/>
      <c r="C124" s="65"/>
      <c r="D124" s="69"/>
      <c r="E124" s="75"/>
      <c r="F124" s="61"/>
      <c r="G124" s="61"/>
      <c r="H124" s="61"/>
      <c r="I124" s="24"/>
      <c r="J124" s="24"/>
      <c r="K124" s="51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3.5" customHeight="1">
      <c r="A125" s="65"/>
      <c r="B125" s="65"/>
      <c r="C125" s="65"/>
      <c r="D125" s="69"/>
      <c r="E125" s="75"/>
      <c r="F125" s="61"/>
      <c r="G125" s="61"/>
      <c r="H125" s="61"/>
      <c r="I125" s="24"/>
      <c r="J125" s="24"/>
      <c r="K125" s="51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3.5" customHeight="1">
      <c r="A126" s="65"/>
      <c r="B126" s="65"/>
      <c r="C126" s="65"/>
      <c r="D126" s="69"/>
      <c r="E126" s="75"/>
      <c r="F126" s="61"/>
      <c r="G126" s="61"/>
      <c r="H126" s="61"/>
      <c r="I126" s="24"/>
      <c r="J126" s="24"/>
      <c r="K126" s="51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3.5" customHeight="1">
      <c r="A127" s="65"/>
      <c r="B127" s="65"/>
      <c r="C127" s="65"/>
      <c r="D127" s="69"/>
      <c r="E127" s="75"/>
      <c r="F127" s="61"/>
      <c r="G127" s="61"/>
      <c r="H127" s="61"/>
      <c r="I127" s="24"/>
      <c r="J127" s="24"/>
      <c r="K127" s="51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3.5" customHeight="1">
      <c r="A128" s="65"/>
      <c r="B128" s="65"/>
      <c r="C128" s="65"/>
      <c r="D128" s="69"/>
      <c r="E128" s="75"/>
      <c r="F128" s="61"/>
      <c r="G128" s="61"/>
      <c r="H128" s="61"/>
      <c r="I128" s="24"/>
      <c r="J128" s="24"/>
      <c r="K128" s="51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3.5" customHeight="1">
      <c r="A129" s="65"/>
      <c r="B129" s="65"/>
      <c r="C129" s="65"/>
      <c r="D129" s="69"/>
      <c r="E129" s="75"/>
      <c r="F129" s="61"/>
      <c r="G129" s="61"/>
      <c r="H129" s="61"/>
      <c r="I129" s="24"/>
      <c r="J129" s="24"/>
      <c r="K129" s="51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3.5" customHeight="1">
      <c r="A130" s="65"/>
      <c r="B130" s="65"/>
      <c r="C130" s="65"/>
      <c r="D130" s="69"/>
      <c r="E130" s="75"/>
      <c r="F130" s="61"/>
      <c r="G130" s="61"/>
      <c r="H130" s="61"/>
      <c r="I130" s="24"/>
      <c r="J130" s="24"/>
      <c r="K130" s="51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3.5" customHeight="1">
      <c r="A131" s="65"/>
      <c r="B131" s="65"/>
      <c r="C131" s="65"/>
      <c r="D131" s="69"/>
      <c r="E131" s="75"/>
      <c r="F131" s="61"/>
      <c r="G131" s="61"/>
      <c r="H131" s="61"/>
      <c r="I131" s="24"/>
      <c r="J131" s="24"/>
      <c r="K131" s="51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3.5" customHeight="1">
      <c r="A132" s="65"/>
      <c r="B132" s="65"/>
      <c r="C132" s="65"/>
      <c r="D132" s="69"/>
      <c r="E132" s="75"/>
      <c r="F132" s="61"/>
      <c r="G132" s="61"/>
      <c r="H132" s="61"/>
      <c r="I132" s="24"/>
      <c r="J132" s="24"/>
      <c r="K132" s="51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3.5" customHeight="1">
      <c r="A133" s="65"/>
      <c r="B133" s="65"/>
      <c r="C133" s="65"/>
      <c r="D133" s="69"/>
      <c r="E133" s="75"/>
      <c r="F133" s="61"/>
      <c r="G133" s="61"/>
      <c r="H133" s="61"/>
      <c r="I133" s="24"/>
      <c r="J133" s="24"/>
      <c r="K133" s="51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3.5" customHeight="1">
      <c r="A134" s="65"/>
      <c r="B134" s="65"/>
      <c r="C134" s="65"/>
      <c r="D134" s="69"/>
      <c r="E134" s="75"/>
      <c r="F134" s="61"/>
      <c r="G134" s="61"/>
      <c r="H134" s="61"/>
      <c r="I134" s="24"/>
      <c r="J134" s="24"/>
      <c r="K134" s="51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3.5" customHeight="1">
      <c r="A135" s="65"/>
      <c r="B135" s="65"/>
      <c r="C135" s="65"/>
      <c r="D135" s="69"/>
      <c r="E135" s="75"/>
      <c r="F135" s="61"/>
      <c r="G135" s="61"/>
      <c r="H135" s="61"/>
      <c r="I135" s="24"/>
      <c r="J135" s="24"/>
      <c r="K135" s="51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3.5" customHeight="1">
      <c r="A136" s="65"/>
      <c r="B136" s="65"/>
      <c r="C136" s="65"/>
      <c r="D136" s="69"/>
      <c r="E136" s="75"/>
      <c r="F136" s="61"/>
      <c r="G136" s="61"/>
      <c r="H136" s="61"/>
      <c r="I136" s="24"/>
      <c r="J136" s="24"/>
      <c r="K136" s="51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3.5" customHeight="1">
      <c r="A137" s="65"/>
      <c r="B137" s="65"/>
      <c r="C137" s="65"/>
      <c r="D137" s="69"/>
      <c r="E137" s="75"/>
      <c r="F137" s="61"/>
      <c r="G137" s="61"/>
      <c r="H137" s="61"/>
      <c r="I137" s="24"/>
      <c r="J137" s="24"/>
      <c r="K137" s="51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3.5" customHeight="1">
      <c r="A138" s="65"/>
      <c r="B138" s="65"/>
      <c r="C138" s="65"/>
      <c r="D138" s="69"/>
      <c r="E138" s="75"/>
      <c r="F138" s="61"/>
      <c r="G138" s="61"/>
      <c r="H138" s="61"/>
      <c r="I138" s="24"/>
      <c r="J138" s="24"/>
      <c r="K138" s="51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3.5" customHeight="1">
      <c r="A139" s="65"/>
      <c r="B139" s="65"/>
      <c r="C139" s="65"/>
      <c r="D139" s="69"/>
      <c r="E139" s="75"/>
      <c r="F139" s="61"/>
      <c r="G139" s="61"/>
      <c r="H139" s="61"/>
      <c r="I139" s="24"/>
      <c r="J139" s="24"/>
      <c r="K139" s="51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3.5" customHeight="1">
      <c r="A140" s="65"/>
      <c r="B140" s="65"/>
      <c r="C140" s="65"/>
      <c r="D140" s="69"/>
      <c r="E140" s="75"/>
      <c r="F140" s="61"/>
      <c r="G140" s="61"/>
      <c r="H140" s="61"/>
      <c r="I140" s="24"/>
      <c r="J140" s="24"/>
      <c r="K140" s="51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3.5" customHeight="1">
      <c r="A141" s="65"/>
      <c r="B141" s="65"/>
      <c r="C141" s="65"/>
      <c r="D141" s="69"/>
      <c r="E141" s="75"/>
      <c r="F141" s="61"/>
      <c r="G141" s="61"/>
      <c r="H141" s="61"/>
      <c r="I141" s="24"/>
      <c r="J141" s="24"/>
      <c r="K141" s="51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3.5" customHeight="1">
      <c r="A142" s="65"/>
      <c r="B142" s="65"/>
      <c r="C142" s="65"/>
      <c r="D142" s="69"/>
      <c r="E142" s="75"/>
      <c r="F142" s="61"/>
      <c r="G142" s="61"/>
      <c r="H142" s="61"/>
      <c r="I142" s="24"/>
      <c r="J142" s="24"/>
      <c r="K142" s="51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3.5" customHeight="1">
      <c r="A143" s="65"/>
      <c r="B143" s="65"/>
      <c r="C143" s="65"/>
      <c r="D143" s="69"/>
      <c r="E143" s="75"/>
      <c r="F143" s="61"/>
      <c r="G143" s="61"/>
      <c r="H143" s="61"/>
      <c r="I143" s="24"/>
      <c r="J143" s="24"/>
      <c r="K143" s="51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3.5" customHeight="1">
      <c r="A144" s="65"/>
      <c r="B144" s="65"/>
      <c r="C144" s="65"/>
      <c r="D144" s="69"/>
      <c r="E144" s="75"/>
      <c r="F144" s="61"/>
      <c r="G144" s="61"/>
      <c r="H144" s="61"/>
      <c r="I144" s="24"/>
      <c r="J144" s="24"/>
      <c r="K144" s="51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3.5" customHeight="1">
      <c r="A145" s="65"/>
      <c r="B145" s="65"/>
      <c r="C145" s="65"/>
      <c r="D145" s="69"/>
      <c r="E145" s="75"/>
      <c r="F145" s="61"/>
      <c r="G145" s="61"/>
      <c r="H145" s="61"/>
      <c r="I145" s="24"/>
      <c r="J145" s="24"/>
      <c r="K145" s="51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3.5" customHeight="1">
      <c r="A146" s="65"/>
      <c r="B146" s="65"/>
      <c r="C146" s="65"/>
      <c r="D146" s="69"/>
      <c r="E146" s="75"/>
      <c r="F146" s="61"/>
      <c r="G146" s="61"/>
      <c r="H146" s="61"/>
      <c r="I146" s="24"/>
      <c r="J146" s="24"/>
      <c r="K146" s="51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3.5" customHeight="1">
      <c r="A147" s="65"/>
      <c r="B147" s="65"/>
      <c r="C147" s="65"/>
      <c r="D147" s="69"/>
      <c r="E147" s="75"/>
      <c r="F147" s="61"/>
      <c r="G147" s="61"/>
      <c r="H147" s="61"/>
      <c r="I147" s="24"/>
      <c r="J147" s="24"/>
      <c r="K147" s="51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3.5" customHeight="1">
      <c r="A148" s="65"/>
      <c r="B148" s="65"/>
      <c r="C148" s="65"/>
      <c r="D148" s="69"/>
      <c r="E148" s="75"/>
      <c r="F148" s="61"/>
      <c r="G148" s="61"/>
      <c r="H148" s="61"/>
      <c r="I148" s="24"/>
      <c r="J148" s="24"/>
      <c r="K148" s="51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3.5" customHeight="1">
      <c r="A149" s="65"/>
      <c r="B149" s="65"/>
      <c r="C149" s="65"/>
      <c r="D149" s="69"/>
      <c r="E149" s="75"/>
      <c r="F149" s="61"/>
      <c r="G149" s="61"/>
      <c r="H149" s="61"/>
      <c r="I149" s="24"/>
      <c r="J149" s="24"/>
      <c r="K149" s="51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3.5" customHeight="1">
      <c r="A150" s="65"/>
      <c r="B150" s="65"/>
      <c r="C150" s="65"/>
      <c r="D150" s="69"/>
      <c r="E150" s="75"/>
      <c r="F150" s="61"/>
      <c r="G150" s="61"/>
      <c r="H150" s="61"/>
      <c r="I150" s="24"/>
      <c r="J150" s="24"/>
      <c r="K150" s="51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3.5" customHeight="1">
      <c r="A151" s="65"/>
      <c r="B151" s="65"/>
      <c r="C151" s="65"/>
      <c r="D151" s="69"/>
      <c r="E151" s="75"/>
      <c r="F151" s="61"/>
      <c r="G151" s="61"/>
      <c r="H151" s="61"/>
      <c r="I151" s="24"/>
      <c r="J151" s="24"/>
      <c r="K151" s="51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3.5" customHeight="1">
      <c r="A152" s="74"/>
      <c r="B152" s="74"/>
      <c r="C152" s="74"/>
      <c r="D152" s="12"/>
      <c r="E152" s="51"/>
      <c r="F152" s="24"/>
      <c r="G152" s="24"/>
      <c r="H152" s="24"/>
      <c r="I152" s="24"/>
      <c r="J152" s="24"/>
      <c r="K152" s="51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3.5" customHeight="1">
      <c r="A153" s="74"/>
      <c r="B153" s="74"/>
      <c r="C153" s="74"/>
      <c r="D153" s="12"/>
      <c r="E153" s="51"/>
      <c r="F153" s="24"/>
      <c r="G153" s="24"/>
      <c r="H153" s="24"/>
      <c r="I153" s="24"/>
      <c r="J153" s="24"/>
      <c r="K153" s="51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3.5" customHeight="1">
      <c r="A154" s="74"/>
      <c r="B154" s="74"/>
      <c r="C154" s="74"/>
      <c r="D154" s="12"/>
      <c r="E154" s="51"/>
      <c r="F154" s="24"/>
      <c r="G154" s="24"/>
      <c r="H154" s="24"/>
      <c r="I154" s="24"/>
      <c r="J154" s="24"/>
      <c r="K154" s="51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3.5" customHeight="1">
      <c r="A155" s="74"/>
      <c r="B155" s="74"/>
      <c r="C155" s="74"/>
      <c r="D155" s="12"/>
      <c r="E155" s="51"/>
      <c r="F155" s="24"/>
      <c r="G155" s="24"/>
      <c r="H155" s="24"/>
      <c r="I155" s="24"/>
      <c r="J155" s="24"/>
      <c r="K155" s="51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3.5" customHeight="1">
      <c r="A156" s="74"/>
      <c r="B156" s="74"/>
      <c r="C156" s="74"/>
      <c r="D156" s="12"/>
      <c r="E156" s="51"/>
      <c r="F156" s="24"/>
      <c r="G156" s="24"/>
      <c r="H156" s="24"/>
      <c r="I156" s="24"/>
      <c r="J156" s="24"/>
      <c r="K156" s="51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3.5" customHeight="1">
      <c r="A157" s="74"/>
      <c r="B157" s="74"/>
      <c r="C157" s="74"/>
      <c r="D157" s="12"/>
      <c r="E157" s="51"/>
      <c r="F157" s="24"/>
      <c r="G157" s="24"/>
      <c r="H157" s="24"/>
      <c r="I157" s="24"/>
      <c r="J157" s="24"/>
      <c r="K157" s="51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3.5" customHeight="1">
      <c r="A158" s="74"/>
      <c r="B158" s="74"/>
      <c r="C158" s="74"/>
      <c r="D158" s="12"/>
      <c r="E158" s="51"/>
      <c r="F158" s="24"/>
      <c r="G158" s="24"/>
      <c r="H158" s="24"/>
      <c r="I158" s="24"/>
      <c r="J158" s="24"/>
      <c r="K158" s="51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3.5" customHeight="1">
      <c r="A159" s="74"/>
      <c r="B159" s="74"/>
      <c r="C159" s="74"/>
      <c r="D159" s="12"/>
      <c r="E159" s="51"/>
      <c r="F159" s="24"/>
      <c r="G159" s="24"/>
      <c r="H159" s="24"/>
      <c r="I159" s="24"/>
      <c r="J159" s="24"/>
      <c r="K159" s="51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3.5" customHeight="1">
      <c r="A160" s="74"/>
      <c r="B160" s="74"/>
      <c r="C160" s="74"/>
      <c r="D160" s="12"/>
      <c r="E160" s="51"/>
      <c r="F160" s="24"/>
      <c r="G160" s="24"/>
      <c r="H160" s="24"/>
      <c r="I160" s="24"/>
      <c r="J160" s="24"/>
      <c r="K160" s="51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3.5" customHeight="1">
      <c r="A161" s="74"/>
      <c r="B161" s="74"/>
      <c r="C161" s="74"/>
      <c r="D161" s="12"/>
      <c r="E161" s="51"/>
      <c r="F161" s="24"/>
      <c r="G161" s="24"/>
      <c r="H161" s="24"/>
      <c r="I161" s="24"/>
      <c r="J161" s="24"/>
      <c r="K161" s="51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3.5" customHeight="1">
      <c r="A162" s="74"/>
      <c r="B162" s="74"/>
      <c r="C162" s="74"/>
      <c r="D162" s="12"/>
      <c r="E162" s="51"/>
      <c r="F162" s="24"/>
      <c r="G162" s="24"/>
      <c r="H162" s="24"/>
      <c r="I162" s="24"/>
      <c r="J162" s="24"/>
      <c r="K162" s="51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3.5" customHeight="1">
      <c r="A163" s="74"/>
      <c r="B163" s="74"/>
      <c r="C163" s="74"/>
      <c r="D163" s="12"/>
      <c r="E163" s="51"/>
      <c r="F163" s="24"/>
      <c r="G163" s="24"/>
      <c r="H163" s="24"/>
      <c r="I163" s="24"/>
      <c r="J163" s="24"/>
      <c r="K163" s="51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3.5" customHeight="1">
      <c r="A164" s="74"/>
      <c r="B164" s="74"/>
      <c r="C164" s="74"/>
      <c r="D164" s="12"/>
      <c r="E164" s="51"/>
      <c r="F164" s="24"/>
      <c r="G164" s="24"/>
      <c r="H164" s="24"/>
      <c r="I164" s="24"/>
      <c r="J164" s="24"/>
      <c r="K164" s="51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3.5" customHeight="1">
      <c r="A165" s="74"/>
      <c r="B165" s="74"/>
      <c r="C165" s="74"/>
      <c r="D165" s="12"/>
      <c r="E165" s="51"/>
      <c r="F165" s="24"/>
      <c r="G165" s="24"/>
      <c r="H165" s="24"/>
      <c r="I165" s="24"/>
      <c r="J165" s="24"/>
      <c r="K165" s="51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3.5" customHeight="1">
      <c r="A166" s="74"/>
      <c r="B166" s="74"/>
      <c r="C166" s="74"/>
      <c r="D166" s="12"/>
      <c r="E166" s="51"/>
      <c r="F166" s="24"/>
      <c r="G166" s="24"/>
      <c r="H166" s="24"/>
      <c r="I166" s="24"/>
      <c r="J166" s="24"/>
      <c r="K166" s="51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3.5" customHeight="1">
      <c r="A167" s="74"/>
      <c r="B167" s="74"/>
      <c r="C167" s="74"/>
      <c r="D167" s="12"/>
      <c r="E167" s="51"/>
      <c r="F167" s="24"/>
      <c r="G167" s="24"/>
      <c r="H167" s="24"/>
      <c r="I167" s="24"/>
      <c r="J167" s="24"/>
      <c r="K167" s="51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3.5" customHeight="1">
      <c r="A168" s="74"/>
      <c r="B168" s="74"/>
      <c r="C168" s="74"/>
      <c r="D168" s="12"/>
      <c r="E168" s="51"/>
      <c r="F168" s="24"/>
      <c r="G168" s="24"/>
      <c r="H168" s="24"/>
      <c r="I168" s="24"/>
      <c r="J168" s="24"/>
      <c r="K168" s="51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3.5" customHeight="1">
      <c r="A169" s="74"/>
      <c r="B169" s="74"/>
      <c r="C169" s="74"/>
      <c r="D169" s="12"/>
      <c r="E169" s="51"/>
      <c r="F169" s="24"/>
      <c r="G169" s="24"/>
      <c r="H169" s="24"/>
      <c r="I169" s="24"/>
      <c r="J169" s="24"/>
      <c r="K169" s="51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3.5" customHeight="1">
      <c r="A170" s="74"/>
      <c r="B170" s="74"/>
      <c r="C170" s="74"/>
      <c r="D170" s="12"/>
      <c r="E170" s="51"/>
      <c r="F170" s="24"/>
      <c r="G170" s="24"/>
      <c r="H170" s="24"/>
      <c r="I170" s="24"/>
      <c r="J170" s="24"/>
      <c r="K170" s="51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3.5" customHeight="1">
      <c r="A171" s="74"/>
      <c r="B171" s="74"/>
      <c r="C171" s="74"/>
      <c r="D171" s="12"/>
      <c r="E171" s="51"/>
      <c r="F171" s="24"/>
      <c r="G171" s="24"/>
      <c r="H171" s="24"/>
      <c r="I171" s="24"/>
      <c r="J171" s="24"/>
      <c r="K171" s="51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3.5" customHeight="1">
      <c r="A172" s="74"/>
      <c r="B172" s="74"/>
      <c r="C172" s="74"/>
      <c r="D172" s="12"/>
      <c r="E172" s="51"/>
      <c r="F172" s="24"/>
      <c r="G172" s="24"/>
      <c r="H172" s="24"/>
      <c r="I172" s="24"/>
      <c r="J172" s="24"/>
      <c r="K172" s="51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3.5" customHeight="1">
      <c r="A173" s="74"/>
      <c r="B173" s="74"/>
      <c r="C173" s="74"/>
      <c r="D173" s="12"/>
      <c r="E173" s="51"/>
      <c r="F173" s="24"/>
      <c r="G173" s="24"/>
      <c r="H173" s="24"/>
      <c r="I173" s="24"/>
      <c r="J173" s="24"/>
      <c r="K173" s="51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3.5" customHeight="1">
      <c r="A174" s="74"/>
      <c r="B174" s="74"/>
      <c r="C174" s="74"/>
      <c r="D174" s="12"/>
      <c r="E174" s="51"/>
      <c r="F174" s="24"/>
      <c r="G174" s="24"/>
      <c r="H174" s="24"/>
      <c r="I174" s="24"/>
      <c r="J174" s="24"/>
      <c r="K174" s="51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3.5" customHeight="1">
      <c r="A175" s="74"/>
      <c r="B175" s="74"/>
      <c r="C175" s="74"/>
      <c r="D175" s="12"/>
      <c r="E175" s="51"/>
      <c r="F175" s="24"/>
      <c r="G175" s="24"/>
      <c r="H175" s="24"/>
      <c r="I175" s="24"/>
      <c r="J175" s="24"/>
      <c r="K175" s="51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3.5" customHeight="1">
      <c r="A176" s="74"/>
      <c r="B176" s="74"/>
      <c r="C176" s="74"/>
      <c r="D176" s="12"/>
      <c r="E176" s="51"/>
      <c r="F176" s="24"/>
      <c r="G176" s="24"/>
      <c r="H176" s="24"/>
      <c r="I176" s="24"/>
      <c r="J176" s="24"/>
      <c r="K176" s="51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3.5" customHeight="1">
      <c r="A177" s="74"/>
      <c r="B177" s="74"/>
      <c r="C177" s="74"/>
      <c r="D177" s="12"/>
      <c r="E177" s="51"/>
      <c r="F177" s="24"/>
      <c r="G177" s="24"/>
      <c r="H177" s="24"/>
      <c r="I177" s="24"/>
      <c r="J177" s="24"/>
      <c r="K177" s="51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3.5" customHeight="1">
      <c r="A178" s="74"/>
      <c r="B178" s="74"/>
      <c r="C178" s="74"/>
      <c r="D178" s="12"/>
      <c r="E178" s="51"/>
      <c r="F178" s="24"/>
      <c r="G178" s="24"/>
      <c r="H178" s="24"/>
      <c r="I178" s="24"/>
      <c r="J178" s="24"/>
      <c r="K178" s="51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3.5" customHeight="1">
      <c r="A179" s="74"/>
      <c r="B179" s="74"/>
      <c r="C179" s="74"/>
      <c r="D179" s="12"/>
      <c r="E179" s="51"/>
      <c r="F179" s="24"/>
      <c r="G179" s="24"/>
      <c r="H179" s="24"/>
      <c r="I179" s="24"/>
      <c r="J179" s="24"/>
      <c r="K179" s="51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3.5" customHeight="1">
      <c r="A180" s="74"/>
      <c r="B180" s="74"/>
      <c r="C180" s="74"/>
      <c r="D180" s="12"/>
      <c r="E180" s="51"/>
      <c r="F180" s="24"/>
      <c r="G180" s="24"/>
      <c r="H180" s="24"/>
      <c r="I180" s="24"/>
      <c r="J180" s="24"/>
      <c r="K180" s="51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3.5" customHeight="1">
      <c r="A181" s="74"/>
      <c r="B181" s="74"/>
      <c r="C181" s="74"/>
      <c r="D181" s="12"/>
      <c r="E181" s="51"/>
      <c r="F181" s="24"/>
      <c r="G181" s="24"/>
      <c r="H181" s="24"/>
      <c r="I181" s="24"/>
      <c r="J181" s="24"/>
      <c r="K181" s="51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3.5" customHeight="1">
      <c r="A182" s="74"/>
      <c r="B182" s="74"/>
      <c r="C182" s="74"/>
      <c r="D182" s="12"/>
      <c r="E182" s="51"/>
      <c r="F182" s="24"/>
      <c r="G182" s="24"/>
      <c r="H182" s="24"/>
      <c r="I182" s="24"/>
      <c r="J182" s="24"/>
      <c r="K182" s="51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3.5" customHeight="1">
      <c r="A183" s="74"/>
      <c r="B183" s="74"/>
      <c r="C183" s="74"/>
      <c r="D183" s="12"/>
      <c r="E183" s="51"/>
      <c r="F183" s="24"/>
      <c r="G183" s="24"/>
      <c r="H183" s="24"/>
      <c r="I183" s="24"/>
      <c r="J183" s="24"/>
      <c r="K183" s="51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3.5" customHeight="1">
      <c r="A184" s="74"/>
      <c r="B184" s="74"/>
      <c r="C184" s="74"/>
      <c r="D184" s="12"/>
      <c r="E184" s="51"/>
      <c r="F184" s="24"/>
      <c r="G184" s="24"/>
      <c r="H184" s="24"/>
      <c r="I184" s="24"/>
      <c r="J184" s="24"/>
      <c r="K184" s="51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3.5" customHeight="1">
      <c r="A185" s="74"/>
      <c r="B185" s="74"/>
      <c r="C185" s="74"/>
      <c r="D185" s="12"/>
      <c r="E185" s="51"/>
      <c r="F185" s="24"/>
      <c r="G185" s="24"/>
      <c r="H185" s="24"/>
      <c r="I185" s="24"/>
      <c r="J185" s="24"/>
      <c r="K185" s="51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3.5" customHeight="1">
      <c r="A186" s="74"/>
      <c r="B186" s="74"/>
      <c r="C186" s="74"/>
      <c r="D186" s="12"/>
      <c r="E186" s="51"/>
      <c r="F186" s="24"/>
      <c r="G186" s="24"/>
      <c r="H186" s="24"/>
      <c r="I186" s="24"/>
      <c r="J186" s="24"/>
      <c r="K186" s="51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3.5" customHeight="1">
      <c r="A187" s="74"/>
      <c r="B187" s="74"/>
      <c r="C187" s="74"/>
      <c r="D187" s="12"/>
      <c r="E187" s="51"/>
      <c r="F187" s="24"/>
      <c r="G187" s="24"/>
      <c r="H187" s="24"/>
      <c r="I187" s="24"/>
      <c r="J187" s="24"/>
      <c r="K187" s="51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3.5" customHeight="1">
      <c r="A188" s="74"/>
      <c r="B188" s="74"/>
      <c r="C188" s="74"/>
      <c r="D188" s="12"/>
      <c r="E188" s="51"/>
      <c r="F188" s="24"/>
      <c r="G188" s="24"/>
      <c r="H188" s="24"/>
      <c r="I188" s="24"/>
      <c r="J188" s="24"/>
      <c r="K188" s="51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3.5" customHeight="1">
      <c r="A189" s="74"/>
      <c r="B189" s="74"/>
      <c r="C189" s="74"/>
      <c r="D189" s="12"/>
      <c r="E189" s="51"/>
      <c r="F189" s="24"/>
      <c r="G189" s="24"/>
      <c r="H189" s="24"/>
      <c r="I189" s="24"/>
      <c r="J189" s="24"/>
      <c r="K189" s="51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3.5" customHeight="1">
      <c r="A190" s="74"/>
      <c r="B190" s="74"/>
      <c r="C190" s="74"/>
      <c r="D190" s="12"/>
      <c r="E190" s="51"/>
      <c r="F190" s="24"/>
      <c r="G190" s="24"/>
      <c r="H190" s="24"/>
      <c r="I190" s="24"/>
      <c r="J190" s="24"/>
      <c r="K190" s="51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3.5" customHeight="1">
      <c r="A191" s="74"/>
      <c r="B191" s="74"/>
      <c r="C191" s="74"/>
      <c r="D191" s="12"/>
      <c r="E191" s="51"/>
      <c r="F191" s="24"/>
      <c r="G191" s="24"/>
      <c r="H191" s="24"/>
      <c r="I191" s="24"/>
      <c r="J191" s="24"/>
      <c r="K191" s="51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3.5" customHeight="1">
      <c r="A192" s="74"/>
      <c r="B192" s="74"/>
      <c r="C192" s="74"/>
      <c r="D192" s="12"/>
      <c r="E192" s="51"/>
      <c r="F192" s="24"/>
      <c r="G192" s="24"/>
      <c r="H192" s="24"/>
      <c r="I192" s="24"/>
      <c r="J192" s="24"/>
      <c r="K192" s="51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3.5" customHeight="1">
      <c r="A193" s="74"/>
      <c r="B193" s="74"/>
      <c r="C193" s="74"/>
      <c r="D193" s="12"/>
      <c r="E193" s="51"/>
      <c r="F193" s="24"/>
      <c r="G193" s="24"/>
      <c r="H193" s="24"/>
      <c r="I193" s="24"/>
      <c r="J193" s="24"/>
      <c r="K193" s="51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3.5" customHeight="1">
      <c r="A194" s="74"/>
      <c r="B194" s="74"/>
      <c r="C194" s="74"/>
      <c r="D194" s="12"/>
      <c r="E194" s="51"/>
      <c r="F194" s="24"/>
      <c r="G194" s="24"/>
      <c r="H194" s="24"/>
      <c r="I194" s="24"/>
      <c r="J194" s="24"/>
      <c r="K194" s="51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3.5" customHeight="1">
      <c r="A195" s="74"/>
      <c r="B195" s="74"/>
      <c r="C195" s="74"/>
      <c r="D195" s="12"/>
      <c r="E195" s="51"/>
      <c r="F195" s="24"/>
      <c r="G195" s="24"/>
      <c r="H195" s="24"/>
      <c r="I195" s="24"/>
      <c r="J195" s="24"/>
      <c r="K195" s="51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3.5" customHeight="1">
      <c r="A196" s="74"/>
      <c r="B196" s="74"/>
      <c r="C196" s="74"/>
      <c r="D196" s="12"/>
      <c r="E196" s="51"/>
      <c r="F196" s="24"/>
      <c r="G196" s="24"/>
      <c r="H196" s="24"/>
      <c r="I196" s="24"/>
      <c r="J196" s="24"/>
      <c r="K196" s="51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3.5" customHeight="1">
      <c r="A197" s="74"/>
      <c r="B197" s="74"/>
      <c r="C197" s="74"/>
      <c r="D197" s="12"/>
      <c r="E197" s="51"/>
      <c r="F197" s="24"/>
      <c r="G197" s="24"/>
      <c r="H197" s="24"/>
      <c r="I197" s="24"/>
      <c r="J197" s="24"/>
      <c r="K197" s="51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3.5" customHeight="1">
      <c r="A198" s="74"/>
      <c r="B198" s="74"/>
      <c r="C198" s="74"/>
      <c r="D198" s="12"/>
      <c r="E198" s="51"/>
      <c r="F198" s="24"/>
      <c r="G198" s="24"/>
      <c r="H198" s="24"/>
      <c r="I198" s="24"/>
      <c r="J198" s="24"/>
      <c r="K198" s="51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3.5" customHeight="1">
      <c r="A199" s="74"/>
      <c r="B199" s="74"/>
      <c r="C199" s="74"/>
      <c r="D199" s="12"/>
      <c r="E199" s="51"/>
      <c r="F199" s="24"/>
      <c r="G199" s="24"/>
      <c r="H199" s="24"/>
      <c r="I199" s="24"/>
      <c r="J199" s="24"/>
      <c r="K199" s="51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3.5" customHeight="1">
      <c r="A200" s="74"/>
      <c r="B200" s="74"/>
      <c r="C200" s="74"/>
      <c r="D200" s="12"/>
      <c r="E200" s="51"/>
      <c r="F200" s="24"/>
      <c r="G200" s="24"/>
      <c r="H200" s="24"/>
      <c r="I200" s="24"/>
      <c r="J200" s="24"/>
      <c r="K200" s="51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3.5" customHeight="1">
      <c r="A201" s="74"/>
      <c r="B201" s="74"/>
      <c r="C201" s="74"/>
      <c r="D201" s="12"/>
      <c r="E201" s="51"/>
      <c r="F201" s="24"/>
      <c r="G201" s="24"/>
      <c r="H201" s="24"/>
      <c r="I201" s="24"/>
      <c r="J201" s="24"/>
      <c r="K201" s="51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3.5" customHeight="1">
      <c r="A202" s="74"/>
      <c r="B202" s="74"/>
      <c r="C202" s="74"/>
      <c r="D202" s="12"/>
      <c r="E202" s="51"/>
      <c r="F202" s="24"/>
      <c r="G202" s="24"/>
      <c r="H202" s="24"/>
      <c r="I202" s="24"/>
      <c r="J202" s="24"/>
      <c r="K202" s="51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3.5" customHeight="1">
      <c r="A203" s="74"/>
      <c r="B203" s="74"/>
      <c r="C203" s="74"/>
      <c r="D203" s="12"/>
      <c r="E203" s="51"/>
      <c r="F203" s="24"/>
      <c r="G203" s="24"/>
      <c r="H203" s="24"/>
      <c r="I203" s="24"/>
      <c r="J203" s="24"/>
      <c r="K203" s="51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3.5" customHeight="1">
      <c r="A204" s="74"/>
      <c r="B204" s="74"/>
      <c r="C204" s="74"/>
      <c r="D204" s="12"/>
      <c r="E204" s="51"/>
      <c r="F204" s="24"/>
      <c r="G204" s="24"/>
      <c r="H204" s="24"/>
      <c r="I204" s="24"/>
      <c r="J204" s="24"/>
      <c r="K204" s="51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3.5" customHeight="1">
      <c r="A205" s="74"/>
      <c r="B205" s="74"/>
      <c r="C205" s="74"/>
      <c r="D205" s="12"/>
      <c r="E205" s="51"/>
      <c r="F205" s="24"/>
      <c r="G205" s="24"/>
      <c r="H205" s="24"/>
      <c r="I205" s="24"/>
      <c r="J205" s="24"/>
      <c r="K205" s="51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3.5" customHeight="1">
      <c r="A206" s="74"/>
      <c r="B206" s="74"/>
      <c r="C206" s="74"/>
      <c r="D206" s="12"/>
      <c r="E206" s="51"/>
      <c r="F206" s="24"/>
      <c r="G206" s="24"/>
      <c r="H206" s="24"/>
      <c r="I206" s="24"/>
      <c r="J206" s="24"/>
      <c r="K206" s="51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3.5" customHeight="1">
      <c r="A207" s="74"/>
      <c r="B207" s="74"/>
      <c r="C207" s="74"/>
      <c r="D207" s="12"/>
      <c r="E207" s="51"/>
      <c r="F207" s="24"/>
      <c r="G207" s="24"/>
      <c r="H207" s="24"/>
      <c r="I207" s="24"/>
      <c r="J207" s="24"/>
      <c r="K207" s="51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3.5" customHeight="1">
      <c r="A208" s="74"/>
      <c r="B208" s="74"/>
      <c r="C208" s="74"/>
      <c r="D208" s="12"/>
      <c r="E208" s="51"/>
      <c r="F208" s="24"/>
      <c r="G208" s="24"/>
      <c r="H208" s="24"/>
      <c r="I208" s="24"/>
      <c r="J208" s="24"/>
      <c r="K208" s="51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3.5" customHeight="1">
      <c r="A209" s="74"/>
      <c r="B209" s="74"/>
      <c r="C209" s="74"/>
      <c r="D209" s="12"/>
      <c r="E209" s="51"/>
      <c r="F209" s="24"/>
      <c r="G209" s="24"/>
      <c r="H209" s="24"/>
      <c r="I209" s="24"/>
      <c r="J209" s="24"/>
      <c r="K209" s="51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3.5" customHeight="1">
      <c r="A210" s="74"/>
      <c r="B210" s="74"/>
      <c r="C210" s="74"/>
      <c r="D210" s="12"/>
      <c r="E210" s="51"/>
      <c r="F210" s="24"/>
      <c r="G210" s="24"/>
      <c r="H210" s="24"/>
      <c r="I210" s="24"/>
      <c r="J210" s="24"/>
      <c r="K210" s="51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3.5" customHeight="1">
      <c r="A211" s="74"/>
      <c r="B211" s="74"/>
      <c r="C211" s="74"/>
      <c r="D211" s="12"/>
      <c r="E211" s="51"/>
      <c r="F211" s="24"/>
      <c r="G211" s="24"/>
      <c r="H211" s="24"/>
      <c r="I211" s="24"/>
      <c r="J211" s="24"/>
      <c r="K211" s="51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3.5" customHeight="1">
      <c r="A212" s="74"/>
      <c r="B212" s="74"/>
      <c r="C212" s="74"/>
      <c r="D212" s="12"/>
      <c r="E212" s="51"/>
      <c r="F212" s="24"/>
      <c r="G212" s="24"/>
      <c r="H212" s="24"/>
      <c r="I212" s="24"/>
      <c r="J212" s="24"/>
      <c r="K212" s="51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3.5" customHeight="1">
      <c r="A213" s="74"/>
      <c r="B213" s="74"/>
      <c r="C213" s="74"/>
      <c r="D213" s="12"/>
      <c r="E213" s="51"/>
      <c r="F213" s="24"/>
      <c r="G213" s="24"/>
      <c r="H213" s="24"/>
      <c r="I213" s="24"/>
      <c r="J213" s="24"/>
      <c r="K213" s="51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3.5" customHeight="1">
      <c r="A214" s="74"/>
      <c r="B214" s="74"/>
      <c r="C214" s="74"/>
      <c r="D214" s="12"/>
      <c r="E214" s="51"/>
      <c r="F214" s="24"/>
      <c r="G214" s="24"/>
      <c r="H214" s="24"/>
      <c r="I214" s="24"/>
      <c r="J214" s="24"/>
      <c r="K214" s="51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3.5" customHeight="1">
      <c r="A215" s="74"/>
      <c r="B215" s="74"/>
      <c r="C215" s="74"/>
      <c r="D215" s="12"/>
      <c r="E215" s="51"/>
      <c r="F215" s="24"/>
      <c r="G215" s="24"/>
      <c r="H215" s="24"/>
      <c r="I215" s="24"/>
      <c r="J215" s="24"/>
      <c r="K215" s="51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3.5" customHeight="1">
      <c r="A216" s="74"/>
      <c r="B216" s="74"/>
      <c r="C216" s="74"/>
      <c r="D216" s="12"/>
      <c r="E216" s="51"/>
      <c r="F216" s="24"/>
      <c r="G216" s="24"/>
      <c r="H216" s="24"/>
      <c r="I216" s="24"/>
      <c r="J216" s="24"/>
      <c r="K216" s="51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3.5" customHeight="1">
      <c r="A217" s="74"/>
      <c r="B217" s="74"/>
      <c r="C217" s="74"/>
      <c r="D217" s="12"/>
      <c r="E217" s="51"/>
      <c r="F217" s="24"/>
      <c r="G217" s="24"/>
      <c r="H217" s="24"/>
      <c r="I217" s="24"/>
      <c r="J217" s="24"/>
      <c r="K217" s="51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3.5" customHeight="1">
      <c r="A218" s="74"/>
      <c r="B218" s="74"/>
      <c r="C218" s="74"/>
      <c r="D218" s="12"/>
      <c r="E218" s="51"/>
      <c r="F218" s="24"/>
      <c r="G218" s="24"/>
      <c r="H218" s="24"/>
      <c r="I218" s="24"/>
      <c r="J218" s="24"/>
      <c r="K218" s="51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3.5" customHeight="1">
      <c r="A219" s="74"/>
      <c r="B219" s="74"/>
      <c r="C219" s="74"/>
      <c r="D219" s="12"/>
      <c r="E219" s="51"/>
      <c r="F219" s="24"/>
      <c r="G219" s="24"/>
      <c r="H219" s="24"/>
      <c r="I219" s="24"/>
      <c r="J219" s="24"/>
      <c r="K219" s="51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3.5" customHeight="1">
      <c r="A220" s="74"/>
      <c r="B220" s="74"/>
      <c r="C220" s="74"/>
      <c r="D220" s="12"/>
      <c r="E220" s="51"/>
      <c r="F220" s="24"/>
      <c r="G220" s="24"/>
      <c r="H220" s="24"/>
      <c r="I220" s="24"/>
      <c r="J220" s="24"/>
      <c r="K220" s="51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3.5" customHeight="1">
      <c r="A221" s="74"/>
      <c r="B221" s="74"/>
      <c r="C221" s="74"/>
      <c r="D221" s="12"/>
      <c r="E221" s="51"/>
      <c r="F221" s="24"/>
      <c r="G221" s="24"/>
      <c r="H221" s="24"/>
      <c r="I221" s="24"/>
      <c r="J221" s="24"/>
      <c r="K221" s="51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3.5" customHeight="1">
      <c r="A222" s="74"/>
      <c r="B222" s="74"/>
      <c r="C222" s="74"/>
      <c r="D222" s="12"/>
      <c r="E222" s="51"/>
      <c r="F222" s="24"/>
      <c r="G222" s="24"/>
      <c r="H222" s="24"/>
      <c r="I222" s="24"/>
      <c r="J222" s="24"/>
      <c r="K222" s="51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3.5" customHeight="1">
      <c r="A223" s="74"/>
      <c r="B223" s="74"/>
      <c r="C223" s="74"/>
      <c r="D223" s="12"/>
      <c r="E223" s="51"/>
      <c r="F223" s="24"/>
      <c r="G223" s="24"/>
      <c r="H223" s="24"/>
      <c r="I223" s="24"/>
      <c r="J223" s="24"/>
      <c r="K223" s="51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3.5" customHeight="1">
      <c r="A224" s="74"/>
      <c r="B224" s="74"/>
      <c r="C224" s="74"/>
      <c r="D224" s="12"/>
      <c r="E224" s="51"/>
      <c r="F224" s="24"/>
      <c r="G224" s="24"/>
      <c r="H224" s="24"/>
      <c r="I224" s="24"/>
      <c r="J224" s="24"/>
      <c r="K224" s="51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3.5" customHeight="1">
      <c r="A225" s="74"/>
      <c r="B225" s="74"/>
      <c r="C225" s="74"/>
      <c r="D225" s="12"/>
      <c r="E225" s="51"/>
      <c r="F225" s="24"/>
      <c r="G225" s="24"/>
      <c r="H225" s="24"/>
      <c r="I225" s="24"/>
      <c r="J225" s="24"/>
      <c r="K225" s="51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3.5" customHeight="1">
      <c r="A226" s="74"/>
      <c r="B226" s="74"/>
      <c r="C226" s="74"/>
      <c r="D226" s="12"/>
      <c r="E226" s="51"/>
      <c r="F226" s="24"/>
      <c r="G226" s="24"/>
      <c r="H226" s="24"/>
      <c r="I226" s="24"/>
      <c r="J226" s="24"/>
      <c r="K226" s="51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3.5" customHeight="1">
      <c r="A227" s="74"/>
      <c r="B227" s="74"/>
      <c r="C227" s="74"/>
      <c r="D227" s="12"/>
      <c r="E227" s="51"/>
      <c r="F227" s="24"/>
      <c r="G227" s="24"/>
      <c r="H227" s="24"/>
      <c r="I227" s="24"/>
      <c r="J227" s="24"/>
      <c r="K227" s="51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3.5" customHeight="1">
      <c r="A228" s="74"/>
      <c r="B228" s="74"/>
      <c r="C228" s="74"/>
      <c r="D228" s="12"/>
      <c r="E228" s="51"/>
      <c r="F228" s="24"/>
      <c r="G228" s="24"/>
      <c r="H228" s="24"/>
      <c r="I228" s="24"/>
      <c r="J228" s="24"/>
      <c r="K228" s="51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3.5" customHeight="1">
      <c r="A229" s="74"/>
      <c r="B229" s="74"/>
      <c r="C229" s="74"/>
      <c r="D229" s="12"/>
      <c r="E229" s="51"/>
      <c r="F229" s="24"/>
      <c r="G229" s="24"/>
      <c r="H229" s="24"/>
      <c r="I229" s="24"/>
      <c r="J229" s="24"/>
      <c r="K229" s="51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3.5" customHeight="1">
      <c r="A230" s="74"/>
      <c r="B230" s="74"/>
      <c r="C230" s="74"/>
      <c r="D230" s="12"/>
      <c r="E230" s="51"/>
      <c r="F230" s="24"/>
      <c r="G230" s="24"/>
      <c r="H230" s="24"/>
      <c r="I230" s="24"/>
      <c r="J230" s="24"/>
      <c r="K230" s="51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3.5" customHeight="1">
      <c r="A231" s="74"/>
      <c r="B231" s="74"/>
      <c r="C231" s="74"/>
      <c r="D231" s="12"/>
      <c r="E231" s="51"/>
      <c r="F231" s="24"/>
      <c r="G231" s="24"/>
      <c r="H231" s="24"/>
      <c r="I231" s="24"/>
      <c r="J231" s="24"/>
      <c r="K231" s="51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3.5" customHeight="1">
      <c r="A232" s="74"/>
      <c r="B232" s="74"/>
      <c r="C232" s="74"/>
      <c r="D232" s="12"/>
      <c r="E232" s="51"/>
      <c r="F232" s="24"/>
      <c r="G232" s="24"/>
      <c r="H232" s="24"/>
      <c r="I232" s="24"/>
      <c r="J232" s="24"/>
      <c r="K232" s="51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3.5" customHeight="1">
      <c r="A233" s="74"/>
      <c r="B233" s="74"/>
      <c r="C233" s="74"/>
      <c r="D233" s="12"/>
      <c r="E233" s="51"/>
      <c r="F233" s="24"/>
      <c r="G233" s="24"/>
      <c r="H233" s="24"/>
      <c r="I233" s="24"/>
      <c r="J233" s="24"/>
      <c r="K233" s="51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3.5" customHeight="1">
      <c r="A234" s="74"/>
      <c r="B234" s="74"/>
      <c r="C234" s="74"/>
      <c r="D234" s="12"/>
      <c r="E234" s="51"/>
      <c r="F234" s="24"/>
      <c r="G234" s="24"/>
      <c r="H234" s="24"/>
      <c r="I234" s="24"/>
      <c r="J234" s="24"/>
      <c r="K234" s="51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3.5" customHeight="1">
      <c r="A235" s="74"/>
      <c r="B235" s="74"/>
      <c r="C235" s="74"/>
      <c r="D235" s="12"/>
      <c r="E235" s="51"/>
      <c r="F235" s="24"/>
      <c r="G235" s="24"/>
      <c r="H235" s="24"/>
      <c r="I235" s="24"/>
      <c r="J235" s="24"/>
      <c r="K235" s="51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3.5" customHeight="1">
      <c r="A236" s="74"/>
      <c r="B236" s="74"/>
      <c r="C236" s="74"/>
      <c r="D236" s="12"/>
      <c r="E236" s="51"/>
      <c r="F236" s="24"/>
      <c r="G236" s="24"/>
      <c r="H236" s="24"/>
      <c r="I236" s="24"/>
      <c r="J236" s="24"/>
      <c r="K236" s="51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3.5" customHeight="1">
      <c r="A237" s="74"/>
      <c r="B237" s="74"/>
      <c r="C237" s="74"/>
      <c r="D237" s="12"/>
      <c r="E237" s="51"/>
      <c r="F237" s="24"/>
      <c r="G237" s="24"/>
      <c r="H237" s="24"/>
      <c r="I237" s="24"/>
      <c r="J237" s="24"/>
      <c r="K237" s="51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3.5" customHeight="1">
      <c r="A238" s="74"/>
      <c r="B238" s="74"/>
      <c r="C238" s="74"/>
      <c r="D238" s="12"/>
      <c r="E238" s="51"/>
      <c r="F238" s="24"/>
      <c r="G238" s="24"/>
      <c r="H238" s="24"/>
      <c r="I238" s="24"/>
      <c r="J238" s="24"/>
      <c r="K238" s="51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3.5" customHeight="1">
      <c r="A239" s="74"/>
      <c r="B239" s="74"/>
      <c r="C239" s="74"/>
      <c r="D239" s="12"/>
      <c r="E239" s="51"/>
      <c r="F239" s="24"/>
      <c r="G239" s="24"/>
      <c r="H239" s="24"/>
      <c r="I239" s="24"/>
      <c r="J239" s="24"/>
      <c r="K239" s="51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3.5" customHeight="1">
      <c r="A240" s="74"/>
      <c r="B240" s="74"/>
      <c r="C240" s="74"/>
      <c r="D240" s="12"/>
      <c r="E240" s="51"/>
      <c r="F240" s="24"/>
      <c r="G240" s="24"/>
      <c r="H240" s="24"/>
      <c r="I240" s="24"/>
      <c r="J240" s="24"/>
      <c r="K240" s="51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3.5" customHeight="1">
      <c r="A241" s="74"/>
      <c r="B241" s="74"/>
      <c r="C241" s="74"/>
      <c r="D241" s="12"/>
      <c r="E241" s="51"/>
      <c r="F241" s="24"/>
      <c r="G241" s="24"/>
      <c r="H241" s="24"/>
      <c r="I241" s="24"/>
      <c r="J241" s="24"/>
      <c r="K241" s="51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3.5" customHeight="1">
      <c r="A242" s="74"/>
      <c r="B242" s="74"/>
      <c r="C242" s="74"/>
      <c r="D242" s="12"/>
      <c r="E242" s="51"/>
      <c r="F242" s="24"/>
      <c r="G242" s="24"/>
      <c r="H242" s="24"/>
      <c r="I242" s="24"/>
      <c r="J242" s="24"/>
      <c r="K242" s="51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3.5" customHeight="1">
      <c r="A243" s="74"/>
      <c r="B243" s="74"/>
      <c r="C243" s="74"/>
      <c r="D243" s="12"/>
      <c r="E243" s="51"/>
      <c r="F243" s="24"/>
      <c r="G243" s="24"/>
      <c r="H243" s="24"/>
      <c r="I243" s="24"/>
      <c r="J243" s="24"/>
      <c r="K243" s="51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3.5" customHeight="1">
      <c r="A244" s="74"/>
      <c r="B244" s="74"/>
      <c r="C244" s="74"/>
      <c r="D244" s="12"/>
      <c r="E244" s="51"/>
      <c r="F244" s="24"/>
      <c r="G244" s="24"/>
      <c r="H244" s="24"/>
      <c r="I244" s="24"/>
      <c r="J244" s="24"/>
      <c r="K244" s="51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3.5" customHeight="1">
      <c r="A245" s="74"/>
      <c r="B245" s="74"/>
      <c r="C245" s="74"/>
      <c r="D245" s="12"/>
      <c r="E245" s="51"/>
      <c r="F245" s="24"/>
      <c r="G245" s="24"/>
      <c r="H245" s="24"/>
      <c r="I245" s="24"/>
      <c r="J245" s="24"/>
      <c r="K245" s="51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3.5" customHeight="1">
      <c r="A246" s="74"/>
      <c r="B246" s="74"/>
      <c r="C246" s="74"/>
      <c r="D246" s="12"/>
      <c r="E246" s="51"/>
      <c r="F246" s="24"/>
      <c r="G246" s="24"/>
      <c r="H246" s="24"/>
      <c r="I246" s="24"/>
      <c r="J246" s="24"/>
      <c r="K246" s="51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3.5" customHeight="1">
      <c r="A247" s="74"/>
      <c r="B247" s="74"/>
      <c r="C247" s="74"/>
      <c r="D247" s="12"/>
      <c r="E247" s="51"/>
      <c r="F247" s="24"/>
      <c r="G247" s="24"/>
      <c r="H247" s="24"/>
      <c r="I247" s="24"/>
      <c r="J247" s="24"/>
      <c r="K247" s="51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3.5" customHeight="1">
      <c r="A248" s="74"/>
      <c r="B248" s="74"/>
      <c r="C248" s="74"/>
      <c r="D248" s="12"/>
      <c r="E248" s="51"/>
      <c r="F248" s="24"/>
      <c r="G248" s="24"/>
      <c r="H248" s="24"/>
      <c r="I248" s="24"/>
      <c r="J248" s="24"/>
      <c r="K248" s="51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3.5" customHeight="1">
      <c r="A249" s="74"/>
      <c r="B249" s="74"/>
      <c r="C249" s="74"/>
      <c r="D249" s="12"/>
      <c r="E249" s="51"/>
      <c r="F249" s="24"/>
      <c r="G249" s="24"/>
      <c r="H249" s="24"/>
      <c r="I249" s="24"/>
      <c r="J249" s="24"/>
      <c r="K249" s="51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3.5" customHeight="1">
      <c r="A250" s="74"/>
      <c r="B250" s="74"/>
      <c r="C250" s="74"/>
      <c r="D250" s="12"/>
      <c r="E250" s="51"/>
      <c r="F250" s="24"/>
      <c r="G250" s="24"/>
      <c r="H250" s="24"/>
      <c r="I250" s="24"/>
      <c r="J250" s="24"/>
      <c r="K250" s="51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3.5" customHeight="1">
      <c r="A251" s="74"/>
      <c r="B251" s="74"/>
      <c r="C251" s="74"/>
      <c r="D251" s="12"/>
      <c r="E251" s="51"/>
      <c r="F251" s="24"/>
      <c r="G251" s="24"/>
      <c r="H251" s="24"/>
      <c r="I251" s="24"/>
      <c r="J251" s="24"/>
      <c r="K251" s="51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3.5" customHeight="1">
      <c r="A252" s="74"/>
      <c r="B252" s="74"/>
      <c r="C252" s="74"/>
      <c r="D252" s="12"/>
      <c r="E252" s="51"/>
      <c r="F252" s="24"/>
      <c r="G252" s="24"/>
      <c r="H252" s="24"/>
      <c r="I252" s="24"/>
      <c r="J252" s="24"/>
      <c r="K252" s="51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3.5" customHeight="1">
      <c r="A253" s="74"/>
      <c r="B253" s="74"/>
      <c r="C253" s="74"/>
      <c r="D253" s="12"/>
      <c r="E253" s="51"/>
      <c r="F253" s="24"/>
      <c r="G253" s="24"/>
      <c r="H253" s="24"/>
      <c r="I253" s="24"/>
      <c r="J253" s="24"/>
      <c r="K253" s="51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3.5" customHeight="1">
      <c r="A254" s="74"/>
      <c r="B254" s="74"/>
      <c r="C254" s="74"/>
      <c r="D254" s="12"/>
      <c r="E254" s="51"/>
      <c r="F254" s="24"/>
      <c r="G254" s="24"/>
      <c r="H254" s="24"/>
      <c r="I254" s="24"/>
      <c r="J254" s="24"/>
      <c r="K254" s="51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3.5" customHeight="1">
      <c r="A255" s="74"/>
      <c r="B255" s="74"/>
      <c r="C255" s="74"/>
      <c r="D255" s="12"/>
      <c r="E255" s="51"/>
      <c r="F255" s="24"/>
      <c r="G255" s="24"/>
      <c r="H255" s="24"/>
      <c r="I255" s="24"/>
      <c r="J255" s="24"/>
      <c r="K255" s="51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3.5" customHeight="1">
      <c r="A256" s="74"/>
      <c r="B256" s="74"/>
      <c r="C256" s="74"/>
      <c r="D256" s="12"/>
      <c r="E256" s="51"/>
      <c r="F256" s="24"/>
      <c r="G256" s="24"/>
      <c r="H256" s="24"/>
      <c r="I256" s="24"/>
      <c r="J256" s="24"/>
      <c r="K256" s="51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3.5" customHeight="1">
      <c r="A257" s="74"/>
      <c r="B257" s="74"/>
      <c r="C257" s="74"/>
      <c r="D257" s="12"/>
      <c r="E257" s="51"/>
      <c r="F257" s="24"/>
      <c r="G257" s="24"/>
      <c r="H257" s="24"/>
      <c r="I257" s="24"/>
      <c r="J257" s="24"/>
      <c r="K257" s="51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3.5" customHeight="1">
      <c r="A258" s="74"/>
      <c r="B258" s="74"/>
      <c r="C258" s="74"/>
      <c r="D258" s="12"/>
      <c r="E258" s="51"/>
      <c r="F258" s="24"/>
      <c r="G258" s="24"/>
      <c r="H258" s="24"/>
      <c r="I258" s="24"/>
      <c r="J258" s="24"/>
      <c r="K258" s="51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3.5" customHeight="1">
      <c r="A259" s="74"/>
      <c r="B259" s="74"/>
      <c r="C259" s="74"/>
      <c r="D259" s="12"/>
      <c r="E259" s="51"/>
      <c r="F259" s="24"/>
      <c r="G259" s="24"/>
      <c r="H259" s="24"/>
      <c r="I259" s="24"/>
      <c r="J259" s="24"/>
      <c r="K259" s="51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3.5" customHeight="1">
      <c r="A260" s="74"/>
      <c r="B260" s="74"/>
      <c r="C260" s="74"/>
      <c r="D260" s="12"/>
      <c r="E260" s="51"/>
      <c r="F260" s="24"/>
      <c r="G260" s="24"/>
      <c r="H260" s="24"/>
      <c r="I260" s="24"/>
      <c r="J260" s="24"/>
      <c r="K260" s="51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3.5" customHeight="1">
      <c r="A261" s="74"/>
      <c r="B261" s="74"/>
      <c r="C261" s="74"/>
      <c r="D261" s="12"/>
      <c r="E261" s="51"/>
      <c r="F261" s="24"/>
      <c r="G261" s="24"/>
      <c r="H261" s="24"/>
      <c r="I261" s="24"/>
      <c r="J261" s="24"/>
      <c r="K261" s="51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3.5" customHeight="1">
      <c r="A262" s="74"/>
      <c r="B262" s="74"/>
      <c r="C262" s="74"/>
      <c r="D262" s="12"/>
      <c r="E262" s="51"/>
      <c r="F262" s="24"/>
      <c r="G262" s="24"/>
      <c r="H262" s="24"/>
      <c r="I262" s="24"/>
      <c r="J262" s="24"/>
      <c r="K262" s="51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3.5" customHeight="1">
      <c r="A263" s="74"/>
      <c r="B263" s="74"/>
      <c r="C263" s="74"/>
      <c r="D263" s="12"/>
      <c r="E263" s="51"/>
      <c r="F263" s="24"/>
      <c r="G263" s="24"/>
      <c r="H263" s="24"/>
      <c r="I263" s="24"/>
      <c r="J263" s="24"/>
      <c r="K263" s="51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3.5" customHeight="1">
      <c r="A264" s="74"/>
      <c r="B264" s="74"/>
      <c r="C264" s="74"/>
      <c r="D264" s="12"/>
      <c r="E264" s="51"/>
      <c r="F264" s="24"/>
      <c r="G264" s="24"/>
      <c r="H264" s="24"/>
      <c r="I264" s="24"/>
      <c r="J264" s="24"/>
      <c r="K264" s="51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3.5" customHeight="1">
      <c r="A265" s="74"/>
      <c r="B265" s="74"/>
      <c r="C265" s="74"/>
      <c r="D265" s="12"/>
      <c r="E265" s="51"/>
      <c r="F265" s="24"/>
      <c r="G265" s="24"/>
      <c r="H265" s="24"/>
      <c r="I265" s="24"/>
      <c r="J265" s="24"/>
      <c r="K265" s="51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3.5" customHeight="1">
      <c r="A266" s="74"/>
      <c r="B266" s="74"/>
      <c r="C266" s="74"/>
      <c r="D266" s="12"/>
      <c r="E266" s="51"/>
      <c r="F266" s="24"/>
      <c r="G266" s="24"/>
      <c r="H266" s="24"/>
      <c r="I266" s="24"/>
      <c r="J266" s="24"/>
      <c r="K266" s="51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3.5" customHeight="1">
      <c r="A267" s="74"/>
      <c r="B267" s="74"/>
      <c r="C267" s="74"/>
      <c r="D267" s="12"/>
      <c r="E267" s="51"/>
      <c r="F267" s="24"/>
      <c r="G267" s="24"/>
      <c r="H267" s="24"/>
      <c r="I267" s="24"/>
      <c r="J267" s="24"/>
      <c r="K267" s="51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3.5" customHeight="1">
      <c r="A268" s="74"/>
      <c r="B268" s="74"/>
      <c r="C268" s="74"/>
      <c r="D268" s="12"/>
      <c r="E268" s="51"/>
      <c r="F268" s="24"/>
      <c r="G268" s="24"/>
      <c r="H268" s="24"/>
      <c r="I268" s="24"/>
      <c r="J268" s="24"/>
      <c r="K268" s="51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3.5" customHeight="1">
      <c r="A269" s="74"/>
      <c r="B269" s="74"/>
      <c r="C269" s="74"/>
      <c r="D269" s="12"/>
      <c r="E269" s="51"/>
      <c r="F269" s="24"/>
      <c r="G269" s="24"/>
      <c r="H269" s="24"/>
      <c r="I269" s="24"/>
      <c r="J269" s="24"/>
      <c r="K269" s="51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3.5" customHeight="1">
      <c r="A270" s="74"/>
      <c r="B270" s="74"/>
      <c r="C270" s="74"/>
      <c r="D270" s="12"/>
      <c r="E270" s="51"/>
      <c r="F270" s="24"/>
      <c r="G270" s="24"/>
      <c r="H270" s="24"/>
      <c r="I270" s="24"/>
      <c r="J270" s="24"/>
      <c r="K270" s="51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3.5" customHeight="1">
      <c r="A271" s="74"/>
      <c r="B271" s="74"/>
      <c r="C271" s="74"/>
      <c r="D271" s="12"/>
      <c r="E271" s="51"/>
      <c r="F271" s="24"/>
      <c r="G271" s="24"/>
      <c r="H271" s="24"/>
      <c r="I271" s="24"/>
      <c r="J271" s="24"/>
      <c r="K271" s="51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3.5" customHeight="1">
      <c r="A272" s="74"/>
      <c r="B272" s="74"/>
      <c r="C272" s="74"/>
      <c r="D272" s="12"/>
      <c r="E272" s="51"/>
      <c r="F272" s="24"/>
      <c r="G272" s="24"/>
      <c r="H272" s="24"/>
      <c r="I272" s="24"/>
      <c r="J272" s="24"/>
      <c r="K272" s="51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3.5" customHeight="1">
      <c r="A273" s="74"/>
      <c r="B273" s="74"/>
      <c r="C273" s="74"/>
      <c r="D273" s="12"/>
      <c r="E273" s="51"/>
      <c r="F273" s="24"/>
      <c r="G273" s="24"/>
      <c r="H273" s="24"/>
      <c r="I273" s="24"/>
      <c r="J273" s="24"/>
      <c r="K273" s="51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3.5" customHeight="1">
      <c r="A274" s="74"/>
      <c r="B274" s="74"/>
      <c r="C274" s="74"/>
      <c r="D274" s="12"/>
      <c r="E274" s="51"/>
      <c r="F274" s="24"/>
      <c r="G274" s="24"/>
      <c r="H274" s="24"/>
      <c r="I274" s="24"/>
      <c r="J274" s="24"/>
      <c r="K274" s="51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3.5" customHeight="1">
      <c r="A275" s="74"/>
      <c r="B275" s="74"/>
      <c r="C275" s="74"/>
      <c r="D275" s="12"/>
      <c r="E275" s="51"/>
      <c r="F275" s="24"/>
      <c r="G275" s="24"/>
      <c r="H275" s="24"/>
      <c r="I275" s="24"/>
      <c r="J275" s="24"/>
      <c r="K275" s="51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3.5" customHeight="1">
      <c r="A276" s="74"/>
      <c r="B276" s="74"/>
      <c r="C276" s="74"/>
      <c r="D276" s="12"/>
      <c r="E276" s="51"/>
      <c r="F276" s="24"/>
      <c r="G276" s="24"/>
      <c r="H276" s="24"/>
      <c r="I276" s="24"/>
      <c r="J276" s="24"/>
      <c r="K276" s="51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3.5" customHeight="1">
      <c r="A277" s="74"/>
      <c r="B277" s="74"/>
      <c r="C277" s="74"/>
      <c r="D277" s="12"/>
      <c r="E277" s="51"/>
      <c r="F277" s="24"/>
      <c r="G277" s="24"/>
      <c r="H277" s="24"/>
      <c r="I277" s="24"/>
      <c r="J277" s="24"/>
      <c r="K277" s="51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3.5" customHeight="1">
      <c r="A278" s="74"/>
      <c r="B278" s="74"/>
      <c r="C278" s="74"/>
      <c r="D278" s="12"/>
      <c r="E278" s="51"/>
      <c r="F278" s="24"/>
      <c r="G278" s="24"/>
      <c r="H278" s="24"/>
      <c r="I278" s="24"/>
      <c r="J278" s="24"/>
      <c r="K278" s="51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3.5" customHeight="1">
      <c r="A279" s="74"/>
      <c r="B279" s="74"/>
      <c r="C279" s="74"/>
      <c r="D279" s="12"/>
      <c r="E279" s="51"/>
      <c r="F279" s="24"/>
      <c r="G279" s="24"/>
      <c r="H279" s="24"/>
      <c r="I279" s="24"/>
      <c r="J279" s="24"/>
      <c r="K279" s="51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3.5" customHeight="1">
      <c r="A280" s="74"/>
      <c r="B280" s="74"/>
      <c r="C280" s="74"/>
      <c r="D280" s="12"/>
      <c r="E280" s="51"/>
      <c r="F280" s="24"/>
      <c r="G280" s="24"/>
      <c r="H280" s="24"/>
      <c r="I280" s="24"/>
      <c r="J280" s="24"/>
      <c r="K280" s="51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3.5" customHeight="1">
      <c r="A281" s="74"/>
      <c r="B281" s="74"/>
      <c r="C281" s="74"/>
      <c r="D281" s="12"/>
      <c r="E281" s="51"/>
      <c r="F281" s="24"/>
      <c r="G281" s="24"/>
      <c r="H281" s="24"/>
      <c r="I281" s="24"/>
      <c r="J281" s="24"/>
      <c r="K281" s="51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3.5" customHeight="1">
      <c r="A282" s="74"/>
      <c r="B282" s="74"/>
      <c r="C282" s="74"/>
      <c r="D282" s="12"/>
      <c r="E282" s="51"/>
      <c r="F282" s="24"/>
      <c r="G282" s="24"/>
      <c r="H282" s="24"/>
      <c r="I282" s="24"/>
      <c r="J282" s="24"/>
      <c r="K282" s="51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3.5" customHeight="1">
      <c r="A283" s="74"/>
      <c r="B283" s="74"/>
      <c r="C283" s="74"/>
      <c r="D283" s="12"/>
      <c r="E283" s="51"/>
      <c r="F283" s="24"/>
      <c r="G283" s="24"/>
      <c r="H283" s="24"/>
      <c r="I283" s="24"/>
      <c r="J283" s="24"/>
      <c r="K283" s="51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3.5" customHeight="1">
      <c r="A284" s="74"/>
      <c r="B284" s="74"/>
      <c r="C284" s="74"/>
      <c r="D284" s="12"/>
      <c r="E284" s="51"/>
      <c r="F284" s="24"/>
      <c r="G284" s="24"/>
      <c r="H284" s="24"/>
      <c r="I284" s="24"/>
      <c r="J284" s="24"/>
      <c r="K284" s="51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3.5" customHeight="1">
      <c r="A285" s="74"/>
      <c r="B285" s="74"/>
      <c r="C285" s="74"/>
      <c r="D285" s="12"/>
      <c r="E285" s="51"/>
      <c r="F285" s="24"/>
      <c r="G285" s="24"/>
      <c r="H285" s="24"/>
      <c r="I285" s="24"/>
      <c r="J285" s="24"/>
      <c r="K285" s="51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3.5" customHeight="1">
      <c r="A286" s="74"/>
      <c r="B286" s="74"/>
      <c r="C286" s="74"/>
      <c r="D286" s="12"/>
      <c r="E286" s="51"/>
      <c r="F286" s="24"/>
      <c r="G286" s="24"/>
      <c r="H286" s="24"/>
      <c r="I286" s="24"/>
      <c r="J286" s="24"/>
      <c r="K286" s="51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3.5" customHeight="1">
      <c r="A287" s="74"/>
      <c r="B287" s="74"/>
      <c r="C287" s="74"/>
      <c r="D287" s="12"/>
      <c r="E287" s="51"/>
      <c r="F287" s="24"/>
      <c r="G287" s="24"/>
      <c r="H287" s="24"/>
      <c r="I287" s="24"/>
      <c r="J287" s="24"/>
      <c r="K287" s="51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3.5" customHeight="1">
      <c r="A288" s="74"/>
      <c r="B288" s="74"/>
      <c r="C288" s="74"/>
      <c r="D288" s="12"/>
      <c r="E288" s="51"/>
      <c r="F288" s="24"/>
      <c r="G288" s="24"/>
      <c r="H288" s="24"/>
      <c r="I288" s="24"/>
      <c r="J288" s="24"/>
      <c r="K288" s="51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3.5" customHeight="1">
      <c r="A289" s="74"/>
      <c r="B289" s="74"/>
      <c r="C289" s="74"/>
      <c r="D289" s="12"/>
      <c r="E289" s="51"/>
      <c r="F289" s="24"/>
      <c r="G289" s="24"/>
      <c r="H289" s="24"/>
      <c r="I289" s="24"/>
      <c r="J289" s="24"/>
      <c r="K289" s="51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3.5" customHeight="1">
      <c r="A290" s="74"/>
      <c r="B290" s="74"/>
      <c r="C290" s="74"/>
      <c r="D290" s="12"/>
      <c r="E290" s="51"/>
      <c r="F290" s="24"/>
      <c r="G290" s="24"/>
      <c r="H290" s="24"/>
      <c r="I290" s="24"/>
      <c r="J290" s="24"/>
      <c r="K290" s="51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3.5" customHeight="1">
      <c r="A291" s="74"/>
      <c r="B291" s="74"/>
      <c r="C291" s="74"/>
      <c r="D291" s="12"/>
      <c r="E291" s="51"/>
      <c r="F291" s="24"/>
      <c r="G291" s="24"/>
      <c r="H291" s="24"/>
      <c r="I291" s="24"/>
      <c r="J291" s="24"/>
      <c r="K291" s="51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3.5" customHeight="1">
      <c r="A292" s="74"/>
      <c r="B292" s="74"/>
      <c r="C292" s="74"/>
      <c r="D292" s="12"/>
      <c r="E292" s="51"/>
      <c r="F292" s="24"/>
      <c r="G292" s="24"/>
      <c r="H292" s="24"/>
      <c r="I292" s="24"/>
      <c r="J292" s="24"/>
      <c r="K292" s="51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3.5" customHeight="1">
      <c r="A293" s="74"/>
      <c r="B293" s="74"/>
      <c r="C293" s="74"/>
      <c r="D293" s="12"/>
      <c r="E293" s="51"/>
      <c r="F293" s="24"/>
      <c r="G293" s="24"/>
      <c r="H293" s="24"/>
      <c r="I293" s="24"/>
      <c r="J293" s="24"/>
      <c r="K293" s="51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3.5" customHeight="1">
      <c r="A294" s="74"/>
      <c r="B294" s="74"/>
      <c r="C294" s="74"/>
      <c r="D294" s="12"/>
      <c r="E294" s="51"/>
      <c r="F294" s="24"/>
      <c r="G294" s="24"/>
      <c r="H294" s="24"/>
      <c r="I294" s="24"/>
      <c r="J294" s="24"/>
      <c r="K294" s="51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3.5" customHeight="1">
      <c r="A295" s="74"/>
      <c r="B295" s="74"/>
      <c r="C295" s="74"/>
      <c r="D295" s="12"/>
      <c r="E295" s="51"/>
      <c r="F295" s="24"/>
      <c r="G295" s="24"/>
      <c r="H295" s="24"/>
      <c r="I295" s="24"/>
      <c r="J295" s="24"/>
      <c r="K295" s="51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3.5" customHeight="1">
      <c r="A296" s="74"/>
      <c r="B296" s="74"/>
      <c r="C296" s="74"/>
      <c r="D296" s="12"/>
      <c r="E296" s="51"/>
      <c r="F296" s="24"/>
      <c r="G296" s="24"/>
      <c r="H296" s="24"/>
      <c r="I296" s="24"/>
      <c r="J296" s="24"/>
      <c r="K296" s="51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3.5" customHeight="1">
      <c r="A297" s="74"/>
      <c r="B297" s="74"/>
      <c r="C297" s="74"/>
      <c r="D297" s="12"/>
      <c r="E297" s="51"/>
      <c r="F297" s="24"/>
      <c r="G297" s="24"/>
      <c r="H297" s="24"/>
      <c r="I297" s="24"/>
      <c r="J297" s="24"/>
      <c r="K297" s="51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3.5" customHeight="1">
      <c r="A298" s="74"/>
      <c r="B298" s="74"/>
      <c r="C298" s="74"/>
      <c r="D298" s="12"/>
      <c r="E298" s="51"/>
      <c r="F298" s="24"/>
      <c r="G298" s="24"/>
      <c r="H298" s="24"/>
      <c r="I298" s="24"/>
      <c r="J298" s="24"/>
      <c r="K298" s="51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3.5" customHeight="1">
      <c r="A299" s="74"/>
      <c r="B299" s="74"/>
      <c r="C299" s="74"/>
      <c r="D299" s="12"/>
      <c r="E299" s="51"/>
      <c r="F299" s="24"/>
      <c r="G299" s="24"/>
      <c r="H299" s="24"/>
      <c r="I299" s="24"/>
      <c r="J299" s="24"/>
      <c r="K299" s="51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3.5" customHeight="1">
      <c r="A300" s="74"/>
      <c r="B300" s="74"/>
      <c r="C300" s="74"/>
      <c r="D300" s="12"/>
      <c r="E300" s="51"/>
      <c r="F300" s="24"/>
      <c r="G300" s="24"/>
      <c r="H300" s="24"/>
      <c r="I300" s="24"/>
      <c r="J300" s="24"/>
      <c r="K300" s="51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3.5" customHeight="1">
      <c r="A301" s="74"/>
      <c r="B301" s="74"/>
      <c r="C301" s="74"/>
      <c r="D301" s="12"/>
      <c r="E301" s="51"/>
      <c r="F301" s="24"/>
      <c r="G301" s="24"/>
      <c r="H301" s="24"/>
      <c r="I301" s="24"/>
      <c r="J301" s="24"/>
      <c r="K301" s="51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3.5" customHeight="1">
      <c r="A302" s="74"/>
      <c r="B302" s="74"/>
      <c r="C302" s="74"/>
      <c r="D302" s="12"/>
      <c r="E302" s="51"/>
      <c r="F302" s="24"/>
      <c r="G302" s="24"/>
      <c r="H302" s="24"/>
      <c r="I302" s="24"/>
      <c r="J302" s="24"/>
      <c r="K302" s="51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3.5" customHeight="1">
      <c r="A303" s="74"/>
      <c r="B303" s="74"/>
      <c r="C303" s="74"/>
      <c r="D303" s="12"/>
      <c r="E303" s="51"/>
      <c r="F303" s="24"/>
      <c r="G303" s="24"/>
      <c r="H303" s="24"/>
      <c r="I303" s="24"/>
      <c r="J303" s="24"/>
      <c r="K303" s="51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3.5" customHeight="1">
      <c r="A304" s="74"/>
      <c r="B304" s="74"/>
      <c r="C304" s="74"/>
      <c r="D304" s="12"/>
      <c r="E304" s="51"/>
      <c r="F304" s="24"/>
      <c r="G304" s="24"/>
      <c r="H304" s="24"/>
      <c r="I304" s="24"/>
      <c r="J304" s="24"/>
      <c r="K304" s="51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3.5" customHeight="1">
      <c r="A305" s="74"/>
      <c r="B305" s="74"/>
      <c r="C305" s="74"/>
      <c r="D305" s="12"/>
      <c r="E305" s="51"/>
      <c r="F305" s="24"/>
      <c r="G305" s="24"/>
      <c r="H305" s="24"/>
      <c r="I305" s="24"/>
      <c r="J305" s="24"/>
      <c r="K305" s="51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3.5" customHeight="1">
      <c r="A306" s="74"/>
      <c r="B306" s="74"/>
      <c r="C306" s="74"/>
      <c r="D306" s="12"/>
      <c r="E306" s="51"/>
      <c r="F306" s="24"/>
      <c r="G306" s="24"/>
      <c r="H306" s="24"/>
      <c r="I306" s="24"/>
      <c r="J306" s="24"/>
      <c r="K306" s="51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3.5" customHeight="1">
      <c r="A307" s="74"/>
      <c r="B307" s="74"/>
      <c r="C307" s="74"/>
      <c r="D307" s="12"/>
      <c r="E307" s="51"/>
      <c r="F307" s="24"/>
      <c r="G307" s="24"/>
      <c r="H307" s="24"/>
      <c r="I307" s="24"/>
      <c r="J307" s="24"/>
      <c r="K307" s="51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3.5" customHeight="1">
      <c r="A308" s="74"/>
      <c r="B308" s="74"/>
      <c r="C308" s="74"/>
      <c r="D308" s="12"/>
      <c r="E308" s="51"/>
      <c r="F308" s="24"/>
      <c r="G308" s="24"/>
      <c r="H308" s="24"/>
      <c r="I308" s="24"/>
      <c r="J308" s="24"/>
      <c r="K308" s="51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3.5" customHeight="1">
      <c r="A309" s="74"/>
      <c r="B309" s="74"/>
      <c r="C309" s="74"/>
      <c r="D309" s="12"/>
      <c r="E309" s="51"/>
      <c r="F309" s="24"/>
      <c r="G309" s="24"/>
      <c r="H309" s="24"/>
      <c r="I309" s="24"/>
      <c r="J309" s="24"/>
      <c r="K309" s="51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3.5" customHeight="1">
      <c r="A310" s="74"/>
      <c r="B310" s="74"/>
      <c r="C310" s="74"/>
      <c r="D310" s="12"/>
      <c r="E310" s="51"/>
      <c r="F310" s="24"/>
      <c r="G310" s="24"/>
      <c r="H310" s="24"/>
      <c r="I310" s="24"/>
      <c r="J310" s="24"/>
      <c r="K310" s="51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3.5" customHeight="1">
      <c r="A311" s="74"/>
      <c r="B311" s="74"/>
      <c r="C311" s="74"/>
      <c r="D311" s="12"/>
      <c r="E311" s="51"/>
      <c r="F311" s="24"/>
      <c r="G311" s="24"/>
      <c r="H311" s="24"/>
      <c r="I311" s="24"/>
      <c r="J311" s="24"/>
      <c r="K311" s="51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3.5" customHeight="1">
      <c r="A312" s="74"/>
      <c r="B312" s="74"/>
      <c r="C312" s="74"/>
      <c r="D312" s="12"/>
      <c r="E312" s="51"/>
      <c r="F312" s="24"/>
      <c r="G312" s="24"/>
      <c r="H312" s="24"/>
      <c r="I312" s="24"/>
      <c r="J312" s="24"/>
      <c r="K312" s="51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3.5" customHeight="1">
      <c r="A313" s="74"/>
      <c r="B313" s="74"/>
      <c r="C313" s="74"/>
      <c r="D313" s="12"/>
      <c r="E313" s="51"/>
      <c r="F313" s="24"/>
      <c r="G313" s="24"/>
      <c r="H313" s="24"/>
      <c r="I313" s="24"/>
      <c r="J313" s="24"/>
      <c r="K313" s="51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3.5" customHeight="1">
      <c r="A314" s="74"/>
      <c r="B314" s="74"/>
      <c r="C314" s="74"/>
      <c r="D314" s="12"/>
      <c r="E314" s="51"/>
      <c r="F314" s="24"/>
      <c r="G314" s="24"/>
      <c r="H314" s="24"/>
      <c r="I314" s="24"/>
      <c r="J314" s="24"/>
      <c r="K314" s="51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3.5" customHeight="1">
      <c r="A315" s="74"/>
      <c r="B315" s="74"/>
      <c r="C315" s="74"/>
      <c r="D315" s="12"/>
      <c r="E315" s="51"/>
      <c r="F315" s="24"/>
      <c r="G315" s="24"/>
      <c r="H315" s="24"/>
      <c r="I315" s="24"/>
      <c r="J315" s="24"/>
      <c r="K315" s="51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3.5" customHeight="1">
      <c r="A316" s="74"/>
      <c r="B316" s="74"/>
      <c r="C316" s="74"/>
      <c r="D316" s="12"/>
      <c r="E316" s="51"/>
      <c r="F316" s="24"/>
      <c r="G316" s="24"/>
      <c r="H316" s="24"/>
      <c r="I316" s="24"/>
      <c r="J316" s="24"/>
      <c r="K316" s="51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3.5" customHeight="1">
      <c r="A317" s="74"/>
      <c r="B317" s="74"/>
      <c r="C317" s="74"/>
      <c r="D317" s="12"/>
      <c r="E317" s="51"/>
      <c r="F317" s="24"/>
      <c r="G317" s="24"/>
      <c r="H317" s="24"/>
      <c r="I317" s="24"/>
      <c r="J317" s="24"/>
      <c r="K317" s="51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3.5" customHeight="1">
      <c r="A318" s="74"/>
      <c r="B318" s="74"/>
      <c r="C318" s="74"/>
      <c r="D318" s="12"/>
      <c r="E318" s="51"/>
      <c r="F318" s="24"/>
      <c r="G318" s="24"/>
      <c r="H318" s="24"/>
      <c r="I318" s="24"/>
      <c r="J318" s="24"/>
      <c r="K318" s="51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3.5" customHeight="1">
      <c r="A319" s="74"/>
      <c r="B319" s="74"/>
      <c r="C319" s="74"/>
      <c r="D319" s="12"/>
      <c r="E319" s="51"/>
      <c r="F319" s="24"/>
      <c r="G319" s="24"/>
      <c r="H319" s="24"/>
      <c r="I319" s="24"/>
      <c r="J319" s="24"/>
      <c r="K319" s="51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3.5" customHeight="1">
      <c r="A320" s="74"/>
      <c r="B320" s="74"/>
      <c r="C320" s="74"/>
      <c r="D320" s="12"/>
      <c r="E320" s="51"/>
      <c r="F320" s="24"/>
      <c r="G320" s="24"/>
      <c r="H320" s="24"/>
      <c r="I320" s="24"/>
      <c r="J320" s="24"/>
      <c r="K320" s="51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3.5" customHeight="1">
      <c r="A321" s="74"/>
      <c r="B321" s="74"/>
      <c r="C321" s="74"/>
      <c r="D321" s="12"/>
      <c r="E321" s="51"/>
      <c r="F321" s="24"/>
      <c r="G321" s="24"/>
      <c r="H321" s="24"/>
      <c r="I321" s="24"/>
      <c r="J321" s="24"/>
      <c r="K321" s="51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3.5" customHeight="1">
      <c r="A322" s="74"/>
      <c r="B322" s="74"/>
      <c r="C322" s="74"/>
      <c r="D322" s="12"/>
      <c r="E322" s="51"/>
      <c r="F322" s="24"/>
      <c r="G322" s="24"/>
      <c r="H322" s="24"/>
      <c r="I322" s="24"/>
      <c r="J322" s="24"/>
      <c r="K322" s="51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3.5" customHeight="1">
      <c r="A323" s="74"/>
      <c r="B323" s="74"/>
      <c r="C323" s="74"/>
      <c r="D323" s="12"/>
      <c r="E323" s="51"/>
      <c r="F323" s="24"/>
      <c r="G323" s="24"/>
      <c r="H323" s="24"/>
      <c r="I323" s="24"/>
      <c r="J323" s="24"/>
      <c r="K323" s="51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3.5" customHeight="1">
      <c r="A324" s="74"/>
      <c r="B324" s="74"/>
      <c r="C324" s="74"/>
      <c r="D324" s="12"/>
      <c r="E324" s="51"/>
      <c r="F324" s="24"/>
      <c r="G324" s="24"/>
      <c r="H324" s="24"/>
      <c r="I324" s="24"/>
      <c r="J324" s="24"/>
      <c r="K324" s="51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3.5" customHeight="1">
      <c r="A325" s="74"/>
      <c r="B325" s="74"/>
      <c r="C325" s="74"/>
      <c r="D325" s="12"/>
      <c r="E325" s="51"/>
      <c r="F325" s="24"/>
      <c r="G325" s="24"/>
      <c r="H325" s="24"/>
      <c r="I325" s="24"/>
      <c r="J325" s="24"/>
      <c r="K325" s="51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3.5" customHeight="1">
      <c r="A326" s="74"/>
      <c r="B326" s="74"/>
      <c r="C326" s="74"/>
      <c r="D326" s="12"/>
      <c r="E326" s="51"/>
      <c r="F326" s="24"/>
      <c r="G326" s="24"/>
      <c r="H326" s="24"/>
      <c r="I326" s="24"/>
      <c r="J326" s="24"/>
      <c r="K326" s="51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3.5" customHeight="1">
      <c r="A327" s="74"/>
      <c r="B327" s="74"/>
      <c r="C327" s="74"/>
      <c r="D327" s="12"/>
      <c r="E327" s="51"/>
      <c r="F327" s="24"/>
      <c r="G327" s="24"/>
      <c r="H327" s="24"/>
      <c r="I327" s="24"/>
      <c r="J327" s="24"/>
      <c r="K327" s="51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3.5" customHeight="1">
      <c r="A328" s="74"/>
      <c r="B328" s="74"/>
      <c r="C328" s="74"/>
      <c r="D328" s="12"/>
      <c r="E328" s="51"/>
      <c r="F328" s="24"/>
      <c r="G328" s="24"/>
      <c r="H328" s="24"/>
      <c r="I328" s="24"/>
      <c r="J328" s="24"/>
      <c r="K328" s="51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3.5" customHeight="1">
      <c r="A329" s="74"/>
      <c r="B329" s="74"/>
      <c r="C329" s="74"/>
      <c r="D329" s="12"/>
      <c r="E329" s="51"/>
      <c r="F329" s="24"/>
      <c r="G329" s="24"/>
      <c r="H329" s="24"/>
      <c r="I329" s="24"/>
      <c r="J329" s="24"/>
      <c r="K329" s="51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3.5" customHeight="1">
      <c r="A330" s="74"/>
      <c r="B330" s="74"/>
      <c r="C330" s="74"/>
      <c r="D330" s="12"/>
      <c r="E330" s="51"/>
      <c r="F330" s="24"/>
      <c r="G330" s="24"/>
      <c r="H330" s="24"/>
      <c r="I330" s="24"/>
      <c r="J330" s="24"/>
      <c r="K330" s="51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3.5" customHeight="1">
      <c r="A331" s="74"/>
      <c r="B331" s="74"/>
      <c r="C331" s="74"/>
      <c r="D331" s="12"/>
      <c r="E331" s="51"/>
      <c r="F331" s="24"/>
      <c r="G331" s="24"/>
      <c r="H331" s="24"/>
      <c r="I331" s="24"/>
      <c r="J331" s="24"/>
      <c r="K331" s="51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3.5" customHeight="1">
      <c r="A332" s="74"/>
      <c r="B332" s="74"/>
      <c r="C332" s="74"/>
      <c r="D332" s="12"/>
      <c r="E332" s="51"/>
      <c r="F332" s="24"/>
      <c r="G332" s="24"/>
      <c r="H332" s="24"/>
      <c r="I332" s="24"/>
      <c r="J332" s="24"/>
      <c r="K332" s="51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3.5" customHeight="1">
      <c r="A333" s="74"/>
      <c r="B333" s="74"/>
      <c r="C333" s="74"/>
      <c r="D333" s="12"/>
      <c r="E333" s="51"/>
      <c r="F333" s="24"/>
      <c r="G333" s="24"/>
      <c r="H333" s="24"/>
      <c r="I333" s="24"/>
      <c r="J333" s="24"/>
      <c r="K333" s="51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3.5" customHeight="1">
      <c r="A334" s="74"/>
      <c r="B334" s="74"/>
      <c r="C334" s="74"/>
      <c r="D334" s="12"/>
      <c r="E334" s="51"/>
      <c r="F334" s="24"/>
      <c r="G334" s="24"/>
      <c r="H334" s="24"/>
      <c r="I334" s="24"/>
      <c r="J334" s="24"/>
      <c r="K334" s="51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3.5" customHeight="1">
      <c r="A335" s="74"/>
      <c r="B335" s="74"/>
      <c r="C335" s="74"/>
      <c r="D335" s="12"/>
      <c r="E335" s="51"/>
      <c r="F335" s="24"/>
      <c r="G335" s="24"/>
      <c r="H335" s="24"/>
      <c r="I335" s="24"/>
      <c r="J335" s="24"/>
      <c r="K335" s="51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3.5" customHeight="1">
      <c r="A336" s="74"/>
      <c r="B336" s="74"/>
      <c r="C336" s="74"/>
      <c r="D336" s="12"/>
      <c r="E336" s="51"/>
      <c r="F336" s="24"/>
      <c r="G336" s="24"/>
      <c r="H336" s="24"/>
      <c r="I336" s="24"/>
      <c r="J336" s="24"/>
      <c r="K336" s="51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3.5" customHeight="1">
      <c r="A337" s="74"/>
      <c r="B337" s="74"/>
      <c r="C337" s="74"/>
      <c r="D337" s="12"/>
      <c r="E337" s="51"/>
      <c r="F337" s="24"/>
      <c r="G337" s="24"/>
      <c r="H337" s="24"/>
      <c r="I337" s="24"/>
      <c r="J337" s="24"/>
      <c r="K337" s="51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3.5" customHeight="1">
      <c r="A338" s="74"/>
      <c r="B338" s="74"/>
      <c r="C338" s="74"/>
      <c r="D338" s="12"/>
      <c r="E338" s="51"/>
      <c r="F338" s="24"/>
      <c r="G338" s="24"/>
      <c r="H338" s="24"/>
      <c r="I338" s="24"/>
      <c r="J338" s="24"/>
      <c r="K338" s="51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3.5" customHeight="1">
      <c r="A339" s="74"/>
      <c r="B339" s="74"/>
      <c r="C339" s="74"/>
      <c r="D339" s="12"/>
      <c r="E339" s="51"/>
      <c r="F339" s="24"/>
      <c r="G339" s="24"/>
      <c r="H339" s="24"/>
      <c r="I339" s="24"/>
      <c r="J339" s="24"/>
      <c r="K339" s="51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3.5" customHeight="1">
      <c r="A340" s="74"/>
      <c r="B340" s="74"/>
      <c r="C340" s="74"/>
      <c r="D340" s="12"/>
      <c r="E340" s="51"/>
      <c r="F340" s="24"/>
      <c r="G340" s="24"/>
      <c r="H340" s="24"/>
      <c r="I340" s="24"/>
      <c r="J340" s="24"/>
      <c r="K340" s="51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3.5" customHeight="1">
      <c r="A341" s="74"/>
      <c r="B341" s="74"/>
      <c r="C341" s="74"/>
      <c r="D341" s="12"/>
      <c r="E341" s="51"/>
      <c r="F341" s="24"/>
      <c r="G341" s="24"/>
      <c r="H341" s="24"/>
      <c r="I341" s="24"/>
      <c r="J341" s="24"/>
      <c r="K341" s="51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3.5" customHeight="1">
      <c r="A342" s="74"/>
      <c r="B342" s="74"/>
      <c r="C342" s="74"/>
      <c r="D342" s="12"/>
      <c r="E342" s="51"/>
      <c r="F342" s="24"/>
      <c r="G342" s="24"/>
      <c r="H342" s="24"/>
      <c r="I342" s="24"/>
      <c r="J342" s="24"/>
      <c r="K342" s="51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3.5" customHeight="1">
      <c r="A343" s="74"/>
      <c r="B343" s="74"/>
      <c r="C343" s="74"/>
      <c r="D343" s="12"/>
      <c r="E343" s="51"/>
      <c r="F343" s="24"/>
      <c r="G343" s="24"/>
      <c r="H343" s="24"/>
      <c r="I343" s="24"/>
      <c r="J343" s="24"/>
      <c r="K343" s="51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3.5" customHeight="1">
      <c r="A344" s="74"/>
      <c r="B344" s="74"/>
      <c r="C344" s="74"/>
      <c r="D344" s="12"/>
      <c r="E344" s="51"/>
      <c r="F344" s="24"/>
      <c r="G344" s="24"/>
      <c r="H344" s="24"/>
      <c r="I344" s="24"/>
      <c r="J344" s="24"/>
      <c r="K344" s="51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3.5" customHeight="1">
      <c r="A345" s="74"/>
      <c r="B345" s="74"/>
      <c r="C345" s="74"/>
      <c r="D345" s="12"/>
      <c r="E345" s="51"/>
      <c r="F345" s="24"/>
      <c r="G345" s="24"/>
      <c r="H345" s="24"/>
      <c r="I345" s="24"/>
      <c r="J345" s="24"/>
      <c r="K345" s="51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3.5" customHeight="1">
      <c r="A346" s="74"/>
      <c r="B346" s="74"/>
      <c r="C346" s="74"/>
      <c r="D346" s="12"/>
      <c r="E346" s="51"/>
      <c r="F346" s="24"/>
      <c r="G346" s="24"/>
      <c r="H346" s="24"/>
      <c r="I346" s="24"/>
      <c r="J346" s="24"/>
      <c r="K346" s="51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3.5" customHeight="1">
      <c r="A347" s="74"/>
      <c r="B347" s="74"/>
      <c r="C347" s="74"/>
      <c r="D347" s="12"/>
      <c r="E347" s="51"/>
      <c r="F347" s="24"/>
      <c r="G347" s="24"/>
      <c r="H347" s="24"/>
      <c r="I347" s="24"/>
      <c r="J347" s="24"/>
      <c r="K347" s="51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3.5" customHeight="1">
      <c r="A348" s="74"/>
      <c r="B348" s="74"/>
      <c r="C348" s="74"/>
      <c r="D348" s="12"/>
      <c r="E348" s="51"/>
      <c r="F348" s="24"/>
      <c r="G348" s="24"/>
      <c r="H348" s="24"/>
      <c r="I348" s="24"/>
      <c r="J348" s="24"/>
      <c r="K348" s="51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3.5" customHeight="1">
      <c r="A349" s="74"/>
      <c r="B349" s="74"/>
      <c r="C349" s="74"/>
      <c r="D349" s="12"/>
      <c r="E349" s="51"/>
      <c r="F349" s="24"/>
      <c r="G349" s="24"/>
      <c r="H349" s="24"/>
      <c r="I349" s="24"/>
      <c r="J349" s="24"/>
      <c r="K349" s="51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3.5" customHeight="1">
      <c r="A350" s="74"/>
      <c r="B350" s="74"/>
      <c r="C350" s="74"/>
      <c r="D350" s="12"/>
      <c r="E350" s="51"/>
      <c r="F350" s="24"/>
      <c r="G350" s="24"/>
      <c r="H350" s="24"/>
      <c r="I350" s="24"/>
      <c r="J350" s="24"/>
      <c r="K350" s="51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3.5" customHeight="1">
      <c r="A351" s="74"/>
      <c r="B351" s="74"/>
      <c r="C351" s="74"/>
      <c r="D351" s="12"/>
      <c r="E351" s="51"/>
      <c r="F351" s="24"/>
      <c r="G351" s="24"/>
      <c r="H351" s="24"/>
      <c r="I351" s="24"/>
      <c r="J351" s="24"/>
      <c r="K351" s="51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3.5" customHeight="1">
      <c r="A352" s="74"/>
      <c r="B352" s="74"/>
      <c r="C352" s="74"/>
      <c r="D352" s="12"/>
      <c r="E352" s="51"/>
      <c r="F352" s="24"/>
      <c r="G352" s="24"/>
      <c r="H352" s="24"/>
      <c r="I352" s="24"/>
      <c r="J352" s="24"/>
      <c r="K352" s="51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3.5" customHeight="1">
      <c r="A353" s="74"/>
      <c r="B353" s="74"/>
      <c r="C353" s="74"/>
      <c r="D353" s="12"/>
      <c r="E353" s="51"/>
      <c r="F353" s="24"/>
      <c r="G353" s="24"/>
      <c r="H353" s="24"/>
      <c r="I353" s="24"/>
      <c r="J353" s="24"/>
      <c r="K353" s="51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3.5" customHeight="1">
      <c r="A354" s="74"/>
      <c r="B354" s="74"/>
      <c r="C354" s="74"/>
      <c r="D354" s="12"/>
      <c r="E354" s="51"/>
      <c r="F354" s="24"/>
      <c r="G354" s="24"/>
      <c r="H354" s="24"/>
      <c r="I354" s="24"/>
      <c r="J354" s="24"/>
      <c r="K354" s="51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3.5" customHeight="1">
      <c r="A355" s="74"/>
      <c r="B355" s="74"/>
      <c r="C355" s="74"/>
      <c r="D355" s="12"/>
      <c r="E355" s="51"/>
      <c r="F355" s="24"/>
      <c r="G355" s="24"/>
      <c r="H355" s="24"/>
      <c r="I355" s="24"/>
      <c r="J355" s="24"/>
      <c r="K355" s="51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3.5" customHeight="1">
      <c r="A356" s="74"/>
      <c r="B356" s="74"/>
      <c r="C356" s="74"/>
      <c r="D356" s="12"/>
      <c r="E356" s="51"/>
      <c r="F356" s="24"/>
      <c r="G356" s="24"/>
      <c r="H356" s="24"/>
      <c r="I356" s="24"/>
      <c r="J356" s="24"/>
      <c r="K356" s="51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3.5" customHeight="1">
      <c r="A357" s="74"/>
      <c r="B357" s="74"/>
      <c r="C357" s="74"/>
      <c r="D357" s="12"/>
      <c r="E357" s="51"/>
      <c r="F357" s="24"/>
      <c r="G357" s="24"/>
      <c r="H357" s="24"/>
      <c r="I357" s="24"/>
      <c r="J357" s="24"/>
      <c r="K357" s="51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3.5" customHeight="1">
      <c r="A358" s="74"/>
      <c r="B358" s="74"/>
      <c r="C358" s="74"/>
      <c r="D358" s="12"/>
      <c r="E358" s="51"/>
      <c r="F358" s="24"/>
      <c r="G358" s="24"/>
      <c r="H358" s="24"/>
      <c r="I358" s="24"/>
      <c r="J358" s="24"/>
      <c r="K358" s="51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3.5" customHeight="1">
      <c r="A359" s="74"/>
      <c r="B359" s="74"/>
      <c r="C359" s="74"/>
      <c r="D359" s="12"/>
      <c r="E359" s="51"/>
      <c r="F359" s="24"/>
      <c r="G359" s="24"/>
      <c r="H359" s="24"/>
      <c r="I359" s="24"/>
      <c r="J359" s="24"/>
      <c r="K359" s="51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3.5" customHeight="1">
      <c r="A360" s="74"/>
      <c r="B360" s="74"/>
      <c r="C360" s="74"/>
      <c r="D360" s="12"/>
      <c r="E360" s="51"/>
      <c r="F360" s="24"/>
      <c r="G360" s="24"/>
      <c r="H360" s="24"/>
      <c r="I360" s="24"/>
      <c r="J360" s="24"/>
      <c r="K360" s="51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3.5" customHeight="1">
      <c r="A361" s="74"/>
      <c r="B361" s="74"/>
      <c r="C361" s="74"/>
      <c r="D361" s="12"/>
      <c r="E361" s="51"/>
      <c r="F361" s="24"/>
      <c r="G361" s="24"/>
      <c r="H361" s="24"/>
      <c r="I361" s="24"/>
      <c r="J361" s="24"/>
      <c r="K361" s="51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3.5" customHeight="1">
      <c r="A362" s="74"/>
      <c r="B362" s="74"/>
      <c r="C362" s="74"/>
      <c r="D362" s="12"/>
      <c r="E362" s="51"/>
      <c r="F362" s="24"/>
      <c r="G362" s="24"/>
      <c r="H362" s="24"/>
      <c r="I362" s="24"/>
      <c r="J362" s="24"/>
      <c r="K362" s="51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3.5" customHeight="1">
      <c r="A363" s="74"/>
      <c r="B363" s="74"/>
      <c r="C363" s="74"/>
      <c r="D363" s="12"/>
      <c r="E363" s="51"/>
      <c r="F363" s="24"/>
      <c r="G363" s="24"/>
      <c r="H363" s="24"/>
      <c r="I363" s="24"/>
      <c r="J363" s="24"/>
      <c r="K363" s="51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3.5" customHeight="1">
      <c r="A364" s="74"/>
      <c r="B364" s="74"/>
      <c r="C364" s="74"/>
      <c r="D364" s="12"/>
      <c r="E364" s="51"/>
      <c r="F364" s="24"/>
      <c r="G364" s="24"/>
      <c r="H364" s="24"/>
      <c r="I364" s="24"/>
      <c r="J364" s="24"/>
      <c r="K364" s="51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3.5" customHeight="1">
      <c r="A365" s="74"/>
      <c r="B365" s="74"/>
      <c r="C365" s="74"/>
      <c r="D365" s="12"/>
      <c r="E365" s="51"/>
      <c r="F365" s="24"/>
      <c r="G365" s="24"/>
      <c r="H365" s="24"/>
      <c r="I365" s="24"/>
      <c r="J365" s="24"/>
      <c r="K365" s="51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3.5" customHeight="1">
      <c r="A366" s="74"/>
      <c r="B366" s="74"/>
      <c r="C366" s="74"/>
      <c r="D366" s="12"/>
      <c r="E366" s="51"/>
      <c r="F366" s="24"/>
      <c r="G366" s="24"/>
      <c r="H366" s="24"/>
      <c r="I366" s="24"/>
      <c r="J366" s="24"/>
      <c r="K366" s="51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3.5" customHeight="1">
      <c r="A367" s="74"/>
      <c r="B367" s="74"/>
      <c r="C367" s="74"/>
      <c r="D367" s="12"/>
      <c r="E367" s="51"/>
      <c r="F367" s="24"/>
      <c r="G367" s="24"/>
      <c r="H367" s="24"/>
      <c r="I367" s="24"/>
      <c r="J367" s="24"/>
      <c r="K367" s="51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3.5" customHeight="1">
      <c r="A368" s="74"/>
      <c r="B368" s="74"/>
      <c r="C368" s="74"/>
      <c r="D368" s="12"/>
      <c r="E368" s="51"/>
      <c r="F368" s="24"/>
      <c r="G368" s="24"/>
      <c r="H368" s="24"/>
      <c r="I368" s="24"/>
      <c r="J368" s="24"/>
      <c r="K368" s="51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3.5" customHeight="1">
      <c r="A369" s="74"/>
      <c r="B369" s="74"/>
      <c r="C369" s="74"/>
      <c r="D369" s="12"/>
      <c r="E369" s="51"/>
      <c r="F369" s="24"/>
      <c r="G369" s="24"/>
      <c r="H369" s="24"/>
      <c r="I369" s="24"/>
      <c r="J369" s="24"/>
      <c r="K369" s="51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3.5" customHeight="1">
      <c r="A370" s="74"/>
      <c r="B370" s="74"/>
      <c r="C370" s="74"/>
      <c r="D370" s="12"/>
      <c r="E370" s="51"/>
      <c r="F370" s="24"/>
      <c r="G370" s="24"/>
      <c r="H370" s="24"/>
      <c r="I370" s="24"/>
      <c r="J370" s="24"/>
      <c r="K370" s="51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3.5" customHeight="1">
      <c r="A371" s="74"/>
      <c r="B371" s="74"/>
      <c r="C371" s="74"/>
      <c r="D371" s="12"/>
      <c r="E371" s="51"/>
      <c r="F371" s="24"/>
      <c r="G371" s="24"/>
      <c r="H371" s="24"/>
      <c r="I371" s="24"/>
      <c r="J371" s="24"/>
      <c r="K371" s="51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3.5" customHeight="1">
      <c r="A372" s="74"/>
      <c r="B372" s="74"/>
      <c r="C372" s="74"/>
      <c r="D372" s="12"/>
      <c r="E372" s="51"/>
      <c r="F372" s="24"/>
      <c r="G372" s="24"/>
      <c r="H372" s="24"/>
      <c r="I372" s="24"/>
      <c r="J372" s="24"/>
      <c r="K372" s="51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3.5" customHeight="1">
      <c r="A373" s="74"/>
      <c r="B373" s="74"/>
      <c r="C373" s="74"/>
      <c r="D373" s="12"/>
      <c r="E373" s="51"/>
      <c r="F373" s="24"/>
      <c r="G373" s="24"/>
      <c r="H373" s="24"/>
      <c r="I373" s="24"/>
      <c r="J373" s="24"/>
      <c r="K373" s="51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3.5" customHeight="1">
      <c r="A374" s="74"/>
      <c r="B374" s="74"/>
      <c r="C374" s="74"/>
      <c r="D374" s="12"/>
      <c r="E374" s="51"/>
      <c r="F374" s="24"/>
      <c r="G374" s="24"/>
      <c r="H374" s="24"/>
      <c r="I374" s="24"/>
      <c r="J374" s="24"/>
      <c r="K374" s="51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3.5" customHeight="1">
      <c r="A375" s="74"/>
      <c r="B375" s="74"/>
      <c r="C375" s="74"/>
      <c r="D375" s="12"/>
      <c r="E375" s="51"/>
      <c r="F375" s="24"/>
      <c r="G375" s="24"/>
      <c r="H375" s="24"/>
      <c r="I375" s="24"/>
      <c r="J375" s="24"/>
      <c r="K375" s="51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3.5" customHeight="1">
      <c r="A376" s="74"/>
      <c r="B376" s="74"/>
      <c r="C376" s="74"/>
      <c r="D376" s="12"/>
      <c r="E376" s="51"/>
      <c r="F376" s="24"/>
      <c r="G376" s="24"/>
      <c r="H376" s="24"/>
      <c r="I376" s="24"/>
      <c r="J376" s="24"/>
      <c r="K376" s="51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3.5" customHeight="1">
      <c r="A377" s="74"/>
      <c r="B377" s="74"/>
      <c r="C377" s="74"/>
      <c r="D377" s="12"/>
      <c r="E377" s="51"/>
      <c r="F377" s="24"/>
      <c r="G377" s="24"/>
      <c r="H377" s="24"/>
      <c r="I377" s="24"/>
      <c r="J377" s="24"/>
      <c r="K377" s="51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3.5" customHeight="1">
      <c r="A378" s="74"/>
      <c r="B378" s="74"/>
      <c r="C378" s="74"/>
      <c r="D378" s="12"/>
      <c r="E378" s="51"/>
      <c r="F378" s="24"/>
      <c r="G378" s="24"/>
      <c r="H378" s="24"/>
      <c r="I378" s="24"/>
      <c r="J378" s="24"/>
      <c r="K378" s="51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3.5" customHeight="1">
      <c r="A379" s="74"/>
      <c r="B379" s="74"/>
      <c r="C379" s="74"/>
      <c r="D379" s="12"/>
      <c r="E379" s="51"/>
      <c r="F379" s="24"/>
      <c r="G379" s="24"/>
      <c r="H379" s="24"/>
      <c r="I379" s="24"/>
      <c r="J379" s="24"/>
      <c r="K379" s="51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3.5" customHeight="1">
      <c r="A380" s="74"/>
      <c r="B380" s="74"/>
      <c r="C380" s="74"/>
      <c r="D380" s="12"/>
      <c r="E380" s="51"/>
      <c r="F380" s="24"/>
      <c r="G380" s="24"/>
      <c r="H380" s="24"/>
      <c r="I380" s="24"/>
      <c r="J380" s="24"/>
      <c r="K380" s="51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3.5" customHeight="1">
      <c r="A381" s="74"/>
      <c r="B381" s="74"/>
      <c r="C381" s="74"/>
      <c r="D381" s="12"/>
      <c r="E381" s="51"/>
      <c r="F381" s="24"/>
      <c r="G381" s="24"/>
      <c r="H381" s="24"/>
      <c r="I381" s="24"/>
      <c r="J381" s="24"/>
      <c r="K381" s="51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3.5" customHeight="1">
      <c r="A382" s="74"/>
      <c r="B382" s="74"/>
      <c r="C382" s="74"/>
      <c r="D382" s="12"/>
      <c r="E382" s="51"/>
      <c r="F382" s="24"/>
      <c r="G382" s="24"/>
      <c r="H382" s="24"/>
      <c r="I382" s="24"/>
      <c r="J382" s="24"/>
      <c r="K382" s="51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3.5" customHeight="1">
      <c r="A383" s="74"/>
      <c r="B383" s="74"/>
      <c r="C383" s="74"/>
      <c r="D383" s="12"/>
      <c r="E383" s="51"/>
      <c r="F383" s="24"/>
      <c r="G383" s="24"/>
      <c r="H383" s="24"/>
      <c r="I383" s="24"/>
      <c r="J383" s="24"/>
      <c r="K383" s="51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3.5" customHeight="1">
      <c r="A384" s="74"/>
      <c r="B384" s="74"/>
      <c r="C384" s="74"/>
      <c r="D384" s="12"/>
      <c r="E384" s="51"/>
      <c r="F384" s="24"/>
      <c r="G384" s="24"/>
      <c r="H384" s="24"/>
      <c r="I384" s="24"/>
      <c r="J384" s="24"/>
      <c r="K384" s="51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3.5" customHeight="1">
      <c r="A385" s="74"/>
      <c r="B385" s="74"/>
      <c r="C385" s="74"/>
      <c r="D385" s="12"/>
      <c r="E385" s="51"/>
      <c r="F385" s="24"/>
      <c r="G385" s="24"/>
      <c r="H385" s="24"/>
      <c r="I385" s="24"/>
      <c r="J385" s="24"/>
      <c r="K385" s="51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3.5" customHeight="1">
      <c r="A386" s="74"/>
      <c r="B386" s="74"/>
      <c r="C386" s="74"/>
      <c r="D386" s="12"/>
      <c r="E386" s="51"/>
      <c r="F386" s="24"/>
      <c r="G386" s="24"/>
      <c r="H386" s="24"/>
      <c r="I386" s="24"/>
      <c r="J386" s="24"/>
      <c r="K386" s="51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3.5" customHeight="1">
      <c r="A387" s="74"/>
      <c r="B387" s="74"/>
      <c r="C387" s="74"/>
      <c r="D387" s="12"/>
      <c r="E387" s="51"/>
      <c r="F387" s="24"/>
      <c r="G387" s="24"/>
      <c r="H387" s="24"/>
      <c r="I387" s="24"/>
      <c r="J387" s="24"/>
      <c r="K387" s="51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3.5" customHeight="1">
      <c r="A388" s="74"/>
      <c r="B388" s="74"/>
      <c r="C388" s="74"/>
      <c r="D388" s="12"/>
      <c r="E388" s="51"/>
      <c r="F388" s="24"/>
      <c r="G388" s="24"/>
      <c r="H388" s="24"/>
      <c r="I388" s="24"/>
      <c r="J388" s="24"/>
      <c r="K388" s="51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3.5" customHeight="1">
      <c r="A389" s="74"/>
      <c r="B389" s="74"/>
      <c r="C389" s="74"/>
      <c r="D389" s="12"/>
      <c r="E389" s="51"/>
      <c r="F389" s="24"/>
      <c r="G389" s="24"/>
      <c r="H389" s="24"/>
      <c r="I389" s="24"/>
      <c r="J389" s="24"/>
      <c r="K389" s="51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3.5" customHeight="1">
      <c r="A390" s="74"/>
      <c r="B390" s="74"/>
      <c r="C390" s="74"/>
      <c r="D390" s="12"/>
      <c r="E390" s="51"/>
      <c r="F390" s="24"/>
      <c r="G390" s="24"/>
      <c r="H390" s="24"/>
      <c r="I390" s="24"/>
      <c r="J390" s="24"/>
      <c r="K390" s="51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3.5" customHeight="1">
      <c r="A391" s="74"/>
      <c r="B391" s="74"/>
      <c r="C391" s="74"/>
      <c r="D391" s="12"/>
      <c r="E391" s="51"/>
      <c r="F391" s="24"/>
      <c r="G391" s="24"/>
      <c r="H391" s="24"/>
      <c r="I391" s="24"/>
      <c r="J391" s="24"/>
      <c r="K391" s="51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3.5" customHeight="1">
      <c r="A392" s="74"/>
      <c r="B392" s="74"/>
      <c r="C392" s="74"/>
      <c r="D392" s="12"/>
      <c r="E392" s="51"/>
      <c r="F392" s="24"/>
      <c r="G392" s="24"/>
      <c r="H392" s="24"/>
      <c r="I392" s="24"/>
      <c r="J392" s="24"/>
      <c r="K392" s="51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3.5" customHeight="1">
      <c r="A393" s="74"/>
      <c r="B393" s="74"/>
      <c r="C393" s="74"/>
      <c r="D393" s="12"/>
      <c r="E393" s="51"/>
      <c r="F393" s="24"/>
      <c r="G393" s="24"/>
      <c r="H393" s="24"/>
      <c r="I393" s="24"/>
      <c r="J393" s="24"/>
      <c r="K393" s="51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3.5" customHeight="1">
      <c r="A394" s="74"/>
      <c r="B394" s="74"/>
      <c r="C394" s="74"/>
      <c r="D394" s="12"/>
      <c r="E394" s="51"/>
      <c r="F394" s="24"/>
      <c r="G394" s="24"/>
      <c r="H394" s="24"/>
      <c r="I394" s="24"/>
      <c r="J394" s="24"/>
      <c r="K394" s="51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3.5" customHeight="1">
      <c r="A395" s="74"/>
      <c r="B395" s="74"/>
      <c r="C395" s="74"/>
      <c r="D395" s="12"/>
      <c r="E395" s="51"/>
      <c r="F395" s="24"/>
      <c r="G395" s="24"/>
      <c r="H395" s="24"/>
      <c r="I395" s="24"/>
      <c r="J395" s="24"/>
      <c r="K395" s="51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3.5" customHeight="1">
      <c r="A396" s="74"/>
      <c r="B396" s="74"/>
      <c r="C396" s="74"/>
      <c r="D396" s="12"/>
      <c r="E396" s="51"/>
      <c r="F396" s="24"/>
      <c r="G396" s="24"/>
      <c r="H396" s="24"/>
      <c r="I396" s="24"/>
      <c r="J396" s="24"/>
      <c r="K396" s="51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3.5" customHeight="1">
      <c r="A397" s="74"/>
      <c r="B397" s="74"/>
      <c r="C397" s="74"/>
      <c r="D397" s="12"/>
      <c r="E397" s="51"/>
      <c r="F397" s="24"/>
      <c r="G397" s="24"/>
      <c r="H397" s="24"/>
      <c r="I397" s="24"/>
      <c r="J397" s="24"/>
      <c r="K397" s="51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3.5" customHeight="1">
      <c r="A398" s="74"/>
      <c r="B398" s="74"/>
      <c r="C398" s="74"/>
      <c r="D398" s="12"/>
      <c r="E398" s="51"/>
      <c r="F398" s="24"/>
      <c r="G398" s="24"/>
      <c r="H398" s="24"/>
      <c r="I398" s="24"/>
      <c r="J398" s="24"/>
      <c r="K398" s="51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3.5" customHeight="1">
      <c r="A399" s="74"/>
      <c r="B399" s="74"/>
      <c r="C399" s="74"/>
      <c r="D399" s="12"/>
      <c r="E399" s="51"/>
      <c r="F399" s="24"/>
      <c r="G399" s="24"/>
      <c r="H399" s="24"/>
      <c r="I399" s="24"/>
      <c r="J399" s="24"/>
      <c r="K399" s="51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3.5" customHeight="1">
      <c r="A400" s="74"/>
      <c r="B400" s="74"/>
      <c r="C400" s="74"/>
      <c r="D400" s="12"/>
      <c r="E400" s="51"/>
      <c r="F400" s="24"/>
      <c r="G400" s="24"/>
      <c r="H400" s="24"/>
      <c r="I400" s="24"/>
      <c r="J400" s="24"/>
      <c r="K400" s="51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3.5" customHeight="1">
      <c r="A401" s="74"/>
      <c r="B401" s="74"/>
      <c r="C401" s="74"/>
      <c r="D401" s="12"/>
      <c r="E401" s="51"/>
      <c r="F401" s="24"/>
      <c r="G401" s="24"/>
      <c r="H401" s="24"/>
      <c r="I401" s="24"/>
      <c r="J401" s="24"/>
      <c r="K401" s="51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3.5" customHeight="1">
      <c r="A402" s="74"/>
      <c r="B402" s="74"/>
      <c r="C402" s="74"/>
      <c r="D402" s="12"/>
      <c r="E402" s="51"/>
      <c r="F402" s="24"/>
      <c r="G402" s="24"/>
      <c r="H402" s="24"/>
      <c r="I402" s="24"/>
      <c r="J402" s="24"/>
      <c r="K402" s="51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3.5" customHeight="1">
      <c r="A403" s="74"/>
      <c r="B403" s="74"/>
      <c r="C403" s="74"/>
      <c r="D403" s="12"/>
      <c r="E403" s="51"/>
      <c r="F403" s="24"/>
      <c r="G403" s="24"/>
      <c r="H403" s="24"/>
      <c r="I403" s="24"/>
      <c r="J403" s="24"/>
      <c r="K403" s="51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3.5" customHeight="1">
      <c r="A404" s="74"/>
      <c r="B404" s="74"/>
      <c r="C404" s="74"/>
      <c r="D404" s="12"/>
      <c r="E404" s="51"/>
      <c r="F404" s="24"/>
      <c r="G404" s="24"/>
      <c r="H404" s="24"/>
      <c r="I404" s="24"/>
      <c r="J404" s="24"/>
      <c r="K404" s="51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3.5" customHeight="1">
      <c r="A405" s="74"/>
      <c r="B405" s="74"/>
      <c r="C405" s="74"/>
      <c r="D405" s="12"/>
      <c r="E405" s="51"/>
      <c r="F405" s="24"/>
      <c r="G405" s="24"/>
      <c r="H405" s="24"/>
      <c r="I405" s="24"/>
      <c r="J405" s="24"/>
      <c r="K405" s="51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3.5" customHeight="1">
      <c r="A406" s="74"/>
      <c r="B406" s="74"/>
      <c r="C406" s="74"/>
      <c r="D406" s="12"/>
      <c r="E406" s="51"/>
      <c r="F406" s="24"/>
      <c r="G406" s="24"/>
      <c r="H406" s="24"/>
      <c r="I406" s="24"/>
      <c r="J406" s="24"/>
      <c r="K406" s="51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3.5" customHeight="1">
      <c r="A407" s="74"/>
      <c r="B407" s="74"/>
      <c r="C407" s="74"/>
      <c r="D407" s="12"/>
      <c r="E407" s="51"/>
      <c r="F407" s="24"/>
      <c r="G407" s="24"/>
      <c r="H407" s="24"/>
      <c r="I407" s="24"/>
      <c r="J407" s="24"/>
      <c r="K407" s="51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3.5" customHeight="1">
      <c r="A408" s="74"/>
      <c r="B408" s="74"/>
      <c r="C408" s="74"/>
      <c r="D408" s="12"/>
      <c r="E408" s="51"/>
      <c r="F408" s="24"/>
      <c r="G408" s="24"/>
      <c r="H408" s="24"/>
      <c r="I408" s="24"/>
      <c r="J408" s="24"/>
      <c r="K408" s="51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3.5" customHeight="1">
      <c r="A409" s="74"/>
      <c r="B409" s="74"/>
      <c r="C409" s="74"/>
      <c r="D409" s="12"/>
      <c r="E409" s="51"/>
      <c r="F409" s="24"/>
      <c r="G409" s="24"/>
      <c r="H409" s="24"/>
      <c r="I409" s="24"/>
      <c r="J409" s="24"/>
      <c r="K409" s="51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3.5" customHeight="1">
      <c r="A410" s="74"/>
      <c r="B410" s="74"/>
      <c r="C410" s="74"/>
      <c r="D410" s="12"/>
      <c r="E410" s="51"/>
      <c r="F410" s="24"/>
      <c r="G410" s="24"/>
      <c r="H410" s="24"/>
      <c r="I410" s="24"/>
      <c r="J410" s="24"/>
      <c r="K410" s="51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3.5" customHeight="1">
      <c r="A411" s="74"/>
      <c r="B411" s="74"/>
      <c r="C411" s="74"/>
      <c r="D411" s="12"/>
      <c r="E411" s="51"/>
      <c r="F411" s="24"/>
      <c r="G411" s="24"/>
      <c r="H411" s="24"/>
      <c r="I411" s="24"/>
      <c r="J411" s="24"/>
      <c r="K411" s="51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3.5" customHeight="1">
      <c r="A412" s="74"/>
      <c r="B412" s="74"/>
      <c r="C412" s="74"/>
      <c r="D412" s="12"/>
      <c r="E412" s="51"/>
      <c r="F412" s="24"/>
      <c r="G412" s="24"/>
      <c r="H412" s="24"/>
      <c r="I412" s="24"/>
      <c r="J412" s="24"/>
      <c r="K412" s="51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3.5" customHeight="1">
      <c r="A413" s="74"/>
      <c r="B413" s="74"/>
      <c r="C413" s="74"/>
      <c r="D413" s="12"/>
      <c r="E413" s="51"/>
      <c r="F413" s="24"/>
      <c r="G413" s="24"/>
      <c r="H413" s="24"/>
      <c r="I413" s="24"/>
      <c r="J413" s="24"/>
      <c r="K413" s="51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3.5" customHeight="1">
      <c r="A414" s="74"/>
      <c r="B414" s="74"/>
      <c r="C414" s="74"/>
      <c r="D414" s="12"/>
      <c r="E414" s="51"/>
      <c r="F414" s="24"/>
      <c r="G414" s="24"/>
      <c r="H414" s="24"/>
      <c r="I414" s="24"/>
      <c r="J414" s="24"/>
      <c r="K414" s="51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3.5" customHeight="1">
      <c r="A415" s="74"/>
      <c r="B415" s="74"/>
      <c r="C415" s="74"/>
      <c r="D415" s="12"/>
      <c r="E415" s="51"/>
      <c r="F415" s="24"/>
      <c r="G415" s="24"/>
      <c r="H415" s="24"/>
      <c r="I415" s="24"/>
      <c r="J415" s="24"/>
      <c r="K415" s="51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3.5" customHeight="1">
      <c r="A416" s="74"/>
      <c r="B416" s="74"/>
      <c r="C416" s="74"/>
      <c r="D416" s="12"/>
      <c r="E416" s="51"/>
      <c r="F416" s="24"/>
      <c r="G416" s="24"/>
      <c r="H416" s="24"/>
      <c r="I416" s="24"/>
      <c r="J416" s="24"/>
      <c r="K416" s="51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3.5" customHeight="1">
      <c r="A417" s="74"/>
      <c r="B417" s="74"/>
      <c r="C417" s="74"/>
      <c r="D417" s="12"/>
      <c r="E417" s="51"/>
      <c r="F417" s="24"/>
      <c r="G417" s="24"/>
      <c r="H417" s="24"/>
      <c r="I417" s="24"/>
      <c r="J417" s="24"/>
      <c r="K417" s="51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3.5" customHeight="1">
      <c r="A418" s="74"/>
      <c r="B418" s="74"/>
      <c r="C418" s="74"/>
      <c r="D418" s="12"/>
      <c r="E418" s="51"/>
      <c r="F418" s="24"/>
      <c r="G418" s="24"/>
      <c r="H418" s="24"/>
      <c r="I418" s="24"/>
      <c r="J418" s="24"/>
      <c r="K418" s="51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3.5" customHeight="1">
      <c r="A419" s="74"/>
      <c r="B419" s="74"/>
      <c r="C419" s="74"/>
      <c r="D419" s="12"/>
      <c r="E419" s="51"/>
      <c r="F419" s="24"/>
      <c r="G419" s="24"/>
      <c r="H419" s="24"/>
      <c r="I419" s="24"/>
      <c r="J419" s="24"/>
      <c r="K419" s="51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3.5" customHeight="1">
      <c r="A420" s="74"/>
      <c r="B420" s="74"/>
      <c r="C420" s="74"/>
      <c r="D420" s="12"/>
      <c r="E420" s="51"/>
      <c r="F420" s="24"/>
      <c r="G420" s="24"/>
      <c r="H420" s="24"/>
      <c r="I420" s="24"/>
      <c r="J420" s="24"/>
      <c r="K420" s="51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3.5" customHeight="1">
      <c r="A421" s="74"/>
      <c r="B421" s="74"/>
      <c r="C421" s="74"/>
      <c r="D421" s="12"/>
      <c r="E421" s="51"/>
      <c r="F421" s="24"/>
      <c r="G421" s="24"/>
      <c r="H421" s="24"/>
      <c r="I421" s="24"/>
      <c r="J421" s="24"/>
      <c r="K421" s="51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3.5" customHeight="1">
      <c r="A422" s="74"/>
      <c r="B422" s="74"/>
      <c r="C422" s="74"/>
      <c r="D422" s="12"/>
      <c r="E422" s="51"/>
      <c r="F422" s="24"/>
      <c r="G422" s="24"/>
      <c r="H422" s="24"/>
      <c r="I422" s="24"/>
      <c r="J422" s="24"/>
      <c r="K422" s="51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3.5" customHeight="1">
      <c r="A423" s="74"/>
      <c r="B423" s="74"/>
      <c r="C423" s="74"/>
      <c r="D423" s="12"/>
      <c r="E423" s="51"/>
      <c r="F423" s="24"/>
      <c r="G423" s="24"/>
      <c r="H423" s="24"/>
      <c r="I423" s="24"/>
      <c r="J423" s="24"/>
      <c r="K423" s="51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3.5" customHeight="1">
      <c r="A424" s="74"/>
      <c r="B424" s="74"/>
      <c r="C424" s="74"/>
      <c r="D424" s="12"/>
      <c r="E424" s="51"/>
      <c r="F424" s="24"/>
      <c r="G424" s="24"/>
      <c r="H424" s="24"/>
      <c r="I424" s="24"/>
      <c r="J424" s="24"/>
      <c r="K424" s="51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3.5" customHeight="1">
      <c r="A425" s="74"/>
      <c r="B425" s="74"/>
      <c r="C425" s="74"/>
      <c r="D425" s="12"/>
      <c r="E425" s="51"/>
      <c r="F425" s="24"/>
      <c r="G425" s="24"/>
      <c r="H425" s="24"/>
      <c r="I425" s="24"/>
      <c r="J425" s="24"/>
      <c r="K425" s="51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3.5" customHeight="1">
      <c r="A426" s="74"/>
      <c r="B426" s="74"/>
      <c r="C426" s="74"/>
      <c r="D426" s="12"/>
      <c r="E426" s="51"/>
      <c r="F426" s="24"/>
      <c r="G426" s="24"/>
      <c r="H426" s="24"/>
      <c r="I426" s="24"/>
      <c r="J426" s="24"/>
      <c r="K426" s="51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3.5" customHeight="1">
      <c r="A427" s="74"/>
      <c r="B427" s="74"/>
      <c r="C427" s="74"/>
      <c r="D427" s="12"/>
      <c r="E427" s="51"/>
      <c r="F427" s="24"/>
      <c r="G427" s="24"/>
      <c r="H427" s="24"/>
      <c r="I427" s="24"/>
      <c r="J427" s="24"/>
      <c r="K427" s="51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3.5" customHeight="1">
      <c r="A428" s="74"/>
      <c r="B428" s="74"/>
      <c r="C428" s="74"/>
      <c r="D428" s="12"/>
      <c r="E428" s="51"/>
      <c r="F428" s="24"/>
      <c r="G428" s="24"/>
      <c r="H428" s="24"/>
      <c r="I428" s="24"/>
      <c r="J428" s="24"/>
      <c r="K428" s="51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3.5" customHeight="1">
      <c r="A429" s="74"/>
      <c r="B429" s="74"/>
      <c r="C429" s="74"/>
      <c r="D429" s="12"/>
      <c r="E429" s="51"/>
      <c r="F429" s="24"/>
      <c r="G429" s="24"/>
      <c r="H429" s="24"/>
      <c r="I429" s="24"/>
      <c r="J429" s="24"/>
      <c r="K429" s="51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3.5" customHeight="1">
      <c r="A430" s="74"/>
      <c r="B430" s="74"/>
      <c r="C430" s="74"/>
      <c r="D430" s="12"/>
      <c r="E430" s="51"/>
      <c r="F430" s="24"/>
      <c r="G430" s="24"/>
      <c r="H430" s="24"/>
      <c r="I430" s="24"/>
      <c r="J430" s="24"/>
      <c r="K430" s="51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3.5" customHeight="1">
      <c r="A431" s="74"/>
      <c r="B431" s="74"/>
      <c r="C431" s="74"/>
      <c r="D431" s="12"/>
      <c r="E431" s="51"/>
      <c r="F431" s="24"/>
      <c r="G431" s="24"/>
      <c r="H431" s="24"/>
      <c r="I431" s="24"/>
      <c r="J431" s="24"/>
      <c r="K431" s="51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3.5" customHeight="1">
      <c r="A432" s="74"/>
      <c r="B432" s="74"/>
      <c r="C432" s="74"/>
      <c r="D432" s="12"/>
      <c r="E432" s="51"/>
      <c r="F432" s="24"/>
      <c r="G432" s="24"/>
      <c r="H432" s="24"/>
      <c r="I432" s="24"/>
      <c r="J432" s="24"/>
      <c r="K432" s="51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3.5" customHeight="1">
      <c r="A433" s="74"/>
      <c r="B433" s="74"/>
      <c r="C433" s="74"/>
      <c r="D433" s="12"/>
      <c r="E433" s="51"/>
      <c r="F433" s="24"/>
      <c r="G433" s="24"/>
      <c r="H433" s="24"/>
      <c r="I433" s="24"/>
      <c r="J433" s="24"/>
      <c r="K433" s="51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3.5" customHeight="1">
      <c r="A434" s="74"/>
      <c r="B434" s="74"/>
      <c r="C434" s="74"/>
      <c r="D434" s="12"/>
      <c r="E434" s="51"/>
      <c r="F434" s="24"/>
      <c r="G434" s="24"/>
      <c r="H434" s="24"/>
      <c r="I434" s="24"/>
      <c r="J434" s="24"/>
      <c r="K434" s="51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3.5" customHeight="1">
      <c r="A435" s="74"/>
      <c r="B435" s="74"/>
      <c r="C435" s="74"/>
      <c r="D435" s="12"/>
      <c r="E435" s="51"/>
      <c r="F435" s="24"/>
      <c r="G435" s="24"/>
      <c r="H435" s="24"/>
      <c r="I435" s="24"/>
      <c r="J435" s="24"/>
      <c r="K435" s="51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3.5" customHeight="1">
      <c r="A436" s="74"/>
      <c r="B436" s="74"/>
      <c r="C436" s="74"/>
      <c r="D436" s="12"/>
      <c r="E436" s="51"/>
      <c r="F436" s="24"/>
      <c r="G436" s="24"/>
      <c r="H436" s="24"/>
      <c r="I436" s="24"/>
      <c r="J436" s="24"/>
      <c r="K436" s="51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3.5" customHeight="1">
      <c r="A437" s="74"/>
      <c r="B437" s="74"/>
      <c r="C437" s="74"/>
      <c r="D437" s="12"/>
      <c r="E437" s="51"/>
      <c r="F437" s="24"/>
      <c r="G437" s="24"/>
      <c r="H437" s="24"/>
      <c r="I437" s="24"/>
      <c r="J437" s="24"/>
      <c r="K437" s="51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3.5" customHeight="1">
      <c r="A438" s="74"/>
      <c r="B438" s="74"/>
      <c r="C438" s="74"/>
      <c r="D438" s="12"/>
      <c r="E438" s="51"/>
      <c r="F438" s="24"/>
      <c r="G438" s="24"/>
      <c r="H438" s="24"/>
      <c r="I438" s="24"/>
      <c r="J438" s="24"/>
      <c r="K438" s="51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3.5" customHeight="1">
      <c r="A439" s="74"/>
      <c r="B439" s="74"/>
      <c r="C439" s="74"/>
      <c r="D439" s="12"/>
      <c r="E439" s="51"/>
      <c r="F439" s="24"/>
      <c r="G439" s="24"/>
      <c r="H439" s="24"/>
      <c r="I439" s="24"/>
      <c r="J439" s="24"/>
      <c r="K439" s="51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3.5" customHeight="1">
      <c r="A440" s="74"/>
      <c r="B440" s="74"/>
      <c r="C440" s="74"/>
      <c r="D440" s="12"/>
      <c r="E440" s="51"/>
      <c r="F440" s="24"/>
      <c r="G440" s="24"/>
      <c r="H440" s="24"/>
      <c r="I440" s="24"/>
      <c r="J440" s="24"/>
      <c r="K440" s="51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3.5" customHeight="1">
      <c r="A441" s="74"/>
      <c r="B441" s="74"/>
      <c r="C441" s="74"/>
      <c r="D441" s="12"/>
      <c r="E441" s="51"/>
      <c r="F441" s="24"/>
      <c r="G441" s="24"/>
      <c r="H441" s="24"/>
      <c r="I441" s="24"/>
      <c r="J441" s="24"/>
      <c r="K441" s="51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3.5" customHeight="1">
      <c r="A442" s="74"/>
      <c r="B442" s="74"/>
      <c r="C442" s="74"/>
      <c r="D442" s="12"/>
      <c r="E442" s="51"/>
      <c r="F442" s="24"/>
      <c r="G442" s="24"/>
      <c r="H442" s="24"/>
      <c r="I442" s="24"/>
      <c r="J442" s="24"/>
      <c r="K442" s="51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3.5" customHeight="1">
      <c r="A443" s="74"/>
      <c r="B443" s="74"/>
      <c r="C443" s="74"/>
      <c r="D443" s="12"/>
      <c r="E443" s="51"/>
      <c r="F443" s="24"/>
      <c r="G443" s="24"/>
      <c r="H443" s="24"/>
      <c r="I443" s="24"/>
      <c r="J443" s="24"/>
      <c r="K443" s="51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3.5" customHeight="1">
      <c r="A444" s="74"/>
      <c r="B444" s="74"/>
      <c r="C444" s="74"/>
      <c r="D444" s="12"/>
      <c r="E444" s="51"/>
      <c r="F444" s="24"/>
      <c r="G444" s="24"/>
      <c r="H444" s="24"/>
      <c r="I444" s="24"/>
      <c r="J444" s="24"/>
      <c r="K444" s="51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3.5" customHeight="1">
      <c r="A445" s="74"/>
      <c r="B445" s="74"/>
      <c r="C445" s="74"/>
      <c r="D445" s="12"/>
      <c r="E445" s="51"/>
      <c r="F445" s="24"/>
      <c r="G445" s="24"/>
      <c r="H445" s="24"/>
      <c r="I445" s="24"/>
      <c r="J445" s="24"/>
      <c r="K445" s="51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3.5" customHeight="1">
      <c r="A446" s="74"/>
      <c r="B446" s="74"/>
      <c r="C446" s="74"/>
      <c r="D446" s="12"/>
      <c r="E446" s="51"/>
      <c r="F446" s="24"/>
      <c r="G446" s="24"/>
      <c r="H446" s="24"/>
      <c r="I446" s="24"/>
      <c r="J446" s="24"/>
      <c r="K446" s="51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3.5" customHeight="1">
      <c r="A447" s="74"/>
      <c r="B447" s="74"/>
      <c r="C447" s="74"/>
      <c r="D447" s="12"/>
      <c r="E447" s="51"/>
      <c r="F447" s="24"/>
      <c r="G447" s="24"/>
      <c r="H447" s="24"/>
      <c r="I447" s="24"/>
      <c r="J447" s="24"/>
      <c r="K447" s="51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3.5" customHeight="1">
      <c r="A448" s="74"/>
      <c r="B448" s="74"/>
      <c r="C448" s="74"/>
      <c r="D448" s="12"/>
      <c r="E448" s="51"/>
      <c r="F448" s="24"/>
      <c r="G448" s="24"/>
      <c r="H448" s="24"/>
      <c r="I448" s="24"/>
      <c r="J448" s="24"/>
      <c r="K448" s="51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3.5" customHeight="1">
      <c r="A449" s="74"/>
      <c r="B449" s="74"/>
      <c r="C449" s="74"/>
      <c r="D449" s="12"/>
      <c r="E449" s="51"/>
      <c r="F449" s="24"/>
      <c r="G449" s="24"/>
      <c r="H449" s="24"/>
      <c r="I449" s="24"/>
      <c r="J449" s="24"/>
      <c r="K449" s="51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3.5" customHeight="1">
      <c r="A450" s="74"/>
      <c r="B450" s="74"/>
      <c r="C450" s="74"/>
      <c r="D450" s="12"/>
      <c r="E450" s="51"/>
      <c r="F450" s="24"/>
      <c r="G450" s="24"/>
      <c r="H450" s="24"/>
      <c r="I450" s="24"/>
      <c r="J450" s="24"/>
      <c r="K450" s="51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3.5" customHeight="1">
      <c r="A451" s="74"/>
      <c r="B451" s="74"/>
      <c r="C451" s="74"/>
      <c r="D451" s="12"/>
      <c r="E451" s="51"/>
      <c r="F451" s="24"/>
      <c r="G451" s="24"/>
      <c r="H451" s="24"/>
      <c r="I451" s="24"/>
      <c r="J451" s="24"/>
      <c r="K451" s="51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3.5" customHeight="1">
      <c r="A452" s="74"/>
      <c r="B452" s="74"/>
      <c r="C452" s="74"/>
      <c r="D452" s="12"/>
      <c r="E452" s="51"/>
      <c r="F452" s="24"/>
      <c r="G452" s="24"/>
      <c r="H452" s="24"/>
      <c r="I452" s="24"/>
      <c r="J452" s="24"/>
      <c r="K452" s="51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3.5" customHeight="1">
      <c r="A453" s="74"/>
      <c r="B453" s="74"/>
      <c r="C453" s="74"/>
      <c r="D453" s="12"/>
      <c r="E453" s="51"/>
      <c r="F453" s="24"/>
      <c r="G453" s="24"/>
      <c r="H453" s="24"/>
      <c r="I453" s="24"/>
      <c r="J453" s="24"/>
      <c r="K453" s="51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3.5" customHeight="1">
      <c r="A454" s="74"/>
      <c r="B454" s="74"/>
      <c r="C454" s="74"/>
      <c r="D454" s="12"/>
      <c r="E454" s="51"/>
      <c r="F454" s="24"/>
      <c r="G454" s="24"/>
      <c r="H454" s="24"/>
      <c r="I454" s="24"/>
      <c r="J454" s="24"/>
      <c r="K454" s="51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3.5" customHeight="1">
      <c r="A455" s="74"/>
      <c r="B455" s="74"/>
      <c r="C455" s="74"/>
      <c r="D455" s="12"/>
      <c r="E455" s="51"/>
      <c r="F455" s="24"/>
      <c r="G455" s="24"/>
      <c r="H455" s="24"/>
      <c r="I455" s="24"/>
      <c r="J455" s="24"/>
      <c r="K455" s="51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3.5" customHeight="1">
      <c r="A456" s="74"/>
      <c r="B456" s="74"/>
      <c r="C456" s="74"/>
      <c r="D456" s="12"/>
      <c r="E456" s="51"/>
      <c r="F456" s="24"/>
      <c r="G456" s="24"/>
      <c r="H456" s="24"/>
      <c r="I456" s="24"/>
      <c r="J456" s="24"/>
      <c r="K456" s="51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3.5" customHeight="1">
      <c r="A457" s="74"/>
      <c r="B457" s="74"/>
      <c r="C457" s="74"/>
      <c r="D457" s="12"/>
      <c r="E457" s="51"/>
      <c r="F457" s="24"/>
      <c r="G457" s="24"/>
      <c r="H457" s="24"/>
      <c r="I457" s="24"/>
      <c r="J457" s="24"/>
      <c r="K457" s="51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3.5" customHeight="1">
      <c r="A458" s="74"/>
      <c r="B458" s="74"/>
      <c r="C458" s="74"/>
      <c r="D458" s="12"/>
      <c r="E458" s="51"/>
      <c r="F458" s="24"/>
      <c r="G458" s="24"/>
      <c r="H458" s="24"/>
      <c r="I458" s="24"/>
      <c r="J458" s="24"/>
      <c r="K458" s="51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3.5" customHeight="1">
      <c r="A459" s="74"/>
      <c r="B459" s="74"/>
      <c r="C459" s="74"/>
      <c r="D459" s="12"/>
      <c r="E459" s="51"/>
      <c r="F459" s="24"/>
      <c r="G459" s="24"/>
      <c r="H459" s="24"/>
      <c r="I459" s="24"/>
      <c r="J459" s="24"/>
      <c r="K459" s="51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3.5" customHeight="1">
      <c r="A460" s="74"/>
      <c r="B460" s="74"/>
      <c r="C460" s="74"/>
      <c r="D460" s="12"/>
      <c r="E460" s="51"/>
      <c r="F460" s="24"/>
      <c r="G460" s="24"/>
      <c r="H460" s="24"/>
      <c r="I460" s="24"/>
      <c r="J460" s="24"/>
      <c r="K460" s="51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3.5" customHeight="1">
      <c r="A461" s="74"/>
      <c r="B461" s="74"/>
      <c r="C461" s="74"/>
      <c r="D461" s="12"/>
      <c r="E461" s="51"/>
      <c r="F461" s="24"/>
      <c r="G461" s="24"/>
      <c r="H461" s="24"/>
      <c r="I461" s="24"/>
      <c r="J461" s="24"/>
      <c r="K461" s="51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3.5" customHeight="1">
      <c r="A462" s="74"/>
      <c r="B462" s="74"/>
      <c r="C462" s="74"/>
      <c r="D462" s="12"/>
      <c r="E462" s="51"/>
      <c r="F462" s="24"/>
      <c r="G462" s="24"/>
      <c r="H462" s="24"/>
      <c r="I462" s="24"/>
      <c r="J462" s="24"/>
      <c r="K462" s="51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3.5" customHeight="1">
      <c r="A463" s="74"/>
      <c r="B463" s="74"/>
      <c r="C463" s="74"/>
      <c r="D463" s="12"/>
      <c r="E463" s="51"/>
      <c r="F463" s="24"/>
      <c r="G463" s="24"/>
      <c r="H463" s="24"/>
      <c r="I463" s="24"/>
      <c r="J463" s="24"/>
      <c r="K463" s="51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3.5" customHeight="1">
      <c r="A464" s="74"/>
      <c r="B464" s="74"/>
      <c r="C464" s="74"/>
      <c r="D464" s="12"/>
      <c r="E464" s="51"/>
      <c r="F464" s="24"/>
      <c r="G464" s="24"/>
      <c r="H464" s="24"/>
      <c r="I464" s="24"/>
      <c r="J464" s="24"/>
      <c r="K464" s="51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3.5" customHeight="1">
      <c r="A465" s="74"/>
      <c r="B465" s="74"/>
      <c r="C465" s="74"/>
      <c r="D465" s="12"/>
      <c r="E465" s="51"/>
      <c r="F465" s="24"/>
      <c r="G465" s="24"/>
      <c r="H465" s="24"/>
      <c r="I465" s="24"/>
      <c r="J465" s="24"/>
      <c r="K465" s="51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3.5" customHeight="1">
      <c r="A466" s="74"/>
      <c r="B466" s="74"/>
      <c r="C466" s="74"/>
      <c r="D466" s="12"/>
      <c r="E466" s="51"/>
      <c r="F466" s="24"/>
      <c r="G466" s="24"/>
      <c r="H466" s="24"/>
      <c r="I466" s="24"/>
      <c r="J466" s="24"/>
      <c r="K466" s="51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3.5" customHeight="1">
      <c r="A467" s="74"/>
      <c r="B467" s="74"/>
      <c r="C467" s="74"/>
      <c r="D467" s="12"/>
      <c r="E467" s="51"/>
      <c r="F467" s="24"/>
      <c r="G467" s="24"/>
      <c r="H467" s="24"/>
      <c r="I467" s="24"/>
      <c r="J467" s="24"/>
      <c r="K467" s="51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3.5" customHeight="1">
      <c r="A468" s="74"/>
      <c r="B468" s="74"/>
      <c r="C468" s="74"/>
      <c r="D468" s="12"/>
      <c r="E468" s="51"/>
      <c r="F468" s="24"/>
      <c r="G468" s="24"/>
      <c r="H468" s="24"/>
      <c r="I468" s="24"/>
      <c r="J468" s="24"/>
      <c r="K468" s="51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3.5" customHeight="1">
      <c r="A469" s="74"/>
      <c r="B469" s="74"/>
      <c r="C469" s="74"/>
      <c r="D469" s="12"/>
      <c r="E469" s="51"/>
      <c r="F469" s="24"/>
      <c r="G469" s="24"/>
      <c r="H469" s="24"/>
      <c r="I469" s="24"/>
      <c r="J469" s="24"/>
      <c r="K469" s="51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3.5" customHeight="1">
      <c r="A470" s="74"/>
      <c r="B470" s="74"/>
      <c r="C470" s="74"/>
      <c r="D470" s="12"/>
      <c r="E470" s="51"/>
      <c r="F470" s="24"/>
      <c r="G470" s="24"/>
      <c r="H470" s="24"/>
      <c r="I470" s="24"/>
      <c r="J470" s="24"/>
      <c r="K470" s="51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3.5" customHeight="1">
      <c r="A471" s="74"/>
      <c r="B471" s="74"/>
      <c r="C471" s="74"/>
      <c r="D471" s="12"/>
      <c r="E471" s="51"/>
      <c r="F471" s="24"/>
      <c r="G471" s="24"/>
      <c r="H471" s="24"/>
      <c r="I471" s="24"/>
      <c r="J471" s="24"/>
      <c r="K471" s="51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3.5" customHeight="1">
      <c r="A472" s="74"/>
      <c r="B472" s="74"/>
      <c r="C472" s="74"/>
      <c r="D472" s="12"/>
      <c r="E472" s="51"/>
      <c r="F472" s="24"/>
      <c r="G472" s="24"/>
      <c r="H472" s="24"/>
      <c r="I472" s="24"/>
      <c r="J472" s="24"/>
      <c r="K472" s="51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3.5" customHeight="1">
      <c r="A473" s="74"/>
      <c r="B473" s="74"/>
      <c r="C473" s="74"/>
      <c r="D473" s="12"/>
      <c r="E473" s="51"/>
      <c r="F473" s="24"/>
      <c r="G473" s="24"/>
      <c r="H473" s="24"/>
      <c r="I473" s="24"/>
      <c r="J473" s="24"/>
      <c r="K473" s="51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3.5" customHeight="1">
      <c r="A474" s="74"/>
      <c r="B474" s="74"/>
      <c r="C474" s="74"/>
      <c r="D474" s="12"/>
      <c r="E474" s="51"/>
      <c r="F474" s="24"/>
      <c r="G474" s="24"/>
      <c r="H474" s="24"/>
      <c r="I474" s="24"/>
      <c r="J474" s="24"/>
      <c r="K474" s="51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3.5" customHeight="1">
      <c r="A475" s="74"/>
      <c r="B475" s="74"/>
      <c r="C475" s="74"/>
      <c r="D475" s="12"/>
      <c r="E475" s="51"/>
      <c r="F475" s="24"/>
      <c r="G475" s="24"/>
      <c r="H475" s="24"/>
      <c r="I475" s="24"/>
      <c r="J475" s="24"/>
      <c r="K475" s="51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3.5" customHeight="1">
      <c r="A476" s="74"/>
      <c r="B476" s="74"/>
      <c r="C476" s="74"/>
      <c r="D476" s="12"/>
      <c r="E476" s="51"/>
      <c r="F476" s="24"/>
      <c r="G476" s="24"/>
      <c r="H476" s="24"/>
      <c r="I476" s="24"/>
      <c r="J476" s="24"/>
      <c r="K476" s="51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3.5" customHeight="1">
      <c r="A477" s="74"/>
      <c r="B477" s="74"/>
      <c r="C477" s="74"/>
      <c r="D477" s="12"/>
      <c r="E477" s="51"/>
      <c r="F477" s="24"/>
      <c r="G477" s="24"/>
      <c r="H477" s="24"/>
      <c r="I477" s="24"/>
      <c r="J477" s="24"/>
      <c r="K477" s="51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3.5" customHeight="1">
      <c r="A478" s="74"/>
      <c r="B478" s="74"/>
      <c r="C478" s="74"/>
      <c r="D478" s="12"/>
      <c r="E478" s="51"/>
      <c r="F478" s="24"/>
      <c r="G478" s="24"/>
      <c r="H478" s="24"/>
      <c r="I478" s="24"/>
      <c r="J478" s="24"/>
      <c r="K478" s="51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3.5" customHeight="1">
      <c r="A479" s="74"/>
      <c r="B479" s="74"/>
      <c r="C479" s="74"/>
      <c r="D479" s="12"/>
      <c r="E479" s="51"/>
      <c r="F479" s="24"/>
      <c r="G479" s="24"/>
      <c r="H479" s="24"/>
      <c r="I479" s="24"/>
      <c r="J479" s="24"/>
      <c r="K479" s="51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3.5" customHeight="1">
      <c r="A480" s="74"/>
      <c r="B480" s="74"/>
      <c r="C480" s="74"/>
      <c r="D480" s="12"/>
      <c r="E480" s="51"/>
      <c r="F480" s="24"/>
      <c r="G480" s="24"/>
      <c r="H480" s="24"/>
      <c r="I480" s="24"/>
      <c r="J480" s="24"/>
      <c r="K480" s="51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3.5" customHeight="1">
      <c r="A481" s="74"/>
      <c r="B481" s="74"/>
      <c r="C481" s="74"/>
      <c r="D481" s="12"/>
      <c r="E481" s="51"/>
      <c r="F481" s="24"/>
      <c r="G481" s="24"/>
      <c r="H481" s="24"/>
      <c r="I481" s="24"/>
      <c r="J481" s="24"/>
      <c r="K481" s="51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3.5" customHeight="1">
      <c r="A482" s="74"/>
      <c r="B482" s="74"/>
      <c r="C482" s="74"/>
      <c r="D482" s="12"/>
      <c r="E482" s="51"/>
      <c r="F482" s="24"/>
      <c r="G482" s="24"/>
      <c r="H482" s="24"/>
      <c r="I482" s="24"/>
      <c r="J482" s="24"/>
      <c r="K482" s="51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3.5" customHeight="1">
      <c r="A483" s="74"/>
      <c r="B483" s="74"/>
      <c r="C483" s="74"/>
      <c r="D483" s="12"/>
      <c r="E483" s="51"/>
      <c r="F483" s="24"/>
      <c r="G483" s="24"/>
      <c r="H483" s="24"/>
      <c r="I483" s="24"/>
      <c r="J483" s="24"/>
      <c r="K483" s="51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3.5" customHeight="1">
      <c r="A484" s="74"/>
      <c r="B484" s="74"/>
      <c r="C484" s="74"/>
      <c r="D484" s="12"/>
      <c r="E484" s="51"/>
      <c r="F484" s="24"/>
      <c r="G484" s="24"/>
      <c r="H484" s="24"/>
      <c r="I484" s="24"/>
      <c r="J484" s="24"/>
      <c r="K484" s="51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3.5" customHeight="1">
      <c r="A485" s="74"/>
      <c r="B485" s="74"/>
      <c r="C485" s="74"/>
      <c r="D485" s="12"/>
      <c r="E485" s="51"/>
      <c r="F485" s="24"/>
      <c r="G485" s="24"/>
      <c r="H485" s="24"/>
      <c r="I485" s="24"/>
      <c r="J485" s="24"/>
      <c r="K485" s="51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3.5" customHeight="1">
      <c r="A486" s="74"/>
      <c r="B486" s="74"/>
      <c r="C486" s="74"/>
      <c r="D486" s="12"/>
      <c r="E486" s="51"/>
      <c r="F486" s="24"/>
      <c r="G486" s="24"/>
      <c r="H486" s="24"/>
      <c r="I486" s="24"/>
      <c r="J486" s="24"/>
      <c r="K486" s="51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3.5" customHeight="1">
      <c r="A487" s="74"/>
      <c r="B487" s="74"/>
      <c r="C487" s="74"/>
      <c r="D487" s="12"/>
      <c r="E487" s="51"/>
      <c r="F487" s="24"/>
      <c r="G487" s="24"/>
      <c r="H487" s="24"/>
      <c r="I487" s="24"/>
      <c r="J487" s="24"/>
      <c r="K487" s="51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3.5" customHeight="1">
      <c r="A488" s="74"/>
      <c r="B488" s="74"/>
      <c r="C488" s="74"/>
      <c r="D488" s="12"/>
      <c r="E488" s="51"/>
      <c r="F488" s="24"/>
      <c r="G488" s="24"/>
      <c r="H488" s="24"/>
      <c r="I488" s="24"/>
      <c r="J488" s="24"/>
      <c r="K488" s="51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3.5" customHeight="1">
      <c r="A489" s="74"/>
      <c r="B489" s="74"/>
      <c r="C489" s="74"/>
      <c r="D489" s="12"/>
      <c r="E489" s="51"/>
      <c r="F489" s="24"/>
      <c r="G489" s="24"/>
      <c r="H489" s="24"/>
      <c r="I489" s="24"/>
      <c r="J489" s="24"/>
      <c r="K489" s="51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3.5" customHeight="1">
      <c r="A490" s="74"/>
      <c r="B490" s="74"/>
      <c r="C490" s="74"/>
      <c r="D490" s="12"/>
      <c r="E490" s="51"/>
      <c r="F490" s="24"/>
      <c r="G490" s="24"/>
      <c r="H490" s="24"/>
      <c r="I490" s="24"/>
      <c r="J490" s="24"/>
      <c r="K490" s="51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3.5" customHeight="1">
      <c r="A491" s="74"/>
      <c r="B491" s="74"/>
      <c r="C491" s="74"/>
      <c r="D491" s="12"/>
      <c r="E491" s="51"/>
      <c r="F491" s="24"/>
      <c r="G491" s="24"/>
      <c r="H491" s="24"/>
      <c r="I491" s="24"/>
      <c r="J491" s="24"/>
      <c r="K491" s="51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3.5" customHeight="1">
      <c r="A492" s="74"/>
      <c r="B492" s="74"/>
      <c r="C492" s="74"/>
      <c r="D492" s="12"/>
      <c r="E492" s="51"/>
      <c r="F492" s="24"/>
      <c r="G492" s="24"/>
      <c r="H492" s="24"/>
      <c r="I492" s="24"/>
      <c r="J492" s="24"/>
      <c r="K492" s="51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3.5" customHeight="1">
      <c r="A493" s="74"/>
      <c r="B493" s="74"/>
      <c r="C493" s="74"/>
      <c r="D493" s="12"/>
      <c r="E493" s="51"/>
      <c r="F493" s="24"/>
      <c r="G493" s="24"/>
      <c r="H493" s="24"/>
      <c r="I493" s="24"/>
      <c r="J493" s="24"/>
      <c r="K493" s="51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3.5" customHeight="1">
      <c r="A494" s="74"/>
      <c r="B494" s="74"/>
      <c r="C494" s="74"/>
      <c r="D494" s="12"/>
      <c r="E494" s="51"/>
      <c r="F494" s="24"/>
      <c r="G494" s="24"/>
      <c r="H494" s="24"/>
      <c r="I494" s="24"/>
      <c r="J494" s="24"/>
      <c r="K494" s="51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3.5" customHeight="1">
      <c r="A495" s="74"/>
      <c r="B495" s="74"/>
      <c r="C495" s="74"/>
      <c r="D495" s="12"/>
      <c r="E495" s="51"/>
      <c r="F495" s="24"/>
      <c r="G495" s="24"/>
      <c r="H495" s="24"/>
      <c r="I495" s="24"/>
      <c r="J495" s="24"/>
      <c r="K495" s="51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3.5" customHeight="1">
      <c r="A496" s="74"/>
      <c r="B496" s="74"/>
      <c r="C496" s="74"/>
      <c r="D496" s="12"/>
      <c r="E496" s="51"/>
      <c r="F496" s="24"/>
      <c r="G496" s="24"/>
      <c r="H496" s="24"/>
      <c r="I496" s="24"/>
      <c r="J496" s="24"/>
      <c r="K496" s="51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3.5" customHeight="1">
      <c r="A497" s="74"/>
      <c r="B497" s="74"/>
      <c r="C497" s="74"/>
      <c r="D497" s="12"/>
      <c r="E497" s="51"/>
      <c r="F497" s="24"/>
      <c r="G497" s="24"/>
      <c r="H497" s="24"/>
      <c r="I497" s="24"/>
      <c r="J497" s="24"/>
      <c r="K497" s="51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3.5" customHeight="1">
      <c r="A498" s="74"/>
      <c r="B498" s="74"/>
      <c r="C498" s="74"/>
      <c r="D498" s="12"/>
      <c r="E498" s="51"/>
      <c r="F498" s="24"/>
      <c r="G498" s="24"/>
      <c r="H498" s="24"/>
      <c r="I498" s="24"/>
      <c r="J498" s="24"/>
      <c r="K498" s="51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3.5" customHeight="1">
      <c r="A499" s="74"/>
      <c r="B499" s="74"/>
      <c r="C499" s="74"/>
      <c r="D499" s="12"/>
      <c r="E499" s="51"/>
      <c r="F499" s="24"/>
      <c r="G499" s="24"/>
      <c r="H499" s="24"/>
      <c r="I499" s="24"/>
      <c r="J499" s="24"/>
      <c r="K499" s="51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3.5" customHeight="1">
      <c r="A500" s="74"/>
      <c r="B500" s="74"/>
      <c r="C500" s="74"/>
      <c r="D500" s="12"/>
      <c r="E500" s="51"/>
      <c r="F500" s="24"/>
      <c r="G500" s="24"/>
      <c r="H500" s="24"/>
      <c r="I500" s="24"/>
      <c r="J500" s="24"/>
      <c r="K500" s="51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3.5" customHeight="1">
      <c r="A501" s="74"/>
      <c r="B501" s="74"/>
      <c r="C501" s="74"/>
      <c r="D501" s="12"/>
      <c r="E501" s="51"/>
      <c r="F501" s="24"/>
      <c r="G501" s="24"/>
      <c r="H501" s="24"/>
      <c r="I501" s="24"/>
      <c r="J501" s="24"/>
      <c r="K501" s="51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3.5" customHeight="1">
      <c r="A502" s="74"/>
      <c r="B502" s="74"/>
      <c r="C502" s="74"/>
      <c r="D502" s="12"/>
      <c r="E502" s="51"/>
      <c r="F502" s="24"/>
      <c r="G502" s="24"/>
      <c r="H502" s="24"/>
      <c r="I502" s="24"/>
      <c r="J502" s="24"/>
      <c r="K502" s="51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3.5" customHeight="1">
      <c r="A503" s="74"/>
      <c r="B503" s="74"/>
      <c r="C503" s="74"/>
      <c r="D503" s="12"/>
      <c r="E503" s="51"/>
      <c r="F503" s="24"/>
      <c r="G503" s="24"/>
      <c r="H503" s="24"/>
      <c r="I503" s="24"/>
      <c r="J503" s="24"/>
      <c r="K503" s="51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3.5" customHeight="1">
      <c r="A504" s="74"/>
      <c r="B504" s="74"/>
      <c r="C504" s="74"/>
      <c r="D504" s="12"/>
      <c r="E504" s="51"/>
      <c r="F504" s="24"/>
      <c r="G504" s="24"/>
      <c r="H504" s="24"/>
      <c r="I504" s="24"/>
      <c r="J504" s="24"/>
      <c r="K504" s="51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3.5" customHeight="1">
      <c r="A505" s="74"/>
      <c r="B505" s="74"/>
      <c r="C505" s="74"/>
      <c r="D505" s="12"/>
      <c r="E505" s="51"/>
      <c r="F505" s="24"/>
      <c r="G505" s="24"/>
      <c r="H505" s="24"/>
      <c r="I505" s="24"/>
      <c r="J505" s="24"/>
      <c r="K505" s="51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3.5" customHeight="1">
      <c r="A506" s="74"/>
      <c r="B506" s="74"/>
      <c r="C506" s="74"/>
      <c r="D506" s="12"/>
      <c r="E506" s="51"/>
      <c r="F506" s="24"/>
      <c r="G506" s="24"/>
      <c r="H506" s="24"/>
      <c r="I506" s="24"/>
      <c r="J506" s="24"/>
      <c r="K506" s="51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3.5" customHeight="1">
      <c r="A507" s="74"/>
      <c r="B507" s="74"/>
      <c r="C507" s="74"/>
      <c r="D507" s="12"/>
      <c r="E507" s="51"/>
      <c r="F507" s="24"/>
      <c r="G507" s="24"/>
      <c r="H507" s="24"/>
      <c r="I507" s="24"/>
      <c r="J507" s="24"/>
      <c r="K507" s="51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3.5" customHeight="1">
      <c r="A508" s="74"/>
      <c r="B508" s="74"/>
      <c r="C508" s="74"/>
      <c r="D508" s="12"/>
      <c r="E508" s="51"/>
      <c r="F508" s="24"/>
      <c r="G508" s="24"/>
      <c r="H508" s="24"/>
      <c r="I508" s="24"/>
      <c r="J508" s="24"/>
      <c r="K508" s="51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3.5" customHeight="1">
      <c r="A509" s="74"/>
      <c r="B509" s="74"/>
      <c r="C509" s="74"/>
      <c r="D509" s="12"/>
      <c r="E509" s="51"/>
      <c r="F509" s="24"/>
      <c r="G509" s="24"/>
      <c r="H509" s="24"/>
      <c r="I509" s="24"/>
      <c r="J509" s="24"/>
      <c r="K509" s="51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3.5" customHeight="1">
      <c r="A510" s="74"/>
      <c r="B510" s="74"/>
      <c r="C510" s="74"/>
      <c r="D510" s="12"/>
      <c r="E510" s="51"/>
      <c r="F510" s="24"/>
      <c r="G510" s="24"/>
      <c r="H510" s="24"/>
      <c r="I510" s="24"/>
      <c r="J510" s="24"/>
      <c r="K510" s="51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3.5" customHeight="1">
      <c r="A511" s="74"/>
      <c r="B511" s="74"/>
      <c r="C511" s="74"/>
      <c r="D511" s="12"/>
      <c r="E511" s="51"/>
      <c r="F511" s="24"/>
      <c r="G511" s="24"/>
      <c r="H511" s="24"/>
      <c r="I511" s="24"/>
      <c r="J511" s="24"/>
      <c r="K511" s="51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3.5" customHeight="1">
      <c r="A512" s="74"/>
      <c r="B512" s="74"/>
      <c r="C512" s="74"/>
      <c r="D512" s="12"/>
      <c r="E512" s="51"/>
      <c r="F512" s="24"/>
      <c r="G512" s="24"/>
      <c r="H512" s="24"/>
      <c r="I512" s="24"/>
      <c r="J512" s="24"/>
      <c r="K512" s="51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3.5" customHeight="1">
      <c r="A513" s="74"/>
      <c r="B513" s="74"/>
      <c r="C513" s="74"/>
      <c r="D513" s="12"/>
      <c r="E513" s="51"/>
      <c r="F513" s="24"/>
      <c r="G513" s="24"/>
      <c r="H513" s="24"/>
      <c r="I513" s="24"/>
      <c r="J513" s="24"/>
      <c r="K513" s="51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3.5" customHeight="1">
      <c r="A514" s="74"/>
      <c r="B514" s="74"/>
      <c r="C514" s="74"/>
      <c r="D514" s="12"/>
      <c r="E514" s="51"/>
      <c r="F514" s="24"/>
      <c r="G514" s="24"/>
      <c r="H514" s="24"/>
      <c r="I514" s="24"/>
      <c r="J514" s="24"/>
      <c r="K514" s="51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3.5" customHeight="1">
      <c r="A515" s="74"/>
      <c r="B515" s="74"/>
      <c r="C515" s="74"/>
      <c r="D515" s="12"/>
      <c r="E515" s="51"/>
      <c r="F515" s="24"/>
      <c r="G515" s="24"/>
      <c r="H515" s="24"/>
      <c r="I515" s="24"/>
      <c r="J515" s="24"/>
      <c r="K515" s="51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3.5" customHeight="1">
      <c r="A516" s="74"/>
      <c r="B516" s="74"/>
      <c r="C516" s="74"/>
      <c r="D516" s="12"/>
      <c r="E516" s="51"/>
      <c r="F516" s="24"/>
      <c r="G516" s="24"/>
      <c r="H516" s="24"/>
      <c r="I516" s="24"/>
      <c r="J516" s="24"/>
      <c r="K516" s="51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3.5" customHeight="1">
      <c r="A517" s="74"/>
      <c r="B517" s="74"/>
      <c r="C517" s="74"/>
      <c r="D517" s="12"/>
      <c r="E517" s="51"/>
      <c r="F517" s="24"/>
      <c r="G517" s="24"/>
      <c r="H517" s="24"/>
      <c r="I517" s="24"/>
      <c r="J517" s="24"/>
      <c r="K517" s="51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3.5" customHeight="1">
      <c r="A518" s="74"/>
      <c r="B518" s="74"/>
      <c r="C518" s="74"/>
      <c r="D518" s="12"/>
      <c r="E518" s="51"/>
      <c r="F518" s="24"/>
      <c r="G518" s="24"/>
      <c r="H518" s="24"/>
      <c r="I518" s="24"/>
      <c r="J518" s="24"/>
      <c r="K518" s="51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3.5" customHeight="1">
      <c r="A519" s="74"/>
      <c r="B519" s="74"/>
      <c r="C519" s="74"/>
      <c r="D519" s="12"/>
      <c r="E519" s="51"/>
      <c r="F519" s="24"/>
      <c r="G519" s="24"/>
      <c r="H519" s="24"/>
      <c r="I519" s="24"/>
      <c r="J519" s="24"/>
      <c r="K519" s="51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3.5" customHeight="1">
      <c r="A520" s="74"/>
      <c r="B520" s="74"/>
      <c r="C520" s="74"/>
      <c r="D520" s="12"/>
      <c r="E520" s="51"/>
      <c r="F520" s="24"/>
      <c r="G520" s="24"/>
      <c r="H520" s="24"/>
      <c r="I520" s="24"/>
      <c r="J520" s="24"/>
      <c r="K520" s="51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3.5" customHeight="1">
      <c r="A521" s="74"/>
      <c r="B521" s="74"/>
      <c r="C521" s="74"/>
      <c r="D521" s="12"/>
      <c r="E521" s="51"/>
      <c r="F521" s="24"/>
      <c r="G521" s="24"/>
      <c r="H521" s="24"/>
      <c r="I521" s="24"/>
      <c r="J521" s="24"/>
      <c r="K521" s="51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3.5" customHeight="1">
      <c r="A522" s="74"/>
      <c r="B522" s="74"/>
      <c r="C522" s="74"/>
      <c r="D522" s="12"/>
      <c r="E522" s="51"/>
      <c r="F522" s="24"/>
      <c r="G522" s="24"/>
      <c r="H522" s="24"/>
      <c r="I522" s="24"/>
      <c r="J522" s="24"/>
      <c r="K522" s="51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3.5" customHeight="1">
      <c r="A523" s="74"/>
      <c r="B523" s="74"/>
      <c r="C523" s="74"/>
      <c r="D523" s="12"/>
      <c r="E523" s="51"/>
      <c r="F523" s="24"/>
      <c r="G523" s="24"/>
      <c r="H523" s="24"/>
      <c r="I523" s="24"/>
      <c r="J523" s="24"/>
      <c r="K523" s="51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3.5" customHeight="1">
      <c r="A524" s="74"/>
      <c r="B524" s="74"/>
      <c r="C524" s="74"/>
      <c r="D524" s="12"/>
      <c r="E524" s="51"/>
      <c r="F524" s="24"/>
      <c r="G524" s="24"/>
      <c r="H524" s="24"/>
      <c r="I524" s="24"/>
      <c r="J524" s="24"/>
      <c r="K524" s="51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3.5" customHeight="1">
      <c r="A525" s="74"/>
      <c r="B525" s="74"/>
      <c r="C525" s="74"/>
      <c r="D525" s="12"/>
      <c r="E525" s="51"/>
      <c r="F525" s="24"/>
      <c r="G525" s="24"/>
      <c r="H525" s="24"/>
      <c r="I525" s="24"/>
      <c r="J525" s="24"/>
      <c r="K525" s="51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3.5" customHeight="1">
      <c r="A526" s="74"/>
      <c r="B526" s="74"/>
      <c r="C526" s="74"/>
      <c r="D526" s="12"/>
      <c r="E526" s="51"/>
      <c r="F526" s="24"/>
      <c r="G526" s="24"/>
      <c r="H526" s="24"/>
      <c r="I526" s="24"/>
      <c r="J526" s="24"/>
      <c r="K526" s="51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3.5" customHeight="1">
      <c r="A527" s="74"/>
      <c r="B527" s="74"/>
      <c r="C527" s="74"/>
      <c r="D527" s="12"/>
      <c r="E527" s="51"/>
      <c r="F527" s="24"/>
      <c r="G527" s="24"/>
      <c r="H527" s="24"/>
      <c r="I527" s="24"/>
      <c r="J527" s="24"/>
      <c r="K527" s="51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3.5" customHeight="1">
      <c r="A528" s="74"/>
      <c r="B528" s="74"/>
      <c r="C528" s="74"/>
      <c r="D528" s="12"/>
      <c r="E528" s="51"/>
      <c r="F528" s="24"/>
      <c r="G528" s="24"/>
      <c r="H528" s="24"/>
      <c r="I528" s="24"/>
      <c r="J528" s="24"/>
      <c r="K528" s="51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3.5" customHeight="1">
      <c r="A529" s="74"/>
      <c r="B529" s="74"/>
      <c r="C529" s="74"/>
      <c r="D529" s="12"/>
      <c r="E529" s="51"/>
      <c r="F529" s="24"/>
      <c r="G529" s="24"/>
      <c r="H529" s="24"/>
      <c r="I529" s="24"/>
      <c r="J529" s="24"/>
      <c r="K529" s="51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3.5" customHeight="1">
      <c r="A530" s="74"/>
      <c r="B530" s="74"/>
      <c r="C530" s="74"/>
      <c r="D530" s="12"/>
      <c r="E530" s="51"/>
      <c r="F530" s="24"/>
      <c r="G530" s="24"/>
      <c r="H530" s="24"/>
      <c r="I530" s="24"/>
      <c r="J530" s="24"/>
      <c r="K530" s="51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3.5" customHeight="1">
      <c r="A531" s="74"/>
      <c r="B531" s="74"/>
      <c r="C531" s="74"/>
      <c r="D531" s="12"/>
      <c r="E531" s="51"/>
      <c r="F531" s="24"/>
      <c r="G531" s="24"/>
      <c r="H531" s="24"/>
      <c r="I531" s="24"/>
      <c r="J531" s="24"/>
      <c r="K531" s="51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3.5" customHeight="1">
      <c r="A532" s="74"/>
      <c r="B532" s="74"/>
      <c r="C532" s="74"/>
      <c r="D532" s="12"/>
      <c r="E532" s="51"/>
      <c r="F532" s="24"/>
      <c r="G532" s="24"/>
      <c r="H532" s="24"/>
      <c r="I532" s="24"/>
      <c r="J532" s="24"/>
      <c r="K532" s="51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3.5" customHeight="1">
      <c r="A533" s="74"/>
      <c r="B533" s="74"/>
      <c r="C533" s="74"/>
      <c r="D533" s="12"/>
      <c r="E533" s="51"/>
      <c r="F533" s="24"/>
      <c r="G533" s="24"/>
      <c r="H533" s="24"/>
      <c r="I533" s="24"/>
      <c r="J533" s="24"/>
      <c r="K533" s="51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3.5" customHeight="1">
      <c r="A534" s="74"/>
      <c r="B534" s="74"/>
      <c r="C534" s="74"/>
      <c r="D534" s="12"/>
      <c r="E534" s="51"/>
      <c r="F534" s="24"/>
      <c r="G534" s="24"/>
      <c r="H534" s="24"/>
      <c r="I534" s="24"/>
      <c r="J534" s="24"/>
      <c r="K534" s="51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3.5" customHeight="1">
      <c r="A535" s="74"/>
      <c r="B535" s="74"/>
      <c r="C535" s="74"/>
      <c r="D535" s="12"/>
      <c r="E535" s="51"/>
      <c r="F535" s="24"/>
      <c r="G535" s="24"/>
      <c r="H535" s="24"/>
      <c r="I535" s="24"/>
      <c r="J535" s="24"/>
      <c r="K535" s="51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3.5" customHeight="1">
      <c r="A536" s="74"/>
      <c r="B536" s="74"/>
      <c r="C536" s="74"/>
      <c r="D536" s="12"/>
      <c r="E536" s="51"/>
      <c r="F536" s="24"/>
      <c r="G536" s="24"/>
      <c r="H536" s="24"/>
      <c r="I536" s="24"/>
      <c r="J536" s="24"/>
      <c r="K536" s="51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3.5" customHeight="1">
      <c r="A537" s="74"/>
      <c r="B537" s="74"/>
      <c r="C537" s="74"/>
      <c r="D537" s="12"/>
      <c r="E537" s="51"/>
      <c r="F537" s="24"/>
      <c r="G537" s="24"/>
      <c r="H537" s="24"/>
      <c r="I537" s="24"/>
      <c r="J537" s="24"/>
      <c r="K537" s="51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3.5" customHeight="1">
      <c r="A538" s="74"/>
      <c r="B538" s="74"/>
      <c r="C538" s="74"/>
      <c r="D538" s="12"/>
      <c r="E538" s="51"/>
      <c r="F538" s="24"/>
      <c r="G538" s="24"/>
      <c r="H538" s="24"/>
      <c r="I538" s="24"/>
      <c r="J538" s="24"/>
      <c r="K538" s="51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3.5" customHeight="1">
      <c r="A539" s="74"/>
      <c r="B539" s="74"/>
      <c r="C539" s="74"/>
      <c r="D539" s="12"/>
      <c r="E539" s="51"/>
      <c r="F539" s="24"/>
      <c r="G539" s="24"/>
      <c r="H539" s="24"/>
      <c r="I539" s="24"/>
      <c r="J539" s="24"/>
      <c r="K539" s="51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3.5" customHeight="1">
      <c r="A540" s="74"/>
      <c r="B540" s="74"/>
      <c r="C540" s="74"/>
      <c r="D540" s="12"/>
      <c r="E540" s="51"/>
      <c r="F540" s="24"/>
      <c r="G540" s="24"/>
      <c r="H540" s="24"/>
      <c r="I540" s="24"/>
      <c r="J540" s="24"/>
      <c r="K540" s="51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3.5" customHeight="1">
      <c r="A541" s="74"/>
      <c r="B541" s="74"/>
      <c r="C541" s="74"/>
      <c r="D541" s="12"/>
      <c r="E541" s="51"/>
      <c r="F541" s="24"/>
      <c r="G541" s="24"/>
      <c r="H541" s="24"/>
      <c r="I541" s="24"/>
      <c r="J541" s="24"/>
      <c r="K541" s="51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3.5" customHeight="1">
      <c r="A542" s="74"/>
      <c r="B542" s="74"/>
      <c r="C542" s="74"/>
      <c r="D542" s="12"/>
      <c r="E542" s="51"/>
      <c r="F542" s="24"/>
      <c r="G542" s="24"/>
      <c r="H542" s="24"/>
      <c r="I542" s="24"/>
      <c r="J542" s="24"/>
      <c r="K542" s="51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3.5" customHeight="1">
      <c r="A543" s="74"/>
      <c r="B543" s="74"/>
      <c r="C543" s="74"/>
      <c r="D543" s="12"/>
      <c r="E543" s="51"/>
      <c r="F543" s="24"/>
      <c r="G543" s="24"/>
      <c r="H543" s="24"/>
      <c r="I543" s="24"/>
      <c r="J543" s="24"/>
      <c r="K543" s="51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3.5" customHeight="1">
      <c r="A544" s="74"/>
      <c r="B544" s="74"/>
      <c r="C544" s="74"/>
      <c r="D544" s="12"/>
      <c r="E544" s="51"/>
      <c r="F544" s="24"/>
      <c r="G544" s="24"/>
      <c r="H544" s="24"/>
      <c r="I544" s="24"/>
      <c r="J544" s="24"/>
      <c r="K544" s="51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3.5" customHeight="1">
      <c r="A545" s="74"/>
      <c r="B545" s="74"/>
      <c r="C545" s="74"/>
      <c r="D545" s="12"/>
      <c r="E545" s="51"/>
      <c r="F545" s="24"/>
      <c r="G545" s="24"/>
      <c r="H545" s="24"/>
      <c r="I545" s="24"/>
      <c r="J545" s="24"/>
      <c r="K545" s="51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3.5" customHeight="1">
      <c r="A546" s="74"/>
      <c r="B546" s="74"/>
      <c r="C546" s="74"/>
      <c r="D546" s="12"/>
      <c r="E546" s="51"/>
      <c r="F546" s="24"/>
      <c r="G546" s="24"/>
      <c r="H546" s="24"/>
      <c r="I546" s="24"/>
      <c r="J546" s="24"/>
      <c r="K546" s="51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3.5" customHeight="1">
      <c r="A547" s="74"/>
      <c r="B547" s="74"/>
      <c r="C547" s="74"/>
      <c r="D547" s="12"/>
      <c r="E547" s="51"/>
      <c r="F547" s="24"/>
      <c r="G547" s="24"/>
      <c r="H547" s="24"/>
      <c r="I547" s="24"/>
      <c r="J547" s="24"/>
      <c r="K547" s="51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3.5" customHeight="1">
      <c r="A548" s="74"/>
      <c r="B548" s="74"/>
      <c r="C548" s="74"/>
      <c r="D548" s="12"/>
      <c r="E548" s="51"/>
      <c r="F548" s="24"/>
      <c r="G548" s="24"/>
      <c r="H548" s="24"/>
      <c r="I548" s="24"/>
      <c r="J548" s="24"/>
      <c r="K548" s="51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3.5" customHeight="1">
      <c r="A549" s="74"/>
      <c r="B549" s="74"/>
      <c r="C549" s="74"/>
      <c r="D549" s="12"/>
      <c r="E549" s="51"/>
      <c r="F549" s="24"/>
      <c r="G549" s="24"/>
      <c r="H549" s="24"/>
      <c r="I549" s="24"/>
      <c r="J549" s="24"/>
      <c r="K549" s="51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3.5" customHeight="1">
      <c r="A550" s="74"/>
      <c r="B550" s="74"/>
      <c r="C550" s="74"/>
      <c r="D550" s="12"/>
      <c r="E550" s="51"/>
      <c r="F550" s="24"/>
      <c r="G550" s="24"/>
      <c r="H550" s="24"/>
      <c r="I550" s="24"/>
      <c r="J550" s="24"/>
      <c r="K550" s="51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3.5" customHeight="1">
      <c r="A551" s="74"/>
      <c r="B551" s="74"/>
      <c r="C551" s="74"/>
      <c r="D551" s="12"/>
      <c r="E551" s="51"/>
      <c r="F551" s="24"/>
      <c r="G551" s="24"/>
      <c r="H551" s="24"/>
      <c r="I551" s="24"/>
      <c r="J551" s="24"/>
      <c r="K551" s="51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3.5" customHeight="1">
      <c r="A552" s="74"/>
      <c r="B552" s="74"/>
      <c r="C552" s="74"/>
      <c r="D552" s="12"/>
      <c r="E552" s="51"/>
      <c r="F552" s="24"/>
      <c r="G552" s="24"/>
      <c r="H552" s="24"/>
      <c r="I552" s="24"/>
      <c r="J552" s="24"/>
      <c r="K552" s="51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3.5" customHeight="1">
      <c r="A553" s="74"/>
      <c r="B553" s="74"/>
      <c r="C553" s="74"/>
      <c r="D553" s="12"/>
      <c r="E553" s="51"/>
      <c r="F553" s="24"/>
      <c r="G553" s="24"/>
      <c r="H553" s="24"/>
      <c r="I553" s="24"/>
      <c r="J553" s="24"/>
      <c r="K553" s="51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3.5" customHeight="1">
      <c r="A554" s="74"/>
      <c r="B554" s="74"/>
      <c r="C554" s="74"/>
      <c r="D554" s="12"/>
      <c r="E554" s="51"/>
      <c r="F554" s="24"/>
      <c r="G554" s="24"/>
      <c r="H554" s="24"/>
      <c r="I554" s="24"/>
      <c r="J554" s="24"/>
      <c r="K554" s="51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3.5" customHeight="1">
      <c r="A555" s="74"/>
      <c r="B555" s="74"/>
      <c r="C555" s="74"/>
      <c r="D555" s="12"/>
      <c r="E555" s="51"/>
      <c r="F555" s="24"/>
      <c r="G555" s="24"/>
      <c r="H555" s="24"/>
      <c r="I555" s="24"/>
      <c r="J555" s="24"/>
      <c r="K555" s="51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3.5" customHeight="1">
      <c r="A556" s="74"/>
      <c r="B556" s="74"/>
      <c r="C556" s="74"/>
      <c r="D556" s="12"/>
      <c r="E556" s="51"/>
      <c r="F556" s="24"/>
      <c r="G556" s="24"/>
      <c r="H556" s="24"/>
      <c r="I556" s="24"/>
      <c r="J556" s="24"/>
      <c r="K556" s="51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3.5" customHeight="1">
      <c r="A557" s="74"/>
      <c r="B557" s="74"/>
      <c r="C557" s="74"/>
      <c r="D557" s="12"/>
      <c r="E557" s="51"/>
      <c r="F557" s="24"/>
      <c r="G557" s="24"/>
      <c r="H557" s="24"/>
      <c r="I557" s="24"/>
      <c r="J557" s="24"/>
      <c r="K557" s="51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3.5" customHeight="1">
      <c r="A558" s="74"/>
      <c r="B558" s="74"/>
      <c r="C558" s="74"/>
      <c r="D558" s="12"/>
      <c r="E558" s="51"/>
      <c r="F558" s="24"/>
      <c r="G558" s="24"/>
      <c r="H558" s="24"/>
      <c r="I558" s="24"/>
      <c r="J558" s="24"/>
      <c r="K558" s="51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3.5" customHeight="1">
      <c r="A559" s="74"/>
      <c r="B559" s="74"/>
      <c r="C559" s="74"/>
      <c r="D559" s="12"/>
      <c r="E559" s="51"/>
      <c r="F559" s="24"/>
      <c r="G559" s="24"/>
      <c r="H559" s="24"/>
      <c r="I559" s="24"/>
      <c r="J559" s="24"/>
      <c r="K559" s="51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3.5" customHeight="1">
      <c r="A560" s="74"/>
      <c r="B560" s="74"/>
      <c r="C560" s="74"/>
      <c r="D560" s="12"/>
      <c r="E560" s="51"/>
      <c r="F560" s="24"/>
      <c r="G560" s="24"/>
      <c r="H560" s="24"/>
      <c r="I560" s="24"/>
      <c r="J560" s="24"/>
      <c r="K560" s="51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3.5" customHeight="1">
      <c r="A561" s="74"/>
      <c r="B561" s="74"/>
      <c r="C561" s="74"/>
      <c r="D561" s="12"/>
      <c r="E561" s="51"/>
      <c r="F561" s="24"/>
      <c r="G561" s="24"/>
      <c r="H561" s="24"/>
      <c r="I561" s="24"/>
      <c r="J561" s="24"/>
      <c r="K561" s="51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3.5" customHeight="1">
      <c r="A562" s="74"/>
      <c r="B562" s="74"/>
      <c r="C562" s="74"/>
      <c r="D562" s="12"/>
      <c r="E562" s="51"/>
      <c r="F562" s="24"/>
      <c r="G562" s="24"/>
      <c r="H562" s="24"/>
      <c r="I562" s="24"/>
      <c r="J562" s="24"/>
      <c r="K562" s="51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3.5" customHeight="1">
      <c r="A563" s="74"/>
      <c r="B563" s="74"/>
      <c r="C563" s="74"/>
      <c r="D563" s="12"/>
      <c r="E563" s="51"/>
      <c r="F563" s="24"/>
      <c r="G563" s="24"/>
      <c r="H563" s="24"/>
      <c r="I563" s="24"/>
      <c r="J563" s="24"/>
      <c r="K563" s="51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3.5" customHeight="1">
      <c r="A564" s="74"/>
      <c r="B564" s="74"/>
      <c r="C564" s="74"/>
      <c r="D564" s="12"/>
      <c r="E564" s="51"/>
      <c r="F564" s="24"/>
      <c r="G564" s="24"/>
      <c r="H564" s="24"/>
      <c r="I564" s="24"/>
      <c r="J564" s="24"/>
      <c r="K564" s="51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3.5" customHeight="1">
      <c r="A565" s="74"/>
      <c r="B565" s="74"/>
      <c r="C565" s="74"/>
      <c r="D565" s="12"/>
      <c r="E565" s="51"/>
      <c r="F565" s="24"/>
      <c r="G565" s="24"/>
      <c r="H565" s="24"/>
      <c r="I565" s="24"/>
      <c r="J565" s="24"/>
      <c r="K565" s="51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3.5" customHeight="1">
      <c r="A566" s="74"/>
      <c r="B566" s="74"/>
      <c r="C566" s="74"/>
      <c r="D566" s="12"/>
      <c r="E566" s="51"/>
      <c r="F566" s="24"/>
      <c r="G566" s="24"/>
      <c r="H566" s="24"/>
      <c r="I566" s="24"/>
      <c r="J566" s="24"/>
      <c r="K566" s="51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3.5" customHeight="1">
      <c r="A567" s="74"/>
      <c r="B567" s="74"/>
      <c r="C567" s="74"/>
      <c r="D567" s="12"/>
      <c r="E567" s="51"/>
      <c r="F567" s="24"/>
      <c r="G567" s="24"/>
      <c r="H567" s="24"/>
      <c r="I567" s="24"/>
      <c r="J567" s="24"/>
      <c r="K567" s="51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3.5" customHeight="1">
      <c r="A568" s="74"/>
      <c r="B568" s="74"/>
      <c r="C568" s="74"/>
      <c r="D568" s="12"/>
      <c r="E568" s="51"/>
      <c r="F568" s="24"/>
      <c r="G568" s="24"/>
      <c r="H568" s="24"/>
      <c r="I568" s="24"/>
      <c r="J568" s="24"/>
      <c r="K568" s="51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3.5" customHeight="1">
      <c r="A569" s="74"/>
      <c r="B569" s="74"/>
      <c r="C569" s="74"/>
      <c r="D569" s="12"/>
      <c r="E569" s="51"/>
      <c r="F569" s="24"/>
      <c r="G569" s="24"/>
      <c r="H569" s="24"/>
      <c r="I569" s="24"/>
      <c r="J569" s="24"/>
      <c r="K569" s="51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3.5" customHeight="1">
      <c r="A570" s="74"/>
      <c r="B570" s="74"/>
      <c r="C570" s="74"/>
      <c r="D570" s="12"/>
      <c r="E570" s="51"/>
      <c r="F570" s="24"/>
      <c r="G570" s="24"/>
      <c r="H570" s="24"/>
      <c r="I570" s="24"/>
      <c r="J570" s="24"/>
      <c r="K570" s="51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3.5" customHeight="1">
      <c r="A571" s="74"/>
      <c r="B571" s="74"/>
      <c r="C571" s="74"/>
      <c r="D571" s="12"/>
      <c r="E571" s="51"/>
      <c r="F571" s="24"/>
      <c r="G571" s="24"/>
      <c r="H571" s="24"/>
      <c r="I571" s="24"/>
      <c r="J571" s="24"/>
      <c r="K571" s="51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3.5" customHeight="1">
      <c r="A572" s="74"/>
      <c r="B572" s="74"/>
      <c r="C572" s="74"/>
      <c r="D572" s="12"/>
      <c r="E572" s="51"/>
      <c r="F572" s="24"/>
      <c r="G572" s="24"/>
      <c r="H572" s="24"/>
      <c r="I572" s="24"/>
      <c r="J572" s="24"/>
      <c r="K572" s="51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3.5" customHeight="1">
      <c r="A573" s="74"/>
      <c r="B573" s="74"/>
      <c r="C573" s="74"/>
      <c r="D573" s="12"/>
      <c r="E573" s="51"/>
      <c r="F573" s="24"/>
      <c r="G573" s="24"/>
      <c r="H573" s="24"/>
      <c r="I573" s="24"/>
      <c r="J573" s="24"/>
      <c r="K573" s="51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3.5" customHeight="1">
      <c r="A574" s="74"/>
      <c r="B574" s="74"/>
      <c r="C574" s="74"/>
      <c r="D574" s="12"/>
      <c r="E574" s="51"/>
      <c r="F574" s="24"/>
      <c r="G574" s="24"/>
      <c r="H574" s="24"/>
      <c r="I574" s="24"/>
      <c r="J574" s="24"/>
      <c r="K574" s="51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3.5" customHeight="1">
      <c r="A575" s="74"/>
      <c r="B575" s="74"/>
      <c r="C575" s="74"/>
      <c r="D575" s="12"/>
      <c r="E575" s="51"/>
      <c r="F575" s="24"/>
      <c r="G575" s="24"/>
      <c r="H575" s="24"/>
      <c r="I575" s="24"/>
      <c r="J575" s="24"/>
      <c r="K575" s="51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3.5" customHeight="1">
      <c r="A576" s="74"/>
      <c r="B576" s="74"/>
      <c r="C576" s="74"/>
      <c r="D576" s="12"/>
      <c r="E576" s="51"/>
      <c r="F576" s="24"/>
      <c r="G576" s="24"/>
      <c r="H576" s="24"/>
      <c r="I576" s="24"/>
      <c r="J576" s="24"/>
      <c r="K576" s="51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3.5" customHeight="1">
      <c r="A577" s="74"/>
      <c r="B577" s="74"/>
      <c r="C577" s="74"/>
      <c r="D577" s="12"/>
      <c r="E577" s="51"/>
      <c r="F577" s="24"/>
      <c r="G577" s="24"/>
      <c r="H577" s="24"/>
      <c r="I577" s="24"/>
      <c r="J577" s="24"/>
      <c r="K577" s="51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3.5" customHeight="1">
      <c r="A578" s="74"/>
      <c r="B578" s="74"/>
      <c r="C578" s="74"/>
      <c r="D578" s="12"/>
      <c r="E578" s="51"/>
      <c r="F578" s="24"/>
      <c r="G578" s="24"/>
      <c r="H578" s="24"/>
      <c r="I578" s="24"/>
      <c r="J578" s="24"/>
      <c r="K578" s="51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3.5" customHeight="1">
      <c r="A579" s="74"/>
      <c r="B579" s="74"/>
      <c r="C579" s="74"/>
      <c r="D579" s="12"/>
      <c r="E579" s="51"/>
      <c r="F579" s="24"/>
      <c r="G579" s="24"/>
      <c r="H579" s="24"/>
      <c r="I579" s="24"/>
      <c r="J579" s="24"/>
      <c r="K579" s="51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3.5" customHeight="1">
      <c r="A580" s="74"/>
      <c r="B580" s="74"/>
      <c r="C580" s="74"/>
      <c r="D580" s="12"/>
      <c r="E580" s="51"/>
      <c r="F580" s="24"/>
      <c r="G580" s="24"/>
      <c r="H580" s="24"/>
      <c r="I580" s="24"/>
      <c r="J580" s="24"/>
      <c r="K580" s="51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3.5" customHeight="1">
      <c r="A581" s="74"/>
      <c r="B581" s="74"/>
      <c r="C581" s="74"/>
      <c r="D581" s="12"/>
      <c r="E581" s="51"/>
      <c r="F581" s="24"/>
      <c r="G581" s="24"/>
      <c r="H581" s="24"/>
      <c r="I581" s="24"/>
      <c r="J581" s="24"/>
      <c r="K581" s="51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3.5" customHeight="1">
      <c r="A582" s="74"/>
      <c r="B582" s="74"/>
      <c r="C582" s="74"/>
      <c r="D582" s="12"/>
      <c r="E582" s="51"/>
      <c r="F582" s="24"/>
      <c r="G582" s="24"/>
      <c r="H582" s="24"/>
      <c r="I582" s="24"/>
      <c r="J582" s="24"/>
      <c r="K582" s="51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3.5" customHeight="1">
      <c r="A583" s="74"/>
      <c r="B583" s="74"/>
      <c r="C583" s="74"/>
      <c r="D583" s="12"/>
      <c r="E583" s="51"/>
      <c r="F583" s="24"/>
      <c r="G583" s="24"/>
      <c r="H583" s="24"/>
      <c r="I583" s="24"/>
      <c r="J583" s="24"/>
      <c r="K583" s="51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3.5" customHeight="1">
      <c r="A584" s="74"/>
      <c r="B584" s="74"/>
      <c r="C584" s="74"/>
      <c r="D584" s="12"/>
      <c r="E584" s="51"/>
      <c r="F584" s="24"/>
      <c r="G584" s="24"/>
      <c r="H584" s="24"/>
      <c r="I584" s="24"/>
      <c r="J584" s="24"/>
      <c r="K584" s="51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3.5" customHeight="1">
      <c r="A585" s="74"/>
      <c r="B585" s="74"/>
      <c r="C585" s="74"/>
      <c r="D585" s="12"/>
      <c r="E585" s="51"/>
      <c r="F585" s="24"/>
      <c r="G585" s="24"/>
      <c r="H585" s="24"/>
      <c r="I585" s="24"/>
      <c r="J585" s="24"/>
      <c r="K585" s="51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3.5" customHeight="1">
      <c r="A586" s="74"/>
      <c r="B586" s="74"/>
      <c r="C586" s="74"/>
      <c r="D586" s="12"/>
      <c r="E586" s="51"/>
      <c r="F586" s="24"/>
      <c r="G586" s="24"/>
      <c r="H586" s="24"/>
      <c r="I586" s="24"/>
      <c r="J586" s="24"/>
      <c r="K586" s="51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3.5" customHeight="1">
      <c r="A587" s="74"/>
      <c r="B587" s="74"/>
      <c r="C587" s="74"/>
      <c r="D587" s="12"/>
      <c r="E587" s="51"/>
      <c r="F587" s="24"/>
      <c r="G587" s="24"/>
      <c r="H587" s="24"/>
      <c r="I587" s="24"/>
      <c r="J587" s="24"/>
      <c r="K587" s="51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3.5" customHeight="1">
      <c r="A588" s="74"/>
      <c r="B588" s="74"/>
      <c r="C588" s="74"/>
      <c r="D588" s="12"/>
      <c r="E588" s="51"/>
      <c r="F588" s="24"/>
      <c r="G588" s="24"/>
      <c r="H588" s="24"/>
      <c r="I588" s="24"/>
      <c r="J588" s="24"/>
      <c r="K588" s="51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3.5" customHeight="1">
      <c r="A589" s="74"/>
      <c r="B589" s="74"/>
      <c r="C589" s="74"/>
      <c r="D589" s="12"/>
      <c r="E589" s="51"/>
      <c r="F589" s="24"/>
      <c r="G589" s="24"/>
      <c r="H589" s="24"/>
      <c r="I589" s="24"/>
      <c r="J589" s="24"/>
      <c r="K589" s="51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3.5" customHeight="1">
      <c r="A590" s="74"/>
      <c r="B590" s="74"/>
      <c r="C590" s="74"/>
      <c r="D590" s="12"/>
      <c r="E590" s="51"/>
      <c r="F590" s="24"/>
      <c r="G590" s="24"/>
      <c r="H590" s="24"/>
      <c r="I590" s="24"/>
      <c r="J590" s="24"/>
      <c r="K590" s="51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3.5" customHeight="1">
      <c r="A591" s="74"/>
      <c r="B591" s="74"/>
      <c r="C591" s="74"/>
      <c r="D591" s="12"/>
      <c r="E591" s="51"/>
      <c r="F591" s="24"/>
      <c r="G591" s="24"/>
      <c r="H591" s="24"/>
      <c r="I591" s="24"/>
      <c r="J591" s="24"/>
      <c r="K591" s="51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3.5" customHeight="1">
      <c r="A592" s="74"/>
      <c r="B592" s="74"/>
      <c r="C592" s="74"/>
      <c r="D592" s="12"/>
      <c r="E592" s="51"/>
      <c r="F592" s="24"/>
      <c r="G592" s="24"/>
      <c r="H592" s="24"/>
      <c r="I592" s="24"/>
      <c r="J592" s="24"/>
      <c r="K592" s="51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3.5" customHeight="1">
      <c r="A593" s="74"/>
      <c r="B593" s="74"/>
      <c r="C593" s="74"/>
      <c r="D593" s="12"/>
      <c r="E593" s="51"/>
      <c r="F593" s="24"/>
      <c r="G593" s="24"/>
      <c r="H593" s="24"/>
      <c r="I593" s="24"/>
      <c r="J593" s="24"/>
      <c r="K593" s="51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3.5" customHeight="1">
      <c r="A594" s="74"/>
      <c r="B594" s="74"/>
      <c r="C594" s="74"/>
      <c r="D594" s="12"/>
      <c r="E594" s="51"/>
      <c r="F594" s="24"/>
      <c r="G594" s="24"/>
      <c r="H594" s="24"/>
      <c r="I594" s="24"/>
      <c r="J594" s="24"/>
      <c r="K594" s="51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3.5" customHeight="1">
      <c r="A595" s="74"/>
      <c r="B595" s="74"/>
      <c r="C595" s="74"/>
      <c r="D595" s="12"/>
      <c r="E595" s="51"/>
      <c r="F595" s="24"/>
      <c r="G595" s="24"/>
      <c r="H595" s="24"/>
      <c r="I595" s="24"/>
      <c r="J595" s="24"/>
      <c r="K595" s="51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3.5" customHeight="1">
      <c r="A596" s="74"/>
      <c r="B596" s="74"/>
      <c r="C596" s="74"/>
      <c r="D596" s="12"/>
      <c r="E596" s="51"/>
      <c r="F596" s="24"/>
      <c r="G596" s="24"/>
      <c r="H596" s="24"/>
      <c r="I596" s="24"/>
      <c r="J596" s="24"/>
      <c r="K596" s="51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3.5" customHeight="1">
      <c r="A597" s="74"/>
      <c r="B597" s="74"/>
      <c r="C597" s="74"/>
      <c r="D597" s="12"/>
      <c r="E597" s="51"/>
      <c r="F597" s="24"/>
      <c r="G597" s="24"/>
      <c r="H597" s="24"/>
      <c r="I597" s="24"/>
      <c r="J597" s="24"/>
      <c r="K597" s="51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3.5" customHeight="1">
      <c r="A598" s="74"/>
      <c r="B598" s="74"/>
      <c r="C598" s="74"/>
      <c r="D598" s="12"/>
      <c r="E598" s="51"/>
      <c r="F598" s="24"/>
      <c r="G598" s="24"/>
      <c r="H598" s="24"/>
      <c r="I598" s="24"/>
      <c r="J598" s="24"/>
      <c r="K598" s="51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3.5" customHeight="1">
      <c r="A599" s="74"/>
      <c r="B599" s="74"/>
      <c r="C599" s="74"/>
      <c r="D599" s="12"/>
      <c r="E599" s="51"/>
      <c r="F599" s="24"/>
      <c r="G599" s="24"/>
      <c r="H599" s="24"/>
      <c r="I599" s="24"/>
      <c r="J599" s="24"/>
      <c r="K599" s="51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3.5" customHeight="1">
      <c r="A600" s="74"/>
      <c r="B600" s="74"/>
      <c r="C600" s="74"/>
      <c r="D600" s="12"/>
      <c r="E600" s="51"/>
      <c r="F600" s="24"/>
      <c r="G600" s="24"/>
      <c r="H600" s="24"/>
      <c r="I600" s="24"/>
      <c r="J600" s="24"/>
      <c r="K600" s="51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3.5" customHeight="1">
      <c r="A601" s="74"/>
      <c r="B601" s="74"/>
      <c r="C601" s="74"/>
      <c r="D601" s="12"/>
      <c r="E601" s="51"/>
      <c r="F601" s="24"/>
      <c r="G601" s="24"/>
      <c r="H601" s="24"/>
      <c r="I601" s="24"/>
      <c r="J601" s="24"/>
      <c r="K601" s="51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3.5" customHeight="1">
      <c r="A602" s="74"/>
      <c r="B602" s="74"/>
      <c r="C602" s="74"/>
      <c r="D602" s="12"/>
      <c r="E602" s="51"/>
      <c r="F602" s="24"/>
      <c r="G602" s="24"/>
      <c r="H602" s="24"/>
      <c r="I602" s="24"/>
      <c r="J602" s="24"/>
      <c r="K602" s="51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3.5" customHeight="1">
      <c r="A603" s="74"/>
      <c r="B603" s="74"/>
      <c r="C603" s="74"/>
      <c r="D603" s="12"/>
      <c r="E603" s="51"/>
      <c r="F603" s="24"/>
      <c r="G603" s="24"/>
      <c r="H603" s="24"/>
      <c r="I603" s="24"/>
      <c r="J603" s="24"/>
      <c r="K603" s="51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3.5" customHeight="1">
      <c r="A604" s="74"/>
      <c r="B604" s="74"/>
      <c r="C604" s="74"/>
      <c r="D604" s="12"/>
      <c r="E604" s="51"/>
      <c r="F604" s="24"/>
      <c r="G604" s="24"/>
      <c r="H604" s="24"/>
      <c r="I604" s="24"/>
      <c r="J604" s="24"/>
      <c r="K604" s="51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3.5" customHeight="1">
      <c r="A605" s="74"/>
      <c r="B605" s="74"/>
      <c r="C605" s="74"/>
      <c r="D605" s="12"/>
      <c r="E605" s="51"/>
      <c r="F605" s="24"/>
      <c r="G605" s="24"/>
      <c r="H605" s="24"/>
      <c r="I605" s="24"/>
      <c r="J605" s="24"/>
      <c r="K605" s="51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3.5" customHeight="1">
      <c r="A606" s="74"/>
      <c r="B606" s="74"/>
      <c r="C606" s="74"/>
      <c r="D606" s="12"/>
      <c r="E606" s="51"/>
      <c r="F606" s="24"/>
      <c r="G606" s="24"/>
      <c r="H606" s="24"/>
      <c r="I606" s="24"/>
      <c r="J606" s="24"/>
      <c r="K606" s="51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3.5" customHeight="1">
      <c r="A607" s="74"/>
      <c r="B607" s="74"/>
      <c r="C607" s="74"/>
      <c r="D607" s="12"/>
      <c r="E607" s="51"/>
      <c r="F607" s="24"/>
      <c r="G607" s="24"/>
      <c r="H607" s="24"/>
      <c r="I607" s="24"/>
      <c r="J607" s="24"/>
      <c r="K607" s="51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3.5" customHeight="1">
      <c r="A608" s="74"/>
      <c r="B608" s="74"/>
      <c r="C608" s="74"/>
      <c r="D608" s="12"/>
      <c r="E608" s="51"/>
      <c r="F608" s="24"/>
      <c r="G608" s="24"/>
      <c r="H608" s="24"/>
      <c r="I608" s="24"/>
      <c r="J608" s="24"/>
      <c r="K608" s="51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3.5" customHeight="1">
      <c r="A609" s="74"/>
      <c r="B609" s="74"/>
      <c r="C609" s="74"/>
      <c r="D609" s="12"/>
      <c r="E609" s="51"/>
      <c r="F609" s="24"/>
      <c r="G609" s="24"/>
      <c r="H609" s="24"/>
      <c r="I609" s="24"/>
      <c r="J609" s="24"/>
      <c r="K609" s="51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3.5" customHeight="1">
      <c r="A610" s="74"/>
      <c r="B610" s="74"/>
      <c r="C610" s="74"/>
      <c r="D610" s="12"/>
      <c r="E610" s="51"/>
      <c r="F610" s="24"/>
      <c r="G610" s="24"/>
      <c r="H610" s="24"/>
      <c r="I610" s="24"/>
      <c r="J610" s="24"/>
      <c r="K610" s="51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3.5" customHeight="1">
      <c r="A611" s="74"/>
      <c r="B611" s="74"/>
      <c r="C611" s="74"/>
      <c r="D611" s="12"/>
      <c r="E611" s="51"/>
      <c r="F611" s="24"/>
      <c r="G611" s="24"/>
      <c r="H611" s="24"/>
      <c r="I611" s="24"/>
      <c r="J611" s="24"/>
      <c r="K611" s="51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3.5" customHeight="1">
      <c r="A612" s="74"/>
      <c r="B612" s="74"/>
      <c r="C612" s="74"/>
      <c r="D612" s="12"/>
      <c r="E612" s="51"/>
      <c r="F612" s="24"/>
      <c r="G612" s="24"/>
      <c r="H612" s="24"/>
      <c r="I612" s="24"/>
      <c r="J612" s="24"/>
      <c r="K612" s="51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3.5" customHeight="1">
      <c r="A613" s="74"/>
      <c r="B613" s="74"/>
      <c r="C613" s="74"/>
      <c r="D613" s="12"/>
      <c r="E613" s="51"/>
      <c r="F613" s="24"/>
      <c r="G613" s="24"/>
      <c r="H613" s="24"/>
      <c r="I613" s="24"/>
      <c r="J613" s="24"/>
      <c r="K613" s="51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3.5" customHeight="1">
      <c r="A614" s="74"/>
      <c r="B614" s="74"/>
      <c r="C614" s="74"/>
      <c r="D614" s="12"/>
      <c r="E614" s="51"/>
      <c r="F614" s="24"/>
      <c r="G614" s="24"/>
      <c r="H614" s="24"/>
      <c r="I614" s="24"/>
      <c r="J614" s="24"/>
      <c r="K614" s="51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3.5" customHeight="1">
      <c r="A615" s="74"/>
      <c r="B615" s="74"/>
      <c r="C615" s="74"/>
      <c r="D615" s="12"/>
      <c r="E615" s="51"/>
      <c r="F615" s="24"/>
      <c r="G615" s="24"/>
      <c r="H615" s="24"/>
      <c r="I615" s="24"/>
      <c r="J615" s="24"/>
      <c r="K615" s="51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3.5" customHeight="1">
      <c r="A616" s="74"/>
      <c r="B616" s="74"/>
      <c r="C616" s="74"/>
      <c r="D616" s="12"/>
      <c r="E616" s="51"/>
      <c r="F616" s="24"/>
      <c r="G616" s="24"/>
      <c r="H616" s="24"/>
      <c r="I616" s="24"/>
      <c r="J616" s="24"/>
      <c r="K616" s="51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3.5" customHeight="1">
      <c r="A617" s="74"/>
      <c r="B617" s="74"/>
      <c r="C617" s="74"/>
      <c r="D617" s="12"/>
      <c r="E617" s="51"/>
      <c r="F617" s="24"/>
      <c r="G617" s="24"/>
      <c r="H617" s="24"/>
      <c r="I617" s="24"/>
      <c r="J617" s="24"/>
      <c r="K617" s="51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3.5" customHeight="1">
      <c r="A618" s="74"/>
      <c r="B618" s="74"/>
      <c r="C618" s="74"/>
      <c r="D618" s="12"/>
      <c r="E618" s="51"/>
      <c r="F618" s="24"/>
      <c r="G618" s="24"/>
      <c r="H618" s="24"/>
      <c r="I618" s="24"/>
      <c r="J618" s="24"/>
      <c r="K618" s="51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3.5" customHeight="1">
      <c r="A619" s="74"/>
      <c r="B619" s="74"/>
      <c r="C619" s="74"/>
      <c r="D619" s="12"/>
      <c r="E619" s="51"/>
      <c r="F619" s="24"/>
      <c r="G619" s="24"/>
      <c r="H619" s="24"/>
      <c r="I619" s="24"/>
      <c r="J619" s="24"/>
      <c r="K619" s="51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3.5" customHeight="1">
      <c r="A620" s="74"/>
      <c r="B620" s="74"/>
      <c r="C620" s="74"/>
      <c r="D620" s="12"/>
      <c r="E620" s="51"/>
      <c r="F620" s="24"/>
      <c r="G620" s="24"/>
      <c r="H620" s="24"/>
      <c r="I620" s="24"/>
      <c r="J620" s="24"/>
      <c r="K620" s="51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3.5" customHeight="1">
      <c r="A621" s="74"/>
      <c r="B621" s="74"/>
      <c r="C621" s="74"/>
      <c r="D621" s="12"/>
      <c r="E621" s="51"/>
      <c r="F621" s="24"/>
      <c r="G621" s="24"/>
      <c r="H621" s="24"/>
      <c r="I621" s="24"/>
      <c r="J621" s="24"/>
      <c r="K621" s="51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3.5" customHeight="1">
      <c r="A622" s="74"/>
      <c r="B622" s="74"/>
      <c r="C622" s="74"/>
      <c r="D622" s="12"/>
      <c r="E622" s="51"/>
      <c r="F622" s="24"/>
      <c r="G622" s="24"/>
      <c r="H622" s="24"/>
      <c r="I622" s="24"/>
      <c r="J622" s="24"/>
      <c r="K622" s="51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3.5" customHeight="1">
      <c r="A623" s="74"/>
      <c r="B623" s="74"/>
      <c r="C623" s="74"/>
      <c r="D623" s="12"/>
      <c r="E623" s="51"/>
      <c r="F623" s="24"/>
      <c r="G623" s="24"/>
      <c r="H623" s="24"/>
      <c r="I623" s="24"/>
      <c r="J623" s="24"/>
      <c r="K623" s="51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3.5" customHeight="1">
      <c r="A624" s="74"/>
      <c r="B624" s="74"/>
      <c r="C624" s="74"/>
      <c r="D624" s="12"/>
      <c r="E624" s="51"/>
      <c r="F624" s="24"/>
      <c r="G624" s="24"/>
      <c r="H624" s="24"/>
      <c r="I624" s="24"/>
      <c r="J624" s="24"/>
      <c r="K624" s="51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3.5" customHeight="1">
      <c r="A625" s="74"/>
      <c r="B625" s="74"/>
      <c r="C625" s="74"/>
      <c r="D625" s="12"/>
      <c r="E625" s="51"/>
      <c r="F625" s="24"/>
      <c r="G625" s="24"/>
      <c r="H625" s="24"/>
      <c r="I625" s="24"/>
      <c r="J625" s="24"/>
      <c r="K625" s="51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3.5" customHeight="1">
      <c r="A626" s="74"/>
      <c r="B626" s="74"/>
      <c r="C626" s="74"/>
      <c r="D626" s="12"/>
      <c r="E626" s="51"/>
      <c r="F626" s="24"/>
      <c r="G626" s="24"/>
      <c r="H626" s="24"/>
      <c r="I626" s="24"/>
      <c r="J626" s="24"/>
      <c r="K626" s="51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3.5" customHeight="1">
      <c r="A627" s="74"/>
      <c r="B627" s="74"/>
      <c r="C627" s="74"/>
      <c r="D627" s="12"/>
      <c r="E627" s="51"/>
      <c r="F627" s="24"/>
      <c r="G627" s="24"/>
      <c r="H627" s="24"/>
      <c r="I627" s="24"/>
      <c r="J627" s="24"/>
      <c r="K627" s="51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3.5" customHeight="1">
      <c r="A628" s="74"/>
      <c r="B628" s="74"/>
      <c r="C628" s="74"/>
      <c r="D628" s="12"/>
      <c r="E628" s="51"/>
      <c r="F628" s="24"/>
      <c r="G628" s="24"/>
      <c r="H628" s="24"/>
      <c r="I628" s="24"/>
      <c r="J628" s="24"/>
      <c r="K628" s="51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3.5" customHeight="1">
      <c r="A629" s="74"/>
      <c r="B629" s="74"/>
      <c r="C629" s="74"/>
      <c r="D629" s="12"/>
      <c r="E629" s="51"/>
      <c r="F629" s="24"/>
      <c r="G629" s="24"/>
      <c r="H629" s="24"/>
      <c r="I629" s="24"/>
      <c r="J629" s="24"/>
      <c r="K629" s="51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3.5" customHeight="1">
      <c r="A630" s="74"/>
      <c r="B630" s="74"/>
      <c r="C630" s="74"/>
      <c r="D630" s="12"/>
      <c r="E630" s="51"/>
      <c r="F630" s="24"/>
      <c r="G630" s="24"/>
      <c r="H630" s="24"/>
      <c r="I630" s="24"/>
      <c r="J630" s="24"/>
      <c r="K630" s="51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3.5" customHeight="1">
      <c r="A631" s="74"/>
      <c r="B631" s="74"/>
      <c r="C631" s="74"/>
      <c r="D631" s="12"/>
      <c r="E631" s="51"/>
      <c r="F631" s="24"/>
      <c r="G631" s="24"/>
      <c r="H631" s="24"/>
      <c r="I631" s="24"/>
      <c r="J631" s="24"/>
      <c r="K631" s="51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3.5" customHeight="1">
      <c r="A632" s="74"/>
      <c r="B632" s="74"/>
      <c r="C632" s="74"/>
      <c r="D632" s="12"/>
      <c r="E632" s="51"/>
      <c r="F632" s="24"/>
      <c r="G632" s="24"/>
      <c r="H632" s="24"/>
      <c r="I632" s="24"/>
      <c r="J632" s="24"/>
      <c r="K632" s="51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3.5" customHeight="1">
      <c r="A633" s="74"/>
      <c r="B633" s="74"/>
      <c r="C633" s="74"/>
      <c r="D633" s="12"/>
      <c r="E633" s="51"/>
      <c r="F633" s="24"/>
      <c r="G633" s="24"/>
      <c r="H633" s="24"/>
      <c r="I633" s="24"/>
      <c r="J633" s="24"/>
      <c r="K633" s="51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3.5" customHeight="1">
      <c r="A634" s="74"/>
      <c r="B634" s="74"/>
      <c r="C634" s="74"/>
      <c r="D634" s="12"/>
      <c r="E634" s="51"/>
      <c r="F634" s="24"/>
      <c r="G634" s="24"/>
      <c r="H634" s="24"/>
      <c r="I634" s="24"/>
      <c r="J634" s="24"/>
      <c r="K634" s="51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3.5" customHeight="1">
      <c r="A635" s="74"/>
      <c r="B635" s="74"/>
      <c r="C635" s="74"/>
      <c r="D635" s="12"/>
      <c r="E635" s="51"/>
      <c r="F635" s="24"/>
      <c r="G635" s="24"/>
      <c r="H635" s="24"/>
      <c r="I635" s="24"/>
      <c r="J635" s="24"/>
      <c r="K635" s="51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3.5" customHeight="1">
      <c r="A636" s="74"/>
      <c r="B636" s="74"/>
      <c r="C636" s="74"/>
      <c r="D636" s="12"/>
      <c r="E636" s="51"/>
      <c r="F636" s="24"/>
      <c r="G636" s="24"/>
      <c r="H636" s="24"/>
      <c r="I636" s="24"/>
      <c r="J636" s="24"/>
      <c r="K636" s="51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3.5" customHeight="1">
      <c r="A637" s="74"/>
      <c r="B637" s="74"/>
      <c r="C637" s="74"/>
      <c r="D637" s="12"/>
      <c r="E637" s="51"/>
      <c r="F637" s="24"/>
      <c r="G637" s="24"/>
      <c r="H637" s="24"/>
      <c r="I637" s="24"/>
      <c r="J637" s="24"/>
      <c r="K637" s="51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3.5" customHeight="1">
      <c r="A638" s="74"/>
      <c r="B638" s="74"/>
      <c r="C638" s="74"/>
      <c r="D638" s="12"/>
      <c r="E638" s="51"/>
      <c r="F638" s="24"/>
      <c r="G638" s="24"/>
      <c r="H638" s="24"/>
      <c r="I638" s="24"/>
      <c r="J638" s="24"/>
      <c r="K638" s="51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3.5" customHeight="1">
      <c r="A639" s="74"/>
      <c r="B639" s="74"/>
      <c r="C639" s="74"/>
      <c r="D639" s="12"/>
      <c r="E639" s="51"/>
      <c r="F639" s="24"/>
      <c r="G639" s="24"/>
      <c r="H639" s="24"/>
      <c r="I639" s="24"/>
      <c r="J639" s="24"/>
      <c r="K639" s="51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3.5" customHeight="1">
      <c r="A640" s="74"/>
      <c r="B640" s="74"/>
      <c r="C640" s="74"/>
      <c r="D640" s="12"/>
      <c r="E640" s="51"/>
      <c r="F640" s="24"/>
      <c r="G640" s="24"/>
      <c r="H640" s="24"/>
      <c r="I640" s="24"/>
      <c r="J640" s="24"/>
      <c r="K640" s="51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3.5" customHeight="1">
      <c r="A641" s="74"/>
      <c r="B641" s="74"/>
      <c r="C641" s="74"/>
      <c r="D641" s="12"/>
      <c r="E641" s="51"/>
      <c r="F641" s="24"/>
      <c r="G641" s="24"/>
      <c r="H641" s="24"/>
      <c r="I641" s="24"/>
      <c r="J641" s="24"/>
      <c r="K641" s="51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3.5" customHeight="1">
      <c r="A642" s="74"/>
      <c r="B642" s="74"/>
      <c r="C642" s="74"/>
      <c r="D642" s="12"/>
      <c r="E642" s="51"/>
      <c r="F642" s="24"/>
      <c r="G642" s="24"/>
      <c r="H642" s="24"/>
      <c r="I642" s="24"/>
      <c r="J642" s="24"/>
      <c r="K642" s="51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3.5" customHeight="1">
      <c r="A643" s="74"/>
      <c r="B643" s="74"/>
      <c r="C643" s="74"/>
      <c r="D643" s="12"/>
      <c r="E643" s="51"/>
      <c r="F643" s="24"/>
      <c r="G643" s="24"/>
      <c r="H643" s="24"/>
      <c r="I643" s="24"/>
      <c r="J643" s="24"/>
      <c r="K643" s="51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3.5" customHeight="1">
      <c r="A644" s="74"/>
      <c r="B644" s="74"/>
      <c r="C644" s="74"/>
      <c r="D644" s="12"/>
      <c r="E644" s="51"/>
      <c r="F644" s="24"/>
      <c r="G644" s="24"/>
      <c r="H644" s="24"/>
      <c r="I644" s="24"/>
      <c r="J644" s="24"/>
      <c r="K644" s="51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3.5" customHeight="1">
      <c r="A645" s="74"/>
      <c r="B645" s="74"/>
      <c r="C645" s="74"/>
      <c r="D645" s="12"/>
      <c r="E645" s="51"/>
      <c r="F645" s="24"/>
      <c r="G645" s="24"/>
      <c r="H645" s="24"/>
      <c r="I645" s="24"/>
      <c r="J645" s="24"/>
      <c r="K645" s="51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3.5" customHeight="1">
      <c r="A646" s="74"/>
      <c r="B646" s="74"/>
      <c r="C646" s="74"/>
      <c r="D646" s="12"/>
      <c r="E646" s="51"/>
      <c r="F646" s="24"/>
      <c r="G646" s="24"/>
      <c r="H646" s="24"/>
      <c r="I646" s="24"/>
      <c r="J646" s="24"/>
      <c r="K646" s="51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3.5" customHeight="1">
      <c r="A647" s="74"/>
      <c r="B647" s="74"/>
      <c r="C647" s="74"/>
      <c r="D647" s="12"/>
      <c r="E647" s="51"/>
      <c r="F647" s="24"/>
      <c r="G647" s="24"/>
      <c r="H647" s="24"/>
      <c r="I647" s="24"/>
      <c r="J647" s="24"/>
      <c r="K647" s="51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3.5" customHeight="1">
      <c r="A648" s="74"/>
      <c r="B648" s="74"/>
      <c r="C648" s="74"/>
      <c r="D648" s="12"/>
      <c r="E648" s="51"/>
      <c r="F648" s="24"/>
      <c r="G648" s="24"/>
      <c r="H648" s="24"/>
      <c r="I648" s="24"/>
      <c r="J648" s="24"/>
      <c r="K648" s="51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3.5" customHeight="1">
      <c r="A649" s="74"/>
      <c r="B649" s="74"/>
      <c r="C649" s="74"/>
      <c r="D649" s="12"/>
      <c r="E649" s="51"/>
      <c r="F649" s="24"/>
      <c r="G649" s="24"/>
      <c r="H649" s="24"/>
      <c r="I649" s="24"/>
      <c r="J649" s="24"/>
      <c r="K649" s="51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3.5" customHeight="1">
      <c r="A650" s="74"/>
      <c r="B650" s="74"/>
      <c r="C650" s="74"/>
      <c r="D650" s="12"/>
      <c r="E650" s="51"/>
      <c r="F650" s="24"/>
      <c r="G650" s="24"/>
      <c r="H650" s="24"/>
      <c r="I650" s="24"/>
      <c r="J650" s="24"/>
      <c r="K650" s="51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3.5" customHeight="1">
      <c r="A651" s="74"/>
      <c r="B651" s="74"/>
      <c r="C651" s="74"/>
      <c r="D651" s="12"/>
      <c r="E651" s="51"/>
      <c r="F651" s="24"/>
      <c r="G651" s="24"/>
      <c r="H651" s="24"/>
      <c r="I651" s="24"/>
      <c r="J651" s="24"/>
      <c r="K651" s="51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3.5" customHeight="1">
      <c r="A652" s="74"/>
      <c r="B652" s="74"/>
      <c r="C652" s="74"/>
      <c r="D652" s="12"/>
      <c r="E652" s="51"/>
      <c r="F652" s="24"/>
      <c r="G652" s="24"/>
      <c r="H652" s="24"/>
      <c r="I652" s="24"/>
      <c r="J652" s="24"/>
      <c r="K652" s="51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3.5" customHeight="1">
      <c r="A653" s="74"/>
      <c r="B653" s="74"/>
      <c r="C653" s="74"/>
      <c r="D653" s="12"/>
      <c r="E653" s="51"/>
      <c r="F653" s="24"/>
      <c r="G653" s="24"/>
      <c r="H653" s="24"/>
      <c r="I653" s="24"/>
      <c r="J653" s="24"/>
      <c r="K653" s="51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3.5" customHeight="1">
      <c r="A654" s="74"/>
      <c r="B654" s="74"/>
      <c r="C654" s="74"/>
      <c r="D654" s="12"/>
      <c r="E654" s="51"/>
      <c r="F654" s="24"/>
      <c r="G654" s="24"/>
      <c r="H654" s="24"/>
      <c r="I654" s="24"/>
      <c r="J654" s="24"/>
      <c r="K654" s="51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3.5" customHeight="1">
      <c r="A655" s="74"/>
      <c r="B655" s="74"/>
      <c r="C655" s="74"/>
      <c r="D655" s="12"/>
      <c r="E655" s="51"/>
      <c r="F655" s="24"/>
      <c r="G655" s="24"/>
      <c r="H655" s="24"/>
      <c r="I655" s="24"/>
      <c r="J655" s="24"/>
      <c r="K655" s="51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3.5" customHeight="1">
      <c r="A656" s="74"/>
      <c r="B656" s="74"/>
      <c r="C656" s="74"/>
      <c r="D656" s="12"/>
      <c r="E656" s="51"/>
      <c r="F656" s="24"/>
      <c r="G656" s="24"/>
      <c r="H656" s="24"/>
      <c r="I656" s="24"/>
      <c r="J656" s="24"/>
      <c r="K656" s="51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3.5" customHeight="1">
      <c r="A657" s="74"/>
      <c r="B657" s="74"/>
      <c r="C657" s="74"/>
      <c r="D657" s="12"/>
      <c r="E657" s="51"/>
      <c r="F657" s="24"/>
      <c r="G657" s="24"/>
      <c r="H657" s="24"/>
      <c r="I657" s="24"/>
      <c r="J657" s="24"/>
      <c r="K657" s="51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3.5" customHeight="1">
      <c r="A658" s="74"/>
      <c r="B658" s="74"/>
      <c r="C658" s="74"/>
      <c r="D658" s="12"/>
      <c r="E658" s="51"/>
      <c r="F658" s="24"/>
      <c r="G658" s="24"/>
      <c r="H658" s="24"/>
      <c r="I658" s="24"/>
      <c r="J658" s="24"/>
      <c r="K658" s="51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3.5" customHeight="1">
      <c r="A659" s="74"/>
      <c r="B659" s="74"/>
      <c r="C659" s="74"/>
      <c r="D659" s="12"/>
      <c r="E659" s="51"/>
      <c r="F659" s="24"/>
      <c r="G659" s="24"/>
      <c r="H659" s="24"/>
      <c r="I659" s="24"/>
      <c r="J659" s="24"/>
      <c r="K659" s="51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3.5" customHeight="1">
      <c r="A660" s="74"/>
      <c r="B660" s="74"/>
      <c r="C660" s="74"/>
      <c r="D660" s="12"/>
      <c r="E660" s="51"/>
      <c r="F660" s="24"/>
      <c r="G660" s="24"/>
      <c r="H660" s="24"/>
      <c r="I660" s="24"/>
      <c r="J660" s="24"/>
      <c r="K660" s="51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3.5" customHeight="1">
      <c r="A661" s="74"/>
      <c r="B661" s="74"/>
      <c r="C661" s="74"/>
      <c r="D661" s="12"/>
      <c r="E661" s="51"/>
      <c r="F661" s="24"/>
      <c r="G661" s="24"/>
      <c r="H661" s="24"/>
      <c r="I661" s="24"/>
      <c r="J661" s="24"/>
      <c r="K661" s="51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3.5" customHeight="1">
      <c r="A662" s="74"/>
      <c r="B662" s="74"/>
      <c r="C662" s="74"/>
      <c r="D662" s="12"/>
      <c r="E662" s="51"/>
      <c r="F662" s="24"/>
      <c r="G662" s="24"/>
      <c r="H662" s="24"/>
      <c r="I662" s="24"/>
      <c r="J662" s="24"/>
      <c r="K662" s="51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3.5" customHeight="1">
      <c r="A663" s="74"/>
      <c r="B663" s="74"/>
      <c r="C663" s="74"/>
      <c r="D663" s="12"/>
      <c r="E663" s="51"/>
      <c r="F663" s="24"/>
      <c r="G663" s="24"/>
      <c r="H663" s="24"/>
      <c r="I663" s="24"/>
      <c r="J663" s="24"/>
      <c r="K663" s="51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3.5" customHeight="1">
      <c r="A664" s="74"/>
      <c r="B664" s="74"/>
      <c r="C664" s="74"/>
      <c r="D664" s="12"/>
      <c r="E664" s="51"/>
      <c r="F664" s="24"/>
      <c r="G664" s="24"/>
      <c r="H664" s="24"/>
      <c r="I664" s="24"/>
      <c r="J664" s="24"/>
      <c r="K664" s="51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3.5" customHeight="1">
      <c r="A665" s="74"/>
      <c r="B665" s="74"/>
      <c r="C665" s="74"/>
      <c r="D665" s="12"/>
      <c r="E665" s="51"/>
      <c r="F665" s="24"/>
      <c r="G665" s="24"/>
      <c r="H665" s="24"/>
      <c r="I665" s="24"/>
      <c r="J665" s="24"/>
      <c r="K665" s="51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3.5" customHeight="1">
      <c r="A666" s="74"/>
      <c r="B666" s="74"/>
      <c r="C666" s="74"/>
      <c r="D666" s="12"/>
      <c r="E666" s="51"/>
      <c r="F666" s="24"/>
      <c r="G666" s="24"/>
      <c r="H666" s="24"/>
      <c r="I666" s="24"/>
      <c r="J666" s="24"/>
      <c r="K666" s="51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3.5" customHeight="1">
      <c r="A667" s="74"/>
      <c r="B667" s="74"/>
      <c r="C667" s="74"/>
      <c r="D667" s="12"/>
      <c r="E667" s="51"/>
      <c r="F667" s="24"/>
      <c r="G667" s="24"/>
      <c r="H667" s="24"/>
      <c r="I667" s="24"/>
      <c r="J667" s="24"/>
      <c r="K667" s="51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3.5" customHeight="1">
      <c r="A668" s="74"/>
      <c r="B668" s="74"/>
      <c r="C668" s="74"/>
      <c r="D668" s="12"/>
      <c r="E668" s="51"/>
      <c r="F668" s="24"/>
      <c r="G668" s="24"/>
      <c r="H668" s="24"/>
      <c r="I668" s="24"/>
      <c r="J668" s="24"/>
      <c r="K668" s="51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3.5" customHeight="1">
      <c r="A669" s="74"/>
      <c r="B669" s="74"/>
      <c r="C669" s="74"/>
      <c r="D669" s="12"/>
      <c r="E669" s="51"/>
      <c r="F669" s="24"/>
      <c r="G669" s="24"/>
      <c r="H669" s="24"/>
      <c r="I669" s="24"/>
      <c r="J669" s="24"/>
      <c r="K669" s="51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3.5" customHeight="1">
      <c r="A670" s="74"/>
      <c r="B670" s="74"/>
      <c r="C670" s="74"/>
      <c r="D670" s="12"/>
      <c r="E670" s="51"/>
      <c r="F670" s="24"/>
      <c r="G670" s="24"/>
      <c r="H670" s="24"/>
      <c r="I670" s="24"/>
      <c r="J670" s="24"/>
      <c r="K670" s="51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3.5" customHeight="1">
      <c r="A671" s="74"/>
      <c r="B671" s="74"/>
      <c r="C671" s="74"/>
      <c r="D671" s="12"/>
      <c r="E671" s="51"/>
      <c r="F671" s="24"/>
      <c r="G671" s="24"/>
      <c r="H671" s="24"/>
      <c r="I671" s="24"/>
      <c r="J671" s="24"/>
      <c r="K671" s="51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3.5" customHeight="1">
      <c r="A672" s="74"/>
      <c r="B672" s="74"/>
      <c r="C672" s="74"/>
      <c r="D672" s="12"/>
      <c r="E672" s="51"/>
      <c r="F672" s="24"/>
      <c r="G672" s="24"/>
      <c r="H672" s="24"/>
      <c r="I672" s="24"/>
      <c r="J672" s="24"/>
      <c r="K672" s="51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3.5" customHeight="1">
      <c r="A673" s="74"/>
      <c r="B673" s="74"/>
      <c r="C673" s="74"/>
      <c r="D673" s="12"/>
      <c r="E673" s="51"/>
      <c r="F673" s="24"/>
      <c r="G673" s="24"/>
      <c r="H673" s="24"/>
      <c r="I673" s="24"/>
      <c r="J673" s="24"/>
      <c r="K673" s="51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3.5" customHeight="1">
      <c r="A674" s="74"/>
      <c r="B674" s="74"/>
      <c r="C674" s="74"/>
      <c r="D674" s="12"/>
      <c r="E674" s="51"/>
      <c r="F674" s="24"/>
      <c r="G674" s="24"/>
      <c r="H674" s="24"/>
      <c r="I674" s="24"/>
      <c r="J674" s="24"/>
      <c r="K674" s="51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3.5" customHeight="1">
      <c r="A675" s="74"/>
      <c r="B675" s="74"/>
      <c r="C675" s="74"/>
      <c r="D675" s="12"/>
      <c r="E675" s="51"/>
      <c r="F675" s="24"/>
      <c r="G675" s="24"/>
      <c r="H675" s="24"/>
      <c r="I675" s="24"/>
      <c r="J675" s="24"/>
      <c r="K675" s="51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3.5" customHeight="1">
      <c r="A676" s="74"/>
      <c r="B676" s="74"/>
      <c r="C676" s="74"/>
      <c r="D676" s="12"/>
      <c r="E676" s="51"/>
      <c r="F676" s="24"/>
      <c r="G676" s="24"/>
      <c r="H676" s="24"/>
      <c r="I676" s="24"/>
      <c r="J676" s="24"/>
      <c r="K676" s="51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3.5" customHeight="1">
      <c r="A677" s="74"/>
      <c r="B677" s="74"/>
      <c r="C677" s="74"/>
      <c r="D677" s="12"/>
      <c r="E677" s="51"/>
      <c r="F677" s="24"/>
      <c r="G677" s="24"/>
      <c r="H677" s="24"/>
      <c r="I677" s="24"/>
      <c r="J677" s="24"/>
      <c r="K677" s="51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3.5" customHeight="1">
      <c r="A678" s="74"/>
      <c r="B678" s="74"/>
      <c r="C678" s="74"/>
      <c r="D678" s="12"/>
      <c r="E678" s="51"/>
      <c r="F678" s="24"/>
      <c r="G678" s="24"/>
      <c r="H678" s="24"/>
      <c r="I678" s="24"/>
      <c r="J678" s="24"/>
      <c r="K678" s="51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3.5" customHeight="1">
      <c r="A679" s="74"/>
      <c r="B679" s="74"/>
      <c r="C679" s="74"/>
      <c r="D679" s="12"/>
      <c r="E679" s="51"/>
      <c r="F679" s="24"/>
      <c r="G679" s="24"/>
      <c r="H679" s="24"/>
      <c r="I679" s="24"/>
      <c r="J679" s="24"/>
      <c r="K679" s="51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3.5" customHeight="1">
      <c r="A680" s="74"/>
      <c r="B680" s="74"/>
      <c r="C680" s="74"/>
      <c r="D680" s="12"/>
      <c r="E680" s="51"/>
      <c r="F680" s="24"/>
      <c r="G680" s="24"/>
      <c r="H680" s="24"/>
      <c r="I680" s="24"/>
      <c r="J680" s="24"/>
      <c r="K680" s="51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3.5" customHeight="1">
      <c r="A681" s="74"/>
      <c r="B681" s="74"/>
      <c r="C681" s="74"/>
      <c r="D681" s="12"/>
      <c r="E681" s="51"/>
      <c r="F681" s="24"/>
      <c r="G681" s="24"/>
      <c r="H681" s="24"/>
      <c r="I681" s="24"/>
      <c r="J681" s="24"/>
      <c r="K681" s="51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3.5" customHeight="1">
      <c r="A682" s="74"/>
      <c r="B682" s="74"/>
      <c r="C682" s="74"/>
      <c r="D682" s="12"/>
      <c r="E682" s="51"/>
      <c r="F682" s="24"/>
      <c r="G682" s="24"/>
      <c r="H682" s="24"/>
      <c r="I682" s="24"/>
      <c r="J682" s="24"/>
      <c r="K682" s="51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3.5" customHeight="1">
      <c r="A683" s="74"/>
      <c r="B683" s="74"/>
      <c r="C683" s="74"/>
      <c r="D683" s="12"/>
      <c r="E683" s="51"/>
      <c r="F683" s="24"/>
      <c r="G683" s="24"/>
      <c r="H683" s="24"/>
      <c r="I683" s="24"/>
      <c r="J683" s="24"/>
      <c r="K683" s="51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3.5" customHeight="1">
      <c r="A684" s="74"/>
      <c r="B684" s="74"/>
      <c r="C684" s="74"/>
      <c r="D684" s="12"/>
      <c r="E684" s="51"/>
      <c r="F684" s="24"/>
      <c r="G684" s="24"/>
      <c r="H684" s="24"/>
      <c r="I684" s="24"/>
      <c r="J684" s="24"/>
      <c r="K684" s="51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3.5" customHeight="1">
      <c r="A685" s="74"/>
      <c r="B685" s="74"/>
      <c r="C685" s="74"/>
      <c r="D685" s="12"/>
      <c r="E685" s="51"/>
      <c r="F685" s="24"/>
      <c r="G685" s="24"/>
      <c r="H685" s="24"/>
      <c r="I685" s="24"/>
      <c r="J685" s="24"/>
      <c r="K685" s="51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3.5" customHeight="1">
      <c r="A686" s="74"/>
      <c r="B686" s="74"/>
      <c r="C686" s="74"/>
      <c r="D686" s="12"/>
      <c r="E686" s="51"/>
      <c r="F686" s="24"/>
      <c r="G686" s="24"/>
      <c r="H686" s="24"/>
      <c r="I686" s="24"/>
      <c r="J686" s="24"/>
      <c r="K686" s="51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3.5" customHeight="1">
      <c r="A687" s="74"/>
      <c r="B687" s="74"/>
      <c r="C687" s="74"/>
      <c r="D687" s="12"/>
      <c r="E687" s="51"/>
      <c r="F687" s="24"/>
      <c r="G687" s="24"/>
      <c r="H687" s="24"/>
      <c r="I687" s="24"/>
      <c r="J687" s="24"/>
      <c r="K687" s="51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3.5" customHeight="1">
      <c r="A688" s="74"/>
      <c r="B688" s="74"/>
      <c r="C688" s="74"/>
      <c r="D688" s="12"/>
      <c r="E688" s="51"/>
      <c r="F688" s="24"/>
      <c r="G688" s="24"/>
      <c r="H688" s="24"/>
      <c r="I688" s="24"/>
      <c r="J688" s="24"/>
      <c r="K688" s="51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3.5" customHeight="1">
      <c r="A689" s="74"/>
      <c r="B689" s="74"/>
      <c r="C689" s="74"/>
      <c r="D689" s="12"/>
      <c r="E689" s="51"/>
      <c r="F689" s="24"/>
      <c r="G689" s="24"/>
      <c r="H689" s="24"/>
      <c r="I689" s="24"/>
      <c r="J689" s="24"/>
      <c r="K689" s="51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3.5" customHeight="1">
      <c r="A690" s="74"/>
      <c r="B690" s="74"/>
      <c r="C690" s="74"/>
      <c r="D690" s="12"/>
      <c r="E690" s="51"/>
      <c r="F690" s="24"/>
      <c r="G690" s="24"/>
      <c r="H690" s="24"/>
      <c r="I690" s="24"/>
      <c r="J690" s="24"/>
      <c r="K690" s="51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3.5" customHeight="1">
      <c r="A691" s="74"/>
      <c r="B691" s="74"/>
      <c r="C691" s="74"/>
      <c r="D691" s="12"/>
      <c r="E691" s="51"/>
      <c r="F691" s="24"/>
      <c r="G691" s="24"/>
      <c r="H691" s="24"/>
      <c r="I691" s="24"/>
      <c r="J691" s="24"/>
      <c r="K691" s="51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3.5" customHeight="1">
      <c r="A692" s="74"/>
      <c r="B692" s="74"/>
      <c r="C692" s="74"/>
      <c r="D692" s="12"/>
      <c r="E692" s="51"/>
      <c r="F692" s="24"/>
      <c r="G692" s="24"/>
      <c r="H692" s="24"/>
      <c r="I692" s="24"/>
      <c r="J692" s="24"/>
      <c r="K692" s="51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3.5" customHeight="1">
      <c r="A693" s="74"/>
      <c r="B693" s="74"/>
      <c r="C693" s="74"/>
      <c r="D693" s="12"/>
      <c r="E693" s="51"/>
      <c r="F693" s="24"/>
      <c r="G693" s="24"/>
      <c r="H693" s="24"/>
      <c r="I693" s="24"/>
      <c r="J693" s="24"/>
      <c r="K693" s="51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3.5" customHeight="1">
      <c r="A694" s="74"/>
      <c r="B694" s="74"/>
      <c r="C694" s="74"/>
      <c r="D694" s="12"/>
      <c r="E694" s="51"/>
      <c r="F694" s="24"/>
      <c r="G694" s="24"/>
      <c r="H694" s="24"/>
      <c r="I694" s="24"/>
      <c r="J694" s="24"/>
      <c r="K694" s="51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3.5" customHeight="1">
      <c r="A695" s="74"/>
      <c r="B695" s="74"/>
      <c r="C695" s="74"/>
      <c r="D695" s="12"/>
      <c r="E695" s="51"/>
      <c r="F695" s="24"/>
      <c r="G695" s="24"/>
      <c r="H695" s="24"/>
      <c r="I695" s="24"/>
      <c r="J695" s="24"/>
      <c r="K695" s="51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3.5" customHeight="1">
      <c r="A696" s="74"/>
      <c r="B696" s="74"/>
      <c r="C696" s="74"/>
      <c r="D696" s="12"/>
      <c r="E696" s="51"/>
      <c r="F696" s="24"/>
      <c r="G696" s="24"/>
      <c r="H696" s="24"/>
      <c r="I696" s="24"/>
      <c r="J696" s="24"/>
      <c r="K696" s="51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3.5" customHeight="1">
      <c r="A697" s="74"/>
      <c r="B697" s="74"/>
      <c r="C697" s="74"/>
      <c r="D697" s="12"/>
      <c r="E697" s="51"/>
      <c r="F697" s="24"/>
      <c r="G697" s="24"/>
      <c r="H697" s="24"/>
      <c r="I697" s="24"/>
      <c r="J697" s="24"/>
      <c r="K697" s="51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3.5" customHeight="1">
      <c r="A698" s="74"/>
      <c r="B698" s="74"/>
      <c r="C698" s="74"/>
      <c r="D698" s="12"/>
      <c r="E698" s="51"/>
      <c r="F698" s="24"/>
      <c r="G698" s="24"/>
      <c r="H698" s="24"/>
      <c r="I698" s="24"/>
      <c r="J698" s="24"/>
      <c r="K698" s="51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3.5" customHeight="1">
      <c r="A699" s="74"/>
      <c r="B699" s="74"/>
      <c r="C699" s="74"/>
      <c r="D699" s="12"/>
      <c r="E699" s="51"/>
      <c r="F699" s="24"/>
      <c r="G699" s="24"/>
      <c r="H699" s="24"/>
      <c r="I699" s="24"/>
      <c r="J699" s="24"/>
      <c r="K699" s="51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3.5" customHeight="1">
      <c r="A700" s="74"/>
      <c r="B700" s="74"/>
      <c r="C700" s="74"/>
      <c r="D700" s="12"/>
      <c r="E700" s="51"/>
      <c r="F700" s="24"/>
      <c r="G700" s="24"/>
      <c r="H700" s="24"/>
      <c r="I700" s="24"/>
      <c r="J700" s="24"/>
      <c r="K700" s="51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3.5" customHeight="1">
      <c r="A701" s="74"/>
      <c r="B701" s="74"/>
      <c r="C701" s="74"/>
      <c r="D701" s="12"/>
      <c r="E701" s="51"/>
      <c r="F701" s="24"/>
      <c r="G701" s="24"/>
      <c r="H701" s="24"/>
      <c r="I701" s="24"/>
      <c r="J701" s="24"/>
      <c r="K701" s="51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3.5" customHeight="1">
      <c r="A702" s="74"/>
      <c r="B702" s="74"/>
      <c r="C702" s="74"/>
      <c r="D702" s="12"/>
      <c r="E702" s="51"/>
      <c r="F702" s="24"/>
      <c r="G702" s="24"/>
      <c r="H702" s="24"/>
      <c r="I702" s="24"/>
      <c r="J702" s="24"/>
      <c r="K702" s="51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3.5" customHeight="1">
      <c r="A703" s="74"/>
      <c r="B703" s="74"/>
      <c r="C703" s="74"/>
      <c r="D703" s="12"/>
      <c r="E703" s="51"/>
      <c r="F703" s="24"/>
      <c r="G703" s="24"/>
      <c r="H703" s="24"/>
      <c r="I703" s="24"/>
      <c r="J703" s="24"/>
      <c r="K703" s="51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3.5" customHeight="1">
      <c r="A704" s="74"/>
      <c r="B704" s="74"/>
      <c r="C704" s="74"/>
      <c r="D704" s="12"/>
      <c r="E704" s="51"/>
      <c r="F704" s="24"/>
      <c r="G704" s="24"/>
      <c r="H704" s="24"/>
      <c r="I704" s="24"/>
      <c r="J704" s="24"/>
      <c r="K704" s="51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3.5" customHeight="1">
      <c r="A705" s="74"/>
      <c r="B705" s="74"/>
      <c r="C705" s="74"/>
      <c r="D705" s="12"/>
      <c r="E705" s="51"/>
      <c r="F705" s="24"/>
      <c r="G705" s="24"/>
      <c r="H705" s="24"/>
      <c r="I705" s="24"/>
      <c r="J705" s="24"/>
      <c r="K705" s="51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3.5" customHeight="1">
      <c r="A706" s="74"/>
      <c r="B706" s="74"/>
      <c r="C706" s="74"/>
      <c r="D706" s="12"/>
      <c r="E706" s="51"/>
      <c r="F706" s="24"/>
      <c r="G706" s="24"/>
      <c r="H706" s="24"/>
      <c r="I706" s="24"/>
      <c r="J706" s="24"/>
      <c r="K706" s="51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3.5" customHeight="1">
      <c r="A707" s="74"/>
      <c r="B707" s="74"/>
      <c r="C707" s="74"/>
      <c r="D707" s="12"/>
      <c r="E707" s="51"/>
      <c r="F707" s="24"/>
      <c r="G707" s="24"/>
      <c r="H707" s="24"/>
      <c r="I707" s="24"/>
      <c r="J707" s="24"/>
      <c r="K707" s="51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3.5" customHeight="1">
      <c r="A708" s="74"/>
      <c r="B708" s="74"/>
      <c r="C708" s="74"/>
      <c r="D708" s="12"/>
      <c r="E708" s="51"/>
      <c r="F708" s="24"/>
      <c r="G708" s="24"/>
      <c r="H708" s="24"/>
      <c r="I708" s="24"/>
      <c r="J708" s="24"/>
      <c r="K708" s="51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3.5" customHeight="1">
      <c r="A709" s="74"/>
      <c r="B709" s="74"/>
      <c r="C709" s="74"/>
      <c r="D709" s="12"/>
      <c r="E709" s="51"/>
      <c r="F709" s="24"/>
      <c r="G709" s="24"/>
      <c r="H709" s="24"/>
      <c r="I709" s="24"/>
      <c r="J709" s="24"/>
      <c r="K709" s="51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3.5" customHeight="1">
      <c r="A710" s="74"/>
      <c r="B710" s="74"/>
      <c r="C710" s="74"/>
      <c r="D710" s="12"/>
      <c r="E710" s="51"/>
      <c r="F710" s="24"/>
      <c r="G710" s="24"/>
      <c r="H710" s="24"/>
      <c r="I710" s="24"/>
      <c r="J710" s="24"/>
      <c r="K710" s="51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3.5" customHeight="1">
      <c r="A711" s="74"/>
      <c r="B711" s="74"/>
      <c r="C711" s="74"/>
      <c r="D711" s="12"/>
      <c r="E711" s="51"/>
      <c r="F711" s="24"/>
      <c r="G711" s="24"/>
      <c r="H711" s="24"/>
      <c r="I711" s="24"/>
      <c r="J711" s="24"/>
      <c r="K711" s="51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3.5" customHeight="1">
      <c r="A712" s="74"/>
      <c r="B712" s="74"/>
      <c r="C712" s="74"/>
      <c r="D712" s="12"/>
      <c r="E712" s="51"/>
      <c r="F712" s="24"/>
      <c r="G712" s="24"/>
      <c r="H712" s="24"/>
      <c r="I712" s="24"/>
      <c r="J712" s="24"/>
      <c r="K712" s="51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3.5" customHeight="1">
      <c r="A713" s="74"/>
      <c r="B713" s="74"/>
      <c r="C713" s="74"/>
      <c r="D713" s="12"/>
      <c r="E713" s="51"/>
      <c r="F713" s="24"/>
      <c r="G713" s="24"/>
      <c r="H713" s="24"/>
      <c r="I713" s="24"/>
      <c r="J713" s="24"/>
      <c r="K713" s="51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3.5" customHeight="1">
      <c r="A714" s="74"/>
      <c r="B714" s="74"/>
      <c r="C714" s="74"/>
      <c r="D714" s="12"/>
      <c r="E714" s="51"/>
      <c r="F714" s="24"/>
      <c r="G714" s="24"/>
      <c r="H714" s="24"/>
      <c r="I714" s="24"/>
      <c r="J714" s="24"/>
      <c r="K714" s="51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3.5" customHeight="1">
      <c r="A715" s="74"/>
      <c r="B715" s="74"/>
      <c r="C715" s="74"/>
      <c r="D715" s="12"/>
      <c r="E715" s="51"/>
      <c r="F715" s="24"/>
      <c r="G715" s="24"/>
      <c r="H715" s="24"/>
      <c r="I715" s="24"/>
      <c r="J715" s="24"/>
      <c r="K715" s="51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3.5" customHeight="1">
      <c r="A716" s="74"/>
      <c r="B716" s="74"/>
      <c r="C716" s="74"/>
      <c r="D716" s="12"/>
      <c r="E716" s="51"/>
      <c r="F716" s="24"/>
      <c r="G716" s="24"/>
      <c r="H716" s="24"/>
      <c r="I716" s="24"/>
      <c r="J716" s="24"/>
      <c r="K716" s="51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3.5" customHeight="1">
      <c r="A717" s="74"/>
      <c r="B717" s="74"/>
      <c r="C717" s="74"/>
      <c r="D717" s="12"/>
      <c r="E717" s="51"/>
      <c r="F717" s="24"/>
      <c r="G717" s="24"/>
      <c r="H717" s="24"/>
      <c r="I717" s="24"/>
      <c r="J717" s="24"/>
      <c r="K717" s="51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3.5" customHeight="1">
      <c r="A718" s="74"/>
      <c r="B718" s="74"/>
      <c r="C718" s="74"/>
      <c r="D718" s="12"/>
      <c r="E718" s="51"/>
      <c r="F718" s="24"/>
      <c r="G718" s="24"/>
      <c r="H718" s="24"/>
      <c r="I718" s="24"/>
      <c r="J718" s="24"/>
      <c r="K718" s="51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3.5" customHeight="1">
      <c r="A719" s="74"/>
      <c r="B719" s="74"/>
      <c r="C719" s="74"/>
      <c r="D719" s="12"/>
      <c r="E719" s="51"/>
      <c r="F719" s="24"/>
      <c r="G719" s="24"/>
      <c r="H719" s="24"/>
      <c r="I719" s="24"/>
      <c r="J719" s="24"/>
      <c r="K719" s="51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3.5" customHeight="1">
      <c r="A720" s="74"/>
      <c r="B720" s="74"/>
      <c r="C720" s="74"/>
      <c r="D720" s="12"/>
      <c r="E720" s="51"/>
      <c r="F720" s="24"/>
      <c r="G720" s="24"/>
      <c r="H720" s="24"/>
      <c r="I720" s="24"/>
      <c r="J720" s="24"/>
      <c r="K720" s="51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3.5" customHeight="1">
      <c r="A721" s="74"/>
      <c r="B721" s="74"/>
      <c r="C721" s="74"/>
      <c r="D721" s="12"/>
      <c r="E721" s="51"/>
      <c r="F721" s="24"/>
      <c r="G721" s="24"/>
      <c r="H721" s="24"/>
      <c r="I721" s="24"/>
      <c r="J721" s="24"/>
      <c r="K721" s="51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3.5" customHeight="1">
      <c r="A722" s="74"/>
      <c r="B722" s="74"/>
      <c r="C722" s="74"/>
      <c r="D722" s="12"/>
      <c r="E722" s="51"/>
      <c r="F722" s="24"/>
      <c r="G722" s="24"/>
      <c r="H722" s="24"/>
      <c r="I722" s="24"/>
      <c r="J722" s="24"/>
      <c r="K722" s="51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3.5" customHeight="1">
      <c r="A723" s="74"/>
      <c r="B723" s="74"/>
      <c r="C723" s="74"/>
      <c r="D723" s="12"/>
      <c r="E723" s="51"/>
      <c r="F723" s="24"/>
      <c r="G723" s="24"/>
      <c r="H723" s="24"/>
      <c r="I723" s="24"/>
      <c r="J723" s="24"/>
      <c r="K723" s="51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3.5" customHeight="1">
      <c r="A724" s="74"/>
      <c r="B724" s="74"/>
      <c r="C724" s="74"/>
      <c r="D724" s="12"/>
      <c r="E724" s="51"/>
      <c r="F724" s="24"/>
      <c r="G724" s="24"/>
      <c r="H724" s="24"/>
      <c r="I724" s="24"/>
      <c r="J724" s="24"/>
      <c r="K724" s="51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3.5" customHeight="1">
      <c r="A725" s="74"/>
      <c r="B725" s="74"/>
      <c r="C725" s="74"/>
      <c r="D725" s="12"/>
      <c r="E725" s="51"/>
      <c r="F725" s="24"/>
      <c r="G725" s="24"/>
      <c r="H725" s="24"/>
      <c r="I725" s="24"/>
      <c r="J725" s="24"/>
      <c r="K725" s="51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3.5" customHeight="1">
      <c r="A726" s="74"/>
      <c r="B726" s="74"/>
      <c r="C726" s="74"/>
      <c r="D726" s="12"/>
      <c r="E726" s="51"/>
      <c r="F726" s="24"/>
      <c r="G726" s="24"/>
      <c r="H726" s="24"/>
      <c r="I726" s="24"/>
      <c r="J726" s="24"/>
      <c r="K726" s="51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3.5" customHeight="1">
      <c r="A727" s="74"/>
      <c r="B727" s="74"/>
      <c r="C727" s="74"/>
      <c r="D727" s="12"/>
      <c r="E727" s="51"/>
      <c r="F727" s="24"/>
      <c r="G727" s="24"/>
      <c r="H727" s="24"/>
      <c r="I727" s="24"/>
      <c r="J727" s="24"/>
      <c r="K727" s="51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3.5" customHeight="1">
      <c r="A728" s="74"/>
      <c r="B728" s="74"/>
      <c r="C728" s="74"/>
      <c r="D728" s="12"/>
      <c r="E728" s="51"/>
      <c r="F728" s="24"/>
      <c r="G728" s="24"/>
      <c r="H728" s="24"/>
      <c r="I728" s="24"/>
      <c r="J728" s="24"/>
      <c r="K728" s="51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3.5" customHeight="1">
      <c r="A729" s="74"/>
      <c r="B729" s="74"/>
      <c r="C729" s="74"/>
      <c r="D729" s="12"/>
      <c r="E729" s="51"/>
      <c r="F729" s="24"/>
      <c r="G729" s="24"/>
      <c r="H729" s="24"/>
      <c r="I729" s="24"/>
      <c r="J729" s="24"/>
      <c r="K729" s="51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3.5" customHeight="1">
      <c r="A730" s="74"/>
      <c r="B730" s="74"/>
      <c r="C730" s="74"/>
      <c r="D730" s="12"/>
      <c r="E730" s="51"/>
      <c r="F730" s="24"/>
      <c r="G730" s="24"/>
      <c r="H730" s="24"/>
      <c r="I730" s="24"/>
      <c r="J730" s="24"/>
      <c r="K730" s="51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3.5" customHeight="1">
      <c r="A731" s="74"/>
      <c r="B731" s="74"/>
      <c r="C731" s="74"/>
      <c r="D731" s="12"/>
      <c r="E731" s="51"/>
      <c r="F731" s="24"/>
      <c r="G731" s="24"/>
      <c r="H731" s="24"/>
      <c r="I731" s="24"/>
      <c r="J731" s="24"/>
      <c r="K731" s="51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3.5" customHeight="1">
      <c r="A732" s="74"/>
      <c r="B732" s="74"/>
      <c r="C732" s="74"/>
      <c r="D732" s="12"/>
      <c r="E732" s="51"/>
      <c r="F732" s="24"/>
      <c r="G732" s="24"/>
      <c r="H732" s="24"/>
      <c r="I732" s="24"/>
      <c r="J732" s="24"/>
      <c r="K732" s="51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3.5" customHeight="1">
      <c r="A733" s="74"/>
      <c r="B733" s="74"/>
      <c r="C733" s="74"/>
      <c r="D733" s="12"/>
      <c r="E733" s="51"/>
      <c r="F733" s="24"/>
      <c r="G733" s="24"/>
      <c r="H733" s="24"/>
      <c r="I733" s="24"/>
      <c r="J733" s="24"/>
      <c r="K733" s="51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3.5" customHeight="1">
      <c r="A734" s="74"/>
      <c r="B734" s="74"/>
      <c r="C734" s="74"/>
      <c r="D734" s="12"/>
      <c r="E734" s="51"/>
      <c r="F734" s="24"/>
      <c r="G734" s="24"/>
      <c r="H734" s="24"/>
      <c r="I734" s="24"/>
      <c r="J734" s="24"/>
      <c r="K734" s="51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3.5" customHeight="1">
      <c r="A735" s="74"/>
      <c r="B735" s="74"/>
      <c r="C735" s="74"/>
      <c r="D735" s="12"/>
      <c r="E735" s="51"/>
      <c r="F735" s="24"/>
      <c r="G735" s="24"/>
      <c r="H735" s="24"/>
      <c r="I735" s="24"/>
      <c r="J735" s="24"/>
      <c r="K735" s="51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3.5" customHeight="1">
      <c r="A736" s="74"/>
      <c r="B736" s="74"/>
      <c r="C736" s="74"/>
      <c r="D736" s="12"/>
      <c r="E736" s="51"/>
      <c r="F736" s="24"/>
      <c r="G736" s="24"/>
      <c r="H736" s="24"/>
      <c r="I736" s="24"/>
      <c r="J736" s="24"/>
      <c r="K736" s="51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3.5" customHeight="1">
      <c r="A737" s="74"/>
      <c r="B737" s="74"/>
      <c r="C737" s="74"/>
      <c r="D737" s="12"/>
      <c r="E737" s="51"/>
      <c r="F737" s="24"/>
      <c r="G737" s="24"/>
      <c r="H737" s="24"/>
      <c r="I737" s="24"/>
      <c r="J737" s="24"/>
      <c r="K737" s="51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3.5" customHeight="1">
      <c r="A738" s="74"/>
      <c r="B738" s="74"/>
      <c r="C738" s="74"/>
      <c r="D738" s="12"/>
      <c r="E738" s="51"/>
      <c r="F738" s="24"/>
      <c r="G738" s="24"/>
      <c r="H738" s="24"/>
      <c r="I738" s="24"/>
      <c r="J738" s="24"/>
      <c r="K738" s="51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3.5" customHeight="1">
      <c r="A739" s="74"/>
      <c r="B739" s="74"/>
      <c r="C739" s="74"/>
      <c r="D739" s="12"/>
      <c r="E739" s="51"/>
      <c r="F739" s="24"/>
      <c r="G739" s="24"/>
      <c r="H739" s="24"/>
      <c r="I739" s="24"/>
      <c r="J739" s="24"/>
      <c r="K739" s="51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3.5" customHeight="1">
      <c r="A740" s="74"/>
      <c r="B740" s="74"/>
      <c r="C740" s="74"/>
      <c r="D740" s="12"/>
      <c r="E740" s="51"/>
      <c r="F740" s="24"/>
      <c r="G740" s="24"/>
      <c r="H740" s="24"/>
      <c r="I740" s="24"/>
      <c r="J740" s="24"/>
      <c r="K740" s="51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3.5" customHeight="1">
      <c r="A741" s="74"/>
      <c r="B741" s="74"/>
      <c r="C741" s="74"/>
      <c r="D741" s="12"/>
      <c r="E741" s="51"/>
      <c r="F741" s="24"/>
      <c r="G741" s="24"/>
      <c r="H741" s="24"/>
      <c r="I741" s="24"/>
      <c r="J741" s="24"/>
      <c r="K741" s="51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3.5" customHeight="1">
      <c r="A742" s="74"/>
      <c r="B742" s="74"/>
      <c r="C742" s="74"/>
      <c r="D742" s="12"/>
      <c r="E742" s="51"/>
      <c r="F742" s="24"/>
      <c r="G742" s="24"/>
      <c r="H742" s="24"/>
      <c r="I742" s="24"/>
      <c r="J742" s="24"/>
      <c r="K742" s="51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3.5" customHeight="1">
      <c r="A743" s="74"/>
      <c r="B743" s="74"/>
      <c r="C743" s="74"/>
      <c r="D743" s="12"/>
      <c r="E743" s="51"/>
      <c r="F743" s="24"/>
      <c r="G743" s="24"/>
      <c r="H743" s="24"/>
      <c r="I743" s="24"/>
      <c r="J743" s="24"/>
      <c r="K743" s="51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3.5" customHeight="1">
      <c r="A744" s="74"/>
      <c r="B744" s="74"/>
      <c r="C744" s="74"/>
      <c r="D744" s="12"/>
      <c r="E744" s="51"/>
      <c r="F744" s="24"/>
      <c r="G744" s="24"/>
      <c r="H744" s="24"/>
      <c r="I744" s="24"/>
      <c r="J744" s="24"/>
      <c r="K744" s="51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3.5" customHeight="1">
      <c r="A745" s="74"/>
      <c r="B745" s="74"/>
      <c r="C745" s="74"/>
      <c r="D745" s="12"/>
      <c r="E745" s="51"/>
      <c r="F745" s="24"/>
      <c r="G745" s="24"/>
      <c r="H745" s="24"/>
      <c r="I745" s="24"/>
      <c r="J745" s="24"/>
      <c r="K745" s="51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3.5" customHeight="1">
      <c r="A746" s="74"/>
      <c r="B746" s="74"/>
      <c r="C746" s="74"/>
      <c r="D746" s="12"/>
      <c r="E746" s="51"/>
      <c r="F746" s="24"/>
      <c r="G746" s="24"/>
      <c r="H746" s="24"/>
      <c r="I746" s="24"/>
      <c r="J746" s="24"/>
      <c r="K746" s="51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3.5" customHeight="1">
      <c r="A747" s="74"/>
      <c r="B747" s="74"/>
      <c r="C747" s="74"/>
      <c r="D747" s="12"/>
      <c r="E747" s="51"/>
      <c r="F747" s="24"/>
      <c r="G747" s="24"/>
      <c r="H747" s="24"/>
      <c r="I747" s="24"/>
      <c r="J747" s="24"/>
      <c r="K747" s="51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3.5" customHeight="1">
      <c r="A748" s="74"/>
      <c r="B748" s="74"/>
      <c r="C748" s="74"/>
      <c r="D748" s="12"/>
      <c r="E748" s="51"/>
      <c r="F748" s="24"/>
      <c r="G748" s="24"/>
      <c r="H748" s="24"/>
      <c r="I748" s="24"/>
      <c r="J748" s="24"/>
      <c r="K748" s="51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3.5" customHeight="1">
      <c r="A749" s="74"/>
      <c r="B749" s="74"/>
      <c r="C749" s="74"/>
      <c r="D749" s="12"/>
      <c r="E749" s="51"/>
      <c r="F749" s="24"/>
      <c r="G749" s="24"/>
      <c r="H749" s="24"/>
      <c r="I749" s="24"/>
      <c r="J749" s="24"/>
      <c r="K749" s="51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3.5" customHeight="1">
      <c r="A750" s="74"/>
      <c r="B750" s="74"/>
      <c r="C750" s="74"/>
      <c r="D750" s="12"/>
      <c r="E750" s="51"/>
      <c r="F750" s="24"/>
      <c r="G750" s="24"/>
      <c r="H750" s="24"/>
      <c r="I750" s="24"/>
      <c r="J750" s="24"/>
      <c r="K750" s="51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3.5" customHeight="1">
      <c r="A751" s="74"/>
      <c r="B751" s="74"/>
      <c r="C751" s="74"/>
      <c r="D751" s="12"/>
      <c r="E751" s="51"/>
      <c r="F751" s="24"/>
      <c r="G751" s="24"/>
      <c r="H751" s="24"/>
      <c r="I751" s="24"/>
      <c r="J751" s="24"/>
      <c r="K751" s="51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3.5" customHeight="1">
      <c r="A752" s="74"/>
      <c r="B752" s="74"/>
      <c r="C752" s="74"/>
      <c r="D752" s="12"/>
      <c r="E752" s="51"/>
      <c r="F752" s="24"/>
      <c r="G752" s="24"/>
      <c r="H752" s="24"/>
      <c r="I752" s="24"/>
      <c r="J752" s="24"/>
      <c r="K752" s="51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3.5" customHeight="1">
      <c r="A753" s="74"/>
      <c r="B753" s="74"/>
      <c r="C753" s="74"/>
      <c r="D753" s="12"/>
      <c r="E753" s="51"/>
      <c r="F753" s="24"/>
      <c r="G753" s="24"/>
      <c r="H753" s="24"/>
      <c r="I753" s="24"/>
      <c r="J753" s="24"/>
      <c r="K753" s="51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3.5" customHeight="1">
      <c r="A754" s="74"/>
      <c r="B754" s="74"/>
      <c r="C754" s="74"/>
      <c r="D754" s="12"/>
      <c r="E754" s="51"/>
      <c r="F754" s="24"/>
      <c r="G754" s="24"/>
      <c r="H754" s="24"/>
      <c r="I754" s="24"/>
      <c r="J754" s="24"/>
      <c r="K754" s="51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3.5" customHeight="1">
      <c r="A755" s="74"/>
      <c r="B755" s="74"/>
      <c r="C755" s="74"/>
      <c r="D755" s="12"/>
      <c r="E755" s="51"/>
      <c r="F755" s="24"/>
      <c r="G755" s="24"/>
      <c r="H755" s="24"/>
      <c r="I755" s="24"/>
      <c r="J755" s="24"/>
      <c r="K755" s="51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3.5" customHeight="1">
      <c r="A756" s="74"/>
      <c r="B756" s="74"/>
      <c r="C756" s="74"/>
      <c r="D756" s="12"/>
      <c r="E756" s="51"/>
      <c r="F756" s="24"/>
      <c r="G756" s="24"/>
      <c r="H756" s="24"/>
      <c r="I756" s="24"/>
      <c r="J756" s="24"/>
      <c r="K756" s="51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3.5" customHeight="1">
      <c r="A757" s="74"/>
      <c r="B757" s="74"/>
      <c r="C757" s="74"/>
      <c r="D757" s="12"/>
      <c r="E757" s="51"/>
      <c r="F757" s="24"/>
      <c r="G757" s="24"/>
      <c r="H757" s="24"/>
      <c r="I757" s="24"/>
      <c r="J757" s="24"/>
      <c r="K757" s="51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3.5" customHeight="1">
      <c r="A758" s="74"/>
      <c r="B758" s="74"/>
      <c r="C758" s="74"/>
      <c r="D758" s="12"/>
      <c r="E758" s="51"/>
      <c r="F758" s="24"/>
      <c r="G758" s="24"/>
      <c r="H758" s="24"/>
      <c r="I758" s="24"/>
      <c r="J758" s="24"/>
      <c r="K758" s="51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3.5" customHeight="1">
      <c r="A759" s="74"/>
      <c r="B759" s="74"/>
      <c r="C759" s="74"/>
      <c r="D759" s="12"/>
      <c r="E759" s="51"/>
      <c r="F759" s="24"/>
      <c r="G759" s="24"/>
      <c r="H759" s="24"/>
      <c r="I759" s="24"/>
      <c r="J759" s="24"/>
      <c r="K759" s="51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3.5" customHeight="1">
      <c r="A760" s="74"/>
      <c r="B760" s="74"/>
      <c r="C760" s="74"/>
      <c r="D760" s="12"/>
      <c r="E760" s="51"/>
      <c r="F760" s="24"/>
      <c r="G760" s="24"/>
      <c r="H760" s="24"/>
      <c r="I760" s="24"/>
      <c r="J760" s="24"/>
      <c r="K760" s="51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3.5" customHeight="1">
      <c r="A761" s="74"/>
      <c r="B761" s="74"/>
      <c r="C761" s="74"/>
      <c r="D761" s="12"/>
      <c r="E761" s="51"/>
      <c r="F761" s="24"/>
      <c r="G761" s="24"/>
      <c r="H761" s="24"/>
      <c r="I761" s="24"/>
      <c r="J761" s="24"/>
      <c r="K761" s="51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3.5" customHeight="1">
      <c r="A762" s="74"/>
      <c r="B762" s="74"/>
      <c r="C762" s="74"/>
      <c r="D762" s="12"/>
      <c r="E762" s="51"/>
      <c r="F762" s="24"/>
      <c r="G762" s="24"/>
      <c r="H762" s="24"/>
      <c r="I762" s="24"/>
      <c r="J762" s="24"/>
      <c r="K762" s="51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3.5" customHeight="1">
      <c r="A763" s="74"/>
      <c r="B763" s="74"/>
      <c r="C763" s="74"/>
      <c r="D763" s="12"/>
      <c r="E763" s="51"/>
      <c r="F763" s="24"/>
      <c r="G763" s="24"/>
      <c r="H763" s="24"/>
      <c r="I763" s="24"/>
      <c r="J763" s="24"/>
      <c r="K763" s="51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3.5" customHeight="1">
      <c r="A764" s="74"/>
      <c r="B764" s="74"/>
      <c r="C764" s="74"/>
      <c r="D764" s="12"/>
      <c r="E764" s="51"/>
      <c r="F764" s="24"/>
      <c r="G764" s="24"/>
      <c r="H764" s="24"/>
      <c r="I764" s="24"/>
      <c r="J764" s="24"/>
      <c r="K764" s="51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3.5" customHeight="1">
      <c r="A765" s="74"/>
      <c r="B765" s="74"/>
      <c r="C765" s="74"/>
      <c r="D765" s="12"/>
      <c r="E765" s="51"/>
      <c r="F765" s="24"/>
      <c r="G765" s="24"/>
      <c r="H765" s="24"/>
      <c r="I765" s="24"/>
      <c r="J765" s="24"/>
      <c r="K765" s="51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3.5" customHeight="1">
      <c r="A766" s="74"/>
      <c r="B766" s="74"/>
      <c r="C766" s="74"/>
      <c r="D766" s="12"/>
      <c r="E766" s="51"/>
      <c r="F766" s="24"/>
      <c r="G766" s="24"/>
      <c r="H766" s="24"/>
      <c r="I766" s="24"/>
      <c r="J766" s="24"/>
      <c r="K766" s="51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3.5" customHeight="1">
      <c r="A767" s="74"/>
      <c r="B767" s="74"/>
      <c r="C767" s="74"/>
      <c r="D767" s="12"/>
      <c r="E767" s="51"/>
      <c r="F767" s="24"/>
      <c r="G767" s="24"/>
      <c r="H767" s="24"/>
      <c r="I767" s="24"/>
      <c r="J767" s="24"/>
      <c r="K767" s="51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3.5" customHeight="1">
      <c r="A768" s="74"/>
      <c r="B768" s="74"/>
      <c r="C768" s="74"/>
      <c r="D768" s="12"/>
      <c r="E768" s="51"/>
      <c r="F768" s="24"/>
      <c r="G768" s="24"/>
      <c r="H768" s="24"/>
      <c r="I768" s="24"/>
      <c r="J768" s="24"/>
      <c r="K768" s="51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3.5" customHeight="1">
      <c r="A769" s="74"/>
      <c r="B769" s="74"/>
      <c r="C769" s="74"/>
      <c r="D769" s="12"/>
      <c r="E769" s="51"/>
      <c r="F769" s="24"/>
      <c r="G769" s="24"/>
      <c r="H769" s="24"/>
      <c r="I769" s="24"/>
      <c r="J769" s="24"/>
      <c r="K769" s="51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3.5" customHeight="1">
      <c r="A770" s="74"/>
      <c r="B770" s="74"/>
      <c r="C770" s="74"/>
      <c r="D770" s="12"/>
      <c r="E770" s="51"/>
      <c r="F770" s="24"/>
      <c r="G770" s="24"/>
      <c r="H770" s="24"/>
      <c r="I770" s="24"/>
      <c r="J770" s="24"/>
      <c r="K770" s="51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3.5" customHeight="1">
      <c r="A771" s="74"/>
      <c r="B771" s="74"/>
      <c r="C771" s="74"/>
      <c r="D771" s="12"/>
      <c r="E771" s="51"/>
      <c r="F771" s="24"/>
      <c r="G771" s="24"/>
      <c r="H771" s="24"/>
      <c r="I771" s="24"/>
      <c r="J771" s="24"/>
      <c r="K771" s="51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3.5" customHeight="1">
      <c r="A772" s="74"/>
      <c r="B772" s="74"/>
      <c r="C772" s="74"/>
      <c r="D772" s="12"/>
      <c r="E772" s="51"/>
      <c r="F772" s="24"/>
      <c r="G772" s="24"/>
      <c r="H772" s="24"/>
      <c r="I772" s="24"/>
      <c r="J772" s="24"/>
      <c r="K772" s="51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3.5" customHeight="1">
      <c r="A773" s="74"/>
      <c r="B773" s="74"/>
      <c r="C773" s="74"/>
      <c r="D773" s="12"/>
      <c r="E773" s="51"/>
      <c r="F773" s="24"/>
      <c r="G773" s="24"/>
      <c r="H773" s="24"/>
      <c r="I773" s="24"/>
      <c r="J773" s="24"/>
      <c r="K773" s="51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3.5" customHeight="1">
      <c r="A774" s="74"/>
      <c r="B774" s="74"/>
      <c r="C774" s="74"/>
      <c r="D774" s="12"/>
      <c r="E774" s="51"/>
      <c r="F774" s="24"/>
      <c r="G774" s="24"/>
      <c r="H774" s="24"/>
      <c r="I774" s="24"/>
      <c r="J774" s="24"/>
      <c r="K774" s="51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3.5" customHeight="1">
      <c r="A775" s="74"/>
      <c r="B775" s="74"/>
      <c r="C775" s="74"/>
      <c r="D775" s="12"/>
      <c r="E775" s="51"/>
      <c r="F775" s="24"/>
      <c r="G775" s="24"/>
      <c r="H775" s="24"/>
      <c r="I775" s="24"/>
      <c r="J775" s="24"/>
      <c r="K775" s="51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3.5" customHeight="1">
      <c r="A776" s="74"/>
      <c r="B776" s="74"/>
      <c r="C776" s="74"/>
      <c r="D776" s="12"/>
      <c r="E776" s="51"/>
      <c r="F776" s="24"/>
      <c r="G776" s="24"/>
      <c r="H776" s="24"/>
      <c r="I776" s="24"/>
      <c r="J776" s="24"/>
      <c r="K776" s="51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3.5" customHeight="1">
      <c r="A777" s="74"/>
      <c r="B777" s="74"/>
      <c r="C777" s="74"/>
      <c r="D777" s="12"/>
      <c r="E777" s="51"/>
      <c r="F777" s="24"/>
      <c r="G777" s="24"/>
      <c r="H777" s="24"/>
      <c r="I777" s="24"/>
      <c r="J777" s="24"/>
      <c r="K777" s="51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3.5" customHeight="1">
      <c r="A778" s="74"/>
      <c r="B778" s="74"/>
      <c r="C778" s="74"/>
      <c r="D778" s="12"/>
      <c r="E778" s="51"/>
      <c r="F778" s="24"/>
      <c r="G778" s="24"/>
      <c r="H778" s="24"/>
      <c r="I778" s="24"/>
      <c r="J778" s="24"/>
      <c r="K778" s="51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3.5" customHeight="1">
      <c r="A779" s="74"/>
      <c r="B779" s="74"/>
      <c r="C779" s="74"/>
      <c r="D779" s="12"/>
      <c r="E779" s="51"/>
      <c r="F779" s="24"/>
      <c r="G779" s="24"/>
      <c r="H779" s="24"/>
      <c r="I779" s="24"/>
      <c r="J779" s="24"/>
      <c r="K779" s="51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3.5" customHeight="1">
      <c r="A780" s="74"/>
      <c r="B780" s="74"/>
      <c r="C780" s="74"/>
      <c r="D780" s="12"/>
      <c r="E780" s="51"/>
      <c r="F780" s="24"/>
      <c r="G780" s="24"/>
      <c r="H780" s="24"/>
      <c r="I780" s="24"/>
      <c r="J780" s="24"/>
      <c r="K780" s="51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3.5" customHeight="1">
      <c r="A781" s="74"/>
      <c r="B781" s="74"/>
      <c r="C781" s="74"/>
      <c r="D781" s="12"/>
      <c r="E781" s="51"/>
      <c r="F781" s="24"/>
      <c r="G781" s="24"/>
      <c r="H781" s="24"/>
      <c r="I781" s="24"/>
      <c r="J781" s="24"/>
      <c r="K781" s="51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3.5" customHeight="1">
      <c r="A782" s="74"/>
      <c r="B782" s="74"/>
      <c r="C782" s="74"/>
      <c r="D782" s="12"/>
      <c r="E782" s="51"/>
      <c r="F782" s="24"/>
      <c r="G782" s="24"/>
      <c r="H782" s="24"/>
      <c r="I782" s="24"/>
      <c r="J782" s="24"/>
      <c r="K782" s="51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3.5" customHeight="1">
      <c r="A783" s="74"/>
      <c r="B783" s="74"/>
      <c r="C783" s="74"/>
      <c r="D783" s="12"/>
      <c r="E783" s="51"/>
      <c r="F783" s="24"/>
      <c r="G783" s="24"/>
      <c r="H783" s="24"/>
      <c r="I783" s="24"/>
      <c r="J783" s="24"/>
      <c r="K783" s="51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3.5" customHeight="1">
      <c r="A784" s="74"/>
      <c r="B784" s="74"/>
      <c r="C784" s="74"/>
      <c r="D784" s="12"/>
      <c r="E784" s="51"/>
      <c r="F784" s="24"/>
      <c r="G784" s="24"/>
      <c r="H784" s="24"/>
      <c r="I784" s="24"/>
      <c r="J784" s="24"/>
      <c r="K784" s="51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3.5" customHeight="1">
      <c r="A785" s="74"/>
      <c r="B785" s="74"/>
      <c r="C785" s="74"/>
      <c r="D785" s="12"/>
      <c r="E785" s="51"/>
      <c r="F785" s="24"/>
      <c r="G785" s="24"/>
      <c r="H785" s="24"/>
      <c r="I785" s="24"/>
      <c r="J785" s="24"/>
      <c r="K785" s="51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3.5" customHeight="1">
      <c r="A786" s="74"/>
      <c r="B786" s="74"/>
      <c r="C786" s="74"/>
      <c r="D786" s="12"/>
      <c r="E786" s="51"/>
      <c r="F786" s="24"/>
      <c r="G786" s="24"/>
      <c r="H786" s="24"/>
      <c r="I786" s="24"/>
      <c r="J786" s="24"/>
      <c r="K786" s="51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3.5" customHeight="1">
      <c r="A787" s="74"/>
      <c r="B787" s="74"/>
      <c r="C787" s="74"/>
      <c r="D787" s="12"/>
      <c r="E787" s="51"/>
      <c r="F787" s="24"/>
      <c r="G787" s="24"/>
      <c r="H787" s="24"/>
      <c r="I787" s="24"/>
      <c r="J787" s="24"/>
      <c r="K787" s="51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3.5" customHeight="1">
      <c r="A788" s="74"/>
      <c r="B788" s="74"/>
      <c r="C788" s="74"/>
      <c r="D788" s="12"/>
      <c r="E788" s="51"/>
      <c r="F788" s="24"/>
      <c r="G788" s="24"/>
      <c r="H788" s="24"/>
      <c r="I788" s="24"/>
      <c r="J788" s="24"/>
      <c r="K788" s="51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3.5" customHeight="1">
      <c r="A789" s="74"/>
      <c r="B789" s="74"/>
      <c r="C789" s="74"/>
      <c r="D789" s="12"/>
      <c r="E789" s="51"/>
      <c r="F789" s="24"/>
      <c r="G789" s="24"/>
      <c r="H789" s="24"/>
      <c r="I789" s="24"/>
      <c r="J789" s="24"/>
      <c r="K789" s="51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3.5" customHeight="1">
      <c r="A790" s="74"/>
      <c r="B790" s="74"/>
      <c r="C790" s="74"/>
      <c r="D790" s="12"/>
      <c r="E790" s="51"/>
      <c r="F790" s="24"/>
      <c r="G790" s="24"/>
      <c r="H790" s="24"/>
      <c r="I790" s="24"/>
      <c r="J790" s="24"/>
      <c r="K790" s="51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3.5" customHeight="1">
      <c r="A791" s="74"/>
      <c r="B791" s="74"/>
      <c r="C791" s="74"/>
      <c r="D791" s="12"/>
      <c r="E791" s="51"/>
      <c r="F791" s="24"/>
      <c r="G791" s="24"/>
      <c r="H791" s="24"/>
      <c r="I791" s="24"/>
      <c r="J791" s="24"/>
      <c r="K791" s="51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3.5" customHeight="1">
      <c r="A792" s="74"/>
      <c r="B792" s="74"/>
      <c r="C792" s="74"/>
      <c r="D792" s="12"/>
      <c r="E792" s="51"/>
      <c r="F792" s="24"/>
      <c r="G792" s="24"/>
      <c r="H792" s="24"/>
      <c r="I792" s="24"/>
      <c r="J792" s="24"/>
      <c r="K792" s="51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3.5" customHeight="1">
      <c r="A793" s="74"/>
      <c r="B793" s="74"/>
      <c r="C793" s="74"/>
      <c r="D793" s="12"/>
      <c r="E793" s="51"/>
      <c r="F793" s="24"/>
      <c r="G793" s="24"/>
      <c r="H793" s="24"/>
      <c r="I793" s="24"/>
      <c r="J793" s="24"/>
      <c r="K793" s="51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3.5" customHeight="1">
      <c r="A794" s="74"/>
      <c r="B794" s="74"/>
      <c r="C794" s="74"/>
      <c r="D794" s="12"/>
      <c r="E794" s="51"/>
      <c r="F794" s="24"/>
      <c r="G794" s="24"/>
      <c r="H794" s="24"/>
      <c r="I794" s="24"/>
      <c r="J794" s="24"/>
      <c r="K794" s="51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3.5" customHeight="1">
      <c r="A795" s="74"/>
      <c r="B795" s="74"/>
      <c r="C795" s="74"/>
      <c r="D795" s="12"/>
      <c r="E795" s="51"/>
      <c r="F795" s="24"/>
      <c r="G795" s="24"/>
      <c r="H795" s="24"/>
      <c r="I795" s="24"/>
      <c r="J795" s="24"/>
      <c r="K795" s="51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3.5" customHeight="1">
      <c r="A796" s="74"/>
      <c r="B796" s="74"/>
      <c r="C796" s="74"/>
      <c r="D796" s="12"/>
      <c r="E796" s="51"/>
      <c r="F796" s="24"/>
      <c r="G796" s="24"/>
      <c r="H796" s="24"/>
      <c r="I796" s="24"/>
      <c r="J796" s="24"/>
      <c r="K796" s="51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3.5" customHeight="1">
      <c r="A797" s="74"/>
      <c r="B797" s="74"/>
      <c r="C797" s="74"/>
      <c r="D797" s="12"/>
      <c r="E797" s="51"/>
      <c r="F797" s="24"/>
      <c r="G797" s="24"/>
      <c r="H797" s="24"/>
      <c r="I797" s="24"/>
      <c r="J797" s="24"/>
      <c r="K797" s="51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3.5" customHeight="1">
      <c r="A798" s="74"/>
      <c r="B798" s="74"/>
      <c r="C798" s="74"/>
      <c r="D798" s="12"/>
      <c r="E798" s="51"/>
      <c r="F798" s="24"/>
      <c r="G798" s="24"/>
      <c r="H798" s="24"/>
      <c r="I798" s="24"/>
      <c r="J798" s="24"/>
      <c r="K798" s="51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3.5" customHeight="1">
      <c r="A799" s="74"/>
      <c r="B799" s="74"/>
      <c r="C799" s="74"/>
      <c r="D799" s="12"/>
      <c r="E799" s="51"/>
      <c r="F799" s="24"/>
      <c r="G799" s="24"/>
      <c r="H799" s="24"/>
      <c r="I799" s="24"/>
      <c r="J799" s="24"/>
      <c r="K799" s="51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3.5" customHeight="1">
      <c r="A800" s="74"/>
      <c r="B800" s="74"/>
      <c r="C800" s="74"/>
      <c r="D800" s="12"/>
      <c r="E800" s="51"/>
      <c r="F800" s="24"/>
      <c r="G800" s="24"/>
      <c r="H800" s="24"/>
      <c r="I800" s="24"/>
      <c r="J800" s="24"/>
      <c r="K800" s="51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3.5" customHeight="1">
      <c r="A801" s="74"/>
      <c r="B801" s="74"/>
      <c r="C801" s="74"/>
      <c r="D801" s="12"/>
      <c r="E801" s="51"/>
      <c r="F801" s="24"/>
      <c r="G801" s="24"/>
      <c r="H801" s="24"/>
      <c r="I801" s="24"/>
      <c r="J801" s="24"/>
      <c r="K801" s="51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3.5" customHeight="1">
      <c r="A802" s="74"/>
      <c r="B802" s="74"/>
      <c r="C802" s="74"/>
      <c r="D802" s="12"/>
      <c r="E802" s="51"/>
      <c r="F802" s="24"/>
      <c r="G802" s="24"/>
      <c r="H802" s="24"/>
      <c r="I802" s="24"/>
      <c r="J802" s="24"/>
      <c r="K802" s="51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3.5" customHeight="1">
      <c r="A803" s="74"/>
      <c r="B803" s="74"/>
      <c r="C803" s="74"/>
      <c r="D803" s="12"/>
      <c r="E803" s="51"/>
      <c r="F803" s="24"/>
      <c r="G803" s="24"/>
      <c r="H803" s="24"/>
      <c r="I803" s="24"/>
      <c r="J803" s="24"/>
      <c r="K803" s="51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3.5" customHeight="1">
      <c r="A804" s="74"/>
      <c r="B804" s="74"/>
      <c r="C804" s="74"/>
      <c r="D804" s="12"/>
      <c r="E804" s="51"/>
      <c r="F804" s="24"/>
      <c r="G804" s="24"/>
      <c r="H804" s="24"/>
      <c r="I804" s="24"/>
      <c r="J804" s="24"/>
      <c r="K804" s="51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3.5" customHeight="1">
      <c r="A805" s="74"/>
      <c r="B805" s="74"/>
      <c r="C805" s="74"/>
      <c r="D805" s="12"/>
      <c r="E805" s="51"/>
      <c r="F805" s="24"/>
      <c r="G805" s="24"/>
      <c r="H805" s="24"/>
      <c r="I805" s="24"/>
      <c r="J805" s="24"/>
      <c r="K805" s="51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3.5" customHeight="1">
      <c r="A806" s="74"/>
      <c r="B806" s="74"/>
      <c r="C806" s="74"/>
      <c r="D806" s="12"/>
      <c r="E806" s="51"/>
      <c r="F806" s="24"/>
      <c r="G806" s="24"/>
      <c r="H806" s="24"/>
      <c r="I806" s="24"/>
      <c r="J806" s="24"/>
      <c r="K806" s="51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3.5" customHeight="1">
      <c r="A807" s="74"/>
      <c r="B807" s="74"/>
      <c r="C807" s="74"/>
      <c r="D807" s="12"/>
      <c r="E807" s="51"/>
      <c r="F807" s="24"/>
      <c r="G807" s="24"/>
      <c r="H807" s="24"/>
      <c r="I807" s="24"/>
      <c r="J807" s="24"/>
      <c r="K807" s="51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3.5" customHeight="1">
      <c r="A808" s="74"/>
      <c r="B808" s="74"/>
      <c r="C808" s="74"/>
      <c r="D808" s="12"/>
      <c r="E808" s="51"/>
      <c r="F808" s="24"/>
      <c r="G808" s="24"/>
      <c r="H808" s="24"/>
      <c r="I808" s="24"/>
      <c r="J808" s="24"/>
      <c r="K808" s="51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3.5" customHeight="1">
      <c r="A809" s="74"/>
      <c r="B809" s="74"/>
      <c r="C809" s="74"/>
      <c r="D809" s="12"/>
      <c r="E809" s="51"/>
      <c r="F809" s="24"/>
      <c r="G809" s="24"/>
      <c r="H809" s="24"/>
      <c r="I809" s="24"/>
      <c r="J809" s="24"/>
      <c r="K809" s="51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3.5" customHeight="1">
      <c r="A810" s="74"/>
      <c r="B810" s="74"/>
      <c r="C810" s="74"/>
      <c r="D810" s="12"/>
      <c r="E810" s="51"/>
      <c r="F810" s="24"/>
      <c r="G810" s="24"/>
      <c r="H810" s="24"/>
      <c r="I810" s="24"/>
      <c r="J810" s="24"/>
      <c r="K810" s="51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3.5" customHeight="1">
      <c r="A811" s="74"/>
      <c r="B811" s="74"/>
      <c r="C811" s="74"/>
      <c r="D811" s="12"/>
      <c r="E811" s="51"/>
      <c r="F811" s="24"/>
      <c r="G811" s="24"/>
      <c r="H811" s="24"/>
      <c r="I811" s="24"/>
      <c r="J811" s="24"/>
      <c r="K811" s="51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3.5" customHeight="1">
      <c r="A812" s="74"/>
      <c r="B812" s="74"/>
      <c r="C812" s="74"/>
      <c r="D812" s="12"/>
      <c r="E812" s="51"/>
      <c r="F812" s="24"/>
      <c r="G812" s="24"/>
      <c r="H812" s="24"/>
      <c r="I812" s="24"/>
      <c r="J812" s="24"/>
      <c r="K812" s="51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3.5" customHeight="1">
      <c r="A813" s="74"/>
      <c r="B813" s="74"/>
      <c r="C813" s="74"/>
      <c r="D813" s="12"/>
      <c r="E813" s="51"/>
      <c r="F813" s="24"/>
      <c r="G813" s="24"/>
      <c r="H813" s="24"/>
      <c r="I813" s="24"/>
      <c r="J813" s="24"/>
      <c r="K813" s="51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3.5" customHeight="1">
      <c r="A814" s="74"/>
      <c r="B814" s="74"/>
      <c r="C814" s="74"/>
      <c r="D814" s="12"/>
      <c r="E814" s="51"/>
      <c r="F814" s="24"/>
      <c r="G814" s="24"/>
      <c r="H814" s="24"/>
      <c r="I814" s="24"/>
      <c r="J814" s="24"/>
      <c r="K814" s="51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3.5" customHeight="1">
      <c r="A815" s="74"/>
      <c r="B815" s="74"/>
      <c r="C815" s="74"/>
      <c r="D815" s="12"/>
      <c r="E815" s="51"/>
      <c r="F815" s="24"/>
      <c r="G815" s="24"/>
      <c r="H815" s="24"/>
      <c r="I815" s="24"/>
      <c r="J815" s="24"/>
      <c r="K815" s="51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3.5" customHeight="1">
      <c r="A816" s="74"/>
      <c r="B816" s="74"/>
      <c r="C816" s="74"/>
      <c r="D816" s="12"/>
      <c r="E816" s="51"/>
      <c r="F816" s="24"/>
      <c r="G816" s="24"/>
      <c r="H816" s="24"/>
      <c r="I816" s="24"/>
      <c r="J816" s="24"/>
      <c r="K816" s="51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3.5" customHeight="1">
      <c r="A817" s="74"/>
      <c r="B817" s="74"/>
      <c r="C817" s="74"/>
      <c r="D817" s="12"/>
      <c r="E817" s="51"/>
      <c r="F817" s="24"/>
      <c r="G817" s="24"/>
      <c r="H817" s="24"/>
      <c r="I817" s="24"/>
      <c r="J817" s="24"/>
      <c r="K817" s="51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3.5" customHeight="1">
      <c r="A818" s="74"/>
      <c r="B818" s="74"/>
      <c r="C818" s="74"/>
      <c r="D818" s="12"/>
      <c r="E818" s="51"/>
      <c r="F818" s="24"/>
      <c r="G818" s="24"/>
      <c r="H818" s="24"/>
      <c r="I818" s="24"/>
      <c r="J818" s="24"/>
      <c r="K818" s="51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3.5" customHeight="1">
      <c r="A819" s="74"/>
      <c r="B819" s="74"/>
      <c r="C819" s="74"/>
      <c r="D819" s="12"/>
      <c r="E819" s="51"/>
      <c r="F819" s="24"/>
      <c r="G819" s="24"/>
      <c r="H819" s="24"/>
      <c r="I819" s="24"/>
      <c r="J819" s="24"/>
      <c r="K819" s="51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3.5" customHeight="1">
      <c r="A820" s="74"/>
      <c r="B820" s="74"/>
      <c r="C820" s="74"/>
      <c r="D820" s="12"/>
      <c r="E820" s="51"/>
      <c r="F820" s="24"/>
      <c r="G820" s="24"/>
      <c r="H820" s="24"/>
      <c r="I820" s="24"/>
      <c r="J820" s="24"/>
      <c r="K820" s="51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3.5" customHeight="1">
      <c r="A821" s="74"/>
      <c r="B821" s="74"/>
      <c r="C821" s="74"/>
      <c r="D821" s="12"/>
      <c r="E821" s="51"/>
      <c r="F821" s="24"/>
      <c r="G821" s="24"/>
      <c r="H821" s="24"/>
      <c r="I821" s="24"/>
      <c r="J821" s="24"/>
      <c r="K821" s="51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3.5" customHeight="1">
      <c r="A822" s="74"/>
      <c r="B822" s="74"/>
      <c r="C822" s="74"/>
      <c r="D822" s="12"/>
      <c r="E822" s="51"/>
      <c r="F822" s="24"/>
      <c r="G822" s="24"/>
      <c r="H822" s="24"/>
      <c r="I822" s="24"/>
      <c r="J822" s="24"/>
      <c r="K822" s="51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3.5" customHeight="1">
      <c r="A823" s="74"/>
      <c r="B823" s="74"/>
      <c r="C823" s="74"/>
      <c r="D823" s="12"/>
      <c r="E823" s="51"/>
      <c r="F823" s="24"/>
      <c r="G823" s="24"/>
      <c r="H823" s="24"/>
      <c r="I823" s="24"/>
      <c r="J823" s="24"/>
      <c r="K823" s="51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3.5" customHeight="1">
      <c r="A824" s="74"/>
      <c r="B824" s="74"/>
      <c r="C824" s="74"/>
      <c r="D824" s="12"/>
      <c r="E824" s="51"/>
      <c r="F824" s="24"/>
      <c r="G824" s="24"/>
      <c r="H824" s="24"/>
      <c r="I824" s="24"/>
      <c r="J824" s="24"/>
      <c r="K824" s="51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3.5" customHeight="1">
      <c r="A825" s="74"/>
      <c r="B825" s="74"/>
      <c r="C825" s="74"/>
      <c r="D825" s="12"/>
      <c r="E825" s="51"/>
      <c r="F825" s="24"/>
      <c r="G825" s="24"/>
      <c r="H825" s="24"/>
      <c r="I825" s="24"/>
      <c r="J825" s="24"/>
      <c r="K825" s="51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3.5" customHeight="1">
      <c r="A826" s="74"/>
      <c r="B826" s="74"/>
      <c r="C826" s="74"/>
      <c r="D826" s="12"/>
      <c r="E826" s="51"/>
      <c r="F826" s="24"/>
      <c r="G826" s="24"/>
      <c r="H826" s="24"/>
      <c r="I826" s="24"/>
      <c r="J826" s="24"/>
      <c r="K826" s="51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3.5" customHeight="1">
      <c r="A827" s="74"/>
      <c r="B827" s="74"/>
      <c r="C827" s="74"/>
      <c r="D827" s="12"/>
      <c r="E827" s="51"/>
      <c r="F827" s="24"/>
      <c r="G827" s="24"/>
      <c r="H827" s="24"/>
      <c r="I827" s="24"/>
      <c r="J827" s="24"/>
      <c r="K827" s="51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3.5" customHeight="1">
      <c r="A828" s="74"/>
      <c r="B828" s="74"/>
      <c r="C828" s="74"/>
      <c r="D828" s="12"/>
      <c r="E828" s="51"/>
      <c r="F828" s="24"/>
      <c r="G828" s="24"/>
      <c r="H828" s="24"/>
      <c r="I828" s="24"/>
      <c r="J828" s="24"/>
      <c r="K828" s="51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3.5" customHeight="1">
      <c r="A829" s="74"/>
      <c r="B829" s="74"/>
      <c r="C829" s="74"/>
      <c r="D829" s="12"/>
      <c r="E829" s="51"/>
      <c r="F829" s="24"/>
      <c r="G829" s="24"/>
      <c r="H829" s="24"/>
      <c r="I829" s="24"/>
      <c r="J829" s="24"/>
      <c r="K829" s="51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3.5" customHeight="1">
      <c r="A830" s="74"/>
      <c r="B830" s="74"/>
      <c r="C830" s="74"/>
      <c r="D830" s="12"/>
      <c r="E830" s="51"/>
      <c r="F830" s="24"/>
      <c r="G830" s="24"/>
      <c r="H830" s="24"/>
      <c r="I830" s="24"/>
      <c r="J830" s="24"/>
      <c r="K830" s="51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3.5" customHeight="1">
      <c r="A831" s="74"/>
      <c r="B831" s="74"/>
      <c r="C831" s="74"/>
      <c r="D831" s="12"/>
      <c r="E831" s="51"/>
      <c r="F831" s="24"/>
      <c r="G831" s="24"/>
      <c r="H831" s="24"/>
      <c r="I831" s="24"/>
      <c r="J831" s="24"/>
      <c r="K831" s="51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3.5" customHeight="1">
      <c r="A832" s="74"/>
      <c r="B832" s="74"/>
      <c r="C832" s="74"/>
      <c r="D832" s="12"/>
      <c r="E832" s="51"/>
      <c r="F832" s="24"/>
      <c r="G832" s="24"/>
      <c r="H832" s="24"/>
      <c r="I832" s="24"/>
      <c r="J832" s="24"/>
      <c r="K832" s="51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3.5" customHeight="1">
      <c r="A833" s="74"/>
      <c r="B833" s="74"/>
      <c r="C833" s="74"/>
      <c r="D833" s="12"/>
      <c r="E833" s="51"/>
      <c r="F833" s="24"/>
      <c r="G833" s="24"/>
      <c r="H833" s="24"/>
      <c r="I833" s="24"/>
      <c r="J833" s="24"/>
      <c r="K833" s="51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3.5" customHeight="1">
      <c r="A834" s="74"/>
      <c r="B834" s="74"/>
      <c r="C834" s="74"/>
      <c r="D834" s="12"/>
      <c r="E834" s="51"/>
      <c r="F834" s="24"/>
      <c r="G834" s="24"/>
      <c r="H834" s="24"/>
      <c r="I834" s="24"/>
      <c r="J834" s="24"/>
      <c r="K834" s="51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3.5" customHeight="1">
      <c r="A835" s="74"/>
      <c r="B835" s="74"/>
      <c r="C835" s="74"/>
      <c r="D835" s="12"/>
      <c r="E835" s="51"/>
      <c r="F835" s="24"/>
      <c r="G835" s="24"/>
      <c r="H835" s="24"/>
      <c r="I835" s="24"/>
      <c r="J835" s="24"/>
      <c r="K835" s="51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3.5" customHeight="1">
      <c r="A836" s="74"/>
      <c r="B836" s="74"/>
      <c r="C836" s="74"/>
      <c r="D836" s="12"/>
      <c r="E836" s="51"/>
      <c r="F836" s="24"/>
      <c r="G836" s="24"/>
      <c r="H836" s="24"/>
      <c r="I836" s="24"/>
      <c r="J836" s="24"/>
      <c r="K836" s="51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3.5" customHeight="1">
      <c r="A837" s="74"/>
      <c r="B837" s="74"/>
      <c r="C837" s="74"/>
      <c r="D837" s="12"/>
      <c r="E837" s="51"/>
      <c r="F837" s="24"/>
      <c r="G837" s="24"/>
      <c r="H837" s="24"/>
      <c r="I837" s="24"/>
      <c r="J837" s="24"/>
      <c r="K837" s="51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3.5" customHeight="1">
      <c r="A838" s="74"/>
      <c r="B838" s="74"/>
      <c r="C838" s="74"/>
      <c r="D838" s="12"/>
      <c r="E838" s="51"/>
      <c r="F838" s="24"/>
      <c r="G838" s="24"/>
      <c r="H838" s="24"/>
      <c r="I838" s="24"/>
      <c r="J838" s="24"/>
      <c r="K838" s="51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3.5" customHeight="1">
      <c r="A839" s="74"/>
      <c r="B839" s="74"/>
      <c r="C839" s="74"/>
      <c r="D839" s="12"/>
      <c r="E839" s="51"/>
      <c r="F839" s="24"/>
      <c r="G839" s="24"/>
      <c r="H839" s="24"/>
      <c r="I839" s="24"/>
      <c r="J839" s="24"/>
      <c r="K839" s="51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3.5" customHeight="1">
      <c r="A840" s="74"/>
      <c r="B840" s="74"/>
      <c r="C840" s="74"/>
      <c r="D840" s="12"/>
      <c r="E840" s="51"/>
      <c r="F840" s="24"/>
      <c r="G840" s="24"/>
      <c r="H840" s="24"/>
      <c r="I840" s="24"/>
      <c r="J840" s="24"/>
      <c r="K840" s="51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3.5" customHeight="1">
      <c r="A841" s="74"/>
      <c r="B841" s="74"/>
      <c r="C841" s="74"/>
      <c r="D841" s="12"/>
      <c r="E841" s="51"/>
      <c r="F841" s="24"/>
      <c r="G841" s="24"/>
      <c r="H841" s="24"/>
      <c r="I841" s="24"/>
      <c r="J841" s="24"/>
      <c r="K841" s="51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3.5" customHeight="1">
      <c r="A842" s="74"/>
      <c r="B842" s="74"/>
      <c r="C842" s="74"/>
      <c r="D842" s="12"/>
      <c r="E842" s="51"/>
      <c r="F842" s="24"/>
      <c r="G842" s="24"/>
      <c r="H842" s="24"/>
      <c r="I842" s="24"/>
      <c r="J842" s="24"/>
      <c r="K842" s="51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3.5" customHeight="1">
      <c r="A843" s="74"/>
      <c r="B843" s="74"/>
      <c r="C843" s="74"/>
      <c r="D843" s="12"/>
      <c r="E843" s="51"/>
      <c r="F843" s="24"/>
      <c r="G843" s="24"/>
      <c r="H843" s="24"/>
      <c r="I843" s="24"/>
      <c r="J843" s="24"/>
      <c r="K843" s="51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3.5" customHeight="1">
      <c r="A844" s="74"/>
      <c r="B844" s="74"/>
      <c r="C844" s="74"/>
      <c r="D844" s="12"/>
      <c r="E844" s="51"/>
      <c r="F844" s="24"/>
      <c r="G844" s="24"/>
      <c r="H844" s="24"/>
      <c r="I844" s="24"/>
      <c r="J844" s="24"/>
      <c r="K844" s="51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3.5" customHeight="1">
      <c r="A845" s="74"/>
      <c r="B845" s="74"/>
      <c r="C845" s="74"/>
      <c r="D845" s="12"/>
      <c r="E845" s="51"/>
      <c r="F845" s="24"/>
      <c r="G845" s="24"/>
      <c r="H845" s="24"/>
      <c r="I845" s="24"/>
      <c r="J845" s="24"/>
      <c r="K845" s="51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3.5" customHeight="1">
      <c r="A846" s="74"/>
      <c r="B846" s="74"/>
      <c r="C846" s="74"/>
      <c r="D846" s="12"/>
      <c r="E846" s="51"/>
      <c r="F846" s="24"/>
      <c r="G846" s="24"/>
      <c r="H846" s="24"/>
      <c r="I846" s="24"/>
      <c r="J846" s="24"/>
      <c r="K846" s="51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3.5" customHeight="1">
      <c r="A847" s="74"/>
      <c r="B847" s="74"/>
      <c r="C847" s="74"/>
      <c r="D847" s="12"/>
      <c r="E847" s="51"/>
      <c r="F847" s="24"/>
      <c r="G847" s="24"/>
      <c r="H847" s="24"/>
      <c r="I847" s="24"/>
      <c r="J847" s="24"/>
      <c r="K847" s="51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3.5" customHeight="1">
      <c r="A848" s="74"/>
      <c r="B848" s="74"/>
      <c r="C848" s="74"/>
      <c r="D848" s="12"/>
      <c r="E848" s="51"/>
      <c r="F848" s="24"/>
      <c r="G848" s="24"/>
      <c r="H848" s="24"/>
      <c r="I848" s="24"/>
      <c r="J848" s="24"/>
      <c r="K848" s="51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3.5" customHeight="1">
      <c r="A849" s="74"/>
      <c r="B849" s="74"/>
      <c r="C849" s="74"/>
      <c r="D849" s="12"/>
      <c r="E849" s="51"/>
      <c r="F849" s="24"/>
      <c r="G849" s="24"/>
      <c r="H849" s="24"/>
      <c r="I849" s="24"/>
      <c r="J849" s="24"/>
      <c r="K849" s="51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3.5" customHeight="1">
      <c r="A850" s="74"/>
      <c r="B850" s="74"/>
      <c r="C850" s="74"/>
      <c r="D850" s="12"/>
      <c r="E850" s="51"/>
      <c r="F850" s="24"/>
      <c r="G850" s="24"/>
      <c r="H850" s="24"/>
      <c r="I850" s="24"/>
      <c r="J850" s="24"/>
      <c r="K850" s="51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3.5" customHeight="1">
      <c r="A851" s="74"/>
      <c r="B851" s="74"/>
      <c r="C851" s="74"/>
      <c r="D851" s="12"/>
      <c r="E851" s="51"/>
      <c r="F851" s="24"/>
      <c r="G851" s="24"/>
      <c r="H851" s="24"/>
      <c r="I851" s="24"/>
      <c r="J851" s="24"/>
      <c r="K851" s="51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3.5" customHeight="1">
      <c r="A852" s="74"/>
      <c r="B852" s="74"/>
      <c r="C852" s="74"/>
      <c r="D852" s="12"/>
      <c r="E852" s="51"/>
      <c r="F852" s="24"/>
      <c r="G852" s="24"/>
      <c r="H852" s="24"/>
      <c r="I852" s="24"/>
      <c r="J852" s="24"/>
      <c r="K852" s="51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3.5" customHeight="1">
      <c r="A853" s="74"/>
      <c r="B853" s="74"/>
      <c r="C853" s="74"/>
      <c r="D853" s="12"/>
      <c r="E853" s="51"/>
      <c r="F853" s="24"/>
      <c r="G853" s="24"/>
      <c r="H853" s="24"/>
      <c r="I853" s="24"/>
      <c r="J853" s="24"/>
      <c r="K853" s="51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3.5" customHeight="1">
      <c r="A854" s="74"/>
      <c r="B854" s="74"/>
      <c r="C854" s="74"/>
      <c r="D854" s="12"/>
      <c r="E854" s="51"/>
      <c r="F854" s="24"/>
      <c r="G854" s="24"/>
      <c r="H854" s="24"/>
      <c r="I854" s="24"/>
      <c r="J854" s="24"/>
      <c r="K854" s="51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3.5" customHeight="1">
      <c r="A855" s="74"/>
      <c r="B855" s="74"/>
      <c r="C855" s="74"/>
      <c r="D855" s="12"/>
      <c r="E855" s="51"/>
      <c r="F855" s="24"/>
      <c r="G855" s="24"/>
      <c r="H855" s="24"/>
      <c r="I855" s="24"/>
      <c r="J855" s="24"/>
      <c r="K855" s="51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3.5" customHeight="1">
      <c r="A856" s="74"/>
      <c r="B856" s="74"/>
      <c r="C856" s="74"/>
      <c r="D856" s="12"/>
      <c r="E856" s="51"/>
      <c r="F856" s="24"/>
      <c r="G856" s="24"/>
      <c r="H856" s="24"/>
      <c r="I856" s="24"/>
      <c r="J856" s="24"/>
      <c r="K856" s="51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3.5" customHeight="1">
      <c r="A857" s="74"/>
      <c r="B857" s="74"/>
      <c r="C857" s="74"/>
      <c r="D857" s="12"/>
      <c r="E857" s="51"/>
      <c r="F857" s="24"/>
      <c r="G857" s="24"/>
      <c r="H857" s="24"/>
      <c r="I857" s="24"/>
      <c r="J857" s="24"/>
      <c r="K857" s="51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3.5" customHeight="1">
      <c r="A858" s="74"/>
      <c r="B858" s="74"/>
      <c r="C858" s="74"/>
      <c r="D858" s="12"/>
      <c r="E858" s="51"/>
      <c r="F858" s="24"/>
      <c r="G858" s="24"/>
      <c r="H858" s="24"/>
      <c r="I858" s="24"/>
      <c r="J858" s="24"/>
      <c r="K858" s="51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3.5" customHeight="1">
      <c r="A859" s="74"/>
      <c r="B859" s="74"/>
      <c r="C859" s="74"/>
      <c r="D859" s="12"/>
      <c r="E859" s="51"/>
      <c r="F859" s="24"/>
      <c r="G859" s="24"/>
      <c r="H859" s="24"/>
      <c r="I859" s="24"/>
      <c r="J859" s="24"/>
      <c r="K859" s="51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3.5" customHeight="1">
      <c r="A860" s="74"/>
      <c r="B860" s="74"/>
      <c r="C860" s="74"/>
      <c r="D860" s="12"/>
      <c r="E860" s="51"/>
      <c r="F860" s="24"/>
      <c r="G860" s="24"/>
      <c r="H860" s="24"/>
      <c r="I860" s="24"/>
      <c r="J860" s="24"/>
      <c r="K860" s="51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3.5" customHeight="1">
      <c r="A861" s="74"/>
      <c r="B861" s="74"/>
      <c r="C861" s="74"/>
      <c r="D861" s="12"/>
      <c r="E861" s="51"/>
      <c r="F861" s="24"/>
      <c r="G861" s="24"/>
      <c r="H861" s="24"/>
      <c r="I861" s="24"/>
      <c r="J861" s="24"/>
      <c r="K861" s="51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3.5" customHeight="1">
      <c r="A862" s="74"/>
      <c r="B862" s="74"/>
      <c r="C862" s="74"/>
      <c r="D862" s="12"/>
      <c r="E862" s="51"/>
      <c r="F862" s="24"/>
      <c r="G862" s="24"/>
      <c r="H862" s="24"/>
      <c r="I862" s="24"/>
      <c r="J862" s="24"/>
      <c r="K862" s="51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3.5" customHeight="1">
      <c r="A863" s="74"/>
      <c r="B863" s="74"/>
      <c r="C863" s="74"/>
      <c r="D863" s="12"/>
      <c r="E863" s="51"/>
      <c r="F863" s="24"/>
      <c r="G863" s="24"/>
      <c r="H863" s="24"/>
      <c r="I863" s="24"/>
      <c r="J863" s="24"/>
      <c r="K863" s="51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3.5" customHeight="1">
      <c r="A864" s="74"/>
      <c r="B864" s="74"/>
      <c r="C864" s="74"/>
      <c r="D864" s="12"/>
      <c r="E864" s="51"/>
      <c r="F864" s="24"/>
      <c r="G864" s="24"/>
      <c r="H864" s="24"/>
      <c r="I864" s="24"/>
      <c r="J864" s="24"/>
      <c r="K864" s="51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3.5" customHeight="1">
      <c r="A865" s="74"/>
      <c r="B865" s="74"/>
      <c r="C865" s="74"/>
      <c r="D865" s="12"/>
      <c r="E865" s="51"/>
      <c r="F865" s="24"/>
      <c r="G865" s="24"/>
      <c r="H865" s="24"/>
      <c r="I865" s="24"/>
      <c r="J865" s="24"/>
      <c r="K865" s="51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3.5" customHeight="1">
      <c r="A866" s="74"/>
      <c r="B866" s="74"/>
      <c r="C866" s="74"/>
      <c r="D866" s="12"/>
      <c r="E866" s="51"/>
      <c r="F866" s="24"/>
      <c r="G866" s="24"/>
      <c r="H866" s="24"/>
      <c r="I866" s="24"/>
      <c r="J866" s="24"/>
      <c r="K866" s="51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3.5" customHeight="1">
      <c r="A867" s="74"/>
      <c r="B867" s="74"/>
      <c r="C867" s="74"/>
      <c r="D867" s="12"/>
      <c r="E867" s="51"/>
      <c r="F867" s="24"/>
      <c r="G867" s="24"/>
      <c r="H867" s="24"/>
      <c r="I867" s="24"/>
      <c r="J867" s="24"/>
      <c r="K867" s="51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3.5" customHeight="1">
      <c r="A868" s="74"/>
      <c r="B868" s="74"/>
      <c r="C868" s="74"/>
      <c r="D868" s="12"/>
      <c r="E868" s="51"/>
      <c r="F868" s="24"/>
      <c r="G868" s="24"/>
      <c r="H868" s="24"/>
      <c r="I868" s="24"/>
      <c r="J868" s="24"/>
      <c r="K868" s="51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3.5" customHeight="1">
      <c r="A869" s="74"/>
      <c r="B869" s="74"/>
      <c r="C869" s="74"/>
      <c r="D869" s="12"/>
      <c r="E869" s="51"/>
      <c r="F869" s="24"/>
      <c r="G869" s="24"/>
      <c r="H869" s="24"/>
      <c r="I869" s="24"/>
      <c r="J869" s="24"/>
      <c r="K869" s="51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3.5" customHeight="1">
      <c r="A870" s="74"/>
      <c r="B870" s="74"/>
      <c r="C870" s="74"/>
      <c r="D870" s="12"/>
      <c r="E870" s="51"/>
      <c r="F870" s="24"/>
      <c r="G870" s="24"/>
      <c r="H870" s="24"/>
      <c r="I870" s="24"/>
      <c r="J870" s="24"/>
      <c r="K870" s="51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3.5" customHeight="1">
      <c r="A871" s="74"/>
      <c r="B871" s="74"/>
      <c r="C871" s="74"/>
      <c r="D871" s="12"/>
      <c r="E871" s="51"/>
      <c r="F871" s="24"/>
      <c r="G871" s="24"/>
      <c r="H871" s="24"/>
      <c r="I871" s="24"/>
      <c r="J871" s="24"/>
      <c r="K871" s="51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3.5" customHeight="1">
      <c r="A872" s="74"/>
      <c r="B872" s="74"/>
      <c r="C872" s="74"/>
      <c r="D872" s="12"/>
      <c r="E872" s="51"/>
      <c r="F872" s="24"/>
      <c r="G872" s="24"/>
      <c r="H872" s="24"/>
      <c r="I872" s="24"/>
      <c r="J872" s="24"/>
      <c r="K872" s="51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3.5" customHeight="1">
      <c r="A873" s="74"/>
      <c r="B873" s="74"/>
      <c r="C873" s="74"/>
      <c r="D873" s="12"/>
      <c r="E873" s="51"/>
      <c r="F873" s="24"/>
      <c r="G873" s="24"/>
      <c r="H873" s="24"/>
      <c r="I873" s="24"/>
      <c r="J873" s="24"/>
      <c r="K873" s="51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3.5" customHeight="1">
      <c r="A874" s="74"/>
      <c r="B874" s="74"/>
      <c r="C874" s="74"/>
      <c r="D874" s="12"/>
      <c r="E874" s="51"/>
      <c r="F874" s="24"/>
      <c r="G874" s="24"/>
      <c r="H874" s="24"/>
      <c r="I874" s="24"/>
      <c r="J874" s="24"/>
      <c r="K874" s="51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3.5" customHeight="1">
      <c r="A875" s="74"/>
      <c r="B875" s="74"/>
      <c r="C875" s="74"/>
      <c r="D875" s="12"/>
      <c r="E875" s="51"/>
      <c r="F875" s="24"/>
      <c r="G875" s="24"/>
      <c r="H875" s="24"/>
      <c r="I875" s="24"/>
      <c r="J875" s="24"/>
      <c r="K875" s="51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3.5" customHeight="1">
      <c r="A876" s="74"/>
      <c r="B876" s="74"/>
      <c r="C876" s="74"/>
      <c r="D876" s="12"/>
      <c r="E876" s="51"/>
      <c r="F876" s="24"/>
      <c r="G876" s="24"/>
      <c r="H876" s="24"/>
      <c r="I876" s="24"/>
      <c r="J876" s="24"/>
      <c r="K876" s="51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3.5" customHeight="1">
      <c r="A877" s="74"/>
      <c r="B877" s="74"/>
      <c r="C877" s="74"/>
      <c r="D877" s="12"/>
      <c r="E877" s="51"/>
      <c r="F877" s="24"/>
      <c r="G877" s="24"/>
      <c r="H877" s="24"/>
      <c r="I877" s="24"/>
      <c r="J877" s="24"/>
      <c r="K877" s="51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3.5" customHeight="1">
      <c r="A878" s="74"/>
      <c r="B878" s="74"/>
      <c r="C878" s="74"/>
      <c r="D878" s="12"/>
      <c r="E878" s="51"/>
      <c r="F878" s="24"/>
      <c r="G878" s="24"/>
      <c r="H878" s="24"/>
      <c r="I878" s="24"/>
      <c r="J878" s="24"/>
      <c r="K878" s="51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3.5" customHeight="1">
      <c r="A879" s="74"/>
      <c r="B879" s="74"/>
      <c r="C879" s="74"/>
      <c r="D879" s="12"/>
      <c r="E879" s="51"/>
      <c r="F879" s="24"/>
      <c r="G879" s="24"/>
      <c r="H879" s="24"/>
      <c r="I879" s="24"/>
      <c r="J879" s="24"/>
      <c r="K879" s="51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3.5" customHeight="1">
      <c r="A880" s="74"/>
      <c r="B880" s="74"/>
      <c r="C880" s="74"/>
      <c r="D880" s="12"/>
      <c r="E880" s="51"/>
      <c r="F880" s="24"/>
      <c r="G880" s="24"/>
      <c r="H880" s="24"/>
      <c r="I880" s="24"/>
      <c r="J880" s="24"/>
      <c r="K880" s="51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3.5" customHeight="1">
      <c r="A881" s="74"/>
      <c r="B881" s="74"/>
      <c r="C881" s="74"/>
      <c r="D881" s="12"/>
      <c r="E881" s="51"/>
      <c r="F881" s="24"/>
      <c r="G881" s="24"/>
      <c r="H881" s="24"/>
      <c r="I881" s="24"/>
      <c r="J881" s="24"/>
      <c r="K881" s="51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3.5" customHeight="1">
      <c r="A882" s="74"/>
      <c r="B882" s="74"/>
      <c r="C882" s="74"/>
      <c r="D882" s="12"/>
      <c r="E882" s="51"/>
      <c r="F882" s="24"/>
      <c r="G882" s="24"/>
      <c r="H882" s="24"/>
      <c r="I882" s="24"/>
      <c r="J882" s="24"/>
      <c r="K882" s="51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3.5" customHeight="1">
      <c r="A883" s="74"/>
      <c r="B883" s="74"/>
      <c r="C883" s="74"/>
      <c r="D883" s="12"/>
      <c r="E883" s="51"/>
      <c r="F883" s="24"/>
      <c r="G883" s="24"/>
      <c r="H883" s="24"/>
      <c r="I883" s="24"/>
      <c r="J883" s="24"/>
      <c r="K883" s="51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3.5" customHeight="1">
      <c r="A884" s="74"/>
      <c r="B884" s="74"/>
      <c r="C884" s="74"/>
      <c r="D884" s="12"/>
      <c r="E884" s="51"/>
      <c r="F884" s="24"/>
      <c r="G884" s="24"/>
      <c r="H884" s="24"/>
      <c r="I884" s="24"/>
      <c r="J884" s="24"/>
      <c r="K884" s="51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3.5" customHeight="1">
      <c r="A885" s="74"/>
      <c r="B885" s="74"/>
      <c r="C885" s="74"/>
      <c r="D885" s="12"/>
      <c r="E885" s="51"/>
      <c r="F885" s="24"/>
      <c r="G885" s="24"/>
      <c r="H885" s="24"/>
      <c r="I885" s="24"/>
      <c r="J885" s="24"/>
      <c r="K885" s="51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3.5" customHeight="1">
      <c r="A886" s="74"/>
      <c r="B886" s="74"/>
      <c r="C886" s="74"/>
      <c r="D886" s="12"/>
      <c r="E886" s="51"/>
      <c r="F886" s="24"/>
      <c r="G886" s="24"/>
      <c r="H886" s="24"/>
      <c r="I886" s="24"/>
      <c r="J886" s="24"/>
      <c r="K886" s="51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3.5" customHeight="1">
      <c r="A887" s="74"/>
      <c r="B887" s="74"/>
      <c r="C887" s="74"/>
      <c r="D887" s="12"/>
      <c r="E887" s="51"/>
      <c r="F887" s="24"/>
      <c r="G887" s="24"/>
      <c r="H887" s="24"/>
      <c r="I887" s="24"/>
      <c r="J887" s="24"/>
      <c r="K887" s="51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3.5" customHeight="1">
      <c r="A888" s="74"/>
      <c r="B888" s="74"/>
      <c r="C888" s="74"/>
      <c r="D888" s="12"/>
      <c r="E888" s="51"/>
      <c r="F888" s="24"/>
      <c r="G888" s="24"/>
      <c r="H888" s="24"/>
      <c r="I888" s="24"/>
      <c r="J888" s="24"/>
      <c r="K888" s="51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3.5" customHeight="1">
      <c r="A889" s="74"/>
      <c r="B889" s="74"/>
      <c r="C889" s="74"/>
      <c r="D889" s="12"/>
      <c r="E889" s="51"/>
      <c r="F889" s="24"/>
      <c r="G889" s="24"/>
      <c r="H889" s="24"/>
      <c r="I889" s="24"/>
      <c r="J889" s="24"/>
      <c r="K889" s="51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3.5" customHeight="1">
      <c r="A890" s="74"/>
      <c r="B890" s="74"/>
      <c r="C890" s="74"/>
      <c r="D890" s="12"/>
      <c r="E890" s="51"/>
      <c r="F890" s="24"/>
      <c r="G890" s="24"/>
      <c r="H890" s="24"/>
      <c r="I890" s="24"/>
      <c r="J890" s="24"/>
      <c r="K890" s="51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3.5" customHeight="1">
      <c r="A891" s="74"/>
      <c r="B891" s="74"/>
      <c r="C891" s="74"/>
      <c r="D891" s="12"/>
      <c r="E891" s="51"/>
      <c r="F891" s="24"/>
      <c r="G891" s="24"/>
      <c r="H891" s="24"/>
      <c r="I891" s="24"/>
      <c r="J891" s="24"/>
      <c r="K891" s="51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3.5" customHeight="1">
      <c r="A892" s="74"/>
      <c r="B892" s="74"/>
      <c r="C892" s="74"/>
      <c r="D892" s="12"/>
      <c r="E892" s="51"/>
      <c r="F892" s="24"/>
      <c r="G892" s="24"/>
      <c r="H892" s="24"/>
      <c r="I892" s="24"/>
      <c r="J892" s="24"/>
      <c r="K892" s="51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3.5" customHeight="1">
      <c r="A893" s="74"/>
      <c r="B893" s="74"/>
      <c r="C893" s="74"/>
      <c r="D893" s="12"/>
      <c r="E893" s="51"/>
      <c r="F893" s="24"/>
      <c r="G893" s="24"/>
      <c r="H893" s="24"/>
      <c r="I893" s="24"/>
      <c r="J893" s="24"/>
      <c r="K893" s="51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3.5" customHeight="1">
      <c r="A894" s="74"/>
      <c r="B894" s="74"/>
      <c r="C894" s="74"/>
      <c r="D894" s="12"/>
      <c r="E894" s="51"/>
      <c r="F894" s="24"/>
      <c r="G894" s="24"/>
      <c r="H894" s="24"/>
      <c r="I894" s="24"/>
      <c r="J894" s="24"/>
      <c r="K894" s="51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3.5" customHeight="1">
      <c r="A895" s="74"/>
      <c r="B895" s="74"/>
      <c r="C895" s="74"/>
      <c r="D895" s="12"/>
      <c r="E895" s="51"/>
      <c r="F895" s="24"/>
      <c r="G895" s="24"/>
      <c r="H895" s="24"/>
      <c r="I895" s="24"/>
      <c r="J895" s="24"/>
      <c r="K895" s="51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3.5" customHeight="1">
      <c r="A896" s="74"/>
      <c r="B896" s="74"/>
      <c r="C896" s="74"/>
      <c r="D896" s="12"/>
      <c r="E896" s="51"/>
      <c r="F896" s="24"/>
      <c r="G896" s="24"/>
      <c r="H896" s="24"/>
      <c r="I896" s="24"/>
      <c r="J896" s="24"/>
      <c r="K896" s="51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3.5" customHeight="1">
      <c r="A897" s="74"/>
      <c r="B897" s="74"/>
      <c r="C897" s="74"/>
      <c r="D897" s="12"/>
      <c r="E897" s="51"/>
      <c r="F897" s="24"/>
      <c r="G897" s="24"/>
      <c r="H897" s="24"/>
      <c r="I897" s="24"/>
      <c r="J897" s="24"/>
      <c r="K897" s="51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3.5" customHeight="1">
      <c r="A898" s="74"/>
      <c r="B898" s="74"/>
      <c r="C898" s="74"/>
      <c r="D898" s="12"/>
      <c r="E898" s="51"/>
      <c r="F898" s="24"/>
      <c r="G898" s="24"/>
      <c r="H898" s="24"/>
      <c r="I898" s="24"/>
      <c r="J898" s="24"/>
      <c r="K898" s="51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3.5" customHeight="1">
      <c r="A899" s="74"/>
      <c r="B899" s="74"/>
      <c r="C899" s="74"/>
      <c r="D899" s="12"/>
      <c r="E899" s="51"/>
      <c r="F899" s="24"/>
      <c r="G899" s="24"/>
      <c r="H899" s="24"/>
      <c r="I899" s="24"/>
      <c r="J899" s="24"/>
      <c r="K899" s="51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3.5" customHeight="1">
      <c r="A900" s="74"/>
      <c r="B900" s="74"/>
      <c r="C900" s="74"/>
      <c r="D900" s="12"/>
      <c r="E900" s="51"/>
      <c r="F900" s="24"/>
      <c r="G900" s="24"/>
      <c r="H900" s="24"/>
      <c r="I900" s="24"/>
      <c r="J900" s="24"/>
      <c r="K900" s="51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3.5" customHeight="1">
      <c r="A901" s="74"/>
      <c r="B901" s="74"/>
      <c r="C901" s="74"/>
      <c r="D901" s="12"/>
      <c r="E901" s="51"/>
      <c r="F901" s="24"/>
      <c r="G901" s="24"/>
      <c r="H901" s="24"/>
      <c r="I901" s="24"/>
      <c r="J901" s="24"/>
      <c r="K901" s="51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3.5" customHeight="1">
      <c r="A902" s="74"/>
      <c r="B902" s="74"/>
      <c r="C902" s="74"/>
      <c r="D902" s="12"/>
      <c r="E902" s="51"/>
      <c r="F902" s="24"/>
      <c r="G902" s="24"/>
      <c r="H902" s="24"/>
      <c r="I902" s="24"/>
      <c r="J902" s="24"/>
      <c r="K902" s="51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3.5" customHeight="1">
      <c r="A903" s="74"/>
      <c r="B903" s="74"/>
      <c r="C903" s="74"/>
      <c r="D903" s="12"/>
      <c r="E903" s="51"/>
      <c r="F903" s="24"/>
      <c r="G903" s="24"/>
      <c r="H903" s="24"/>
      <c r="I903" s="24"/>
      <c r="J903" s="24"/>
      <c r="K903" s="51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3.5" customHeight="1">
      <c r="A904" s="74"/>
      <c r="B904" s="74"/>
      <c r="C904" s="74"/>
      <c r="D904" s="12"/>
      <c r="E904" s="51"/>
      <c r="F904" s="24"/>
      <c r="G904" s="24"/>
      <c r="H904" s="24"/>
      <c r="I904" s="24"/>
      <c r="J904" s="24"/>
      <c r="K904" s="51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3.5" customHeight="1">
      <c r="A905" s="74"/>
      <c r="B905" s="74"/>
      <c r="C905" s="74"/>
      <c r="D905" s="12"/>
      <c r="E905" s="51"/>
      <c r="F905" s="24"/>
      <c r="G905" s="24"/>
      <c r="H905" s="24"/>
      <c r="I905" s="24"/>
      <c r="J905" s="24"/>
      <c r="K905" s="51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3.5" customHeight="1">
      <c r="A906" s="74"/>
      <c r="B906" s="74"/>
      <c r="C906" s="74"/>
      <c r="D906" s="12"/>
      <c r="E906" s="51"/>
      <c r="F906" s="24"/>
      <c r="G906" s="24"/>
      <c r="H906" s="24"/>
      <c r="I906" s="24"/>
      <c r="J906" s="24"/>
      <c r="K906" s="51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3.5" customHeight="1">
      <c r="A907" s="74"/>
      <c r="B907" s="74"/>
      <c r="C907" s="74"/>
      <c r="D907" s="12"/>
      <c r="E907" s="51"/>
      <c r="F907" s="24"/>
      <c r="G907" s="24"/>
      <c r="H907" s="24"/>
      <c r="I907" s="24"/>
      <c r="J907" s="24"/>
      <c r="K907" s="51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3.5" customHeight="1">
      <c r="A908" s="74"/>
      <c r="B908" s="74"/>
      <c r="C908" s="74"/>
      <c r="D908" s="12"/>
      <c r="E908" s="51"/>
      <c r="F908" s="24"/>
      <c r="G908" s="24"/>
      <c r="H908" s="24"/>
      <c r="I908" s="24"/>
      <c r="J908" s="24"/>
      <c r="K908" s="51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3.5" customHeight="1">
      <c r="A909" s="74"/>
      <c r="B909" s="74"/>
      <c r="C909" s="74"/>
      <c r="D909" s="12"/>
      <c r="E909" s="51"/>
      <c r="F909" s="24"/>
      <c r="G909" s="24"/>
      <c r="H909" s="24"/>
      <c r="I909" s="24"/>
      <c r="J909" s="24"/>
      <c r="K909" s="51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3.5" customHeight="1">
      <c r="A910" s="74"/>
      <c r="B910" s="74"/>
      <c r="C910" s="74"/>
      <c r="D910" s="12"/>
      <c r="E910" s="51"/>
      <c r="F910" s="24"/>
      <c r="G910" s="24"/>
      <c r="H910" s="24"/>
      <c r="I910" s="24"/>
      <c r="J910" s="24"/>
      <c r="K910" s="51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3.5" customHeight="1">
      <c r="A911" s="74"/>
      <c r="B911" s="74"/>
      <c r="C911" s="74"/>
      <c r="D911" s="12"/>
      <c r="E911" s="51"/>
      <c r="F911" s="24"/>
      <c r="G911" s="24"/>
      <c r="H911" s="24"/>
      <c r="I911" s="24"/>
      <c r="J911" s="24"/>
      <c r="K911" s="51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3.5" customHeight="1">
      <c r="A912" s="74"/>
      <c r="B912" s="74"/>
      <c r="C912" s="74"/>
      <c r="D912" s="12"/>
      <c r="E912" s="51"/>
      <c r="F912" s="24"/>
      <c r="G912" s="24"/>
      <c r="H912" s="24"/>
      <c r="I912" s="24"/>
      <c r="J912" s="24"/>
      <c r="K912" s="51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3.5" customHeight="1">
      <c r="A913" s="74"/>
      <c r="B913" s="74"/>
      <c r="C913" s="74"/>
      <c r="D913" s="12"/>
      <c r="E913" s="51"/>
      <c r="F913" s="24"/>
      <c r="G913" s="24"/>
      <c r="H913" s="24"/>
      <c r="I913" s="24"/>
      <c r="J913" s="24"/>
      <c r="K913" s="51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3.5" customHeight="1">
      <c r="A914" s="74"/>
      <c r="B914" s="74"/>
      <c r="C914" s="74"/>
      <c r="D914" s="12"/>
      <c r="E914" s="51"/>
      <c r="F914" s="24"/>
      <c r="G914" s="24"/>
      <c r="H914" s="24"/>
      <c r="I914" s="24"/>
      <c r="J914" s="24"/>
      <c r="K914" s="51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3.5" customHeight="1">
      <c r="A915" s="74"/>
      <c r="B915" s="74"/>
      <c r="C915" s="74"/>
      <c r="D915" s="12"/>
      <c r="E915" s="51"/>
      <c r="F915" s="24"/>
      <c r="G915" s="24"/>
      <c r="H915" s="24"/>
      <c r="I915" s="24"/>
      <c r="J915" s="24"/>
      <c r="K915" s="51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3.5" customHeight="1">
      <c r="A916" s="74"/>
      <c r="B916" s="74"/>
      <c r="C916" s="74"/>
      <c r="D916" s="12"/>
      <c r="E916" s="51"/>
      <c r="F916" s="24"/>
      <c r="G916" s="24"/>
      <c r="H916" s="24"/>
      <c r="I916" s="24"/>
      <c r="J916" s="24"/>
      <c r="K916" s="51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3.5" customHeight="1">
      <c r="A917" s="74"/>
      <c r="B917" s="74"/>
      <c r="C917" s="74"/>
      <c r="D917" s="12"/>
      <c r="E917" s="51"/>
      <c r="F917" s="24"/>
      <c r="G917" s="24"/>
      <c r="H917" s="24"/>
      <c r="I917" s="24"/>
      <c r="J917" s="24"/>
      <c r="K917" s="51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3.5" customHeight="1">
      <c r="A918" s="74"/>
      <c r="B918" s="74"/>
      <c r="C918" s="74"/>
      <c r="D918" s="12"/>
      <c r="E918" s="51"/>
      <c r="F918" s="24"/>
      <c r="G918" s="24"/>
      <c r="H918" s="24"/>
      <c r="I918" s="24"/>
      <c r="J918" s="24"/>
      <c r="K918" s="51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3.5" customHeight="1">
      <c r="A919" s="74"/>
      <c r="B919" s="74"/>
      <c r="C919" s="74"/>
      <c r="D919" s="12"/>
      <c r="E919" s="51"/>
      <c r="F919" s="24"/>
      <c r="G919" s="24"/>
      <c r="H919" s="24"/>
      <c r="I919" s="24"/>
      <c r="J919" s="24"/>
      <c r="K919" s="51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3.5" customHeight="1">
      <c r="A920" s="74"/>
      <c r="B920" s="74"/>
      <c r="C920" s="74"/>
      <c r="D920" s="12"/>
      <c r="E920" s="51"/>
      <c r="F920" s="24"/>
      <c r="G920" s="24"/>
      <c r="H920" s="24"/>
      <c r="I920" s="24"/>
      <c r="J920" s="24"/>
      <c r="K920" s="51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3.5" customHeight="1">
      <c r="A921" s="74"/>
      <c r="B921" s="74"/>
      <c r="C921" s="74"/>
      <c r="D921" s="12"/>
      <c r="E921" s="51"/>
      <c r="F921" s="24"/>
      <c r="G921" s="24"/>
      <c r="H921" s="24"/>
      <c r="I921" s="24"/>
      <c r="J921" s="24"/>
      <c r="K921" s="51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3.5" customHeight="1">
      <c r="A922" s="74"/>
      <c r="B922" s="74"/>
      <c r="C922" s="74"/>
      <c r="D922" s="12"/>
      <c r="E922" s="51"/>
      <c r="F922" s="24"/>
      <c r="G922" s="24"/>
      <c r="H922" s="24"/>
      <c r="I922" s="24"/>
      <c r="J922" s="24"/>
      <c r="K922" s="51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3.5" customHeight="1">
      <c r="A923" s="74"/>
      <c r="B923" s="74"/>
      <c r="C923" s="74"/>
      <c r="D923" s="12"/>
      <c r="E923" s="51"/>
      <c r="F923" s="24"/>
      <c r="G923" s="24"/>
      <c r="H923" s="24"/>
      <c r="I923" s="24"/>
      <c r="J923" s="24"/>
      <c r="K923" s="51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3.5" customHeight="1">
      <c r="A924" s="74"/>
      <c r="B924" s="74"/>
      <c r="C924" s="74"/>
      <c r="D924" s="12"/>
      <c r="E924" s="51"/>
      <c r="F924" s="24"/>
      <c r="G924" s="24"/>
      <c r="H924" s="24"/>
      <c r="I924" s="24"/>
      <c r="J924" s="24"/>
      <c r="K924" s="51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3.5" customHeight="1">
      <c r="A925" s="74"/>
      <c r="B925" s="74"/>
      <c r="C925" s="74"/>
      <c r="D925" s="12"/>
      <c r="E925" s="51"/>
      <c r="F925" s="24"/>
      <c r="G925" s="24"/>
      <c r="H925" s="24"/>
      <c r="I925" s="24"/>
      <c r="J925" s="24"/>
      <c r="K925" s="51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3.5" customHeight="1">
      <c r="A926" s="74"/>
      <c r="B926" s="74"/>
      <c r="C926" s="74"/>
      <c r="D926" s="12"/>
      <c r="E926" s="51"/>
      <c r="F926" s="24"/>
      <c r="G926" s="24"/>
      <c r="H926" s="24"/>
      <c r="I926" s="24"/>
      <c r="J926" s="24"/>
      <c r="K926" s="51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3.5" customHeight="1">
      <c r="A927" s="74"/>
      <c r="B927" s="74"/>
      <c r="C927" s="74"/>
      <c r="D927" s="12"/>
      <c r="E927" s="51"/>
      <c r="F927" s="24"/>
      <c r="G927" s="24"/>
      <c r="H927" s="24"/>
      <c r="I927" s="24"/>
      <c r="J927" s="24"/>
      <c r="K927" s="51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3.5" customHeight="1">
      <c r="A928" s="74"/>
      <c r="B928" s="74"/>
      <c r="C928" s="74"/>
      <c r="D928" s="12"/>
      <c r="E928" s="51"/>
      <c r="F928" s="24"/>
      <c r="G928" s="24"/>
      <c r="H928" s="24"/>
      <c r="I928" s="24"/>
      <c r="J928" s="24"/>
      <c r="K928" s="51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3.5" customHeight="1">
      <c r="A929" s="74"/>
      <c r="B929" s="74"/>
      <c r="C929" s="74"/>
      <c r="D929" s="12"/>
      <c r="E929" s="51"/>
      <c r="F929" s="24"/>
      <c r="G929" s="24"/>
      <c r="H929" s="24"/>
      <c r="I929" s="24"/>
      <c r="J929" s="24"/>
      <c r="K929" s="51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3.5" customHeight="1">
      <c r="A930" s="74"/>
      <c r="B930" s="74"/>
      <c r="C930" s="74"/>
      <c r="D930" s="12"/>
      <c r="E930" s="51"/>
      <c r="F930" s="24"/>
      <c r="G930" s="24"/>
      <c r="H930" s="24"/>
      <c r="I930" s="24"/>
      <c r="J930" s="24"/>
      <c r="K930" s="51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3.5" customHeight="1">
      <c r="A931" s="74"/>
      <c r="B931" s="74"/>
      <c r="C931" s="74"/>
      <c r="D931" s="12"/>
      <c r="E931" s="51"/>
      <c r="F931" s="24"/>
      <c r="G931" s="24"/>
      <c r="H931" s="24"/>
      <c r="I931" s="24"/>
      <c r="J931" s="24"/>
      <c r="K931" s="51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3.5" customHeight="1">
      <c r="A932" s="74"/>
      <c r="B932" s="74"/>
      <c r="C932" s="74"/>
      <c r="D932" s="12"/>
      <c r="E932" s="51"/>
      <c r="F932" s="24"/>
      <c r="G932" s="24"/>
      <c r="H932" s="24"/>
      <c r="I932" s="24"/>
      <c r="J932" s="24"/>
      <c r="K932" s="51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3.5" customHeight="1">
      <c r="A933" s="74"/>
      <c r="B933" s="74"/>
      <c r="C933" s="74"/>
      <c r="D933" s="12"/>
      <c r="E933" s="51"/>
      <c r="F933" s="24"/>
      <c r="G933" s="24"/>
      <c r="H933" s="24"/>
      <c r="I933" s="24"/>
      <c r="J933" s="24"/>
      <c r="K933" s="51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3.5" customHeight="1">
      <c r="A934" s="74"/>
      <c r="B934" s="74"/>
      <c r="C934" s="74"/>
      <c r="D934" s="12"/>
      <c r="E934" s="51"/>
      <c r="F934" s="24"/>
      <c r="G934" s="24"/>
      <c r="H934" s="24"/>
      <c r="I934" s="24"/>
      <c r="J934" s="24"/>
      <c r="K934" s="51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3.5" customHeight="1">
      <c r="A935" s="74"/>
      <c r="B935" s="74"/>
      <c r="C935" s="74"/>
      <c r="D935" s="12"/>
      <c r="E935" s="51"/>
      <c r="F935" s="24"/>
      <c r="G935" s="24"/>
      <c r="H935" s="24"/>
      <c r="I935" s="24"/>
      <c r="J935" s="24"/>
      <c r="K935" s="51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3.5" customHeight="1">
      <c r="A936" s="74"/>
      <c r="B936" s="74"/>
      <c r="C936" s="74"/>
      <c r="D936" s="12"/>
      <c r="E936" s="51"/>
      <c r="F936" s="24"/>
      <c r="G936" s="24"/>
      <c r="H936" s="24"/>
      <c r="I936" s="24"/>
      <c r="J936" s="24"/>
      <c r="K936" s="51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3.5" customHeight="1">
      <c r="A937" s="74"/>
      <c r="B937" s="74"/>
      <c r="C937" s="74"/>
      <c r="D937" s="12"/>
      <c r="E937" s="51"/>
      <c r="F937" s="24"/>
      <c r="G937" s="24"/>
      <c r="H937" s="24"/>
      <c r="I937" s="24"/>
      <c r="J937" s="24"/>
      <c r="K937" s="51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3.5" customHeight="1">
      <c r="A938" s="74"/>
      <c r="B938" s="74"/>
      <c r="C938" s="74"/>
      <c r="D938" s="12"/>
      <c r="E938" s="51"/>
      <c r="F938" s="24"/>
      <c r="G938" s="24"/>
      <c r="H938" s="24"/>
      <c r="I938" s="24"/>
      <c r="J938" s="24"/>
      <c r="K938" s="51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3.5" customHeight="1">
      <c r="A939" s="74"/>
      <c r="B939" s="74"/>
      <c r="C939" s="74"/>
      <c r="D939" s="12"/>
      <c r="E939" s="51"/>
      <c r="F939" s="24"/>
      <c r="G939" s="24"/>
      <c r="H939" s="24"/>
      <c r="I939" s="24"/>
      <c r="J939" s="24"/>
      <c r="K939" s="51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3.5" customHeight="1">
      <c r="A940" s="74"/>
      <c r="B940" s="74"/>
      <c r="C940" s="74"/>
      <c r="D940" s="12"/>
      <c r="E940" s="51"/>
      <c r="F940" s="24"/>
      <c r="G940" s="24"/>
      <c r="H940" s="24"/>
      <c r="I940" s="24"/>
      <c r="J940" s="24"/>
      <c r="K940" s="51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3.5" customHeight="1">
      <c r="A941" s="74"/>
      <c r="B941" s="74"/>
      <c r="C941" s="74"/>
      <c r="D941" s="12"/>
      <c r="E941" s="51"/>
      <c r="F941" s="24"/>
      <c r="G941" s="24"/>
      <c r="H941" s="24"/>
      <c r="I941" s="24"/>
      <c r="J941" s="24"/>
      <c r="K941" s="51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3.5" customHeight="1">
      <c r="A942" s="74"/>
      <c r="B942" s="74"/>
      <c r="C942" s="74"/>
      <c r="D942" s="12"/>
      <c r="E942" s="51"/>
      <c r="F942" s="24"/>
      <c r="G942" s="24"/>
      <c r="H942" s="24"/>
      <c r="I942" s="24"/>
      <c r="J942" s="24"/>
      <c r="K942" s="51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3.5" customHeight="1">
      <c r="A943" s="74"/>
      <c r="B943" s="74"/>
      <c r="C943" s="74"/>
      <c r="D943" s="12"/>
      <c r="E943" s="51"/>
      <c r="F943" s="24"/>
      <c r="G943" s="24"/>
      <c r="H943" s="24"/>
      <c r="I943" s="24"/>
      <c r="J943" s="24"/>
      <c r="K943" s="51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3.5" customHeight="1">
      <c r="A944" s="74"/>
      <c r="B944" s="74"/>
      <c r="C944" s="74"/>
      <c r="D944" s="12"/>
      <c r="E944" s="51"/>
      <c r="F944" s="24"/>
      <c r="G944" s="24"/>
      <c r="H944" s="24"/>
      <c r="I944" s="24"/>
      <c r="J944" s="24"/>
      <c r="K944" s="51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3.5" customHeight="1">
      <c r="A945" s="74"/>
      <c r="B945" s="74"/>
      <c r="C945" s="74"/>
      <c r="D945" s="12"/>
      <c r="E945" s="51"/>
      <c r="F945" s="24"/>
      <c r="G945" s="24"/>
      <c r="H945" s="24"/>
      <c r="I945" s="24"/>
      <c r="J945" s="24"/>
      <c r="K945" s="51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3.5" customHeight="1">
      <c r="A946" s="74"/>
      <c r="B946" s="74"/>
      <c r="C946" s="74"/>
      <c r="D946" s="12"/>
      <c r="E946" s="51"/>
      <c r="F946" s="24"/>
      <c r="G946" s="24"/>
      <c r="H946" s="24"/>
      <c r="I946" s="24"/>
      <c r="J946" s="24"/>
      <c r="K946" s="51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3.5" customHeight="1">
      <c r="A947" s="74"/>
      <c r="B947" s="74"/>
      <c r="C947" s="74"/>
      <c r="D947" s="12"/>
      <c r="E947" s="51"/>
      <c r="F947" s="24"/>
      <c r="G947" s="24"/>
      <c r="H947" s="24"/>
      <c r="I947" s="24"/>
      <c r="J947" s="24"/>
      <c r="K947" s="51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3.5" customHeight="1">
      <c r="A948" s="74"/>
      <c r="B948" s="74"/>
      <c r="C948" s="74"/>
      <c r="D948" s="12"/>
      <c r="E948" s="51"/>
      <c r="F948" s="24"/>
      <c r="G948" s="24"/>
      <c r="H948" s="24"/>
      <c r="I948" s="24"/>
      <c r="J948" s="24"/>
      <c r="K948" s="51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3.5" customHeight="1">
      <c r="A949" s="74"/>
      <c r="B949" s="74"/>
      <c r="C949" s="74"/>
      <c r="D949" s="12"/>
      <c r="E949" s="51"/>
      <c r="F949" s="24"/>
      <c r="G949" s="24"/>
      <c r="H949" s="24"/>
      <c r="I949" s="24"/>
      <c r="J949" s="24"/>
      <c r="K949" s="51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3.5" customHeight="1">
      <c r="A950" s="74"/>
      <c r="B950" s="74"/>
      <c r="C950" s="74"/>
      <c r="D950" s="12"/>
      <c r="E950" s="51"/>
      <c r="F950" s="24"/>
      <c r="G950" s="24"/>
      <c r="H950" s="24"/>
      <c r="I950" s="24"/>
      <c r="J950" s="24"/>
      <c r="K950" s="51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3.5" customHeight="1">
      <c r="A951" s="74"/>
      <c r="B951" s="74"/>
      <c r="C951" s="74"/>
      <c r="D951" s="12"/>
      <c r="E951" s="51"/>
      <c r="F951" s="24"/>
      <c r="G951" s="24"/>
      <c r="H951" s="24"/>
      <c r="I951" s="24"/>
      <c r="J951" s="24"/>
      <c r="K951" s="51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3.5" customHeight="1">
      <c r="A952" s="74"/>
      <c r="B952" s="74"/>
      <c r="C952" s="74"/>
      <c r="D952" s="12"/>
      <c r="E952" s="51"/>
      <c r="F952" s="24"/>
      <c r="G952" s="24"/>
      <c r="H952" s="24"/>
      <c r="I952" s="24"/>
      <c r="J952" s="24"/>
      <c r="K952" s="51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3.5" customHeight="1">
      <c r="A953" s="74"/>
      <c r="B953" s="74"/>
      <c r="C953" s="74"/>
      <c r="D953" s="12"/>
      <c r="E953" s="51"/>
      <c r="F953" s="24"/>
      <c r="G953" s="24"/>
      <c r="H953" s="24"/>
      <c r="I953" s="24"/>
      <c r="J953" s="24"/>
      <c r="K953" s="51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3.5" customHeight="1">
      <c r="A954" s="74"/>
      <c r="B954" s="74"/>
      <c r="C954" s="74"/>
      <c r="D954" s="12"/>
      <c r="E954" s="51"/>
      <c r="F954" s="24"/>
      <c r="G954" s="24"/>
      <c r="H954" s="24"/>
      <c r="I954" s="24"/>
      <c r="J954" s="24"/>
      <c r="K954" s="51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3.5" customHeight="1">
      <c r="A955" s="74"/>
      <c r="B955" s="74"/>
      <c r="C955" s="74"/>
      <c r="D955" s="12"/>
      <c r="E955" s="51"/>
      <c r="F955" s="24"/>
      <c r="G955" s="24"/>
      <c r="H955" s="24"/>
      <c r="I955" s="24"/>
      <c r="J955" s="24"/>
      <c r="K955" s="51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3.5" customHeight="1">
      <c r="A956" s="74"/>
      <c r="B956" s="74"/>
      <c r="C956" s="74"/>
      <c r="D956" s="12"/>
      <c r="E956" s="51"/>
      <c r="F956" s="24"/>
      <c r="G956" s="24"/>
      <c r="H956" s="24"/>
      <c r="I956" s="24"/>
      <c r="J956" s="24"/>
      <c r="K956" s="51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3.5" customHeight="1">
      <c r="A957" s="74"/>
      <c r="B957" s="74"/>
      <c r="C957" s="74"/>
      <c r="D957" s="12"/>
      <c r="E957" s="51"/>
      <c r="F957" s="24"/>
      <c r="G957" s="24"/>
      <c r="H957" s="24"/>
      <c r="I957" s="24"/>
      <c r="J957" s="24"/>
      <c r="K957" s="51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3.5" customHeight="1">
      <c r="A958" s="74"/>
      <c r="B958" s="74"/>
      <c r="C958" s="74"/>
      <c r="D958" s="12"/>
      <c r="E958" s="51"/>
      <c r="F958" s="24"/>
      <c r="G958" s="24"/>
      <c r="H958" s="24"/>
      <c r="I958" s="24"/>
      <c r="J958" s="24"/>
      <c r="K958" s="51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3.5" customHeight="1">
      <c r="A959" s="74"/>
      <c r="B959" s="74"/>
      <c r="C959" s="74"/>
      <c r="D959" s="12"/>
      <c r="E959" s="51"/>
      <c r="F959" s="24"/>
      <c r="G959" s="24"/>
      <c r="H959" s="24"/>
      <c r="I959" s="24"/>
      <c r="J959" s="24"/>
      <c r="K959" s="51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3.5" customHeight="1">
      <c r="A960" s="74"/>
      <c r="B960" s="74"/>
      <c r="C960" s="74"/>
      <c r="D960" s="12"/>
      <c r="E960" s="51"/>
      <c r="F960" s="24"/>
      <c r="G960" s="24"/>
      <c r="H960" s="24"/>
      <c r="I960" s="24"/>
      <c r="J960" s="24"/>
      <c r="K960" s="51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3.5" customHeight="1">
      <c r="A961" s="74"/>
      <c r="B961" s="74"/>
      <c r="C961" s="74"/>
      <c r="D961" s="12"/>
      <c r="E961" s="51"/>
      <c r="F961" s="24"/>
      <c r="G961" s="24"/>
      <c r="H961" s="24"/>
      <c r="I961" s="24"/>
      <c r="J961" s="24"/>
      <c r="K961" s="51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3.5" customHeight="1">
      <c r="A962" s="74"/>
      <c r="B962" s="74"/>
      <c r="C962" s="74"/>
      <c r="D962" s="12"/>
      <c r="E962" s="51"/>
      <c r="F962" s="24"/>
      <c r="G962" s="24"/>
      <c r="H962" s="24"/>
      <c r="I962" s="24"/>
      <c r="J962" s="24"/>
      <c r="K962" s="51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3.5" customHeight="1">
      <c r="A963" s="74"/>
      <c r="B963" s="74"/>
      <c r="C963" s="74"/>
      <c r="D963" s="12"/>
      <c r="E963" s="51"/>
      <c r="F963" s="24"/>
      <c r="G963" s="24"/>
      <c r="H963" s="24"/>
      <c r="I963" s="24"/>
      <c r="J963" s="24"/>
      <c r="K963" s="51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3.5" customHeight="1">
      <c r="A964" s="74"/>
      <c r="B964" s="74"/>
      <c r="C964" s="74"/>
      <c r="D964" s="12"/>
      <c r="E964" s="51"/>
      <c r="F964" s="24"/>
      <c r="G964" s="24"/>
      <c r="H964" s="24"/>
      <c r="I964" s="24"/>
      <c r="J964" s="24"/>
      <c r="K964" s="51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3.5" customHeight="1">
      <c r="A965" s="74"/>
      <c r="B965" s="74"/>
      <c r="C965" s="74"/>
      <c r="D965" s="12"/>
      <c r="E965" s="51"/>
      <c r="F965" s="24"/>
      <c r="G965" s="24"/>
      <c r="H965" s="24"/>
      <c r="I965" s="24"/>
      <c r="J965" s="24"/>
      <c r="K965" s="51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3.5" customHeight="1">
      <c r="A966" s="74"/>
      <c r="B966" s="74"/>
      <c r="C966" s="74"/>
      <c r="D966" s="12"/>
      <c r="E966" s="51"/>
      <c r="F966" s="24"/>
      <c r="G966" s="24"/>
      <c r="H966" s="24"/>
      <c r="I966" s="24"/>
      <c r="J966" s="24"/>
      <c r="K966" s="51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3.5" customHeight="1">
      <c r="A967" s="74"/>
      <c r="B967" s="74"/>
      <c r="C967" s="74"/>
      <c r="D967" s="12"/>
      <c r="E967" s="51"/>
      <c r="F967" s="24"/>
      <c r="G967" s="24"/>
      <c r="H967" s="24"/>
      <c r="I967" s="24"/>
      <c r="J967" s="24"/>
      <c r="K967" s="51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3.5" customHeight="1">
      <c r="A968" s="74"/>
      <c r="B968" s="74"/>
      <c r="C968" s="74"/>
      <c r="D968" s="12"/>
      <c r="E968" s="51"/>
      <c r="F968" s="24"/>
      <c r="G968" s="24"/>
      <c r="H968" s="24"/>
      <c r="I968" s="24"/>
      <c r="J968" s="24"/>
      <c r="K968" s="51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3.5" customHeight="1">
      <c r="A969" s="74"/>
      <c r="B969" s="74"/>
      <c r="C969" s="74"/>
      <c r="D969" s="12"/>
      <c r="E969" s="51"/>
      <c r="F969" s="24"/>
      <c r="G969" s="24"/>
      <c r="H969" s="24"/>
      <c r="I969" s="24"/>
      <c r="J969" s="24"/>
      <c r="K969" s="51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3.5" customHeight="1">
      <c r="A970" s="74"/>
      <c r="B970" s="74"/>
      <c r="C970" s="74"/>
      <c r="D970" s="12"/>
      <c r="E970" s="51"/>
      <c r="F970" s="24"/>
      <c r="G970" s="24"/>
      <c r="H970" s="24"/>
      <c r="I970" s="24"/>
      <c r="J970" s="24"/>
      <c r="K970" s="51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3.5" customHeight="1">
      <c r="A971" s="74"/>
      <c r="B971" s="74"/>
      <c r="C971" s="74"/>
      <c r="D971" s="12"/>
      <c r="E971" s="51"/>
      <c r="F971" s="24"/>
      <c r="G971" s="24"/>
      <c r="H971" s="24"/>
      <c r="I971" s="24"/>
      <c r="J971" s="24"/>
      <c r="K971" s="51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3.5" customHeight="1">
      <c r="A972" s="74"/>
      <c r="B972" s="74"/>
      <c r="C972" s="74"/>
      <c r="D972" s="12"/>
      <c r="E972" s="51"/>
      <c r="F972" s="24"/>
      <c r="G972" s="24"/>
      <c r="H972" s="24"/>
      <c r="I972" s="24"/>
      <c r="J972" s="24"/>
      <c r="K972" s="51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3.5" customHeight="1">
      <c r="A973" s="74"/>
      <c r="B973" s="74"/>
      <c r="C973" s="74"/>
      <c r="D973" s="12"/>
      <c r="E973" s="51"/>
      <c r="F973" s="24"/>
      <c r="G973" s="24"/>
      <c r="H973" s="24"/>
      <c r="I973" s="24"/>
      <c r="J973" s="24"/>
      <c r="K973" s="51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3.5" customHeight="1">
      <c r="A974" s="74"/>
      <c r="B974" s="74"/>
      <c r="C974" s="74"/>
      <c r="D974" s="12"/>
      <c r="E974" s="51"/>
      <c r="F974" s="24"/>
      <c r="G974" s="24"/>
      <c r="H974" s="24"/>
      <c r="I974" s="24"/>
      <c r="J974" s="24"/>
      <c r="K974" s="51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3.5" customHeight="1">
      <c r="A975" s="74"/>
      <c r="B975" s="74"/>
      <c r="C975" s="74"/>
      <c r="D975" s="12"/>
      <c r="E975" s="51"/>
      <c r="F975" s="24"/>
      <c r="G975" s="24"/>
      <c r="H975" s="24"/>
      <c r="I975" s="24"/>
      <c r="J975" s="24"/>
      <c r="K975" s="51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3.5" customHeight="1">
      <c r="A976" s="74"/>
      <c r="B976" s="74"/>
      <c r="C976" s="74"/>
      <c r="D976" s="12"/>
      <c r="E976" s="51"/>
      <c r="F976" s="24"/>
      <c r="G976" s="24"/>
      <c r="H976" s="24"/>
      <c r="I976" s="24"/>
      <c r="J976" s="24"/>
      <c r="K976" s="51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3.5" customHeight="1">
      <c r="A977" s="74"/>
      <c r="B977" s="74"/>
      <c r="C977" s="74"/>
      <c r="D977" s="12"/>
      <c r="E977" s="51"/>
      <c r="F977" s="24"/>
      <c r="G977" s="24"/>
      <c r="H977" s="24"/>
      <c r="I977" s="24"/>
      <c r="J977" s="24"/>
      <c r="K977" s="51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3.5" customHeight="1">
      <c r="A978" s="74"/>
      <c r="B978" s="74"/>
      <c r="C978" s="74"/>
      <c r="D978" s="12"/>
      <c r="E978" s="51"/>
      <c r="F978" s="24"/>
      <c r="G978" s="24"/>
      <c r="H978" s="24"/>
      <c r="I978" s="24"/>
      <c r="J978" s="24"/>
      <c r="K978" s="51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3.5" customHeight="1">
      <c r="A979" s="74"/>
      <c r="B979" s="74"/>
      <c r="C979" s="74"/>
      <c r="D979" s="12"/>
      <c r="E979" s="51"/>
      <c r="F979" s="24"/>
      <c r="G979" s="24"/>
      <c r="H979" s="24"/>
      <c r="I979" s="24"/>
      <c r="J979" s="24"/>
      <c r="K979" s="51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3.5" customHeight="1">
      <c r="A980" s="74"/>
      <c r="B980" s="74"/>
      <c r="C980" s="74"/>
      <c r="D980" s="12"/>
      <c r="E980" s="51"/>
      <c r="F980" s="24"/>
      <c r="G980" s="24"/>
      <c r="H980" s="24"/>
      <c r="I980" s="24"/>
      <c r="J980" s="24"/>
      <c r="K980" s="51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3.5" customHeight="1">
      <c r="A981" s="74"/>
      <c r="B981" s="74"/>
      <c r="C981" s="74"/>
      <c r="D981" s="12"/>
      <c r="E981" s="51"/>
      <c r="F981" s="24"/>
      <c r="G981" s="24"/>
      <c r="H981" s="24"/>
      <c r="I981" s="24"/>
      <c r="J981" s="24"/>
      <c r="K981" s="51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3.5" customHeight="1">
      <c r="A982" s="74"/>
      <c r="B982" s="74"/>
      <c r="C982" s="74"/>
      <c r="D982" s="12"/>
      <c r="E982" s="51"/>
      <c r="F982" s="24"/>
      <c r="G982" s="24"/>
      <c r="H982" s="24"/>
      <c r="I982" s="24"/>
      <c r="J982" s="24"/>
      <c r="K982" s="51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3.5" customHeight="1">
      <c r="A983" s="74"/>
      <c r="B983" s="74"/>
      <c r="C983" s="74"/>
      <c r="D983" s="12"/>
      <c r="E983" s="51"/>
      <c r="F983" s="24"/>
      <c r="G983" s="24"/>
      <c r="H983" s="24"/>
      <c r="I983" s="24"/>
      <c r="J983" s="24"/>
      <c r="K983" s="51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3.5" customHeight="1">
      <c r="A984" s="74"/>
      <c r="B984" s="74"/>
      <c r="C984" s="74"/>
      <c r="D984" s="12"/>
      <c r="E984" s="51"/>
      <c r="F984" s="24"/>
      <c r="G984" s="24"/>
      <c r="H984" s="24"/>
      <c r="I984" s="24"/>
      <c r="J984" s="24"/>
      <c r="K984" s="51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3.5" customHeight="1">
      <c r="A985" s="74"/>
      <c r="B985" s="74"/>
      <c r="C985" s="74"/>
      <c r="D985" s="12"/>
      <c r="E985" s="51"/>
      <c r="F985" s="24"/>
      <c r="G985" s="24"/>
      <c r="H985" s="24"/>
      <c r="I985" s="24"/>
      <c r="J985" s="24"/>
      <c r="K985" s="51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3.5" customHeight="1">
      <c r="A986" s="74"/>
      <c r="B986" s="74"/>
      <c r="C986" s="74"/>
      <c r="D986" s="12"/>
      <c r="E986" s="51"/>
      <c r="F986" s="24"/>
      <c r="G986" s="24"/>
      <c r="H986" s="24"/>
      <c r="I986" s="24"/>
      <c r="J986" s="24"/>
      <c r="K986" s="51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3.5" customHeight="1">
      <c r="A987" s="74"/>
      <c r="B987" s="74"/>
      <c r="C987" s="74"/>
      <c r="D987" s="12"/>
      <c r="E987" s="51"/>
      <c r="F987" s="24"/>
      <c r="G987" s="24"/>
      <c r="H987" s="24"/>
      <c r="I987" s="24"/>
      <c r="J987" s="24"/>
      <c r="K987" s="51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3.5" customHeight="1">
      <c r="A988" s="74"/>
      <c r="B988" s="74"/>
      <c r="C988" s="74"/>
      <c r="D988" s="12"/>
      <c r="E988" s="51"/>
      <c r="F988" s="24"/>
      <c r="G988" s="24"/>
      <c r="H988" s="24"/>
      <c r="I988" s="24"/>
      <c r="J988" s="24"/>
      <c r="K988" s="51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3.5" customHeight="1">
      <c r="A989" s="74"/>
      <c r="B989" s="74"/>
      <c r="C989" s="74"/>
      <c r="D989" s="12"/>
      <c r="E989" s="51"/>
      <c r="F989" s="24"/>
      <c r="G989" s="24"/>
      <c r="H989" s="24"/>
      <c r="I989" s="24"/>
      <c r="J989" s="24"/>
      <c r="K989" s="51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3.5" customHeight="1">
      <c r="A990" s="74"/>
      <c r="B990" s="74"/>
      <c r="C990" s="74"/>
      <c r="D990" s="12"/>
      <c r="E990" s="51"/>
      <c r="F990" s="24"/>
      <c r="G990" s="24"/>
      <c r="H990" s="24"/>
      <c r="I990" s="24"/>
      <c r="J990" s="24"/>
      <c r="K990" s="51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3.5" customHeight="1">
      <c r="A991" s="74"/>
      <c r="B991" s="74"/>
      <c r="C991" s="74"/>
      <c r="D991" s="12"/>
      <c r="E991" s="51"/>
      <c r="F991" s="24"/>
      <c r="G991" s="24"/>
      <c r="H991" s="24"/>
      <c r="I991" s="24"/>
      <c r="J991" s="24"/>
      <c r="K991" s="51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3.5" customHeight="1">
      <c r="A992" s="74"/>
      <c r="B992" s="74"/>
      <c r="C992" s="74"/>
      <c r="D992" s="12"/>
      <c r="E992" s="51"/>
      <c r="F992" s="24"/>
      <c r="G992" s="24"/>
      <c r="H992" s="24"/>
      <c r="I992" s="24"/>
      <c r="J992" s="24"/>
      <c r="K992" s="51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3.5" customHeight="1">
      <c r="A993" s="74"/>
      <c r="B993" s="74"/>
      <c r="C993" s="74"/>
      <c r="D993" s="12"/>
      <c r="E993" s="51"/>
      <c r="F993" s="24"/>
      <c r="G993" s="24"/>
      <c r="H993" s="24"/>
      <c r="I993" s="24"/>
      <c r="J993" s="24"/>
      <c r="K993" s="51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3.5" customHeight="1">
      <c r="A994" s="74"/>
      <c r="B994" s="74"/>
      <c r="C994" s="74"/>
      <c r="D994" s="12"/>
      <c r="E994" s="51"/>
      <c r="F994" s="24"/>
      <c r="G994" s="24"/>
      <c r="H994" s="24"/>
      <c r="I994" s="24"/>
      <c r="J994" s="24"/>
      <c r="K994" s="51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3.5" customHeight="1">
      <c r="A995" s="74"/>
      <c r="B995" s="74"/>
      <c r="C995" s="74"/>
      <c r="D995" s="12"/>
      <c r="E995" s="51"/>
      <c r="F995" s="24"/>
      <c r="G995" s="24"/>
      <c r="H995" s="24"/>
      <c r="I995" s="24"/>
      <c r="J995" s="24"/>
      <c r="K995" s="51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3.5" customHeight="1">
      <c r="A996" s="74"/>
      <c r="B996" s="74"/>
      <c r="C996" s="74"/>
      <c r="D996" s="12"/>
      <c r="E996" s="51"/>
      <c r="F996" s="24"/>
      <c r="G996" s="24"/>
      <c r="H996" s="24"/>
      <c r="I996" s="24"/>
      <c r="J996" s="24"/>
      <c r="K996" s="51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3.5" customHeight="1">
      <c r="A997" s="74"/>
      <c r="B997" s="74"/>
      <c r="C997" s="74"/>
      <c r="D997" s="12"/>
      <c r="E997" s="51"/>
      <c r="F997" s="24"/>
      <c r="G997" s="24"/>
      <c r="H997" s="24"/>
      <c r="I997" s="24"/>
      <c r="J997" s="24"/>
      <c r="K997" s="51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3.5" customHeight="1">
      <c r="A998" s="74"/>
      <c r="B998" s="74"/>
      <c r="C998" s="74"/>
      <c r="D998" s="12"/>
      <c r="E998" s="51"/>
      <c r="F998" s="24"/>
      <c r="G998" s="24"/>
      <c r="H998" s="24"/>
      <c r="I998" s="24"/>
      <c r="J998" s="24"/>
      <c r="K998" s="51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3.5" customHeight="1">
      <c r="A999" s="74"/>
      <c r="B999" s="74"/>
      <c r="C999" s="74"/>
      <c r="D999" s="12"/>
      <c r="E999" s="51"/>
      <c r="F999" s="24"/>
      <c r="G999" s="24"/>
      <c r="H999" s="24"/>
      <c r="I999" s="24"/>
      <c r="J999" s="24"/>
      <c r="K999" s="51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3.5" customHeight="1">
      <c r="A1000" s="74"/>
      <c r="B1000" s="74"/>
      <c r="C1000" s="74"/>
      <c r="D1000" s="12"/>
      <c r="E1000" s="51"/>
      <c r="F1000" s="24"/>
      <c r="G1000" s="24"/>
      <c r="H1000" s="24"/>
      <c r="I1000" s="24"/>
      <c r="J1000" s="24"/>
      <c r="K1000" s="51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5.0"/>
    <col customWidth="1" min="3" max="3" width="10.13"/>
    <col customWidth="1" min="4" max="4" width="12.13"/>
    <col customWidth="1" min="5" max="5" width="19.63"/>
    <col customWidth="1" min="6" max="6" width="9.25"/>
    <col customWidth="1" min="7" max="7" width="27.5"/>
    <col customWidth="1" min="8" max="8" width="19.63"/>
    <col customWidth="1" min="9" max="9" width="8.63"/>
    <col customWidth="1" min="10" max="10" width="6.88"/>
    <col customWidth="1" min="11" max="11" width="15.63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46225.0</v>
      </c>
      <c r="E2" s="17">
        <v>278925.9</v>
      </c>
      <c r="F2" s="14"/>
      <c r="G2" s="14" t="s">
        <v>19</v>
      </c>
      <c r="H2" s="14"/>
      <c r="I2" s="14"/>
      <c r="J2" s="21">
        <v>183616.0</v>
      </c>
      <c r="K2" s="29">
        <v>61881.430000000015</v>
      </c>
    </row>
    <row r="3" ht="13.5" customHeight="1">
      <c r="A3" s="14">
        <v>2.0</v>
      </c>
      <c r="B3" s="14" t="s">
        <v>9</v>
      </c>
      <c r="C3" s="14">
        <v>2130870.0</v>
      </c>
      <c r="D3" s="16">
        <v>46225.0</v>
      </c>
      <c r="E3" s="17">
        <v>1.14595571E7</v>
      </c>
      <c r="F3" s="14" t="s">
        <v>10</v>
      </c>
      <c r="G3" s="14" t="s">
        <v>19</v>
      </c>
      <c r="H3" s="14"/>
      <c r="I3" s="14"/>
      <c r="J3" s="21">
        <v>183617.0</v>
      </c>
      <c r="K3" s="29">
        <v>2082404.1300000001</v>
      </c>
    </row>
    <row r="4" ht="13.5" customHeight="1">
      <c r="A4" s="14">
        <v>3.0</v>
      </c>
      <c r="B4" s="14" t="s">
        <v>16</v>
      </c>
      <c r="C4" s="14">
        <v>2050752.0</v>
      </c>
      <c r="D4" s="16">
        <v>46225.0</v>
      </c>
      <c r="E4" s="17">
        <v>5703095.52</v>
      </c>
      <c r="F4" s="14"/>
      <c r="G4" s="14" t="s">
        <v>19</v>
      </c>
      <c r="H4" s="14"/>
      <c r="I4" s="14"/>
      <c r="J4" s="21">
        <v>183619.0</v>
      </c>
      <c r="K4" s="29">
        <v>578.75</v>
      </c>
    </row>
    <row r="5" ht="13.5" customHeight="1">
      <c r="A5" s="30">
        <v>4.0</v>
      </c>
      <c r="B5" s="30" t="s">
        <v>16</v>
      </c>
      <c r="C5" s="30">
        <v>2090821.0</v>
      </c>
      <c r="D5" s="31">
        <v>46225.0</v>
      </c>
      <c r="E5" s="32">
        <v>1422.62</v>
      </c>
      <c r="F5" s="30"/>
      <c r="G5" s="30" t="s">
        <v>19</v>
      </c>
      <c r="H5" s="14"/>
      <c r="I5" s="14"/>
      <c r="J5" s="21">
        <v>183643.0</v>
      </c>
      <c r="K5" s="29">
        <v>452.53</v>
      </c>
    </row>
    <row r="6" ht="13.5" customHeight="1">
      <c r="A6" s="23">
        <v>5.0</v>
      </c>
      <c r="B6" s="23" t="s">
        <v>20</v>
      </c>
      <c r="C6" s="23">
        <v>1040211.0</v>
      </c>
      <c r="D6" s="49">
        <v>46225.0</v>
      </c>
      <c r="E6" s="29">
        <v>230193.04</v>
      </c>
      <c r="F6" s="23"/>
      <c r="G6" s="23" t="s">
        <v>11</v>
      </c>
      <c r="H6" s="14"/>
      <c r="I6" s="14"/>
      <c r="J6" s="23">
        <v>183727.0</v>
      </c>
      <c r="K6" s="29">
        <v>1297.62</v>
      </c>
    </row>
    <row r="7" ht="13.5" customHeight="1">
      <c r="A7" s="23">
        <v>14.0</v>
      </c>
      <c r="B7" s="23" t="s">
        <v>20</v>
      </c>
      <c r="C7" s="23">
        <v>1200393.0</v>
      </c>
      <c r="D7" s="49">
        <v>46225.0</v>
      </c>
      <c r="E7" s="29">
        <v>9498.73</v>
      </c>
      <c r="F7" s="23"/>
      <c r="G7" s="23" t="s">
        <v>11</v>
      </c>
      <c r="H7" s="14"/>
      <c r="I7" s="14"/>
      <c r="J7" s="23">
        <v>183728.0</v>
      </c>
      <c r="K7" s="29">
        <v>1259.88</v>
      </c>
    </row>
    <row r="8" ht="13.5" customHeight="1">
      <c r="A8" s="23">
        <v>15.0</v>
      </c>
      <c r="B8" s="23" t="s">
        <v>20</v>
      </c>
      <c r="C8" s="23">
        <v>1040211.0</v>
      </c>
      <c r="D8" s="49">
        <v>46225.0</v>
      </c>
      <c r="E8" s="29">
        <v>52382.7</v>
      </c>
      <c r="F8" s="23"/>
      <c r="G8" s="23" t="s">
        <v>11</v>
      </c>
      <c r="H8" s="14"/>
      <c r="I8" s="14"/>
      <c r="J8" s="14"/>
      <c r="K8" s="17"/>
    </row>
    <row r="9" ht="13.5" customHeight="1">
      <c r="A9" s="23">
        <v>16.0</v>
      </c>
      <c r="B9" s="23" t="s">
        <v>20</v>
      </c>
      <c r="C9" s="23">
        <v>1200393.0</v>
      </c>
      <c r="D9" s="49">
        <v>46225.0</v>
      </c>
      <c r="E9" s="29">
        <v>4514.33</v>
      </c>
      <c r="F9" s="23"/>
      <c r="G9" s="23" t="s">
        <v>11</v>
      </c>
      <c r="H9" s="14"/>
      <c r="I9" s="14"/>
      <c r="J9" s="14"/>
      <c r="K9" s="17"/>
    </row>
    <row r="10" ht="13.5" customHeight="1">
      <c r="A10" s="23">
        <v>17.0</v>
      </c>
      <c r="B10" s="23" t="s">
        <v>20</v>
      </c>
      <c r="C10" s="23">
        <v>1200393.0</v>
      </c>
      <c r="D10" s="49">
        <v>46225.0</v>
      </c>
      <c r="E10" s="29">
        <v>1847696.76</v>
      </c>
      <c r="F10" s="23"/>
      <c r="G10" s="23" t="s">
        <v>11</v>
      </c>
      <c r="H10" s="14"/>
      <c r="I10" s="14"/>
      <c r="J10" s="14"/>
      <c r="K10" s="17"/>
    </row>
    <row r="11" ht="13.5" customHeight="1">
      <c r="A11" s="14">
        <v>19.0</v>
      </c>
      <c r="B11" s="14" t="s">
        <v>20</v>
      </c>
      <c r="C11" s="14">
        <v>1060345.0</v>
      </c>
      <c r="D11" s="16">
        <v>46225.0</v>
      </c>
      <c r="E11" s="17">
        <v>1.48E7</v>
      </c>
      <c r="F11" s="14"/>
      <c r="G11" s="14" t="s">
        <v>11</v>
      </c>
      <c r="H11" s="14"/>
      <c r="I11" s="14"/>
      <c r="J11" s="14"/>
      <c r="K11" s="17"/>
    </row>
    <row r="12" ht="13.5" customHeight="1">
      <c r="A12" s="23">
        <v>20.0</v>
      </c>
      <c r="B12" s="23" t="s">
        <v>20</v>
      </c>
      <c r="C12" s="23">
        <v>1040109.0</v>
      </c>
      <c r="D12" s="49">
        <v>46225.0</v>
      </c>
      <c r="E12" s="29">
        <v>141.08</v>
      </c>
      <c r="F12" s="23"/>
      <c r="G12" s="23" t="s">
        <v>11</v>
      </c>
      <c r="H12" s="14"/>
      <c r="I12" s="14"/>
      <c r="J12" s="14"/>
      <c r="K12" s="17"/>
    </row>
    <row r="13" ht="13.5" customHeight="1">
      <c r="A13" s="23">
        <v>21.0</v>
      </c>
      <c r="B13" s="23" t="s">
        <v>20</v>
      </c>
      <c r="C13" s="23">
        <v>1040109.0</v>
      </c>
      <c r="D13" s="49">
        <v>46225.0</v>
      </c>
      <c r="E13" s="29">
        <v>408.57</v>
      </c>
      <c r="F13" s="23"/>
      <c r="G13" s="23" t="s">
        <v>11</v>
      </c>
      <c r="H13" s="14"/>
      <c r="I13" s="14"/>
      <c r="J13" s="14"/>
      <c r="K13" s="17"/>
    </row>
    <row r="14" ht="13.5" customHeight="1">
      <c r="A14" s="23">
        <v>22.0</v>
      </c>
      <c r="B14" s="23" t="s">
        <v>20</v>
      </c>
      <c r="C14" s="23">
        <v>1040109.0</v>
      </c>
      <c r="D14" s="49">
        <v>46225.0</v>
      </c>
      <c r="E14" s="29">
        <v>29.1</v>
      </c>
      <c r="F14" s="23"/>
      <c r="G14" s="23" t="s">
        <v>11</v>
      </c>
      <c r="H14" s="14"/>
      <c r="I14" s="14"/>
      <c r="J14" s="14"/>
      <c r="K14" s="17"/>
    </row>
    <row r="15" ht="13.5" customHeight="1">
      <c r="A15" s="23">
        <v>29.0</v>
      </c>
      <c r="B15" s="23" t="s">
        <v>20</v>
      </c>
      <c r="C15" s="23">
        <v>1040375.0</v>
      </c>
      <c r="D15" s="49">
        <v>46225.0</v>
      </c>
      <c r="E15" s="29">
        <v>43.42</v>
      </c>
      <c r="F15" s="23"/>
      <c r="G15" s="23" t="s">
        <v>19</v>
      </c>
      <c r="H15" s="14"/>
      <c r="I15" s="14"/>
      <c r="J15" s="14"/>
      <c r="K15" s="17"/>
    </row>
    <row r="16" ht="13.5" customHeight="1">
      <c r="A16" s="23">
        <v>30.0</v>
      </c>
      <c r="B16" s="23" t="s">
        <v>20</v>
      </c>
      <c r="C16" s="23">
        <v>1040375.0</v>
      </c>
      <c r="D16" s="49">
        <v>46225.0</v>
      </c>
      <c r="E16" s="29">
        <v>347.17</v>
      </c>
      <c r="F16" s="23"/>
      <c r="G16" s="23" t="s">
        <v>19</v>
      </c>
      <c r="H16" s="14"/>
      <c r="I16" s="14"/>
      <c r="J16" s="14"/>
      <c r="K16" s="17"/>
    </row>
    <row r="17" ht="13.5" customHeight="1">
      <c r="A17" s="23">
        <v>31.0</v>
      </c>
      <c r="B17" s="23" t="s">
        <v>20</v>
      </c>
      <c r="C17" s="23">
        <v>1040375.0</v>
      </c>
      <c r="D17" s="49">
        <v>46225.0</v>
      </c>
      <c r="E17" s="29">
        <v>50.0</v>
      </c>
      <c r="F17" s="23"/>
      <c r="G17" s="23" t="s">
        <v>19</v>
      </c>
      <c r="H17" s="14"/>
      <c r="I17" s="14"/>
      <c r="J17" s="14"/>
      <c r="K17" s="17"/>
    </row>
    <row r="18" ht="13.5" customHeight="1">
      <c r="A18" s="23">
        <v>32.0</v>
      </c>
      <c r="B18" s="23" t="s">
        <v>20</v>
      </c>
      <c r="C18" s="23">
        <v>1040375.0</v>
      </c>
      <c r="D18" s="49">
        <v>46225.0</v>
      </c>
      <c r="E18" s="29">
        <v>11.94</v>
      </c>
      <c r="F18" s="23"/>
      <c r="G18" s="23" t="s">
        <v>19</v>
      </c>
      <c r="H18" s="14"/>
      <c r="I18" s="14"/>
      <c r="J18" s="14"/>
      <c r="K18" s="17"/>
    </row>
    <row r="19" ht="13.5" customHeight="1">
      <c r="A19" s="23">
        <v>35.0</v>
      </c>
      <c r="B19" s="23" t="s">
        <v>20</v>
      </c>
      <c r="C19" s="23">
        <v>1040375.0</v>
      </c>
      <c r="D19" s="49">
        <v>46225.0</v>
      </c>
      <c r="E19" s="29">
        <v>1259.88</v>
      </c>
      <c r="F19" s="23"/>
      <c r="G19" s="23" t="s">
        <v>19</v>
      </c>
      <c r="H19" s="14"/>
      <c r="I19" s="14"/>
      <c r="J19" s="14"/>
      <c r="K19" s="17"/>
    </row>
    <row r="20" ht="13.5" customHeight="1">
      <c r="A20" s="23">
        <v>36.0</v>
      </c>
      <c r="B20" s="23" t="s">
        <v>20</v>
      </c>
      <c r="C20" s="23">
        <v>1040375.0</v>
      </c>
      <c r="D20" s="49">
        <v>46225.0</v>
      </c>
      <c r="E20" s="29">
        <v>1297.62</v>
      </c>
      <c r="F20" s="33"/>
      <c r="G20" s="23" t="s">
        <v>19</v>
      </c>
      <c r="H20" s="14"/>
      <c r="I20" s="14"/>
      <c r="J20" s="14"/>
      <c r="K20" s="17"/>
    </row>
    <row r="21" ht="13.5" customHeight="1">
      <c r="A21" s="14"/>
      <c r="B21" s="14"/>
      <c r="C21" s="14"/>
      <c r="D21" s="14"/>
      <c r="E21" s="17"/>
      <c r="F21" s="15"/>
      <c r="G21" s="14"/>
      <c r="H21" s="14"/>
      <c r="I21" s="14"/>
      <c r="J21" s="14"/>
      <c r="K21" s="17"/>
    </row>
    <row r="22" ht="13.5" customHeight="1">
      <c r="E22" s="51"/>
      <c r="F22" s="12"/>
      <c r="K22" s="51"/>
    </row>
    <row r="23" ht="13.5" customHeight="1">
      <c r="E23" s="51"/>
      <c r="F23" s="12"/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J26" s="61"/>
      <c r="K26" s="75"/>
    </row>
    <row r="27" ht="13.5" customHeight="1">
      <c r="E27" s="51"/>
      <c r="F27" s="12"/>
      <c r="J27" s="61"/>
      <c r="K27" s="75"/>
    </row>
    <row r="28" ht="13.5" customHeight="1">
      <c r="E28" s="51"/>
      <c r="F28" s="12"/>
      <c r="J28" s="61"/>
      <c r="K28" s="75"/>
    </row>
    <row r="29" ht="12.0" customHeight="1">
      <c r="E29" s="51"/>
      <c r="F29" s="12"/>
      <c r="J29" s="61"/>
      <c r="K29" s="75"/>
    </row>
    <row r="30" ht="13.5" customHeight="1">
      <c r="E30" s="51"/>
      <c r="F30" s="12"/>
      <c r="H30" s="61"/>
      <c r="I30" s="61"/>
      <c r="J30" s="61"/>
      <c r="K30" s="75"/>
      <c r="L30" s="61"/>
    </row>
    <row r="31" ht="13.5" customHeight="1">
      <c r="E31" s="51"/>
      <c r="F31" s="12"/>
      <c r="H31" s="61"/>
      <c r="I31" s="61"/>
      <c r="J31" s="61"/>
      <c r="K31" s="75"/>
      <c r="L31" s="61"/>
    </row>
    <row r="32" ht="13.5" customHeight="1">
      <c r="E32" s="51"/>
      <c r="F32" s="12"/>
      <c r="H32" s="61"/>
      <c r="I32" s="61"/>
      <c r="J32" s="61"/>
      <c r="K32" s="75"/>
      <c r="L32" s="61"/>
    </row>
    <row r="33" ht="13.5" customHeight="1">
      <c r="E33" s="51"/>
      <c r="F33" s="12"/>
      <c r="H33" s="61"/>
      <c r="I33" s="61"/>
      <c r="J33" s="61"/>
      <c r="K33" s="75"/>
      <c r="L33" s="61"/>
    </row>
    <row r="34" ht="13.5" customHeight="1">
      <c r="E34" s="51"/>
      <c r="F34" s="12"/>
      <c r="H34" s="61"/>
      <c r="I34" s="61"/>
      <c r="J34" s="61"/>
      <c r="K34" s="75"/>
      <c r="L34" s="61"/>
    </row>
    <row r="35" ht="13.5" customHeight="1">
      <c r="E35" s="51"/>
      <c r="F35" s="12"/>
      <c r="H35" s="61"/>
      <c r="I35" s="61"/>
      <c r="J35" s="61"/>
      <c r="K35" s="75"/>
      <c r="L35" s="61"/>
    </row>
    <row r="36" ht="13.5" customHeight="1">
      <c r="E36" s="51"/>
      <c r="F36" s="12"/>
      <c r="H36" s="61"/>
      <c r="I36" s="61"/>
      <c r="J36" s="61"/>
      <c r="K36" s="75"/>
      <c r="L36" s="61"/>
    </row>
    <row r="37" ht="13.5" customHeight="1">
      <c r="E37" s="51"/>
      <c r="F37" s="12"/>
      <c r="H37" s="61"/>
      <c r="I37" s="61"/>
      <c r="J37" s="61"/>
      <c r="K37" s="75"/>
      <c r="L37" s="61"/>
    </row>
    <row r="38" ht="13.5" customHeight="1">
      <c r="E38" s="51"/>
      <c r="F38" s="12"/>
      <c r="H38" s="61"/>
      <c r="I38" s="61"/>
      <c r="J38" s="61"/>
      <c r="K38" s="75"/>
      <c r="L38" s="61"/>
    </row>
    <row r="39" ht="13.5" customHeight="1">
      <c r="E39" s="51"/>
      <c r="F39" s="12"/>
      <c r="H39" s="61"/>
      <c r="I39" s="61"/>
      <c r="J39" s="61"/>
      <c r="K39" s="75"/>
      <c r="L39" s="61"/>
    </row>
    <row r="40" ht="13.5" customHeight="1">
      <c r="E40" s="51"/>
      <c r="F40" s="12"/>
      <c r="H40" s="61"/>
      <c r="I40" s="61"/>
      <c r="J40" s="61"/>
      <c r="K40" s="75"/>
      <c r="L40" s="61"/>
    </row>
    <row r="41" ht="13.5" customHeight="1">
      <c r="E41" s="51"/>
      <c r="F41" s="12"/>
      <c r="H41" s="61"/>
      <c r="I41" s="61"/>
      <c r="J41" s="61"/>
      <c r="K41" s="75"/>
      <c r="L41" s="61"/>
    </row>
    <row r="42" ht="13.5" customHeight="1">
      <c r="E42" s="51"/>
      <c r="F42" s="12"/>
      <c r="H42" s="61"/>
      <c r="I42" s="61"/>
      <c r="J42" s="61"/>
      <c r="K42" s="75"/>
      <c r="L42" s="61"/>
    </row>
    <row r="43" ht="13.5" customHeight="1">
      <c r="E43" s="51"/>
      <c r="F43" s="12"/>
      <c r="H43" s="61"/>
      <c r="I43" s="61"/>
      <c r="J43" s="61"/>
      <c r="K43" s="75"/>
      <c r="L43" s="61"/>
    </row>
    <row r="44" ht="13.5" customHeight="1">
      <c r="E44" s="51"/>
      <c r="F44" s="12"/>
      <c r="H44" s="61"/>
      <c r="I44" s="61"/>
      <c r="J44" s="61"/>
      <c r="K44" s="75"/>
      <c r="L44" s="61"/>
    </row>
    <row r="45" ht="13.5" customHeight="1">
      <c r="E45" s="51"/>
      <c r="F45" s="12"/>
      <c r="H45" s="61"/>
      <c r="I45" s="61"/>
      <c r="J45" s="61"/>
      <c r="K45" s="75"/>
      <c r="L45" s="61"/>
    </row>
    <row r="46" ht="13.5" customHeight="1">
      <c r="E46" s="51"/>
      <c r="F46" s="12"/>
      <c r="H46" s="61"/>
      <c r="I46" s="61"/>
      <c r="J46" s="61"/>
      <c r="K46" s="75"/>
      <c r="L46" s="61"/>
    </row>
    <row r="47" ht="13.5" customHeight="1">
      <c r="E47" s="51"/>
      <c r="F47" s="12"/>
      <c r="H47" s="61"/>
      <c r="I47" s="61"/>
      <c r="J47" s="61"/>
      <c r="K47" s="75"/>
      <c r="L47" s="61"/>
    </row>
    <row r="48" ht="13.5" customHeight="1">
      <c r="E48" s="51"/>
      <c r="F48" s="12"/>
      <c r="H48" s="61"/>
      <c r="I48" s="61"/>
      <c r="J48" s="61"/>
      <c r="K48" s="75"/>
      <c r="L48" s="61"/>
    </row>
    <row r="49" ht="13.5" customHeight="1">
      <c r="E49" s="51"/>
      <c r="F49" s="12"/>
      <c r="H49" s="61"/>
      <c r="I49" s="61"/>
      <c r="J49" s="61"/>
      <c r="K49" s="75"/>
      <c r="L49" s="61"/>
    </row>
    <row r="50" ht="13.5" customHeight="1">
      <c r="E50" s="51"/>
      <c r="F50" s="12"/>
      <c r="H50" s="61"/>
      <c r="I50" s="61"/>
      <c r="J50" s="61"/>
      <c r="K50" s="75"/>
      <c r="L50" s="61"/>
    </row>
    <row r="51" ht="13.5" customHeight="1">
      <c r="E51" s="51"/>
      <c r="F51" s="12"/>
      <c r="H51" s="61"/>
      <c r="I51" s="61"/>
      <c r="J51" s="61"/>
      <c r="K51" s="75"/>
      <c r="L51" s="61"/>
    </row>
    <row r="52" ht="13.5" customHeight="1">
      <c r="E52" s="51"/>
      <c r="F52" s="12"/>
      <c r="H52" s="61"/>
      <c r="I52" s="61"/>
      <c r="J52" s="61"/>
      <c r="K52" s="75"/>
      <c r="L52" s="61"/>
    </row>
    <row r="53" ht="13.5" customHeight="1">
      <c r="E53" s="51"/>
      <c r="F53" s="12"/>
      <c r="H53" s="61"/>
      <c r="I53" s="61"/>
      <c r="J53" s="61"/>
      <c r="K53" s="75"/>
      <c r="L53" s="61"/>
    </row>
    <row r="54" ht="13.5" customHeight="1">
      <c r="E54" s="51"/>
      <c r="F54" s="12"/>
      <c r="H54" s="61"/>
      <c r="I54" s="61"/>
      <c r="J54" s="61"/>
      <c r="K54" s="75"/>
      <c r="L54" s="61"/>
    </row>
    <row r="55" ht="13.5" customHeight="1">
      <c r="E55" s="51"/>
      <c r="F55" s="12"/>
      <c r="H55" s="61"/>
      <c r="I55" s="61"/>
      <c r="J55" s="61"/>
      <c r="K55" s="75"/>
      <c r="L55" s="61"/>
    </row>
    <row r="56" ht="13.5" customHeight="1">
      <c r="E56" s="51"/>
      <c r="F56" s="12"/>
      <c r="H56" s="61"/>
      <c r="I56" s="61"/>
      <c r="J56" s="61"/>
      <c r="K56" s="75"/>
      <c r="L56" s="61"/>
    </row>
    <row r="57" ht="13.5" customHeight="1">
      <c r="E57" s="51"/>
      <c r="F57" s="12"/>
      <c r="H57" s="61"/>
      <c r="I57" s="61"/>
      <c r="J57" s="61"/>
      <c r="K57" s="75"/>
      <c r="L57" s="61"/>
    </row>
    <row r="58" ht="13.5" customHeight="1">
      <c r="E58" s="51"/>
      <c r="F58" s="12"/>
      <c r="H58" s="61"/>
      <c r="I58" s="61"/>
      <c r="J58" s="61"/>
      <c r="K58" s="75"/>
      <c r="L58" s="61"/>
    </row>
    <row r="59" ht="13.5" customHeight="1">
      <c r="E59" s="51"/>
      <c r="F59" s="12"/>
      <c r="H59" s="61"/>
      <c r="I59" s="61"/>
      <c r="J59" s="61"/>
      <c r="K59" s="75"/>
      <c r="L59" s="61"/>
    </row>
    <row r="60" ht="13.5" customHeight="1">
      <c r="E60" s="51"/>
      <c r="F60" s="12"/>
      <c r="H60" s="61"/>
      <c r="I60" s="61"/>
      <c r="J60" s="61"/>
      <c r="K60" s="75"/>
      <c r="L60" s="61"/>
    </row>
    <row r="61" ht="13.5" customHeight="1">
      <c r="E61" s="51"/>
      <c r="F61" s="12"/>
      <c r="H61" s="61"/>
      <c r="I61" s="61"/>
      <c r="J61" s="61"/>
      <c r="K61" s="75"/>
      <c r="L61" s="61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E63" s="51"/>
      <c r="F63" s="12"/>
      <c r="H63" s="61"/>
      <c r="I63" s="61"/>
      <c r="J63" s="61"/>
      <c r="K63" s="75"/>
      <c r="L63" s="61"/>
    </row>
    <row r="64" ht="13.5" customHeight="1">
      <c r="E64" s="51"/>
      <c r="F64" s="12"/>
      <c r="H64" s="61"/>
      <c r="I64" s="61"/>
      <c r="J64" s="61"/>
      <c r="K64" s="75"/>
      <c r="L64" s="61"/>
    </row>
    <row r="65" ht="13.5" customHeight="1">
      <c r="E65" s="51"/>
      <c r="F65" s="12"/>
      <c r="H65" s="61"/>
      <c r="I65" s="61"/>
      <c r="J65" s="61"/>
      <c r="K65" s="75"/>
      <c r="L65" s="61"/>
    </row>
    <row r="66" ht="13.5" customHeight="1">
      <c r="E66" s="51"/>
      <c r="F66" s="12"/>
      <c r="H66" s="61"/>
      <c r="I66" s="61"/>
      <c r="J66" s="61"/>
      <c r="K66" s="75"/>
      <c r="L66" s="61"/>
    </row>
    <row r="67" ht="13.5" customHeight="1">
      <c r="E67" s="51"/>
      <c r="F67" s="12"/>
      <c r="H67" s="61"/>
      <c r="I67" s="61"/>
      <c r="J67" s="61"/>
      <c r="K67" s="75"/>
      <c r="L67" s="61"/>
    </row>
    <row r="68" ht="13.5" customHeight="1">
      <c r="E68" s="51"/>
      <c r="F68" s="12"/>
      <c r="H68" s="61"/>
      <c r="I68" s="61"/>
      <c r="J68" s="61"/>
      <c r="K68" s="75"/>
      <c r="L68" s="61"/>
    </row>
    <row r="69" ht="13.5" customHeight="1">
      <c r="E69" s="51"/>
      <c r="F69" s="12"/>
      <c r="H69" s="61"/>
      <c r="I69" s="61"/>
      <c r="J69" s="61"/>
      <c r="K69" s="75"/>
      <c r="L69" s="61"/>
    </row>
    <row r="70" ht="13.5" customHeight="1">
      <c r="E70" s="51"/>
      <c r="F70" s="12"/>
      <c r="H70" s="61"/>
      <c r="I70" s="61"/>
      <c r="J70" s="61"/>
      <c r="K70" s="75"/>
      <c r="L70" s="61"/>
    </row>
    <row r="71" ht="13.5" customHeight="1">
      <c r="E71" s="51"/>
      <c r="F71" s="12"/>
      <c r="H71" s="61"/>
      <c r="I71" s="61"/>
      <c r="J71" s="61"/>
      <c r="K71" s="75"/>
      <c r="L71" s="61"/>
    </row>
    <row r="72" ht="13.5" customHeight="1">
      <c r="E72" s="51"/>
      <c r="F72" s="12"/>
      <c r="H72" s="61"/>
      <c r="I72" s="61"/>
      <c r="J72" s="61"/>
      <c r="K72" s="75"/>
      <c r="L72" s="61"/>
    </row>
    <row r="73" ht="13.5" customHeight="1">
      <c r="E73" s="51"/>
      <c r="F73" s="12"/>
      <c r="H73" s="61"/>
      <c r="I73" s="61"/>
      <c r="J73" s="61"/>
      <c r="K73" s="75"/>
      <c r="L73" s="61"/>
    </row>
    <row r="74" ht="13.5" customHeight="1">
      <c r="E74" s="51"/>
      <c r="F74" s="12"/>
      <c r="H74" s="61"/>
      <c r="I74" s="61"/>
      <c r="J74" s="61"/>
      <c r="K74" s="75"/>
      <c r="L74" s="61"/>
    </row>
    <row r="75" ht="13.5" customHeight="1">
      <c r="E75" s="51"/>
      <c r="F75" s="12"/>
      <c r="H75" s="61"/>
      <c r="I75" s="61"/>
      <c r="J75" s="61"/>
      <c r="K75" s="75"/>
      <c r="L75" s="61"/>
    </row>
    <row r="76" ht="13.5" customHeight="1">
      <c r="E76" s="51"/>
      <c r="F76" s="12"/>
      <c r="H76" s="61"/>
      <c r="I76" s="61"/>
      <c r="J76" s="61"/>
      <c r="K76" s="75"/>
      <c r="L76" s="61"/>
    </row>
    <row r="77" ht="13.5" customHeight="1">
      <c r="E77" s="51"/>
      <c r="F77" s="12"/>
      <c r="H77" s="61"/>
      <c r="I77" s="61"/>
      <c r="J77" s="61"/>
      <c r="K77" s="75"/>
      <c r="L77" s="61"/>
    </row>
    <row r="78" ht="13.5" customHeight="1">
      <c r="E78" s="51"/>
      <c r="F78" s="12"/>
      <c r="H78" s="61"/>
      <c r="I78" s="61"/>
      <c r="J78" s="61"/>
      <c r="K78" s="75"/>
      <c r="L78" s="61"/>
    </row>
    <row r="79" ht="13.5" customHeight="1">
      <c r="E79" s="51"/>
      <c r="F79" s="12"/>
      <c r="H79" s="61"/>
      <c r="I79" s="61"/>
      <c r="J79" s="61"/>
      <c r="K79" s="75"/>
      <c r="L79" s="61"/>
    </row>
    <row r="80" ht="13.5" customHeight="1">
      <c r="E80" s="51"/>
      <c r="F80" s="12"/>
      <c r="H80" s="61"/>
      <c r="I80" s="61"/>
      <c r="J80" s="61"/>
      <c r="K80" s="75"/>
      <c r="L80" s="61"/>
    </row>
    <row r="81" ht="13.5" customHeight="1">
      <c r="E81" s="51"/>
      <c r="F81" s="12"/>
      <c r="H81" s="61"/>
      <c r="I81" s="61"/>
      <c r="J81" s="61"/>
      <c r="K81" s="75"/>
      <c r="L81" s="61"/>
    </row>
    <row r="82" ht="13.5" customHeight="1">
      <c r="E82" s="51"/>
      <c r="F82" s="12"/>
      <c r="H82" s="61"/>
      <c r="I82" s="61"/>
      <c r="J82" s="61"/>
      <c r="K82" s="75"/>
      <c r="L82" s="61"/>
    </row>
    <row r="83" ht="13.5" customHeight="1">
      <c r="E83" s="51"/>
      <c r="F83" s="12"/>
      <c r="H83" s="61"/>
      <c r="I83" s="61"/>
      <c r="J83" s="61"/>
      <c r="K83" s="75"/>
      <c r="L83" s="61"/>
    </row>
    <row r="84" ht="13.5" customHeight="1">
      <c r="E84" s="51"/>
      <c r="F84" s="12"/>
      <c r="H84" s="61"/>
      <c r="I84" s="61"/>
      <c r="J84" s="61"/>
      <c r="K84" s="75"/>
      <c r="L84" s="61"/>
    </row>
    <row r="85" ht="13.5" customHeight="1">
      <c r="E85" s="51"/>
      <c r="F85" s="12"/>
      <c r="H85" s="61"/>
      <c r="I85" s="61"/>
      <c r="J85" s="61"/>
      <c r="K85" s="75"/>
      <c r="L85" s="61"/>
    </row>
    <row r="86" ht="13.5" customHeight="1">
      <c r="E86" s="51"/>
      <c r="F86" s="12"/>
      <c r="H86" s="61"/>
      <c r="I86" s="61"/>
      <c r="J86" s="61"/>
      <c r="K86" s="75"/>
      <c r="L86" s="61"/>
    </row>
    <row r="87" ht="13.5" customHeight="1">
      <c r="E87" s="51"/>
      <c r="F87" s="12"/>
      <c r="H87" s="61"/>
      <c r="I87" s="61"/>
      <c r="J87" s="61"/>
      <c r="K87" s="75"/>
      <c r="L87" s="61"/>
    </row>
    <row r="88" ht="13.5" customHeight="1">
      <c r="E88" s="51"/>
      <c r="F88" s="12"/>
      <c r="H88" s="61"/>
      <c r="I88" s="61"/>
      <c r="J88" s="61"/>
      <c r="K88" s="75"/>
      <c r="L88" s="61"/>
    </row>
    <row r="89" ht="13.5" customHeight="1">
      <c r="E89" s="51"/>
      <c r="F89" s="12"/>
      <c r="H89" s="61"/>
      <c r="I89" s="61"/>
      <c r="J89" s="61"/>
      <c r="K89" s="75"/>
      <c r="L89" s="61"/>
    </row>
    <row r="90" ht="13.5" customHeight="1">
      <c r="E90" s="51"/>
      <c r="F90" s="12"/>
      <c r="H90" s="61"/>
      <c r="I90" s="61"/>
      <c r="J90" s="61"/>
      <c r="K90" s="75"/>
      <c r="L90" s="61"/>
    </row>
    <row r="91" ht="13.5" customHeight="1">
      <c r="E91" s="51"/>
      <c r="F91" s="12"/>
      <c r="H91" s="61"/>
      <c r="I91" s="61"/>
      <c r="J91" s="61"/>
      <c r="K91" s="75"/>
      <c r="L91" s="61"/>
    </row>
    <row r="92" ht="13.5" customHeight="1">
      <c r="E92" s="51"/>
      <c r="F92" s="12"/>
      <c r="H92" s="61"/>
      <c r="I92" s="61"/>
      <c r="J92" s="61"/>
      <c r="K92" s="75"/>
      <c r="L92" s="61"/>
    </row>
    <row r="93" ht="13.5" customHeight="1">
      <c r="E93" s="51"/>
      <c r="F93" s="12"/>
      <c r="H93" s="61"/>
      <c r="I93" s="61"/>
      <c r="J93" s="61"/>
      <c r="K93" s="75"/>
      <c r="L93" s="61"/>
    </row>
    <row r="94" ht="13.5" customHeight="1">
      <c r="E94" s="51"/>
      <c r="F94" s="12"/>
      <c r="H94" s="61"/>
      <c r="I94" s="61"/>
      <c r="J94" s="61"/>
      <c r="K94" s="75"/>
      <c r="L94" s="61"/>
    </row>
    <row r="95" ht="13.5" customHeight="1">
      <c r="E95" s="51"/>
      <c r="F95" s="12"/>
      <c r="H95" s="61"/>
      <c r="I95" s="61"/>
      <c r="J95" s="61"/>
      <c r="K95" s="75"/>
      <c r="L95" s="61"/>
    </row>
    <row r="96" ht="13.5" customHeight="1">
      <c r="E96" s="51"/>
      <c r="F96" s="12"/>
      <c r="H96" s="61"/>
      <c r="I96" s="61"/>
      <c r="J96" s="61"/>
      <c r="K96" s="75"/>
      <c r="L96" s="61"/>
    </row>
    <row r="97" ht="13.5" customHeight="1">
      <c r="E97" s="51"/>
      <c r="F97" s="12"/>
      <c r="H97" s="61"/>
      <c r="I97" s="61"/>
      <c r="J97" s="61"/>
      <c r="K97" s="75"/>
      <c r="L97" s="61"/>
    </row>
    <row r="98" ht="13.5" customHeight="1">
      <c r="E98" s="51"/>
      <c r="F98" s="12"/>
      <c r="H98" s="61"/>
      <c r="I98" s="61"/>
      <c r="J98" s="61"/>
      <c r="K98" s="75"/>
      <c r="L98" s="61"/>
    </row>
    <row r="99" ht="13.5" customHeight="1">
      <c r="E99" s="51"/>
      <c r="F99" s="12"/>
      <c r="H99" s="61"/>
      <c r="I99" s="61"/>
      <c r="J99" s="61"/>
      <c r="K99" s="75"/>
      <c r="L99" s="61"/>
    </row>
    <row r="100" ht="13.5" customHeight="1">
      <c r="E100" s="51"/>
      <c r="F100" s="12"/>
      <c r="H100" s="61"/>
      <c r="I100" s="61"/>
      <c r="J100" s="61"/>
      <c r="K100" s="75"/>
      <c r="L100" s="61"/>
    </row>
    <row r="101" ht="13.5" customHeight="1">
      <c r="E101" s="51"/>
      <c r="F101" s="12"/>
      <c r="H101" s="61"/>
      <c r="I101" s="61"/>
      <c r="J101" s="61"/>
      <c r="K101" s="75"/>
      <c r="L101" s="61"/>
    </row>
    <row r="102" ht="13.5" customHeight="1">
      <c r="E102" s="51"/>
      <c r="F102" s="12"/>
      <c r="H102" s="61"/>
      <c r="I102" s="61"/>
      <c r="J102" s="61"/>
      <c r="K102" s="75"/>
      <c r="L102" s="61"/>
    </row>
    <row r="103" ht="13.5" customHeight="1">
      <c r="E103" s="51"/>
      <c r="F103" s="12"/>
      <c r="H103" s="61"/>
      <c r="I103" s="61"/>
      <c r="J103" s="61"/>
      <c r="K103" s="75"/>
      <c r="L103" s="61"/>
    </row>
    <row r="104" ht="13.5" customHeight="1">
      <c r="E104" s="51"/>
      <c r="F104" s="12"/>
      <c r="H104" s="61"/>
      <c r="I104" s="61"/>
      <c r="J104" s="61"/>
      <c r="K104" s="75"/>
      <c r="L104" s="61"/>
    </row>
    <row r="105" ht="13.5" customHeight="1">
      <c r="E105" s="51"/>
      <c r="F105" s="12"/>
      <c r="H105" s="61"/>
      <c r="I105" s="61"/>
      <c r="J105" s="61"/>
      <c r="K105" s="75"/>
      <c r="L105" s="61"/>
    </row>
    <row r="106" ht="13.5" customHeight="1">
      <c r="E106" s="51"/>
      <c r="F106" s="12"/>
      <c r="H106" s="61"/>
      <c r="I106" s="61"/>
      <c r="J106" s="61"/>
      <c r="K106" s="75"/>
      <c r="L106" s="61"/>
    </row>
    <row r="107" ht="13.5" customHeight="1">
      <c r="E107" s="51"/>
      <c r="F107" s="12"/>
      <c r="H107" s="61"/>
      <c r="I107" s="61"/>
      <c r="J107" s="61"/>
      <c r="K107" s="75"/>
      <c r="L107" s="61"/>
    </row>
    <row r="108" ht="13.5" customHeight="1">
      <c r="E108" s="51"/>
      <c r="F108" s="12"/>
      <c r="H108" s="61"/>
      <c r="I108" s="61"/>
      <c r="J108" s="61"/>
      <c r="K108" s="75"/>
      <c r="L108" s="61"/>
    </row>
    <row r="109" ht="13.5" customHeight="1">
      <c r="E109" s="51"/>
      <c r="F109" s="12"/>
      <c r="H109" s="61"/>
      <c r="I109" s="61"/>
      <c r="J109" s="61"/>
      <c r="K109" s="75"/>
      <c r="L109" s="61"/>
    </row>
    <row r="110" ht="13.5" customHeight="1">
      <c r="E110" s="51"/>
      <c r="F110" s="12"/>
      <c r="H110" s="61"/>
      <c r="I110" s="61"/>
      <c r="J110" s="61"/>
      <c r="K110" s="75"/>
      <c r="L110" s="61"/>
    </row>
    <row r="111" ht="13.5" customHeight="1">
      <c r="E111" s="51"/>
      <c r="F111" s="12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K147" s="51"/>
      <c r="L147" s="61"/>
    </row>
    <row r="148" ht="13.5" customHeight="1">
      <c r="A148" s="61"/>
      <c r="B148" s="61"/>
      <c r="C148" s="61"/>
      <c r="D148" s="61"/>
      <c r="E148" s="75"/>
      <c r="F148" s="69"/>
      <c r="G148" s="61"/>
      <c r="H148" s="61"/>
      <c r="I148" s="61"/>
      <c r="K148" s="51"/>
      <c r="L148" s="61"/>
    </row>
    <row r="149" ht="13.5" customHeight="1">
      <c r="A149" s="61"/>
      <c r="B149" s="61"/>
      <c r="C149" s="61"/>
      <c r="D149" s="61"/>
      <c r="E149" s="75"/>
      <c r="F149" s="69"/>
      <c r="G149" s="61"/>
      <c r="H149" s="61"/>
      <c r="I149" s="61"/>
      <c r="K149" s="51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K150" s="51"/>
      <c r="L150" s="61"/>
    </row>
    <row r="151" ht="13.5" customHeight="1">
      <c r="E151" s="51"/>
      <c r="F151" s="12"/>
      <c r="K151" s="5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E$111"/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0.0"/>
    <col customWidth="1" min="3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>
      <c r="A13" s="11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50" t="s">
        <v>157</v>
      </c>
      <c r="B1" s="50" t="s">
        <v>1</v>
      </c>
      <c r="C1" s="50" t="s">
        <v>158</v>
      </c>
      <c r="D1" s="50" t="s">
        <v>159</v>
      </c>
      <c r="E1" s="50" t="s">
        <v>160</v>
      </c>
      <c r="F1" s="50" t="s">
        <v>161</v>
      </c>
      <c r="G1" s="50" t="s">
        <v>162</v>
      </c>
      <c r="H1" s="50" t="s">
        <v>163</v>
      </c>
      <c r="I1" s="50" t="s">
        <v>164</v>
      </c>
      <c r="J1" s="50" t="s">
        <v>165</v>
      </c>
      <c r="K1" s="50" t="s">
        <v>166</v>
      </c>
      <c r="L1" s="50" t="s">
        <v>157</v>
      </c>
      <c r="M1" s="50" t="s">
        <v>1</v>
      </c>
      <c r="N1" s="50" t="s">
        <v>158</v>
      </c>
      <c r="O1" s="50" t="s">
        <v>153</v>
      </c>
      <c r="P1" s="50" t="s">
        <v>167</v>
      </c>
      <c r="Q1" s="50" t="s">
        <v>168</v>
      </c>
      <c r="R1" s="50" t="s">
        <v>169</v>
      </c>
      <c r="S1" s="50" t="s">
        <v>170</v>
      </c>
      <c r="T1" s="50" t="s">
        <v>171</v>
      </c>
    </row>
    <row r="2" ht="13.5" customHeight="1">
      <c r="B2" s="50" t="s">
        <v>20</v>
      </c>
      <c r="C2" s="50">
        <v>3.30421415E8</v>
      </c>
      <c r="D2" s="50" t="s">
        <v>172</v>
      </c>
      <c r="E2" s="50">
        <v>87.0</v>
      </c>
      <c r="F2" s="50">
        <v>87.0</v>
      </c>
      <c r="J2" s="241">
        <v>45684.0</v>
      </c>
      <c r="K2" s="241">
        <v>45684.0</v>
      </c>
      <c r="M2" s="50" t="s">
        <v>20</v>
      </c>
      <c r="N2" s="50">
        <v>3.30421415E8</v>
      </c>
      <c r="O2" s="50">
        <v>170297.0</v>
      </c>
      <c r="Q2" s="50" t="s">
        <v>173</v>
      </c>
      <c r="R2" s="50">
        <v>170297.0</v>
      </c>
    </row>
    <row r="3" ht="13.5" customHeight="1">
      <c r="B3" s="50" t="s">
        <v>20</v>
      </c>
      <c r="C3" s="50">
        <v>3.30421416E8</v>
      </c>
      <c r="D3" s="50" t="s">
        <v>172</v>
      </c>
      <c r="E3" s="55">
        <v>1304.52</v>
      </c>
      <c r="F3" s="50">
        <v>1304.52</v>
      </c>
      <c r="J3" s="241">
        <v>45684.0</v>
      </c>
      <c r="K3" s="241">
        <v>45684.0</v>
      </c>
      <c r="M3" s="50" t="s">
        <v>20</v>
      </c>
      <c r="N3" s="50">
        <v>3.30421416E8</v>
      </c>
      <c r="O3" s="50">
        <v>170297.0</v>
      </c>
      <c r="Q3" s="50" t="s">
        <v>174</v>
      </c>
      <c r="R3" s="50">
        <v>170297.0</v>
      </c>
    </row>
    <row r="4" ht="13.5" customHeight="1">
      <c r="B4" s="50" t="s">
        <v>20</v>
      </c>
      <c r="C4" s="50">
        <v>3.30421417E8</v>
      </c>
      <c r="D4" s="50" t="s">
        <v>172</v>
      </c>
      <c r="E4" s="50">
        <v>455.24</v>
      </c>
      <c r="F4" s="50">
        <v>455.24</v>
      </c>
      <c r="J4" s="241">
        <v>45684.0</v>
      </c>
      <c r="K4" s="241">
        <v>45684.0</v>
      </c>
      <c r="M4" s="50" t="s">
        <v>20</v>
      </c>
      <c r="N4" s="50">
        <v>3.30421417E8</v>
      </c>
      <c r="O4" s="50">
        <v>170297.0</v>
      </c>
      <c r="Q4" s="50" t="s">
        <v>175</v>
      </c>
      <c r="R4" s="50">
        <v>170297.0</v>
      </c>
    </row>
    <row r="5" ht="13.5" customHeight="1">
      <c r="B5" s="50" t="s">
        <v>20</v>
      </c>
      <c r="C5" s="50">
        <v>3.30421418E8</v>
      </c>
      <c r="D5" s="50" t="s">
        <v>172</v>
      </c>
      <c r="E5" s="50">
        <v>91.59</v>
      </c>
      <c r="F5" s="50">
        <v>91.59</v>
      </c>
      <c r="J5" s="241">
        <v>45684.0</v>
      </c>
      <c r="K5" s="241">
        <v>45684.0</v>
      </c>
      <c r="M5" s="50" t="s">
        <v>20</v>
      </c>
      <c r="N5" s="50">
        <v>3.30421418E8</v>
      </c>
      <c r="O5" s="50">
        <v>170297.0</v>
      </c>
      <c r="Q5" s="50" t="s">
        <v>176</v>
      </c>
      <c r="R5" s="50">
        <v>170297.0</v>
      </c>
    </row>
    <row r="6" ht="13.5" customHeight="1">
      <c r="B6" s="50" t="s">
        <v>20</v>
      </c>
      <c r="C6" s="50">
        <v>3.30421419E8</v>
      </c>
      <c r="D6" s="50" t="s">
        <v>172</v>
      </c>
      <c r="E6" s="50">
        <v>82.75</v>
      </c>
      <c r="F6" s="50">
        <v>82.75</v>
      </c>
      <c r="J6" s="241">
        <v>45684.0</v>
      </c>
      <c r="K6" s="241">
        <v>45684.0</v>
      </c>
      <c r="M6" s="50" t="s">
        <v>20</v>
      </c>
      <c r="N6" s="50">
        <v>3.30421419E8</v>
      </c>
      <c r="O6" s="50">
        <v>170297.0</v>
      </c>
      <c r="Q6" s="50" t="s">
        <v>177</v>
      </c>
      <c r="R6" s="50">
        <v>170297.0</v>
      </c>
    </row>
    <row r="7" ht="13.5" customHeight="1">
      <c r="B7" s="50" t="s">
        <v>20</v>
      </c>
      <c r="C7" s="50">
        <v>3.3042142E8</v>
      </c>
      <c r="D7" s="50" t="s">
        <v>172</v>
      </c>
      <c r="E7" s="55">
        <v>1050.0</v>
      </c>
      <c r="F7" s="50">
        <v>1050.0</v>
      </c>
      <c r="J7" s="241">
        <v>45684.0</v>
      </c>
      <c r="K7" s="241">
        <v>45684.0</v>
      </c>
      <c r="M7" s="50" t="s">
        <v>20</v>
      </c>
      <c r="N7" s="50">
        <v>3.3042142E8</v>
      </c>
      <c r="O7" s="50">
        <v>170297.0</v>
      </c>
      <c r="Q7" s="50" t="s">
        <v>178</v>
      </c>
      <c r="R7" s="50">
        <v>170297.0</v>
      </c>
    </row>
    <row r="8" ht="13.5" customHeight="1">
      <c r="B8" s="50" t="s">
        <v>20</v>
      </c>
      <c r="C8" s="50">
        <v>3.30421421E8</v>
      </c>
      <c r="D8" s="50" t="s">
        <v>172</v>
      </c>
      <c r="E8" s="50">
        <v>127.0</v>
      </c>
      <c r="F8" s="50">
        <v>127.0</v>
      </c>
      <c r="J8" s="241">
        <v>45684.0</v>
      </c>
      <c r="K8" s="241">
        <v>45684.0</v>
      </c>
      <c r="M8" s="50" t="s">
        <v>20</v>
      </c>
      <c r="N8" s="50">
        <v>3.30421421E8</v>
      </c>
      <c r="O8" s="50">
        <v>170297.0</v>
      </c>
      <c r="Q8" s="50" t="s">
        <v>179</v>
      </c>
      <c r="R8" s="50">
        <v>170297.0</v>
      </c>
    </row>
    <row r="9" ht="13.5" customHeight="1">
      <c r="B9" s="50" t="s">
        <v>20</v>
      </c>
      <c r="C9" s="50">
        <v>3.30421422E8</v>
      </c>
      <c r="D9" s="50" t="s">
        <v>172</v>
      </c>
      <c r="E9" s="50">
        <v>965.66</v>
      </c>
      <c r="F9" s="50">
        <v>965.66</v>
      </c>
      <c r="J9" s="241">
        <v>45684.0</v>
      </c>
      <c r="K9" s="241">
        <v>45684.0</v>
      </c>
      <c r="M9" s="50" t="s">
        <v>20</v>
      </c>
      <c r="N9" s="50">
        <v>3.30421422E8</v>
      </c>
      <c r="O9" s="50">
        <v>170297.0</v>
      </c>
      <c r="Q9" s="50" t="s">
        <v>180</v>
      </c>
      <c r="R9" s="50">
        <v>170297.0</v>
      </c>
    </row>
    <row r="10" ht="13.5" customHeight="1">
      <c r="B10" s="50" t="s">
        <v>20</v>
      </c>
      <c r="C10" s="50">
        <v>3.30421423E8</v>
      </c>
      <c r="D10" s="50" t="s">
        <v>172</v>
      </c>
      <c r="E10" s="50">
        <v>500.0</v>
      </c>
      <c r="F10" s="50">
        <v>500.0</v>
      </c>
      <c r="J10" s="241">
        <v>45684.0</v>
      </c>
      <c r="K10" s="241">
        <v>45684.0</v>
      </c>
      <c r="M10" s="50" t="s">
        <v>20</v>
      </c>
      <c r="N10" s="50">
        <v>3.30421423E8</v>
      </c>
      <c r="O10" s="50">
        <v>170297.0</v>
      </c>
      <c r="Q10" s="50" t="s">
        <v>181</v>
      </c>
      <c r="R10" s="50">
        <v>170297.0</v>
      </c>
    </row>
    <row r="11" ht="13.5" customHeight="1">
      <c r="B11" s="50" t="s">
        <v>20</v>
      </c>
      <c r="C11" s="50">
        <v>3.30421424E8</v>
      </c>
      <c r="D11" s="50" t="s">
        <v>172</v>
      </c>
      <c r="E11" s="50">
        <v>192.87</v>
      </c>
      <c r="F11" s="50">
        <v>192.87</v>
      </c>
      <c r="J11" s="241">
        <v>45684.0</v>
      </c>
      <c r="K11" s="241">
        <v>45684.0</v>
      </c>
      <c r="M11" s="50" t="s">
        <v>20</v>
      </c>
      <c r="N11" s="50">
        <v>3.30421424E8</v>
      </c>
      <c r="O11" s="50">
        <v>170297.0</v>
      </c>
      <c r="Q11" s="50" t="s">
        <v>182</v>
      </c>
      <c r="R11" s="50">
        <v>170297.0</v>
      </c>
    </row>
    <row r="12" ht="13.5" customHeight="1">
      <c r="B12" s="50" t="s">
        <v>20</v>
      </c>
      <c r="C12" s="50">
        <v>3.30421425E8</v>
      </c>
      <c r="D12" s="50" t="s">
        <v>172</v>
      </c>
      <c r="E12" s="55">
        <v>1050.0</v>
      </c>
      <c r="F12" s="50">
        <v>1050.0</v>
      </c>
      <c r="J12" s="241">
        <v>45684.0</v>
      </c>
      <c r="K12" s="241">
        <v>45684.0</v>
      </c>
      <c r="M12" s="50" t="s">
        <v>20</v>
      </c>
      <c r="N12" s="50">
        <v>3.30421425E8</v>
      </c>
      <c r="O12" s="50">
        <v>170297.0</v>
      </c>
      <c r="Q12" s="50" t="s">
        <v>183</v>
      </c>
      <c r="R12" s="50">
        <v>170297.0</v>
      </c>
    </row>
    <row r="13" ht="13.5" customHeight="1">
      <c r="B13" s="50" t="s">
        <v>20</v>
      </c>
      <c r="C13" s="50">
        <v>3.30421426E8</v>
      </c>
      <c r="D13" s="50" t="s">
        <v>172</v>
      </c>
      <c r="E13" s="50">
        <v>60.0</v>
      </c>
      <c r="F13" s="50">
        <v>60.0</v>
      </c>
      <c r="J13" s="241">
        <v>45684.0</v>
      </c>
      <c r="K13" s="241">
        <v>45684.0</v>
      </c>
      <c r="M13" s="50" t="s">
        <v>20</v>
      </c>
      <c r="N13" s="50">
        <v>3.30421426E8</v>
      </c>
      <c r="O13" s="50">
        <v>170297.0</v>
      </c>
      <c r="Q13" s="50" t="s">
        <v>184</v>
      </c>
      <c r="R13" s="50">
        <v>170297.0</v>
      </c>
    </row>
    <row r="14" ht="13.5" customHeight="1">
      <c r="B14" s="50" t="s">
        <v>20</v>
      </c>
      <c r="C14" s="50">
        <v>3.30421427E8</v>
      </c>
      <c r="D14" s="50" t="s">
        <v>172</v>
      </c>
      <c r="E14" s="50">
        <v>18.39</v>
      </c>
      <c r="F14" s="50">
        <v>18.39</v>
      </c>
      <c r="J14" s="241">
        <v>45684.0</v>
      </c>
      <c r="K14" s="241">
        <v>45684.0</v>
      </c>
      <c r="M14" s="50" t="s">
        <v>20</v>
      </c>
      <c r="N14" s="50">
        <v>3.30421427E8</v>
      </c>
      <c r="O14" s="50">
        <v>170297.0</v>
      </c>
      <c r="Q14" s="50" t="s">
        <v>185</v>
      </c>
      <c r="R14" s="50">
        <v>170297.0</v>
      </c>
    </row>
    <row r="15" ht="13.5" customHeight="1">
      <c r="B15" s="50" t="s">
        <v>20</v>
      </c>
      <c r="C15" s="50">
        <v>3.30421428E8</v>
      </c>
      <c r="D15" s="50" t="s">
        <v>172</v>
      </c>
      <c r="E15" s="50">
        <v>94.58</v>
      </c>
      <c r="F15" s="50">
        <v>94.58</v>
      </c>
      <c r="J15" s="241">
        <v>45684.0</v>
      </c>
      <c r="K15" s="241">
        <v>45684.0</v>
      </c>
      <c r="M15" s="50" t="s">
        <v>20</v>
      </c>
      <c r="N15" s="50">
        <v>3.30421428E8</v>
      </c>
      <c r="O15" s="50">
        <v>170297.0</v>
      </c>
      <c r="Q15" s="50" t="s">
        <v>186</v>
      </c>
      <c r="R15" s="50">
        <v>170297.0</v>
      </c>
    </row>
    <row r="16" ht="13.5" customHeight="1">
      <c r="B16" s="50" t="s">
        <v>20</v>
      </c>
      <c r="C16" s="50">
        <v>3.30421429E8</v>
      </c>
      <c r="D16" s="50" t="s">
        <v>172</v>
      </c>
      <c r="E16" s="50">
        <v>465.14</v>
      </c>
      <c r="F16" s="50">
        <v>465.14</v>
      </c>
      <c r="J16" s="241">
        <v>45684.0</v>
      </c>
      <c r="K16" s="241">
        <v>45684.0</v>
      </c>
      <c r="M16" s="50" t="s">
        <v>20</v>
      </c>
      <c r="N16" s="50">
        <v>3.30421429E8</v>
      </c>
      <c r="O16" s="50">
        <v>170297.0</v>
      </c>
      <c r="Q16" s="50" t="s">
        <v>187</v>
      </c>
      <c r="R16" s="50">
        <v>170297.0</v>
      </c>
    </row>
    <row r="17" ht="13.5" customHeight="1">
      <c r="B17" s="50" t="s">
        <v>20</v>
      </c>
      <c r="C17" s="50">
        <v>3.3042143E8</v>
      </c>
      <c r="D17" s="50" t="s">
        <v>172</v>
      </c>
      <c r="E17" s="55">
        <v>1641.78</v>
      </c>
      <c r="F17" s="50">
        <v>1641.78</v>
      </c>
      <c r="J17" s="241">
        <v>45684.0</v>
      </c>
      <c r="K17" s="241">
        <v>45684.0</v>
      </c>
      <c r="M17" s="50" t="s">
        <v>20</v>
      </c>
      <c r="N17" s="50">
        <v>3.3042143E8</v>
      </c>
      <c r="O17" s="50">
        <v>170297.0</v>
      </c>
      <c r="Q17" s="50" t="s">
        <v>188</v>
      </c>
      <c r="R17" s="50">
        <v>170297.0</v>
      </c>
    </row>
    <row r="18" ht="13.5" customHeight="1">
      <c r="B18" s="50" t="s">
        <v>20</v>
      </c>
      <c r="C18" s="50">
        <v>3.30421431E8</v>
      </c>
      <c r="D18" s="50" t="s">
        <v>172</v>
      </c>
      <c r="E18" s="50">
        <v>474.26</v>
      </c>
      <c r="F18" s="50">
        <v>474.26</v>
      </c>
      <c r="J18" s="241">
        <v>45684.0</v>
      </c>
      <c r="K18" s="241">
        <v>45684.0</v>
      </c>
      <c r="M18" s="50" t="s">
        <v>20</v>
      </c>
      <c r="N18" s="50">
        <v>3.30421431E8</v>
      </c>
      <c r="O18" s="50">
        <v>170297.0</v>
      </c>
      <c r="Q18" s="50" t="s">
        <v>189</v>
      </c>
      <c r="R18" s="50">
        <v>170297.0</v>
      </c>
    </row>
    <row r="19" ht="13.5" customHeight="1">
      <c r="B19" s="50" t="s">
        <v>20</v>
      </c>
      <c r="C19" s="50">
        <v>3.30421432E8</v>
      </c>
      <c r="D19" s="50" t="s">
        <v>172</v>
      </c>
      <c r="E19" s="55">
        <v>1448.94</v>
      </c>
      <c r="F19" s="50">
        <v>1448.94</v>
      </c>
      <c r="J19" s="241">
        <v>45684.0</v>
      </c>
      <c r="K19" s="241">
        <v>45684.0</v>
      </c>
      <c r="M19" s="50" t="s">
        <v>20</v>
      </c>
      <c r="N19" s="50">
        <v>3.30421432E8</v>
      </c>
      <c r="O19" s="50">
        <v>170297.0</v>
      </c>
      <c r="Q19" s="50" t="s">
        <v>190</v>
      </c>
      <c r="R19" s="50">
        <v>170297.0</v>
      </c>
    </row>
    <row r="20" ht="13.5" customHeight="1">
      <c r="B20" s="50" t="s">
        <v>20</v>
      </c>
      <c r="C20" s="50">
        <v>3.30421433E8</v>
      </c>
      <c r="D20" s="50" t="s">
        <v>172</v>
      </c>
      <c r="E20" s="50">
        <v>69.58</v>
      </c>
      <c r="F20" s="50">
        <v>69.58</v>
      </c>
      <c r="J20" s="241">
        <v>45684.0</v>
      </c>
      <c r="K20" s="241">
        <v>45684.0</v>
      </c>
      <c r="M20" s="50" t="s">
        <v>20</v>
      </c>
      <c r="N20" s="50">
        <v>3.30421433E8</v>
      </c>
      <c r="O20" s="50">
        <v>170297.0</v>
      </c>
      <c r="Q20" s="50" t="s">
        <v>191</v>
      </c>
      <c r="R20" s="50">
        <v>170297.0</v>
      </c>
    </row>
    <row r="21" ht="13.5" customHeight="1">
      <c r="B21" s="50" t="s">
        <v>20</v>
      </c>
      <c r="C21" s="50">
        <v>3.30421434E8</v>
      </c>
      <c r="D21" s="50" t="s">
        <v>172</v>
      </c>
      <c r="E21" s="50">
        <v>66.6</v>
      </c>
      <c r="F21" s="50">
        <v>66.6</v>
      </c>
      <c r="J21" s="241">
        <v>45684.0</v>
      </c>
      <c r="K21" s="241">
        <v>45684.0</v>
      </c>
      <c r="M21" s="50" t="s">
        <v>20</v>
      </c>
      <c r="N21" s="50">
        <v>3.30421434E8</v>
      </c>
      <c r="O21" s="50">
        <v>170297.0</v>
      </c>
      <c r="Q21" s="50" t="s">
        <v>192</v>
      </c>
      <c r="R21" s="50">
        <v>170297.0</v>
      </c>
    </row>
    <row r="22" ht="13.5" customHeight="1">
      <c r="B22" s="50" t="s">
        <v>20</v>
      </c>
      <c r="C22" s="50">
        <v>3.30421435E8</v>
      </c>
      <c r="D22" s="50" t="s">
        <v>172</v>
      </c>
      <c r="E22" s="50">
        <v>60.75</v>
      </c>
      <c r="F22" s="50">
        <v>60.75</v>
      </c>
      <c r="J22" s="241">
        <v>45684.0</v>
      </c>
      <c r="K22" s="241">
        <v>45684.0</v>
      </c>
      <c r="M22" s="50" t="s">
        <v>20</v>
      </c>
      <c r="N22" s="50">
        <v>3.30421435E8</v>
      </c>
      <c r="O22" s="50">
        <v>170297.0</v>
      </c>
      <c r="Q22" s="50" t="s">
        <v>193</v>
      </c>
      <c r="R22" s="50">
        <v>170297.0</v>
      </c>
    </row>
    <row r="23" ht="13.5" customHeight="1">
      <c r="B23" s="50" t="s">
        <v>20</v>
      </c>
      <c r="C23" s="50">
        <v>3.30421436E8</v>
      </c>
      <c r="D23" s="50" t="s">
        <v>172</v>
      </c>
      <c r="E23" s="50">
        <v>64.79</v>
      </c>
      <c r="F23" s="50">
        <v>64.79</v>
      </c>
      <c r="J23" s="241">
        <v>45684.0</v>
      </c>
      <c r="K23" s="241">
        <v>45684.0</v>
      </c>
      <c r="M23" s="50" t="s">
        <v>20</v>
      </c>
      <c r="N23" s="50">
        <v>3.30421436E8</v>
      </c>
      <c r="O23" s="50">
        <v>170297.0</v>
      </c>
      <c r="Q23" s="50" t="s">
        <v>194</v>
      </c>
      <c r="R23" s="50">
        <v>170297.0</v>
      </c>
    </row>
    <row r="24" ht="13.5" customHeight="1">
      <c r="B24" s="50" t="s">
        <v>20</v>
      </c>
      <c r="C24" s="50">
        <v>3.30421437E8</v>
      </c>
      <c r="D24" s="50" t="s">
        <v>172</v>
      </c>
      <c r="E24" s="50">
        <v>25.8</v>
      </c>
      <c r="F24" s="50">
        <v>25.8</v>
      </c>
      <c r="J24" s="241">
        <v>45684.0</v>
      </c>
      <c r="K24" s="241">
        <v>45684.0</v>
      </c>
      <c r="M24" s="50" t="s">
        <v>20</v>
      </c>
      <c r="N24" s="50">
        <v>3.30421437E8</v>
      </c>
      <c r="O24" s="50">
        <v>170297.0</v>
      </c>
      <c r="Q24" s="50" t="s">
        <v>195</v>
      </c>
      <c r="R24" s="50">
        <v>170297.0</v>
      </c>
    </row>
    <row r="25" ht="13.5" customHeight="1">
      <c r="B25" s="50" t="s">
        <v>20</v>
      </c>
      <c r="C25" s="50">
        <v>3.30421438E8</v>
      </c>
      <c r="D25" s="50" t="s">
        <v>172</v>
      </c>
      <c r="E25" s="50">
        <v>35.0</v>
      </c>
      <c r="F25" s="50">
        <v>35.0</v>
      </c>
      <c r="J25" s="241">
        <v>45684.0</v>
      </c>
      <c r="K25" s="241">
        <v>45684.0</v>
      </c>
      <c r="M25" s="50" t="s">
        <v>20</v>
      </c>
      <c r="N25" s="50">
        <v>3.30421438E8</v>
      </c>
      <c r="O25" s="50">
        <v>170297.0</v>
      </c>
      <c r="Q25" s="50" t="s">
        <v>196</v>
      </c>
      <c r="R25" s="50">
        <v>170297.0</v>
      </c>
    </row>
    <row r="26" ht="13.5" customHeight="1">
      <c r="B26" s="50" t="s">
        <v>20</v>
      </c>
      <c r="C26" s="50">
        <v>3.30421439E8</v>
      </c>
      <c r="D26" s="50" t="s">
        <v>172</v>
      </c>
      <c r="E26" s="50">
        <v>161.73</v>
      </c>
      <c r="F26" s="50">
        <v>161.73</v>
      </c>
      <c r="J26" s="241">
        <v>45684.0</v>
      </c>
      <c r="K26" s="241">
        <v>45684.0</v>
      </c>
      <c r="M26" s="50" t="s">
        <v>20</v>
      </c>
      <c r="N26" s="50">
        <v>3.30421439E8</v>
      </c>
      <c r="O26" s="50">
        <v>170297.0</v>
      </c>
      <c r="Q26" s="50" t="s">
        <v>197</v>
      </c>
      <c r="R26" s="50">
        <v>170297.0</v>
      </c>
    </row>
    <row r="27" ht="13.5" customHeight="1">
      <c r="B27" s="50" t="s">
        <v>20</v>
      </c>
      <c r="C27" s="50">
        <v>3.3042144E8</v>
      </c>
      <c r="D27" s="50" t="s">
        <v>172</v>
      </c>
      <c r="E27" s="50">
        <v>455.24</v>
      </c>
      <c r="F27" s="50">
        <v>455.24</v>
      </c>
      <c r="J27" s="241">
        <v>45684.0</v>
      </c>
      <c r="K27" s="241">
        <v>45684.0</v>
      </c>
      <c r="M27" s="50" t="s">
        <v>20</v>
      </c>
      <c r="N27" s="50">
        <v>3.3042144E8</v>
      </c>
      <c r="O27" s="50">
        <v>170297.0</v>
      </c>
      <c r="Q27" s="50" t="s">
        <v>198</v>
      </c>
      <c r="R27" s="50">
        <v>170297.0</v>
      </c>
    </row>
    <row r="28" ht="13.5" customHeight="1">
      <c r="B28" s="50" t="s">
        <v>20</v>
      </c>
      <c r="C28" s="50">
        <v>3.30421441E8</v>
      </c>
      <c r="D28" s="50" t="s">
        <v>172</v>
      </c>
      <c r="E28" s="50">
        <v>31.2</v>
      </c>
      <c r="F28" s="50">
        <v>31.2</v>
      </c>
      <c r="J28" s="241">
        <v>45684.0</v>
      </c>
      <c r="K28" s="241">
        <v>45684.0</v>
      </c>
      <c r="M28" s="50" t="s">
        <v>20</v>
      </c>
      <c r="N28" s="50">
        <v>3.30421441E8</v>
      </c>
      <c r="O28" s="50">
        <v>170297.0</v>
      </c>
      <c r="Q28" s="50" t="s">
        <v>199</v>
      </c>
      <c r="R28" s="50">
        <v>170297.0</v>
      </c>
    </row>
    <row r="29" ht="13.5" customHeight="1">
      <c r="B29" s="50" t="s">
        <v>20</v>
      </c>
      <c r="C29" s="50">
        <v>3.30421442E8</v>
      </c>
      <c r="D29" s="50" t="s">
        <v>172</v>
      </c>
      <c r="E29" s="50">
        <v>13.3</v>
      </c>
      <c r="F29" s="50">
        <v>13.3</v>
      </c>
      <c r="J29" s="241">
        <v>45684.0</v>
      </c>
      <c r="K29" s="241">
        <v>45684.0</v>
      </c>
      <c r="M29" s="50" t="s">
        <v>20</v>
      </c>
      <c r="N29" s="50">
        <v>3.30421442E8</v>
      </c>
      <c r="O29" s="50">
        <v>170297.0</v>
      </c>
      <c r="Q29" s="50" t="s">
        <v>200</v>
      </c>
      <c r="R29" s="50">
        <v>170297.0</v>
      </c>
    </row>
    <row r="30" ht="13.5" customHeight="1">
      <c r="B30" s="50" t="s">
        <v>20</v>
      </c>
      <c r="C30" s="50">
        <v>3.30421443E8</v>
      </c>
      <c r="D30" s="50" t="s">
        <v>172</v>
      </c>
      <c r="E30" s="50">
        <v>389.0</v>
      </c>
      <c r="F30" s="50">
        <v>389.0</v>
      </c>
      <c r="J30" s="241">
        <v>45684.0</v>
      </c>
      <c r="K30" s="241">
        <v>45684.0</v>
      </c>
      <c r="M30" s="50" t="s">
        <v>20</v>
      </c>
      <c r="N30" s="50">
        <v>3.30421443E8</v>
      </c>
      <c r="O30" s="50">
        <v>170297.0</v>
      </c>
      <c r="Q30" s="50" t="s">
        <v>201</v>
      </c>
      <c r="R30" s="50">
        <v>170297.0</v>
      </c>
    </row>
    <row r="31" ht="13.5" customHeight="1">
      <c r="B31" s="50" t="s">
        <v>20</v>
      </c>
      <c r="C31" s="50">
        <v>3.30421444E8</v>
      </c>
      <c r="D31" s="50" t="s">
        <v>172</v>
      </c>
      <c r="E31" s="50">
        <v>455.24</v>
      </c>
      <c r="F31" s="50">
        <v>455.24</v>
      </c>
      <c r="J31" s="241">
        <v>45684.0</v>
      </c>
      <c r="K31" s="241">
        <v>45684.0</v>
      </c>
      <c r="M31" s="50" t="s">
        <v>20</v>
      </c>
      <c r="N31" s="50">
        <v>3.30421444E8</v>
      </c>
      <c r="O31" s="50">
        <v>170297.0</v>
      </c>
      <c r="Q31" s="50" t="s">
        <v>202</v>
      </c>
      <c r="R31" s="50">
        <v>170297.0</v>
      </c>
    </row>
    <row r="32" ht="13.5" customHeight="1">
      <c r="B32" s="50" t="s">
        <v>20</v>
      </c>
      <c r="C32" s="50">
        <v>3.30421445E8</v>
      </c>
      <c r="D32" s="50" t="s">
        <v>172</v>
      </c>
      <c r="E32" s="55">
        <v>1820.99</v>
      </c>
      <c r="F32" s="50">
        <v>1820.99</v>
      </c>
      <c r="J32" s="241">
        <v>45684.0</v>
      </c>
      <c r="K32" s="241">
        <v>45684.0</v>
      </c>
      <c r="M32" s="50" t="s">
        <v>20</v>
      </c>
      <c r="N32" s="50">
        <v>3.30421445E8</v>
      </c>
      <c r="O32" s="50">
        <v>170297.0</v>
      </c>
      <c r="Q32" s="50" t="s">
        <v>203</v>
      </c>
      <c r="R32" s="50">
        <v>170297.0</v>
      </c>
    </row>
    <row r="33" ht="13.5" customHeight="1">
      <c r="B33" s="50" t="s">
        <v>20</v>
      </c>
      <c r="C33" s="50">
        <v>3.30421447E8</v>
      </c>
      <c r="D33" s="50" t="s">
        <v>172</v>
      </c>
      <c r="E33" s="50">
        <v>984.05</v>
      </c>
      <c r="F33" s="50">
        <v>984.05</v>
      </c>
      <c r="J33" s="241">
        <v>45684.0</v>
      </c>
      <c r="K33" s="241">
        <v>45684.0</v>
      </c>
      <c r="M33" s="50" t="s">
        <v>20</v>
      </c>
      <c r="N33" s="50">
        <v>3.30421447E8</v>
      </c>
      <c r="O33" s="50">
        <v>170297.0</v>
      </c>
      <c r="Q33" s="50" t="s">
        <v>204</v>
      </c>
      <c r="R33" s="50">
        <v>170297.0</v>
      </c>
    </row>
    <row r="34" ht="13.5" customHeight="1">
      <c r="B34" s="50" t="s">
        <v>20</v>
      </c>
      <c r="C34" s="50">
        <v>3.30421448E8</v>
      </c>
      <c r="D34" s="50" t="s">
        <v>172</v>
      </c>
      <c r="E34" s="50">
        <v>82.75</v>
      </c>
      <c r="F34" s="50">
        <v>82.75</v>
      </c>
      <c r="J34" s="241">
        <v>45684.0</v>
      </c>
      <c r="K34" s="241">
        <v>45684.0</v>
      </c>
      <c r="M34" s="50" t="s">
        <v>20</v>
      </c>
      <c r="N34" s="50">
        <v>3.30421448E8</v>
      </c>
      <c r="O34" s="50">
        <v>170297.0</v>
      </c>
      <c r="Q34" s="50" t="s">
        <v>205</v>
      </c>
      <c r="R34" s="50">
        <v>170297.0</v>
      </c>
    </row>
    <row r="35" ht="13.5" customHeight="1">
      <c r="B35" s="50" t="s">
        <v>20</v>
      </c>
      <c r="C35" s="50">
        <v>3.30421449E8</v>
      </c>
      <c r="D35" s="50" t="s">
        <v>172</v>
      </c>
      <c r="E35" s="55">
        <v>1560.0</v>
      </c>
      <c r="F35" s="50">
        <v>1560.0</v>
      </c>
      <c r="J35" s="241">
        <v>45684.0</v>
      </c>
      <c r="K35" s="241">
        <v>45684.0</v>
      </c>
      <c r="M35" s="50" t="s">
        <v>20</v>
      </c>
      <c r="N35" s="50">
        <v>3.30421449E8</v>
      </c>
      <c r="O35" s="50">
        <v>170297.0</v>
      </c>
      <c r="Q35" s="50" t="s">
        <v>206</v>
      </c>
      <c r="R35" s="50">
        <v>170297.0</v>
      </c>
    </row>
    <row r="36" ht="13.5" customHeight="1">
      <c r="B36" s="50" t="s">
        <v>20</v>
      </c>
      <c r="C36" s="50">
        <v>3.3042145E8</v>
      </c>
      <c r="D36" s="50" t="s">
        <v>172</v>
      </c>
      <c r="E36" s="55">
        <v>1215.79</v>
      </c>
      <c r="F36" s="50">
        <v>1215.79</v>
      </c>
      <c r="J36" s="241">
        <v>45684.0</v>
      </c>
      <c r="K36" s="241">
        <v>45684.0</v>
      </c>
      <c r="M36" s="50" t="s">
        <v>20</v>
      </c>
      <c r="N36" s="50">
        <v>3.3042145E8</v>
      </c>
      <c r="O36" s="50">
        <v>170297.0</v>
      </c>
      <c r="Q36" s="50" t="s">
        <v>207</v>
      </c>
      <c r="R36" s="50">
        <v>170297.0</v>
      </c>
    </row>
    <row r="37" ht="13.5" customHeight="1">
      <c r="B37" s="50" t="s">
        <v>20</v>
      </c>
      <c r="C37" s="50">
        <v>3.30421451E8</v>
      </c>
      <c r="D37" s="50" t="s">
        <v>172</v>
      </c>
      <c r="E37" s="50">
        <v>823.88</v>
      </c>
      <c r="F37" s="50">
        <v>823.88</v>
      </c>
      <c r="J37" s="241">
        <v>45684.0</v>
      </c>
      <c r="K37" s="241">
        <v>45684.0</v>
      </c>
      <c r="M37" s="50" t="s">
        <v>20</v>
      </c>
      <c r="N37" s="50">
        <v>3.30421451E8</v>
      </c>
      <c r="O37" s="50">
        <v>170297.0</v>
      </c>
      <c r="Q37" s="50" t="s">
        <v>208</v>
      </c>
      <c r="R37" s="50">
        <v>170297.0</v>
      </c>
    </row>
    <row r="38" ht="13.5" customHeight="1">
      <c r="B38" s="50" t="s">
        <v>20</v>
      </c>
      <c r="C38" s="50">
        <v>3.30421452E8</v>
      </c>
      <c r="D38" s="50" t="s">
        <v>172</v>
      </c>
      <c r="E38" s="50">
        <v>820.0</v>
      </c>
      <c r="F38" s="50">
        <v>820.0</v>
      </c>
      <c r="J38" s="241">
        <v>45684.0</v>
      </c>
      <c r="K38" s="241">
        <v>45684.0</v>
      </c>
      <c r="M38" s="50" t="s">
        <v>20</v>
      </c>
      <c r="N38" s="50">
        <v>3.30421452E8</v>
      </c>
      <c r="O38" s="50">
        <v>170297.0</v>
      </c>
      <c r="Q38" s="50" t="s">
        <v>209</v>
      </c>
      <c r="R38" s="50">
        <v>170297.0</v>
      </c>
    </row>
    <row r="39" ht="13.5" customHeight="1">
      <c r="B39" s="50" t="s">
        <v>20</v>
      </c>
      <c r="C39" s="50">
        <v>3.30421453E8</v>
      </c>
      <c r="D39" s="50" t="s">
        <v>172</v>
      </c>
      <c r="E39" s="50">
        <v>102.0</v>
      </c>
      <c r="F39" s="50">
        <v>102.0</v>
      </c>
      <c r="J39" s="241">
        <v>45684.0</v>
      </c>
      <c r="K39" s="241">
        <v>45684.0</v>
      </c>
      <c r="M39" s="50" t="s">
        <v>20</v>
      </c>
      <c r="N39" s="50">
        <v>3.30421453E8</v>
      </c>
      <c r="O39" s="50">
        <v>170297.0</v>
      </c>
      <c r="Q39" s="50" t="s">
        <v>210</v>
      </c>
      <c r="R39" s="50">
        <v>170297.0</v>
      </c>
    </row>
    <row r="40" ht="13.5" customHeight="1">
      <c r="B40" s="50" t="s">
        <v>20</v>
      </c>
      <c r="C40" s="50">
        <v>3.30421454E8</v>
      </c>
      <c r="D40" s="50" t="s">
        <v>172</v>
      </c>
      <c r="E40" s="50">
        <v>455.24</v>
      </c>
      <c r="F40" s="50">
        <v>455.24</v>
      </c>
      <c r="J40" s="241">
        <v>45684.0</v>
      </c>
      <c r="K40" s="241">
        <v>45684.0</v>
      </c>
      <c r="M40" s="50" t="s">
        <v>20</v>
      </c>
      <c r="N40" s="50">
        <v>3.30421454E8</v>
      </c>
      <c r="O40" s="50">
        <v>170297.0</v>
      </c>
      <c r="Q40" s="50" t="s">
        <v>211</v>
      </c>
      <c r="R40" s="50">
        <v>170297.0</v>
      </c>
    </row>
    <row r="41" ht="13.5" customHeight="1">
      <c r="B41" s="50" t="s">
        <v>20</v>
      </c>
      <c r="C41" s="50">
        <v>3.30421455E8</v>
      </c>
      <c r="D41" s="50" t="s">
        <v>172</v>
      </c>
      <c r="E41" s="50">
        <v>20.0</v>
      </c>
      <c r="F41" s="50">
        <v>20.0</v>
      </c>
      <c r="J41" s="241">
        <v>45684.0</v>
      </c>
      <c r="K41" s="241">
        <v>45684.0</v>
      </c>
      <c r="M41" s="50" t="s">
        <v>20</v>
      </c>
      <c r="N41" s="50">
        <v>3.30421455E8</v>
      </c>
      <c r="O41" s="50">
        <v>170297.0</v>
      </c>
      <c r="Q41" s="50" t="s">
        <v>212</v>
      </c>
      <c r="R41" s="50">
        <v>170297.0</v>
      </c>
    </row>
    <row r="42" ht="13.5" customHeight="1">
      <c r="B42" s="50" t="s">
        <v>20</v>
      </c>
      <c r="C42" s="50">
        <v>3.30421456E8</v>
      </c>
      <c r="D42" s="50" t="s">
        <v>172</v>
      </c>
      <c r="E42" s="50">
        <v>400.0</v>
      </c>
      <c r="F42" s="50">
        <v>400.0</v>
      </c>
      <c r="J42" s="241">
        <v>45684.0</v>
      </c>
      <c r="K42" s="241">
        <v>45684.0</v>
      </c>
      <c r="M42" s="50" t="s">
        <v>20</v>
      </c>
      <c r="N42" s="50">
        <v>3.30421456E8</v>
      </c>
      <c r="O42" s="50">
        <v>170297.0</v>
      </c>
      <c r="Q42" s="50" t="s">
        <v>213</v>
      </c>
      <c r="R42" s="50">
        <v>170297.0</v>
      </c>
    </row>
    <row r="43" ht="13.5" customHeight="1">
      <c r="B43" s="50" t="s">
        <v>20</v>
      </c>
      <c r="C43" s="50">
        <v>3.30421457E8</v>
      </c>
      <c r="D43" s="50" t="s">
        <v>172</v>
      </c>
      <c r="E43" s="50">
        <v>601.3</v>
      </c>
      <c r="F43" s="50">
        <v>601.3</v>
      </c>
      <c r="J43" s="241">
        <v>45684.0</v>
      </c>
      <c r="K43" s="241">
        <v>45684.0</v>
      </c>
      <c r="M43" s="50" t="s">
        <v>20</v>
      </c>
      <c r="N43" s="50">
        <v>3.30421457E8</v>
      </c>
      <c r="O43" s="50">
        <v>170297.0</v>
      </c>
      <c r="Q43" s="50" t="s">
        <v>214</v>
      </c>
      <c r="R43" s="50">
        <v>170297.0</v>
      </c>
    </row>
    <row r="44" ht="13.5" customHeight="1">
      <c r="B44" s="50" t="s">
        <v>20</v>
      </c>
      <c r="C44" s="50">
        <v>3.30421458E8</v>
      </c>
      <c r="D44" s="50" t="s">
        <v>172</v>
      </c>
      <c r="E44" s="50">
        <v>100.0</v>
      </c>
      <c r="F44" s="50">
        <v>100.0</v>
      </c>
      <c r="J44" s="241">
        <v>45684.0</v>
      </c>
      <c r="K44" s="241">
        <v>45684.0</v>
      </c>
      <c r="M44" s="50" t="s">
        <v>20</v>
      </c>
      <c r="N44" s="50">
        <v>3.30421458E8</v>
      </c>
      <c r="O44" s="50">
        <v>170297.0</v>
      </c>
      <c r="Q44" s="50" t="s">
        <v>215</v>
      </c>
      <c r="R44" s="50">
        <v>170297.0</v>
      </c>
    </row>
    <row r="45" ht="13.5" customHeight="1">
      <c r="B45" s="50" t="s">
        <v>20</v>
      </c>
      <c r="C45" s="50">
        <v>3.30421459E8</v>
      </c>
      <c r="D45" s="50" t="s">
        <v>172</v>
      </c>
      <c r="E45" s="50">
        <v>455.24</v>
      </c>
      <c r="F45" s="50">
        <v>455.24</v>
      </c>
      <c r="J45" s="241">
        <v>45684.0</v>
      </c>
      <c r="K45" s="241">
        <v>45684.0</v>
      </c>
      <c r="M45" s="50" t="s">
        <v>20</v>
      </c>
      <c r="N45" s="50">
        <v>3.30421459E8</v>
      </c>
      <c r="O45" s="50">
        <v>170297.0</v>
      </c>
      <c r="Q45" s="50" t="s">
        <v>216</v>
      </c>
      <c r="R45" s="50">
        <v>170297.0</v>
      </c>
    </row>
    <row r="46" ht="13.5" customHeight="1">
      <c r="B46" s="50" t="s">
        <v>20</v>
      </c>
      <c r="C46" s="50">
        <v>3.3042146E8</v>
      </c>
      <c r="D46" s="50" t="s">
        <v>172</v>
      </c>
      <c r="E46" s="50">
        <v>253.17</v>
      </c>
      <c r="F46" s="50">
        <v>253.17</v>
      </c>
      <c r="J46" s="241">
        <v>45684.0</v>
      </c>
      <c r="K46" s="241">
        <v>45684.0</v>
      </c>
      <c r="M46" s="50" t="s">
        <v>20</v>
      </c>
      <c r="N46" s="50">
        <v>3.3042146E8</v>
      </c>
      <c r="O46" s="50">
        <v>170297.0</v>
      </c>
      <c r="Q46" s="50" t="s">
        <v>217</v>
      </c>
      <c r="R46" s="50">
        <v>170297.0</v>
      </c>
    </row>
    <row r="47" ht="13.5" customHeight="1">
      <c r="B47" s="50" t="s">
        <v>20</v>
      </c>
      <c r="C47" s="50">
        <v>3.30421461E8</v>
      </c>
      <c r="D47" s="50" t="s">
        <v>172</v>
      </c>
      <c r="E47" s="55">
        <v>1164.52</v>
      </c>
      <c r="F47" s="50">
        <v>1164.52</v>
      </c>
      <c r="J47" s="241">
        <v>45684.0</v>
      </c>
      <c r="K47" s="241">
        <v>45684.0</v>
      </c>
      <c r="M47" s="50" t="s">
        <v>20</v>
      </c>
      <c r="N47" s="50">
        <v>3.30421461E8</v>
      </c>
      <c r="O47" s="50">
        <v>170297.0</v>
      </c>
      <c r="Q47" s="50" t="s">
        <v>218</v>
      </c>
      <c r="R47" s="50">
        <v>170297.0</v>
      </c>
    </row>
    <row r="48" ht="13.5" customHeight="1">
      <c r="B48" s="50" t="s">
        <v>20</v>
      </c>
      <c r="C48" s="50">
        <v>3.30421462E8</v>
      </c>
      <c r="D48" s="50" t="s">
        <v>172</v>
      </c>
      <c r="E48" s="50">
        <v>65.1</v>
      </c>
      <c r="F48" s="50">
        <v>65.1</v>
      </c>
      <c r="J48" s="241">
        <v>45684.0</v>
      </c>
      <c r="K48" s="241">
        <v>45684.0</v>
      </c>
      <c r="M48" s="50" t="s">
        <v>20</v>
      </c>
      <c r="N48" s="50">
        <v>3.30421462E8</v>
      </c>
      <c r="O48" s="50">
        <v>170297.0</v>
      </c>
      <c r="Q48" s="50" t="s">
        <v>219</v>
      </c>
      <c r="R48" s="50">
        <v>170297.0</v>
      </c>
    </row>
    <row r="49" ht="13.5" customHeight="1">
      <c r="B49" s="50" t="s">
        <v>20</v>
      </c>
      <c r="C49" s="50">
        <v>3.30421463E8</v>
      </c>
      <c r="D49" s="50" t="s">
        <v>172</v>
      </c>
      <c r="E49" s="50">
        <v>27.99</v>
      </c>
      <c r="F49" s="50">
        <v>27.99</v>
      </c>
      <c r="J49" s="241">
        <v>45684.0</v>
      </c>
      <c r="K49" s="241">
        <v>45684.0</v>
      </c>
      <c r="M49" s="50" t="s">
        <v>20</v>
      </c>
      <c r="N49" s="50">
        <v>3.30421463E8</v>
      </c>
      <c r="O49" s="50">
        <v>170297.0</v>
      </c>
      <c r="Q49" s="50" t="s">
        <v>220</v>
      </c>
      <c r="R49" s="50">
        <v>170297.0</v>
      </c>
    </row>
    <row r="50" ht="13.5" customHeight="1">
      <c r="B50" s="50" t="s">
        <v>20</v>
      </c>
      <c r="C50" s="50">
        <v>3.30421464E8</v>
      </c>
      <c r="D50" s="50" t="s">
        <v>172</v>
      </c>
      <c r="E50" s="50">
        <v>455.24</v>
      </c>
      <c r="F50" s="50">
        <v>455.24</v>
      </c>
      <c r="J50" s="241">
        <v>45684.0</v>
      </c>
      <c r="K50" s="241">
        <v>45684.0</v>
      </c>
      <c r="M50" s="50" t="s">
        <v>20</v>
      </c>
      <c r="N50" s="50">
        <v>3.30421464E8</v>
      </c>
      <c r="O50" s="50">
        <v>170297.0</v>
      </c>
      <c r="Q50" s="50" t="s">
        <v>221</v>
      </c>
      <c r="R50" s="50">
        <v>170297.0</v>
      </c>
    </row>
    <row r="51" ht="13.5" customHeight="1">
      <c r="B51" s="50" t="s">
        <v>20</v>
      </c>
      <c r="C51" s="50">
        <v>3.30421465E8</v>
      </c>
      <c r="D51" s="50" t="s">
        <v>172</v>
      </c>
      <c r="E51" s="50">
        <v>200.0</v>
      </c>
      <c r="F51" s="50">
        <v>200.0</v>
      </c>
      <c r="J51" s="241">
        <v>45684.0</v>
      </c>
      <c r="K51" s="241">
        <v>45684.0</v>
      </c>
      <c r="M51" s="50" t="s">
        <v>20</v>
      </c>
      <c r="N51" s="50">
        <v>3.30421465E8</v>
      </c>
      <c r="O51" s="50">
        <v>170297.0</v>
      </c>
      <c r="Q51" s="50" t="s">
        <v>222</v>
      </c>
      <c r="R51" s="50">
        <v>170297.0</v>
      </c>
    </row>
    <row r="52" ht="13.5" customHeight="1">
      <c r="B52" s="50" t="s">
        <v>20</v>
      </c>
      <c r="C52" s="50">
        <v>3.30421466E8</v>
      </c>
      <c r="D52" s="50" t="s">
        <v>172</v>
      </c>
      <c r="E52" s="50">
        <v>201.3</v>
      </c>
      <c r="F52" s="50">
        <v>201.3</v>
      </c>
      <c r="J52" s="241">
        <v>45684.0</v>
      </c>
      <c r="K52" s="241">
        <v>45684.0</v>
      </c>
      <c r="M52" s="50" t="s">
        <v>20</v>
      </c>
      <c r="N52" s="50">
        <v>3.30421466E8</v>
      </c>
      <c r="O52" s="50">
        <v>170297.0</v>
      </c>
      <c r="Q52" s="50" t="s">
        <v>223</v>
      </c>
      <c r="R52" s="50">
        <v>170297.0</v>
      </c>
    </row>
    <row r="53" ht="13.5" customHeight="1">
      <c r="B53" s="50" t="s">
        <v>20</v>
      </c>
      <c r="C53" s="50">
        <v>3.30421467E8</v>
      </c>
      <c r="D53" s="50" t="s">
        <v>172</v>
      </c>
      <c r="E53" s="50">
        <v>200.44</v>
      </c>
      <c r="F53" s="50">
        <v>200.44</v>
      </c>
      <c r="J53" s="241">
        <v>45684.0</v>
      </c>
      <c r="K53" s="241">
        <v>45684.0</v>
      </c>
      <c r="M53" s="50" t="s">
        <v>20</v>
      </c>
      <c r="N53" s="50">
        <v>3.30421467E8</v>
      </c>
      <c r="O53" s="50">
        <v>170297.0</v>
      </c>
      <c r="Q53" s="50" t="s">
        <v>224</v>
      </c>
      <c r="R53" s="50">
        <v>170297.0</v>
      </c>
    </row>
    <row r="54" ht="13.5" customHeight="1">
      <c r="B54" s="50" t="s">
        <v>20</v>
      </c>
      <c r="C54" s="50">
        <v>3.30421468E8</v>
      </c>
      <c r="D54" s="50" t="s">
        <v>172</v>
      </c>
      <c r="E54" s="50">
        <v>57.0</v>
      </c>
      <c r="F54" s="50">
        <v>57.0</v>
      </c>
      <c r="J54" s="241">
        <v>45684.0</v>
      </c>
      <c r="K54" s="241">
        <v>45684.0</v>
      </c>
      <c r="M54" s="50" t="s">
        <v>20</v>
      </c>
      <c r="N54" s="50">
        <v>3.30421468E8</v>
      </c>
      <c r="O54" s="50">
        <v>170297.0</v>
      </c>
      <c r="Q54" s="50" t="s">
        <v>225</v>
      </c>
      <c r="R54" s="50">
        <v>170297.0</v>
      </c>
    </row>
    <row r="55" ht="13.5" customHeight="1">
      <c r="B55" s="50" t="s">
        <v>20</v>
      </c>
      <c r="C55" s="50">
        <v>3.30421469E8</v>
      </c>
      <c r="D55" s="50" t="s">
        <v>172</v>
      </c>
      <c r="E55" s="50">
        <v>294.22</v>
      </c>
      <c r="F55" s="50">
        <v>294.22</v>
      </c>
      <c r="J55" s="241">
        <v>45684.0</v>
      </c>
      <c r="K55" s="241">
        <v>45684.0</v>
      </c>
      <c r="M55" s="50" t="s">
        <v>20</v>
      </c>
      <c r="N55" s="50">
        <v>3.30421469E8</v>
      </c>
      <c r="O55" s="50">
        <v>170297.0</v>
      </c>
      <c r="Q55" s="50" t="s">
        <v>226</v>
      </c>
      <c r="R55" s="50">
        <v>170297.0</v>
      </c>
    </row>
    <row r="56" ht="13.5" customHeight="1">
      <c r="B56" s="50" t="s">
        <v>20</v>
      </c>
      <c r="C56" s="50">
        <v>3.3042147E8</v>
      </c>
      <c r="D56" s="50" t="s">
        <v>172</v>
      </c>
      <c r="E56" s="50">
        <v>455.24</v>
      </c>
      <c r="F56" s="50">
        <v>455.24</v>
      </c>
      <c r="J56" s="241">
        <v>45684.0</v>
      </c>
      <c r="K56" s="241">
        <v>45684.0</v>
      </c>
      <c r="M56" s="50" t="s">
        <v>20</v>
      </c>
      <c r="N56" s="50">
        <v>3.3042147E8</v>
      </c>
      <c r="O56" s="50">
        <v>170297.0</v>
      </c>
      <c r="Q56" s="50" t="s">
        <v>227</v>
      </c>
      <c r="R56" s="50">
        <v>170297.0</v>
      </c>
    </row>
    <row r="57" ht="13.5" customHeight="1">
      <c r="B57" s="50" t="s">
        <v>20</v>
      </c>
      <c r="C57" s="50">
        <v>3.30421471E8</v>
      </c>
      <c r="D57" s="50" t="s">
        <v>172</v>
      </c>
      <c r="E57" s="50">
        <v>15.52</v>
      </c>
      <c r="F57" s="50">
        <v>15.52</v>
      </c>
      <c r="J57" s="241">
        <v>45684.0</v>
      </c>
      <c r="K57" s="241">
        <v>45684.0</v>
      </c>
      <c r="M57" s="50" t="s">
        <v>20</v>
      </c>
      <c r="N57" s="50">
        <v>3.30421471E8</v>
      </c>
      <c r="O57" s="50">
        <v>170297.0</v>
      </c>
      <c r="Q57" s="50" t="s">
        <v>228</v>
      </c>
      <c r="R57" s="50">
        <v>170297.0</v>
      </c>
    </row>
    <row r="58" ht="13.5" customHeight="1">
      <c r="B58" s="50" t="s">
        <v>20</v>
      </c>
      <c r="C58" s="50">
        <v>3.30421472E8</v>
      </c>
      <c r="D58" s="50" t="s">
        <v>172</v>
      </c>
      <c r="E58" s="50">
        <v>350.0</v>
      </c>
      <c r="F58" s="50">
        <v>350.0</v>
      </c>
      <c r="J58" s="241">
        <v>45684.0</v>
      </c>
      <c r="K58" s="241">
        <v>45684.0</v>
      </c>
      <c r="M58" s="50" t="s">
        <v>20</v>
      </c>
      <c r="N58" s="50">
        <v>3.30421472E8</v>
      </c>
      <c r="O58" s="50">
        <v>170297.0</v>
      </c>
      <c r="Q58" s="50" t="s">
        <v>229</v>
      </c>
      <c r="R58" s="50">
        <v>170297.0</v>
      </c>
    </row>
    <row r="59" ht="13.5" customHeight="1">
      <c r="B59" s="50" t="s">
        <v>20</v>
      </c>
      <c r="C59" s="50">
        <v>3.30421473E8</v>
      </c>
      <c r="D59" s="50" t="s">
        <v>172</v>
      </c>
      <c r="E59" s="50">
        <v>420.99</v>
      </c>
      <c r="F59" s="50">
        <v>420.99</v>
      </c>
      <c r="J59" s="241">
        <v>45684.0</v>
      </c>
      <c r="K59" s="241">
        <v>45684.0</v>
      </c>
      <c r="M59" s="50" t="s">
        <v>20</v>
      </c>
      <c r="N59" s="50">
        <v>3.30421473E8</v>
      </c>
      <c r="O59" s="50">
        <v>170297.0</v>
      </c>
      <c r="Q59" s="50" t="s">
        <v>230</v>
      </c>
      <c r="R59" s="50">
        <v>170297.0</v>
      </c>
    </row>
    <row r="60" ht="13.5" customHeight="1">
      <c r="B60" s="50" t="s">
        <v>20</v>
      </c>
      <c r="C60" s="50">
        <v>3.30421474E8</v>
      </c>
      <c r="D60" s="50" t="s">
        <v>172</v>
      </c>
      <c r="E60" s="50">
        <v>100.0</v>
      </c>
      <c r="F60" s="50">
        <v>100.0</v>
      </c>
      <c r="J60" s="241">
        <v>45684.0</v>
      </c>
      <c r="K60" s="241">
        <v>45684.0</v>
      </c>
      <c r="M60" s="50" t="s">
        <v>20</v>
      </c>
      <c r="N60" s="50">
        <v>3.30421474E8</v>
      </c>
      <c r="O60" s="50">
        <v>170297.0</v>
      </c>
      <c r="Q60" s="50" t="s">
        <v>231</v>
      </c>
      <c r="R60" s="50">
        <v>170297.0</v>
      </c>
    </row>
    <row r="61" ht="13.5" customHeight="1">
      <c r="B61" s="50" t="s">
        <v>20</v>
      </c>
      <c r="C61" s="50">
        <v>3.30421475E8</v>
      </c>
      <c r="D61" s="50" t="s">
        <v>172</v>
      </c>
      <c r="E61" s="50">
        <v>31.28</v>
      </c>
      <c r="F61" s="50">
        <v>31.28</v>
      </c>
      <c r="J61" s="241">
        <v>45684.0</v>
      </c>
      <c r="K61" s="241">
        <v>45684.0</v>
      </c>
      <c r="M61" s="50" t="s">
        <v>20</v>
      </c>
      <c r="N61" s="50">
        <v>3.30421475E8</v>
      </c>
      <c r="O61" s="50">
        <v>170297.0</v>
      </c>
      <c r="Q61" s="50" t="s">
        <v>232</v>
      </c>
      <c r="R61" s="50">
        <v>170297.0</v>
      </c>
    </row>
    <row r="62" ht="13.5" customHeight="1">
      <c r="B62" s="50" t="s">
        <v>20</v>
      </c>
      <c r="C62" s="50">
        <v>3.30421476E8</v>
      </c>
      <c r="D62" s="50" t="s">
        <v>172</v>
      </c>
      <c r="E62" s="50">
        <v>18.8</v>
      </c>
      <c r="F62" s="50">
        <v>18.8</v>
      </c>
      <c r="J62" s="241">
        <v>45684.0</v>
      </c>
      <c r="K62" s="241">
        <v>45684.0</v>
      </c>
      <c r="M62" s="50" t="s">
        <v>20</v>
      </c>
      <c r="N62" s="50">
        <v>3.30421476E8</v>
      </c>
      <c r="O62" s="50">
        <v>170297.0</v>
      </c>
      <c r="Q62" s="50" t="s">
        <v>233</v>
      </c>
      <c r="R62" s="50">
        <v>170297.0</v>
      </c>
    </row>
    <row r="63" ht="13.5" customHeight="1">
      <c r="B63" s="50" t="s">
        <v>20</v>
      </c>
      <c r="C63" s="50">
        <v>3.30421477E8</v>
      </c>
      <c r="D63" s="50" t="s">
        <v>172</v>
      </c>
      <c r="E63" s="50">
        <v>147.0</v>
      </c>
      <c r="F63" s="50">
        <v>147.0</v>
      </c>
      <c r="J63" s="241">
        <v>45684.0</v>
      </c>
      <c r="K63" s="241">
        <v>45684.0</v>
      </c>
      <c r="M63" s="50" t="s">
        <v>20</v>
      </c>
      <c r="N63" s="50">
        <v>3.30421477E8</v>
      </c>
      <c r="O63" s="50">
        <v>170297.0</v>
      </c>
      <c r="Q63" s="50" t="s">
        <v>234</v>
      </c>
      <c r="R63" s="50">
        <v>170297.0</v>
      </c>
    </row>
    <row r="64" ht="13.5" customHeight="1">
      <c r="B64" s="50" t="s">
        <v>20</v>
      </c>
      <c r="C64" s="50">
        <v>3.30421478E8</v>
      </c>
      <c r="D64" s="50" t="s">
        <v>172</v>
      </c>
      <c r="E64" s="50">
        <v>103.36</v>
      </c>
      <c r="F64" s="50">
        <v>103.36</v>
      </c>
      <c r="J64" s="241">
        <v>45684.0</v>
      </c>
      <c r="K64" s="241">
        <v>45684.0</v>
      </c>
      <c r="M64" s="50" t="s">
        <v>20</v>
      </c>
      <c r="N64" s="50">
        <v>3.30421478E8</v>
      </c>
      <c r="O64" s="50">
        <v>170297.0</v>
      </c>
      <c r="Q64" s="50" t="s">
        <v>235</v>
      </c>
      <c r="R64" s="50">
        <v>170297.0</v>
      </c>
    </row>
    <row r="65" ht="13.5" customHeight="1">
      <c r="B65" s="50" t="s">
        <v>20</v>
      </c>
      <c r="C65" s="50">
        <v>3.30421479E8</v>
      </c>
      <c r="D65" s="50" t="s">
        <v>172</v>
      </c>
      <c r="E65" s="50">
        <v>18.8</v>
      </c>
      <c r="F65" s="50">
        <v>18.8</v>
      </c>
      <c r="J65" s="241">
        <v>45684.0</v>
      </c>
      <c r="K65" s="241">
        <v>45684.0</v>
      </c>
      <c r="M65" s="50" t="s">
        <v>20</v>
      </c>
      <c r="N65" s="50">
        <v>3.30421479E8</v>
      </c>
      <c r="O65" s="50">
        <v>170297.0</v>
      </c>
      <c r="Q65" s="50" t="s">
        <v>236</v>
      </c>
      <c r="R65" s="50">
        <v>170297.0</v>
      </c>
    </row>
    <row r="66" ht="13.5" customHeight="1">
      <c r="B66" s="50" t="s">
        <v>20</v>
      </c>
      <c r="C66" s="50">
        <v>3.3042148E8</v>
      </c>
      <c r="D66" s="50" t="s">
        <v>172</v>
      </c>
      <c r="E66" s="50">
        <v>19.2</v>
      </c>
      <c r="F66" s="50">
        <v>19.2</v>
      </c>
      <c r="J66" s="241">
        <v>45684.0</v>
      </c>
      <c r="K66" s="241">
        <v>45684.0</v>
      </c>
      <c r="M66" s="50" t="s">
        <v>20</v>
      </c>
      <c r="N66" s="50">
        <v>3.3042148E8</v>
      </c>
      <c r="O66" s="50">
        <v>170297.0</v>
      </c>
      <c r="Q66" s="50" t="s">
        <v>237</v>
      </c>
      <c r="R66" s="50">
        <v>170297.0</v>
      </c>
    </row>
    <row r="67" ht="13.5" customHeight="1">
      <c r="B67" s="50" t="s">
        <v>20</v>
      </c>
      <c r="C67" s="50">
        <v>3.30421481E8</v>
      </c>
      <c r="D67" s="50" t="s">
        <v>172</v>
      </c>
      <c r="E67" s="50">
        <v>13.45</v>
      </c>
      <c r="F67" s="50">
        <v>13.45</v>
      </c>
      <c r="J67" s="241">
        <v>45684.0</v>
      </c>
      <c r="K67" s="241">
        <v>45684.0</v>
      </c>
      <c r="M67" s="50" t="s">
        <v>20</v>
      </c>
      <c r="N67" s="50">
        <v>3.30421481E8</v>
      </c>
      <c r="O67" s="50">
        <v>170297.0</v>
      </c>
      <c r="Q67" s="50" t="s">
        <v>238</v>
      </c>
      <c r="R67" s="50">
        <v>170297.0</v>
      </c>
    </row>
    <row r="68" ht="13.5" customHeight="1">
      <c r="B68" s="50" t="s">
        <v>20</v>
      </c>
      <c r="C68" s="50">
        <v>3.30421482E8</v>
      </c>
      <c r="D68" s="50" t="s">
        <v>172</v>
      </c>
      <c r="E68" s="50">
        <v>88.6</v>
      </c>
      <c r="F68" s="50">
        <v>88.6</v>
      </c>
      <c r="J68" s="241">
        <v>45684.0</v>
      </c>
      <c r="K68" s="241">
        <v>45684.0</v>
      </c>
      <c r="M68" s="50" t="s">
        <v>20</v>
      </c>
      <c r="N68" s="50">
        <v>3.30421482E8</v>
      </c>
      <c r="O68" s="50">
        <v>170297.0</v>
      </c>
      <c r="Q68" s="50" t="s">
        <v>239</v>
      </c>
      <c r="R68" s="50">
        <v>170297.0</v>
      </c>
    </row>
    <row r="69" ht="13.5" customHeight="1">
      <c r="B69" s="50" t="s">
        <v>20</v>
      </c>
      <c r="C69" s="50">
        <v>3.30421483E8</v>
      </c>
      <c r="D69" s="50" t="s">
        <v>172</v>
      </c>
      <c r="E69" s="50">
        <v>455.24</v>
      </c>
      <c r="F69" s="50">
        <v>455.24</v>
      </c>
      <c r="J69" s="241">
        <v>45684.0</v>
      </c>
      <c r="K69" s="241">
        <v>45684.0</v>
      </c>
      <c r="M69" s="50" t="s">
        <v>20</v>
      </c>
      <c r="N69" s="50">
        <v>3.30421483E8</v>
      </c>
      <c r="O69" s="50">
        <v>170297.0</v>
      </c>
      <c r="Q69" s="50" t="s">
        <v>240</v>
      </c>
      <c r="R69" s="50">
        <v>170297.0</v>
      </c>
    </row>
    <row r="70" ht="13.5" customHeight="1">
      <c r="B70" s="50" t="s">
        <v>20</v>
      </c>
      <c r="C70" s="50">
        <v>3.30421484E8</v>
      </c>
      <c r="D70" s="50" t="s">
        <v>172</v>
      </c>
      <c r="E70" s="55">
        <v>1304.52</v>
      </c>
      <c r="F70" s="50">
        <v>1304.52</v>
      </c>
      <c r="J70" s="241">
        <v>45684.0</v>
      </c>
      <c r="K70" s="241">
        <v>45684.0</v>
      </c>
      <c r="M70" s="50" t="s">
        <v>20</v>
      </c>
      <c r="N70" s="50">
        <v>3.30421484E8</v>
      </c>
      <c r="O70" s="50">
        <v>170297.0</v>
      </c>
      <c r="Q70" s="50" t="s">
        <v>241</v>
      </c>
      <c r="R70" s="50">
        <v>170297.0</v>
      </c>
    </row>
    <row r="71" ht="13.5" customHeight="1">
      <c r="B71" s="50" t="s">
        <v>20</v>
      </c>
      <c r="C71" s="50">
        <v>3.30421485E8</v>
      </c>
      <c r="D71" s="50" t="s">
        <v>172</v>
      </c>
      <c r="E71" s="50">
        <v>937.0</v>
      </c>
      <c r="F71" s="50">
        <v>937.0</v>
      </c>
      <c r="J71" s="241">
        <v>45684.0</v>
      </c>
      <c r="K71" s="241">
        <v>45684.0</v>
      </c>
      <c r="M71" s="50" t="s">
        <v>20</v>
      </c>
      <c r="N71" s="50">
        <v>3.30421485E8</v>
      </c>
      <c r="O71" s="50">
        <v>170297.0</v>
      </c>
      <c r="Q71" s="50" t="s">
        <v>242</v>
      </c>
      <c r="R71" s="50">
        <v>170297.0</v>
      </c>
    </row>
    <row r="72" ht="13.5" customHeight="1">
      <c r="B72" s="50" t="s">
        <v>20</v>
      </c>
      <c r="C72" s="50">
        <v>3.30421486E8</v>
      </c>
      <c r="D72" s="50" t="s">
        <v>172</v>
      </c>
      <c r="E72" s="50">
        <v>350.0</v>
      </c>
      <c r="F72" s="50">
        <v>350.0</v>
      </c>
      <c r="J72" s="241">
        <v>45684.0</v>
      </c>
      <c r="K72" s="241">
        <v>45684.0</v>
      </c>
      <c r="M72" s="50" t="s">
        <v>20</v>
      </c>
      <c r="N72" s="50">
        <v>3.30421486E8</v>
      </c>
      <c r="O72" s="50">
        <v>170297.0</v>
      </c>
      <c r="Q72" s="50" t="s">
        <v>243</v>
      </c>
      <c r="R72" s="50">
        <v>170297.0</v>
      </c>
    </row>
    <row r="73" ht="13.5" customHeight="1">
      <c r="B73" s="50" t="s">
        <v>20</v>
      </c>
      <c r="C73" s="50">
        <v>3.30421487E8</v>
      </c>
      <c r="D73" s="50" t="s">
        <v>172</v>
      </c>
      <c r="E73" s="50">
        <v>450.65</v>
      </c>
      <c r="F73" s="50">
        <v>450.65</v>
      </c>
      <c r="J73" s="241">
        <v>45684.0</v>
      </c>
      <c r="K73" s="241">
        <v>45684.0</v>
      </c>
      <c r="M73" s="50" t="s">
        <v>20</v>
      </c>
      <c r="N73" s="50">
        <v>3.30421487E8</v>
      </c>
      <c r="O73" s="50">
        <v>170297.0</v>
      </c>
      <c r="Q73" s="50" t="s">
        <v>244</v>
      </c>
      <c r="R73" s="50">
        <v>170297.0</v>
      </c>
    </row>
    <row r="74" ht="13.5" customHeight="1">
      <c r="B74" s="50" t="s">
        <v>20</v>
      </c>
      <c r="C74" s="50">
        <v>3.30421488E8</v>
      </c>
      <c r="D74" s="50" t="s">
        <v>172</v>
      </c>
      <c r="E74" s="50">
        <v>300.0</v>
      </c>
      <c r="F74" s="50">
        <v>300.0</v>
      </c>
      <c r="J74" s="241">
        <v>45684.0</v>
      </c>
      <c r="K74" s="241">
        <v>45684.0</v>
      </c>
      <c r="M74" s="50" t="s">
        <v>20</v>
      </c>
      <c r="N74" s="50">
        <v>3.30421488E8</v>
      </c>
      <c r="O74" s="50">
        <v>170297.0</v>
      </c>
      <c r="Q74" s="50" t="s">
        <v>245</v>
      </c>
      <c r="R74" s="50">
        <v>170297.0</v>
      </c>
    </row>
    <row r="75" ht="13.5" customHeight="1">
      <c r="B75" s="50" t="s">
        <v>20</v>
      </c>
      <c r="C75" s="50">
        <v>3.30421489E8</v>
      </c>
      <c r="D75" s="50" t="s">
        <v>172</v>
      </c>
      <c r="E75" s="50">
        <v>518.57</v>
      </c>
      <c r="F75" s="50">
        <v>518.57</v>
      </c>
      <c r="J75" s="241">
        <v>45684.0</v>
      </c>
      <c r="K75" s="241">
        <v>45684.0</v>
      </c>
      <c r="M75" s="50" t="s">
        <v>20</v>
      </c>
      <c r="N75" s="50">
        <v>3.30421489E8</v>
      </c>
      <c r="O75" s="50">
        <v>170297.0</v>
      </c>
      <c r="Q75" s="50" t="s">
        <v>246</v>
      </c>
      <c r="R75" s="50">
        <v>170297.0</v>
      </c>
    </row>
    <row r="76" ht="13.5" customHeight="1">
      <c r="B76" s="50" t="s">
        <v>20</v>
      </c>
      <c r="C76" s="50">
        <v>3.3042149E8</v>
      </c>
      <c r="D76" s="50" t="s">
        <v>172</v>
      </c>
      <c r="E76" s="50">
        <v>455.24</v>
      </c>
      <c r="F76" s="50">
        <v>455.24</v>
      </c>
      <c r="J76" s="241">
        <v>45684.0</v>
      </c>
      <c r="K76" s="241">
        <v>45684.0</v>
      </c>
      <c r="M76" s="50" t="s">
        <v>20</v>
      </c>
      <c r="N76" s="50">
        <v>3.3042149E8</v>
      </c>
      <c r="O76" s="50">
        <v>170297.0</v>
      </c>
      <c r="Q76" s="50" t="s">
        <v>247</v>
      </c>
      <c r="R76" s="50">
        <v>170297.0</v>
      </c>
    </row>
    <row r="77" ht="13.5" customHeight="1">
      <c r="B77" s="50" t="s">
        <v>20</v>
      </c>
      <c r="C77" s="50">
        <v>3.30421491E8</v>
      </c>
      <c r="D77" s="50" t="s">
        <v>172</v>
      </c>
      <c r="E77" s="50">
        <v>455.24</v>
      </c>
      <c r="F77" s="50">
        <v>455.24</v>
      </c>
      <c r="J77" s="241">
        <v>45684.0</v>
      </c>
      <c r="K77" s="241">
        <v>45684.0</v>
      </c>
      <c r="M77" s="50" t="s">
        <v>20</v>
      </c>
      <c r="N77" s="50">
        <v>3.30421491E8</v>
      </c>
      <c r="O77" s="50">
        <v>170297.0</v>
      </c>
      <c r="Q77" s="50" t="s">
        <v>248</v>
      </c>
      <c r="R77" s="50">
        <v>170297.0</v>
      </c>
    </row>
    <row r="78" ht="13.5" customHeight="1">
      <c r="B78" s="50" t="s">
        <v>20</v>
      </c>
      <c r="C78" s="50">
        <v>3.30421492E8</v>
      </c>
      <c r="D78" s="50" t="s">
        <v>172</v>
      </c>
      <c r="E78" s="50">
        <v>360.0</v>
      </c>
      <c r="F78" s="50">
        <v>360.0</v>
      </c>
      <c r="J78" s="241">
        <v>45684.0</v>
      </c>
      <c r="K78" s="241">
        <v>45684.0</v>
      </c>
      <c r="M78" s="50" t="s">
        <v>20</v>
      </c>
      <c r="N78" s="50">
        <v>3.30421492E8</v>
      </c>
      <c r="O78" s="50">
        <v>170297.0</v>
      </c>
      <c r="Q78" s="50" t="s">
        <v>249</v>
      </c>
      <c r="R78" s="50">
        <v>170297.0</v>
      </c>
    </row>
    <row r="79" ht="13.5" customHeight="1">
      <c r="B79" s="50" t="s">
        <v>20</v>
      </c>
      <c r="C79" s="50">
        <v>3.30421493E8</v>
      </c>
      <c r="D79" s="50" t="s">
        <v>172</v>
      </c>
      <c r="E79" s="50">
        <v>66.15</v>
      </c>
      <c r="F79" s="50">
        <v>66.15</v>
      </c>
      <c r="J79" s="241">
        <v>45684.0</v>
      </c>
      <c r="K79" s="241">
        <v>45684.0</v>
      </c>
      <c r="M79" s="50" t="s">
        <v>20</v>
      </c>
      <c r="N79" s="50">
        <v>3.30421493E8</v>
      </c>
      <c r="O79" s="50">
        <v>170297.0</v>
      </c>
      <c r="Q79" s="50" t="s">
        <v>250</v>
      </c>
      <c r="R79" s="50">
        <v>170297.0</v>
      </c>
    </row>
    <row r="80" ht="13.5" customHeight="1">
      <c r="B80" s="50" t="s">
        <v>20</v>
      </c>
      <c r="C80" s="50">
        <v>3.30421494E8</v>
      </c>
      <c r="D80" s="50" t="s">
        <v>172</v>
      </c>
      <c r="E80" s="50">
        <v>455.24</v>
      </c>
      <c r="F80" s="50">
        <v>455.24</v>
      </c>
      <c r="J80" s="241">
        <v>45684.0</v>
      </c>
      <c r="K80" s="241">
        <v>45684.0</v>
      </c>
      <c r="M80" s="50" t="s">
        <v>20</v>
      </c>
      <c r="N80" s="50">
        <v>3.30421494E8</v>
      </c>
      <c r="O80" s="50">
        <v>170297.0</v>
      </c>
      <c r="Q80" s="50" t="s">
        <v>251</v>
      </c>
      <c r="R80" s="50">
        <v>170297.0</v>
      </c>
    </row>
    <row r="81" ht="13.5" customHeight="1">
      <c r="B81" s="50" t="s">
        <v>20</v>
      </c>
      <c r="C81" s="50">
        <v>3.30421495E8</v>
      </c>
      <c r="D81" s="50" t="s">
        <v>172</v>
      </c>
      <c r="E81" s="50">
        <v>86.92</v>
      </c>
      <c r="F81" s="50">
        <v>86.92</v>
      </c>
      <c r="J81" s="241">
        <v>45684.0</v>
      </c>
      <c r="K81" s="241">
        <v>45684.0</v>
      </c>
      <c r="M81" s="50" t="s">
        <v>20</v>
      </c>
      <c r="N81" s="50">
        <v>3.30421495E8</v>
      </c>
      <c r="O81" s="50">
        <v>170297.0</v>
      </c>
      <c r="Q81" s="50" t="s">
        <v>252</v>
      </c>
      <c r="R81" s="50">
        <v>170297.0</v>
      </c>
    </row>
    <row r="82" ht="13.5" customHeight="1">
      <c r="B82" s="50" t="s">
        <v>20</v>
      </c>
      <c r="C82" s="50">
        <v>3.30421496E8</v>
      </c>
      <c r="D82" s="50" t="s">
        <v>172</v>
      </c>
      <c r="E82" s="50">
        <v>455.24</v>
      </c>
      <c r="F82" s="50">
        <v>455.24</v>
      </c>
      <c r="J82" s="241">
        <v>45684.0</v>
      </c>
      <c r="K82" s="241">
        <v>45684.0</v>
      </c>
      <c r="M82" s="50" t="s">
        <v>20</v>
      </c>
      <c r="N82" s="50">
        <v>3.30421496E8</v>
      </c>
      <c r="O82" s="50">
        <v>170297.0</v>
      </c>
      <c r="Q82" s="50" t="s">
        <v>253</v>
      </c>
      <c r="R82" s="50">
        <v>170297.0</v>
      </c>
    </row>
    <row r="83" ht="13.5" customHeight="1">
      <c r="B83" s="50" t="s">
        <v>20</v>
      </c>
      <c r="C83" s="50">
        <v>3.30421497E8</v>
      </c>
      <c r="D83" s="50" t="s">
        <v>172</v>
      </c>
      <c r="E83" s="50">
        <v>172.99</v>
      </c>
      <c r="F83" s="50">
        <v>172.99</v>
      </c>
      <c r="J83" s="241">
        <v>45684.0</v>
      </c>
      <c r="K83" s="241">
        <v>45684.0</v>
      </c>
      <c r="M83" s="50" t="s">
        <v>20</v>
      </c>
      <c r="N83" s="50">
        <v>3.30421497E8</v>
      </c>
      <c r="O83" s="50">
        <v>170297.0</v>
      </c>
      <c r="Q83" s="50" t="s">
        <v>254</v>
      </c>
      <c r="R83" s="50">
        <v>170297.0</v>
      </c>
    </row>
    <row r="84" ht="13.5" customHeight="1">
      <c r="B84" s="50" t="s">
        <v>20</v>
      </c>
      <c r="C84" s="50">
        <v>3.30421498E8</v>
      </c>
      <c r="D84" s="50" t="s">
        <v>172</v>
      </c>
      <c r="E84" s="50">
        <v>39.0</v>
      </c>
      <c r="F84" s="50">
        <v>39.0</v>
      </c>
      <c r="J84" s="241">
        <v>45684.0</v>
      </c>
      <c r="K84" s="241">
        <v>45684.0</v>
      </c>
      <c r="M84" s="50" t="s">
        <v>20</v>
      </c>
      <c r="N84" s="50">
        <v>3.30421498E8</v>
      </c>
      <c r="O84" s="50">
        <v>170297.0</v>
      </c>
      <c r="Q84" s="50" t="s">
        <v>255</v>
      </c>
      <c r="R84" s="50">
        <v>170297.0</v>
      </c>
    </row>
    <row r="85" ht="13.5" customHeight="1">
      <c r="B85" s="50" t="s">
        <v>20</v>
      </c>
      <c r="C85" s="50">
        <v>3.30421499E8</v>
      </c>
      <c r="D85" s="50" t="s">
        <v>172</v>
      </c>
      <c r="E85" s="50">
        <v>86.51</v>
      </c>
      <c r="F85" s="50">
        <v>86.51</v>
      </c>
      <c r="J85" s="241">
        <v>45684.0</v>
      </c>
      <c r="K85" s="241">
        <v>45684.0</v>
      </c>
      <c r="M85" s="50" t="s">
        <v>20</v>
      </c>
      <c r="N85" s="50">
        <v>3.30421499E8</v>
      </c>
      <c r="O85" s="50">
        <v>170297.0</v>
      </c>
      <c r="Q85" s="50" t="s">
        <v>256</v>
      </c>
      <c r="R85" s="50">
        <v>170297.0</v>
      </c>
    </row>
    <row r="86" ht="13.5" customHeight="1">
      <c r="B86" s="50" t="s">
        <v>20</v>
      </c>
      <c r="C86" s="50">
        <v>3.304215E8</v>
      </c>
      <c r="D86" s="50" t="s">
        <v>172</v>
      </c>
      <c r="E86" s="55">
        <v>2020.99</v>
      </c>
      <c r="F86" s="50">
        <v>2020.99</v>
      </c>
      <c r="J86" s="241">
        <v>45684.0</v>
      </c>
      <c r="K86" s="241">
        <v>45684.0</v>
      </c>
      <c r="M86" s="50" t="s">
        <v>20</v>
      </c>
      <c r="N86" s="50">
        <v>3.304215E8</v>
      </c>
      <c r="O86" s="50">
        <v>170297.0</v>
      </c>
      <c r="Q86" s="50" t="s">
        <v>257</v>
      </c>
      <c r="R86" s="50">
        <v>170297.0</v>
      </c>
    </row>
    <row r="87" ht="13.5" customHeight="1">
      <c r="B87" s="50" t="s">
        <v>20</v>
      </c>
      <c r="C87" s="50">
        <v>3.30421501E8</v>
      </c>
      <c r="D87" s="50" t="s">
        <v>172</v>
      </c>
      <c r="E87" s="50">
        <v>432.26</v>
      </c>
      <c r="F87" s="50">
        <v>432.26</v>
      </c>
      <c r="J87" s="241">
        <v>45684.0</v>
      </c>
      <c r="K87" s="241">
        <v>45684.0</v>
      </c>
      <c r="M87" s="50" t="s">
        <v>20</v>
      </c>
      <c r="N87" s="50">
        <v>3.30421501E8</v>
      </c>
      <c r="O87" s="50">
        <v>170297.0</v>
      </c>
      <c r="Q87" s="50" t="s">
        <v>258</v>
      </c>
      <c r="R87" s="50">
        <v>170297.0</v>
      </c>
    </row>
    <row r="88" ht="13.5" customHeight="1">
      <c r="B88" s="50" t="s">
        <v>20</v>
      </c>
      <c r="C88" s="50">
        <v>3.30421502E8</v>
      </c>
      <c r="D88" s="50" t="s">
        <v>172</v>
      </c>
      <c r="E88" s="55">
        <v>1443.89</v>
      </c>
      <c r="F88" s="50">
        <v>1443.89</v>
      </c>
      <c r="J88" s="241">
        <v>45684.0</v>
      </c>
      <c r="K88" s="241">
        <v>45684.0</v>
      </c>
      <c r="M88" s="50" t="s">
        <v>20</v>
      </c>
      <c r="N88" s="50">
        <v>3.30421502E8</v>
      </c>
      <c r="O88" s="50">
        <v>170297.0</v>
      </c>
      <c r="Q88" s="50" t="s">
        <v>259</v>
      </c>
      <c r="R88" s="50">
        <v>170297.0</v>
      </c>
    </row>
    <row r="89" ht="13.5" customHeight="1">
      <c r="B89" s="50" t="s">
        <v>20</v>
      </c>
      <c r="C89" s="50">
        <v>3.30421503E8</v>
      </c>
      <c r="D89" s="50" t="s">
        <v>172</v>
      </c>
      <c r="E89" s="50">
        <v>55.66</v>
      </c>
      <c r="F89" s="50">
        <v>55.66</v>
      </c>
      <c r="J89" s="241">
        <v>45684.0</v>
      </c>
      <c r="K89" s="241">
        <v>45684.0</v>
      </c>
      <c r="M89" s="50" t="s">
        <v>20</v>
      </c>
      <c r="N89" s="50">
        <v>3.30421503E8</v>
      </c>
      <c r="O89" s="50">
        <v>170297.0</v>
      </c>
      <c r="Q89" s="50" t="s">
        <v>260</v>
      </c>
      <c r="R89" s="50">
        <v>170297.0</v>
      </c>
    </row>
    <row r="90" ht="13.5" customHeight="1">
      <c r="B90" s="50" t="s">
        <v>20</v>
      </c>
      <c r="C90" s="50">
        <v>3.30421504E8</v>
      </c>
      <c r="D90" s="50" t="s">
        <v>172</v>
      </c>
      <c r="E90" s="50">
        <v>332.4</v>
      </c>
      <c r="F90" s="50">
        <v>332.4</v>
      </c>
      <c r="J90" s="241">
        <v>45684.0</v>
      </c>
      <c r="K90" s="241">
        <v>45684.0</v>
      </c>
      <c r="M90" s="50" t="s">
        <v>20</v>
      </c>
      <c r="N90" s="50">
        <v>3.30421504E8</v>
      </c>
      <c r="O90" s="50">
        <v>170297.0</v>
      </c>
      <c r="Q90" s="50" t="s">
        <v>261</v>
      </c>
      <c r="R90" s="50">
        <v>170297.0</v>
      </c>
    </row>
    <row r="91" ht="13.5" customHeight="1">
      <c r="B91" s="50" t="s">
        <v>20</v>
      </c>
      <c r="C91" s="50">
        <v>3.30421505E8</v>
      </c>
      <c r="D91" s="50" t="s">
        <v>172</v>
      </c>
      <c r="E91" s="50">
        <v>455.24</v>
      </c>
      <c r="F91" s="50">
        <v>455.24</v>
      </c>
      <c r="J91" s="241">
        <v>45684.0</v>
      </c>
      <c r="K91" s="241">
        <v>45684.0</v>
      </c>
      <c r="M91" s="50" t="s">
        <v>20</v>
      </c>
      <c r="N91" s="50">
        <v>3.30421505E8</v>
      </c>
      <c r="O91" s="50">
        <v>170297.0</v>
      </c>
      <c r="Q91" s="50" t="s">
        <v>262</v>
      </c>
      <c r="R91" s="50">
        <v>170297.0</v>
      </c>
    </row>
    <row r="92" ht="13.5" customHeight="1">
      <c r="B92" s="50" t="s">
        <v>20</v>
      </c>
      <c r="C92" s="50">
        <v>3.30421506E8</v>
      </c>
      <c r="D92" s="50" t="s">
        <v>172</v>
      </c>
      <c r="E92" s="50">
        <v>43.88</v>
      </c>
      <c r="F92" s="50">
        <v>43.88</v>
      </c>
      <c r="J92" s="241">
        <v>45684.0</v>
      </c>
      <c r="K92" s="241">
        <v>45684.0</v>
      </c>
      <c r="M92" s="50" t="s">
        <v>20</v>
      </c>
      <c r="N92" s="50">
        <v>3.30421506E8</v>
      </c>
      <c r="O92" s="50">
        <v>170297.0</v>
      </c>
      <c r="Q92" s="50" t="s">
        <v>263</v>
      </c>
      <c r="R92" s="50">
        <v>170297.0</v>
      </c>
    </row>
    <row r="93" ht="13.5" customHeight="1">
      <c r="B93" s="50" t="s">
        <v>20</v>
      </c>
      <c r="C93" s="50">
        <v>3.30421507E8</v>
      </c>
      <c r="D93" s="50" t="s">
        <v>172</v>
      </c>
      <c r="E93" s="55">
        <v>3159.82</v>
      </c>
      <c r="F93" s="50">
        <v>3159.82</v>
      </c>
      <c r="J93" s="241">
        <v>45684.0</v>
      </c>
      <c r="K93" s="241">
        <v>45684.0</v>
      </c>
      <c r="M93" s="50" t="s">
        <v>20</v>
      </c>
      <c r="N93" s="50">
        <v>3.30421507E8</v>
      </c>
      <c r="O93" s="50">
        <v>170282.0</v>
      </c>
      <c r="Q93" s="50" t="s">
        <v>264</v>
      </c>
      <c r="R93" s="50">
        <v>170282.0</v>
      </c>
    </row>
    <row r="94" ht="13.5" customHeight="1">
      <c r="B94" s="50" t="s">
        <v>20</v>
      </c>
      <c r="C94" s="50">
        <v>3.30421509E8</v>
      </c>
      <c r="D94" s="50" t="s">
        <v>172</v>
      </c>
      <c r="E94" s="55">
        <v>2887796.78</v>
      </c>
      <c r="F94" s="50">
        <v>2887796.78</v>
      </c>
      <c r="J94" s="241">
        <v>45684.0</v>
      </c>
      <c r="K94" s="241">
        <v>45684.0</v>
      </c>
      <c r="M94" s="50" t="s">
        <v>20</v>
      </c>
      <c r="N94" s="50">
        <v>3.30421509E8</v>
      </c>
      <c r="O94" s="50">
        <v>170282.0</v>
      </c>
      <c r="Q94" s="50" t="s">
        <v>265</v>
      </c>
      <c r="R94" s="50">
        <v>170282.0</v>
      </c>
    </row>
    <row r="95" ht="13.5" customHeight="1">
      <c r="B95" s="50" t="s">
        <v>20</v>
      </c>
      <c r="C95" s="50">
        <v>3.30421511E8</v>
      </c>
      <c r="D95" s="50" t="s">
        <v>172</v>
      </c>
      <c r="E95" s="50">
        <v>792.62</v>
      </c>
      <c r="F95" s="50">
        <v>792.62</v>
      </c>
      <c r="J95" s="241">
        <v>45684.0</v>
      </c>
      <c r="K95" s="241">
        <v>45684.0</v>
      </c>
      <c r="M95" s="50" t="s">
        <v>20</v>
      </c>
      <c r="N95" s="50">
        <v>3.30421511E8</v>
      </c>
      <c r="O95" s="50">
        <v>170282.0</v>
      </c>
      <c r="Q95" s="50" t="s">
        <v>266</v>
      </c>
      <c r="R95" s="50">
        <v>170282.0</v>
      </c>
    </row>
    <row r="96" ht="13.5" customHeight="1">
      <c r="B96" s="50" t="s">
        <v>20</v>
      </c>
      <c r="C96" s="50">
        <v>3.30421512E8</v>
      </c>
      <c r="D96" s="50" t="s">
        <v>172</v>
      </c>
      <c r="E96" s="55">
        <v>2327.16</v>
      </c>
      <c r="F96" s="50">
        <v>2327.16</v>
      </c>
      <c r="J96" s="241">
        <v>45684.0</v>
      </c>
      <c r="K96" s="241">
        <v>45684.0</v>
      </c>
      <c r="M96" s="50" t="s">
        <v>20</v>
      </c>
      <c r="N96" s="50">
        <v>3.30421512E8</v>
      </c>
      <c r="O96" s="50">
        <v>170282.0</v>
      </c>
      <c r="Q96" s="50" t="s">
        <v>267</v>
      </c>
      <c r="R96" s="50">
        <v>170282.0</v>
      </c>
    </row>
    <row r="97" ht="13.5" customHeight="1">
      <c r="B97" s="50" t="s">
        <v>20</v>
      </c>
      <c r="C97" s="50">
        <v>3.30421513E8</v>
      </c>
      <c r="D97" s="50" t="s">
        <v>172</v>
      </c>
      <c r="E97" s="55">
        <v>3560.32</v>
      </c>
      <c r="F97" s="50">
        <v>3560.32</v>
      </c>
      <c r="J97" s="241">
        <v>45684.0</v>
      </c>
      <c r="K97" s="241">
        <v>45684.0</v>
      </c>
      <c r="M97" s="50" t="s">
        <v>20</v>
      </c>
      <c r="N97" s="50">
        <v>3.30421513E8</v>
      </c>
      <c r="O97" s="50">
        <v>170282.0</v>
      </c>
      <c r="Q97" s="50" t="s">
        <v>268</v>
      </c>
      <c r="R97" s="50">
        <v>170282.0</v>
      </c>
    </row>
    <row r="98" ht="13.5" customHeight="1">
      <c r="B98" s="50" t="s">
        <v>20</v>
      </c>
      <c r="C98" s="50">
        <v>3.30421514E8</v>
      </c>
      <c r="D98" s="50" t="s">
        <v>172</v>
      </c>
      <c r="E98" s="55">
        <v>1672.98</v>
      </c>
      <c r="F98" s="50">
        <v>1672.98</v>
      </c>
      <c r="J98" s="241">
        <v>45684.0</v>
      </c>
      <c r="K98" s="241">
        <v>45684.0</v>
      </c>
      <c r="M98" s="50" t="s">
        <v>20</v>
      </c>
      <c r="N98" s="50">
        <v>3.30421514E8</v>
      </c>
      <c r="O98" s="50">
        <v>170288.0</v>
      </c>
      <c r="Q98" s="50" t="s">
        <v>269</v>
      </c>
      <c r="R98" s="50">
        <v>170288.0</v>
      </c>
    </row>
    <row r="99" ht="13.5" customHeight="1">
      <c r="B99" s="50" t="s">
        <v>20</v>
      </c>
      <c r="C99" s="50">
        <v>3.30421515E8</v>
      </c>
      <c r="D99" s="50" t="s">
        <v>172</v>
      </c>
      <c r="E99" s="55">
        <v>1493.92</v>
      </c>
      <c r="F99" s="50">
        <v>1493.92</v>
      </c>
      <c r="J99" s="241">
        <v>45684.0</v>
      </c>
      <c r="K99" s="241">
        <v>45684.0</v>
      </c>
      <c r="M99" s="50" t="s">
        <v>20</v>
      </c>
      <c r="N99" s="50">
        <v>3.30421515E8</v>
      </c>
      <c r="O99" s="50">
        <v>170288.0</v>
      </c>
      <c r="Q99" s="50" t="s">
        <v>270</v>
      </c>
      <c r="R99" s="50">
        <v>170288.0</v>
      </c>
    </row>
    <row r="100" ht="13.5" customHeight="1">
      <c r="B100" s="50" t="s">
        <v>20</v>
      </c>
      <c r="C100" s="50">
        <v>3.30421516E8</v>
      </c>
      <c r="D100" s="50" t="s">
        <v>172</v>
      </c>
      <c r="E100" s="50">
        <v>89.37</v>
      </c>
      <c r="F100" s="50">
        <v>89.37</v>
      </c>
      <c r="J100" s="241">
        <v>45684.0</v>
      </c>
      <c r="K100" s="241">
        <v>45684.0</v>
      </c>
      <c r="M100" s="50" t="s">
        <v>20</v>
      </c>
      <c r="N100" s="50">
        <v>3.30421516E8</v>
      </c>
      <c r="O100" s="50">
        <v>170288.0</v>
      </c>
      <c r="Q100" s="50" t="s">
        <v>271</v>
      </c>
      <c r="R100" s="50">
        <v>170288.0</v>
      </c>
    </row>
    <row r="101" ht="13.5" customHeight="1">
      <c r="B101" s="50" t="s">
        <v>20</v>
      </c>
      <c r="C101" s="50">
        <v>3.30421517E8</v>
      </c>
      <c r="D101" s="50" t="s">
        <v>172</v>
      </c>
      <c r="E101" s="55">
        <v>1398.52</v>
      </c>
      <c r="F101" s="50">
        <v>1398.52</v>
      </c>
      <c r="J101" s="241">
        <v>45684.0</v>
      </c>
      <c r="K101" s="241">
        <v>45684.0</v>
      </c>
      <c r="M101" s="50" t="s">
        <v>20</v>
      </c>
      <c r="N101" s="50">
        <v>3.30421517E8</v>
      </c>
      <c r="O101" s="50">
        <v>170288.0</v>
      </c>
      <c r="Q101" s="50" t="s">
        <v>272</v>
      </c>
      <c r="R101" s="50">
        <v>170288.0</v>
      </c>
    </row>
    <row r="102" ht="13.5" customHeight="1">
      <c r="B102" s="50" t="s">
        <v>20</v>
      </c>
      <c r="C102" s="50">
        <v>3.30421518E8</v>
      </c>
      <c r="D102" s="50" t="s">
        <v>172</v>
      </c>
      <c r="E102" s="55">
        <v>1672.98</v>
      </c>
      <c r="F102" s="50">
        <v>1672.98</v>
      </c>
      <c r="J102" s="241">
        <v>45684.0</v>
      </c>
      <c r="K102" s="241">
        <v>45684.0</v>
      </c>
      <c r="M102" s="50" t="s">
        <v>20</v>
      </c>
      <c r="N102" s="50">
        <v>3.30421518E8</v>
      </c>
      <c r="O102" s="50">
        <v>170288.0</v>
      </c>
      <c r="Q102" s="50" t="s">
        <v>273</v>
      </c>
      <c r="R102" s="50">
        <v>170288.0</v>
      </c>
    </row>
    <row r="103" ht="13.5" customHeight="1">
      <c r="B103" s="50" t="s">
        <v>20</v>
      </c>
      <c r="C103" s="50">
        <v>3.30421519E8</v>
      </c>
      <c r="D103" s="50" t="s">
        <v>172</v>
      </c>
      <c r="E103" s="55">
        <v>1493.92</v>
      </c>
      <c r="F103" s="50">
        <v>1493.92</v>
      </c>
      <c r="J103" s="241">
        <v>45684.0</v>
      </c>
      <c r="K103" s="241">
        <v>45684.0</v>
      </c>
      <c r="M103" s="50" t="s">
        <v>20</v>
      </c>
      <c r="N103" s="50">
        <v>3.30421519E8</v>
      </c>
      <c r="O103" s="50">
        <v>170288.0</v>
      </c>
      <c r="Q103" s="50" t="s">
        <v>274</v>
      </c>
      <c r="R103" s="50">
        <v>170288.0</v>
      </c>
    </row>
    <row r="104" ht="13.5" customHeight="1">
      <c r="B104" s="50" t="s">
        <v>20</v>
      </c>
      <c r="C104" s="50">
        <v>3.3042152E8</v>
      </c>
      <c r="D104" s="50" t="s">
        <v>172</v>
      </c>
      <c r="E104" s="55">
        <v>1511.97</v>
      </c>
      <c r="F104" s="50">
        <v>1511.97</v>
      </c>
      <c r="J104" s="241">
        <v>45684.0</v>
      </c>
      <c r="K104" s="241">
        <v>45684.0</v>
      </c>
      <c r="M104" s="50" t="s">
        <v>20</v>
      </c>
      <c r="N104" s="50">
        <v>3.3042152E8</v>
      </c>
      <c r="O104" s="50">
        <v>170288.0</v>
      </c>
      <c r="Q104" s="50" t="s">
        <v>275</v>
      </c>
      <c r="R104" s="50">
        <v>170288.0</v>
      </c>
    </row>
    <row r="105" ht="13.5" customHeight="1">
      <c r="B105" s="50" t="s">
        <v>20</v>
      </c>
      <c r="C105" s="50">
        <v>3.30421521E8</v>
      </c>
      <c r="D105" s="50" t="s">
        <v>172</v>
      </c>
      <c r="E105" s="50">
        <v>651.56</v>
      </c>
      <c r="F105" s="50">
        <v>651.56</v>
      </c>
      <c r="J105" s="241">
        <v>45684.0</v>
      </c>
      <c r="K105" s="241">
        <v>45684.0</v>
      </c>
      <c r="M105" s="50" t="s">
        <v>20</v>
      </c>
      <c r="N105" s="50">
        <v>3.30421521E8</v>
      </c>
      <c r="O105" s="50">
        <v>170288.0</v>
      </c>
      <c r="Q105" s="50" t="s">
        <v>276</v>
      </c>
      <c r="R105" s="50">
        <v>170288.0</v>
      </c>
    </row>
    <row r="106" ht="13.5" customHeight="1">
      <c r="B106" s="50" t="s">
        <v>20</v>
      </c>
      <c r="C106" s="50">
        <v>3.30421522E8</v>
      </c>
      <c r="D106" s="50" t="s">
        <v>172</v>
      </c>
      <c r="E106" s="50">
        <v>50.56</v>
      </c>
      <c r="F106" s="50">
        <v>50.56</v>
      </c>
      <c r="J106" s="241">
        <v>45684.0</v>
      </c>
      <c r="K106" s="241">
        <v>45684.0</v>
      </c>
      <c r="M106" s="50" t="s">
        <v>20</v>
      </c>
      <c r="N106" s="50">
        <v>3.30421522E8</v>
      </c>
      <c r="O106" s="50">
        <v>170288.0</v>
      </c>
      <c r="Q106" s="50" t="s">
        <v>277</v>
      </c>
      <c r="R106" s="50">
        <v>170288.0</v>
      </c>
    </row>
    <row r="107" ht="13.5" customHeight="1">
      <c r="B107" s="50" t="s">
        <v>20</v>
      </c>
      <c r="C107" s="50">
        <v>3.30421523E8</v>
      </c>
      <c r="D107" s="50" t="s">
        <v>172</v>
      </c>
      <c r="E107" s="55">
        <v>2818.74</v>
      </c>
      <c r="F107" s="50">
        <v>2818.74</v>
      </c>
      <c r="J107" s="241">
        <v>45684.0</v>
      </c>
      <c r="K107" s="241">
        <v>45684.0</v>
      </c>
      <c r="M107" s="50" t="s">
        <v>20</v>
      </c>
      <c r="N107" s="50">
        <v>3.30421523E8</v>
      </c>
      <c r="O107" s="50">
        <v>170288.0</v>
      </c>
      <c r="Q107" s="50" t="s">
        <v>278</v>
      </c>
      <c r="R107" s="50">
        <v>170288.0</v>
      </c>
    </row>
    <row r="108" ht="13.5" customHeight="1">
      <c r="B108" s="50" t="s">
        <v>20</v>
      </c>
      <c r="C108" s="50">
        <v>3.30421524E8</v>
      </c>
      <c r="D108" s="50" t="s">
        <v>172</v>
      </c>
      <c r="E108" s="55">
        <v>1255.42</v>
      </c>
      <c r="F108" s="50">
        <v>1255.42</v>
      </c>
      <c r="J108" s="241">
        <v>45684.0</v>
      </c>
      <c r="K108" s="241">
        <v>45684.0</v>
      </c>
      <c r="M108" s="50" t="s">
        <v>20</v>
      </c>
      <c r="N108" s="50">
        <v>3.30421524E8</v>
      </c>
      <c r="O108" s="50">
        <v>170288.0</v>
      </c>
      <c r="Q108" s="50" t="s">
        <v>279</v>
      </c>
      <c r="R108" s="50">
        <v>170288.0</v>
      </c>
    </row>
    <row r="109" ht="13.5" customHeight="1">
      <c r="B109" s="50" t="s">
        <v>20</v>
      </c>
      <c r="C109" s="50">
        <v>3.30421525E8</v>
      </c>
      <c r="D109" s="50" t="s">
        <v>172</v>
      </c>
      <c r="E109" s="55">
        <v>1207.72</v>
      </c>
      <c r="F109" s="50">
        <v>1207.72</v>
      </c>
      <c r="J109" s="241">
        <v>45684.0</v>
      </c>
      <c r="K109" s="241">
        <v>45684.0</v>
      </c>
      <c r="M109" s="50" t="s">
        <v>20</v>
      </c>
      <c r="N109" s="50">
        <v>3.30421525E8</v>
      </c>
      <c r="O109" s="50">
        <v>170288.0</v>
      </c>
      <c r="Q109" s="50" t="s">
        <v>173</v>
      </c>
      <c r="R109" s="50">
        <v>170288.0</v>
      </c>
    </row>
    <row r="110" ht="13.5" customHeight="1">
      <c r="B110" s="50" t="s">
        <v>20</v>
      </c>
      <c r="C110" s="50">
        <v>3.30421526E8</v>
      </c>
      <c r="D110" s="50" t="s">
        <v>172</v>
      </c>
      <c r="E110" s="55">
        <v>1706.85</v>
      </c>
      <c r="F110" s="50">
        <v>1706.85</v>
      </c>
      <c r="J110" s="241">
        <v>45684.0</v>
      </c>
      <c r="K110" s="241">
        <v>45684.0</v>
      </c>
      <c r="M110" s="50" t="s">
        <v>20</v>
      </c>
      <c r="N110" s="50">
        <v>3.30421526E8</v>
      </c>
      <c r="O110" s="50">
        <v>170288.0</v>
      </c>
      <c r="Q110" s="50" t="s">
        <v>280</v>
      </c>
      <c r="R110" s="50">
        <v>170288.0</v>
      </c>
    </row>
    <row r="111" ht="13.5" customHeight="1">
      <c r="B111" s="50" t="s">
        <v>20</v>
      </c>
      <c r="C111" s="50">
        <v>3.30421527E8</v>
      </c>
      <c r="D111" s="50" t="s">
        <v>172</v>
      </c>
      <c r="E111" s="50">
        <v>873.81</v>
      </c>
      <c r="F111" s="50">
        <v>873.81</v>
      </c>
      <c r="J111" s="241">
        <v>45684.0</v>
      </c>
      <c r="K111" s="241">
        <v>45684.0</v>
      </c>
      <c r="M111" s="50" t="s">
        <v>20</v>
      </c>
      <c r="N111" s="50">
        <v>3.30421527E8</v>
      </c>
      <c r="O111" s="50">
        <v>170288.0</v>
      </c>
      <c r="Q111" s="50" t="s">
        <v>281</v>
      </c>
      <c r="R111" s="50">
        <v>170288.0</v>
      </c>
    </row>
    <row r="112" ht="13.5" customHeight="1">
      <c r="B112" s="50" t="s">
        <v>20</v>
      </c>
      <c r="C112" s="50">
        <v>3.30421528E8</v>
      </c>
      <c r="D112" s="50" t="s">
        <v>172</v>
      </c>
      <c r="E112" s="55">
        <v>1511.97</v>
      </c>
      <c r="F112" s="50">
        <v>1511.97</v>
      </c>
      <c r="J112" s="241">
        <v>45684.0</v>
      </c>
      <c r="K112" s="241">
        <v>45684.0</v>
      </c>
      <c r="M112" s="50" t="s">
        <v>20</v>
      </c>
      <c r="N112" s="50">
        <v>3.30421528E8</v>
      </c>
      <c r="O112" s="50">
        <v>170288.0</v>
      </c>
      <c r="Q112" s="50" t="s">
        <v>282</v>
      </c>
      <c r="R112" s="50">
        <v>170288.0</v>
      </c>
    </row>
    <row r="113" ht="13.5" customHeight="1">
      <c r="B113" s="50" t="s">
        <v>20</v>
      </c>
      <c r="C113" s="50">
        <v>3.30421529E8</v>
      </c>
      <c r="D113" s="50" t="s">
        <v>172</v>
      </c>
      <c r="E113" s="55">
        <v>1505.92</v>
      </c>
      <c r="F113" s="50">
        <v>1505.92</v>
      </c>
      <c r="J113" s="241">
        <v>45684.0</v>
      </c>
      <c r="K113" s="241">
        <v>45684.0</v>
      </c>
      <c r="M113" s="50" t="s">
        <v>20</v>
      </c>
      <c r="N113" s="50">
        <v>3.30421529E8</v>
      </c>
      <c r="O113" s="50">
        <v>170288.0</v>
      </c>
      <c r="Q113" s="50" t="s">
        <v>283</v>
      </c>
      <c r="R113" s="50">
        <v>170288.0</v>
      </c>
    </row>
    <row r="114" ht="13.5" customHeight="1">
      <c r="B114" s="50" t="s">
        <v>20</v>
      </c>
      <c r="C114" s="50">
        <v>3.3042153E8</v>
      </c>
      <c r="D114" s="50" t="s">
        <v>172</v>
      </c>
      <c r="E114" s="50">
        <v>130.0</v>
      </c>
      <c r="F114" s="50">
        <v>130.0</v>
      </c>
      <c r="J114" s="241">
        <v>45684.0</v>
      </c>
      <c r="K114" s="241">
        <v>45684.0</v>
      </c>
      <c r="M114" s="50" t="s">
        <v>20</v>
      </c>
      <c r="N114" s="50">
        <v>3.3042153E8</v>
      </c>
      <c r="O114" s="50">
        <v>170288.0</v>
      </c>
      <c r="Q114" s="50" t="s">
        <v>284</v>
      </c>
      <c r="R114" s="50">
        <v>170288.0</v>
      </c>
    </row>
    <row r="115" ht="13.5" customHeight="1">
      <c r="B115" s="50" t="s">
        <v>20</v>
      </c>
      <c r="C115" s="50">
        <v>3.30421531E8</v>
      </c>
      <c r="D115" s="50" t="s">
        <v>172</v>
      </c>
      <c r="E115" s="55">
        <v>1493.92</v>
      </c>
      <c r="F115" s="50">
        <v>1493.92</v>
      </c>
      <c r="J115" s="241">
        <v>45684.0</v>
      </c>
      <c r="K115" s="241">
        <v>45684.0</v>
      </c>
      <c r="M115" s="50" t="s">
        <v>20</v>
      </c>
      <c r="N115" s="50">
        <v>3.30421531E8</v>
      </c>
      <c r="O115" s="50">
        <v>170288.0</v>
      </c>
      <c r="Q115" s="50" t="s">
        <v>285</v>
      </c>
      <c r="R115" s="50">
        <v>170288.0</v>
      </c>
    </row>
    <row r="116" ht="13.5" customHeight="1">
      <c r="B116" s="50" t="s">
        <v>20</v>
      </c>
      <c r="C116" s="50">
        <v>3.30421532E8</v>
      </c>
      <c r="D116" s="50" t="s">
        <v>172</v>
      </c>
      <c r="E116" s="55">
        <v>3158.19</v>
      </c>
      <c r="F116" s="50">
        <v>3158.19</v>
      </c>
      <c r="J116" s="241">
        <v>45684.0</v>
      </c>
      <c r="K116" s="241">
        <v>45684.0</v>
      </c>
      <c r="M116" s="50" t="s">
        <v>20</v>
      </c>
      <c r="N116" s="50">
        <v>3.30421532E8</v>
      </c>
      <c r="O116" s="50">
        <v>170288.0</v>
      </c>
      <c r="Q116" s="50" t="s">
        <v>286</v>
      </c>
      <c r="R116" s="50">
        <v>170288.0</v>
      </c>
    </row>
    <row r="117" ht="13.5" customHeight="1">
      <c r="B117" s="50" t="s">
        <v>20</v>
      </c>
      <c r="C117" s="50">
        <v>3.30421533E8</v>
      </c>
      <c r="D117" s="50" t="s">
        <v>172</v>
      </c>
      <c r="E117" s="50">
        <v>699.26</v>
      </c>
      <c r="F117" s="50">
        <v>699.26</v>
      </c>
      <c r="J117" s="241">
        <v>45684.0</v>
      </c>
      <c r="K117" s="241">
        <v>45684.0</v>
      </c>
      <c r="M117" s="50" t="s">
        <v>20</v>
      </c>
      <c r="N117" s="50">
        <v>3.30421533E8</v>
      </c>
      <c r="O117" s="50">
        <v>170288.0</v>
      </c>
      <c r="Q117" s="50" t="s">
        <v>287</v>
      </c>
      <c r="R117" s="50">
        <v>170288.0</v>
      </c>
    </row>
    <row r="118" ht="13.5" customHeight="1">
      <c r="B118" s="50" t="s">
        <v>20</v>
      </c>
      <c r="C118" s="50">
        <v>3.30421534E8</v>
      </c>
      <c r="D118" s="50" t="s">
        <v>172</v>
      </c>
      <c r="E118" s="50">
        <v>699.26</v>
      </c>
      <c r="F118" s="50">
        <v>699.26</v>
      </c>
      <c r="J118" s="241">
        <v>45684.0</v>
      </c>
      <c r="K118" s="241">
        <v>45684.0</v>
      </c>
      <c r="M118" s="50" t="s">
        <v>20</v>
      </c>
      <c r="N118" s="50">
        <v>3.30421534E8</v>
      </c>
      <c r="O118" s="50">
        <v>170288.0</v>
      </c>
      <c r="Q118" s="50" t="s">
        <v>288</v>
      </c>
      <c r="R118" s="50">
        <v>170288.0</v>
      </c>
    </row>
    <row r="119" ht="13.5" customHeight="1">
      <c r="B119" s="50" t="s">
        <v>20</v>
      </c>
      <c r="C119" s="50">
        <v>3.30421535E8</v>
      </c>
      <c r="D119" s="50" t="s">
        <v>172</v>
      </c>
      <c r="E119" s="50">
        <v>174.55</v>
      </c>
      <c r="F119" s="50">
        <v>174.55</v>
      </c>
      <c r="J119" s="241">
        <v>45684.0</v>
      </c>
      <c r="K119" s="241">
        <v>45684.0</v>
      </c>
      <c r="M119" s="50" t="s">
        <v>20</v>
      </c>
      <c r="N119" s="50">
        <v>3.30421535E8</v>
      </c>
      <c r="O119" s="50">
        <v>170288.0</v>
      </c>
      <c r="Q119" s="50" t="s">
        <v>289</v>
      </c>
      <c r="R119" s="50">
        <v>170288.0</v>
      </c>
    </row>
    <row r="120" ht="13.5" customHeight="1">
      <c r="B120" s="50" t="s">
        <v>20</v>
      </c>
      <c r="C120" s="50">
        <v>3.30421536E8</v>
      </c>
      <c r="D120" s="50" t="s">
        <v>172</v>
      </c>
      <c r="E120" s="55">
        <v>1493.92</v>
      </c>
      <c r="F120" s="50">
        <v>1493.92</v>
      </c>
      <c r="J120" s="241">
        <v>45684.0</v>
      </c>
      <c r="K120" s="241">
        <v>45684.0</v>
      </c>
      <c r="M120" s="50" t="s">
        <v>20</v>
      </c>
      <c r="N120" s="50">
        <v>3.30421536E8</v>
      </c>
      <c r="O120" s="50">
        <v>170288.0</v>
      </c>
      <c r="Q120" s="50" t="s">
        <v>290</v>
      </c>
      <c r="R120" s="50">
        <v>170288.0</v>
      </c>
    </row>
    <row r="121" ht="13.5" customHeight="1">
      <c r="B121" s="50" t="s">
        <v>20</v>
      </c>
      <c r="C121" s="50">
        <v>3.30421537E8</v>
      </c>
      <c r="D121" s="50" t="s">
        <v>172</v>
      </c>
      <c r="E121" s="55">
        <v>1350.82</v>
      </c>
      <c r="F121" s="50">
        <v>1350.82</v>
      </c>
      <c r="J121" s="241">
        <v>45684.0</v>
      </c>
      <c r="K121" s="241">
        <v>45684.0</v>
      </c>
      <c r="M121" s="50" t="s">
        <v>20</v>
      </c>
      <c r="N121" s="50">
        <v>3.30421537E8</v>
      </c>
      <c r="O121" s="50">
        <v>170288.0</v>
      </c>
      <c r="Q121" s="50" t="s">
        <v>291</v>
      </c>
      <c r="R121" s="50">
        <v>170288.0</v>
      </c>
    </row>
    <row r="122" ht="13.5" customHeight="1">
      <c r="B122" s="50" t="s">
        <v>20</v>
      </c>
      <c r="C122" s="50">
        <v>3.30421538E8</v>
      </c>
      <c r="D122" s="50" t="s">
        <v>172</v>
      </c>
      <c r="E122" s="50">
        <v>826.11</v>
      </c>
      <c r="F122" s="50">
        <v>826.11</v>
      </c>
      <c r="J122" s="241">
        <v>45684.0</v>
      </c>
      <c r="K122" s="241">
        <v>45684.0</v>
      </c>
      <c r="M122" s="50" t="s">
        <v>20</v>
      </c>
      <c r="N122" s="50">
        <v>3.30421538E8</v>
      </c>
      <c r="O122" s="50">
        <v>170288.0</v>
      </c>
      <c r="Q122" s="50" t="s">
        <v>292</v>
      </c>
      <c r="R122" s="50">
        <v>170288.0</v>
      </c>
    </row>
    <row r="123" ht="13.5" customHeight="1">
      <c r="B123" s="50" t="s">
        <v>20</v>
      </c>
      <c r="C123" s="50">
        <v>3.30421539E8</v>
      </c>
      <c r="D123" s="50" t="s">
        <v>172</v>
      </c>
      <c r="E123" s="55">
        <v>1511.97</v>
      </c>
      <c r="F123" s="50">
        <v>1511.97</v>
      </c>
      <c r="J123" s="241">
        <v>45684.0</v>
      </c>
      <c r="K123" s="241">
        <v>45684.0</v>
      </c>
      <c r="M123" s="50" t="s">
        <v>20</v>
      </c>
      <c r="N123" s="50">
        <v>3.30421539E8</v>
      </c>
      <c r="O123" s="50">
        <v>170288.0</v>
      </c>
      <c r="Q123" s="50" t="s">
        <v>293</v>
      </c>
      <c r="R123" s="50">
        <v>170288.0</v>
      </c>
    </row>
    <row r="124" ht="13.5" customHeight="1">
      <c r="B124" s="50" t="s">
        <v>20</v>
      </c>
      <c r="C124" s="50">
        <v>3.3042154E8</v>
      </c>
      <c r="D124" s="50" t="s">
        <v>172</v>
      </c>
      <c r="E124" s="50">
        <v>78.0</v>
      </c>
      <c r="F124" s="50">
        <v>78.0</v>
      </c>
      <c r="J124" s="241">
        <v>45684.0</v>
      </c>
      <c r="K124" s="241">
        <v>45684.0</v>
      </c>
      <c r="M124" s="50" t="s">
        <v>20</v>
      </c>
      <c r="N124" s="50">
        <v>3.3042154E8</v>
      </c>
      <c r="O124" s="50">
        <v>170288.0</v>
      </c>
      <c r="Q124" s="50" t="s">
        <v>294</v>
      </c>
      <c r="R124" s="50">
        <v>170288.0</v>
      </c>
    </row>
    <row r="125" ht="13.5" customHeight="1">
      <c r="B125" s="50" t="s">
        <v>20</v>
      </c>
      <c r="C125" s="50">
        <v>3.30421541E8</v>
      </c>
      <c r="D125" s="50" t="s">
        <v>172</v>
      </c>
      <c r="E125" s="50">
        <v>729.15</v>
      </c>
      <c r="F125" s="50">
        <v>729.15</v>
      </c>
      <c r="J125" s="241">
        <v>45684.0</v>
      </c>
      <c r="K125" s="241">
        <v>45684.0</v>
      </c>
      <c r="M125" s="50" t="s">
        <v>20</v>
      </c>
      <c r="N125" s="50">
        <v>3.30421541E8</v>
      </c>
      <c r="O125" s="50">
        <v>170288.0</v>
      </c>
      <c r="Q125" s="50" t="s">
        <v>295</v>
      </c>
      <c r="R125" s="50">
        <v>170288.0</v>
      </c>
    </row>
    <row r="126" ht="13.5" customHeight="1">
      <c r="B126" s="50" t="s">
        <v>20</v>
      </c>
      <c r="C126" s="50">
        <v>3.30421542E8</v>
      </c>
      <c r="D126" s="50" t="s">
        <v>172</v>
      </c>
      <c r="E126" s="55">
        <v>1398.52</v>
      </c>
      <c r="F126" s="50">
        <v>1398.52</v>
      </c>
      <c r="J126" s="241">
        <v>45684.0</v>
      </c>
      <c r="K126" s="241">
        <v>45684.0</v>
      </c>
      <c r="M126" s="50" t="s">
        <v>20</v>
      </c>
      <c r="N126" s="50">
        <v>3.30421542E8</v>
      </c>
      <c r="O126" s="50">
        <v>170288.0</v>
      </c>
      <c r="Q126" s="50" t="s">
        <v>296</v>
      </c>
      <c r="R126" s="50">
        <v>170288.0</v>
      </c>
    </row>
    <row r="127" ht="13.5" customHeight="1">
      <c r="B127" s="50" t="s">
        <v>20</v>
      </c>
      <c r="C127" s="50">
        <v>3.30421543E8</v>
      </c>
      <c r="D127" s="50" t="s">
        <v>172</v>
      </c>
      <c r="E127" s="50">
        <v>140.0</v>
      </c>
      <c r="F127" s="50">
        <v>140.0</v>
      </c>
      <c r="J127" s="241">
        <v>45684.0</v>
      </c>
      <c r="K127" s="241">
        <v>45684.0</v>
      </c>
      <c r="M127" s="50" t="s">
        <v>20</v>
      </c>
      <c r="N127" s="50">
        <v>3.30421543E8</v>
      </c>
      <c r="O127" s="50">
        <v>170288.0</v>
      </c>
      <c r="Q127" s="50" t="s">
        <v>297</v>
      </c>
      <c r="R127" s="50">
        <v>170288.0</v>
      </c>
    </row>
    <row r="128" ht="13.5" customHeight="1">
      <c r="B128" s="50" t="s">
        <v>20</v>
      </c>
      <c r="C128" s="50">
        <v>3.30421544E8</v>
      </c>
      <c r="D128" s="50" t="s">
        <v>172</v>
      </c>
      <c r="E128" s="55">
        <v>1350.82</v>
      </c>
      <c r="F128" s="50">
        <v>1350.82</v>
      </c>
      <c r="J128" s="241">
        <v>45684.0</v>
      </c>
      <c r="K128" s="241">
        <v>45684.0</v>
      </c>
      <c r="M128" s="50" t="s">
        <v>20</v>
      </c>
      <c r="N128" s="50">
        <v>3.30421544E8</v>
      </c>
      <c r="O128" s="50">
        <v>170288.0</v>
      </c>
      <c r="Q128" s="50" t="s">
        <v>298</v>
      </c>
      <c r="R128" s="50">
        <v>170288.0</v>
      </c>
    </row>
    <row r="129" ht="13.5" customHeight="1">
      <c r="B129" s="50" t="s">
        <v>20</v>
      </c>
      <c r="C129" s="50">
        <v>3.30421545E8</v>
      </c>
      <c r="D129" s="50" t="s">
        <v>172</v>
      </c>
      <c r="E129" s="55">
        <v>1565.64</v>
      </c>
      <c r="F129" s="50">
        <v>1565.64</v>
      </c>
      <c r="J129" s="241">
        <v>45684.0</v>
      </c>
      <c r="K129" s="241">
        <v>45684.0</v>
      </c>
      <c r="M129" s="50" t="s">
        <v>20</v>
      </c>
      <c r="N129" s="50">
        <v>3.30421545E8</v>
      </c>
      <c r="O129" s="50">
        <v>170288.0</v>
      </c>
      <c r="Q129" s="50" t="s">
        <v>174</v>
      </c>
      <c r="R129" s="50">
        <v>170288.0</v>
      </c>
    </row>
    <row r="130" ht="13.5" customHeight="1">
      <c r="B130" s="50" t="s">
        <v>20</v>
      </c>
      <c r="C130" s="50">
        <v>3.30421546E8</v>
      </c>
      <c r="D130" s="50" t="s">
        <v>172</v>
      </c>
      <c r="E130" s="50">
        <v>826.11</v>
      </c>
      <c r="F130" s="50">
        <v>826.11</v>
      </c>
      <c r="J130" s="241">
        <v>45684.0</v>
      </c>
      <c r="K130" s="241">
        <v>45684.0</v>
      </c>
      <c r="M130" s="50" t="s">
        <v>20</v>
      </c>
      <c r="N130" s="50">
        <v>3.30421546E8</v>
      </c>
      <c r="O130" s="50">
        <v>170288.0</v>
      </c>
      <c r="Q130" s="50" t="s">
        <v>299</v>
      </c>
      <c r="R130" s="50">
        <v>170288.0</v>
      </c>
    </row>
    <row r="131" ht="13.5" customHeight="1">
      <c r="B131" s="50" t="s">
        <v>20</v>
      </c>
      <c r="C131" s="50">
        <v>3.30421547E8</v>
      </c>
      <c r="D131" s="50" t="s">
        <v>172</v>
      </c>
      <c r="E131" s="55">
        <v>1398.52</v>
      </c>
      <c r="F131" s="50">
        <v>1398.52</v>
      </c>
      <c r="J131" s="241">
        <v>45684.0</v>
      </c>
      <c r="K131" s="241">
        <v>45684.0</v>
      </c>
      <c r="M131" s="50" t="s">
        <v>20</v>
      </c>
      <c r="N131" s="50">
        <v>3.30421547E8</v>
      </c>
      <c r="O131" s="50">
        <v>170288.0</v>
      </c>
      <c r="Q131" s="50" t="s">
        <v>300</v>
      </c>
      <c r="R131" s="50">
        <v>170288.0</v>
      </c>
    </row>
    <row r="132" ht="13.5" customHeight="1">
      <c r="B132" s="50" t="s">
        <v>20</v>
      </c>
      <c r="C132" s="50">
        <v>3.30421548E8</v>
      </c>
      <c r="D132" s="50" t="s">
        <v>172</v>
      </c>
      <c r="E132" s="50">
        <v>44.97</v>
      </c>
      <c r="F132" s="50">
        <v>44.97</v>
      </c>
      <c r="J132" s="241">
        <v>45684.0</v>
      </c>
      <c r="K132" s="241">
        <v>45684.0</v>
      </c>
      <c r="M132" s="50" t="s">
        <v>20</v>
      </c>
      <c r="N132" s="50">
        <v>3.30421548E8</v>
      </c>
      <c r="O132" s="50">
        <v>170288.0</v>
      </c>
      <c r="Q132" s="50" t="s">
        <v>301</v>
      </c>
      <c r="R132" s="50">
        <v>170288.0</v>
      </c>
    </row>
    <row r="133" ht="13.5" customHeight="1">
      <c r="B133" s="50" t="s">
        <v>20</v>
      </c>
      <c r="C133" s="50">
        <v>3.30421549E8</v>
      </c>
      <c r="D133" s="50" t="s">
        <v>172</v>
      </c>
      <c r="E133" s="55">
        <v>1398.52</v>
      </c>
      <c r="F133" s="50">
        <v>1398.52</v>
      </c>
      <c r="J133" s="241">
        <v>45684.0</v>
      </c>
      <c r="K133" s="241">
        <v>45684.0</v>
      </c>
      <c r="M133" s="50" t="s">
        <v>20</v>
      </c>
      <c r="N133" s="50">
        <v>3.30421549E8</v>
      </c>
      <c r="O133" s="50">
        <v>170288.0</v>
      </c>
      <c r="Q133" s="50" t="s">
        <v>302</v>
      </c>
      <c r="R133" s="50">
        <v>170288.0</v>
      </c>
    </row>
    <row r="134" ht="13.5" customHeight="1">
      <c r="B134" s="50" t="s">
        <v>20</v>
      </c>
      <c r="C134" s="50">
        <v>3.3042155E8</v>
      </c>
      <c r="D134" s="50" t="s">
        <v>172</v>
      </c>
      <c r="E134" s="50">
        <v>137.6</v>
      </c>
      <c r="F134" s="50">
        <v>137.6</v>
      </c>
      <c r="J134" s="241">
        <v>45684.0</v>
      </c>
      <c r="K134" s="241">
        <v>45684.0</v>
      </c>
      <c r="M134" s="50" t="s">
        <v>20</v>
      </c>
      <c r="N134" s="50">
        <v>3.3042155E8</v>
      </c>
      <c r="O134" s="50">
        <v>170288.0</v>
      </c>
      <c r="Q134" s="50" t="s">
        <v>303</v>
      </c>
      <c r="R134" s="50">
        <v>170288.0</v>
      </c>
    </row>
    <row r="135" ht="13.5" customHeight="1">
      <c r="B135" s="50" t="s">
        <v>20</v>
      </c>
      <c r="C135" s="50">
        <v>3.30421551E8</v>
      </c>
      <c r="D135" s="50" t="s">
        <v>172</v>
      </c>
      <c r="E135" s="55">
        <v>1672.98</v>
      </c>
      <c r="F135" s="50">
        <v>1672.98</v>
      </c>
      <c r="J135" s="241">
        <v>45684.0</v>
      </c>
      <c r="K135" s="241">
        <v>45684.0</v>
      </c>
      <c r="M135" s="50" t="s">
        <v>20</v>
      </c>
      <c r="N135" s="50">
        <v>3.30421551E8</v>
      </c>
      <c r="O135" s="50">
        <v>170288.0</v>
      </c>
      <c r="Q135" s="50" t="s">
        <v>304</v>
      </c>
      <c r="R135" s="50">
        <v>170288.0</v>
      </c>
    </row>
    <row r="136" ht="13.5" customHeight="1">
      <c r="B136" s="50" t="s">
        <v>20</v>
      </c>
      <c r="C136" s="50">
        <v>3.30421552E8</v>
      </c>
      <c r="D136" s="50" t="s">
        <v>172</v>
      </c>
      <c r="E136" s="55">
        <v>1398.52</v>
      </c>
      <c r="F136" s="50">
        <v>1398.52</v>
      </c>
      <c r="J136" s="241">
        <v>45684.0</v>
      </c>
      <c r="K136" s="241">
        <v>45684.0</v>
      </c>
      <c r="M136" s="50" t="s">
        <v>20</v>
      </c>
      <c r="N136" s="50">
        <v>3.30421552E8</v>
      </c>
      <c r="O136" s="50">
        <v>170288.0</v>
      </c>
      <c r="Q136" s="50" t="s">
        <v>305</v>
      </c>
      <c r="R136" s="50">
        <v>170288.0</v>
      </c>
    </row>
    <row r="137" ht="13.5" customHeight="1">
      <c r="B137" s="50" t="s">
        <v>20</v>
      </c>
      <c r="C137" s="50">
        <v>3.30421553E8</v>
      </c>
      <c r="D137" s="50" t="s">
        <v>172</v>
      </c>
      <c r="E137" s="55">
        <v>1165.86</v>
      </c>
      <c r="F137" s="50">
        <v>1165.86</v>
      </c>
      <c r="J137" s="241">
        <v>45684.0</v>
      </c>
      <c r="K137" s="241">
        <v>45684.0</v>
      </c>
      <c r="M137" s="50" t="s">
        <v>20</v>
      </c>
      <c r="N137" s="50">
        <v>3.30421553E8</v>
      </c>
      <c r="O137" s="50">
        <v>170288.0</v>
      </c>
      <c r="Q137" s="50" t="s">
        <v>176</v>
      </c>
      <c r="R137" s="50">
        <v>170288.0</v>
      </c>
    </row>
    <row r="138" ht="13.5" customHeight="1">
      <c r="B138" s="50" t="s">
        <v>20</v>
      </c>
      <c r="C138" s="50">
        <v>3.30421554E8</v>
      </c>
      <c r="D138" s="50" t="s">
        <v>172</v>
      </c>
      <c r="E138" s="55">
        <v>1350.82</v>
      </c>
      <c r="F138" s="50">
        <v>1350.82</v>
      </c>
      <c r="J138" s="241">
        <v>45684.0</v>
      </c>
      <c r="K138" s="241">
        <v>45684.0</v>
      </c>
      <c r="M138" s="50" t="s">
        <v>20</v>
      </c>
      <c r="N138" s="50">
        <v>3.30421554E8</v>
      </c>
      <c r="O138" s="50">
        <v>170288.0</v>
      </c>
      <c r="Q138" s="50" t="s">
        <v>306</v>
      </c>
      <c r="R138" s="50">
        <v>170288.0</v>
      </c>
    </row>
    <row r="139" ht="13.5" customHeight="1">
      <c r="B139" s="50" t="s">
        <v>20</v>
      </c>
      <c r="C139" s="50">
        <v>3.30421555E8</v>
      </c>
      <c r="D139" s="50" t="s">
        <v>172</v>
      </c>
      <c r="E139" s="55">
        <v>2501.16</v>
      </c>
      <c r="F139" s="50">
        <v>2501.16</v>
      </c>
      <c r="J139" s="241">
        <v>45684.0</v>
      </c>
      <c r="K139" s="241">
        <v>45684.0</v>
      </c>
      <c r="M139" s="50" t="s">
        <v>20</v>
      </c>
      <c r="N139" s="50">
        <v>3.30421555E8</v>
      </c>
      <c r="O139" s="50">
        <v>170288.0</v>
      </c>
      <c r="Q139" s="50" t="s">
        <v>177</v>
      </c>
      <c r="R139" s="50">
        <v>170288.0</v>
      </c>
    </row>
    <row r="140" ht="13.5" customHeight="1">
      <c r="B140" s="50" t="s">
        <v>20</v>
      </c>
      <c r="C140" s="50">
        <v>3.30421556E8</v>
      </c>
      <c r="D140" s="50" t="s">
        <v>172</v>
      </c>
      <c r="E140" s="55">
        <v>1672.98</v>
      </c>
      <c r="F140" s="50">
        <v>1672.98</v>
      </c>
      <c r="J140" s="241">
        <v>45684.0</v>
      </c>
      <c r="K140" s="241">
        <v>45684.0</v>
      </c>
      <c r="M140" s="50" t="s">
        <v>20</v>
      </c>
      <c r="N140" s="50">
        <v>3.30421556E8</v>
      </c>
      <c r="O140" s="50">
        <v>170288.0</v>
      </c>
      <c r="Q140" s="50" t="s">
        <v>308</v>
      </c>
      <c r="R140" s="50">
        <v>170288.0</v>
      </c>
    </row>
    <row r="141" ht="13.5" customHeight="1">
      <c r="B141" s="50" t="s">
        <v>20</v>
      </c>
      <c r="C141" s="50">
        <v>3.30421557E8</v>
      </c>
      <c r="D141" s="50" t="s">
        <v>172</v>
      </c>
      <c r="E141" s="55">
        <v>1493.92</v>
      </c>
      <c r="F141" s="50">
        <v>1493.92</v>
      </c>
      <c r="J141" s="241">
        <v>45684.0</v>
      </c>
      <c r="K141" s="241">
        <v>45684.0</v>
      </c>
      <c r="M141" s="50" t="s">
        <v>20</v>
      </c>
      <c r="N141" s="50">
        <v>3.30421557E8</v>
      </c>
      <c r="O141" s="50">
        <v>170288.0</v>
      </c>
      <c r="Q141" s="50" t="s">
        <v>309</v>
      </c>
      <c r="R141" s="50">
        <v>170288.0</v>
      </c>
    </row>
    <row r="142" ht="13.5" customHeight="1">
      <c r="B142" s="50" t="s">
        <v>20</v>
      </c>
      <c r="C142" s="50">
        <v>3.30421558E8</v>
      </c>
      <c r="D142" s="50" t="s">
        <v>172</v>
      </c>
      <c r="E142" s="50">
        <v>451.95</v>
      </c>
      <c r="F142" s="50">
        <v>451.95</v>
      </c>
      <c r="J142" s="241">
        <v>45684.0</v>
      </c>
      <c r="K142" s="241">
        <v>45684.0</v>
      </c>
      <c r="M142" s="50" t="s">
        <v>20</v>
      </c>
      <c r="N142" s="50">
        <v>3.30421558E8</v>
      </c>
      <c r="O142" s="50">
        <v>170288.0</v>
      </c>
      <c r="Q142" s="50" t="s">
        <v>310</v>
      </c>
      <c r="R142" s="50">
        <v>170288.0</v>
      </c>
    </row>
    <row r="143" ht="13.5" customHeight="1">
      <c r="B143" s="50" t="s">
        <v>20</v>
      </c>
      <c r="C143" s="50">
        <v>3.30421559E8</v>
      </c>
      <c r="D143" s="50" t="s">
        <v>172</v>
      </c>
      <c r="E143" s="55">
        <v>1398.52</v>
      </c>
      <c r="F143" s="50">
        <v>1398.52</v>
      </c>
      <c r="J143" s="241">
        <v>45684.0</v>
      </c>
      <c r="K143" s="241">
        <v>45684.0</v>
      </c>
      <c r="M143" s="50" t="s">
        <v>20</v>
      </c>
      <c r="N143" s="50">
        <v>3.30421559E8</v>
      </c>
      <c r="O143" s="50">
        <v>170288.0</v>
      </c>
      <c r="Q143" s="50" t="s">
        <v>312</v>
      </c>
      <c r="R143" s="50">
        <v>170288.0</v>
      </c>
    </row>
    <row r="144" ht="13.5" customHeight="1">
      <c r="B144" s="50" t="s">
        <v>20</v>
      </c>
      <c r="C144" s="50">
        <v>3.3042156E8</v>
      </c>
      <c r="D144" s="50" t="s">
        <v>172</v>
      </c>
      <c r="E144" s="55">
        <v>1243.63</v>
      </c>
      <c r="F144" s="50">
        <v>1243.63</v>
      </c>
      <c r="J144" s="241">
        <v>45684.0</v>
      </c>
      <c r="K144" s="241">
        <v>45684.0</v>
      </c>
      <c r="M144" s="50" t="s">
        <v>20</v>
      </c>
      <c r="N144" s="50">
        <v>3.3042156E8</v>
      </c>
      <c r="O144" s="50">
        <v>170288.0</v>
      </c>
      <c r="Q144" s="50" t="s">
        <v>313</v>
      </c>
      <c r="R144" s="50">
        <v>170288.0</v>
      </c>
    </row>
    <row r="145" ht="13.5" customHeight="1">
      <c r="B145" s="50" t="s">
        <v>20</v>
      </c>
      <c r="C145" s="50">
        <v>3.30421561E8</v>
      </c>
      <c r="D145" s="50" t="s">
        <v>172</v>
      </c>
      <c r="E145" s="50">
        <v>921.61</v>
      </c>
      <c r="F145" s="50">
        <v>921.61</v>
      </c>
      <c r="J145" s="241">
        <v>45684.0</v>
      </c>
      <c r="K145" s="241">
        <v>45684.0</v>
      </c>
      <c r="M145" s="50" t="s">
        <v>20</v>
      </c>
      <c r="N145" s="50">
        <v>3.30421561E8</v>
      </c>
      <c r="O145" s="50">
        <v>170288.0</v>
      </c>
      <c r="Q145" s="50" t="s">
        <v>315</v>
      </c>
      <c r="R145" s="50">
        <v>170288.0</v>
      </c>
    </row>
    <row r="146" ht="13.5" customHeight="1">
      <c r="B146" s="50" t="s">
        <v>20</v>
      </c>
      <c r="C146" s="50">
        <v>3.30421562E8</v>
      </c>
      <c r="D146" s="50" t="s">
        <v>172</v>
      </c>
      <c r="E146" s="55">
        <v>1350.82</v>
      </c>
      <c r="F146" s="50">
        <v>1350.82</v>
      </c>
      <c r="J146" s="241">
        <v>45684.0</v>
      </c>
      <c r="K146" s="241">
        <v>45684.0</v>
      </c>
      <c r="M146" s="50" t="s">
        <v>20</v>
      </c>
      <c r="N146" s="50">
        <v>3.30421562E8</v>
      </c>
      <c r="O146" s="50">
        <v>170288.0</v>
      </c>
      <c r="Q146" s="50" t="s">
        <v>316</v>
      </c>
      <c r="R146" s="50">
        <v>170288.0</v>
      </c>
    </row>
    <row r="147" ht="13.5" customHeight="1">
      <c r="B147" s="50" t="s">
        <v>20</v>
      </c>
      <c r="C147" s="50">
        <v>3.30421563E8</v>
      </c>
      <c r="D147" s="50" t="s">
        <v>172</v>
      </c>
      <c r="E147" s="55">
        <v>1493.92</v>
      </c>
      <c r="F147" s="50">
        <v>1493.92</v>
      </c>
      <c r="J147" s="241">
        <v>45684.0</v>
      </c>
      <c r="K147" s="241">
        <v>45684.0</v>
      </c>
      <c r="M147" s="50" t="s">
        <v>20</v>
      </c>
      <c r="N147" s="50">
        <v>3.30421563E8</v>
      </c>
      <c r="O147" s="50">
        <v>170288.0</v>
      </c>
      <c r="Q147" s="50" t="s">
        <v>178</v>
      </c>
      <c r="R147" s="50">
        <v>170288.0</v>
      </c>
    </row>
    <row r="148" ht="13.5" customHeight="1">
      <c r="B148" s="50" t="s">
        <v>20</v>
      </c>
      <c r="C148" s="50">
        <v>3.30421564E8</v>
      </c>
      <c r="D148" s="50" t="s">
        <v>172</v>
      </c>
      <c r="E148" s="55">
        <v>1350.82</v>
      </c>
      <c r="F148" s="50">
        <v>1350.82</v>
      </c>
      <c r="J148" s="241">
        <v>45684.0</v>
      </c>
      <c r="K148" s="241">
        <v>45684.0</v>
      </c>
      <c r="M148" s="50" t="s">
        <v>20</v>
      </c>
      <c r="N148" s="50">
        <v>3.30421564E8</v>
      </c>
      <c r="O148" s="50">
        <v>170288.0</v>
      </c>
      <c r="Q148" s="50" t="s">
        <v>317</v>
      </c>
      <c r="R148" s="50">
        <v>170288.0</v>
      </c>
    </row>
    <row r="149" ht="13.5" customHeight="1">
      <c r="B149" s="50" t="s">
        <v>20</v>
      </c>
      <c r="C149" s="50">
        <v>3.30421565E8</v>
      </c>
      <c r="D149" s="50" t="s">
        <v>172</v>
      </c>
      <c r="E149" s="50">
        <v>556.16</v>
      </c>
      <c r="F149" s="50">
        <v>556.16</v>
      </c>
      <c r="J149" s="241">
        <v>45684.0</v>
      </c>
      <c r="K149" s="241">
        <v>45684.0</v>
      </c>
      <c r="M149" s="50" t="s">
        <v>20</v>
      </c>
      <c r="N149" s="50">
        <v>3.30421565E8</v>
      </c>
      <c r="O149" s="50">
        <v>170288.0</v>
      </c>
      <c r="Q149" s="50" t="s">
        <v>318</v>
      </c>
      <c r="R149" s="50">
        <v>170288.0</v>
      </c>
    </row>
    <row r="150" ht="13.5" customHeight="1">
      <c r="B150" s="50" t="s">
        <v>20</v>
      </c>
      <c r="C150" s="50">
        <v>3.30421566E8</v>
      </c>
      <c r="D150" s="50" t="s">
        <v>172</v>
      </c>
      <c r="E150" s="55">
        <v>1672.98</v>
      </c>
      <c r="F150" s="50">
        <v>1672.98</v>
      </c>
      <c r="J150" s="241">
        <v>45684.0</v>
      </c>
      <c r="K150" s="241">
        <v>45684.0</v>
      </c>
      <c r="M150" s="50" t="s">
        <v>20</v>
      </c>
      <c r="N150" s="50">
        <v>3.30421566E8</v>
      </c>
      <c r="O150" s="50">
        <v>170288.0</v>
      </c>
      <c r="Q150" s="50" t="s">
        <v>319</v>
      </c>
      <c r="R150" s="50">
        <v>170288.0</v>
      </c>
    </row>
    <row r="151" ht="13.5" customHeight="1">
      <c r="B151" s="50" t="s">
        <v>20</v>
      </c>
      <c r="C151" s="50">
        <v>3.30421567E8</v>
      </c>
      <c r="D151" s="50" t="s">
        <v>172</v>
      </c>
      <c r="E151" s="50">
        <v>120.0</v>
      </c>
      <c r="F151" s="50">
        <v>120.0</v>
      </c>
      <c r="J151" s="241">
        <v>45684.0</v>
      </c>
      <c r="K151" s="241">
        <v>45684.0</v>
      </c>
      <c r="M151" s="50" t="s">
        <v>20</v>
      </c>
      <c r="N151" s="50">
        <v>3.30421567E8</v>
      </c>
      <c r="O151" s="50">
        <v>170288.0</v>
      </c>
      <c r="Q151" s="50" t="s">
        <v>320</v>
      </c>
      <c r="R151" s="50">
        <v>170288.0</v>
      </c>
    </row>
    <row r="152" ht="13.5" customHeight="1">
      <c r="B152" s="50" t="s">
        <v>20</v>
      </c>
      <c r="C152" s="50">
        <v>3.30421568E8</v>
      </c>
      <c r="D152" s="50" t="s">
        <v>172</v>
      </c>
      <c r="E152" s="55">
        <v>1398.52</v>
      </c>
      <c r="F152" s="50">
        <v>1398.52</v>
      </c>
      <c r="J152" s="241">
        <v>45684.0</v>
      </c>
      <c r="K152" s="241">
        <v>45684.0</v>
      </c>
      <c r="M152" s="50" t="s">
        <v>20</v>
      </c>
      <c r="N152" s="50">
        <v>3.30421568E8</v>
      </c>
      <c r="O152" s="50">
        <v>170288.0</v>
      </c>
      <c r="Q152" s="50" t="s">
        <v>321</v>
      </c>
      <c r="R152" s="50">
        <v>170288.0</v>
      </c>
    </row>
    <row r="153" ht="13.5" customHeight="1">
      <c r="B153" s="50" t="s">
        <v>20</v>
      </c>
      <c r="C153" s="50">
        <v>3.30421569E8</v>
      </c>
      <c r="D153" s="50" t="s">
        <v>172</v>
      </c>
      <c r="E153" s="55">
        <v>1672.98</v>
      </c>
      <c r="F153" s="50">
        <v>1672.98</v>
      </c>
      <c r="J153" s="241">
        <v>45684.0</v>
      </c>
      <c r="K153" s="241">
        <v>45684.0</v>
      </c>
      <c r="M153" s="50" t="s">
        <v>20</v>
      </c>
      <c r="N153" s="50">
        <v>3.30421569E8</v>
      </c>
      <c r="O153" s="50">
        <v>170288.0</v>
      </c>
      <c r="Q153" s="50" t="s">
        <v>322</v>
      </c>
      <c r="R153" s="50">
        <v>170288.0</v>
      </c>
    </row>
    <row r="154" ht="13.5" customHeight="1">
      <c r="B154" s="50" t="s">
        <v>20</v>
      </c>
      <c r="C154" s="50">
        <v>3.3042157E8</v>
      </c>
      <c r="D154" s="50" t="s">
        <v>172</v>
      </c>
      <c r="E154" s="55">
        <v>1493.92</v>
      </c>
      <c r="F154" s="50">
        <v>1493.92</v>
      </c>
      <c r="J154" s="241">
        <v>45684.0</v>
      </c>
      <c r="K154" s="241">
        <v>45684.0</v>
      </c>
      <c r="M154" s="50" t="s">
        <v>20</v>
      </c>
      <c r="N154" s="50">
        <v>3.3042157E8</v>
      </c>
      <c r="O154" s="50">
        <v>170288.0</v>
      </c>
      <c r="Q154" s="50" t="s">
        <v>179</v>
      </c>
      <c r="R154" s="50">
        <v>170288.0</v>
      </c>
    </row>
    <row r="155" ht="13.5" customHeight="1">
      <c r="B155" s="50" t="s">
        <v>20</v>
      </c>
      <c r="C155" s="50">
        <v>3.30421571E8</v>
      </c>
      <c r="D155" s="50" t="s">
        <v>172</v>
      </c>
      <c r="E155" s="50">
        <v>556.16</v>
      </c>
      <c r="F155" s="50">
        <v>556.16</v>
      </c>
      <c r="J155" s="241">
        <v>45684.0</v>
      </c>
      <c r="K155" s="241">
        <v>45684.0</v>
      </c>
      <c r="M155" s="50" t="s">
        <v>20</v>
      </c>
      <c r="N155" s="50">
        <v>3.30421571E8</v>
      </c>
      <c r="O155" s="50">
        <v>170288.0</v>
      </c>
      <c r="Q155" s="50" t="s">
        <v>323</v>
      </c>
      <c r="R155" s="50">
        <v>170288.0</v>
      </c>
    </row>
    <row r="156" ht="13.5" customHeight="1">
      <c r="B156" s="50" t="s">
        <v>20</v>
      </c>
      <c r="C156" s="50">
        <v>3.30421572E8</v>
      </c>
      <c r="D156" s="50" t="s">
        <v>172</v>
      </c>
      <c r="E156" s="55">
        <v>1493.92</v>
      </c>
      <c r="F156" s="50">
        <v>1493.92</v>
      </c>
      <c r="J156" s="241">
        <v>45684.0</v>
      </c>
      <c r="K156" s="241">
        <v>45684.0</v>
      </c>
      <c r="M156" s="50" t="s">
        <v>20</v>
      </c>
      <c r="N156" s="50">
        <v>3.30421572E8</v>
      </c>
      <c r="O156" s="50">
        <v>170288.0</v>
      </c>
      <c r="Q156" s="50" t="s">
        <v>324</v>
      </c>
      <c r="R156" s="50">
        <v>170288.0</v>
      </c>
    </row>
    <row r="157" ht="13.5" customHeight="1">
      <c r="B157" s="50" t="s">
        <v>20</v>
      </c>
      <c r="C157" s="50">
        <v>3.30421573E8</v>
      </c>
      <c r="D157" s="50" t="s">
        <v>172</v>
      </c>
      <c r="E157" s="55">
        <v>1398.52</v>
      </c>
      <c r="F157" s="50">
        <v>1398.52</v>
      </c>
      <c r="J157" s="241">
        <v>45684.0</v>
      </c>
      <c r="K157" s="241">
        <v>45684.0</v>
      </c>
      <c r="M157" s="50" t="s">
        <v>20</v>
      </c>
      <c r="N157" s="50">
        <v>3.30421573E8</v>
      </c>
      <c r="O157" s="50">
        <v>170288.0</v>
      </c>
      <c r="Q157" s="50" t="s">
        <v>325</v>
      </c>
      <c r="R157" s="50">
        <v>170288.0</v>
      </c>
    </row>
    <row r="158" ht="13.5" customHeight="1">
      <c r="B158" s="50" t="s">
        <v>20</v>
      </c>
      <c r="C158" s="50">
        <v>3.30421574E8</v>
      </c>
      <c r="D158" s="50" t="s">
        <v>172</v>
      </c>
      <c r="E158" s="55">
        <v>1511.97</v>
      </c>
      <c r="F158" s="50">
        <v>1511.97</v>
      </c>
      <c r="J158" s="241">
        <v>45684.0</v>
      </c>
      <c r="K158" s="241">
        <v>45684.0</v>
      </c>
      <c r="M158" s="50" t="s">
        <v>20</v>
      </c>
      <c r="N158" s="50">
        <v>3.30421574E8</v>
      </c>
      <c r="O158" s="50">
        <v>170288.0</v>
      </c>
      <c r="Q158" s="50" t="s">
        <v>326</v>
      </c>
      <c r="R158" s="50">
        <v>170288.0</v>
      </c>
    </row>
    <row r="159" ht="13.5" customHeight="1">
      <c r="B159" s="50" t="s">
        <v>20</v>
      </c>
      <c r="C159" s="50">
        <v>3.30421575E8</v>
      </c>
      <c r="D159" s="50" t="s">
        <v>172</v>
      </c>
      <c r="E159" s="55">
        <v>1207.72</v>
      </c>
      <c r="F159" s="50">
        <v>1207.72</v>
      </c>
      <c r="J159" s="241">
        <v>45684.0</v>
      </c>
      <c r="K159" s="241">
        <v>45684.0</v>
      </c>
      <c r="M159" s="50" t="s">
        <v>20</v>
      </c>
      <c r="N159" s="50">
        <v>3.30421575E8</v>
      </c>
      <c r="O159" s="50">
        <v>170288.0</v>
      </c>
      <c r="Q159" s="50" t="s">
        <v>327</v>
      </c>
      <c r="R159" s="50">
        <v>170288.0</v>
      </c>
    </row>
    <row r="160" ht="13.5" customHeight="1">
      <c r="B160" s="50" t="s">
        <v>20</v>
      </c>
      <c r="C160" s="50">
        <v>3.30421576E8</v>
      </c>
      <c r="D160" s="50" t="s">
        <v>172</v>
      </c>
      <c r="E160" s="55">
        <v>1493.92</v>
      </c>
      <c r="F160" s="50">
        <v>1493.92</v>
      </c>
      <c r="J160" s="241">
        <v>45684.0</v>
      </c>
      <c r="K160" s="241">
        <v>45684.0</v>
      </c>
      <c r="M160" s="50" t="s">
        <v>20</v>
      </c>
      <c r="N160" s="50">
        <v>3.30421576E8</v>
      </c>
      <c r="O160" s="50">
        <v>170288.0</v>
      </c>
      <c r="Q160" s="50" t="s">
        <v>328</v>
      </c>
      <c r="R160" s="50">
        <v>170288.0</v>
      </c>
    </row>
    <row r="161" ht="13.5" customHeight="1">
      <c r="B161" s="50" t="s">
        <v>20</v>
      </c>
      <c r="C161" s="50">
        <v>3.30421577E8</v>
      </c>
      <c r="D161" s="50" t="s">
        <v>172</v>
      </c>
      <c r="E161" s="55">
        <v>1672.98</v>
      </c>
      <c r="F161" s="50">
        <v>1672.98</v>
      </c>
      <c r="J161" s="241">
        <v>45684.0</v>
      </c>
      <c r="K161" s="241">
        <v>45684.0</v>
      </c>
      <c r="M161" s="50" t="s">
        <v>20</v>
      </c>
      <c r="N161" s="50">
        <v>3.30421577E8</v>
      </c>
      <c r="O161" s="50">
        <v>170288.0</v>
      </c>
      <c r="Q161" s="50" t="s">
        <v>329</v>
      </c>
      <c r="R161" s="50">
        <v>170288.0</v>
      </c>
    </row>
    <row r="162" ht="13.5" customHeight="1">
      <c r="B162" s="50" t="s">
        <v>20</v>
      </c>
      <c r="C162" s="50">
        <v>3.30421578E8</v>
      </c>
      <c r="D162" s="50" t="s">
        <v>172</v>
      </c>
      <c r="E162" s="55">
        <v>1672.98</v>
      </c>
      <c r="F162" s="50">
        <v>1672.98</v>
      </c>
      <c r="J162" s="241">
        <v>45684.0</v>
      </c>
      <c r="K162" s="241">
        <v>45684.0</v>
      </c>
      <c r="M162" s="50" t="s">
        <v>20</v>
      </c>
      <c r="N162" s="50">
        <v>3.30421578E8</v>
      </c>
      <c r="O162" s="50">
        <v>170288.0</v>
      </c>
      <c r="Q162" s="50" t="s">
        <v>330</v>
      </c>
      <c r="R162" s="50">
        <v>170288.0</v>
      </c>
    </row>
    <row r="163" ht="13.5" customHeight="1">
      <c r="B163" s="50" t="s">
        <v>20</v>
      </c>
      <c r="C163" s="50">
        <v>3.30421579E8</v>
      </c>
      <c r="D163" s="50" t="s">
        <v>172</v>
      </c>
      <c r="E163" s="55">
        <v>1082.62</v>
      </c>
      <c r="F163" s="50">
        <v>1082.62</v>
      </c>
      <c r="J163" s="241">
        <v>45684.0</v>
      </c>
      <c r="K163" s="241">
        <v>45684.0</v>
      </c>
      <c r="M163" s="50" t="s">
        <v>20</v>
      </c>
      <c r="N163" s="50">
        <v>3.30421579E8</v>
      </c>
      <c r="O163" s="50">
        <v>170288.0</v>
      </c>
      <c r="Q163" s="50" t="s">
        <v>331</v>
      </c>
      <c r="R163" s="50">
        <v>170288.0</v>
      </c>
    </row>
    <row r="164" ht="13.5" customHeight="1">
      <c r="B164" s="50" t="s">
        <v>20</v>
      </c>
      <c r="C164" s="50">
        <v>3.3042158E8</v>
      </c>
      <c r="D164" s="50" t="s">
        <v>172</v>
      </c>
      <c r="E164" s="50">
        <v>51.86</v>
      </c>
      <c r="F164" s="50">
        <v>51.86</v>
      </c>
      <c r="J164" s="241">
        <v>45684.0</v>
      </c>
      <c r="K164" s="241">
        <v>45684.0</v>
      </c>
      <c r="M164" s="50" t="s">
        <v>20</v>
      </c>
      <c r="N164" s="50">
        <v>3.3042158E8</v>
      </c>
      <c r="O164" s="50">
        <v>170288.0</v>
      </c>
      <c r="Q164" s="50" t="s">
        <v>332</v>
      </c>
      <c r="R164" s="50">
        <v>170288.0</v>
      </c>
    </row>
    <row r="165" ht="13.5" customHeight="1">
      <c r="B165" s="50" t="s">
        <v>20</v>
      </c>
      <c r="C165" s="50">
        <v>3.30421581E8</v>
      </c>
      <c r="D165" s="50" t="s">
        <v>172</v>
      </c>
      <c r="E165" s="55">
        <v>1207.72</v>
      </c>
      <c r="F165" s="50">
        <v>1207.72</v>
      </c>
      <c r="J165" s="241">
        <v>45684.0</v>
      </c>
      <c r="K165" s="241">
        <v>45684.0</v>
      </c>
      <c r="M165" s="50" t="s">
        <v>20</v>
      </c>
      <c r="N165" s="50">
        <v>3.30421581E8</v>
      </c>
      <c r="O165" s="50">
        <v>170288.0</v>
      </c>
      <c r="Q165" s="50" t="s">
        <v>333</v>
      </c>
      <c r="R165" s="50">
        <v>170288.0</v>
      </c>
    </row>
    <row r="166" ht="13.5" customHeight="1">
      <c r="B166" s="50" t="s">
        <v>20</v>
      </c>
      <c r="C166" s="50">
        <v>3.30421582E8</v>
      </c>
      <c r="D166" s="50" t="s">
        <v>172</v>
      </c>
      <c r="E166" s="55">
        <v>1761.07</v>
      </c>
      <c r="F166" s="50">
        <v>1761.07</v>
      </c>
      <c r="J166" s="241">
        <v>45684.0</v>
      </c>
      <c r="K166" s="241">
        <v>45684.0</v>
      </c>
      <c r="M166" s="50" t="s">
        <v>20</v>
      </c>
      <c r="N166" s="50">
        <v>3.30421582E8</v>
      </c>
      <c r="O166" s="50">
        <v>170288.0</v>
      </c>
      <c r="Q166" s="50" t="s">
        <v>334</v>
      </c>
      <c r="R166" s="50">
        <v>170288.0</v>
      </c>
    </row>
    <row r="167" ht="13.5" customHeight="1">
      <c r="B167" s="50" t="s">
        <v>20</v>
      </c>
      <c r="C167" s="50">
        <v>3.30421583E8</v>
      </c>
      <c r="D167" s="50" t="s">
        <v>172</v>
      </c>
      <c r="E167" s="55">
        <v>1255.42</v>
      </c>
      <c r="F167" s="50">
        <v>1255.42</v>
      </c>
      <c r="J167" s="241">
        <v>45684.0</v>
      </c>
      <c r="K167" s="241">
        <v>45684.0</v>
      </c>
      <c r="M167" s="50" t="s">
        <v>20</v>
      </c>
      <c r="N167" s="50">
        <v>3.30421583E8</v>
      </c>
      <c r="O167" s="50">
        <v>170288.0</v>
      </c>
      <c r="Q167" s="50" t="s">
        <v>335</v>
      </c>
      <c r="R167" s="50">
        <v>170288.0</v>
      </c>
    </row>
    <row r="168" ht="13.5" customHeight="1">
      <c r="B168" s="50" t="s">
        <v>20</v>
      </c>
      <c r="C168" s="50">
        <v>3.30421584E8</v>
      </c>
      <c r="D168" s="50" t="s">
        <v>172</v>
      </c>
      <c r="E168" s="55">
        <v>1398.52</v>
      </c>
      <c r="F168" s="50">
        <v>1398.52</v>
      </c>
      <c r="J168" s="241">
        <v>45684.0</v>
      </c>
      <c r="K168" s="241">
        <v>45684.0</v>
      </c>
      <c r="M168" s="50" t="s">
        <v>20</v>
      </c>
      <c r="N168" s="50">
        <v>3.30421584E8</v>
      </c>
      <c r="O168" s="50">
        <v>170288.0</v>
      </c>
      <c r="Q168" s="50" t="s">
        <v>336</v>
      </c>
      <c r="R168" s="50">
        <v>170288.0</v>
      </c>
    </row>
    <row r="169" ht="13.5" customHeight="1">
      <c r="B169" s="50" t="s">
        <v>20</v>
      </c>
      <c r="C169" s="50">
        <v>3.30421585E8</v>
      </c>
      <c r="D169" s="50" t="s">
        <v>172</v>
      </c>
      <c r="E169" s="50">
        <v>237.29</v>
      </c>
      <c r="F169" s="50">
        <v>237.29</v>
      </c>
      <c r="J169" s="241">
        <v>45684.0</v>
      </c>
      <c r="K169" s="241">
        <v>45684.0</v>
      </c>
      <c r="M169" s="50" t="s">
        <v>20</v>
      </c>
      <c r="N169" s="50">
        <v>3.30421585E8</v>
      </c>
      <c r="O169" s="50">
        <v>170288.0</v>
      </c>
      <c r="Q169" s="50" t="s">
        <v>337</v>
      </c>
      <c r="R169" s="50">
        <v>170288.0</v>
      </c>
    </row>
    <row r="170" ht="13.5" customHeight="1">
      <c r="B170" s="50" t="s">
        <v>20</v>
      </c>
      <c r="C170" s="50">
        <v>3.30421586E8</v>
      </c>
      <c r="D170" s="50" t="s">
        <v>172</v>
      </c>
      <c r="E170" s="55">
        <v>1493.92</v>
      </c>
      <c r="F170" s="50">
        <v>1493.92</v>
      </c>
      <c r="J170" s="241">
        <v>45684.0</v>
      </c>
      <c r="K170" s="241">
        <v>45684.0</v>
      </c>
      <c r="M170" s="50" t="s">
        <v>20</v>
      </c>
      <c r="N170" s="50">
        <v>3.30421586E8</v>
      </c>
      <c r="O170" s="50">
        <v>170288.0</v>
      </c>
      <c r="Q170" s="50" t="s">
        <v>338</v>
      </c>
      <c r="R170" s="50">
        <v>170288.0</v>
      </c>
    </row>
    <row r="171" ht="13.5" customHeight="1">
      <c r="B171" s="50" t="s">
        <v>20</v>
      </c>
      <c r="C171" s="50">
        <v>3.30421587E8</v>
      </c>
      <c r="D171" s="50" t="s">
        <v>172</v>
      </c>
      <c r="E171" s="50">
        <v>699.26</v>
      </c>
      <c r="F171" s="50">
        <v>699.26</v>
      </c>
      <c r="J171" s="241">
        <v>45684.0</v>
      </c>
      <c r="K171" s="241">
        <v>45684.0</v>
      </c>
      <c r="M171" s="50" t="s">
        <v>20</v>
      </c>
      <c r="N171" s="50">
        <v>3.30421587E8</v>
      </c>
      <c r="O171" s="50">
        <v>170288.0</v>
      </c>
      <c r="Q171" s="50" t="s">
        <v>339</v>
      </c>
      <c r="R171" s="50">
        <v>170288.0</v>
      </c>
    </row>
    <row r="172" ht="13.5" customHeight="1">
      <c r="B172" s="50" t="s">
        <v>20</v>
      </c>
      <c r="C172" s="50">
        <v>3.30421588E8</v>
      </c>
      <c r="D172" s="50" t="s">
        <v>172</v>
      </c>
      <c r="E172" s="50">
        <v>52.35</v>
      </c>
      <c r="F172" s="50">
        <v>52.35</v>
      </c>
      <c r="J172" s="241">
        <v>45684.0</v>
      </c>
      <c r="K172" s="241">
        <v>45684.0</v>
      </c>
      <c r="M172" s="50" t="s">
        <v>20</v>
      </c>
      <c r="N172" s="50">
        <v>3.30421588E8</v>
      </c>
      <c r="O172" s="50">
        <v>170288.0</v>
      </c>
      <c r="Q172" s="50" t="s">
        <v>340</v>
      </c>
      <c r="R172" s="50">
        <v>170288.0</v>
      </c>
    </row>
    <row r="173" ht="13.5" customHeight="1">
      <c r="B173" s="50" t="s">
        <v>20</v>
      </c>
      <c r="C173" s="50">
        <v>3.30421589E8</v>
      </c>
      <c r="D173" s="50" t="s">
        <v>172</v>
      </c>
      <c r="E173" s="50">
        <v>460.8</v>
      </c>
      <c r="F173" s="50">
        <v>460.8</v>
      </c>
      <c r="J173" s="241">
        <v>45684.0</v>
      </c>
      <c r="K173" s="241">
        <v>45684.0</v>
      </c>
      <c r="M173" s="50" t="s">
        <v>20</v>
      </c>
      <c r="N173" s="50">
        <v>3.30421589E8</v>
      </c>
      <c r="O173" s="50">
        <v>170288.0</v>
      </c>
      <c r="Q173" s="50" t="s">
        <v>341</v>
      </c>
      <c r="R173" s="50">
        <v>170288.0</v>
      </c>
    </row>
    <row r="174" ht="13.5" customHeight="1">
      <c r="B174" s="50" t="s">
        <v>20</v>
      </c>
      <c r="C174" s="50">
        <v>3.3042159E8</v>
      </c>
      <c r="D174" s="50" t="s">
        <v>172</v>
      </c>
      <c r="E174" s="55">
        <v>1565.64</v>
      </c>
      <c r="F174" s="50">
        <v>1565.64</v>
      </c>
      <c r="J174" s="241">
        <v>45684.0</v>
      </c>
      <c r="K174" s="241">
        <v>45684.0</v>
      </c>
      <c r="M174" s="50" t="s">
        <v>20</v>
      </c>
      <c r="N174" s="50">
        <v>3.3042159E8</v>
      </c>
      <c r="O174" s="50">
        <v>170288.0</v>
      </c>
      <c r="Q174" s="50" t="s">
        <v>342</v>
      </c>
      <c r="R174" s="50">
        <v>170288.0</v>
      </c>
    </row>
    <row r="175" ht="13.5" customHeight="1">
      <c r="B175" s="50" t="s">
        <v>20</v>
      </c>
      <c r="C175" s="50">
        <v>3.30421591E8</v>
      </c>
      <c r="D175" s="50" t="s">
        <v>172</v>
      </c>
      <c r="E175" s="55">
        <v>1672.98</v>
      </c>
      <c r="F175" s="50">
        <v>1672.98</v>
      </c>
      <c r="J175" s="241">
        <v>45684.0</v>
      </c>
      <c r="K175" s="241">
        <v>45684.0</v>
      </c>
      <c r="M175" s="50" t="s">
        <v>20</v>
      </c>
      <c r="N175" s="50">
        <v>3.30421591E8</v>
      </c>
      <c r="O175" s="50">
        <v>170288.0</v>
      </c>
      <c r="Q175" s="50" t="s">
        <v>343</v>
      </c>
      <c r="R175" s="50">
        <v>170288.0</v>
      </c>
    </row>
    <row r="176" ht="13.5" customHeight="1">
      <c r="B176" s="50" t="s">
        <v>20</v>
      </c>
      <c r="C176" s="50">
        <v>3.30421592E8</v>
      </c>
      <c r="D176" s="50" t="s">
        <v>172</v>
      </c>
      <c r="E176" s="55">
        <v>1351.95</v>
      </c>
      <c r="F176" s="50">
        <v>1351.95</v>
      </c>
      <c r="J176" s="241">
        <v>45684.0</v>
      </c>
      <c r="K176" s="241">
        <v>45684.0</v>
      </c>
      <c r="M176" s="50" t="s">
        <v>20</v>
      </c>
      <c r="N176" s="50">
        <v>3.30421592E8</v>
      </c>
      <c r="O176" s="50">
        <v>170288.0</v>
      </c>
      <c r="Q176" s="50" t="s">
        <v>344</v>
      </c>
      <c r="R176" s="50">
        <v>170288.0</v>
      </c>
    </row>
    <row r="177" ht="13.5" customHeight="1">
      <c r="B177" s="50" t="s">
        <v>20</v>
      </c>
      <c r="C177" s="50">
        <v>3.30421593E8</v>
      </c>
      <c r="D177" s="50" t="s">
        <v>172</v>
      </c>
      <c r="E177" s="50">
        <v>39.0</v>
      </c>
      <c r="F177" s="50">
        <v>39.0</v>
      </c>
      <c r="J177" s="241">
        <v>45684.0</v>
      </c>
      <c r="K177" s="241">
        <v>45684.0</v>
      </c>
      <c r="M177" s="50" t="s">
        <v>20</v>
      </c>
      <c r="N177" s="50">
        <v>3.30421593E8</v>
      </c>
      <c r="O177" s="50">
        <v>170288.0</v>
      </c>
      <c r="Q177" s="50" t="s">
        <v>345</v>
      </c>
      <c r="R177" s="50">
        <v>170288.0</v>
      </c>
    </row>
    <row r="178" ht="13.5" customHeight="1">
      <c r="B178" s="50" t="s">
        <v>20</v>
      </c>
      <c r="C178" s="50">
        <v>3.30421594E8</v>
      </c>
      <c r="D178" s="50" t="s">
        <v>172</v>
      </c>
      <c r="E178" s="50">
        <v>782.82</v>
      </c>
      <c r="F178" s="50">
        <v>782.82</v>
      </c>
      <c r="J178" s="241">
        <v>45684.0</v>
      </c>
      <c r="K178" s="241">
        <v>45684.0</v>
      </c>
      <c r="M178" s="50" t="s">
        <v>20</v>
      </c>
      <c r="N178" s="50">
        <v>3.30421594E8</v>
      </c>
      <c r="O178" s="50">
        <v>170288.0</v>
      </c>
      <c r="Q178" s="50" t="s">
        <v>346</v>
      </c>
      <c r="R178" s="50">
        <v>170288.0</v>
      </c>
    </row>
    <row r="179" ht="13.5" customHeight="1">
      <c r="B179" s="50" t="s">
        <v>20</v>
      </c>
      <c r="C179" s="50">
        <v>3.30421595E8</v>
      </c>
      <c r="D179" s="50" t="s">
        <v>172</v>
      </c>
      <c r="E179" s="55">
        <v>1511.97</v>
      </c>
      <c r="F179" s="50">
        <v>1511.97</v>
      </c>
      <c r="J179" s="241">
        <v>45684.0</v>
      </c>
      <c r="K179" s="241">
        <v>45684.0</v>
      </c>
      <c r="M179" s="50" t="s">
        <v>20</v>
      </c>
      <c r="N179" s="50">
        <v>3.30421595E8</v>
      </c>
      <c r="O179" s="50">
        <v>170288.0</v>
      </c>
      <c r="Q179" s="50" t="s">
        <v>347</v>
      </c>
      <c r="R179" s="50">
        <v>170288.0</v>
      </c>
    </row>
    <row r="180" ht="13.5" customHeight="1">
      <c r="B180" s="50" t="s">
        <v>20</v>
      </c>
      <c r="C180" s="50">
        <v>3.30421596E8</v>
      </c>
      <c r="D180" s="50" t="s">
        <v>172</v>
      </c>
      <c r="E180" s="55">
        <v>1404.63</v>
      </c>
      <c r="F180" s="50">
        <v>1404.63</v>
      </c>
      <c r="J180" s="241">
        <v>45684.0</v>
      </c>
      <c r="K180" s="241">
        <v>45684.0</v>
      </c>
      <c r="M180" s="50" t="s">
        <v>20</v>
      </c>
      <c r="N180" s="50">
        <v>3.30421596E8</v>
      </c>
      <c r="O180" s="50">
        <v>170288.0</v>
      </c>
      <c r="Q180" s="50" t="s">
        <v>348</v>
      </c>
      <c r="R180" s="50">
        <v>170288.0</v>
      </c>
    </row>
    <row r="181" ht="13.5" customHeight="1">
      <c r="B181" s="50" t="s">
        <v>20</v>
      </c>
      <c r="C181" s="50">
        <v>3.30421597E8</v>
      </c>
      <c r="D181" s="50" t="s">
        <v>172</v>
      </c>
      <c r="E181" s="55">
        <v>1565.64</v>
      </c>
      <c r="F181" s="50">
        <v>1565.64</v>
      </c>
      <c r="J181" s="241">
        <v>45684.0</v>
      </c>
      <c r="K181" s="241">
        <v>45684.0</v>
      </c>
      <c r="M181" s="50" t="s">
        <v>20</v>
      </c>
      <c r="N181" s="50">
        <v>3.30421597E8</v>
      </c>
      <c r="O181" s="50">
        <v>170288.0</v>
      </c>
      <c r="Q181" s="50" t="s">
        <v>349</v>
      </c>
      <c r="R181" s="50">
        <v>170288.0</v>
      </c>
    </row>
    <row r="182" ht="13.5" customHeight="1">
      <c r="B182" s="50" t="s">
        <v>20</v>
      </c>
      <c r="C182" s="50">
        <v>3.30421598E8</v>
      </c>
      <c r="D182" s="50" t="s">
        <v>172</v>
      </c>
      <c r="E182" s="55">
        <v>1112.31</v>
      </c>
      <c r="F182" s="50">
        <v>1112.31</v>
      </c>
      <c r="J182" s="241">
        <v>45684.0</v>
      </c>
      <c r="K182" s="241">
        <v>45684.0</v>
      </c>
      <c r="M182" s="50" t="s">
        <v>20</v>
      </c>
      <c r="N182" s="50">
        <v>3.30421598E8</v>
      </c>
      <c r="O182" s="50">
        <v>170288.0</v>
      </c>
      <c r="Q182" s="50" t="s">
        <v>350</v>
      </c>
      <c r="R182" s="50">
        <v>170288.0</v>
      </c>
    </row>
    <row r="183" ht="13.5" customHeight="1">
      <c r="B183" s="50" t="s">
        <v>20</v>
      </c>
      <c r="C183" s="50">
        <v>3.30421599E8</v>
      </c>
      <c r="D183" s="50" t="s">
        <v>172</v>
      </c>
      <c r="E183" s="50">
        <v>782.82</v>
      </c>
      <c r="F183" s="50">
        <v>782.82</v>
      </c>
      <c r="J183" s="241">
        <v>45684.0</v>
      </c>
      <c r="K183" s="241">
        <v>45684.0</v>
      </c>
      <c r="M183" s="50" t="s">
        <v>20</v>
      </c>
      <c r="N183" s="50">
        <v>3.30421599E8</v>
      </c>
      <c r="O183" s="50">
        <v>170288.0</v>
      </c>
      <c r="Q183" s="50" t="s">
        <v>351</v>
      </c>
      <c r="R183" s="50">
        <v>170288.0</v>
      </c>
    </row>
    <row r="184" ht="13.5" customHeight="1">
      <c r="B184" s="50" t="s">
        <v>20</v>
      </c>
      <c r="C184" s="50">
        <v>3.304216E8</v>
      </c>
      <c r="D184" s="50" t="s">
        <v>172</v>
      </c>
      <c r="E184" s="55">
        <v>1493.92</v>
      </c>
      <c r="F184" s="50">
        <v>1493.92</v>
      </c>
      <c r="J184" s="241">
        <v>45684.0</v>
      </c>
      <c r="K184" s="241">
        <v>45684.0</v>
      </c>
      <c r="M184" s="50" t="s">
        <v>20</v>
      </c>
      <c r="N184" s="50">
        <v>3.304216E8</v>
      </c>
      <c r="O184" s="50">
        <v>170288.0</v>
      </c>
      <c r="Q184" s="50" t="s">
        <v>352</v>
      </c>
      <c r="R184" s="50">
        <v>170288.0</v>
      </c>
    </row>
    <row r="185" ht="13.5" customHeight="1">
      <c r="B185" s="50" t="s">
        <v>20</v>
      </c>
      <c r="C185" s="50">
        <v>3.30421601E8</v>
      </c>
      <c r="D185" s="50" t="s">
        <v>172</v>
      </c>
      <c r="E185" s="55">
        <v>1398.52</v>
      </c>
      <c r="F185" s="50">
        <v>1398.52</v>
      </c>
      <c r="J185" s="241">
        <v>45684.0</v>
      </c>
      <c r="K185" s="241">
        <v>45684.0</v>
      </c>
      <c r="M185" s="50" t="s">
        <v>20</v>
      </c>
      <c r="N185" s="50">
        <v>3.30421601E8</v>
      </c>
      <c r="O185" s="50">
        <v>170288.0</v>
      </c>
      <c r="Q185" s="50" t="s">
        <v>353</v>
      </c>
      <c r="R185" s="50">
        <v>170288.0</v>
      </c>
    </row>
    <row r="186" ht="13.5" customHeight="1">
      <c r="B186" s="50" t="s">
        <v>20</v>
      </c>
      <c r="C186" s="50">
        <v>3.30421602E8</v>
      </c>
      <c r="D186" s="50" t="s">
        <v>172</v>
      </c>
      <c r="E186" s="55">
        <v>1672.98</v>
      </c>
      <c r="F186" s="50">
        <v>1672.98</v>
      </c>
      <c r="J186" s="241">
        <v>45684.0</v>
      </c>
      <c r="K186" s="241">
        <v>45684.0</v>
      </c>
      <c r="M186" s="50" t="s">
        <v>20</v>
      </c>
      <c r="N186" s="50">
        <v>3.30421602E8</v>
      </c>
      <c r="O186" s="50">
        <v>170288.0</v>
      </c>
      <c r="Q186" s="50" t="s">
        <v>354</v>
      </c>
      <c r="R186" s="50">
        <v>170288.0</v>
      </c>
    </row>
    <row r="187" ht="13.5" customHeight="1">
      <c r="B187" s="50" t="s">
        <v>20</v>
      </c>
      <c r="C187" s="50">
        <v>3.30421603E8</v>
      </c>
      <c r="D187" s="50" t="s">
        <v>172</v>
      </c>
      <c r="E187" s="55">
        <v>1207.72</v>
      </c>
      <c r="F187" s="50">
        <v>1207.72</v>
      </c>
      <c r="J187" s="241">
        <v>45684.0</v>
      </c>
      <c r="K187" s="241">
        <v>45684.0</v>
      </c>
      <c r="M187" s="50" t="s">
        <v>20</v>
      </c>
      <c r="N187" s="50">
        <v>3.30421603E8</v>
      </c>
      <c r="O187" s="50">
        <v>170288.0</v>
      </c>
      <c r="Q187" s="50" t="s">
        <v>355</v>
      </c>
      <c r="R187" s="50">
        <v>170288.0</v>
      </c>
    </row>
    <row r="188" ht="13.5" customHeight="1">
      <c r="B188" s="50" t="s">
        <v>20</v>
      </c>
      <c r="C188" s="50">
        <v>3.30421604E8</v>
      </c>
      <c r="D188" s="50" t="s">
        <v>172</v>
      </c>
      <c r="E188" s="50">
        <v>699.26</v>
      </c>
      <c r="F188" s="50">
        <v>699.26</v>
      </c>
      <c r="J188" s="241">
        <v>45684.0</v>
      </c>
      <c r="K188" s="241">
        <v>45684.0</v>
      </c>
      <c r="M188" s="50" t="s">
        <v>20</v>
      </c>
      <c r="N188" s="50">
        <v>3.30421604E8</v>
      </c>
      <c r="O188" s="50">
        <v>170288.0</v>
      </c>
      <c r="Q188" s="50" t="s">
        <v>356</v>
      </c>
      <c r="R188" s="50">
        <v>170288.0</v>
      </c>
    </row>
    <row r="189" ht="13.5" customHeight="1">
      <c r="B189" s="50" t="s">
        <v>20</v>
      </c>
      <c r="C189" s="50">
        <v>3.30421605E8</v>
      </c>
      <c r="D189" s="50" t="s">
        <v>172</v>
      </c>
      <c r="E189" s="55">
        <v>1672.98</v>
      </c>
      <c r="F189" s="50">
        <v>1672.98</v>
      </c>
      <c r="J189" s="241">
        <v>45684.0</v>
      </c>
      <c r="K189" s="241">
        <v>45684.0</v>
      </c>
      <c r="M189" s="50" t="s">
        <v>20</v>
      </c>
      <c r="N189" s="50">
        <v>3.30421605E8</v>
      </c>
      <c r="O189" s="50">
        <v>170288.0</v>
      </c>
      <c r="Q189" s="50" t="s">
        <v>357</v>
      </c>
      <c r="R189" s="50">
        <v>170288.0</v>
      </c>
    </row>
    <row r="190" ht="13.5" customHeight="1">
      <c r="B190" s="50" t="s">
        <v>20</v>
      </c>
      <c r="C190" s="50">
        <v>3.30421606E8</v>
      </c>
      <c r="D190" s="50" t="s">
        <v>172</v>
      </c>
      <c r="E190" s="50">
        <v>782.82</v>
      </c>
      <c r="F190" s="50">
        <v>782.82</v>
      </c>
      <c r="J190" s="241">
        <v>45684.0</v>
      </c>
      <c r="K190" s="241">
        <v>45684.0</v>
      </c>
      <c r="M190" s="50" t="s">
        <v>20</v>
      </c>
      <c r="N190" s="50">
        <v>3.30421606E8</v>
      </c>
      <c r="O190" s="50">
        <v>170288.0</v>
      </c>
      <c r="Q190" s="50" t="s">
        <v>358</v>
      </c>
      <c r="R190" s="50">
        <v>170288.0</v>
      </c>
    </row>
    <row r="191" ht="13.5" customHeight="1">
      <c r="B191" s="50" t="s">
        <v>20</v>
      </c>
      <c r="C191" s="50">
        <v>3.30421607E8</v>
      </c>
      <c r="D191" s="50" t="s">
        <v>172</v>
      </c>
      <c r="E191" s="55">
        <v>1207.72</v>
      </c>
      <c r="F191" s="50">
        <v>1207.72</v>
      </c>
      <c r="J191" s="241">
        <v>45684.0</v>
      </c>
      <c r="K191" s="241">
        <v>45684.0</v>
      </c>
      <c r="M191" s="50" t="s">
        <v>20</v>
      </c>
      <c r="N191" s="50">
        <v>3.30421607E8</v>
      </c>
      <c r="O191" s="50">
        <v>170288.0</v>
      </c>
      <c r="Q191" s="50" t="s">
        <v>359</v>
      </c>
      <c r="R191" s="50">
        <v>170288.0</v>
      </c>
    </row>
    <row r="192" ht="13.5" customHeight="1">
      <c r="B192" s="50" t="s">
        <v>20</v>
      </c>
      <c r="C192" s="50">
        <v>3.30421608E8</v>
      </c>
      <c r="D192" s="50" t="s">
        <v>172</v>
      </c>
      <c r="E192" s="55">
        <v>1672.98</v>
      </c>
      <c r="F192" s="50">
        <v>1672.98</v>
      </c>
      <c r="J192" s="241">
        <v>45684.0</v>
      </c>
      <c r="K192" s="241">
        <v>45684.0</v>
      </c>
      <c r="M192" s="50" t="s">
        <v>20</v>
      </c>
      <c r="N192" s="50">
        <v>3.30421608E8</v>
      </c>
      <c r="O192" s="50">
        <v>170288.0</v>
      </c>
      <c r="Q192" s="50" t="s">
        <v>187</v>
      </c>
      <c r="R192" s="50">
        <v>170288.0</v>
      </c>
    </row>
    <row r="193" ht="13.5" customHeight="1">
      <c r="B193" s="50" t="s">
        <v>20</v>
      </c>
      <c r="C193" s="50">
        <v>3.30421609E8</v>
      </c>
      <c r="D193" s="50" t="s">
        <v>172</v>
      </c>
      <c r="E193" s="55">
        <v>1255.42</v>
      </c>
      <c r="F193" s="50">
        <v>1255.42</v>
      </c>
      <c r="J193" s="241">
        <v>45684.0</v>
      </c>
      <c r="K193" s="241">
        <v>45684.0</v>
      </c>
      <c r="M193" s="50" t="s">
        <v>20</v>
      </c>
      <c r="N193" s="50">
        <v>3.30421609E8</v>
      </c>
      <c r="O193" s="50">
        <v>170288.0</v>
      </c>
      <c r="Q193" s="50" t="s">
        <v>360</v>
      </c>
      <c r="R193" s="50">
        <v>170288.0</v>
      </c>
    </row>
    <row r="194" ht="13.5" customHeight="1">
      <c r="B194" s="50" t="s">
        <v>20</v>
      </c>
      <c r="C194" s="50">
        <v>3.3042161E8</v>
      </c>
      <c r="D194" s="50" t="s">
        <v>172</v>
      </c>
      <c r="E194" s="55">
        <v>1672.98</v>
      </c>
      <c r="F194" s="50">
        <v>1672.98</v>
      </c>
      <c r="J194" s="241">
        <v>45684.0</v>
      </c>
      <c r="K194" s="241">
        <v>45684.0</v>
      </c>
      <c r="M194" s="50" t="s">
        <v>20</v>
      </c>
      <c r="N194" s="50">
        <v>3.3042161E8</v>
      </c>
      <c r="O194" s="50">
        <v>170288.0</v>
      </c>
      <c r="Q194" s="50" t="s">
        <v>189</v>
      </c>
      <c r="R194" s="50">
        <v>170288.0</v>
      </c>
    </row>
    <row r="195" ht="13.5" customHeight="1">
      <c r="B195" s="50" t="s">
        <v>20</v>
      </c>
      <c r="C195" s="50">
        <v>3.30421611E8</v>
      </c>
      <c r="D195" s="50" t="s">
        <v>172</v>
      </c>
      <c r="E195" s="55">
        <v>1350.82</v>
      </c>
      <c r="F195" s="50">
        <v>1350.82</v>
      </c>
      <c r="J195" s="241">
        <v>45684.0</v>
      </c>
      <c r="K195" s="241">
        <v>45684.0</v>
      </c>
      <c r="M195" s="50" t="s">
        <v>20</v>
      </c>
      <c r="N195" s="50">
        <v>3.30421611E8</v>
      </c>
      <c r="O195" s="50">
        <v>170288.0</v>
      </c>
      <c r="Q195" s="50" t="s">
        <v>361</v>
      </c>
      <c r="R195" s="50">
        <v>170288.0</v>
      </c>
    </row>
    <row r="196" ht="13.5" customHeight="1">
      <c r="B196" s="50" t="s">
        <v>20</v>
      </c>
      <c r="C196" s="50">
        <v>3.30421612E8</v>
      </c>
      <c r="D196" s="50" t="s">
        <v>172</v>
      </c>
      <c r="E196" s="55">
        <v>1672.98</v>
      </c>
      <c r="F196" s="50">
        <v>1672.98</v>
      </c>
      <c r="J196" s="241">
        <v>45684.0</v>
      </c>
      <c r="K196" s="241">
        <v>45684.0</v>
      </c>
      <c r="M196" s="50" t="s">
        <v>20</v>
      </c>
      <c r="N196" s="50">
        <v>3.30421612E8</v>
      </c>
      <c r="O196" s="50">
        <v>170288.0</v>
      </c>
      <c r="Q196" s="50" t="s">
        <v>362</v>
      </c>
      <c r="R196" s="50">
        <v>170288.0</v>
      </c>
    </row>
    <row r="197" ht="13.5" customHeight="1">
      <c r="B197" s="50" t="s">
        <v>20</v>
      </c>
      <c r="C197" s="50">
        <v>3.30421613E8</v>
      </c>
      <c r="D197" s="50" t="s">
        <v>172</v>
      </c>
      <c r="E197" s="55">
        <v>2583.46</v>
      </c>
      <c r="F197" s="50">
        <v>2583.46</v>
      </c>
      <c r="J197" s="241">
        <v>45684.0</v>
      </c>
      <c r="K197" s="241">
        <v>45684.0</v>
      </c>
      <c r="M197" s="50" t="s">
        <v>20</v>
      </c>
      <c r="N197" s="50">
        <v>3.30421613E8</v>
      </c>
      <c r="O197" s="50">
        <v>170288.0</v>
      </c>
      <c r="Q197" s="50" t="s">
        <v>363</v>
      </c>
      <c r="R197" s="50">
        <v>170288.0</v>
      </c>
    </row>
    <row r="198" ht="13.5" customHeight="1">
      <c r="B198" s="50" t="s">
        <v>20</v>
      </c>
      <c r="C198" s="50">
        <v>3.30421614E8</v>
      </c>
      <c r="D198" s="50" t="s">
        <v>172</v>
      </c>
      <c r="E198" s="55">
        <v>1493.92</v>
      </c>
      <c r="F198" s="50">
        <v>1493.92</v>
      </c>
      <c r="J198" s="241">
        <v>45684.0</v>
      </c>
      <c r="K198" s="241">
        <v>45684.0</v>
      </c>
      <c r="M198" s="50" t="s">
        <v>20</v>
      </c>
      <c r="N198" s="50">
        <v>3.30421614E8</v>
      </c>
      <c r="O198" s="50">
        <v>170288.0</v>
      </c>
      <c r="Q198" s="50" t="s">
        <v>364</v>
      </c>
      <c r="R198" s="50">
        <v>170288.0</v>
      </c>
    </row>
    <row r="199" ht="13.5" customHeight="1">
      <c r="B199" s="50" t="s">
        <v>20</v>
      </c>
      <c r="C199" s="50">
        <v>3.30421615E8</v>
      </c>
      <c r="D199" s="50" t="s">
        <v>172</v>
      </c>
      <c r="E199" s="55">
        <v>1398.52</v>
      </c>
      <c r="F199" s="50">
        <v>1398.52</v>
      </c>
      <c r="J199" s="241">
        <v>45684.0</v>
      </c>
      <c r="K199" s="241">
        <v>45684.0</v>
      </c>
      <c r="M199" s="50" t="s">
        <v>20</v>
      </c>
      <c r="N199" s="50">
        <v>3.30421615E8</v>
      </c>
      <c r="O199" s="50">
        <v>170288.0</v>
      </c>
      <c r="Q199" s="50" t="s">
        <v>365</v>
      </c>
      <c r="R199" s="50">
        <v>170288.0</v>
      </c>
    </row>
    <row r="200" ht="13.5" customHeight="1">
      <c r="B200" s="50" t="s">
        <v>20</v>
      </c>
      <c r="C200" s="50">
        <v>3.30421616E8</v>
      </c>
      <c r="D200" s="50" t="s">
        <v>172</v>
      </c>
      <c r="E200" s="55">
        <v>1493.92</v>
      </c>
      <c r="F200" s="50">
        <v>1493.92</v>
      </c>
      <c r="J200" s="241">
        <v>45684.0</v>
      </c>
      <c r="K200" s="241">
        <v>45684.0</v>
      </c>
      <c r="M200" s="50" t="s">
        <v>20</v>
      </c>
      <c r="N200" s="50">
        <v>3.30421616E8</v>
      </c>
      <c r="O200" s="50">
        <v>170288.0</v>
      </c>
      <c r="Q200" s="50" t="s">
        <v>366</v>
      </c>
      <c r="R200" s="50">
        <v>170288.0</v>
      </c>
    </row>
    <row r="201" ht="13.5" customHeight="1">
      <c r="B201" s="50" t="s">
        <v>20</v>
      </c>
      <c r="C201" s="50">
        <v>3.30421617E8</v>
      </c>
      <c r="D201" s="50" t="s">
        <v>172</v>
      </c>
      <c r="E201" s="55">
        <v>1565.64</v>
      </c>
      <c r="F201" s="50">
        <v>1565.64</v>
      </c>
      <c r="J201" s="241">
        <v>45684.0</v>
      </c>
      <c r="K201" s="241">
        <v>45684.0</v>
      </c>
      <c r="M201" s="50" t="s">
        <v>20</v>
      </c>
      <c r="N201" s="50">
        <v>3.30421617E8</v>
      </c>
      <c r="O201" s="50">
        <v>170288.0</v>
      </c>
      <c r="Q201" s="50" t="s">
        <v>367</v>
      </c>
      <c r="R201" s="50">
        <v>170288.0</v>
      </c>
    </row>
    <row r="202" ht="13.5" customHeight="1">
      <c r="B202" s="50" t="s">
        <v>20</v>
      </c>
      <c r="C202" s="50">
        <v>3.30421618E8</v>
      </c>
      <c r="D202" s="50" t="s">
        <v>172</v>
      </c>
      <c r="E202" s="50">
        <v>969.21</v>
      </c>
      <c r="F202" s="50">
        <v>969.21</v>
      </c>
      <c r="J202" s="241">
        <v>45684.0</v>
      </c>
      <c r="K202" s="241">
        <v>45684.0</v>
      </c>
      <c r="M202" s="50" t="s">
        <v>20</v>
      </c>
      <c r="N202" s="50">
        <v>3.30421618E8</v>
      </c>
      <c r="O202" s="50">
        <v>170288.0</v>
      </c>
      <c r="Q202" s="50" t="s">
        <v>368</v>
      </c>
      <c r="R202" s="50">
        <v>170288.0</v>
      </c>
    </row>
    <row r="203" ht="13.5" customHeight="1">
      <c r="B203" s="50" t="s">
        <v>20</v>
      </c>
      <c r="C203" s="50">
        <v>3.30421619E8</v>
      </c>
      <c r="D203" s="50" t="s">
        <v>172</v>
      </c>
      <c r="E203" s="55">
        <v>1398.52</v>
      </c>
      <c r="F203" s="50">
        <v>1398.52</v>
      </c>
      <c r="J203" s="241">
        <v>45684.0</v>
      </c>
      <c r="K203" s="241">
        <v>45684.0</v>
      </c>
      <c r="M203" s="50" t="s">
        <v>20</v>
      </c>
      <c r="N203" s="50">
        <v>3.30421619E8</v>
      </c>
      <c r="O203" s="50">
        <v>170288.0</v>
      </c>
      <c r="Q203" s="50" t="s">
        <v>369</v>
      </c>
      <c r="R203" s="50">
        <v>170288.0</v>
      </c>
    </row>
    <row r="204" ht="13.5" customHeight="1">
      <c r="B204" s="50" t="s">
        <v>20</v>
      </c>
      <c r="C204" s="50">
        <v>3.3042162E8</v>
      </c>
      <c r="D204" s="50" t="s">
        <v>172</v>
      </c>
      <c r="E204" s="55">
        <v>1493.92</v>
      </c>
      <c r="F204" s="50">
        <v>1493.92</v>
      </c>
      <c r="J204" s="241">
        <v>45684.0</v>
      </c>
      <c r="K204" s="241">
        <v>45684.0</v>
      </c>
      <c r="M204" s="50" t="s">
        <v>20</v>
      </c>
      <c r="N204" s="50">
        <v>3.3042162E8</v>
      </c>
      <c r="O204" s="50">
        <v>170288.0</v>
      </c>
      <c r="Q204" s="50" t="s">
        <v>370</v>
      </c>
      <c r="R204" s="50">
        <v>170288.0</v>
      </c>
    </row>
    <row r="205" ht="13.5" customHeight="1">
      <c r="B205" s="50" t="s">
        <v>20</v>
      </c>
      <c r="C205" s="50">
        <v>3.30421621E8</v>
      </c>
      <c r="D205" s="50" t="s">
        <v>172</v>
      </c>
      <c r="E205" s="55">
        <v>1243.63</v>
      </c>
      <c r="F205" s="50">
        <v>1243.63</v>
      </c>
      <c r="J205" s="241">
        <v>45684.0</v>
      </c>
      <c r="K205" s="241">
        <v>45684.0</v>
      </c>
      <c r="M205" s="50" t="s">
        <v>20</v>
      </c>
      <c r="N205" s="50">
        <v>3.30421621E8</v>
      </c>
      <c r="O205" s="50">
        <v>170288.0</v>
      </c>
      <c r="Q205" s="50" t="s">
        <v>371</v>
      </c>
      <c r="R205" s="50">
        <v>170288.0</v>
      </c>
    </row>
    <row r="206" ht="13.5" customHeight="1">
      <c r="B206" s="50" t="s">
        <v>20</v>
      </c>
      <c r="C206" s="50">
        <v>3.30421622E8</v>
      </c>
      <c r="D206" s="50" t="s">
        <v>172</v>
      </c>
      <c r="E206" s="55">
        <v>1207.72</v>
      </c>
      <c r="F206" s="50">
        <v>1207.72</v>
      </c>
      <c r="J206" s="241">
        <v>45684.0</v>
      </c>
      <c r="K206" s="241">
        <v>45684.0</v>
      </c>
      <c r="M206" s="50" t="s">
        <v>20</v>
      </c>
      <c r="N206" s="50">
        <v>3.30421622E8</v>
      </c>
      <c r="O206" s="50">
        <v>170288.0</v>
      </c>
      <c r="Q206" s="50" t="s">
        <v>372</v>
      </c>
      <c r="R206" s="50">
        <v>170288.0</v>
      </c>
    </row>
    <row r="207" ht="13.5" customHeight="1">
      <c r="B207" s="50" t="s">
        <v>20</v>
      </c>
      <c r="C207" s="50">
        <v>3.30421623E8</v>
      </c>
      <c r="D207" s="50" t="s">
        <v>172</v>
      </c>
      <c r="E207" s="55">
        <v>1493.92</v>
      </c>
      <c r="F207" s="50">
        <v>1493.92</v>
      </c>
      <c r="J207" s="241">
        <v>45684.0</v>
      </c>
      <c r="K207" s="241">
        <v>45684.0</v>
      </c>
      <c r="M207" s="50" t="s">
        <v>20</v>
      </c>
      <c r="N207" s="50">
        <v>3.30421623E8</v>
      </c>
      <c r="O207" s="50">
        <v>170288.0</v>
      </c>
      <c r="Q207" s="50" t="s">
        <v>192</v>
      </c>
      <c r="R207" s="50">
        <v>170288.0</v>
      </c>
    </row>
    <row r="208" ht="13.5" customHeight="1">
      <c r="B208" s="50" t="s">
        <v>20</v>
      </c>
      <c r="C208" s="50">
        <v>3.30421624E8</v>
      </c>
      <c r="D208" s="50" t="s">
        <v>172</v>
      </c>
      <c r="E208" s="55">
        <v>1825.89</v>
      </c>
      <c r="F208" s="50">
        <v>1825.89</v>
      </c>
      <c r="J208" s="241">
        <v>45684.0</v>
      </c>
      <c r="K208" s="241">
        <v>45684.0</v>
      </c>
      <c r="M208" s="50" t="s">
        <v>20</v>
      </c>
      <c r="N208" s="50">
        <v>3.30421624E8</v>
      </c>
      <c r="O208" s="50">
        <v>170288.0</v>
      </c>
      <c r="Q208" s="50" t="s">
        <v>373</v>
      </c>
      <c r="R208" s="50">
        <v>170288.0</v>
      </c>
    </row>
    <row r="209" ht="13.5" customHeight="1">
      <c r="B209" s="50" t="s">
        <v>20</v>
      </c>
      <c r="C209" s="50">
        <v>3.30421625E8</v>
      </c>
      <c r="D209" s="50" t="s">
        <v>172</v>
      </c>
      <c r="E209" s="50">
        <v>100.0</v>
      </c>
      <c r="F209" s="50">
        <v>100.0</v>
      </c>
      <c r="J209" s="241">
        <v>45684.0</v>
      </c>
      <c r="K209" s="241">
        <v>45684.0</v>
      </c>
      <c r="M209" s="50" t="s">
        <v>20</v>
      </c>
      <c r="N209" s="50">
        <v>3.30421625E8</v>
      </c>
      <c r="O209" s="50">
        <v>170288.0</v>
      </c>
      <c r="Q209" s="50" t="s">
        <v>374</v>
      </c>
      <c r="R209" s="50">
        <v>170288.0</v>
      </c>
    </row>
    <row r="210" ht="13.5" customHeight="1">
      <c r="B210" s="50" t="s">
        <v>20</v>
      </c>
      <c r="C210" s="50">
        <v>3.30421626E8</v>
      </c>
      <c r="D210" s="50" t="s">
        <v>172</v>
      </c>
      <c r="E210" s="55">
        <v>1350.82</v>
      </c>
      <c r="F210" s="50">
        <v>1350.82</v>
      </c>
      <c r="J210" s="241">
        <v>45684.0</v>
      </c>
      <c r="K210" s="241">
        <v>45684.0</v>
      </c>
      <c r="M210" s="50" t="s">
        <v>20</v>
      </c>
      <c r="N210" s="50">
        <v>3.30421626E8</v>
      </c>
      <c r="O210" s="50">
        <v>170288.0</v>
      </c>
      <c r="Q210" s="50" t="s">
        <v>375</v>
      </c>
      <c r="R210" s="50">
        <v>170288.0</v>
      </c>
    </row>
    <row r="211" ht="13.5" customHeight="1">
      <c r="B211" s="50" t="s">
        <v>20</v>
      </c>
      <c r="C211" s="50">
        <v>3.30421627E8</v>
      </c>
      <c r="D211" s="50" t="s">
        <v>172</v>
      </c>
      <c r="E211" s="55">
        <v>2514.26</v>
      </c>
      <c r="F211" s="50">
        <v>2514.26</v>
      </c>
      <c r="J211" s="241">
        <v>45684.0</v>
      </c>
      <c r="K211" s="241">
        <v>45684.0</v>
      </c>
      <c r="M211" s="50" t="s">
        <v>20</v>
      </c>
      <c r="N211" s="50">
        <v>3.30421627E8</v>
      </c>
      <c r="O211" s="50">
        <v>170288.0</v>
      </c>
      <c r="Q211" s="50" t="s">
        <v>376</v>
      </c>
      <c r="R211" s="50">
        <v>170288.0</v>
      </c>
    </row>
    <row r="212" ht="13.5" customHeight="1">
      <c r="B212" s="50" t="s">
        <v>20</v>
      </c>
      <c r="C212" s="50">
        <v>3.30421628E8</v>
      </c>
      <c r="D212" s="50" t="s">
        <v>172</v>
      </c>
      <c r="E212" s="55">
        <v>3224.92</v>
      </c>
      <c r="F212" s="50">
        <v>3224.92</v>
      </c>
      <c r="J212" s="241">
        <v>45684.0</v>
      </c>
      <c r="K212" s="241">
        <v>45684.0</v>
      </c>
      <c r="M212" s="50" t="s">
        <v>20</v>
      </c>
      <c r="N212" s="50">
        <v>3.30421628E8</v>
      </c>
      <c r="O212" s="50">
        <v>170288.0</v>
      </c>
      <c r="Q212" s="50" t="s">
        <v>377</v>
      </c>
      <c r="R212" s="50">
        <v>170288.0</v>
      </c>
    </row>
    <row r="213" ht="13.5" customHeight="1">
      <c r="B213" s="50" t="s">
        <v>20</v>
      </c>
      <c r="C213" s="50">
        <v>3.30421629E8</v>
      </c>
      <c r="D213" s="50" t="s">
        <v>172</v>
      </c>
      <c r="E213" s="55">
        <v>1243.63</v>
      </c>
      <c r="F213" s="50">
        <v>1243.63</v>
      </c>
      <c r="J213" s="241">
        <v>45684.0</v>
      </c>
      <c r="K213" s="241">
        <v>45684.0</v>
      </c>
      <c r="M213" s="50" t="s">
        <v>20</v>
      </c>
      <c r="N213" s="50">
        <v>3.30421629E8</v>
      </c>
      <c r="O213" s="50">
        <v>170288.0</v>
      </c>
      <c r="Q213" s="50" t="s">
        <v>378</v>
      </c>
      <c r="R213" s="50">
        <v>170288.0</v>
      </c>
    </row>
    <row r="214" ht="13.5" customHeight="1">
      <c r="B214" s="50" t="s">
        <v>20</v>
      </c>
      <c r="C214" s="50">
        <v>3.3042163E8</v>
      </c>
      <c r="D214" s="50" t="s">
        <v>172</v>
      </c>
      <c r="E214" s="55">
        <v>1672.98</v>
      </c>
      <c r="F214" s="50">
        <v>1672.98</v>
      </c>
      <c r="J214" s="241">
        <v>45684.0</v>
      </c>
      <c r="K214" s="241">
        <v>45684.0</v>
      </c>
      <c r="M214" s="50" t="s">
        <v>20</v>
      </c>
      <c r="N214" s="50">
        <v>3.3042163E8</v>
      </c>
      <c r="O214" s="50">
        <v>170288.0</v>
      </c>
      <c r="Q214" s="50" t="s">
        <v>379</v>
      </c>
      <c r="R214" s="50">
        <v>170288.0</v>
      </c>
    </row>
    <row r="215" ht="13.5" customHeight="1">
      <c r="B215" s="50" t="s">
        <v>20</v>
      </c>
      <c r="C215" s="50">
        <v>3.30421631E8</v>
      </c>
      <c r="D215" s="50" t="s">
        <v>172</v>
      </c>
      <c r="E215" s="50">
        <v>621.81</v>
      </c>
      <c r="F215" s="50">
        <v>621.81</v>
      </c>
      <c r="J215" s="241">
        <v>45684.0</v>
      </c>
      <c r="K215" s="241">
        <v>45684.0</v>
      </c>
      <c r="M215" s="50" t="s">
        <v>20</v>
      </c>
      <c r="N215" s="50">
        <v>3.30421631E8</v>
      </c>
      <c r="O215" s="50">
        <v>170288.0</v>
      </c>
      <c r="Q215" s="50" t="s">
        <v>380</v>
      </c>
      <c r="R215" s="50">
        <v>170288.0</v>
      </c>
    </row>
    <row r="216" ht="13.5" customHeight="1">
      <c r="B216" s="50" t="s">
        <v>20</v>
      </c>
      <c r="C216" s="50">
        <v>3.30421632E8</v>
      </c>
      <c r="D216" s="50" t="s">
        <v>172</v>
      </c>
      <c r="E216" s="55">
        <v>1082.62</v>
      </c>
      <c r="F216" s="50">
        <v>1082.62</v>
      </c>
      <c r="J216" s="241">
        <v>45684.0</v>
      </c>
      <c r="K216" s="241">
        <v>45684.0</v>
      </c>
      <c r="M216" s="50" t="s">
        <v>20</v>
      </c>
      <c r="N216" s="50">
        <v>3.30421632E8</v>
      </c>
      <c r="O216" s="50">
        <v>170288.0</v>
      </c>
      <c r="Q216" s="50" t="s">
        <v>381</v>
      </c>
      <c r="R216" s="50">
        <v>170288.0</v>
      </c>
    </row>
    <row r="217" ht="13.5" customHeight="1">
      <c r="B217" s="50" t="s">
        <v>20</v>
      </c>
      <c r="C217" s="50">
        <v>3.30421634E8</v>
      </c>
      <c r="D217" s="50" t="s">
        <v>172</v>
      </c>
      <c r="E217" s="55">
        <v>1350.82</v>
      </c>
      <c r="F217" s="50">
        <v>1350.82</v>
      </c>
      <c r="J217" s="241">
        <v>45684.0</v>
      </c>
      <c r="K217" s="241">
        <v>45684.0</v>
      </c>
      <c r="M217" s="50" t="s">
        <v>20</v>
      </c>
      <c r="N217" s="50">
        <v>3.30421634E8</v>
      </c>
      <c r="O217" s="50">
        <v>170288.0</v>
      </c>
      <c r="Q217" s="50" t="s">
        <v>382</v>
      </c>
      <c r="R217" s="50">
        <v>170288.0</v>
      </c>
    </row>
    <row r="218" ht="13.5" customHeight="1">
      <c r="B218" s="50" t="s">
        <v>20</v>
      </c>
      <c r="C218" s="50">
        <v>3.30421635E8</v>
      </c>
      <c r="D218" s="50" t="s">
        <v>172</v>
      </c>
      <c r="E218" s="55">
        <v>1350.82</v>
      </c>
      <c r="F218" s="50">
        <v>1350.82</v>
      </c>
      <c r="J218" s="241">
        <v>45684.0</v>
      </c>
      <c r="K218" s="241">
        <v>45684.0</v>
      </c>
      <c r="M218" s="50" t="s">
        <v>20</v>
      </c>
      <c r="N218" s="50">
        <v>3.30421635E8</v>
      </c>
      <c r="O218" s="50">
        <v>170288.0</v>
      </c>
      <c r="Q218" s="50" t="s">
        <v>383</v>
      </c>
      <c r="R218" s="50">
        <v>170288.0</v>
      </c>
    </row>
    <row r="219" ht="13.5" customHeight="1">
      <c r="B219" s="50" t="s">
        <v>20</v>
      </c>
      <c r="C219" s="50">
        <v>3.30421636E8</v>
      </c>
      <c r="D219" s="50" t="s">
        <v>172</v>
      </c>
      <c r="E219" s="55">
        <v>1565.64</v>
      </c>
      <c r="F219" s="50">
        <v>1565.64</v>
      </c>
      <c r="J219" s="241">
        <v>45684.0</v>
      </c>
      <c r="K219" s="241">
        <v>45684.0</v>
      </c>
      <c r="M219" s="50" t="s">
        <v>20</v>
      </c>
      <c r="N219" s="50">
        <v>3.30421636E8</v>
      </c>
      <c r="O219" s="50">
        <v>170288.0</v>
      </c>
      <c r="Q219" s="50" t="s">
        <v>384</v>
      </c>
      <c r="R219" s="50">
        <v>170288.0</v>
      </c>
    </row>
    <row r="220" ht="13.5" customHeight="1">
      <c r="B220" s="50" t="s">
        <v>20</v>
      </c>
      <c r="C220" s="50">
        <v>3.30421637E8</v>
      </c>
      <c r="D220" s="50" t="s">
        <v>172</v>
      </c>
      <c r="E220" s="50">
        <v>229.2</v>
      </c>
      <c r="F220" s="50">
        <v>229.2</v>
      </c>
      <c r="J220" s="241">
        <v>45684.0</v>
      </c>
      <c r="K220" s="241">
        <v>45684.0</v>
      </c>
      <c r="M220" s="50" t="s">
        <v>20</v>
      </c>
      <c r="N220" s="50">
        <v>3.30421637E8</v>
      </c>
      <c r="O220" s="50">
        <v>170288.0</v>
      </c>
      <c r="Q220" s="50" t="s">
        <v>385</v>
      </c>
      <c r="R220" s="50">
        <v>170288.0</v>
      </c>
    </row>
    <row r="221" ht="13.5" customHeight="1">
      <c r="B221" s="50" t="s">
        <v>20</v>
      </c>
      <c r="C221" s="50">
        <v>3.30421638E8</v>
      </c>
      <c r="D221" s="50" t="s">
        <v>172</v>
      </c>
      <c r="E221" s="55">
        <v>1672.98</v>
      </c>
      <c r="F221" s="50">
        <v>1672.98</v>
      </c>
      <c r="J221" s="241">
        <v>45684.0</v>
      </c>
      <c r="K221" s="241">
        <v>45684.0</v>
      </c>
      <c r="M221" s="50" t="s">
        <v>20</v>
      </c>
      <c r="N221" s="50">
        <v>3.30421638E8</v>
      </c>
      <c r="O221" s="50">
        <v>170288.0</v>
      </c>
      <c r="Q221" s="50" t="s">
        <v>386</v>
      </c>
      <c r="R221" s="50">
        <v>170288.0</v>
      </c>
    </row>
    <row r="222" ht="13.5" customHeight="1">
      <c r="B222" s="50" t="s">
        <v>20</v>
      </c>
      <c r="C222" s="50">
        <v>3.30421639E8</v>
      </c>
      <c r="D222" s="50" t="s">
        <v>172</v>
      </c>
      <c r="E222" s="55">
        <v>1398.52</v>
      </c>
      <c r="F222" s="50">
        <v>1398.52</v>
      </c>
      <c r="J222" s="241">
        <v>45684.0</v>
      </c>
      <c r="K222" s="241">
        <v>45684.0</v>
      </c>
      <c r="M222" s="50" t="s">
        <v>20</v>
      </c>
      <c r="N222" s="50">
        <v>3.30421639E8</v>
      </c>
      <c r="O222" s="50">
        <v>170288.0</v>
      </c>
      <c r="Q222" s="50" t="s">
        <v>387</v>
      </c>
      <c r="R222" s="50">
        <v>170288.0</v>
      </c>
    </row>
    <row r="223" ht="13.5" customHeight="1">
      <c r="B223" s="50" t="s">
        <v>20</v>
      </c>
      <c r="C223" s="50">
        <v>3.3042164E8</v>
      </c>
      <c r="D223" s="50" t="s">
        <v>172</v>
      </c>
      <c r="E223" s="50">
        <v>17.93</v>
      </c>
      <c r="F223" s="50">
        <v>17.93</v>
      </c>
      <c r="J223" s="241">
        <v>45684.0</v>
      </c>
      <c r="K223" s="241">
        <v>45684.0</v>
      </c>
      <c r="M223" s="50" t="s">
        <v>20</v>
      </c>
      <c r="N223" s="50">
        <v>3.3042164E8</v>
      </c>
      <c r="O223" s="50">
        <v>170288.0</v>
      </c>
      <c r="Q223" s="50" t="s">
        <v>388</v>
      </c>
      <c r="R223" s="50">
        <v>170288.0</v>
      </c>
    </row>
    <row r="224" ht="13.5" customHeight="1">
      <c r="B224" s="50" t="s">
        <v>20</v>
      </c>
      <c r="C224" s="50">
        <v>3.30421641E8</v>
      </c>
      <c r="D224" s="50" t="s">
        <v>172</v>
      </c>
      <c r="E224" s="55">
        <v>1672.98</v>
      </c>
      <c r="F224" s="50">
        <v>1672.98</v>
      </c>
      <c r="J224" s="241">
        <v>45684.0</v>
      </c>
      <c r="K224" s="241">
        <v>45684.0</v>
      </c>
      <c r="M224" s="50" t="s">
        <v>20</v>
      </c>
      <c r="N224" s="50">
        <v>3.30421641E8</v>
      </c>
      <c r="O224" s="50">
        <v>170288.0</v>
      </c>
      <c r="Q224" s="50" t="s">
        <v>389</v>
      </c>
      <c r="R224" s="50">
        <v>170288.0</v>
      </c>
    </row>
    <row r="225" ht="13.5" customHeight="1">
      <c r="B225" s="50" t="s">
        <v>20</v>
      </c>
      <c r="C225" s="50">
        <v>3.30421642E8</v>
      </c>
      <c r="D225" s="50" t="s">
        <v>172</v>
      </c>
      <c r="E225" s="50">
        <v>460.76</v>
      </c>
      <c r="F225" s="50">
        <v>460.76</v>
      </c>
      <c r="J225" s="241">
        <v>45684.0</v>
      </c>
      <c r="K225" s="241">
        <v>45684.0</v>
      </c>
      <c r="M225" s="50" t="s">
        <v>20</v>
      </c>
      <c r="N225" s="50">
        <v>3.30421642E8</v>
      </c>
      <c r="O225" s="50">
        <v>170288.0</v>
      </c>
      <c r="Q225" s="50" t="s">
        <v>390</v>
      </c>
      <c r="R225" s="50">
        <v>170288.0</v>
      </c>
    </row>
    <row r="226" ht="13.5" customHeight="1">
      <c r="B226" s="50" t="s">
        <v>20</v>
      </c>
      <c r="C226" s="50">
        <v>3.30421643E8</v>
      </c>
      <c r="D226" s="50" t="s">
        <v>172</v>
      </c>
      <c r="E226" s="55">
        <v>1398.52</v>
      </c>
      <c r="F226" s="50">
        <v>1398.52</v>
      </c>
      <c r="J226" s="241">
        <v>45684.0</v>
      </c>
      <c r="K226" s="241">
        <v>45684.0</v>
      </c>
      <c r="M226" s="50" t="s">
        <v>20</v>
      </c>
      <c r="N226" s="50">
        <v>3.30421643E8</v>
      </c>
      <c r="O226" s="50">
        <v>170288.0</v>
      </c>
      <c r="Q226" s="50" t="s">
        <v>391</v>
      </c>
      <c r="R226" s="50">
        <v>170288.0</v>
      </c>
    </row>
    <row r="227" ht="13.5" customHeight="1">
      <c r="B227" s="50" t="s">
        <v>20</v>
      </c>
      <c r="C227" s="50">
        <v>3.30421644E8</v>
      </c>
      <c r="D227" s="50" t="s">
        <v>172</v>
      </c>
      <c r="E227" s="55">
        <v>1565.64</v>
      </c>
      <c r="F227" s="50">
        <v>1565.64</v>
      </c>
      <c r="J227" s="241">
        <v>45684.0</v>
      </c>
      <c r="K227" s="241">
        <v>45684.0</v>
      </c>
      <c r="M227" s="50" t="s">
        <v>20</v>
      </c>
      <c r="N227" s="50">
        <v>3.30421644E8</v>
      </c>
      <c r="O227" s="50">
        <v>170288.0</v>
      </c>
      <c r="Q227" s="50" t="s">
        <v>392</v>
      </c>
      <c r="R227" s="50">
        <v>170288.0</v>
      </c>
    </row>
    <row r="228" ht="13.5" customHeight="1">
      <c r="B228" s="50" t="s">
        <v>20</v>
      </c>
      <c r="C228" s="50">
        <v>3.30421645E8</v>
      </c>
      <c r="D228" s="50" t="s">
        <v>172</v>
      </c>
      <c r="E228" s="50">
        <v>699.26</v>
      </c>
      <c r="F228" s="50">
        <v>699.26</v>
      </c>
      <c r="J228" s="241">
        <v>45684.0</v>
      </c>
      <c r="K228" s="241">
        <v>45684.0</v>
      </c>
      <c r="M228" s="50" t="s">
        <v>20</v>
      </c>
      <c r="N228" s="50">
        <v>3.30421645E8</v>
      </c>
      <c r="O228" s="50">
        <v>170288.0</v>
      </c>
      <c r="Q228" s="50" t="s">
        <v>393</v>
      </c>
      <c r="R228" s="50">
        <v>170288.0</v>
      </c>
    </row>
    <row r="229" ht="13.5" customHeight="1">
      <c r="B229" s="50" t="s">
        <v>20</v>
      </c>
      <c r="C229" s="50">
        <v>3.30421646E8</v>
      </c>
      <c r="D229" s="50" t="s">
        <v>172</v>
      </c>
      <c r="E229" s="50">
        <v>60.01</v>
      </c>
      <c r="F229" s="50">
        <v>60.01</v>
      </c>
      <c r="J229" s="241">
        <v>45684.0</v>
      </c>
      <c r="K229" s="241">
        <v>45684.0</v>
      </c>
      <c r="M229" s="50" t="s">
        <v>20</v>
      </c>
      <c r="N229" s="50">
        <v>3.30421646E8</v>
      </c>
      <c r="O229" s="50">
        <v>170288.0</v>
      </c>
      <c r="Q229" s="50" t="s">
        <v>394</v>
      </c>
      <c r="R229" s="50">
        <v>170288.0</v>
      </c>
    </row>
    <row r="230" ht="13.5" customHeight="1">
      <c r="B230" s="50" t="s">
        <v>20</v>
      </c>
      <c r="C230" s="50">
        <v>3.30421647E8</v>
      </c>
      <c r="D230" s="50" t="s">
        <v>172</v>
      </c>
      <c r="E230" s="55">
        <v>1672.98</v>
      </c>
      <c r="F230" s="50">
        <v>1672.98</v>
      </c>
      <c r="J230" s="241">
        <v>45684.0</v>
      </c>
      <c r="K230" s="241">
        <v>45684.0</v>
      </c>
      <c r="M230" s="50" t="s">
        <v>20</v>
      </c>
      <c r="N230" s="50">
        <v>3.30421647E8</v>
      </c>
      <c r="O230" s="50">
        <v>170288.0</v>
      </c>
      <c r="Q230" s="50" t="s">
        <v>395</v>
      </c>
      <c r="R230" s="50">
        <v>170288.0</v>
      </c>
    </row>
    <row r="231" ht="13.5" customHeight="1">
      <c r="B231" s="50" t="s">
        <v>20</v>
      </c>
      <c r="C231" s="50">
        <v>3.30421648E8</v>
      </c>
      <c r="D231" s="50" t="s">
        <v>172</v>
      </c>
      <c r="E231" s="55">
        <v>1493.92</v>
      </c>
      <c r="F231" s="50">
        <v>1493.92</v>
      </c>
      <c r="J231" s="241">
        <v>45684.0</v>
      </c>
      <c r="K231" s="241">
        <v>45684.0</v>
      </c>
      <c r="M231" s="50" t="s">
        <v>20</v>
      </c>
      <c r="N231" s="50">
        <v>3.30421648E8</v>
      </c>
      <c r="O231" s="50">
        <v>170288.0</v>
      </c>
      <c r="Q231" s="50" t="s">
        <v>196</v>
      </c>
      <c r="R231" s="50">
        <v>170288.0</v>
      </c>
    </row>
    <row r="232" ht="13.5" customHeight="1">
      <c r="B232" s="50" t="s">
        <v>20</v>
      </c>
      <c r="C232" s="50">
        <v>3.30421649E8</v>
      </c>
      <c r="D232" s="50" t="s">
        <v>172</v>
      </c>
      <c r="E232" s="55">
        <v>1350.82</v>
      </c>
      <c r="F232" s="50">
        <v>1350.82</v>
      </c>
      <c r="J232" s="241">
        <v>45684.0</v>
      </c>
      <c r="K232" s="241">
        <v>45684.0</v>
      </c>
      <c r="M232" s="50" t="s">
        <v>20</v>
      </c>
      <c r="N232" s="50">
        <v>3.30421649E8</v>
      </c>
      <c r="O232" s="50">
        <v>170288.0</v>
      </c>
      <c r="Q232" s="50" t="s">
        <v>396</v>
      </c>
      <c r="R232" s="50">
        <v>170288.0</v>
      </c>
    </row>
    <row r="233" ht="13.5" customHeight="1">
      <c r="B233" s="50" t="s">
        <v>20</v>
      </c>
      <c r="C233" s="50">
        <v>3.3042165E8</v>
      </c>
      <c r="D233" s="50" t="s">
        <v>172</v>
      </c>
      <c r="E233" s="55">
        <v>1842.49</v>
      </c>
      <c r="F233" s="50">
        <v>1842.49</v>
      </c>
      <c r="J233" s="241">
        <v>45684.0</v>
      </c>
      <c r="K233" s="241">
        <v>45684.0</v>
      </c>
      <c r="M233" s="50" t="s">
        <v>20</v>
      </c>
      <c r="N233" s="50">
        <v>3.3042165E8</v>
      </c>
      <c r="O233" s="50">
        <v>170288.0</v>
      </c>
      <c r="Q233" s="50" t="s">
        <v>397</v>
      </c>
      <c r="R233" s="50">
        <v>170288.0</v>
      </c>
    </row>
    <row r="234" ht="13.5" customHeight="1">
      <c r="B234" s="50" t="s">
        <v>20</v>
      </c>
      <c r="C234" s="50">
        <v>3.30421651E8</v>
      </c>
      <c r="D234" s="50" t="s">
        <v>172</v>
      </c>
      <c r="E234" s="55">
        <v>1672.98</v>
      </c>
      <c r="F234" s="50">
        <v>1672.98</v>
      </c>
      <c r="J234" s="241">
        <v>45684.0</v>
      </c>
      <c r="K234" s="241">
        <v>45684.0</v>
      </c>
      <c r="M234" s="50" t="s">
        <v>20</v>
      </c>
      <c r="N234" s="50">
        <v>3.30421651E8</v>
      </c>
      <c r="O234" s="50">
        <v>170288.0</v>
      </c>
      <c r="Q234" s="50" t="s">
        <v>398</v>
      </c>
      <c r="R234" s="50">
        <v>170288.0</v>
      </c>
    </row>
    <row r="235" ht="13.5" customHeight="1">
      <c r="B235" s="50" t="s">
        <v>20</v>
      </c>
      <c r="C235" s="50">
        <v>3.30421652E8</v>
      </c>
      <c r="D235" s="50" t="s">
        <v>172</v>
      </c>
      <c r="E235" s="55">
        <v>1350.82</v>
      </c>
      <c r="F235" s="50">
        <v>1350.82</v>
      </c>
      <c r="J235" s="241">
        <v>45684.0</v>
      </c>
      <c r="K235" s="241">
        <v>45684.0</v>
      </c>
      <c r="M235" s="50" t="s">
        <v>20</v>
      </c>
      <c r="N235" s="50">
        <v>3.30421652E8</v>
      </c>
      <c r="O235" s="50">
        <v>170288.0</v>
      </c>
      <c r="Q235" s="50" t="s">
        <v>399</v>
      </c>
      <c r="R235" s="50">
        <v>170288.0</v>
      </c>
    </row>
    <row r="236" ht="13.5" customHeight="1">
      <c r="B236" s="50" t="s">
        <v>20</v>
      </c>
      <c r="C236" s="50">
        <v>3.30421653E8</v>
      </c>
      <c r="D236" s="50" t="s">
        <v>172</v>
      </c>
      <c r="E236" s="55">
        <v>1064.61</v>
      </c>
      <c r="F236" s="50">
        <v>1064.61</v>
      </c>
      <c r="J236" s="241">
        <v>45684.0</v>
      </c>
      <c r="K236" s="241">
        <v>45684.0</v>
      </c>
      <c r="M236" s="50" t="s">
        <v>20</v>
      </c>
      <c r="N236" s="50">
        <v>3.30421653E8</v>
      </c>
      <c r="O236" s="50">
        <v>170288.0</v>
      </c>
      <c r="Q236" s="50" t="s">
        <v>400</v>
      </c>
      <c r="R236" s="50">
        <v>170288.0</v>
      </c>
    </row>
    <row r="237" ht="13.5" customHeight="1">
      <c r="B237" s="50" t="s">
        <v>20</v>
      </c>
      <c r="C237" s="50">
        <v>3.30421654E8</v>
      </c>
      <c r="D237" s="50" t="s">
        <v>172</v>
      </c>
      <c r="E237" s="55">
        <v>1672.98</v>
      </c>
      <c r="F237" s="50">
        <v>1672.98</v>
      </c>
      <c r="J237" s="241">
        <v>45684.0</v>
      </c>
      <c r="K237" s="241">
        <v>45684.0</v>
      </c>
      <c r="M237" s="50" t="s">
        <v>20</v>
      </c>
      <c r="N237" s="50">
        <v>3.30421654E8</v>
      </c>
      <c r="O237" s="50">
        <v>170288.0</v>
      </c>
      <c r="Q237" s="50" t="s">
        <v>401</v>
      </c>
      <c r="R237" s="50">
        <v>170288.0</v>
      </c>
    </row>
    <row r="238" ht="13.5" customHeight="1">
      <c r="B238" s="50" t="s">
        <v>20</v>
      </c>
      <c r="C238" s="50">
        <v>3.30421655E8</v>
      </c>
      <c r="D238" s="50" t="s">
        <v>172</v>
      </c>
      <c r="E238" s="55">
        <v>1064.61</v>
      </c>
      <c r="F238" s="50">
        <v>1064.61</v>
      </c>
      <c r="J238" s="241">
        <v>45684.0</v>
      </c>
      <c r="K238" s="241">
        <v>45684.0</v>
      </c>
      <c r="M238" s="50" t="s">
        <v>20</v>
      </c>
      <c r="N238" s="50">
        <v>3.30421655E8</v>
      </c>
      <c r="O238" s="50">
        <v>170288.0</v>
      </c>
      <c r="Q238" s="50" t="s">
        <v>402</v>
      </c>
      <c r="R238" s="50">
        <v>170288.0</v>
      </c>
    </row>
    <row r="239" ht="13.5" customHeight="1">
      <c r="B239" s="50" t="s">
        <v>20</v>
      </c>
      <c r="C239" s="50">
        <v>3.30421656E8</v>
      </c>
      <c r="D239" s="50" t="s">
        <v>172</v>
      </c>
      <c r="E239" s="55">
        <v>1543.92</v>
      </c>
      <c r="F239" s="50">
        <v>1543.92</v>
      </c>
      <c r="J239" s="241">
        <v>45684.0</v>
      </c>
      <c r="K239" s="241">
        <v>45684.0</v>
      </c>
      <c r="M239" s="50" t="s">
        <v>20</v>
      </c>
      <c r="N239" s="50">
        <v>3.30421656E8</v>
      </c>
      <c r="O239" s="50">
        <v>170288.0</v>
      </c>
      <c r="Q239" s="50" t="s">
        <v>403</v>
      </c>
      <c r="R239" s="50">
        <v>170288.0</v>
      </c>
    </row>
    <row r="240" ht="13.5" customHeight="1">
      <c r="B240" s="50" t="s">
        <v>20</v>
      </c>
      <c r="C240" s="50">
        <v>3.30421657E8</v>
      </c>
      <c r="D240" s="50" t="s">
        <v>172</v>
      </c>
      <c r="E240" s="50">
        <v>921.61</v>
      </c>
      <c r="F240" s="50">
        <v>921.61</v>
      </c>
      <c r="J240" s="241">
        <v>45684.0</v>
      </c>
      <c r="K240" s="241">
        <v>45684.0</v>
      </c>
      <c r="M240" s="50" t="s">
        <v>20</v>
      </c>
      <c r="N240" s="50">
        <v>3.30421657E8</v>
      </c>
      <c r="O240" s="50">
        <v>170288.0</v>
      </c>
      <c r="Q240" s="50" t="s">
        <v>404</v>
      </c>
      <c r="R240" s="50">
        <v>170288.0</v>
      </c>
    </row>
    <row r="241" ht="13.5" customHeight="1">
      <c r="B241" s="50" t="s">
        <v>20</v>
      </c>
      <c r="C241" s="50">
        <v>3.30421658E8</v>
      </c>
      <c r="D241" s="50" t="s">
        <v>172</v>
      </c>
      <c r="E241" s="55">
        <v>1493.92</v>
      </c>
      <c r="F241" s="50">
        <v>1493.92</v>
      </c>
      <c r="J241" s="241">
        <v>45684.0</v>
      </c>
      <c r="K241" s="241">
        <v>45684.0</v>
      </c>
      <c r="M241" s="50" t="s">
        <v>20</v>
      </c>
      <c r="N241" s="50">
        <v>3.30421658E8</v>
      </c>
      <c r="O241" s="50">
        <v>170288.0</v>
      </c>
      <c r="Q241" s="50" t="s">
        <v>405</v>
      </c>
      <c r="R241" s="50">
        <v>170288.0</v>
      </c>
    </row>
    <row r="242" ht="13.5" customHeight="1">
      <c r="B242" s="50" t="s">
        <v>20</v>
      </c>
      <c r="C242" s="50">
        <v>3.30421659E8</v>
      </c>
      <c r="D242" s="50" t="s">
        <v>172</v>
      </c>
      <c r="E242" s="55">
        <v>1189.96</v>
      </c>
      <c r="F242" s="50">
        <v>1189.96</v>
      </c>
      <c r="J242" s="241">
        <v>45684.0</v>
      </c>
      <c r="K242" s="241">
        <v>45684.0</v>
      </c>
      <c r="M242" s="50" t="s">
        <v>20</v>
      </c>
      <c r="N242" s="50">
        <v>3.30421659E8</v>
      </c>
      <c r="O242" s="50">
        <v>170288.0</v>
      </c>
      <c r="Q242" s="50" t="s">
        <v>406</v>
      </c>
      <c r="R242" s="50">
        <v>170288.0</v>
      </c>
    </row>
    <row r="243" ht="13.5" customHeight="1">
      <c r="B243" s="50" t="s">
        <v>20</v>
      </c>
      <c r="C243" s="50">
        <v>3.3042166E8</v>
      </c>
      <c r="D243" s="50" t="s">
        <v>172</v>
      </c>
      <c r="E243" s="55">
        <v>1493.92</v>
      </c>
      <c r="F243" s="50">
        <v>1493.92</v>
      </c>
      <c r="J243" s="241">
        <v>45684.0</v>
      </c>
      <c r="K243" s="241">
        <v>45684.0</v>
      </c>
      <c r="M243" s="50" t="s">
        <v>20</v>
      </c>
      <c r="N243" s="50">
        <v>3.3042166E8</v>
      </c>
      <c r="O243" s="50">
        <v>170288.0</v>
      </c>
      <c r="Q243" s="50" t="s">
        <v>407</v>
      </c>
      <c r="R243" s="50">
        <v>170288.0</v>
      </c>
    </row>
    <row r="244" ht="13.5" customHeight="1">
      <c r="B244" s="50" t="s">
        <v>20</v>
      </c>
      <c r="C244" s="50">
        <v>3.30421661E8</v>
      </c>
      <c r="D244" s="50" t="s">
        <v>172</v>
      </c>
      <c r="E244" s="55">
        <v>1255.42</v>
      </c>
      <c r="F244" s="50">
        <v>1255.42</v>
      </c>
      <c r="J244" s="241">
        <v>45684.0</v>
      </c>
      <c r="K244" s="241">
        <v>45684.0</v>
      </c>
      <c r="M244" s="50" t="s">
        <v>20</v>
      </c>
      <c r="N244" s="50">
        <v>3.30421661E8</v>
      </c>
      <c r="O244" s="50">
        <v>170288.0</v>
      </c>
      <c r="Q244" s="50" t="s">
        <v>408</v>
      </c>
      <c r="R244" s="50">
        <v>170288.0</v>
      </c>
    </row>
    <row r="245" ht="13.5" customHeight="1">
      <c r="B245" s="50" t="s">
        <v>20</v>
      </c>
      <c r="C245" s="50">
        <v>3.30421662E8</v>
      </c>
      <c r="D245" s="50" t="s">
        <v>172</v>
      </c>
      <c r="E245" s="50">
        <v>460.76</v>
      </c>
      <c r="F245" s="50">
        <v>460.76</v>
      </c>
      <c r="J245" s="241">
        <v>45684.0</v>
      </c>
      <c r="K245" s="241">
        <v>45684.0</v>
      </c>
      <c r="M245" s="50" t="s">
        <v>20</v>
      </c>
      <c r="N245" s="50">
        <v>3.30421662E8</v>
      </c>
      <c r="O245" s="50">
        <v>170288.0</v>
      </c>
      <c r="Q245" s="50" t="s">
        <v>409</v>
      </c>
      <c r="R245" s="50">
        <v>170288.0</v>
      </c>
    </row>
    <row r="246" ht="13.5" customHeight="1">
      <c r="B246" s="50" t="s">
        <v>20</v>
      </c>
      <c r="C246" s="50">
        <v>3.30421663E8</v>
      </c>
      <c r="D246" s="50" t="s">
        <v>172</v>
      </c>
      <c r="E246" s="50">
        <v>826.11</v>
      </c>
      <c r="F246" s="50">
        <v>826.11</v>
      </c>
      <c r="J246" s="241">
        <v>45684.0</v>
      </c>
      <c r="K246" s="241">
        <v>45684.0</v>
      </c>
      <c r="M246" s="50" t="s">
        <v>20</v>
      </c>
      <c r="N246" s="50">
        <v>3.30421663E8</v>
      </c>
      <c r="O246" s="50">
        <v>170288.0</v>
      </c>
      <c r="Q246" s="50" t="s">
        <v>410</v>
      </c>
      <c r="R246" s="50">
        <v>170288.0</v>
      </c>
    </row>
    <row r="247" ht="13.5" customHeight="1">
      <c r="B247" s="50" t="s">
        <v>20</v>
      </c>
      <c r="C247" s="50">
        <v>3.30421664E8</v>
      </c>
      <c r="D247" s="50" t="s">
        <v>172</v>
      </c>
      <c r="E247" s="55">
        <v>1511.97</v>
      </c>
      <c r="F247" s="50">
        <v>1511.97</v>
      </c>
      <c r="J247" s="241">
        <v>45684.0</v>
      </c>
      <c r="K247" s="241">
        <v>45684.0</v>
      </c>
      <c r="M247" s="50" t="s">
        <v>20</v>
      </c>
      <c r="N247" s="50">
        <v>3.30421664E8</v>
      </c>
      <c r="O247" s="50">
        <v>170288.0</v>
      </c>
      <c r="Q247" s="50" t="s">
        <v>411</v>
      </c>
      <c r="R247" s="50">
        <v>170288.0</v>
      </c>
    </row>
    <row r="248" ht="13.5" customHeight="1">
      <c r="B248" s="50" t="s">
        <v>20</v>
      </c>
      <c r="C248" s="50">
        <v>3.30421665E8</v>
      </c>
      <c r="D248" s="50" t="s">
        <v>172</v>
      </c>
      <c r="E248" s="55">
        <v>1493.92</v>
      </c>
      <c r="F248" s="50">
        <v>1493.92</v>
      </c>
      <c r="J248" s="241">
        <v>45684.0</v>
      </c>
      <c r="K248" s="241">
        <v>45684.0</v>
      </c>
      <c r="M248" s="50" t="s">
        <v>20</v>
      </c>
      <c r="N248" s="50">
        <v>3.30421665E8</v>
      </c>
      <c r="O248" s="50">
        <v>170288.0</v>
      </c>
      <c r="Q248" s="50" t="s">
        <v>412</v>
      </c>
      <c r="R248" s="50">
        <v>170288.0</v>
      </c>
    </row>
    <row r="249" ht="13.5" customHeight="1">
      <c r="B249" s="50" t="s">
        <v>20</v>
      </c>
      <c r="C249" s="50">
        <v>3.30421666E8</v>
      </c>
      <c r="D249" s="50" t="s">
        <v>172</v>
      </c>
      <c r="E249" s="55">
        <v>1672.98</v>
      </c>
      <c r="F249" s="50">
        <v>1672.98</v>
      </c>
      <c r="J249" s="241">
        <v>45684.0</v>
      </c>
      <c r="K249" s="241">
        <v>45684.0</v>
      </c>
      <c r="M249" s="50" t="s">
        <v>20</v>
      </c>
      <c r="N249" s="50">
        <v>3.30421666E8</v>
      </c>
      <c r="O249" s="50">
        <v>170288.0</v>
      </c>
      <c r="Q249" s="50" t="s">
        <v>413</v>
      </c>
      <c r="R249" s="50">
        <v>170288.0</v>
      </c>
    </row>
    <row r="250" ht="13.5" customHeight="1">
      <c r="B250" s="50" t="s">
        <v>20</v>
      </c>
      <c r="C250" s="50">
        <v>3.30421667E8</v>
      </c>
      <c r="D250" s="50" t="s">
        <v>172</v>
      </c>
      <c r="E250" s="55">
        <v>1493.92</v>
      </c>
      <c r="F250" s="50">
        <v>1493.92</v>
      </c>
      <c r="J250" s="241">
        <v>45684.0</v>
      </c>
      <c r="K250" s="241">
        <v>45684.0</v>
      </c>
      <c r="M250" s="50" t="s">
        <v>20</v>
      </c>
      <c r="N250" s="50">
        <v>3.30421667E8</v>
      </c>
      <c r="O250" s="50">
        <v>170288.0</v>
      </c>
      <c r="Q250" s="50" t="s">
        <v>414</v>
      </c>
      <c r="R250" s="50">
        <v>170288.0</v>
      </c>
    </row>
    <row r="251" ht="13.5" customHeight="1">
      <c r="B251" s="50" t="s">
        <v>20</v>
      </c>
      <c r="C251" s="50">
        <v>3.30421668E8</v>
      </c>
      <c r="D251" s="50" t="s">
        <v>172</v>
      </c>
      <c r="E251" s="55">
        <v>1565.64</v>
      </c>
      <c r="F251" s="50">
        <v>1565.64</v>
      </c>
      <c r="J251" s="241">
        <v>45684.0</v>
      </c>
      <c r="K251" s="241">
        <v>45684.0</v>
      </c>
      <c r="M251" s="50" t="s">
        <v>20</v>
      </c>
      <c r="N251" s="50">
        <v>3.30421668E8</v>
      </c>
      <c r="O251" s="50">
        <v>170288.0</v>
      </c>
      <c r="Q251" s="50" t="s">
        <v>415</v>
      </c>
      <c r="R251" s="50">
        <v>170288.0</v>
      </c>
    </row>
    <row r="252" ht="13.5" customHeight="1">
      <c r="B252" s="50" t="s">
        <v>20</v>
      </c>
      <c r="C252" s="50">
        <v>3.30421669E8</v>
      </c>
      <c r="D252" s="50" t="s">
        <v>172</v>
      </c>
      <c r="E252" s="50">
        <v>729.15</v>
      </c>
      <c r="F252" s="50">
        <v>729.15</v>
      </c>
      <c r="J252" s="241">
        <v>45684.0</v>
      </c>
      <c r="K252" s="241">
        <v>45684.0</v>
      </c>
      <c r="M252" s="50" t="s">
        <v>20</v>
      </c>
      <c r="N252" s="50">
        <v>3.30421669E8</v>
      </c>
      <c r="O252" s="50">
        <v>170288.0</v>
      </c>
      <c r="Q252" s="50" t="s">
        <v>416</v>
      </c>
      <c r="R252" s="50">
        <v>170288.0</v>
      </c>
    </row>
    <row r="253" ht="13.5" customHeight="1">
      <c r="B253" s="50" t="s">
        <v>20</v>
      </c>
      <c r="C253" s="50">
        <v>3.3042167E8</v>
      </c>
      <c r="D253" s="50" t="s">
        <v>172</v>
      </c>
      <c r="E253" s="50">
        <v>110.84</v>
      </c>
      <c r="F253" s="50">
        <v>110.84</v>
      </c>
      <c r="J253" s="241">
        <v>45684.0</v>
      </c>
      <c r="K253" s="241">
        <v>45684.0</v>
      </c>
      <c r="M253" s="50" t="s">
        <v>20</v>
      </c>
      <c r="N253" s="50">
        <v>3.3042167E8</v>
      </c>
      <c r="O253" s="50">
        <v>170288.0</v>
      </c>
      <c r="Q253" s="50" t="s">
        <v>417</v>
      </c>
      <c r="R253" s="50">
        <v>170288.0</v>
      </c>
    </row>
    <row r="254" ht="13.5" customHeight="1">
      <c r="B254" s="50" t="s">
        <v>20</v>
      </c>
      <c r="C254" s="50">
        <v>3.30421671E8</v>
      </c>
      <c r="D254" s="50" t="s">
        <v>172</v>
      </c>
      <c r="E254" s="55">
        <v>1511.97</v>
      </c>
      <c r="F254" s="50">
        <v>1511.97</v>
      </c>
      <c r="J254" s="241">
        <v>45684.0</v>
      </c>
      <c r="K254" s="241">
        <v>45684.0</v>
      </c>
      <c r="M254" s="50" t="s">
        <v>20</v>
      </c>
      <c r="N254" s="50">
        <v>3.30421671E8</v>
      </c>
      <c r="O254" s="50">
        <v>170288.0</v>
      </c>
      <c r="Q254" s="50" t="s">
        <v>199</v>
      </c>
      <c r="R254" s="50">
        <v>170288.0</v>
      </c>
    </row>
    <row r="255" ht="13.5" customHeight="1">
      <c r="B255" s="50" t="s">
        <v>20</v>
      </c>
      <c r="C255" s="50">
        <v>3.30421672E8</v>
      </c>
      <c r="D255" s="50" t="s">
        <v>172</v>
      </c>
      <c r="E255" s="55">
        <v>1350.96</v>
      </c>
      <c r="F255" s="50">
        <v>1350.96</v>
      </c>
      <c r="J255" s="241">
        <v>45684.0</v>
      </c>
      <c r="K255" s="241">
        <v>45684.0</v>
      </c>
      <c r="M255" s="50" t="s">
        <v>20</v>
      </c>
      <c r="N255" s="50">
        <v>3.30421672E8</v>
      </c>
      <c r="O255" s="50">
        <v>170288.0</v>
      </c>
      <c r="Q255" s="50" t="s">
        <v>418</v>
      </c>
      <c r="R255" s="50">
        <v>170288.0</v>
      </c>
    </row>
    <row r="256" ht="13.5" customHeight="1">
      <c r="B256" s="50" t="s">
        <v>20</v>
      </c>
      <c r="C256" s="50">
        <v>3.30421673E8</v>
      </c>
      <c r="D256" s="50" t="s">
        <v>172</v>
      </c>
      <c r="E256" s="55">
        <v>1672.98</v>
      </c>
      <c r="F256" s="50">
        <v>1672.98</v>
      </c>
      <c r="J256" s="241">
        <v>45684.0</v>
      </c>
      <c r="K256" s="241">
        <v>45684.0</v>
      </c>
      <c r="M256" s="50" t="s">
        <v>20</v>
      </c>
      <c r="N256" s="50">
        <v>3.30421673E8</v>
      </c>
      <c r="O256" s="50">
        <v>170288.0</v>
      </c>
      <c r="Q256" s="50" t="s">
        <v>419</v>
      </c>
      <c r="R256" s="50">
        <v>170288.0</v>
      </c>
    </row>
    <row r="257" ht="13.5" customHeight="1">
      <c r="B257" s="50" t="s">
        <v>20</v>
      </c>
      <c r="C257" s="50">
        <v>3.30421674E8</v>
      </c>
      <c r="D257" s="50" t="s">
        <v>172</v>
      </c>
      <c r="E257" s="55">
        <v>1672.98</v>
      </c>
      <c r="F257" s="50">
        <v>1672.98</v>
      </c>
      <c r="J257" s="241">
        <v>45684.0</v>
      </c>
      <c r="K257" s="241">
        <v>45684.0</v>
      </c>
      <c r="M257" s="50" t="s">
        <v>20</v>
      </c>
      <c r="N257" s="50">
        <v>3.30421674E8</v>
      </c>
      <c r="O257" s="50">
        <v>170288.0</v>
      </c>
      <c r="Q257" s="50" t="s">
        <v>420</v>
      </c>
      <c r="R257" s="50">
        <v>170288.0</v>
      </c>
    </row>
    <row r="258" ht="13.5" customHeight="1">
      <c r="B258" s="50" t="s">
        <v>20</v>
      </c>
      <c r="C258" s="50">
        <v>3.30421675E8</v>
      </c>
      <c r="D258" s="50" t="s">
        <v>172</v>
      </c>
      <c r="E258" s="55">
        <v>1207.72</v>
      </c>
      <c r="F258" s="50">
        <v>1207.72</v>
      </c>
      <c r="J258" s="241">
        <v>45684.0</v>
      </c>
      <c r="K258" s="241">
        <v>45684.0</v>
      </c>
      <c r="M258" s="50" t="s">
        <v>20</v>
      </c>
      <c r="N258" s="50">
        <v>3.30421675E8</v>
      </c>
      <c r="O258" s="50">
        <v>170288.0</v>
      </c>
      <c r="Q258" s="50" t="s">
        <v>421</v>
      </c>
      <c r="R258" s="50">
        <v>170288.0</v>
      </c>
    </row>
    <row r="259" ht="13.5" customHeight="1">
      <c r="B259" s="50" t="s">
        <v>20</v>
      </c>
      <c r="C259" s="50">
        <v>3.30421676E8</v>
      </c>
      <c r="D259" s="50" t="s">
        <v>172</v>
      </c>
      <c r="E259" s="55">
        <v>1493.92</v>
      </c>
      <c r="F259" s="50">
        <v>1493.92</v>
      </c>
      <c r="J259" s="241">
        <v>45684.0</v>
      </c>
      <c r="K259" s="241">
        <v>45684.0</v>
      </c>
      <c r="M259" s="50" t="s">
        <v>20</v>
      </c>
      <c r="N259" s="50">
        <v>3.30421676E8</v>
      </c>
      <c r="O259" s="50">
        <v>170288.0</v>
      </c>
      <c r="Q259" s="50" t="s">
        <v>422</v>
      </c>
      <c r="R259" s="50">
        <v>170288.0</v>
      </c>
    </row>
    <row r="260" ht="13.5" customHeight="1">
      <c r="B260" s="50" t="s">
        <v>20</v>
      </c>
      <c r="C260" s="50">
        <v>3.30421677E8</v>
      </c>
      <c r="D260" s="50" t="s">
        <v>172</v>
      </c>
      <c r="E260" s="55">
        <v>1398.52</v>
      </c>
      <c r="F260" s="50">
        <v>1398.52</v>
      </c>
      <c r="J260" s="241">
        <v>45684.0</v>
      </c>
      <c r="K260" s="241">
        <v>45684.0</v>
      </c>
      <c r="M260" s="50" t="s">
        <v>20</v>
      </c>
      <c r="N260" s="50">
        <v>3.30421677E8</v>
      </c>
      <c r="O260" s="50">
        <v>170288.0</v>
      </c>
      <c r="Q260" s="50" t="s">
        <v>423</v>
      </c>
      <c r="R260" s="50">
        <v>170288.0</v>
      </c>
    </row>
    <row r="261" ht="13.5" customHeight="1">
      <c r="B261" s="50" t="s">
        <v>20</v>
      </c>
      <c r="C261" s="50">
        <v>3.30421678E8</v>
      </c>
      <c r="D261" s="50" t="s">
        <v>172</v>
      </c>
      <c r="E261" s="55">
        <v>1493.92</v>
      </c>
      <c r="F261" s="50">
        <v>1493.92</v>
      </c>
      <c r="J261" s="241">
        <v>45684.0</v>
      </c>
      <c r="K261" s="241">
        <v>45684.0</v>
      </c>
      <c r="M261" s="50" t="s">
        <v>20</v>
      </c>
      <c r="N261" s="50">
        <v>3.30421678E8</v>
      </c>
      <c r="O261" s="50">
        <v>170288.0</v>
      </c>
      <c r="Q261" s="50" t="s">
        <v>424</v>
      </c>
      <c r="R261" s="50">
        <v>170288.0</v>
      </c>
    </row>
    <row r="262" ht="13.5" customHeight="1">
      <c r="B262" s="50" t="s">
        <v>20</v>
      </c>
      <c r="C262" s="50">
        <v>3.30421679E8</v>
      </c>
      <c r="D262" s="50" t="s">
        <v>172</v>
      </c>
      <c r="E262" s="55">
        <v>1398.52</v>
      </c>
      <c r="F262" s="50">
        <v>1398.52</v>
      </c>
      <c r="J262" s="241">
        <v>45684.0</v>
      </c>
      <c r="K262" s="241">
        <v>45684.0</v>
      </c>
      <c r="M262" s="50" t="s">
        <v>20</v>
      </c>
      <c r="N262" s="50">
        <v>3.30421679E8</v>
      </c>
      <c r="O262" s="50">
        <v>170288.0</v>
      </c>
      <c r="Q262" s="50" t="s">
        <v>425</v>
      </c>
      <c r="R262" s="50">
        <v>170288.0</v>
      </c>
    </row>
    <row r="263" ht="13.5" customHeight="1">
      <c r="B263" s="50" t="s">
        <v>20</v>
      </c>
      <c r="C263" s="50">
        <v>3.3042168E8</v>
      </c>
      <c r="D263" s="50" t="s">
        <v>172</v>
      </c>
      <c r="E263" s="50">
        <v>921.61</v>
      </c>
      <c r="F263" s="50">
        <v>921.61</v>
      </c>
      <c r="J263" s="241">
        <v>45684.0</v>
      </c>
      <c r="K263" s="241">
        <v>45684.0</v>
      </c>
      <c r="M263" s="50" t="s">
        <v>20</v>
      </c>
      <c r="N263" s="50">
        <v>3.3042168E8</v>
      </c>
      <c r="O263" s="50">
        <v>170288.0</v>
      </c>
      <c r="Q263" s="50" t="s">
        <v>426</v>
      </c>
      <c r="R263" s="50">
        <v>170288.0</v>
      </c>
    </row>
    <row r="264" ht="13.5" customHeight="1">
      <c r="B264" s="50" t="s">
        <v>20</v>
      </c>
      <c r="C264" s="50">
        <v>3.30421681E8</v>
      </c>
      <c r="D264" s="50" t="s">
        <v>172</v>
      </c>
      <c r="E264" s="55">
        <v>1398.52</v>
      </c>
      <c r="F264" s="50">
        <v>1398.52</v>
      </c>
      <c r="J264" s="241">
        <v>45684.0</v>
      </c>
      <c r="K264" s="241">
        <v>45684.0</v>
      </c>
      <c r="M264" s="50" t="s">
        <v>20</v>
      </c>
      <c r="N264" s="50">
        <v>3.30421681E8</v>
      </c>
      <c r="O264" s="50">
        <v>170288.0</v>
      </c>
      <c r="Q264" s="50" t="s">
        <v>427</v>
      </c>
      <c r="R264" s="50">
        <v>170288.0</v>
      </c>
    </row>
    <row r="265" ht="13.5" customHeight="1">
      <c r="B265" s="50" t="s">
        <v>20</v>
      </c>
      <c r="C265" s="50">
        <v>3.30421682E8</v>
      </c>
      <c r="D265" s="50" t="s">
        <v>172</v>
      </c>
      <c r="E265" s="55">
        <v>1398.52</v>
      </c>
      <c r="F265" s="50">
        <v>1398.52</v>
      </c>
      <c r="J265" s="241">
        <v>45684.0</v>
      </c>
      <c r="K265" s="241">
        <v>45684.0</v>
      </c>
      <c r="M265" s="50" t="s">
        <v>20</v>
      </c>
      <c r="N265" s="50">
        <v>3.30421682E8</v>
      </c>
      <c r="O265" s="50">
        <v>170288.0</v>
      </c>
      <c r="Q265" s="50" t="s">
        <v>201</v>
      </c>
      <c r="R265" s="50">
        <v>170288.0</v>
      </c>
    </row>
    <row r="266" ht="13.5" customHeight="1">
      <c r="B266" s="50" t="s">
        <v>20</v>
      </c>
      <c r="C266" s="50">
        <v>3.30421683E8</v>
      </c>
      <c r="D266" s="50" t="s">
        <v>172</v>
      </c>
      <c r="E266" s="55">
        <v>1493.92</v>
      </c>
      <c r="F266" s="50">
        <v>1493.92</v>
      </c>
      <c r="J266" s="241">
        <v>45684.0</v>
      </c>
      <c r="K266" s="241">
        <v>45684.0</v>
      </c>
      <c r="M266" s="50" t="s">
        <v>20</v>
      </c>
      <c r="N266" s="50">
        <v>3.30421683E8</v>
      </c>
      <c r="O266" s="50">
        <v>170288.0</v>
      </c>
      <c r="Q266" s="50" t="s">
        <v>428</v>
      </c>
      <c r="R266" s="50">
        <v>170288.0</v>
      </c>
    </row>
    <row r="267" ht="13.5" customHeight="1">
      <c r="B267" s="50" t="s">
        <v>20</v>
      </c>
      <c r="C267" s="50">
        <v>3.30421684E8</v>
      </c>
      <c r="D267" s="50" t="s">
        <v>172</v>
      </c>
      <c r="E267" s="50">
        <v>969.21</v>
      </c>
      <c r="F267" s="50">
        <v>969.21</v>
      </c>
      <c r="J267" s="241">
        <v>45684.0</v>
      </c>
      <c r="K267" s="241">
        <v>45684.0</v>
      </c>
      <c r="M267" s="50" t="s">
        <v>20</v>
      </c>
      <c r="N267" s="50">
        <v>3.30421684E8</v>
      </c>
      <c r="O267" s="50">
        <v>170288.0</v>
      </c>
      <c r="Q267" s="50" t="s">
        <v>429</v>
      </c>
      <c r="R267" s="50">
        <v>170288.0</v>
      </c>
    </row>
    <row r="268" ht="13.5" customHeight="1">
      <c r="B268" s="50" t="s">
        <v>20</v>
      </c>
      <c r="C268" s="50">
        <v>3.30421685E8</v>
      </c>
      <c r="D268" s="50" t="s">
        <v>172</v>
      </c>
      <c r="E268" s="50">
        <v>190.0</v>
      </c>
      <c r="F268" s="50">
        <v>190.0</v>
      </c>
      <c r="J268" s="241">
        <v>45684.0</v>
      </c>
      <c r="K268" s="241">
        <v>45684.0</v>
      </c>
      <c r="M268" s="50" t="s">
        <v>20</v>
      </c>
      <c r="N268" s="50">
        <v>3.30421685E8</v>
      </c>
      <c r="O268" s="50">
        <v>170288.0</v>
      </c>
      <c r="Q268" s="50" t="s">
        <v>430</v>
      </c>
      <c r="R268" s="50">
        <v>170288.0</v>
      </c>
    </row>
    <row r="269" ht="13.5" customHeight="1">
      <c r="B269" s="50" t="s">
        <v>20</v>
      </c>
      <c r="C269" s="50">
        <v>3.30421686E8</v>
      </c>
      <c r="D269" s="50" t="s">
        <v>172</v>
      </c>
      <c r="E269" s="55">
        <v>1350.82</v>
      </c>
      <c r="F269" s="50">
        <v>1350.82</v>
      </c>
      <c r="J269" s="241">
        <v>45684.0</v>
      </c>
      <c r="K269" s="241">
        <v>45684.0</v>
      </c>
      <c r="M269" s="50" t="s">
        <v>20</v>
      </c>
      <c r="N269" s="50">
        <v>3.30421686E8</v>
      </c>
      <c r="O269" s="50">
        <v>170288.0</v>
      </c>
      <c r="Q269" s="50" t="s">
        <v>432</v>
      </c>
      <c r="R269" s="50">
        <v>170288.0</v>
      </c>
    </row>
    <row r="270" ht="13.5" customHeight="1">
      <c r="B270" s="50" t="s">
        <v>20</v>
      </c>
      <c r="C270" s="50">
        <v>3.30421687E8</v>
      </c>
      <c r="D270" s="50" t="s">
        <v>172</v>
      </c>
      <c r="E270" s="50">
        <v>514.47</v>
      </c>
      <c r="F270" s="50">
        <v>514.47</v>
      </c>
      <c r="J270" s="241">
        <v>45684.0</v>
      </c>
      <c r="K270" s="241">
        <v>45684.0</v>
      </c>
      <c r="M270" s="50" t="s">
        <v>20</v>
      </c>
      <c r="N270" s="50">
        <v>3.30421687E8</v>
      </c>
      <c r="O270" s="50">
        <v>170288.0</v>
      </c>
      <c r="Q270" s="50" t="s">
        <v>433</v>
      </c>
      <c r="R270" s="50">
        <v>170288.0</v>
      </c>
    </row>
    <row r="271" ht="13.5" customHeight="1">
      <c r="B271" s="50" t="s">
        <v>20</v>
      </c>
      <c r="C271" s="50">
        <v>3.30421688E8</v>
      </c>
      <c r="D271" s="50" t="s">
        <v>172</v>
      </c>
      <c r="E271" s="55">
        <v>1672.98</v>
      </c>
      <c r="F271" s="50">
        <v>1672.98</v>
      </c>
      <c r="J271" s="241">
        <v>45684.0</v>
      </c>
      <c r="K271" s="241">
        <v>45684.0</v>
      </c>
      <c r="M271" s="50" t="s">
        <v>20</v>
      </c>
      <c r="N271" s="50">
        <v>3.30421688E8</v>
      </c>
      <c r="O271" s="50">
        <v>170288.0</v>
      </c>
      <c r="Q271" s="50" t="s">
        <v>434</v>
      </c>
      <c r="R271" s="50">
        <v>170288.0</v>
      </c>
    </row>
    <row r="272" ht="13.5" customHeight="1">
      <c r="B272" s="50" t="s">
        <v>20</v>
      </c>
      <c r="C272" s="50">
        <v>3.30421689E8</v>
      </c>
      <c r="D272" s="50" t="s">
        <v>172</v>
      </c>
      <c r="E272" s="55">
        <v>1565.64</v>
      </c>
      <c r="F272" s="50">
        <v>1565.64</v>
      </c>
      <c r="J272" s="241">
        <v>45684.0</v>
      </c>
      <c r="K272" s="241">
        <v>45684.0</v>
      </c>
      <c r="M272" s="50" t="s">
        <v>20</v>
      </c>
      <c r="N272" s="50">
        <v>3.30421689E8</v>
      </c>
      <c r="O272" s="50">
        <v>170288.0</v>
      </c>
      <c r="Q272" s="50" t="s">
        <v>435</v>
      </c>
      <c r="R272" s="50">
        <v>170288.0</v>
      </c>
    </row>
    <row r="273" ht="13.5" customHeight="1">
      <c r="B273" s="50" t="s">
        <v>20</v>
      </c>
      <c r="C273" s="50">
        <v>3.3042169E8</v>
      </c>
      <c r="D273" s="50" t="s">
        <v>172</v>
      </c>
      <c r="E273" s="55">
        <v>1672.98</v>
      </c>
      <c r="F273" s="50">
        <v>1672.98</v>
      </c>
      <c r="J273" s="241">
        <v>45684.0</v>
      </c>
      <c r="K273" s="241">
        <v>45684.0</v>
      </c>
      <c r="M273" s="50" t="s">
        <v>20</v>
      </c>
      <c r="N273" s="50">
        <v>3.3042169E8</v>
      </c>
      <c r="O273" s="50">
        <v>170288.0</v>
      </c>
      <c r="Q273" s="50" t="s">
        <v>436</v>
      </c>
      <c r="R273" s="50">
        <v>170288.0</v>
      </c>
    </row>
    <row r="274" ht="13.5" customHeight="1">
      <c r="B274" s="50" t="s">
        <v>20</v>
      </c>
      <c r="C274" s="50">
        <v>3.30421691E8</v>
      </c>
      <c r="D274" s="50" t="s">
        <v>172</v>
      </c>
      <c r="E274" s="50">
        <v>82.24</v>
      </c>
      <c r="F274" s="50">
        <v>82.24</v>
      </c>
      <c r="J274" s="241">
        <v>45684.0</v>
      </c>
      <c r="K274" s="241">
        <v>45684.0</v>
      </c>
      <c r="M274" s="50" t="s">
        <v>20</v>
      </c>
      <c r="N274" s="50">
        <v>3.30421691E8</v>
      </c>
      <c r="O274" s="50">
        <v>170288.0</v>
      </c>
      <c r="Q274" s="50" t="s">
        <v>437</v>
      </c>
      <c r="R274" s="50">
        <v>170288.0</v>
      </c>
    </row>
    <row r="275" ht="13.5" customHeight="1">
      <c r="B275" s="50" t="s">
        <v>20</v>
      </c>
      <c r="C275" s="50">
        <v>3.30421692E8</v>
      </c>
      <c r="D275" s="50" t="s">
        <v>172</v>
      </c>
      <c r="E275" s="55">
        <v>1398.52</v>
      </c>
      <c r="F275" s="50">
        <v>1398.52</v>
      </c>
      <c r="J275" s="241">
        <v>45684.0</v>
      </c>
      <c r="K275" s="241">
        <v>45684.0</v>
      </c>
      <c r="M275" s="50" t="s">
        <v>20</v>
      </c>
      <c r="N275" s="50">
        <v>3.30421692E8</v>
      </c>
      <c r="O275" s="50">
        <v>170288.0</v>
      </c>
      <c r="Q275" s="50" t="s">
        <v>438</v>
      </c>
      <c r="R275" s="50">
        <v>170288.0</v>
      </c>
    </row>
    <row r="276" ht="13.5" customHeight="1">
      <c r="B276" s="50" t="s">
        <v>20</v>
      </c>
      <c r="C276" s="50">
        <v>3.30421693E8</v>
      </c>
      <c r="D276" s="50" t="s">
        <v>172</v>
      </c>
      <c r="E276" s="55">
        <v>1511.97</v>
      </c>
      <c r="F276" s="50">
        <v>1511.97</v>
      </c>
      <c r="J276" s="241">
        <v>45684.0</v>
      </c>
      <c r="K276" s="241">
        <v>45684.0</v>
      </c>
      <c r="M276" s="50" t="s">
        <v>20</v>
      </c>
      <c r="N276" s="50">
        <v>3.30421693E8</v>
      </c>
      <c r="O276" s="50">
        <v>170288.0</v>
      </c>
      <c r="Q276" s="50" t="s">
        <v>439</v>
      </c>
      <c r="R276" s="50">
        <v>170288.0</v>
      </c>
    </row>
    <row r="277" ht="13.5" customHeight="1">
      <c r="B277" s="50" t="s">
        <v>20</v>
      </c>
      <c r="C277" s="50">
        <v>3.30421694E8</v>
      </c>
      <c r="D277" s="50" t="s">
        <v>172</v>
      </c>
      <c r="E277" s="55">
        <v>1404.63</v>
      </c>
      <c r="F277" s="50">
        <v>1404.63</v>
      </c>
      <c r="J277" s="241">
        <v>45684.0</v>
      </c>
      <c r="K277" s="241">
        <v>45684.0</v>
      </c>
      <c r="M277" s="50" t="s">
        <v>20</v>
      </c>
      <c r="N277" s="50">
        <v>3.30421694E8</v>
      </c>
      <c r="O277" s="50">
        <v>170288.0</v>
      </c>
      <c r="Q277" s="50" t="s">
        <v>440</v>
      </c>
      <c r="R277" s="50">
        <v>170288.0</v>
      </c>
    </row>
    <row r="278" ht="13.5" customHeight="1">
      <c r="B278" s="50" t="s">
        <v>20</v>
      </c>
      <c r="C278" s="50">
        <v>3.30421695E8</v>
      </c>
      <c r="D278" s="50" t="s">
        <v>172</v>
      </c>
      <c r="E278" s="55">
        <v>1493.92</v>
      </c>
      <c r="F278" s="50">
        <v>1493.92</v>
      </c>
      <c r="J278" s="241">
        <v>45684.0</v>
      </c>
      <c r="K278" s="241">
        <v>45684.0</v>
      </c>
      <c r="M278" s="50" t="s">
        <v>20</v>
      </c>
      <c r="N278" s="50">
        <v>3.30421695E8</v>
      </c>
      <c r="O278" s="50">
        <v>170288.0</v>
      </c>
      <c r="Q278" s="50" t="s">
        <v>441</v>
      </c>
      <c r="R278" s="50">
        <v>170288.0</v>
      </c>
    </row>
    <row r="279" ht="13.5" customHeight="1">
      <c r="B279" s="50" t="s">
        <v>20</v>
      </c>
      <c r="C279" s="50">
        <v>3.30421696E8</v>
      </c>
      <c r="D279" s="50" t="s">
        <v>172</v>
      </c>
      <c r="E279" s="55">
        <v>1064.61</v>
      </c>
      <c r="F279" s="50">
        <v>1064.61</v>
      </c>
      <c r="J279" s="241">
        <v>45684.0</v>
      </c>
      <c r="K279" s="241">
        <v>45684.0</v>
      </c>
      <c r="M279" s="50" t="s">
        <v>20</v>
      </c>
      <c r="N279" s="50">
        <v>3.30421696E8</v>
      </c>
      <c r="O279" s="50">
        <v>170288.0</v>
      </c>
      <c r="Q279" s="50" t="s">
        <v>442</v>
      </c>
      <c r="R279" s="50">
        <v>170288.0</v>
      </c>
    </row>
    <row r="280" ht="13.5" customHeight="1">
      <c r="B280" s="50" t="s">
        <v>20</v>
      </c>
      <c r="C280" s="50">
        <v>3.30421697E8</v>
      </c>
      <c r="D280" s="50" t="s">
        <v>172</v>
      </c>
      <c r="E280" s="55">
        <v>1207.72</v>
      </c>
      <c r="F280" s="50">
        <v>1207.72</v>
      </c>
      <c r="J280" s="241">
        <v>45684.0</v>
      </c>
      <c r="K280" s="241">
        <v>45684.0</v>
      </c>
      <c r="M280" s="50" t="s">
        <v>20</v>
      </c>
      <c r="N280" s="50">
        <v>3.30421697E8</v>
      </c>
      <c r="O280" s="50">
        <v>170288.0</v>
      </c>
      <c r="Q280" s="50" t="s">
        <v>444</v>
      </c>
      <c r="R280" s="50">
        <v>170288.0</v>
      </c>
    </row>
    <row r="281" ht="13.5" customHeight="1">
      <c r="B281" s="50" t="s">
        <v>20</v>
      </c>
      <c r="C281" s="50">
        <v>3.30421698E8</v>
      </c>
      <c r="D281" s="50" t="s">
        <v>172</v>
      </c>
      <c r="E281" s="55">
        <v>1398.52</v>
      </c>
      <c r="F281" s="50">
        <v>1398.52</v>
      </c>
      <c r="J281" s="241">
        <v>45684.0</v>
      </c>
      <c r="K281" s="241">
        <v>45684.0</v>
      </c>
      <c r="M281" s="50" t="s">
        <v>20</v>
      </c>
      <c r="N281" s="50">
        <v>3.30421698E8</v>
      </c>
      <c r="O281" s="50">
        <v>170288.0</v>
      </c>
      <c r="Q281" s="50" t="s">
        <v>445</v>
      </c>
      <c r="R281" s="50">
        <v>170288.0</v>
      </c>
    </row>
    <row r="282" ht="13.5" customHeight="1">
      <c r="B282" s="50" t="s">
        <v>20</v>
      </c>
      <c r="C282" s="50">
        <v>3.30421699E8</v>
      </c>
      <c r="D282" s="50" t="s">
        <v>172</v>
      </c>
      <c r="E282" s="55">
        <v>1112.31</v>
      </c>
      <c r="F282" s="50">
        <v>1112.31</v>
      </c>
      <c r="J282" s="241">
        <v>45684.0</v>
      </c>
      <c r="K282" s="241">
        <v>45684.0</v>
      </c>
      <c r="M282" s="50" t="s">
        <v>20</v>
      </c>
      <c r="N282" s="50">
        <v>3.30421699E8</v>
      </c>
      <c r="O282" s="50">
        <v>170288.0</v>
      </c>
      <c r="Q282" s="50" t="s">
        <v>446</v>
      </c>
      <c r="R282" s="50">
        <v>170288.0</v>
      </c>
    </row>
    <row r="283" ht="13.5" customHeight="1">
      <c r="B283" s="50" t="s">
        <v>20</v>
      </c>
      <c r="C283" s="50">
        <v>3.304217E8</v>
      </c>
      <c r="D283" s="50" t="s">
        <v>172</v>
      </c>
      <c r="E283" s="55">
        <v>1565.64</v>
      </c>
      <c r="F283" s="50">
        <v>1565.64</v>
      </c>
      <c r="J283" s="241">
        <v>45684.0</v>
      </c>
      <c r="K283" s="241">
        <v>45684.0</v>
      </c>
      <c r="M283" s="50" t="s">
        <v>20</v>
      </c>
      <c r="N283" s="50">
        <v>3.304217E8</v>
      </c>
      <c r="O283" s="50">
        <v>170288.0</v>
      </c>
      <c r="Q283" s="50" t="s">
        <v>448</v>
      </c>
      <c r="R283" s="50">
        <v>170288.0</v>
      </c>
    </row>
    <row r="284" ht="13.5" customHeight="1">
      <c r="B284" s="50" t="s">
        <v>20</v>
      </c>
      <c r="C284" s="50">
        <v>3.30421701E8</v>
      </c>
      <c r="D284" s="50" t="s">
        <v>172</v>
      </c>
      <c r="E284" s="50">
        <v>729.15</v>
      </c>
      <c r="F284" s="50">
        <v>729.15</v>
      </c>
      <c r="J284" s="241">
        <v>45684.0</v>
      </c>
      <c r="K284" s="241">
        <v>45684.0</v>
      </c>
      <c r="M284" s="50" t="s">
        <v>20</v>
      </c>
      <c r="N284" s="50">
        <v>3.30421701E8</v>
      </c>
      <c r="O284" s="50">
        <v>170288.0</v>
      </c>
      <c r="Q284" s="50" t="s">
        <v>449</v>
      </c>
      <c r="R284" s="50">
        <v>170288.0</v>
      </c>
    </row>
    <row r="285" ht="13.5" customHeight="1">
      <c r="B285" s="50" t="s">
        <v>20</v>
      </c>
      <c r="C285" s="50">
        <v>3.30421702E8</v>
      </c>
      <c r="D285" s="50" t="s">
        <v>172</v>
      </c>
      <c r="E285" s="50">
        <v>651.56</v>
      </c>
      <c r="F285" s="50">
        <v>651.56</v>
      </c>
      <c r="J285" s="241">
        <v>45684.0</v>
      </c>
      <c r="K285" s="241">
        <v>45684.0</v>
      </c>
      <c r="M285" s="50" t="s">
        <v>20</v>
      </c>
      <c r="N285" s="50">
        <v>3.30421702E8</v>
      </c>
      <c r="O285" s="50">
        <v>170288.0</v>
      </c>
      <c r="Q285" s="50" t="s">
        <v>450</v>
      </c>
      <c r="R285" s="50">
        <v>170288.0</v>
      </c>
    </row>
    <row r="286" ht="13.5" customHeight="1">
      <c r="B286" s="50" t="s">
        <v>20</v>
      </c>
      <c r="C286" s="50">
        <v>3.30421703E8</v>
      </c>
      <c r="D286" s="50" t="s">
        <v>172</v>
      </c>
      <c r="E286" s="50">
        <v>108.1</v>
      </c>
      <c r="F286" s="50">
        <v>108.1</v>
      </c>
      <c r="J286" s="241">
        <v>45684.0</v>
      </c>
      <c r="K286" s="241">
        <v>45684.0</v>
      </c>
      <c r="M286" s="50" t="s">
        <v>20</v>
      </c>
      <c r="N286" s="50">
        <v>3.30421703E8</v>
      </c>
      <c r="O286" s="50">
        <v>170288.0</v>
      </c>
      <c r="Q286" s="50" t="s">
        <v>451</v>
      </c>
      <c r="R286" s="50">
        <v>170288.0</v>
      </c>
    </row>
    <row r="287" ht="13.5" customHeight="1">
      <c r="B287" s="50" t="s">
        <v>20</v>
      </c>
      <c r="C287" s="50">
        <v>3.30421704E8</v>
      </c>
      <c r="D287" s="50" t="s">
        <v>172</v>
      </c>
      <c r="E287" s="50">
        <v>49.0</v>
      </c>
      <c r="F287" s="50">
        <v>49.0</v>
      </c>
      <c r="J287" s="241">
        <v>45684.0</v>
      </c>
      <c r="K287" s="241">
        <v>45684.0</v>
      </c>
      <c r="M287" s="50" t="s">
        <v>20</v>
      </c>
      <c r="N287" s="50">
        <v>3.30421704E8</v>
      </c>
      <c r="O287" s="50">
        <v>170288.0</v>
      </c>
      <c r="Q287" s="50" t="s">
        <v>452</v>
      </c>
      <c r="R287" s="50">
        <v>170288.0</v>
      </c>
    </row>
    <row r="288" ht="13.5" customHeight="1">
      <c r="B288" s="50" t="s">
        <v>20</v>
      </c>
      <c r="C288" s="50">
        <v>3.30421705E8</v>
      </c>
      <c r="D288" s="50" t="s">
        <v>172</v>
      </c>
      <c r="E288" s="55">
        <v>1493.92</v>
      </c>
      <c r="F288" s="50">
        <v>1493.92</v>
      </c>
      <c r="J288" s="241">
        <v>45684.0</v>
      </c>
      <c r="K288" s="241">
        <v>45684.0</v>
      </c>
      <c r="M288" s="50" t="s">
        <v>20</v>
      </c>
      <c r="N288" s="50">
        <v>3.30421705E8</v>
      </c>
      <c r="O288" s="50">
        <v>170288.0</v>
      </c>
      <c r="Q288" s="50" t="s">
        <v>454</v>
      </c>
      <c r="R288" s="50">
        <v>170288.0</v>
      </c>
    </row>
    <row r="289" ht="13.5" customHeight="1">
      <c r="B289" s="50" t="s">
        <v>20</v>
      </c>
      <c r="C289" s="50">
        <v>3.30421706E8</v>
      </c>
      <c r="D289" s="50" t="s">
        <v>172</v>
      </c>
      <c r="E289" s="55">
        <v>1511.97</v>
      </c>
      <c r="F289" s="50">
        <v>1511.97</v>
      </c>
      <c r="J289" s="241">
        <v>45684.0</v>
      </c>
      <c r="K289" s="241">
        <v>45684.0</v>
      </c>
      <c r="M289" s="50" t="s">
        <v>20</v>
      </c>
      <c r="N289" s="50">
        <v>3.30421706E8</v>
      </c>
      <c r="O289" s="50">
        <v>170288.0</v>
      </c>
      <c r="Q289" s="50" t="s">
        <v>455</v>
      </c>
      <c r="R289" s="50">
        <v>170288.0</v>
      </c>
    </row>
    <row r="290" ht="13.5" customHeight="1">
      <c r="B290" s="50" t="s">
        <v>20</v>
      </c>
      <c r="C290" s="50">
        <v>3.30421707E8</v>
      </c>
      <c r="D290" s="50" t="s">
        <v>172</v>
      </c>
      <c r="E290" s="55">
        <v>1493.92</v>
      </c>
      <c r="F290" s="50">
        <v>1493.92</v>
      </c>
      <c r="J290" s="241">
        <v>45684.0</v>
      </c>
      <c r="K290" s="241">
        <v>45684.0</v>
      </c>
      <c r="M290" s="50" t="s">
        <v>20</v>
      </c>
      <c r="N290" s="50">
        <v>3.30421707E8</v>
      </c>
      <c r="O290" s="50">
        <v>170288.0</v>
      </c>
      <c r="Q290" s="50" t="s">
        <v>456</v>
      </c>
      <c r="R290" s="50">
        <v>170288.0</v>
      </c>
    </row>
    <row r="291" ht="13.5" customHeight="1">
      <c r="B291" s="50" t="s">
        <v>20</v>
      </c>
      <c r="C291" s="50">
        <v>3.30421708E8</v>
      </c>
      <c r="D291" s="50" t="s">
        <v>172</v>
      </c>
      <c r="E291" s="50">
        <v>621.81</v>
      </c>
      <c r="F291" s="50">
        <v>621.81</v>
      </c>
      <c r="J291" s="241">
        <v>45684.0</v>
      </c>
      <c r="K291" s="241">
        <v>45684.0</v>
      </c>
      <c r="M291" s="50" t="s">
        <v>20</v>
      </c>
      <c r="N291" s="50">
        <v>3.30421708E8</v>
      </c>
      <c r="O291" s="50">
        <v>170288.0</v>
      </c>
      <c r="Q291" s="50" t="s">
        <v>457</v>
      </c>
      <c r="R291" s="50">
        <v>170288.0</v>
      </c>
    </row>
    <row r="292" ht="13.5" customHeight="1">
      <c r="B292" s="50" t="s">
        <v>20</v>
      </c>
      <c r="C292" s="50">
        <v>3.30421709E8</v>
      </c>
      <c r="D292" s="50" t="s">
        <v>172</v>
      </c>
      <c r="E292" s="50">
        <v>281.99</v>
      </c>
      <c r="F292" s="50">
        <v>281.99</v>
      </c>
      <c r="J292" s="241">
        <v>45684.0</v>
      </c>
      <c r="K292" s="241">
        <v>45684.0</v>
      </c>
      <c r="M292" s="50" t="s">
        <v>20</v>
      </c>
      <c r="N292" s="50">
        <v>3.30421709E8</v>
      </c>
      <c r="O292" s="50">
        <v>170288.0</v>
      </c>
      <c r="Q292" s="50" t="s">
        <v>458</v>
      </c>
      <c r="R292" s="50">
        <v>170288.0</v>
      </c>
    </row>
    <row r="293" ht="13.5" customHeight="1">
      <c r="B293" s="50" t="s">
        <v>20</v>
      </c>
      <c r="C293" s="50">
        <v>3.3042171E8</v>
      </c>
      <c r="D293" s="50" t="s">
        <v>172</v>
      </c>
      <c r="E293" s="55">
        <v>1398.52</v>
      </c>
      <c r="F293" s="50">
        <v>1398.52</v>
      </c>
      <c r="J293" s="241">
        <v>45684.0</v>
      </c>
      <c r="K293" s="241">
        <v>45684.0</v>
      </c>
      <c r="M293" s="50" t="s">
        <v>20</v>
      </c>
      <c r="N293" s="50">
        <v>3.3042171E8</v>
      </c>
      <c r="O293" s="50">
        <v>170288.0</v>
      </c>
      <c r="Q293" s="50" t="s">
        <v>459</v>
      </c>
      <c r="R293" s="50">
        <v>170288.0</v>
      </c>
    </row>
    <row r="294" ht="13.5" customHeight="1">
      <c r="B294" s="50" t="s">
        <v>20</v>
      </c>
      <c r="C294" s="50">
        <v>3.30421711E8</v>
      </c>
      <c r="D294" s="50" t="s">
        <v>172</v>
      </c>
      <c r="E294" s="55">
        <v>1672.98</v>
      </c>
      <c r="F294" s="50">
        <v>1672.98</v>
      </c>
      <c r="J294" s="241">
        <v>45684.0</v>
      </c>
      <c r="K294" s="241">
        <v>45684.0</v>
      </c>
      <c r="M294" s="50" t="s">
        <v>20</v>
      </c>
      <c r="N294" s="50">
        <v>3.30421711E8</v>
      </c>
      <c r="O294" s="50">
        <v>170288.0</v>
      </c>
      <c r="Q294" s="50" t="s">
        <v>461</v>
      </c>
      <c r="R294" s="50">
        <v>170288.0</v>
      </c>
    </row>
    <row r="295" ht="13.5" customHeight="1">
      <c r="B295" s="50" t="s">
        <v>20</v>
      </c>
      <c r="C295" s="50">
        <v>3.30421712E8</v>
      </c>
      <c r="D295" s="50" t="s">
        <v>172</v>
      </c>
      <c r="E295" s="55">
        <v>1398.52</v>
      </c>
      <c r="F295" s="50">
        <v>1398.52</v>
      </c>
      <c r="J295" s="241">
        <v>45684.0</v>
      </c>
      <c r="K295" s="241">
        <v>45684.0</v>
      </c>
      <c r="M295" s="50" t="s">
        <v>20</v>
      </c>
      <c r="N295" s="50">
        <v>3.30421712E8</v>
      </c>
      <c r="O295" s="50">
        <v>170288.0</v>
      </c>
      <c r="Q295" s="50" t="s">
        <v>462</v>
      </c>
      <c r="R295" s="50">
        <v>170288.0</v>
      </c>
    </row>
    <row r="296" ht="13.5" customHeight="1">
      <c r="B296" s="50" t="s">
        <v>20</v>
      </c>
      <c r="C296" s="50">
        <v>3.30421713E8</v>
      </c>
      <c r="D296" s="50" t="s">
        <v>172</v>
      </c>
      <c r="E296" s="50">
        <v>98.0</v>
      </c>
      <c r="F296" s="50">
        <v>98.0</v>
      </c>
      <c r="J296" s="241">
        <v>45684.0</v>
      </c>
      <c r="K296" s="241">
        <v>45684.0</v>
      </c>
      <c r="M296" s="50" t="s">
        <v>20</v>
      </c>
      <c r="N296" s="50">
        <v>3.30421713E8</v>
      </c>
      <c r="O296" s="50">
        <v>170288.0</v>
      </c>
      <c r="Q296" s="50" t="s">
        <v>463</v>
      </c>
      <c r="R296" s="50">
        <v>170288.0</v>
      </c>
    </row>
    <row r="297" ht="13.5" customHeight="1">
      <c r="B297" s="50" t="s">
        <v>20</v>
      </c>
      <c r="C297" s="50">
        <v>3.30421714E8</v>
      </c>
      <c r="D297" s="50" t="s">
        <v>172</v>
      </c>
      <c r="E297" s="55">
        <v>1672.98</v>
      </c>
      <c r="F297" s="50">
        <v>1672.98</v>
      </c>
      <c r="J297" s="241">
        <v>45684.0</v>
      </c>
      <c r="K297" s="241">
        <v>45684.0</v>
      </c>
      <c r="M297" s="50" t="s">
        <v>20</v>
      </c>
      <c r="N297" s="50">
        <v>3.30421714E8</v>
      </c>
      <c r="O297" s="50">
        <v>170288.0</v>
      </c>
      <c r="Q297" s="50" t="s">
        <v>465</v>
      </c>
      <c r="R297" s="50">
        <v>170288.0</v>
      </c>
    </row>
    <row r="298" ht="13.5" customHeight="1">
      <c r="B298" s="50" t="s">
        <v>20</v>
      </c>
      <c r="C298" s="50">
        <v>3.30421715E8</v>
      </c>
      <c r="D298" s="50" t="s">
        <v>172</v>
      </c>
      <c r="E298" s="55">
        <v>1493.92</v>
      </c>
      <c r="F298" s="50">
        <v>1493.92</v>
      </c>
      <c r="J298" s="241">
        <v>45684.0</v>
      </c>
      <c r="K298" s="241">
        <v>45684.0</v>
      </c>
      <c r="M298" s="50" t="s">
        <v>20</v>
      </c>
      <c r="N298" s="50">
        <v>3.30421715E8</v>
      </c>
      <c r="O298" s="50">
        <v>170288.0</v>
      </c>
      <c r="Q298" s="50" t="s">
        <v>466</v>
      </c>
      <c r="R298" s="50">
        <v>170288.0</v>
      </c>
    </row>
    <row r="299" ht="13.5" customHeight="1">
      <c r="B299" s="50" t="s">
        <v>20</v>
      </c>
      <c r="C299" s="50">
        <v>3.30421716E8</v>
      </c>
      <c r="D299" s="50" t="s">
        <v>172</v>
      </c>
      <c r="E299" s="55">
        <v>1493.92</v>
      </c>
      <c r="F299" s="50">
        <v>1493.92</v>
      </c>
      <c r="J299" s="241">
        <v>45684.0</v>
      </c>
      <c r="K299" s="241">
        <v>45684.0</v>
      </c>
      <c r="M299" s="50" t="s">
        <v>20</v>
      </c>
      <c r="N299" s="50">
        <v>3.30421716E8</v>
      </c>
      <c r="O299" s="50">
        <v>170288.0</v>
      </c>
      <c r="Q299" s="50" t="s">
        <v>205</v>
      </c>
      <c r="R299" s="50">
        <v>170288.0</v>
      </c>
    </row>
    <row r="300" ht="13.5" customHeight="1">
      <c r="B300" s="50" t="s">
        <v>20</v>
      </c>
      <c r="C300" s="50">
        <v>3.30421717E8</v>
      </c>
      <c r="D300" s="50" t="s">
        <v>172</v>
      </c>
      <c r="E300" s="55">
        <v>1207.72</v>
      </c>
      <c r="F300" s="50">
        <v>1207.72</v>
      </c>
      <c r="J300" s="241">
        <v>45684.0</v>
      </c>
      <c r="K300" s="241">
        <v>45684.0</v>
      </c>
      <c r="M300" s="50" t="s">
        <v>20</v>
      </c>
      <c r="N300" s="50">
        <v>3.30421717E8</v>
      </c>
      <c r="O300" s="50">
        <v>170288.0</v>
      </c>
      <c r="Q300" s="50" t="s">
        <v>468</v>
      </c>
      <c r="R300" s="50">
        <v>170288.0</v>
      </c>
    </row>
    <row r="301" ht="13.5" customHeight="1">
      <c r="B301" s="50" t="s">
        <v>20</v>
      </c>
      <c r="C301" s="50">
        <v>3.30421718E8</v>
      </c>
      <c r="D301" s="50" t="s">
        <v>172</v>
      </c>
      <c r="E301" s="55">
        <v>1350.96</v>
      </c>
      <c r="F301" s="50">
        <v>1350.96</v>
      </c>
      <c r="J301" s="241">
        <v>45684.0</v>
      </c>
      <c r="K301" s="241">
        <v>45684.0</v>
      </c>
      <c r="M301" s="50" t="s">
        <v>20</v>
      </c>
      <c r="N301" s="50">
        <v>3.30421718E8</v>
      </c>
      <c r="O301" s="50">
        <v>170288.0</v>
      </c>
      <c r="Q301" s="50" t="s">
        <v>469</v>
      </c>
      <c r="R301" s="50">
        <v>170288.0</v>
      </c>
    </row>
    <row r="302" ht="13.5" customHeight="1">
      <c r="B302" s="50" t="s">
        <v>20</v>
      </c>
      <c r="C302" s="50">
        <v>3.30421719E8</v>
      </c>
      <c r="D302" s="50" t="s">
        <v>172</v>
      </c>
      <c r="E302" s="50">
        <v>307.8</v>
      </c>
      <c r="F302" s="50">
        <v>307.8</v>
      </c>
      <c r="J302" s="241">
        <v>45684.0</v>
      </c>
      <c r="K302" s="241">
        <v>45684.0</v>
      </c>
      <c r="M302" s="50" t="s">
        <v>20</v>
      </c>
      <c r="N302" s="50">
        <v>3.30421719E8</v>
      </c>
      <c r="O302" s="50">
        <v>170288.0</v>
      </c>
      <c r="Q302" s="50" t="s">
        <v>470</v>
      </c>
      <c r="R302" s="50">
        <v>170288.0</v>
      </c>
    </row>
    <row r="303" ht="13.5" customHeight="1">
      <c r="B303" s="50" t="s">
        <v>20</v>
      </c>
      <c r="C303" s="50">
        <v>3.3042172E8</v>
      </c>
      <c r="D303" s="50" t="s">
        <v>172</v>
      </c>
      <c r="E303" s="55">
        <v>1082.62</v>
      </c>
      <c r="F303" s="50">
        <v>1082.62</v>
      </c>
      <c r="J303" s="241">
        <v>45684.0</v>
      </c>
      <c r="K303" s="241">
        <v>45684.0</v>
      </c>
      <c r="M303" s="50" t="s">
        <v>20</v>
      </c>
      <c r="N303" s="50">
        <v>3.3042172E8</v>
      </c>
      <c r="O303" s="50">
        <v>170288.0</v>
      </c>
      <c r="Q303" s="50" t="s">
        <v>471</v>
      </c>
      <c r="R303" s="50">
        <v>170288.0</v>
      </c>
    </row>
    <row r="304" ht="13.5" customHeight="1">
      <c r="B304" s="50" t="s">
        <v>20</v>
      </c>
      <c r="C304" s="50">
        <v>3.30421721E8</v>
      </c>
      <c r="D304" s="50" t="s">
        <v>172</v>
      </c>
      <c r="E304" s="50">
        <v>317.65</v>
      </c>
      <c r="F304" s="50">
        <v>317.65</v>
      </c>
      <c r="J304" s="241">
        <v>45684.0</v>
      </c>
      <c r="K304" s="241">
        <v>45684.0</v>
      </c>
      <c r="M304" s="50" t="s">
        <v>20</v>
      </c>
      <c r="N304" s="50">
        <v>3.30421721E8</v>
      </c>
      <c r="O304" s="50">
        <v>170288.0</v>
      </c>
      <c r="Q304" s="50" t="s">
        <v>472</v>
      </c>
      <c r="R304" s="50">
        <v>170288.0</v>
      </c>
    </row>
    <row r="305" ht="13.5" customHeight="1">
      <c r="B305" s="50" t="s">
        <v>20</v>
      </c>
      <c r="C305" s="50">
        <v>3.30421722E8</v>
      </c>
      <c r="D305" s="50" t="s">
        <v>172</v>
      </c>
      <c r="E305" s="55">
        <v>1672.98</v>
      </c>
      <c r="F305" s="50">
        <v>1672.98</v>
      </c>
      <c r="J305" s="241">
        <v>45684.0</v>
      </c>
      <c r="K305" s="241">
        <v>45684.0</v>
      </c>
      <c r="M305" s="50" t="s">
        <v>20</v>
      </c>
      <c r="N305" s="50">
        <v>3.30421722E8</v>
      </c>
      <c r="O305" s="50">
        <v>170288.0</v>
      </c>
      <c r="Q305" s="50" t="s">
        <v>473</v>
      </c>
      <c r="R305" s="50">
        <v>170288.0</v>
      </c>
    </row>
    <row r="306" ht="13.5" customHeight="1">
      <c r="B306" s="50" t="s">
        <v>20</v>
      </c>
      <c r="C306" s="50">
        <v>3.30421723E8</v>
      </c>
      <c r="D306" s="50" t="s">
        <v>172</v>
      </c>
      <c r="E306" s="55">
        <v>1672.98</v>
      </c>
      <c r="F306" s="50">
        <v>1672.98</v>
      </c>
      <c r="J306" s="241">
        <v>45684.0</v>
      </c>
      <c r="K306" s="241">
        <v>45684.0</v>
      </c>
      <c r="M306" s="50" t="s">
        <v>20</v>
      </c>
      <c r="N306" s="50">
        <v>3.30421723E8</v>
      </c>
      <c r="O306" s="50">
        <v>170288.0</v>
      </c>
      <c r="Q306" s="50" t="s">
        <v>206</v>
      </c>
      <c r="R306" s="50">
        <v>170288.0</v>
      </c>
    </row>
    <row r="307" ht="13.5" customHeight="1">
      <c r="B307" s="50" t="s">
        <v>20</v>
      </c>
      <c r="C307" s="50">
        <v>3.30421724E8</v>
      </c>
      <c r="D307" s="50" t="s">
        <v>172</v>
      </c>
      <c r="E307" s="55">
        <v>1404.63</v>
      </c>
      <c r="F307" s="50">
        <v>1404.63</v>
      </c>
      <c r="J307" s="241">
        <v>45684.0</v>
      </c>
      <c r="K307" s="241">
        <v>45684.0</v>
      </c>
      <c r="M307" s="50" t="s">
        <v>20</v>
      </c>
      <c r="N307" s="50">
        <v>3.30421724E8</v>
      </c>
      <c r="O307" s="50">
        <v>170288.0</v>
      </c>
      <c r="Q307" s="50" t="s">
        <v>474</v>
      </c>
      <c r="R307" s="50">
        <v>170288.0</v>
      </c>
    </row>
    <row r="308" ht="13.5" customHeight="1">
      <c r="B308" s="50" t="s">
        <v>20</v>
      </c>
      <c r="C308" s="50">
        <v>3.30421725E8</v>
      </c>
      <c r="D308" s="50" t="s">
        <v>172</v>
      </c>
      <c r="E308" s="55">
        <v>1672.98</v>
      </c>
      <c r="F308" s="50">
        <v>1672.98</v>
      </c>
      <c r="J308" s="241">
        <v>45684.0</v>
      </c>
      <c r="K308" s="241">
        <v>45684.0</v>
      </c>
      <c r="M308" s="50" t="s">
        <v>20</v>
      </c>
      <c r="N308" s="50">
        <v>3.30421725E8</v>
      </c>
      <c r="O308" s="50">
        <v>170288.0</v>
      </c>
      <c r="Q308" s="50" t="s">
        <v>475</v>
      </c>
      <c r="R308" s="50">
        <v>170288.0</v>
      </c>
    </row>
    <row r="309" ht="13.5" customHeight="1">
      <c r="B309" s="50" t="s">
        <v>20</v>
      </c>
      <c r="C309" s="50">
        <v>3.30421726E8</v>
      </c>
      <c r="D309" s="50" t="s">
        <v>172</v>
      </c>
      <c r="E309" s="55">
        <v>1398.52</v>
      </c>
      <c r="F309" s="50">
        <v>1398.52</v>
      </c>
      <c r="J309" s="241">
        <v>45684.0</v>
      </c>
      <c r="K309" s="241">
        <v>45684.0</v>
      </c>
      <c r="M309" s="50" t="s">
        <v>20</v>
      </c>
      <c r="N309" s="50">
        <v>3.30421726E8</v>
      </c>
      <c r="O309" s="50">
        <v>170288.0</v>
      </c>
      <c r="Q309" s="50" t="s">
        <v>476</v>
      </c>
      <c r="R309" s="50">
        <v>170288.0</v>
      </c>
    </row>
    <row r="310" ht="13.5" customHeight="1">
      <c r="B310" s="50" t="s">
        <v>20</v>
      </c>
      <c r="C310" s="50">
        <v>3.30421727E8</v>
      </c>
      <c r="D310" s="50" t="s">
        <v>172</v>
      </c>
      <c r="E310" s="55">
        <v>1255.42</v>
      </c>
      <c r="F310" s="50">
        <v>1255.42</v>
      </c>
      <c r="J310" s="241">
        <v>45684.0</v>
      </c>
      <c r="K310" s="241">
        <v>45684.0</v>
      </c>
      <c r="M310" s="50" t="s">
        <v>20</v>
      </c>
      <c r="N310" s="50">
        <v>3.30421727E8</v>
      </c>
      <c r="O310" s="50">
        <v>170288.0</v>
      </c>
      <c r="Q310" s="50" t="s">
        <v>477</v>
      </c>
      <c r="R310" s="50">
        <v>170288.0</v>
      </c>
    </row>
    <row r="311" ht="13.5" customHeight="1">
      <c r="B311" s="50" t="s">
        <v>20</v>
      </c>
      <c r="C311" s="50">
        <v>3.30421728E8</v>
      </c>
      <c r="D311" s="50" t="s">
        <v>172</v>
      </c>
      <c r="E311" s="50">
        <v>132.49</v>
      </c>
      <c r="F311" s="50">
        <v>132.49</v>
      </c>
      <c r="J311" s="241">
        <v>45684.0</v>
      </c>
      <c r="K311" s="241">
        <v>45684.0</v>
      </c>
      <c r="M311" s="50" t="s">
        <v>20</v>
      </c>
      <c r="N311" s="50">
        <v>3.30421728E8</v>
      </c>
      <c r="O311" s="50">
        <v>170288.0</v>
      </c>
      <c r="Q311" s="50" t="s">
        <v>478</v>
      </c>
      <c r="R311" s="50">
        <v>170288.0</v>
      </c>
    </row>
    <row r="312" ht="13.5" customHeight="1">
      <c r="B312" s="50" t="s">
        <v>20</v>
      </c>
      <c r="C312" s="50">
        <v>3.30421729E8</v>
      </c>
      <c r="D312" s="50" t="s">
        <v>172</v>
      </c>
      <c r="E312" s="55">
        <v>1493.92</v>
      </c>
      <c r="F312" s="50">
        <v>1493.92</v>
      </c>
      <c r="J312" s="241">
        <v>45684.0</v>
      </c>
      <c r="K312" s="241">
        <v>45684.0</v>
      </c>
      <c r="M312" s="50" t="s">
        <v>20</v>
      </c>
      <c r="N312" s="50">
        <v>3.30421729E8</v>
      </c>
      <c r="O312" s="50">
        <v>170288.0</v>
      </c>
      <c r="Q312" s="50" t="s">
        <v>479</v>
      </c>
      <c r="R312" s="50">
        <v>170288.0</v>
      </c>
    </row>
    <row r="313" ht="13.5" customHeight="1">
      <c r="B313" s="50" t="s">
        <v>20</v>
      </c>
      <c r="C313" s="50">
        <v>3.3042173E8</v>
      </c>
      <c r="D313" s="50" t="s">
        <v>172</v>
      </c>
      <c r="E313" s="50">
        <v>460.76</v>
      </c>
      <c r="F313" s="50">
        <v>460.76</v>
      </c>
      <c r="J313" s="241">
        <v>45684.0</v>
      </c>
      <c r="K313" s="241">
        <v>45684.0</v>
      </c>
      <c r="M313" s="50" t="s">
        <v>20</v>
      </c>
      <c r="N313" s="50">
        <v>3.3042173E8</v>
      </c>
      <c r="O313" s="50">
        <v>170288.0</v>
      </c>
      <c r="Q313" s="50" t="s">
        <v>480</v>
      </c>
      <c r="R313" s="50">
        <v>170288.0</v>
      </c>
    </row>
    <row r="314" ht="13.5" customHeight="1">
      <c r="B314" s="50" t="s">
        <v>20</v>
      </c>
      <c r="C314" s="50">
        <v>3.30421731E8</v>
      </c>
      <c r="D314" s="50" t="s">
        <v>172</v>
      </c>
      <c r="E314" s="55">
        <v>1404.63</v>
      </c>
      <c r="F314" s="50">
        <v>1404.63</v>
      </c>
      <c r="J314" s="241">
        <v>45684.0</v>
      </c>
      <c r="K314" s="241">
        <v>45684.0</v>
      </c>
      <c r="M314" s="50" t="s">
        <v>20</v>
      </c>
      <c r="N314" s="50">
        <v>3.30421731E8</v>
      </c>
      <c r="O314" s="50">
        <v>170288.0</v>
      </c>
      <c r="Q314" s="50" t="s">
        <v>481</v>
      </c>
      <c r="R314" s="50">
        <v>170288.0</v>
      </c>
    </row>
    <row r="315" ht="13.5" customHeight="1">
      <c r="B315" s="50" t="s">
        <v>20</v>
      </c>
      <c r="C315" s="50">
        <v>3.30421732E8</v>
      </c>
      <c r="D315" s="50" t="s">
        <v>172</v>
      </c>
      <c r="E315" s="50">
        <v>782.82</v>
      </c>
      <c r="F315" s="50">
        <v>782.82</v>
      </c>
      <c r="J315" s="241">
        <v>45684.0</v>
      </c>
      <c r="K315" s="241">
        <v>45684.0</v>
      </c>
      <c r="M315" s="50" t="s">
        <v>20</v>
      </c>
      <c r="N315" s="50">
        <v>3.30421732E8</v>
      </c>
      <c r="O315" s="50">
        <v>170288.0</v>
      </c>
      <c r="Q315" s="50" t="s">
        <v>482</v>
      </c>
      <c r="R315" s="50">
        <v>170288.0</v>
      </c>
    </row>
    <row r="316" ht="13.5" customHeight="1">
      <c r="B316" s="50" t="s">
        <v>20</v>
      </c>
      <c r="C316" s="50">
        <v>3.30421733E8</v>
      </c>
      <c r="D316" s="50" t="s">
        <v>172</v>
      </c>
      <c r="E316" s="55">
        <v>1398.52</v>
      </c>
      <c r="F316" s="50">
        <v>1398.52</v>
      </c>
      <c r="J316" s="241">
        <v>45684.0</v>
      </c>
      <c r="K316" s="241">
        <v>45684.0</v>
      </c>
      <c r="M316" s="50" t="s">
        <v>20</v>
      </c>
      <c r="N316" s="50">
        <v>3.30421733E8</v>
      </c>
      <c r="O316" s="50">
        <v>170288.0</v>
      </c>
      <c r="Q316" s="50" t="s">
        <v>483</v>
      </c>
      <c r="R316" s="50">
        <v>170288.0</v>
      </c>
    </row>
    <row r="317" ht="13.5" customHeight="1">
      <c r="B317" s="50" t="s">
        <v>20</v>
      </c>
      <c r="C317" s="50">
        <v>3.30421734E8</v>
      </c>
      <c r="D317" s="50" t="s">
        <v>172</v>
      </c>
      <c r="E317" s="50">
        <v>101.45</v>
      </c>
      <c r="F317" s="50">
        <v>101.45</v>
      </c>
      <c r="J317" s="241">
        <v>45684.0</v>
      </c>
      <c r="K317" s="241">
        <v>45684.0</v>
      </c>
      <c r="M317" s="50" t="s">
        <v>20</v>
      </c>
      <c r="N317" s="50">
        <v>3.30421734E8</v>
      </c>
      <c r="O317" s="50">
        <v>170288.0</v>
      </c>
      <c r="Q317" s="50" t="s">
        <v>484</v>
      </c>
      <c r="R317" s="50">
        <v>170288.0</v>
      </c>
    </row>
    <row r="318" ht="13.5" customHeight="1">
      <c r="B318" s="50" t="s">
        <v>20</v>
      </c>
      <c r="C318" s="50">
        <v>3.30421735E8</v>
      </c>
      <c r="D318" s="50" t="s">
        <v>172</v>
      </c>
      <c r="E318" s="55">
        <v>1511.97</v>
      </c>
      <c r="F318" s="50">
        <v>1511.97</v>
      </c>
      <c r="J318" s="241">
        <v>45684.0</v>
      </c>
      <c r="K318" s="241">
        <v>45684.0</v>
      </c>
      <c r="M318" s="50" t="s">
        <v>20</v>
      </c>
      <c r="N318" s="50">
        <v>3.30421735E8</v>
      </c>
      <c r="O318" s="50">
        <v>170288.0</v>
      </c>
      <c r="Q318" s="50" t="s">
        <v>485</v>
      </c>
      <c r="R318" s="50">
        <v>170288.0</v>
      </c>
    </row>
    <row r="319" ht="13.5" customHeight="1">
      <c r="B319" s="50" t="s">
        <v>20</v>
      </c>
      <c r="C319" s="50">
        <v>3.30421736E8</v>
      </c>
      <c r="D319" s="50" t="s">
        <v>172</v>
      </c>
      <c r="E319" s="55">
        <v>1493.92</v>
      </c>
      <c r="F319" s="50">
        <v>1493.92</v>
      </c>
      <c r="J319" s="241">
        <v>45684.0</v>
      </c>
      <c r="K319" s="241">
        <v>45684.0</v>
      </c>
      <c r="M319" s="50" t="s">
        <v>20</v>
      </c>
      <c r="N319" s="50">
        <v>3.30421736E8</v>
      </c>
      <c r="O319" s="50">
        <v>170288.0</v>
      </c>
      <c r="Q319" s="50" t="s">
        <v>486</v>
      </c>
      <c r="R319" s="50">
        <v>170288.0</v>
      </c>
    </row>
    <row r="320" ht="13.5" customHeight="1">
      <c r="B320" s="50" t="s">
        <v>20</v>
      </c>
      <c r="C320" s="50">
        <v>3.30421737E8</v>
      </c>
      <c r="D320" s="50" t="s">
        <v>172</v>
      </c>
      <c r="E320" s="50">
        <v>12.0</v>
      </c>
      <c r="F320" s="50">
        <v>12.0</v>
      </c>
      <c r="J320" s="241">
        <v>45684.0</v>
      </c>
      <c r="K320" s="241">
        <v>45684.0</v>
      </c>
      <c r="M320" s="50" t="s">
        <v>20</v>
      </c>
      <c r="N320" s="50">
        <v>3.30421737E8</v>
      </c>
      <c r="O320" s="50">
        <v>170288.0</v>
      </c>
      <c r="Q320" s="50" t="s">
        <v>487</v>
      </c>
      <c r="R320" s="50">
        <v>170288.0</v>
      </c>
    </row>
    <row r="321" ht="13.5" customHeight="1">
      <c r="B321" s="50" t="s">
        <v>20</v>
      </c>
      <c r="C321" s="50">
        <v>3.30421738E8</v>
      </c>
      <c r="D321" s="50" t="s">
        <v>172</v>
      </c>
      <c r="E321" s="50">
        <v>130.01</v>
      </c>
      <c r="F321" s="50">
        <v>130.01</v>
      </c>
      <c r="J321" s="241">
        <v>45684.0</v>
      </c>
      <c r="K321" s="241">
        <v>45684.0</v>
      </c>
      <c r="M321" s="50" t="s">
        <v>20</v>
      </c>
      <c r="N321" s="50">
        <v>3.30421738E8</v>
      </c>
      <c r="O321" s="50">
        <v>170288.0</v>
      </c>
      <c r="Q321" s="50" t="s">
        <v>488</v>
      </c>
      <c r="R321" s="50">
        <v>170288.0</v>
      </c>
    </row>
    <row r="322" ht="13.5" customHeight="1">
      <c r="B322" s="50" t="s">
        <v>20</v>
      </c>
      <c r="C322" s="50">
        <v>3.30421739E8</v>
      </c>
      <c r="D322" s="50" t="s">
        <v>172</v>
      </c>
      <c r="E322" s="55">
        <v>1350.82</v>
      </c>
      <c r="F322" s="50">
        <v>1350.82</v>
      </c>
      <c r="J322" s="241">
        <v>45684.0</v>
      </c>
      <c r="K322" s="241">
        <v>45684.0</v>
      </c>
      <c r="M322" s="50" t="s">
        <v>20</v>
      </c>
      <c r="N322" s="50">
        <v>3.30421739E8</v>
      </c>
      <c r="O322" s="50">
        <v>170288.0</v>
      </c>
      <c r="Q322" s="50" t="s">
        <v>489</v>
      </c>
      <c r="R322" s="50">
        <v>170288.0</v>
      </c>
    </row>
    <row r="323" ht="13.5" customHeight="1">
      <c r="B323" s="50" t="s">
        <v>20</v>
      </c>
      <c r="C323" s="50">
        <v>3.3042174E8</v>
      </c>
      <c r="D323" s="50" t="s">
        <v>172</v>
      </c>
      <c r="E323" s="55">
        <v>1082.62</v>
      </c>
      <c r="F323" s="50">
        <v>1082.62</v>
      </c>
      <c r="J323" s="241">
        <v>45684.0</v>
      </c>
      <c r="K323" s="241">
        <v>45684.0</v>
      </c>
      <c r="M323" s="50" t="s">
        <v>20</v>
      </c>
      <c r="N323" s="50">
        <v>3.3042174E8</v>
      </c>
      <c r="O323" s="50">
        <v>170288.0</v>
      </c>
      <c r="Q323" s="50" t="s">
        <v>490</v>
      </c>
      <c r="R323" s="50">
        <v>170288.0</v>
      </c>
    </row>
    <row r="324" ht="13.5" customHeight="1">
      <c r="B324" s="50" t="s">
        <v>20</v>
      </c>
      <c r="C324" s="50">
        <v>3.30421741E8</v>
      </c>
      <c r="D324" s="50" t="s">
        <v>172</v>
      </c>
      <c r="E324" s="55">
        <v>1672.98</v>
      </c>
      <c r="F324" s="50">
        <v>1672.98</v>
      </c>
      <c r="J324" s="241">
        <v>45684.0</v>
      </c>
      <c r="K324" s="241">
        <v>45684.0</v>
      </c>
      <c r="M324" s="50" t="s">
        <v>20</v>
      </c>
      <c r="N324" s="50">
        <v>3.30421741E8</v>
      </c>
      <c r="O324" s="50">
        <v>170288.0</v>
      </c>
      <c r="Q324" s="50" t="s">
        <v>208</v>
      </c>
      <c r="R324" s="50">
        <v>170288.0</v>
      </c>
    </row>
    <row r="325" ht="13.5" customHeight="1">
      <c r="B325" s="50" t="s">
        <v>20</v>
      </c>
      <c r="C325" s="50">
        <v>3.30421742E8</v>
      </c>
      <c r="D325" s="50" t="s">
        <v>172</v>
      </c>
      <c r="E325" s="55">
        <v>1402.32</v>
      </c>
      <c r="F325" s="50">
        <v>1402.32</v>
      </c>
      <c r="J325" s="241">
        <v>45684.0</v>
      </c>
      <c r="K325" s="241">
        <v>45684.0</v>
      </c>
      <c r="M325" s="50" t="s">
        <v>20</v>
      </c>
      <c r="N325" s="50">
        <v>3.30421742E8</v>
      </c>
      <c r="O325" s="50">
        <v>170288.0</v>
      </c>
      <c r="Q325" s="50" t="s">
        <v>491</v>
      </c>
      <c r="R325" s="50">
        <v>170288.0</v>
      </c>
    </row>
    <row r="326" ht="13.5" customHeight="1">
      <c r="B326" s="50" t="s">
        <v>20</v>
      </c>
      <c r="C326" s="50">
        <v>3.30421743E8</v>
      </c>
      <c r="D326" s="50" t="s">
        <v>172</v>
      </c>
      <c r="E326" s="50">
        <v>299.8</v>
      </c>
      <c r="F326" s="50">
        <v>299.8</v>
      </c>
      <c r="J326" s="241">
        <v>45684.0</v>
      </c>
      <c r="K326" s="241">
        <v>45684.0</v>
      </c>
      <c r="M326" s="50" t="s">
        <v>20</v>
      </c>
      <c r="N326" s="50">
        <v>3.30421743E8</v>
      </c>
      <c r="O326" s="50">
        <v>170288.0</v>
      </c>
      <c r="Q326" s="50" t="s">
        <v>492</v>
      </c>
      <c r="R326" s="50">
        <v>170288.0</v>
      </c>
    </row>
    <row r="327" ht="13.5" customHeight="1">
      <c r="B327" s="50" t="s">
        <v>20</v>
      </c>
      <c r="C327" s="50">
        <v>3.30421744E8</v>
      </c>
      <c r="D327" s="50" t="s">
        <v>172</v>
      </c>
      <c r="E327" s="55">
        <v>1511.97</v>
      </c>
      <c r="F327" s="50">
        <v>1511.97</v>
      </c>
      <c r="J327" s="241">
        <v>45684.0</v>
      </c>
      <c r="K327" s="241">
        <v>45684.0</v>
      </c>
      <c r="M327" s="50" t="s">
        <v>20</v>
      </c>
      <c r="N327" s="50">
        <v>3.30421744E8</v>
      </c>
      <c r="O327" s="50">
        <v>170288.0</v>
      </c>
      <c r="Q327" s="50" t="s">
        <v>493</v>
      </c>
      <c r="R327" s="50">
        <v>170288.0</v>
      </c>
    </row>
    <row r="328" ht="13.5" customHeight="1">
      <c r="B328" s="50" t="s">
        <v>20</v>
      </c>
      <c r="C328" s="50">
        <v>3.30421745E8</v>
      </c>
      <c r="D328" s="50" t="s">
        <v>172</v>
      </c>
      <c r="E328" s="50">
        <v>699.26</v>
      </c>
      <c r="F328" s="50">
        <v>699.26</v>
      </c>
      <c r="J328" s="241">
        <v>45684.0</v>
      </c>
      <c r="K328" s="241">
        <v>45684.0</v>
      </c>
      <c r="M328" s="50" t="s">
        <v>20</v>
      </c>
      <c r="N328" s="50">
        <v>3.30421745E8</v>
      </c>
      <c r="O328" s="50">
        <v>170288.0</v>
      </c>
      <c r="Q328" s="50" t="s">
        <v>494</v>
      </c>
      <c r="R328" s="50">
        <v>170288.0</v>
      </c>
    </row>
    <row r="329" ht="13.5" customHeight="1">
      <c r="B329" s="50" t="s">
        <v>20</v>
      </c>
      <c r="C329" s="50">
        <v>3.30421746E8</v>
      </c>
      <c r="D329" s="50" t="s">
        <v>172</v>
      </c>
      <c r="E329" s="50">
        <v>299.8</v>
      </c>
      <c r="F329" s="50">
        <v>299.8</v>
      </c>
      <c r="J329" s="241">
        <v>45684.0</v>
      </c>
      <c r="K329" s="241">
        <v>45684.0</v>
      </c>
      <c r="M329" s="50" t="s">
        <v>20</v>
      </c>
      <c r="N329" s="50">
        <v>3.30421746E8</v>
      </c>
      <c r="O329" s="50">
        <v>170288.0</v>
      </c>
      <c r="Q329" s="50" t="s">
        <v>495</v>
      </c>
      <c r="R329" s="50">
        <v>170288.0</v>
      </c>
    </row>
    <row r="330" ht="13.5" customHeight="1">
      <c r="B330" s="50" t="s">
        <v>20</v>
      </c>
      <c r="C330" s="50">
        <v>3.30421747E8</v>
      </c>
      <c r="D330" s="50" t="s">
        <v>172</v>
      </c>
      <c r="E330" s="55">
        <v>1255.42</v>
      </c>
      <c r="F330" s="50">
        <v>1255.42</v>
      </c>
      <c r="J330" s="241">
        <v>45684.0</v>
      </c>
      <c r="K330" s="241">
        <v>45684.0</v>
      </c>
      <c r="M330" s="50" t="s">
        <v>20</v>
      </c>
      <c r="N330" s="50">
        <v>3.30421747E8</v>
      </c>
      <c r="O330" s="50">
        <v>170288.0</v>
      </c>
      <c r="Q330" s="50" t="s">
        <v>496</v>
      </c>
      <c r="R330" s="50">
        <v>170288.0</v>
      </c>
    </row>
    <row r="331" ht="13.5" customHeight="1">
      <c r="B331" s="50" t="s">
        <v>20</v>
      </c>
      <c r="C331" s="50">
        <v>3.30421748E8</v>
      </c>
      <c r="D331" s="50" t="s">
        <v>172</v>
      </c>
      <c r="E331" s="55">
        <v>1350.82</v>
      </c>
      <c r="F331" s="50">
        <v>1350.82</v>
      </c>
      <c r="J331" s="241">
        <v>45684.0</v>
      </c>
      <c r="K331" s="241">
        <v>45684.0</v>
      </c>
      <c r="M331" s="50" t="s">
        <v>20</v>
      </c>
      <c r="N331" s="50">
        <v>3.30421748E8</v>
      </c>
      <c r="O331" s="50">
        <v>170288.0</v>
      </c>
      <c r="Q331" s="50" t="s">
        <v>497</v>
      </c>
      <c r="R331" s="50">
        <v>170288.0</v>
      </c>
    </row>
    <row r="332" ht="13.5" customHeight="1">
      <c r="B332" s="50" t="s">
        <v>20</v>
      </c>
      <c r="C332" s="50">
        <v>3.30421749E8</v>
      </c>
      <c r="D332" s="50" t="s">
        <v>172</v>
      </c>
      <c r="E332" s="50">
        <v>782.82</v>
      </c>
      <c r="F332" s="50">
        <v>782.82</v>
      </c>
      <c r="J332" s="241">
        <v>45684.0</v>
      </c>
      <c r="K332" s="241">
        <v>45684.0</v>
      </c>
      <c r="M332" s="50" t="s">
        <v>20</v>
      </c>
      <c r="N332" s="50">
        <v>3.30421749E8</v>
      </c>
      <c r="O332" s="50">
        <v>170288.0</v>
      </c>
      <c r="Q332" s="50" t="s">
        <v>498</v>
      </c>
      <c r="R332" s="50">
        <v>170288.0</v>
      </c>
    </row>
    <row r="333" ht="13.5" customHeight="1">
      <c r="B333" s="50" t="s">
        <v>20</v>
      </c>
      <c r="C333" s="50">
        <v>3.3042175E8</v>
      </c>
      <c r="D333" s="50" t="s">
        <v>172</v>
      </c>
      <c r="E333" s="50">
        <v>195.39</v>
      </c>
      <c r="F333" s="50">
        <v>195.39</v>
      </c>
      <c r="J333" s="241">
        <v>45684.0</v>
      </c>
      <c r="K333" s="241">
        <v>45684.0</v>
      </c>
      <c r="M333" s="50" t="s">
        <v>20</v>
      </c>
      <c r="N333" s="50">
        <v>3.3042175E8</v>
      </c>
      <c r="O333" s="50">
        <v>170288.0</v>
      </c>
      <c r="Q333" s="50" t="s">
        <v>499</v>
      </c>
      <c r="R333" s="50">
        <v>170288.0</v>
      </c>
    </row>
    <row r="334" ht="13.5" customHeight="1">
      <c r="B334" s="50" t="s">
        <v>20</v>
      </c>
      <c r="C334" s="50">
        <v>3.30421751E8</v>
      </c>
      <c r="D334" s="50" t="s">
        <v>172</v>
      </c>
      <c r="E334" s="55">
        <v>1493.92</v>
      </c>
      <c r="F334" s="50">
        <v>1493.92</v>
      </c>
      <c r="J334" s="241">
        <v>45684.0</v>
      </c>
      <c r="K334" s="241">
        <v>45684.0</v>
      </c>
      <c r="M334" s="50" t="s">
        <v>20</v>
      </c>
      <c r="N334" s="50">
        <v>3.30421751E8</v>
      </c>
      <c r="O334" s="50">
        <v>170288.0</v>
      </c>
      <c r="Q334" s="50" t="s">
        <v>500</v>
      </c>
      <c r="R334" s="50">
        <v>170288.0</v>
      </c>
    </row>
    <row r="335" ht="13.5" customHeight="1">
      <c r="B335" s="50" t="s">
        <v>20</v>
      </c>
      <c r="C335" s="50">
        <v>3.30421752E8</v>
      </c>
      <c r="D335" s="50" t="s">
        <v>172</v>
      </c>
      <c r="E335" s="55">
        <v>1398.52</v>
      </c>
      <c r="F335" s="50">
        <v>1398.52</v>
      </c>
      <c r="J335" s="241">
        <v>45684.0</v>
      </c>
      <c r="K335" s="241">
        <v>45684.0</v>
      </c>
      <c r="M335" s="50" t="s">
        <v>20</v>
      </c>
      <c r="N335" s="50">
        <v>3.30421752E8</v>
      </c>
      <c r="O335" s="50">
        <v>170288.0</v>
      </c>
      <c r="Q335" s="50" t="s">
        <v>501</v>
      </c>
      <c r="R335" s="50">
        <v>170288.0</v>
      </c>
    </row>
    <row r="336" ht="13.5" customHeight="1">
      <c r="B336" s="50" t="s">
        <v>20</v>
      </c>
      <c r="C336" s="50">
        <v>3.30421753E8</v>
      </c>
      <c r="D336" s="50" t="s">
        <v>172</v>
      </c>
      <c r="E336" s="50">
        <v>621.81</v>
      </c>
      <c r="F336" s="50">
        <v>621.81</v>
      </c>
      <c r="J336" s="241">
        <v>45684.0</v>
      </c>
      <c r="K336" s="241">
        <v>45684.0</v>
      </c>
      <c r="M336" s="50" t="s">
        <v>20</v>
      </c>
      <c r="N336" s="50">
        <v>3.30421753E8</v>
      </c>
      <c r="O336" s="50">
        <v>170288.0</v>
      </c>
      <c r="Q336" s="50" t="s">
        <v>502</v>
      </c>
      <c r="R336" s="50">
        <v>170288.0</v>
      </c>
    </row>
    <row r="337" ht="13.5" customHeight="1">
      <c r="B337" s="50" t="s">
        <v>20</v>
      </c>
      <c r="C337" s="50">
        <v>3.30421754E8</v>
      </c>
      <c r="D337" s="50" t="s">
        <v>172</v>
      </c>
      <c r="E337" s="50">
        <v>413.06</v>
      </c>
      <c r="F337" s="50">
        <v>413.06</v>
      </c>
      <c r="J337" s="241">
        <v>45684.0</v>
      </c>
      <c r="K337" s="241">
        <v>45684.0</v>
      </c>
      <c r="M337" s="50" t="s">
        <v>20</v>
      </c>
      <c r="N337" s="50">
        <v>3.30421754E8</v>
      </c>
      <c r="O337" s="50">
        <v>170288.0</v>
      </c>
      <c r="Q337" s="50" t="s">
        <v>503</v>
      </c>
      <c r="R337" s="50">
        <v>170288.0</v>
      </c>
    </row>
    <row r="338" ht="13.5" customHeight="1">
      <c r="B338" s="50" t="s">
        <v>20</v>
      </c>
      <c r="C338" s="50">
        <v>3.30421755E8</v>
      </c>
      <c r="D338" s="50" t="s">
        <v>172</v>
      </c>
      <c r="E338" s="55">
        <v>1672.98</v>
      </c>
      <c r="F338" s="50">
        <v>1672.98</v>
      </c>
      <c r="J338" s="241">
        <v>45684.0</v>
      </c>
      <c r="K338" s="241">
        <v>45684.0</v>
      </c>
      <c r="M338" s="50" t="s">
        <v>20</v>
      </c>
      <c r="N338" s="50">
        <v>3.30421755E8</v>
      </c>
      <c r="O338" s="50">
        <v>170288.0</v>
      </c>
      <c r="Q338" s="50" t="s">
        <v>504</v>
      </c>
      <c r="R338" s="50">
        <v>170288.0</v>
      </c>
    </row>
    <row r="339" ht="13.5" customHeight="1">
      <c r="B339" s="50" t="s">
        <v>20</v>
      </c>
      <c r="C339" s="50">
        <v>3.30421756E8</v>
      </c>
      <c r="D339" s="50" t="s">
        <v>172</v>
      </c>
      <c r="E339" s="55">
        <v>1064.61</v>
      </c>
      <c r="F339" s="50">
        <v>1064.61</v>
      </c>
      <c r="J339" s="241">
        <v>45684.0</v>
      </c>
      <c r="K339" s="241">
        <v>45684.0</v>
      </c>
      <c r="M339" s="50" t="s">
        <v>20</v>
      </c>
      <c r="N339" s="50">
        <v>3.30421756E8</v>
      </c>
      <c r="O339" s="50">
        <v>170288.0</v>
      </c>
      <c r="Q339" s="50" t="s">
        <v>505</v>
      </c>
      <c r="R339" s="50">
        <v>170288.0</v>
      </c>
    </row>
    <row r="340" ht="13.5" customHeight="1">
      <c r="B340" s="50" t="s">
        <v>20</v>
      </c>
      <c r="C340" s="50">
        <v>3.30421757E8</v>
      </c>
      <c r="D340" s="50" t="s">
        <v>172</v>
      </c>
      <c r="E340" s="55">
        <v>1404.63</v>
      </c>
      <c r="F340" s="50">
        <v>1404.63</v>
      </c>
      <c r="J340" s="241">
        <v>45684.0</v>
      </c>
      <c r="K340" s="241">
        <v>45684.0</v>
      </c>
      <c r="M340" s="50" t="s">
        <v>20</v>
      </c>
      <c r="N340" s="50">
        <v>3.30421757E8</v>
      </c>
      <c r="O340" s="50">
        <v>170288.0</v>
      </c>
      <c r="Q340" s="50" t="s">
        <v>506</v>
      </c>
      <c r="R340" s="50">
        <v>170288.0</v>
      </c>
    </row>
    <row r="341" ht="13.5" customHeight="1">
      <c r="B341" s="50" t="s">
        <v>20</v>
      </c>
      <c r="C341" s="50">
        <v>3.30421758E8</v>
      </c>
      <c r="D341" s="50" t="s">
        <v>172</v>
      </c>
      <c r="E341" s="55">
        <v>1565.64</v>
      </c>
      <c r="F341" s="50">
        <v>1565.64</v>
      </c>
      <c r="J341" s="241">
        <v>45684.0</v>
      </c>
      <c r="K341" s="241">
        <v>45684.0</v>
      </c>
      <c r="M341" s="50" t="s">
        <v>20</v>
      </c>
      <c r="N341" s="50">
        <v>3.30421758E8</v>
      </c>
      <c r="O341" s="50">
        <v>170288.0</v>
      </c>
      <c r="Q341" s="50" t="s">
        <v>507</v>
      </c>
      <c r="R341" s="50">
        <v>170288.0</v>
      </c>
    </row>
    <row r="342" ht="13.5" customHeight="1">
      <c r="B342" s="50" t="s">
        <v>20</v>
      </c>
      <c r="C342" s="50">
        <v>3.30421759E8</v>
      </c>
      <c r="D342" s="50" t="s">
        <v>172</v>
      </c>
      <c r="E342" s="55">
        <v>1511.97</v>
      </c>
      <c r="F342" s="50">
        <v>1511.97</v>
      </c>
      <c r="J342" s="241">
        <v>45684.0</v>
      </c>
      <c r="K342" s="241">
        <v>45684.0</v>
      </c>
      <c r="M342" s="50" t="s">
        <v>20</v>
      </c>
      <c r="N342" s="50">
        <v>3.30421759E8</v>
      </c>
      <c r="O342" s="50">
        <v>170288.0</v>
      </c>
      <c r="Q342" s="50" t="s">
        <v>508</v>
      </c>
      <c r="R342" s="50">
        <v>170288.0</v>
      </c>
    </row>
    <row r="343" ht="13.5" customHeight="1">
      <c r="B343" s="50" t="s">
        <v>20</v>
      </c>
      <c r="C343" s="50">
        <v>3.3042176E8</v>
      </c>
      <c r="D343" s="50" t="s">
        <v>172</v>
      </c>
      <c r="E343" s="55">
        <v>2375.78</v>
      </c>
      <c r="F343" s="50">
        <v>2375.78</v>
      </c>
      <c r="J343" s="241">
        <v>45684.0</v>
      </c>
      <c r="K343" s="241">
        <v>45684.0</v>
      </c>
      <c r="M343" s="50" t="s">
        <v>20</v>
      </c>
      <c r="N343" s="50">
        <v>3.3042176E8</v>
      </c>
      <c r="O343" s="50">
        <v>170288.0</v>
      </c>
      <c r="Q343" s="50" t="s">
        <v>509</v>
      </c>
      <c r="R343" s="50">
        <v>170288.0</v>
      </c>
    </row>
    <row r="344" ht="13.5" customHeight="1">
      <c r="B344" s="50" t="s">
        <v>20</v>
      </c>
      <c r="C344" s="50">
        <v>3.30421761E8</v>
      </c>
      <c r="D344" s="50" t="s">
        <v>172</v>
      </c>
      <c r="E344" s="50">
        <v>524.52</v>
      </c>
      <c r="F344" s="50">
        <v>524.52</v>
      </c>
      <c r="J344" s="241">
        <v>45684.0</v>
      </c>
      <c r="K344" s="241">
        <v>45684.0</v>
      </c>
      <c r="M344" s="50" t="s">
        <v>20</v>
      </c>
      <c r="N344" s="50">
        <v>3.30421761E8</v>
      </c>
      <c r="O344" s="50">
        <v>170288.0</v>
      </c>
      <c r="Q344" s="50" t="s">
        <v>510</v>
      </c>
      <c r="R344" s="50">
        <v>170288.0</v>
      </c>
    </row>
    <row r="345" ht="13.5" customHeight="1">
      <c r="B345" s="50" t="s">
        <v>20</v>
      </c>
      <c r="C345" s="50">
        <v>3.30421762E8</v>
      </c>
      <c r="D345" s="50" t="s">
        <v>172</v>
      </c>
      <c r="E345" s="55">
        <v>1672.98</v>
      </c>
      <c r="F345" s="50">
        <v>1672.98</v>
      </c>
      <c r="J345" s="241">
        <v>45684.0</v>
      </c>
      <c r="K345" s="241">
        <v>45684.0</v>
      </c>
      <c r="M345" s="50" t="s">
        <v>20</v>
      </c>
      <c r="N345" s="50">
        <v>3.30421762E8</v>
      </c>
      <c r="O345" s="50">
        <v>170288.0</v>
      </c>
      <c r="Q345" s="50" t="s">
        <v>511</v>
      </c>
      <c r="R345" s="50">
        <v>170288.0</v>
      </c>
    </row>
    <row r="346" ht="13.5" customHeight="1">
      <c r="B346" s="50" t="s">
        <v>20</v>
      </c>
      <c r="C346" s="50">
        <v>3.30421763E8</v>
      </c>
      <c r="D346" s="50" t="s">
        <v>172</v>
      </c>
      <c r="E346" s="50">
        <v>460.76</v>
      </c>
      <c r="F346" s="50">
        <v>460.76</v>
      </c>
      <c r="J346" s="241">
        <v>45684.0</v>
      </c>
      <c r="K346" s="241">
        <v>45684.0</v>
      </c>
      <c r="M346" s="50" t="s">
        <v>20</v>
      </c>
      <c r="N346" s="50">
        <v>3.30421763E8</v>
      </c>
      <c r="O346" s="50">
        <v>170288.0</v>
      </c>
      <c r="Q346" s="50" t="s">
        <v>512</v>
      </c>
      <c r="R346" s="50">
        <v>170288.0</v>
      </c>
    </row>
    <row r="347" ht="13.5" customHeight="1">
      <c r="B347" s="50" t="s">
        <v>20</v>
      </c>
      <c r="C347" s="50">
        <v>3.30421764E8</v>
      </c>
      <c r="D347" s="50" t="s">
        <v>172</v>
      </c>
      <c r="E347" s="55">
        <v>1493.92</v>
      </c>
      <c r="F347" s="50">
        <v>1493.92</v>
      </c>
      <c r="J347" s="241">
        <v>45684.0</v>
      </c>
      <c r="K347" s="241">
        <v>45684.0</v>
      </c>
      <c r="M347" s="50" t="s">
        <v>20</v>
      </c>
      <c r="N347" s="50">
        <v>3.30421764E8</v>
      </c>
      <c r="O347" s="50">
        <v>170288.0</v>
      </c>
      <c r="Q347" s="50" t="s">
        <v>513</v>
      </c>
      <c r="R347" s="50">
        <v>170288.0</v>
      </c>
    </row>
    <row r="348" ht="13.5" customHeight="1">
      <c r="B348" s="50" t="s">
        <v>20</v>
      </c>
      <c r="C348" s="50">
        <v>3.30421765E8</v>
      </c>
      <c r="D348" s="50" t="s">
        <v>172</v>
      </c>
      <c r="E348" s="50">
        <v>699.26</v>
      </c>
      <c r="F348" s="50">
        <v>699.26</v>
      </c>
      <c r="J348" s="241">
        <v>45684.0</v>
      </c>
      <c r="K348" s="241">
        <v>45684.0</v>
      </c>
      <c r="M348" s="50" t="s">
        <v>20</v>
      </c>
      <c r="N348" s="50">
        <v>3.30421765E8</v>
      </c>
      <c r="O348" s="50">
        <v>170288.0</v>
      </c>
      <c r="Q348" s="50" t="s">
        <v>514</v>
      </c>
      <c r="R348" s="50">
        <v>170288.0</v>
      </c>
    </row>
    <row r="349" ht="13.5" customHeight="1">
      <c r="B349" s="50" t="s">
        <v>20</v>
      </c>
      <c r="C349" s="50">
        <v>3.30421766E8</v>
      </c>
      <c r="D349" s="50" t="s">
        <v>172</v>
      </c>
      <c r="E349" s="55">
        <v>1672.98</v>
      </c>
      <c r="F349" s="50">
        <v>1672.98</v>
      </c>
      <c r="J349" s="241">
        <v>45684.0</v>
      </c>
      <c r="K349" s="241">
        <v>45684.0</v>
      </c>
      <c r="M349" s="50" t="s">
        <v>20</v>
      </c>
      <c r="N349" s="50">
        <v>3.30421766E8</v>
      </c>
      <c r="O349" s="50">
        <v>170288.0</v>
      </c>
      <c r="Q349" s="50" t="s">
        <v>515</v>
      </c>
      <c r="R349" s="50">
        <v>170288.0</v>
      </c>
    </row>
    <row r="350" ht="13.5" customHeight="1">
      <c r="B350" s="50" t="s">
        <v>20</v>
      </c>
      <c r="C350" s="50">
        <v>3.30421767E8</v>
      </c>
      <c r="D350" s="50" t="s">
        <v>172</v>
      </c>
      <c r="E350" s="55">
        <v>3859.1</v>
      </c>
      <c r="F350" s="50">
        <v>3859.1</v>
      </c>
      <c r="J350" s="241">
        <v>45684.0</v>
      </c>
      <c r="K350" s="241">
        <v>45684.0</v>
      </c>
      <c r="M350" s="50" t="s">
        <v>20</v>
      </c>
      <c r="N350" s="50">
        <v>3.30421767E8</v>
      </c>
      <c r="O350" s="50">
        <v>170288.0</v>
      </c>
      <c r="Q350" s="50" t="s">
        <v>516</v>
      </c>
      <c r="R350" s="50">
        <v>170288.0</v>
      </c>
    </row>
    <row r="351" ht="13.5" customHeight="1">
      <c r="B351" s="50" t="s">
        <v>20</v>
      </c>
      <c r="C351" s="50">
        <v>3.30421768E8</v>
      </c>
      <c r="D351" s="50" t="s">
        <v>172</v>
      </c>
      <c r="E351" s="55">
        <v>1511.97</v>
      </c>
      <c r="F351" s="50">
        <v>1511.97</v>
      </c>
      <c r="J351" s="241">
        <v>45684.0</v>
      </c>
      <c r="K351" s="241">
        <v>45684.0</v>
      </c>
      <c r="M351" s="50" t="s">
        <v>20</v>
      </c>
      <c r="N351" s="50">
        <v>3.30421768E8</v>
      </c>
      <c r="O351" s="50">
        <v>170288.0</v>
      </c>
      <c r="Q351" s="50" t="s">
        <v>517</v>
      </c>
      <c r="R351" s="50">
        <v>170288.0</v>
      </c>
    </row>
    <row r="352" ht="13.5" customHeight="1">
      <c r="B352" s="50" t="s">
        <v>20</v>
      </c>
      <c r="C352" s="50">
        <v>3.30421769E8</v>
      </c>
      <c r="D352" s="50" t="s">
        <v>172</v>
      </c>
      <c r="E352" s="55">
        <v>1398.52</v>
      </c>
      <c r="F352" s="50">
        <v>1398.52</v>
      </c>
      <c r="J352" s="241">
        <v>45684.0</v>
      </c>
      <c r="K352" s="241">
        <v>45684.0</v>
      </c>
      <c r="M352" s="50" t="s">
        <v>20</v>
      </c>
      <c r="N352" s="50">
        <v>3.30421769E8</v>
      </c>
      <c r="O352" s="50">
        <v>170288.0</v>
      </c>
      <c r="Q352" s="50" t="s">
        <v>518</v>
      </c>
      <c r="R352" s="50">
        <v>170288.0</v>
      </c>
    </row>
    <row r="353" ht="13.5" customHeight="1">
      <c r="B353" s="50" t="s">
        <v>20</v>
      </c>
      <c r="C353" s="50">
        <v>3.3042177E8</v>
      </c>
      <c r="D353" s="50" t="s">
        <v>172</v>
      </c>
      <c r="E353" s="55">
        <v>1398.52</v>
      </c>
      <c r="F353" s="50">
        <v>1398.52</v>
      </c>
      <c r="J353" s="241">
        <v>45684.0</v>
      </c>
      <c r="K353" s="241">
        <v>45684.0</v>
      </c>
      <c r="M353" s="50" t="s">
        <v>20</v>
      </c>
      <c r="N353" s="50">
        <v>3.3042177E8</v>
      </c>
      <c r="O353" s="50">
        <v>170288.0</v>
      </c>
      <c r="Q353" s="50" t="s">
        <v>519</v>
      </c>
      <c r="R353" s="50">
        <v>170288.0</v>
      </c>
    </row>
    <row r="354" ht="13.5" customHeight="1">
      <c r="B354" s="50" t="s">
        <v>20</v>
      </c>
      <c r="C354" s="50">
        <v>3.30421771E8</v>
      </c>
      <c r="D354" s="50" t="s">
        <v>172</v>
      </c>
      <c r="E354" s="55">
        <v>1255.42</v>
      </c>
      <c r="F354" s="50">
        <v>1255.42</v>
      </c>
      <c r="J354" s="241">
        <v>45684.0</v>
      </c>
      <c r="K354" s="241">
        <v>45684.0</v>
      </c>
      <c r="M354" s="50" t="s">
        <v>20</v>
      </c>
      <c r="N354" s="50">
        <v>3.30421771E8</v>
      </c>
      <c r="O354" s="50">
        <v>170288.0</v>
      </c>
      <c r="Q354" s="50" t="s">
        <v>520</v>
      </c>
      <c r="R354" s="50">
        <v>170288.0</v>
      </c>
    </row>
    <row r="355" ht="13.5" customHeight="1">
      <c r="B355" s="50" t="s">
        <v>20</v>
      </c>
      <c r="C355" s="50">
        <v>3.30421772E8</v>
      </c>
      <c r="D355" s="50" t="s">
        <v>172</v>
      </c>
      <c r="E355" s="55">
        <v>1350.82</v>
      </c>
      <c r="F355" s="50">
        <v>1350.82</v>
      </c>
      <c r="J355" s="241">
        <v>45684.0</v>
      </c>
      <c r="K355" s="241">
        <v>45684.0</v>
      </c>
      <c r="M355" s="50" t="s">
        <v>20</v>
      </c>
      <c r="N355" s="50">
        <v>3.30421772E8</v>
      </c>
      <c r="O355" s="50">
        <v>170288.0</v>
      </c>
      <c r="Q355" s="50" t="s">
        <v>521</v>
      </c>
      <c r="R355" s="50">
        <v>170288.0</v>
      </c>
    </row>
    <row r="356" ht="13.5" customHeight="1">
      <c r="B356" s="50" t="s">
        <v>20</v>
      </c>
      <c r="C356" s="50">
        <v>3.30421773E8</v>
      </c>
      <c r="D356" s="50" t="s">
        <v>172</v>
      </c>
      <c r="E356" s="55">
        <v>3402.02</v>
      </c>
      <c r="F356" s="50">
        <v>3402.02</v>
      </c>
      <c r="J356" s="241">
        <v>45684.0</v>
      </c>
      <c r="K356" s="241">
        <v>45684.0</v>
      </c>
      <c r="M356" s="50" t="s">
        <v>20</v>
      </c>
      <c r="N356" s="50">
        <v>3.30421773E8</v>
      </c>
      <c r="O356" s="50">
        <v>170288.0</v>
      </c>
      <c r="Q356" s="50" t="s">
        <v>522</v>
      </c>
      <c r="R356" s="50">
        <v>170288.0</v>
      </c>
    </row>
    <row r="357" ht="13.5" customHeight="1">
      <c r="B357" s="50" t="s">
        <v>20</v>
      </c>
      <c r="C357" s="50">
        <v>3.30421774E8</v>
      </c>
      <c r="D357" s="50" t="s">
        <v>172</v>
      </c>
      <c r="E357" s="50">
        <v>556.16</v>
      </c>
      <c r="F357" s="50">
        <v>556.16</v>
      </c>
      <c r="J357" s="241">
        <v>45684.0</v>
      </c>
      <c r="K357" s="241">
        <v>45684.0</v>
      </c>
      <c r="M357" s="50" t="s">
        <v>20</v>
      </c>
      <c r="N357" s="50">
        <v>3.30421774E8</v>
      </c>
      <c r="O357" s="50">
        <v>170288.0</v>
      </c>
      <c r="Q357" s="50" t="s">
        <v>523</v>
      </c>
      <c r="R357" s="50">
        <v>170288.0</v>
      </c>
    </row>
    <row r="358" ht="13.5" customHeight="1">
      <c r="B358" s="50" t="s">
        <v>20</v>
      </c>
      <c r="C358" s="50">
        <v>3.30421775E8</v>
      </c>
      <c r="D358" s="50" t="s">
        <v>172</v>
      </c>
      <c r="E358" s="55">
        <v>1493.92</v>
      </c>
      <c r="F358" s="50">
        <v>1493.92</v>
      </c>
      <c r="J358" s="241">
        <v>45684.0</v>
      </c>
      <c r="K358" s="241">
        <v>45684.0</v>
      </c>
      <c r="M358" s="50" t="s">
        <v>20</v>
      </c>
      <c r="N358" s="50">
        <v>3.30421775E8</v>
      </c>
      <c r="O358" s="50">
        <v>170288.0</v>
      </c>
      <c r="Q358" s="50" t="s">
        <v>524</v>
      </c>
      <c r="R358" s="50">
        <v>170288.0</v>
      </c>
    </row>
    <row r="359" ht="13.5" customHeight="1">
      <c r="B359" s="50" t="s">
        <v>20</v>
      </c>
      <c r="C359" s="50">
        <v>3.30421776E8</v>
      </c>
      <c r="D359" s="50" t="s">
        <v>172</v>
      </c>
      <c r="E359" s="55">
        <v>1672.98</v>
      </c>
      <c r="F359" s="50">
        <v>1672.98</v>
      </c>
      <c r="J359" s="241">
        <v>45684.0</v>
      </c>
      <c r="K359" s="241">
        <v>45684.0</v>
      </c>
      <c r="M359" s="50" t="s">
        <v>20</v>
      </c>
      <c r="N359" s="50">
        <v>3.30421776E8</v>
      </c>
      <c r="O359" s="50">
        <v>170288.0</v>
      </c>
      <c r="Q359" s="50" t="s">
        <v>525</v>
      </c>
      <c r="R359" s="50">
        <v>170288.0</v>
      </c>
    </row>
    <row r="360" ht="13.5" customHeight="1">
      <c r="B360" s="50" t="s">
        <v>20</v>
      </c>
      <c r="C360" s="50">
        <v>3.30421777E8</v>
      </c>
      <c r="D360" s="50" t="s">
        <v>172</v>
      </c>
      <c r="E360" s="50">
        <v>651.56</v>
      </c>
      <c r="F360" s="50">
        <v>651.56</v>
      </c>
      <c r="J360" s="241">
        <v>45684.0</v>
      </c>
      <c r="K360" s="241">
        <v>45684.0</v>
      </c>
      <c r="M360" s="50" t="s">
        <v>20</v>
      </c>
      <c r="N360" s="50">
        <v>3.30421777E8</v>
      </c>
      <c r="O360" s="50">
        <v>170288.0</v>
      </c>
      <c r="Q360" s="50" t="s">
        <v>526</v>
      </c>
      <c r="R360" s="50">
        <v>170288.0</v>
      </c>
    </row>
    <row r="361" ht="13.5" customHeight="1">
      <c r="B361" s="50" t="s">
        <v>20</v>
      </c>
      <c r="C361" s="50">
        <v>3.30421778E8</v>
      </c>
      <c r="D361" s="50" t="s">
        <v>172</v>
      </c>
      <c r="E361" s="55">
        <v>1493.92</v>
      </c>
      <c r="F361" s="50">
        <v>1493.92</v>
      </c>
      <c r="J361" s="241">
        <v>45684.0</v>
      </c>
      <c r="K361" s="241">
        <v>45684.0</v>
      </c>
      <c r="M361" s="50" t="s">
        <v>20</v>
      </c>
      <c r="N361" s="50">
        <v>3.30421778E8</v>
      </c>
      <c r="O361" s="50">
        <v>170288.0</v>
      </c>
      <c r="Q361" s="50" t="s">
        <v>217</v>
      </c>
      <c r="R361" s="50">
        <v>170288.0</v>
      </c>
    </row>
    <row r="362" ht="13.5" customHeight="1">
      <c r="B362" s="50" t="s">
        <v>20</v>
      </c>
      <c r="C362" s="50">
        <v>3.30421779E8</v>
      </c>
      <c r="D362" s="50" t="s">
        <v>172</v>
      </c>
      <c r="E362" s="55">
        <v>1672.98</v>
      </c>
      <c r="F362" s="50">
        <v>1672.98</v>
      </c>
      <c r="J362" s="241">
        <v>45684.0</v>
      </c>
      <c r="K362" s="241">
        <v>45684.0</v>
      </c>
      <c r="M362" s="50" t="s">
        <v>20</v>
      </c>
      <c r="N362" s="50">
        <v>3.30421779E8</v>
      </c>
      <c r="O362" s="50">
        <v>170288.0</v>
      </c>
      <c r="Q362" s="50" t="s">
        <v>527</v>
      </c>
      <c r="R362" s="50">
        <v>170288.0</v>
      </c>
    </row>
    <row r="363" ht="13.5" customHeight="1">
      <c r="B363" s="50" t="s">
        <v>20</v>
      </c>
      <c r="C363" s="50">
        <v>3.3042178E8</v>
      </c>
      <c r="D363" s="50" t="s">
        <v>172</v>
      </c>
      <c r="E363" s="50">
        <v>550.0</v>
      </c>
      <c r="F363" s="50">
        <v>550.0</v>
      </c>
      <c r="J363" s="241">
        <v>45684.0</v>
      </c>
      <c r="K363" s="241">
        <v>45684.0</v>
      </c>
      <c r="M363" s="50" t="s">
        <v>20</v>
      </c>
      <c r="N363" s="50">
        <v>3.3042178E8</v>
      </c>
      <c r="O363" s="50">
        <v>170288.0</v>
      </c>
      <c r="Q363" s="50" t="s">
        <v>528</v>
      </c>
      <c r="R363" s="50">
        <v>170288.0</v>
      </c>
    </row>
    <row r="364" ht="13.5" customHeight="1">
      <c r="B364" s="50" t="s">
        <v>20</v>
      </c>
      <c r="C364" s="50">
        <v>3.30421781E8</v>
      </c>
      <c r="D364" s="50" t="s">
        <v>172</v>
      </c>
      <c r="E364" s="55">
        <v>1672.98</v>
      </c>
      <c r="F364" s="50">
        <v>1672.98</v>
      </c>
      <c r="J364" s="241">
        <v>45684.0</v>
      </c>
      <c r="K364" s="241">
        <v>45684.0</v>
      </c>
      <c r="M364" s="50" t="s">
        <v>20</v>
      </c>
      <c r="N364" s="50">
        <v>3.30421781E8</v>
      </c>
      <c r="O364" s="50">
        <v>170288.0</v>
      </c>
      <c r="Q364" s="50" t="s">
        <v>218</v>
      </c>
      <c r="R364" s="50">
        <v>170288.0</v>
      </c>
    </row>
    <row r="365" ht="13.5" customHeight="1">
      <c r="B365" s="50" t="s">
        <v>20</v>
      </c>
      <c r="C365" s="50">
        <v>3.30421782E8</v>
      </c>
      <c r="D365" s="50" t="s">
        <v>172</v>
      </c>
      <c r="E365" s="55">
        <v>1207.72</v>
      </c>
      <c r="F365" s="50">
        <v>1207.72</v>
      </c>
      <c r="J365" s="241">
        <v>45684.0</v>
      </c>
      <c r="K365" s="241">
        <v>45684.0</v>
      </c>
      <c r="M365" s="50" t="s">
        <v>20</v>
      </c>
      <c r="N365" s="50">
        <v>3.30421782E8</v>
      </c>
      <c r="O365" s="50">
        <v>170288.0</v>
      </c>
      <c r="Q365" s="50" t="s">
        <v>529</v>
      </c>
      <c r="R365" s="50">
        <v>170288.0</v>
      </c>
    </row>
    <row r="366" ht="13.5" customHeight="1">
      <c r="B366" s="50" t="s">
        <v>20</v>
      </c>
      <c r="C366" s="50">
        <v>3.30421783E8</v>
      </c>
      <c r="D366" s="50" t="s">
        <v>172</v>
      </c>
      <c r="E366" s="55">
        <v>1350.82</v>
      </c>
      <c r="F366" s="50">
        <v>1350.82</v>
      </c>
      <c r="J366" s="241">
        <v>45684.0</v>
      </c>
      <c r="K366" s="241">
        <v>45684.0</v>
      </c>
      <c r="M366" s="50" t="s">
        <v>20</v>
      </c>
      <c r="N366" s="50">
        <v>3.30421783E8</v>
      </c>
      <c r="O366" s="50">
        <v>170288.0</v>
      </c>
      <c r="Q366" s="50" t="s">
        <v>530</v>
      </c>
      <c r="R366" s="50">
        <v>170288.0</v>
      </c>
    </row>
    <row r="367" ht="13.5" customHeight="1">
      <c r="B367" s="50" t="s">
        <v>20</v>
      </c>
      <c r="C367" s="50">
        <v>3.30421784E8</v>
      </c>
      <c r="D367" s="50" t="s">
        <v>172</v>
      </c>
      <c r="E367" s="55">
        <v>1493.92</v>
      </c>
      <c r="F367" s="50">
        <v>1493.92</v>
      </c>
      <c r="J367" s="241">
        <v>45684.0</v>
      </c>
      <c r="K367" s="241">
        <v>45684.0</v>
      </c>
      <c r="M367" s="50" t="s">
        <v>20</v>
      </c>
      <c r="N367" s="50">
        <v>3.30421784E8</v>
      </c>
      <c r="O367" s="50">
        <v>170288.0</v>
      </c>
      <c r="Q367" s="50" t="s">
        <v>531</v>
      </c>
      <c r="R367" s="50">
        <v>170288.0</v>
      </c>
    </row>
    <row r="368" ht="13.5" customHeight="1">
      <c r="B368" s="50" t="s">
        <v>20</v>
      </c>
      <c r="C368" s="50">
        <v>3.30421785E8</v>
      </c>
      <c r="D368" s="50" t="s">
        <v>172</v>
      </c>
      <c r="E368" s="50">
        <v>621.81</v>
      </c>
      <c r="F368" s="50">
        <v>621.81</v>
      </c>
      <c r="J368" s="241">
        <v>45684.0</v>
      </c>
      <c r="K368" s="241">
        <v>45684.0</v>
      </c>
      <c r="M368" s="50" t="s">
        <v>20</v>
      </c>
      <c r="N368" s="50">
        <v>3.30421785E8</v>
      </c>
      <c r="O368" s="50">
        <v>170288.0</v>
      </c>
      <c r="Q368" s="50" t="s">
        <v>532</v>
      </c>
      <c r="R368" s="50">
        <v>170288.0</v>
      </c>
    </row>
    <row r="369" ht="13.5" customHeight="1">
      <c r="B369" s="50" t="s">
        <v>20</v>
      </c>
      <c r="C369" s="50">
        <v>3.30421786E8</v>
      </c>
      <c r="D369" s="50" t="s">
        <v>172</v>
      </c>
      <c r="E369" s="55">
        <v>1493.92</v>
      </c>
      <c r="F369" s="50">
        <v>1493.92</v>
      </c>
      <c r="J369" s="241">
        <v>45684.0</v>
      </c>
      <c r="K369" s="241">
        <v>45684.0</v>
      </c>
      <c r="M369" s="50" t="s">
        <v>20</v>
      </c>
      <c r="N369" s="50">
        <v>3.30421786E8</v>
      </c>
      <c r="O369" s="50">
        <v>170288.0</v>
      </c>
      <c r="Q369" s="50" t="s">
        <v>533</v>
      </c>
      <c r="R369" s="50">
        <v>170288.0</v>
      </c>
    </row>
    <row r="370" ht="13.5" customHeight="1">
      <c r="B370" s="50" t="s">
        <v>20</v>
      </c>
      <c r="C370" s="50">
        <v>3.30421787E8</v>
      </c>
      <c r="D370" s="50" t="s">
        <v>172</v>
      </c>
      <c r="E370" s="50">
        <v>111.48</v>
      </c>
      <c r="F370" s="50">
        <v>111.48</v>
      </c>
      <c r="J370" s="241">
        <v>45684.0</v>
      </c>
      <c r="K370" s="241">
        <v>45684.0</v>
      </c>
      <c r="M370" s="50" t="s">
        <v>20</v>
      </c>
      <c r="N370" s="50">
        <v>3.30421787E8</v>
      </c>
      <c r="O370" s="50">
        <v>170288.0</v>
      </c>
      <c r="Q370" s="50" t="s">
        <v>534</v>
      </c>
      <c r="R370" s="50">
        <v>170288.0</v>
      </c>
    </row>
    <row r="371" ht="13.5" customHeight="1">
      <c r="B371" s="50" t="s">
        <v>20</v>
      </c>
      <c r="C371" s="50">
        <v>3.30421788E8</v>
      </c>
      <c r="D371" s="50" t="s">
        <v>172</v>
      </c>
      <c r="E371" s="55">
        <v>1207.72</v>
      </c>
      <c r="F371" s="50">
        <v>1207.72</v>
      </c>
      <c r="J371" s="241">
        <v>45684.0</v>
      </c>
      <c r="K371" s="241">
        <v>45684.0</v>
      </c>
      <c r="M371" s="50" t="s">
        <v>20</v>
      </c>
      <c r="N371" s="50">
        <v>3.30421788E8</v>
      </c>
      <c r="O371" s="50">
        <v>170288.0</v>
      </c>
      <c r="Q371" s="50" t="s">
        <v>535</v>
      </c>
      <c r="R371" s="50">
        <v>170288.0</v>
      </c>
    </row>
    <row r="372" ht="13.5" customHeight="1">
      <c r="B372" s="50" t="s">
        <v>20</v>
      </c>
      <c r="C372" s="50">
        <v>3.30421789E8</v>
      </c>
      <c r="D372" s="50" t="s">
        <v>172</v>
      </c>
      <c r="E372" s="50">
        <v>455.24</v>
      </c>
      <c r="F372" s="50">
        <v>455.24</v>
      </c>
      <c r="J372" s="241">
        <v>45684.0</v>
      </c>
      <c r="K372" s="241">
        <v>45684.0</v>
      </c>
      <c r="M372" s="50" t="s">
        <v>20</v>
      </c>
      <c r="N372" s="50">
        <v>3.30421789E8</v>
      </c>
      <c r="O372" s="50">
        <v>170288.0</v>
      </c>
      <c r="Q372" s="50" t="s">
        <v>221</v>
      </c>
      <c r="R372" s="50">
        <v>170288.0</v>
      </c>
    </row>
    <row r="373" ht="13.5" customHeight="1">
      <c r="B373" s="50" t="s">
        <v>20</v>
      </c>
      <c r="C373" s="50">
        <v>3.3042179E8</v>
      </c>
      <c r="D373" s="50" t="s">
        <v>172</v>
      </c>
      <c r="E373" s="55">
        <v>2021.9</v>
      </c>
      <c r="F373" s="50">
        <v>2021.9</v>
      </c>
      <c r="J373" s="241">
        <v>45684.0</v>
      </c>
      <c r="K373" s="241">
        <v>45684.0</v>
      </c>
      <c r="M373" s="50" t="s">
        <v>20</v>
      </c>
      <c r="N373" s="50">
        <v>3.3042179E8</v>
      </c>
      <c r="O373" s="50">
        <v>170288.0</v>
      </c>
      <c r="Q373" s="50" t="s">
        <v>536</v>
      </c>
      <c r="R373" s="50">
        <v>170288.0</v>
      </c>
    </row>
    <row r="374" ht="13.5" customHeight="1">
      <c r="B374" s="50" t="s">
        <v>20</v>
      </c>
      <c r="C374" s="50">
        <v>3.30421791E8</v>
      </c>
      <c r="D374" s="50" t="s">
        <v>172</v>
      </c>
      <c r="E374" s="55">
        <v>1255.42</v>
      </c>
      <c r="F374" s="50">
        <v>1255.42</v>
      </c>
      <c r="J374" s="241">
        <v>45684.0</v>
      </c>
      <c r="K374" s="241">
        <v>45684.0</v>
      </c>
      <c r="M374" s="50" t="s">
        <v>20</v>
      </c>
      <c r="N374" s="50">
        <v>3.30421791E8</v>
      </c>
      <c r="O374" s="50">
        <v>170288.0</v>
      </c>
      <c r="Q374" s="50" t="s">
        <v>222</v>
      </c>
      <c r="R374" s="50">
        <v>170288.0</v>
      </c>
    </row>
    <row r="375" ht="13.5" customHeight="1">
      <c r="B375" s="50" t="s">
        <v>20</v>
      </c>
      <c r="C375" s="50">
        <v>3.30421792E8</v>
      </c>
      <c r="D375" s="50" t="s">
        <v>172</v>
      </c>
      <c r="E375" s="55">
        <v>1493.92</v>
      </c>
      <c r="F375" s="50">
        <v>1493.92</v>
      </c>
      <c r="J375" s="241">
        <v>45684.0</v>
      </c>
      <c r="K375" s="241">
        <v>45684.0</v>
      </c>
      <c r="M375" s="50" t="s">
        <v>20</v>
      </c>
      <c r="N375" s="50">
        <v>3.30421792E8</v>
      </c>
      <c r="O375" s="50">
        <v>170288.0</v>
      </c>
      <c r="Q375" s="50" t="s">
        <v>537</v>
      </c>
      <c r="R375" s="50">
        <v>170288.0</v>
      </c>
    </row>
    <row r="376" ht="13.5" customHeight="1">
      <c r="B376" s="50" t="s">
        <v>20</v>
      </c>
      <c r="C376" s="50">
        <v>3.30421793E8</v>
      </c>
      <c r="D376" s="50" t="s">
        <v>172</v>
      </c>
      <c r="E376" s="55">
        <v>1493.92</v>
      </c>
      <c r="F376" s="50">
        <v>1493.92</v>
      </c>
      <c r="J376" s="241">
        <v>45684.0</v>
      </c>
      <c r="K376" s="241">
        <v>45684.0</v>
      </c>
      <c r="M376" s="50" t="s">
        <v>20</v>
      </c>
      <c r="N376" s="50">
        <v>3.30421793E8</v>
      </c>
      <c r="O376" s="50">
        <v>170288.0</v>
      </c>
      <c r="Q376" s="50" t="s">
        <v>538</v>
      </c>
      <c r="R376" s="50">
        <v>170288.0</v>
      </c>
    </row>
    <row r="377" ht="13.5" customHeight="1">
      <c r="B377" s="50" t="s">
        <v>20</v>
      </c>
      <c r="C377" s="50">
        <v>3.30421794E8</v>
      </c>
      <c r="D377" s="50" t="s">
        <v>172</v>
      </c>
      <c r="E377" s="55">
        <v>1493.92</v>
      </c>
      <c r="F377" s="50">
        <v>1493.92</v>
      </c>
      <c r="J377" s="241">
        <v>45684.0</v>
      </c>
      <c r="K377" s="241">
        <v>45684.0</v>
      </c>
      <c r="M377" s="50" t="s">
        <v>20</v>
      </c>
      <c r="N377" s="50">
        <v>3.30421794E8</v>
      </c>
      <c r="O377" s="50">
        <v>170288.0</v>
      </c>
      <c r="Q377" s="50" t="s">
        <v>539</v>
      </c>
      <c r="R377" s="50">
        <v>170288.0</v>
      </c>
    </row>
    <row r="378" ht="13.5" customHeight="1">
      <c r="B378" s="50" t="s">
        <v>20</v>
      </c>
      <c r="C378" s="50">
        <v>3.30421795E8</v>
      </c>
      <c r="D378" s="50" t="s">
        <v>172</v>
      </c>
      <c r="E378" s="55">
        <v>1350.82</v>
      </c>
      <c r="F378" s="50">
        <v>1350.82</v>
      </c>
      <c r="J378" s="241">
        <v>45684.0</v>
      </c>
      <c r="K378" s="241">
        <v>45684.0</v>
      </c>
      <c r="M378" s="50" t="s">
        <v>20</v>
      </c>
      <c r="N378" s="50">
        <v>3.30421795E8</v>
      </c>
      <c r="O378" s="50">
        <v>170288.0</v>
      </c>
      <c r="Q378" s="50" t="s">
        <v>540</v>
      </c>
      <c r="R378" s="50">
        <v>170288.0</v>
      </c>
    </row>
    <row r="379" ht="13.5" customHeight="1">
      <c r="B379" s="50" t="s">
        <v>20</v>
      </c>
      <c r="C379" s="50">
        <v>3.30421796E8</v>
      </c>
      <c r="D379" s="50" t="s">
        <v>172</v>
      </c>
      <c r="E379" s="55">
        <v>1255.42</v>
      </c>
      <c r="F379" s="50">
        <v>1255.42</v>
      </c>
      <c r="J379" s="241">
        <v>45684.0</v>
      </c>
      <c r="K379" s="241">
        <v>45684.0</v>
      </c>
      <c r="M379" s="50" t="s">
        <v>20</v>
      </c>
      <c r="N379" s="50">
        <v>3.30421796E8</v>
      </c>
      <c r="O379" s="50">
        <v>170288.0</v>
      </c>
      <c r="Q379" s="50" t="s">
        <v>541</v>
      </c>
      <c r="R379" s="50">
        <v>170288.0</v>
      </c>
    </row>
    <row r="380" ht="13.5" customHeight="1">
      <c r="B380" s="50" t="s">
        <v>20</v>
      </c>
      <c r="C380" s="50">
        <v>3.30421797E8</v>
      </c>
      <c r="D380" s="50" t="s">
        <v>172</v>
      </c>
      <c r="E380" s="50">
        <v>270.0</v>
      </c>
      <c r="F380" s="50">
        <v>270.0</v>
      </c>
      <c r="J380" s="241">
        <v>45684.0</v>
      </c>
      <c r="K380" s="241">
        <v>45684.0</v>
      </c>
      <c r="M380" s="50" t="s">
        <v>20</v>
      </c>
      <c r="N380" s="50">
        <v>3.30421797E8</v>
      </c>
      <c r="O380" s="50">
        <v>170288.0</v>
      </c>
      <c r="Q380" s="50" t="s">
        <v>542</v>
      </c>
      <c r="R380" s="50">
        <v>170288.0</v>
      </c>
    </row>
    <row r="381" ht="13.5" customHeight="1">
      <c r="B381" s="50" t="s">
        <v>20</v>
      </c>
      <c r="C381" s="50">
        <v>3.30421798E8</v>
      </c>
      <c r="D381" s="50" t="s">
        <v>172</v>
      </c>
      <c r="E381" s="55">
        <v>1672.98</v>
      </c>
      <c r="F381" s="50">
        <v>1672.98</v>
      </c>
      <c r="J381" s="241">
        <v>45684.0</v>
      </c>
      <c r="K381" s="241">
        <v>45684.0</v>
      </c>
      <c r="M381" s="50" t="s">
        <v>20</v>
      </c>
      <c r="N381" s="50">
        <v>3.30421798E8</v>
      </c>
      <c r="O381" s="50">
        <v>170288.0</v>
      </c>
      <c r="Q381" s="50" t="s">
        <v>543</v>
      </c>
      <c r="R381" s="50">
        <v>170288.0</v>
      </c>
    </row>
    <row r="382" ht="13.5" customHeight="1">
      <c r="B382" s="50" t="s">
        <v>20</v>
      </c>
      <c r="C382" s="50">
        <v>3.30421799E8</v>
      </c>
      <c r="D382" s="50" t="s">
        <v>172</v>
      </c>
      <c r="E382" s="55">
        <v>1398.52</v>
      </c>
      <c r="F382" s="50">
        <v>1398.52</v>
      </c>
      <c r="J382" s="241">
        <v>45684.0</v>
      </c>
      <c r="K382" s="241">
        <v>45684.0</v>
      </c>
      <c r="M382" s="50" t="s">
        <v>20</v>
      </c>
      <c r="N382" s="50">
        <v>3.30421799E8</v>
      </c>
      <c r="O382" s="50">
        <v>170288.0</v>
      </c>
      <c r="Q382" s="50" t="s">
        <v>544</v>
      </c>
      <c r="R382" s="50">
        <v>170288.0</v>
      </c>
    </row>
    <row r="383" ht="13.5" customHeight="1">
      <c r="B383" s="50" t="s">
        <v>20</v>
      </c>
      <c r="C383" s="50">
        <v>3.304218E8</v>
      </c>
      <c r="D383" s="50" t="s">
        <v>172</v>
      </c>
      <c r="E383" s="50">
        <v>621.81</v>
      </c>
      <c r="F383" s="50">
        <v>621.81</v>
      </c>
      <c r="J383" s="241">
        <v>45684.0</v>
      </c>
      <c r="K383" s="241">
        <v>45684.0</v>
      </c>
      <c r="M383" s="50" t="s">
        <v>20</v>
      </c>
      <c r="N383" s="50">
        <v>3.304218E8</v>
      </c>
      <c r="O383" s="50">
        <v>170288.0</v>
      </c>
      <c r="Q383" s="50" t="s">
        <v>545</v>
      </c>
      <c r="R383" s="50">
        <v>170288.0</v>
      </c>
    </row>
    <row r="384" ht="13.5" customHeight="1">
      <c r="B384" s="50" t="s">
        <v>20</v>
      </c>
      <c r="C384" s="50">
        <v>3.30421801E8</v>
      </c>
      <c r="D384" s="50" t="s">
        <v>172</v>
      </c>
      <c r="E384" s="55">
        <v>1511.97</v>
      </c>
      <c r="F384" s="50">
        <v>1511.97</v>
      </c>
      <c r="J384" s="241">
        <v>45684.0</v>
      </c>
      <c r="K384" s="241">
        <v>45684.0</v>
      </c>
      <c r="M384" s="50" t="s">
        <v>20</v>
      </c>
      <c r="N384" s="50">
        <v>3.30421801E8</v>
      </c>
      <c r="O384" s="50">
        <v>170288.0</v>
      </c>
      <c r="Q384" s="50" t="s">
        <v>546</v>
      </c>
      <c r="R384" s="50">
        <v>170288.0</v>
      </c>
    </row>
    <row r="385" ht="13.5" customHeight="1">
      <c r="B385" s="50" t="s">
        <v>20</v>
      </c>
      <c r="C385" s="50">
        <v>3.30421802E8</v>
      </c>
      <c r="D385" s="50" t="s">
        <v>172</v>
      </c>
      <c r="E385" s="55">
        <v>1243.63</v>
      </c>
      <c r="F385" s="50">
        <v>1243.63</v>
      </c>
      <c r="J385" s="241">
        <v>45684.0</v>
      </c>
      <c r="K385" s="241">
        <v>45684.0</v>
      </c>
      <c r="M385" s="50" t="s">
        <v>20</v>
      </c>
      <c r="N385" s="50">
        <v>3.30421802E8</v>
      </c>
      <c r="O385" s="50">
        <v>170288.0</v>
      </c>
      <c r="Q385" s="50" t="s">
        <v>547</v>
      </c>
      <c r="R385" s="50">
        <v>170288.0</v>
      </c>
    </row>
    <row r="386" ht="13.5" customHeight="1">
      <c r="B386" s="50" t="s">
        <v>20</v>
      </c>
      <c r="C386" s="50">
        <v>3.30421803E8</v>
      </c>
      <c r="D386" s="50" t="s">
        <v>172</v>
      </c>
      <c r="E386" s="55">
        <v>1672.98</v>
      </c>
      <c r="F386" s="50">
        <v>1672.98</v>
      </c>
      <c r="J386" s="241">
        <v>45684.0</v>
      </c>
      <c r="K386" s="241">
        <v>45684.0</v>
      </c>
      <c r="M386" s="50" t="s">
        <v>20</v>
      </c>
      <c r="N386" s="50">
        <v>3.30421803E8</v>
      </c>
      <c r="O386" s="50">
        <v>170288.0</v>
      </c>
      <c r="Q386" s="50" t="s">
        <v>548</v>
      </c>
      <c r="R386" s="50">
        <v>170288.0</v>
      </c>
    </row>
    <row r="387" ht="13.5" customHeight="1">
      <c r="B387" s="50" t="s">
        <v>20</v>
      </c>
      <c r="C387" s="50">
        <v>3.30421804E8</v>
      </c>
      <c r="D387" s="50" t="s">
        <v>172</v>
      </c>
      <c r="E387" s="55">
        <v>1398.52</v>
      </c>
      <c r="F387" s="50">
        <v>1398.52</v>
      </c>
      <c r="J387" s="241">
        <v>45684.0</v>
      </c>
      <c r="K387" s="241">
        <v>45684.0</v>
      </c>
      <c r="M387" s="50" t="s">
        <v>20</v>
      </c>
      <c r="N387" s="50">
        <v>3.30421804E8</v>
      </c>
      <c r="O387" s="50">
        <v>170288.0</v>
      </c>
      <c r="Q387" s="50" t="s">
        <v>549</v>
      </c>
      <c r="R387" s="50">
        <v>170288.0</v>
      </c>
    </row>
    <row r="388" ht="13.5" customHeight="1">
      <c r="B388" s="50" t="s">
        <v>20</v>
      </c>
      <c r="C388" s="50">
        <v>3.30421805E8</v>
      </c>
      <c r="D388" s="50" t="s">
        <v>172</v>
      </c>
      <c r="E388" s="55">
        <v>1255.42</v>
      </c>
      <c r="F388" s="50">
        <v>1255.42</v>
      </c>
      <c r="J388" s="241">
        <v>45684.0</v>
      </c>
      <c r="K388" s="241">
        <v>45684.0</v>
      </c>
      <c r="M388" s="50" t="s">
        <v>20</v>
      </c>
      <c r="N388" s="50">
        <v>3.30421805E8</v>
      </c>
      <c r="O388" s="50">
        <v>170288.0</v>
      </c>
      <c r="Q388" s="50" t="s">
        <v>550</v>
      </c>
      <c r="R388" s="50">
        <v>170288.0</v>
      </c>
    </row>
    <row r="389" ht="13.5" customHeight="1">
      <c r="B389" s="50" t="s">
        <v>20</v>
      </c>
      <c r="C389" s="50">
        <v>3.30421806E8</v>
      </c>
      <c r="D389" s="50" t="s">
        <v>172</v>
      </c>
      <c r="E389" s="50">
        <v>84.89</v>
      </c>
      <c r="F389" s="50">
        <v>84.89</v>
      </c>
      <c r="J389" s="241">
        <v>45684.0</v>
      </c>
      <c r="K389" s="241">
        <v>45684.0</v>
      </c>
      <c r="M389" s="50" t="s">
        <v>20</v>
      </c>
      <c r="N389" s="50">
        <v>3.30421806E8</v>
      </c>
      <c r="O389" s="50">
        <v>170288.0</v>
      </c>
      <c r="Q389" s="50" t="s">
        <v>551</v>
      </c>
      <c r="R389" s="50">
        <v>170288.0</v>
      </c>
    </row>
    <row r="390" ht="13.5" customHeight="1">
      <c r="B390" s="50" t="s">
        <v>20</v>
      </c>
      <c r="C390" s="50">
        <v>3.30421807E8</v>
      </c>
      <c r="D390" s="50" t="s">
        <v>172</v>
      </c>
      <c r="E390" s="50">
        <v>460.76</v>
      </c>
      <c r="F390" s="50">
        <v>460.76</v>
      </c>
      <c r="J390" s="241">
        <v>45684.0</v>
      </c>
      <c r="K390" s="241">
        <v>45684.0</v>
      </c>
      <c r="M390" s="50" t="s">
        <v>20</v>
      </c>
      <c r="N390" s="50">
        <v>3.30421807E8</v>
      </c>
      <c r="O390" s="50">
        <v>170288.0</v>
      </c>
      <c r="Q390" s="50" t="s">
        <v>552</v>
      </c>
      <c r="R390" s="50">
        <v>170288.0</v>
      </c>
    </row>
    <row r="391" ht="13.5" customHeight="1">
      <c r="B391" s="50" t="s">
        <v>20</v>
      </c>
      <c r="C391" s="50">
        <v>3.30421808E8</v>
      </c>
      <c r="D391" s="50" t="s">
        <v>172</v>
      </c>
      <c r="E391" s="55">
        <v>1548.37</v>
      </c>
      <c r="F391" s="50">
        <v>1548.37</v>
      </c>
      <c r="J391" s="241">
        <v>45684.0</v>
      </c>
      <c r="K391" s="241">
        <v>45684.0</v>
      </c>
      <c r="M391" s="50" t="s">
        <v>20</v>
      </c>
      <c r="N391" s="50">
        <v>3.30421808E8</v>
      </c>
      <c r="O391" s="50">
        <v>170288.0</v>
      </c>
      <c r="Q391" s="50" t="s">
        <v>553</v>
      </c>
      <c r="R391" s="50">
        <v>170288.0</v>
      </c>
    </row>
    <row r="392" ht="13.5" customHeight="1">
      <c r="B392" s="50" t="s">
        <v>20</v>
      </c>
      <c r="C392" s="50">
        <v>3.30421809E8</v>
      </c>
      <c r="D392" s="50" t="s">
        <v>172</v>
      </c>
      <c r="E392" s="50">
        <v>621.81</v>
      </c>
      <c r="F392" s="50">
        <v>621.81</v>
      </c>
      <c r="J392" s="241">
        <v>45684.0</v>
      </c>
      <c r="K392" s="241">
        <v>45684.0</v>
      </c>
      <c r="M392" s="50" t="s">
        <v>20</v>
      </c>
      <c r="N392" s="50">
        <v>3.30421809E8</v>
      </c>
      <c r="O392" s="50">
        <v>170288.0</v>
      </c>
      <c r="Q392" s="50" t="s">
        <v>554</v>
      </c>
      <c r="R392" s="50">
        <v>170288.0</v>
      </c>
    </row>
    <row r="393" ht="13.5" customHeight="1">
      <c r="B393" s="50" t="s">
        <v>20</v>
      </c>
      <c r="C393" s="50">
        <v>3.3042181E8</v>
      </c>
      <c r="D393" s="50" t="s">
        <v>172</v>
      </c>
      <c r="E393" s="50">
        <v>826.11</v>
      </c>
      <c r="F393" s="50">
        <v>826.11</v>
      </c>
      <c r="J393" s="241">
        <v>45684.0</v>
      </c>
      <c r="K393" s="241">
        <v>45684.0</v>
      </c>
      <c r="M393" s="50" t="s">
        <v>20</v>
      </c>
      <c r="N393" s="50">
        <v>3.3042181E8</v>
      </c>
      <c r="O393" s="50">
        <v>170288.0</v>
      </c>
      <c r="Q393" s="50" t="s">
        <v>555</v>
      </c>
      <c r="R393" s="50">
        <v>170288.0</v>
      </c>
    </row>
    <row r="394" ht="13.5" customHeight="1">
      <c r="B394" s="50" t="s">
        <v>20</v>
      </c>
      <c r="C394" s="50">
        <v>3.30421811E8</v>
      </c>
      <c r="D394" s="50" t="s">
        <v>172</v>
      </c>
      <c r="E394" s="55">
        <v>1255.42</v>
      </c>
      <c r="F394" s="50">
        <v>1255.42</v>
      </c>
      <c r="J394" s="241">
        <v>45684.0</v>
      </c>
      <c r="K394" s="241">
        <v>45684.0</v>
      </c>
      <c r="M394" s="50" t="s">
        <v>20</v>
      </c>
      <c r="N394" s="50">
        <v>3.30421811E8</v>
      </c>
      <c r="O394" s="50">
        <v>170288.0</v>
      </c>
      <c r="Q394" s="50" t="s">
        <v>556</v>
      </c>
      <c r="R394" s="50">
        <v>170288.0</v>
      </c>
    </row>
    <row r="395" ht="13.5" customHeight="1">
      <c r="B395" s="50" t="s">
        <v>20</v>
      </c>
      <c r="C395" s="50">
        <v>3.30421812E8</v>
      </c>
      <c r="D395" s="50" t="s">
        <v>172</v>
      </c>
      <c r="E395" s="50">
        <v>660.46</v>
      </c>
      <c r="F395" s="50">
        <v>660.46</v>
      </c>
      <c r="J395" s="241">
        <v>45684.0</v>
      </c>
      <c r="K395" s="241">
        <v>45684.0</v>
      </c>
      <c r="M395" s="50" t="s">
        <v>20</v>
      </c>
      <c r="N395" s="50">
        <v>3.30421812E8</v>
      </c>
      <c r="O395" s="50">
        <v>170288.0</v>
      </c>
      <c r="Q395" s="50" t="s">
        <v>557</v>
      </c>
      <c r="R395" s="50">
        <v>170288.0</v>
      </c>
    </row>
    <row r="396" ht="13.5" customHeight="1">
      <c r="B396" s="50" t="s">
        <v>20</v>
      </c>
      <c r="C396" s="50">
        <v>3.30421813E8</v>
      </c>
      <c r="D396" s="50" t="s">
        <v>172</v>
      </c>
      <c r="E396" s="55">
        <v>1255.42</v>
      </c>
      <c r="F396" s="50">
        <v>1255.42</v>
      </c>
      <c r="J396" s="241">
        <v>45684.0</v>
      </c>
      <c r="K396" s="241">
        <v>45684.0</v>
      </c>
      <c r="M396" s="50" t="s">
        <v>20</v>
      </c>
      <c r="N396" s="50">
        <v>3.30421813E8</v>
      </c>
      <c r="O396" s="50">
        <v>170288.0</v>
      </c>
      <c r="Q396" s="50" t="s">
        <v>558</v>
      </c>
      <c r="R396" s="50">
        <v>170288.0</v>
      </c>
    </row>
    <row r="397" ht="13.5" customHeight="1">
      <c r="B397" s="50" t="s">
        <v>20</v>
      </c>
      <c r="C397" s="50">
        <v>3.30421814E8</v>
      </c>
      <c r="D397" s="50" t="s">
        <v>172</v>
      </c>
      <c r="E397" s="55">
        <v>1518.0</v>
      </c>
      <c r="F397" s="50">
        <v>1518.0</v>
      </c>
      <c r="J397" s="241">
        <v>45684.0</v>
      </c>
      <c r="K397" s="241">
        <v>45684.0</v>
      </c>
      <c r="M397" s="50" t="s">
        <v>20</v>
      </c>
      <c r="N397" s="50">
        <v>3.30421814E8</v>
      </c>
      <c r="O397" s="50">
        <v>170288.0</v>
      </c>
      <c r="Q397" s="50" t="s">
        <v>559</v>
      </c>
      <c r="R397" s="50">
        <v>170288.0</v>
      </c>
    </row>
    <row r="398" ht="13.5" customHeight="1">
      <c r="B398" s="50" t="s">
        <v>20</v>
      </c>
      <c r="C398" s="50">
        <v>3.30421815E8</v>
      </c>
      <c r="D398" s="50" t="s">
        <v>172</v>
      </c>
      <c r="E398" s="55">
        <v>1398.52</v>
      </c>
      <c r="F398" s="50">
        <v>1398.52</v>
      </c>
      <c r="J398" s="241">
        <v>45684.0</v>
      </c>
      <c r="K398" s="241">
        <v>45684.0</v>
      </c>
      <c r="M398" s="50" t="s">
        <v>20</v>
      </c>
      <c r="N398" s="50">
        <v>3.30421815E8</v>
      </c>
      <c r="O398" s="50">
        <v>170288.0</v>
      </c>
      <c r="Q398" s="50" t="s">
        <v>560</v>
      </c>
      <c r="R398" s="50">
        <v>170288.0</v>
      </c>
    </row>
    <row r="399" ht="13.5" customHeight="1">
      <c r="B399" s="50" t="s">
        <v>20</v>
      </c>
      <c r="C399" s="50">
        <v>3.30421816E8</v>
      </c>
      <c r="D399" s="50" t="s">
        <v>172</v>
      </c>
      <c r="E399" s="55">
        <v>3854.26</v>
      </c>
      <c r="F399" s="50">
        <v>3854.26</v>
      </c>
      <c r="J399" s="241">
        <v>45684.0</v>
      </c>
      <c r="K399" s="241">
        <v>45684.0</v>
      </c>
      <c r="M399" s="50" t="s">
        <v>20</v>
      </c>
      <c r="N399" s="50">
        <v>3.30421816E8</v>
      </c>
      <c r="O399" s="50">
        <v>170288.0</v>
      </c>
      <c r="Q399" s="50" t="s">
        <v>561</v>
      </c>
      <c r="R399" s="50">
        <v>170288.0</v>
      </c>
    </row>
    <row r="400" ht="13.5" customHeight="1">
      <c r="B400" s="50" t="s">
        <v>20</v>
      </c>
      <c r="C400" s="50">
        <v>3.30421818E8</v>
      </c>
      <c r="D400" s="50" t="s">
        <v>172</v>
      </c>
      <c r="E400" s="55">
        <v>1404.63</v>
      </c>
      <c r="F400" s="50">
        <v>1404.63</v>
      </c>
      <c r="J400" s="241">
        <v>45684.0</v>
      </c>
      <c r="K400" s="241">
        <v>45684.0</v>
      </c>
      <c r="M400" s="50" t="s">
        <v>20</v>
      </c>
      <c r="N400" s="50">
        <v>3.30421818E8</v>
      </c>
      <c r="O400" s="50">
        <v>170288.0</v>
      </c>
      <c r="Q400" s="50" t="s">
        <v>562</v>
      </c>
      <c r="R400" s="50">
        <v>170288.0</v>
      </c>
    </row>
    <row r="401" ht="13.5" customHeight="1">
      <c r="B401" s="50" t="s">
        <v>20</v>
      </c>
      <c r="C401" s="50">
        <v>3.30421819E8</v>
      </c>
      <c r="D401" s="50" t="s">
        <v>172</v>
      </c>
      <c r="E401" s="50">
        <v>621.81</v>
      </c>
      <c r="F401" s="50">
        <v>621.81</v>
      </c>
      <c r="J401" s="241">
        <v>45684.0</v>
      </c>
      <c r="K401" s="241">
        <v>45684.0</v>
      </c>
      <c r="M401" s="50" t="s">
        <v>20</v>
      </c>
      <c r="N401" s="50">
        <v>3.30421819E8</v>
      </c>
      <c r="O401" s="50">
        <v>170288.0</v>
      </c>
      <c r="Q401" s="50" t="s">
        <v>563</v>
      </c>
      <c r="R401" s="50">
        <v>170288.0</v>
      </c>
    </row>
    <row r="402" ht="13.5" customHeight="1">
      <c r="B402" s="50" t="s">
        <v>20</v>
      </c>
      <c r="C402" s="50">
        <v>3.3042182E8</v>
      </c>
      <c r="D402" s="50" t="s">
        <v>172</v>
      </c>
      <c r="E402" s="55">
        <v>1112.31</v>
      </c>
      <c r="F402" s="50">
        <v>1112.31</v>
      </c>
      <c r="J402" s="241">
        <v>45684.0</v>
      </c>
      <c r="K402" s="241">
        <v>45684.0</v>
      </c>
      <c r="M402" s="50" t="s">
        <v>20</v>
      </c>
      <c r="N402" s="50">
        <v>3.3042182E8</v>
      </c>
      <c r="O402" s="50">
        <v>170288.0</v>
      </c>
      <c r="Q402" s="50" t="s">
        <v>564</v>
      </c>
      <c r="R402" s="50">
        <v>170288.0</v>
      </c>
    </row>
    <row r="403" ht="13.5" customHeight="1">
      <c r="B403" s="50" t="s">
        <v>20</v>
      </c>
      <c r="C403" s="50">
        <v>3.30421821E8</v>
      </c>
      <c r="D403" s="50" t="s">
        <v>172</v>
      </c>
      <c r="E403" s="55">
        <v>1672.98</v>
      </c>
      <c r="F403" s="50">
        <v>1672.98</v>
      </c>
      <c r="J403" s="241">
        <v>45684.0</v>
      </c>
      <c r="K403" s="241">
        <v>45684.0</v>
      </c>
      <c r="M403" s="50" t="s">
        <v>20</v>
      </c>
      <c r="N403" s="50">
        <v>3.30421821E8</v>
      </c>
      <c r="O403" s="50">
        <v>170288.0</v>
      </c>
      <c r="Q403" s="50" t="s">
        <v>565</v>
      </c>
      <c r="R403" s="50">
        <v>170288.0</v>
      </c>
    </row>
    <row r="404" ht="13.5" customHeight="1">
      <c r="B404" s="50" t="s">
        <v>20</v>
      </c>
      <c r="C404" s="50">
        <v>3.30421822E8</v>
      </c>
      <c r="D404" s="50" t="s">
        <v>172</v>
      </c>
      <c r="E404" s="50">
        <v>873.81</v>
      </c>
      <c r="F404" s="50">
        <v>873.81</v>
      </c>
      <c r="J404" s="241">
        <v>45684.0</v>
      </c>
      <c r="K404" s="241">
        <v>45684.0</v>
      </c>
      <c r="M404" s="50" t="s">
        <v>20</v>
      </c>
      <c r="N404" s="50">
        <v>3.30421822E8</v>
      </c>
      <c r="O404" s="50">
        <v>170288.0</v>
      </c>
      <c r="Q404" s="50" t="s">
        <v>566</v>
      </c>
      <c r="R404" s="50">
        <v>170288.0</v>
      </c>
    </row>
    <row r="405" ht="13.5" customHeight="1">
      <c r="B405" s="50" t="s">
        <v>20</v>
      </c>
      <c r="C405" s="50">
        <v>3.30421823E8</v>
      </c>
      <c r="D405" s="50" t="s">
        <v>172</v>
      </c>
      <c r="E405" s="50">
        <v>74.16</v>
      </c>
      <c r="F405" s="50">
        <v>74.16</v>
      </c>
      <c r="J405" s="241">
        <v>45684.0</v>
      </c>
      <c r="K405" s="241">
        <v>45684.0</v>
      </c>
      <c r="M405" s="50" t="s">
        <v>20</v>
      </c>
      <c r="N405" s="50">
        <v>3.30421823E8</v>
      </c>
      <c r="O405" s="50">
        <v>170288.0</v>
      </c>
      <c r="Q405" s="50" t="s">
        <v>567</v>
      </c>
      <c r="R405" s="50">
        <v>170288.0</v>
      </c>
    </row>
    <row r="406" ht="13.5" customHeight="1">
      <c r="B406" s="50" t="s">
        <v>20</v>
      </c>
      <c r="C406" s="50">
        <v>3.30421824E8</v>
      </c>
      <c r="D406" s="50" t="s">
        <v>172</v>
      </c>
      <c r="E406" s="55">
        <v>1493.92</v>
      </c>
      <c r="F406" s="50">
        <v>1493.92</v>
      </c>
      <c r="J406" s="241">
        <v>45684.0</v>
      </c>
      <c r="K406" s="241">
        <v>45684.0</v>
      </c>
      <c r="M406" s="50" t="s">
        <v>20</v>
      </c>
      <c r="N406" s="50">
        <v>3.30421824E8</v>
      </c>
      <c r="O406" s="50">
        <v>170288.0</v>
      </c>
      <c r="Q406" s="50" t="s">
        <v>229</v>
      </c>
      <c r="R406" s="50">
        <v>170288.0</v>
      </c>
    </row>
    <row r="407" ht="13.5" customHeight="1">
      <c r="B407" s="50" t="s">
        <v>20</v>
      </c>
      <c r="C407" s="50">
        <v>3.30421825E8</v>
      </c>
      <c r="D407" s="50" t="s">
        <v>172</v>
      </c>
      <c r="E407" s="50">
        <v>36.69</v>
      </c>
      <c r="F407" s="50">
        <v>36.69</v>
      </c>
      <c r="J407" s="241">
        <v>45684.0</v>
      </c>
      <c r="K407" s="241">
        <v>45684.0</v>
      </c>
      <c r="M407" s="50" t="s">
        <v>20</v>
      </c>
      <c r="N407" s="50">
        <v>3.30421825E8</v>
      </c>
      <c r="O407" s="50">
        <v>170288.0</v>
      </c>
      <c r="Q407" s="50" t="s">
        <v>568</v>
      </c>
      <c r="R407" s="50">
        <v>170288.0</v>
      </c>
    </row>
    <row r="408" ht="13.5" customHeight="1">
      <c r="B408" s="50" t="s">
        <v>20</v>
      </c>
      <c r="C408" s="50">
        <v>3.30421826E8</v>
      </c>
      <c r="D408" s="50" t="s">
        <v>172</v>
      </c>
      <c r="E408" s="55">
        <v>1511.97</v>
      </c>
      <c r="F408" s="50">
        <v>1511.97</v>
      </c>
      <c r="J408" s="241">
        <v>45684.0</v>
      </c>
      <c r="K408" s="241">
        <v>45684.0</v>
      </c>
      <c r="M408" s="50" t="s">
        <v>20</v>
      </c>
      <c r="N408" s="50">
        <v>3.30421826E8</v>
      </c>
      <c r="O408" s="50">
        <v>170288.0</v>
      </c>
      <c r="Q408" s="50" t="s">
        <v>569</v>
      </c>
      <c r="R408" s="50">
        <v>170288.0</v>
      </c>
    </row>
    <row r="409" ht="13.5" customHeight="1">
      <c r="B409" s="50" t="s">
        <v>20</v>
      </c>
      <c r="C409" s="50">
        <v>3.30421827E8</v>
      </c>
      <c r="D409" s="50" t="s">
        <v>172</v>
      </c>
      <c r="E409" s="55">
        <v>3157.17</v>
      </c>
      <c r="F409" s="50">
        <v>3157.17</v>
      </c>
      <c r="J409" s="241">
        <v>45684.0</v>
      </c>
      <c r="K409" s="241">
        <v>45684.0</v>
      </c>
      <c r="M409" s="50" t="s">
        <v>20</v>
      </c>
      <c r="N409" s="50">
        <v>3.30421827E8</v>
      </c>
      <c r="O409" s="50">
        <v>170288.0</v>
      </c>
      <c r="Q409" s="50" t="s">
        <v>570</v>
      </c>
      <c r="R409" s="50">
        <v>170288.0</v>
      </c>
    </row>
    <row r="410" ht="13.5" customHeight="1">
      <c r="B410" s="50" t="s">
        <v>20</v>
      </c>
      <c r="C410" s="50">
        <v>3.30421828E8</v>
      </c>
      <c r="D410" s="50" t="s">
        <v>172</v>
      </c>
      <c r="E410" s="55">
        <v>1812.22</v>
      </c>
      <c r="F410" s="50">
        <v>1812.22</v>
      </c>
      <c r="J410" s="241">
        <v>45684.0</v>
      </c>
      <c r="K410" s="241">
        <v>45684.0</v>
      </c>
      <c r="M410" s="50" t="s">
        <v>20</v>
      </c>
      <c r="N410" s="50">
        <v>3.30421828E8</v>
      </c>
      <c r="O410" s="50">
        <v>170288.0</v>
      </c>
      <c r="Q410" s="50" t="s">
        <v>571</v>
      </c>
      <c r="R410" s="50">
        <v>170288.0</v>
      </c>
    </row>
    <row r="411" ht="13.5" customHeight="1">
      <c r="B411" s="50" t="s">
        <v>20</v>
      </c>
      <c r="C411" s="50">
        <v>3.30421829E8</v>
      </c>
      <c r="D411" s="50" t="s">
        <v>172</v>
      </c>
      <c r="E411" s="55">
        <v>1243.63</v>
      </c>
      <c r="F411" s="50">
        <v>1243.63</v>
      </c>
      <c r="J411" s="241">
        <v>45684.0</v>
      </c>
      <c r="K411" s="241">
        <v>45684.0</v>
      </c>
      <c r="M411" s="50" t="s">
        <v>20</v>
      </c>
      <c r="N411" s="50">
        <v>3.30421829E8</v>
      </c>
      <c r="O411" s="50">
        <v>170288.0</v>
      </c>
      <c r="Q411" s="50" t="s">
        <v>231</v>
      </c>
      <c r="R411" s="50">
        <v>170288.0</v>
      </c>
    </row>
    <row r="412" ht="13.5" customHeight="1">
      <c r="B412" s="50" t="s">
        <v>20</v>
      </c>
      <c r="C412" s="50">
        <v>3.3042183E8</v>
      </c>
      <c r="D412" s="50" t="s">
        <v>172</v>
      </c>
      <c r="E412" s="55">
        <v>1672.98</v>
      </c>
      <c r="F412" s="50">
        <v>1672.98</v>
      </c>
      <c r="J412" s="241">
        <v>45684.0</v>
      </c>
      <c r="K412" s="241">
        <v>45684.0</v>
      </c>
      <c r="M412" s="50" t="s">
        <v>20</v>
      </c>
      <c r="N412" s="50">
        <v>3.3042183E8</v>
      </c>
      <c r="O412" s="50">
        <v>170288.0</v>
      </c>
      <c r="Q412" s="50" t="s">
        <v>572</v>
      </c>
      <c r="R412" s="50">
        <v>170288.0</v>
      </c>
    </row>
    <row r="413" ht="13.5" customHeight="1">
      <c r="B413" s="50" t="s">
        <v>20</v>
      </c>
      <c r="C413" s="50">
        <v>3.30421831E8</v>
      </c>
      <c r="D413" s="50" t="s">
        <v>172</v>
      </c>
      <c r="E413" s="50">
        <v>556.16</v>
      </c>
      <c r="F413" s="50">
        <v>556.16</v>
      </c>
      <c r="J413" s="241">
        <v>45684.0</v>
      </c>
      <c r="K413" s="241">
        <v>45684.0</v>
      </c>
      <c r="M413" s="50" t="s">
        <v>20</v>
      </c>
      <c r="N413" s="50">
        <v>3.30421831E8</v>
      </c>
      <c r="O413" s="50">
        <v>170288.0</v>
      </c>
      <c r="Q413" s="50" t="s">
        <v>573</v>
      </c>
      <c r="R413" s="50">
        <v>170288.0</v>
      </c>
    </row>
    <row r="414" ht="13.5" customHeight="1">
      <c r="B414" s="50" t="s">
        <v>20</v>
      </c>
      <c r="C414" s="50">
        <v>3.30421832E8</v>
      </c>
      <c r="D414" s="50" t="s">
        <v>172</v>
      </c>
      <c r="E414" s="50">
        <v>144.46</v>
      </c>
      <c r="F414" s="50">
        <v>144.46</v>
      </c>
      <c r="J414" s="241">
        <v>45684.0</v>
      </c>
      <c r="K414" s="241">
        <v>45684.0</v>
      </c>
      <c r="M414" s="50" t="s">
        <v>20</v>
      </c>
      <c r="N414" s="50">
        <v>3.30421832E8</v>
      </c>
      <c r="O414" s="50">
        <v>170288.0</v>
      </c>
      <c r="Q414" s="50" t="s">
        <v>232</v>
      </c>
      <c r="R414" s="50">
        <v>170288.0</v>
      </c>
    </row>
    <row r="415" ht="13.5" customHeight="1">
      <c r="B415" s="50" t="s">
        <v>20</v>
      </c>
      <c r="C415" s="50">
        <v>3.30421833E8</v>
      </c>
      <c r="D415" s="50" t="s">
        <v>172</v>
      </c>
      <c r="E415" s="55">
        <v>1493.92</v>
      </c>
      <c r="F415" s="50">
        <v>1493.92</v>
      </c>
      <c r="J415" s="241">
        <v>45684.0</v>
      </c>
      <c r="K415" s="241">
        <v>45684.0</v>
      </c>
      <c r="M415" s="50" t="s">
        <v>20</v>
      </c>
      <c r="N415" s="50">
        <v>3.30421833E8</v>
      </c>
      <c r="O415" s="50">
        <v>170288.0</v>
      </c>
      <c r="Q415" s="50" t="s">
        <v>574</v>
      </c>
      <c r="R415" s="50">
        <v>170288.0</v>
      </c>
    </row>
    <row r="416" ht="13.5" customHeight="1">
      <c r="B416" s="50" t="s">
        <v>20</v>
      </c>
      <c r="C416" s="50">
        <v>3.30421834E8</v>
      </c>
      <c r="D416" s="50" t="s">
        <v>172</v>
      </c>
      <c r="E416" s="50">
        <v>729.15</v>
      </c>
      <c r="F416" s="50">
        <v>729.15</v>
      </c>
      <c r="J416" s="241">
        <v>45684.0</v>
      </c>
      <c r="K416" s="241">
        <v>45684.0</v>
      </c>
      <c r="M416" s="50" t="s">
        <v>20</v>
      </c>
      <c r="N416" s="50">
        <v>3.30421834E8</v>
      </c>
      <c r="O416" s="50">
        <v>170288.0</v>
      </c>
      <c r="Q416" s="50" t="s">
        <v>575</v>
      </c>
      <c r="R416" s="50">
        <v>170288.0</v>
      </c>
    </row>
    <row r="417" ht="13.5" customHeight="1">
      <c r="B417" s="50" t="s">
        <v>20</v>
      </c>
      <c r="C417" s="50">
        <v>3.30421835E8</v>
      </c>
      <c r="D417" s="50" t="s">
        <v>172</v>
      </c>
      <c r="E417" s="55">
        <v>1672.98</v>
      </c>
      <c r="F417" s="50">
        <v>1672.98</v>
      </c>
      <c r="J417" s="241">
        <v>45684.0</v>
      </c>
      <c r="K417" s="241">
        <v>45684.0</v>
      </c>
      <c r="M417" s="50" t="s">
        <v>20</v>
      </c>
      <c r="N417" s="50">
        <v>3.30421835E8</v>
      </c>
      <c r="O417" s="50">
        <v>170288.0</v>
      </c>
      <c r="Q417" s="50" t="s">
        <v>576</v>
      </c>
      <c r="R417" s="50">
        <v>170288.0</v>
      </c>
    </row>
    <row r="418" ht="13.5" customHeight="1">
      <c r="B418" s="50" t="s">
        <v>20</v>
      </c>
      <c r="C418" s="50">
        <v>3.30421836E8</v>
      </c>
      <c r="D418" s="50" t="s">
        <v>172</v>
      </c>
      <c r="E418" s="50">
        <v>48.75</v>
      </c>
      <c r="F418" s="50">
        <v>48.75</v>
      </c>
      <c r="J418" s="241">
        <v>45684.0</v>
      </c>
      <c r="K418" s="241">
        <v>45684.0</v>
      </c>
      <c r="M418" s="50" t="s">
        <v>20</v>
      </c>
      <c r="N418" s="50">
        <v>3.30421836E8</v>
      </c>
      <c r="O418" s="50">
        <v>170288.0</v>
      </c>
      <c r="Q418" s="50" t="s">
        <v>577</v>
      </c>
      <c r="R418" s="50">
        <v>170288.0</v>
      </c>
    </row>
    <row r="419" ht="13.5" customHeight="1">
      <c r="B419" s="50" t="s">
        <v>20</v>
      </c>
      <c r="C419" s="50">
        <v>3.30421837E8</v>
      </c>
      <c r="D419" s="50" t="s">
        <v>172</v>
      </c>
      <c r="E419" s="55">
        <v>1672.98</v>
      </c>
      <c r="F419" s="50">
        <v>1672.98</v>
      </c>
      <c r="J419" s="241">
        <v>45684.0</v>
      </c>
      <c r="K419" s="241">
        <v>45684.0</v>
      </c>
      <c r="M419" s="50" t="s">
        <v>20</v>
      </c>
      <c r="N419" s="50">
        <v>3.30421837E8</v>
      </c>
      <c r="O419" s="50">
        <v>170288.0</v>
      </c>
      <c r="Q419" s="50" t="s">
        <v>578</v>
      </c>
      <c r="R419" s="50">
        <v>170288.0</v>
      </c>
    </row>
    <row r="420" ht="13.5" customHeight="1">
      <c r="B420" s="50" t="s">
        <v>20</v>
      </c>
      <c r="C420" s="50">
        <v>3.30421838E8</v>
      </c>
      <c r="D420" s="50" t="s">
        <v>172</v>
      </c>
      <c r="E420" s="55">
        <v>1672.98</v>
      </c>
      <c r="F420" s="50">
        <v>1672.98</v>
      </c>
      <c r="J420" s="241">
        <v>45684.0</v>
      </c>
      <c r="K420" s="241">
        <v>45684.0</v>
      </c>
      <c r="M420" s="50" t="s">
        <v>20</v>
      </c>
      <c r="N420" s="50">
        <v>3.30421838E8</v>
      </c>
      <c r="O420" s="50">
        <v>170288.0</v>
      </c>
      <c r="Q420" s="50" t="s">
        <v>579</v>
      </c>
      <c r="R420" s="50">
        <v>170288.0</v>
      </c>
    </row>
    <row r="421" ht="13.5" customHeight="1">
      <c r="B421" s="50" t="s">
        <v>20</v>
      </c>
      <c r="C421" s="50">
        <v>3.30421839E8</v>
      </c>
      <c r="D421" s="50" t="s">
        <v>172</v>
      </c>
      <c r="E421" s="50">
        <v>455.24</v>
      </c>
      <c r="F421" s="50">
        <v>455.24</v>
      </c>
      <c r="J421" s="241">
        <v>45684.0</v>
      </c>
      <c r="K421" s="241">
        <v>45684.0</v>
      </c>
      <c r="M421" s="50" t="s">
        <v>20</v>
      </c>
      <c r="N421" s="50">
        <v>3.30421839E8</v>
      </c>
      <c r="O421" s="50">
        <v>170288.0</v>
      </c>
      <c r="Q421" s="50" t="s">
        <v>580</v>
      </c>
      <c r="R421" s="50">
        <v>170288.0</v>
      </c>
    </row>
    <row r="422" ht="13.5" customHeight="1">
      <c r="B422" s="50" t="s">
        <v>20</v>
      </c>
      <c r="C422" s="50">
        <v>3.3042184E8</v>
      </c>
      <c r="D422" s="50" t="s">
        <v>172</v>
      </c>
      <c r="E422" s="55">
        <v>1398.52</v>
      </c>
      <c r="F422" s="50">
        <v>1398.52</v>
      </c>
      <c r="J422" s="241">
        <v>45684.0</v>
      </c>
      <c r="K422" s="241">
        <v>45684.0</v>
      </c>
      <c r="M422" s="50" t="s">
        <v>20</v>
      </c>
      <c r="N422" s="50">
        <v>3.3042184E8</v>
      </c>
      <c r="O422" s="50">
        <v>170288.0</v>
      </c>
      <c r="Q422" s="50" t="s">
        <v>581</v>
      </c>
      <c r="R422" s="50">
        <v>170288.0</v>
      </c>
    </row>
    <row r="423" ht="13.5" customHeight="1">
      <c r="B423" s="50" t="s">
        <v>20</v>
      </c>
      <c r="C423" s="50">
        <v>3.30421841E8</v>
      </c>
      <c r="D423" s="50" t="s">
        <v>172</v>
      </c>
      <c r="E423" s="55">
        <v>1672.98</v>
      </c>
      <c r="F423" s="50">
        <v>1672.98</v>
      </c>
      <c r="J423" s="241">
        <v>45684.0</v>
      </c>
      <c r="K423" s="241">
        <v>45684.0</v>
      </c>
      <c r="M423" s="50" t="s">
        <v>20</v>
      </c>
      <c r="N423" s="50">
        <v>3.30421841E8</v>
      </c>
      <c r="O423" s="50">
        <v>170288.0</v>
      </c>
      <c r="Q423" s="50" t="s">
        <v>582</v>
      </c>
      <c r="R423" s="50">
        <v>170288.0</v>
      </c>
    </row>
    <row r="424" ht="13.5" customHeight="1">
      <c r="B424" s="50" t="s">
        <v>20</v>
      </c>
      <c r="C424" s="50">
        <v>3.30421842E8</v>
      </c>
      <c r="D424" s="50" t="s">
        <v>172</v>
      </c>
      <c r="E424" s="55">
        <v>1398.52</v>
      </c>
      <c r="F424" s="50">
        <v>1398.52</v>
      </c>
      <c r="J424" s="241">
        <v>45684.0</v>
      </c>
      <c r="K424" s="241">
        <v>45684.0</v>
      </c>
      <c r="M424" s="50" t="s">
        <v>20</v>
      </c>
      <c r="N424" s="50">
        <v>3.30421842E8</v>
      </c>
      <c r="O424" s="50">
        <v>170288.0</v>
      </c>
      <c r="Q424" s="50" t="s">
        <v>583</v>
      </c>
      <c r="R424" s="50">
        <v>170288.0</v>
      </c>
    </row>
    <row r="425" ht="13.5" customHeight="1">
      <c r="B425" s="50" t="s">
        <v>20</v>
      </c>
      <c r="C425" s="50">
        <v>3.30421843E8</v>
      </c>
      <c r="D425" s="50" t="s">
        <v>172</v>
      </c>
      <c r="E425" s="55">
        <v>1350.82</v>
      </c>
      <c r="F425" s="50">
        <v>1350.82</v>
      </c>
      <c r="J425" s="241">
        <v>45684.0</v>
      </c>
      <c r="K425" s="241">
        <v>45684.0</v>
      </c>
      <c r="M425" s="50" t="s">
        <v>20</v>
      </c>
      <c r="N425" s="50">
        <v>3.30421843E8</v>
      </c>
      <c r="O425" s="50">
        <v>170288.0</v>
      </c>
      <c r="Q425" s="50" t="s">
        <v>584</v>
      </c>
      <c r="R425" s="50">
        <v>170288.0</v>
      </c>
    </row>
    <row r="426" ht="13.5" customHeight="1">
      <c r="B426" s="50" t="s">
        <v>20</v>
      </c>
      <c r="C426" s="50">
        <v>3.30421844E8</v>
      </c>
      <c r="D426" s="50" t="s">
        <v>172</v>
      </c>
      <c r="E426" s="55">
        <v>1112.31</v>
      </c>
      <c r="F426" s="50">
        <v>1112.31</v>
      </c>
      <c r="J426" s="241">
        <v>45684.0</v>
      </c>
      <c r="K426" s="241">
        <v>45684.0</v>
      </c>
      <c r="M426" s="50" t="s">
        <v>20</v>
      </c>
      <c r="N426" s="50">
        <v>3.30421844E8</v>
      </c>
      <c r="O426" s="50">
        <v>170288.0</v>
      </c>
      <c r="Q426" s="50" t="s">
        <v>585</v>
      </c>
      <c r="R426" s="50">
        <v>170288.0</v>
      </c>
    </row>
    <row r="427" ht="13.5" customHeight="1">
      <c r="B427" s="50" t="s">
        <v>20</v>
      </c>
      <c r="C427" s="50">
        <v>3.30421845E8</v>
      </c>
      <c r="D427" s="50" t="s">
        <v>172</v>
      </c>
      <c r="E427" s="55">
        <v>1493.92</v>
      </c>
      <c r="F427" s="50">
        <v>1493.92</v>
      </c>
      <c r="J427" s="241">
        <v>45684.0</v>
      </c>
      <c r="K427" s="241">
        <v>45684.0</v>
      </c>
      <c r="M427" s="50" t="s">
        <v>20</v>
      </c>
      <c r="N427" s="50">
        <v>3.30421845E8</v>
      </c>
      <c r="O427" s="50">
        <v>170288.0</v>
      </c>
      <c r="Q427" s="50" t="s">
        <v>586</v>
      </c>
      <c r="R427" s="50">
        <v>170288.0</v>
      </c>
    </row>
    <row r="428" ht="13.5" customHeight="1">
      <c r="B428" s="50" t="s">
        <v>20</v>
      </c>
      <c r="C428" s="50">
        <v>3.30421846E8</v>
      </c>
      <c r="D428" s="50" t="s">
        <v>172</v>
      </c>
      <c r="E428" s="55">
        <v>1565.64</v>
      </c>
      <c r="F428" s="50">
        <v>1565.64</v>
      </c>
      <c r="J428" s="241">
        <v>45684.0</v>
      </c>
      <c r="K428" s="241">
        <v>45684.0</v>
      </c>
      <c r="M428" s="50" t="s">
        <v>20</v>
      </c>
      <c r="N428" s="50">
        <v>3.30421846E8</v>
      </c>
      <c r="O428" s="50">
        <v>170288.0</v>
      </c>
      <c r="Q428" s="50" t="s">
        <v>587</v>
      </c>
      <c r="R428" s="50">
        <v>170288.0</v>
      </c>
    </row>
    <row r="429" ht="13.5" customHeight="1">
      <c r="B429" s="50" t="s">
        <v>20</v>
      </c>
      <c r="C429" s="50">
        <v>3.30421847E8</v>
      </c>
      <c r="D429" s="50" t="s">
        <v>172</v>
      </c>
      <c r="E429" s="55">
        <v>1350.82</v>
      </c>
      <c r="F429" s="50">
        <v>1350.82</v>
      </c>
      <c r="J429" s="241">
        <v>45684.0</v>
      </c>
      <c r="K429" s="241">
        <v>45684.0</v>
      </c>
      <c r="M429" s="50" t="s">
        <v>20</v>
      </c>
      <c r="N429" s="50">
        <v>3.30421847E8</v>
      </c>
      <c r="O429" s="50">
        <v>170288.0</v>
      </c>
      <c r="Q429" s="50" t="s">
        <v>588</v>
      </c>
      <c r="R429" s="50">
        <v>170288.0</v>
      </c>
    </row>
    <row r="430" ht="13.5" customHeight="1">
      <c r="B430" s="50" t="s">
        <v>20</v>
      </c>
      <c r="C430" s="50">
        <v>3.30421848E8</v>
      </c>
      <c r="D430" s="50" t="s">
        <v>172</v>
      </c>
      <c r="E430" s="55">
        <v>1410.82</v>
      </c>
      <c r="F430" s="50">
        <v>1410.82</v>
      </c>
      <c r="J430" s="241">
        <v>45684.0</v>
      </c>
      <c r="K430" s="241">
        <v>45684.0</v>
      </c>
      <c r="M430" s="50" t="s">
        <v>20</v>
      </c>
      <c r="N430" s="50">
        <v>3.30421848E8</v>
      </c>
      <c r="O430" s="50">
        <v>170288.0</v>
      </c>
      <c r="Q430" s="50" t="s">
        <v>589</v>
      </c>
      <c r="R430" s="50">
        <v>170288.0</v>
      </c>
    </row>
    <row r="431" ht="13.5" customHeight="1">
      <c r="B431" s="50" t="s">
        <v>20</v>
      </c>
      <c r="C431" s="50">
        <v>3.30421849E8</v>
      </c>
      <c r="D431" s="50" t="s">
        <v>172</v>
      </c>
      <c r="E431" s="55">
        <v>1672.98</v>
      </c>
      <c r="F431" s="50">
        <v>1672.98</v>
      </c>
      <c r="J431" s="241">
        <v>45684.0</v>
      </c>
      <c r="K431" s="241">
        <v>45684.0</v>
      </c>
      <c r="M431" s="50" t="s">
        <v>20</v>
      </c>
      <c r="N431" s="50">
        <v>3.30421849E8</v>
      </c>
      <c r="O431" s="50">
        <v>170288.0</v>
      </c>
      <c r="Q431" s="50" t="s">
        <v>235</v>
      </c>
      <c r="R431" s="50">
        <v>170288.0</v>
      </c>
    </row>
    <row r="432" ht="13.5" customHeight="1">
      <c r="B432" s="50" t="s">
        <v>20</v>
      </c>
      <c r="C432" s="50">
        <v>3.3042185E8</v>
      </c>
      <c r="D432" s="50" t="s">
        <v>172</v>
      </c>
      <c r="E432" s="55">
        <v>1672.98</v>
      </c>
      <c r="F432" s="50">
        <v>1672.98</v>
      </c>
      <c r="J432" s="241">
        <v>45684.0</v>
      </c>
      <c r="K432" s="241">
        <v>45684.0</v>
      </c>
      <c r="M432" s="50" t="s">
        <v>20</v>
      </c>
      <c r="N432" s="50">
        <v>3.3042185E8</v>
      </c>
      <c r="O432" s="50">
        <v>170288.0</v>
      </c>
      <c r="Q432" s="50" t="s">
        <v>590</v>
      </c>
      <c r="R432" s="50">
        <v>170288.0</v>
      </c>
    </row>
    <row r="433" ht="13.5" customHeight="1">
      <c r="B433" s="50" t="s">
        <v>20</v>
      </c>
      <c r="C433" s="50">
        <v>3.30421851E8</v>
      </c>
      <c r="D433" s="50" t="s">
        <v>172</v>
      </c>
      <c r="E433" s="55">
        <v>1255.42</v>
      </c>
      <c r="F433" s="50">
        <v>1255.42</v>
      </c>
      <c r="J433" s="241">
        <v>45684.0</v>
      </c>
      <c r="K433" s="241">
        <v>45684.0</v>
      </c>
      <c r="M433" s="50" t="s">
        <v>20</v>
      </c>
      <c r="N433" s="50">
        <v>3.30421851E8</v>
      </c>
      <c r="O433" s="50">
        <v>170288.0</v>
      </c>
      <c r="Q433" s="50" t="s">
        <v>591</v>
      </c>
      <c r="R433" s="50">
        <v>170288.0</v>
      </c>
    </row>
    <row r="434" ht="13.5" customHeight="1">
      <c r="B434" s="50" t="s">
        <v>20</v>
      </c>
      <c r="C434" s="50">
        <v>3.30421852E8</v>
      </c>
      <c r="D434" s="50" t="s">
        <v>172</v>
      </c>
      <c r="E434" s="55">
        <v>1565.64</v>
      </c>
      <c r="F434" s="50">
        <v>1565.64</v>
      </c>
      <c r="J434" s="241">
        <v>45684.0</v>
      </c>
      <c r="K434" s="241">
        <v>45684.0</v>
      </c>
      <c r="M434" s="50" t="s">
        <v>20</v>
      </c>
      <c r="N434" s="50">
        <v>3.30421852E8</v>
      </c>
      <c r="O434" s="50">
        <v>170288.0</v>
      </c>
      <c r="Q434" s="50" t="s">
        <v>592</v>
      </c>
      <c r="R434" s="50">
        <v>170288.0</v>
      </c>
    </row>
    <row r="435" ht="13.5" customHeight="1">
      <c r="B435" s="50" t="s">
        <v>20</v>
      </c>
      <c r="C435" s="50">
        <v>3.30421853E8</v>
      </c>
      <c r="D435" s="50" t="s">
        <v>172</v>
      </c>
      <c r="E435" s="55">
        <v>2475.31</v>
      </c>
      <c r="F435" s="50">
        <v>2475.31</v>
      </c>
      <c r="J435" s="241">
        <v>45684.0</v>
      </c>
      <c r="K435" s="241">
        <v>45684.0</v>
      </c>
      <c r="M435" s="50" t="s">
        <v>20</v>
      </c>
      <c r="N435" s="50">
        <v>3.30421853E8</v>
      </c>
      <c r="O435" s="50">
        <v>170288.0</v>
      </c>
      <c r="Q435" s="50" t="s">
        <v>593</v>
      </c>
      <c r="R435" s="50">
        <v>170288.0</v>
      </c>
    </row>
    <row r="436" ht="13.5" customHeight="1">
      <c r="B436" s="50" t="s">
        <v>20</v>
      </c>
      <c r="C436" s="50">
        <v>3.30421854E8</v>
      </c>
      <c r="D436" s="50" t="s">
        <v>172</v>
      </c>
      <c r="E436" s="50">
        <v>25.99</v>
      </c>
      <c r="F436" s="50">
        <v>25.99</v>
      </c>
      <c r="J436" s="241">
        <v>45684.0</v>
      </c>
      <c r="K436" s="241">
        <v>45684.0</v>
      </c>
      <c r="M436" s="50" t="s">
        <v>20</v>
      </c>
      <c r="N436" s="50">
        <v>3.30421854E8</v>
      </c>
      <c r="O436" s="50">
        <v>170288.0</v>
      </c>
      <c r="Q436" s="50" t="s">
        <v>594</v>
      </c>
      <c r="R436" s="50">
        <v>170288.0</v>
      </c>
    </row>
    <row r="437" ht="13.5" customHeight="1">
      <c r="B437" s="50" t="s">
        <v>20</v>
      </c>
      <c r="C437" s="50">
        <v>3.30421855E8</v>
      </c>
      <c r="D437" s="50" t="s">
        <v>172</v>
      </c>
      <c r="E437" s="55">
        <v>1672.98</v>
      </c>
      <c r="F437" s="50">
        <v>1672.98</v>
      </c>
      <c r="J437" s="241">
        <v>45684.0</v>
      </c>
      <c r="K437" s="241">
        <v>45684.0</v>
      </c>
      <c r="M437" s="50" t="s">
        <v>20</v>
      </c>
      <c r="N437" s="50">
        <v>3.30421855E8</v>
      </c>
      <c r="O437" s="50">
        <v>170288.0</v>
      </c>
      <c r="Q437" s="50" t="s">
        <v>595</v>
      </c>
      <c r="R437" s="50">
        <v>170288.0</v>
      </c>
    </row>
    <row r="438" ht="13.5" customHeight="1">
      <c r="B438" s="50" t="s">
        <v>20</v>
      </c>
      <c r="C438" s="50">
        <v>3.30421856E8</v>
      </c>
      <c r="D438" s="50" t="s">
        <v>172</v>
      </c>
      <c r="E438" s="55">
        <v>1112.31</v>
      </c>
      <c r="F438" s="50">
        <v>1112.31</v>
      </c>
      <c r="J438" s="241">
        <v>45684.0</v>
      </c>
      <c r="K438" s="241">
        <v>45684.0</v>
      </c>
      <c r="M438" s="50" t="s">
        <v>20</v>
      </c>
      <c r="N438" s="50">
        <v>3.30421856E8</v>
      </c>
      <c r="O438" s="50">
        <v>170288.0</v>
      </c>
      <c r="Q438" s="50" t="s">
        <v>596</v>
      </c>
      <c r="R438" s="50">
        <v>170288.0</v>
      </c>
    </row>
    <row r="439" ht="13.5" customHeight="1">
      <c r="B439" s="50" t="s">
        <v>20</v>
      </c>
      <c r="C439" s="50">
        <v>3.30421857E8</v>
      </c>
      <c r="D439" s="50" t="s">
        <v>172</v>
      </c>
      <c r="E439" s="55">
        <v>1493.92</v>
      </c>
      <c r="F439" s="50">
        <v>1493.92</v>
      </c>
      <c r="J439" s="241">
        <v>45684.0</v>
      </c>
      <c r="K439" s="241">
        <v>45684.0</v>
      </c>
      <c r="M439" s="50" t="s">
        <v>20</v>
      </c>
      <c r="N439" s="50">
        <v>3.30421857E8</v>
      </c>
      <c r="O439" s="50">
        <v>170288.0</v>
      </c>
      <c r="Q439" s="50" t="s">
        <v>237</v>
      </c>
      <c r="R439" s="50">
        <v>170288.0</v>
      </c>
    </row>
    <row r="440" ht="13.5" customHeight="1">
      <c r="B440" s="50" t="s">
        <v>20</v>
      </c>
      <c r="C440" s="50">
        <v>3.30421858E8</v>
      </c>
      <c r="D440" s="50" t="s">
        <v>172</v>
      </c>
      <c r="E440" s="55">
        <v>1064.61</v>
      </c>
      <c r="F440" s="50">
        <v>1064.61</v>
      </c>
      <c r="J440" s="241">
        <v>45684.0</v>
      </c>
      <c r="K440" s="241">
        <v>45684.0</v>
      </c>
      <c r="M440" s="50" t="s">
        <v>20</v>
      </c>
      <c r="N440" s="50">
        <v>3.30421858E8</v>
      </c>
      <c r="O440" s="50">
        <v>170288.0</v>
      </c>
      <c r="Q440" s="50" t="s">
        <v>597</v>
      </c>
      <c r="R440" s="50">
        <v>170288.0</v>
      </c>
    </row>
    <row r="441" ht="13.5" customHeight="1">
      <c r="B441" s="50" t="s">
        <v>20</v>
      </c>
      <c r="C441" s="50">
        <v>3.30421859E8</v>
      </c>
      <c r="D441" s="50" t="s">
        <v>172</v>
      </c>
      <c r="E441" s="55">
        <v>1672.98</v>
      </c>
      <c r="F441" s="50">
        <v>1672.98</v>
      </c>
      <c r="J441" s="241">
        <v>45684.0</v>
      </c>
      <c r="K441" s="241">
        <v>45684.0</v>
      </c>
      <c r="M441" s="50" t="s">
        <v>20</v>
      </c>
      <c r="N441" s="50">
        <v>3.30421859E8</v>
      </c>
      <c r="O441" s="50">
        <v>170288.0</v>
      </c>
      <c r="Q441" s="50" t="s">
        <v>598</v>
      </c>
      <c r="R441" s="50">
        <v>170288.0</v>
      </c>
    </row>
    <row r="442" ht="13.5" customHeight="1">
      <c r="B442" s="50" t="s">
        <v>20</v>
      </c>
      <c r="C442" s="50">
        <v>3.3042186E8</v>
      </c>
      <c r="D442" s="50" t="s">
        <v>172</v>
      </c>
      <c r="E442" s="55">
        <v>1493.92</v>
      </c>
      <c r="F442" s="50">
        <v>1493.92</v>
      </c>
      <c r="J442" s="241">
        <v>45684.0</v>
      </c>
      <c r="K442" s="241">
        <v>45684.0</v>
      </c>
      <c r="M442" s="50" t="s">
        <v>20</v>
      </c>
      <c r="N442" s="50">
        <v>3.3042186E8</v>
      </c>
      <c r="O442" s="50">
        <v>170288.0</v>
      </c>
      <c r="Q442" s="50" t="s">
        <v>599</v>
      </c>
      <c r="R442" s="50">
        <v>170288.0</v>
      </c>
    </row>
    <row r="443" ht="13.5" customHeight="1">
      <c r="B443" s="50" t="s">
        <v>20</v>
      </c>
      <c r="C443" s="50">
        <v>3.30421861E8</v>
      </c>
      <c r="D443" s="50" t="s">
        <v>172</v>
      </c>
      <c r="E443" s="55">
        <v>1255.42</v>
      </c>
      <c r="F443" s="50">
        <v>1255.42</v>
      </c>
      <c r="J443" s="241">
        <v>45684.0</v>
      </c>
      <c r="K443" s="241">
        <v>45684.0</v>
      </c>
      <c r="M443" s="50" t="s">
        <v>20</v>
      </c>
      <c r="N443" s="50">
        <v>3.30421861E8</v>
      </c>
      <c r="O443" s="50">
        <v>170288.0</v>
      </c>
      <c r="Q443" s="50" t="s">
        <v>600</v>
      </c>
      <c r="R443" s="50">
        <v>170288.0</v>
      </c>
    </row>
    <row r="444" ht="13.5" customHeight="1">
      <c r="B444" s="50" t="s">
        <v>20</v>
      </c>
      <c r="C444" s="50">
        <v>3.30421862E8</v>
      </c>
      <c r="D444" s="50" t="s">
        <v>172</v>
      </c>
      <c r="E444" s="50">
        <v>173.15</v>
      </c>
      <c r="F444" s="50">
        <v>173.15</v>
      </c>
      <c r="J444" s="241">
        <v>45684.0</v>
      </c>
      <c r="K444" s="241">
        <v>45684.0</v>
      </c>
      <c r="M444" s="50" t="s">
        <v>20</v>
      </c>
      <c r="N444" s="50">
        <v>3.30421862E8</v>
      </c>
      <c r="O444" s="50">
        <v>170288.0</v>
      </c>
      <c r="Q444" s="50" t="s">
        <v>601</v>
      </c>
      <c r="R444" s="50">
        <v>170288.0</v>
      </c>
    </row>
    <row r="445" ht="13.5" customHeight="1">
      <c r="B445" s="50" t="s">
        <v>20</v>
      </c>
      <c r="C445" s="50">
        <v>3.30421863E8</v>
      </c>
      <c r="D445" s="50" t="s">
        <v>172</v>
      </c>
      <c r="E445" s="50">
        <v>935.0</v>
      </c>
      <c r="F445" s="50">
        <v>935.0</v>
      </c>
      <c r="J445" s="241">
        <v>45684.0</v>
      </c>
      <c r="K445" s="241">
        <v>45684.0</v>
      </c>
      <c r="M445" s="50" t="s">
        <v>20</v>
      </c>
      <c r="N445" s="50">
        <v>3.30421863E8</v>
      </c>
      <c r="O445" s="50">
        <v>170288.0</v>
      </c>
      <c r="Q445" s="50" t="s">
        <v>602</v>
      </c>
      <c r="R445" s="50">
        <v>170288.0</v>
      </c>
    </row>
    <row r="446" ht="13.5" customHeight="1">
      <c r="B446" s="50" t="s">
        <v>20</v>
      </c>
      <c r="C446" s="50">
        <v>3.30421864E8</v>
      </c>
      <c r="D446" s="50" t="s">
        <v>172</v>
      </c>
      <c r="E446" s="55">
        <v>1511.97</v>
      </c>
      <c r="F446" s="50">
        <v>1511.97</v>
      </c>
      <c r="J446" s="241">
        <v>45684.0</v>
      </c>
      <c r="K446" s="241">
        <v>45684.0</v>
      </c>
      <c r="M446" s="50" t="s">
        <v>20</v>
      </c>
      <c r="N446" s="50">
        <v>3.30421864E8</v>
      </c>
      <c r="O446" s="50">
        <v>170288.0</v>
      </c>
      <c r="Q446" s="50" t="s">
        <v>603</v>
      </c>
      <c r="R446" s="50">
        <v>170288.0</v>
      </c>
    </row>
    <row r="447" ht="13.5" customHeight="1">
      <c r="B447" s="50" t="s">
        <v>20</v>
      </c>
      <c r="C447" s="50">
        <v>3.30421865E8</v>
      </c>
      <c r="D447" s="50" t="s">
        <v>172</v>
      </c>
      <c r="E447" s="50">
        <v>86.66</v>
      </c>
      <c r="F447" s="50">
        <v>86.66</v>
      </c>
      <c r="J447" s="241">
        <v>45684.0</v>
      </c>
      <c r="K447" s="241">
        <v>45684.0</v>
      </c>
      <c r="M447" s="50" t="s">
        <v>20</v>
      </c>
      <c r="N447" s="50">
        <v>3.30421865E8</v>
      </c>
      <c r="O447" s="50">
        <v>170288.0</v>
      </c>
      <c r="Q447" s="50" t="s">
        <v>604</v>
      </c>
      <c r="R447" s="50">
        <v>170288.0</v>
      </c>
    </row>
    <row r="448" ht="13.5" customHeight="1">
      <c r="B448" s="50" t="s">
        <v>20</v>
      </c>
      <c r="C448" s="50">
        <v>3.30421866E8</v>
      </c>
      <c r="D448" s="50" t="s">
        <v>172</v>
      </c>
      <c r="E448" s="50">
        <v>300.0</v>
      </c>
      <c r="F448" s="50">
        <v>300.0</v>
      </c>
      <c r="J448" s="241">
        <v>45684.0</v>
      </c>
      <c r="K448" s="241">
        <v>45684.0</v>
      </c>
      <c r="M448" s="50" t="s">
        <v>20</v>
      </c>
      <c r="N448" s="50">
        <v>3.30421866E8</v>
      </c>
      <c r="O448" s="50">
        <v>170288.0</v>
      </c>
      <c r="Q448" s="50" t="s">
        <v>605</v>
      </c>
      <c r="R448" s="50">
        <v>170288.0</v>
      </c>
    </row>
    <row r="449" ht="13.5" customHeight="1">
      <c r="B449" s="50" t="s">
        <v>20</v>
      </c>
      <c r="C449" s="50">
        <v>3.30421867E8</v>
      </c>
      <c r="D449" s="50" t="s">
        <v>172</v>
      </c>
      <c r="E449" s="55">
        <v>1189.96</v>
      </c>
      <c r="F449" s="50">
        <v>1189.96</v>
      </c>
      <c r="J449" s="241">
        <v>45684.0</v>
      </c>
      <c r="K449" s="241">
        <v>45684.0</v>
      </c>
      <c r="M449" s="50" t="s">
        <v>20</v>
      </c>
      <c r="N449" s="50">
        <v>3.30421867E8</v>
      </c>
      <c r="O449" s="50">
        <v>170288.0</v>
      </c>
      <c r="Q449" s="50" t="s">
        <v>606</v>
      </c>
      <c r="R449" s="50">
        <v>170288.0</v>
      </c>
    </row>
    <row r="450" ht="13.5" customHeight="1">
      <c r="B450" s="50" t="s">
        <v>20</v>
      </c>
      <c r="C450" s="50">
        <v>3.30421868E8</v>
      </c>
      <c r="D450" s="50" t="s">
        <v>172</v>
      </c>
      <c r="E450" s="50">
        <v>66.89</v>
      </c>
      <c r="F450" s="50">
        <v>66.89</v>
      </c>
      <c r="J450" s="241">
        <v>45684.0</v>
      </c>
      <c r="K450" s="241">
        <v>45684.0</v>
      </c>
      <c r="M450" s="50" t="s">
        <v>20</v>
      </c>
      <c r="N450" s="50">
        <v>3.30421868E8</v>
      </c>
      <c r="O450" s="50">
        <v>170288.0</v>
      </c>
      <c r="Q450" s="50" t="s">
        <v>607</v>
      </c>
      <c r="R450" s="50">
        <v>170288.0</v>
      </c>
    </row>
    <row r="451" ht="13.5" customHeight="1">
      <c r="B451" s="50" t="s">
        <v>20</v>
      </c>
      <c r="C451" s="50">
        <v>3.30421869E8</v>
      </c>
      <c r="D451" s="50" t="s">
        <v>172</v>
      </c>
      <c r="E451" s="50">
        <v>84.37</v>
      </c>
      <c r="F451" s="50">
        <v>84.37</v>
      </c>
      <c r="J451" s="241">
        <v>45684.0</v>
      </c>
      <c r="K451" s="241">
        <v>45684.0</v>
      </c>
      <c r="M451" s="50" t="s">
        <v>20</v>
      </c>
      <c r="N451" s="50">
        <v>3.30421869E8</v>
      </c>
      <c r="O451" s="50">
        <v>170288.0</v>
      </c>
      <c r="Q451" s="50" t="s">
        <v>608</v>
      </c>
      <c r="R451" s="50">
        <v>170288.0</v>
      </c>
    </row>
    <row r="452" ht="13.5" customHeight="1">
      <c r="B452" s="50" t="s">
        <v>20</v>
      </c>
      <c r="C452" s="50">
        <v>3.3042187E8</v>
      </c>
      <c r="D452" s="50" t="s">
        <v>172</v>
      </c>
      <c r="E452" s="55">
        <v>1398.52</v>
      </c>
      <c r="F452" s="50">
        <v>1398.52</v>
      </c>
      <c r="J452" s="241">
        <v>45684.0</v>
      </c>
      <c r="K452" s="241">
        <v>45684.0</v>
      </c>
      <c r="M452" s="50" t="s">
        <v>20</v>
      </c>
      <c r="N452" s="50">
        <v>3.3042187E8</v>
      </c>
      <c r="O452" s="50">
        <v>170288.0</v>
      </c>
      <c r="Q452" s="50" t="s">
        <v>609</v>
      </c>
      <c r="R452" s="50">
        <v>170288.0</v>
      </c>
    </row>
    <row r="453" ht="13.5" customHeight="1">
      <c r="B453" s="50" t="s">
        <v>20</v>
      </c>
      <c r="C453" s="50">
        <v>3.30421871E8</v>
      </c>
      <c r="D453" s="50" t="s">
        <v>172</v>
      </c>
      <c r="E453" s="55">
        <v>1493.92</v>
      </c>
      <c r="F453" s="50">
        <v>1493.92</v>
      </c>
      <c r="J453" s="241">
        <v>45684.0</v>
      </c>
      <c r="K453" s="241">
        <v>45684.0</v>
      </c>
      <c r="M453" s="50" t="s">
        <v>20</v>
      </c>
      <c r="N453" s="50">
        <v>3.30421871E8</v>
      </c>
      <c r="O453" s="50">
        <v>170288.0</v>
      </c>
      <c r="Q453" s="50" t="s">
        <v>610</v>
      </c>
      <c r="R453" s="50">
        <v>170288.0</v>
      </c>
    </row>
    <row r="454" ht="13.5" customHeight="1">
      <c r="B454" s="50" t="s">
        <v>20</v>
      </c>
      <c r="C454" s="50">
        <v>3.30421872E8</v>
      </c>
      <c r="D454" s="50" t="s">
        <v>172</v>
      </c>
      <c r="E454" s="55">
        <v>1493.92</v>
      </c>
      <c r="F454" s="50">
        <v>1493.92</v>
      </c>
      <c r="J454" s="241">
        <v>45684.0</v>
      </c>
      <c r="K454" s="241">
        <v>45684.0</v>
      </c>
      <c r="M454" s="50" t="s">
        <v>20</v>
      </c>
      <c r="N454" s="50">
        <v>3.30421872E8</v>
      </c>
      <c r="O454" s="50">
        <v>170288.0</v>
      </c>
      <c r="Q454" s="50" t="s">
        <v>611</v>
      </c>
      <c r="R454" s="50">
        <v>170288.0</v>
      </c>
    </row>
    <row r="455" ht="13.5" customHeight="1">
      <c r="B455" s="50" t="s">
        <v>20</v>
      </c>
      <c r="C455" s="50">
        <v>3.30421873E8</v>
      </c>
      <c r="D455" s="50" t="s">
        <v>172</v>
      </c>
      <c r="E455" s="55">
        <v>1672.98</v>
      </c>
      <c r="F455" s="50">
        <v>1672.98</v>
      </c>
      <c r="J455" s="241">
        <v>45684.0</v>
      </c>
      <c r="K455" s="241">
        <v>45684.0</v>
      </c>
      <c r="M455" s="50" t="s">
        <v>20</v>
      </c>
      <c r="N455" s="50">
        <v>3.30421873E8</v>
      </c>
      <c r="O455" s="50">
        <v>170288.0</v>
      </c>
      <c r="Q455" s="50" t="s">
        <v>612</v>
      </c>
      <c r="R455" s="50">
        <v>170288.0</v>
      </c>
    </row>
    <row r="456" ht="13.5" customHeight="1">
      <c r="B456" s="50" t="s">
        <v>20</v>
      </c>
      <c r="C456" s="50">
        <v>3.30421874E8</v>
      </c>
      <c r="D456" s="50" t="s">
        <v>172</v>
      </c>
      <c r="E456" s="50">
        <v>460.8</v>
      </c>
      <c r="F456" s="50">
        <v>460.8</v>
      </c>
      <c r="J456" s="241">
        <v>45684.0</v>
      </c>
      <c r="K456" s="241">
        <v>45684.0</v>
      </c>
      <c r="M456" s="50" t="s">
        <v>20</v>
      </c>
      <c r="N456" s="50">
        <v>3.30421874E8</v>
      </c>
      <c r="O456" s="50">
        <v>170288.0</v>
      </c>
      <c r="Q456" s="50" t="s">
        <v>613</v>
      </c>
      <c r="R456" s="50">
        <v>170288.0</v>
      </c>
    </row>
    <row r="457" ht="13.5" customHeight="1">
      <c r="B457" s="50" t="s">
        <v>20</v>
      </c>
      <c r="C457" s="50">
        <v>3.30421875E8</v>
      </c>
      <c r="D457" s="50" t="s">
        <v>172</v>
      </c>
      <c r="E457" s="50">
        <v>728.47</v>
      </c>
      <c r="F457" s="50">
        <v>728.47</v>
      </c>
      <c r="J457" s="241">
        <v>45684.0</v>
      </c>
      <c r="K457" s="241">
        <v>45684.0</v>
      </c>
      <c r="M457" s="50" t="s">
        <v>20</v>
      </c>
      <c r="N457" s="50">
        <v>3.30421875E8</v>
      </c>
      <c r="O457" s="50">
        <v>170288.0</v>
      </c>
      <c r="Q457" s="50" t="s">
        <v>614</v>
      </c>
      <c r="R457" s="50">
        <v>170288.0</v>
      </c>
    </row>
    <row r="458" ht="13.5" customHeight="1">
      <c r="B458" s="50" t="s">
        <v>20</v>
      </c>
      <c r="C458" s="50">
        <v>3.30421876E8</v>
      </c>
      <c r="D458" s="50" t="s">
        <v>172</v>
      </c>
      <c r="E458" s="50">
        <v>30.0</v>
      </c>
      <c r="F458" s="50">
        <v>30.0</v>
      </c>
      <c r="J458" s="241">
        <v>45684.0</v>
      </c>
      <c r="K458" s="241">
        <v>45684.0</v>
      </c>
      <c r="M458" s="50" t="s">
        <v>20</v>
      </c>
      <c r="N458" s="50">
        <v>3.30421876E8</v>
      </c>
      <c r="O458" s="50">
        <v>170288.0</v>
      </c>
      <c r="Q458" s="50" t="s">
        <v>615</v>
      </c>
      <c r="R458" s="50">
        <v>170288.0</v>
      </c>
    </row>
    <row r="459" ht="13.5" customHeight="1">
      <c r="B459" s="50" t="s">
        <v>20</v>
      </c>
      <c r="C459" s="50">
        <v>3.30421877E8</v>
      </c>
      <c r="D459" s="50" t="s">
        <v>172</v>
      </c>
      <c r="E459" s="50">
        <v>320.34</v>
      </c>
      <c r="F459" s="50">
        <v>320.34</v>
      </c>
      <c r="J459" s="241">
        <v>45684.0</v>
      </c>
      <c r="K459" s="241">
        <v>45684.0</v>
      </c>
      <c r="M459" s="50" t="s">
        <v>20</v>
      </c>
      <c r="N459" s="50">
        <v>3.30421877E8</v>
      </c>
      <c r="O459" s="50">
        <v>170288.0</v>
      </c>
      <c r="Q459" s="50" t="s">
        <v>616</v>
      </c>
      <c r="R459" s="50">
        <v>170288.0</v>
      </c>
    </row>
    <row r="460" ht="13.5" customHeight="1">
      <c r="B460" s="50" t="s">
        <v>20</v>
      </c>
      <c r="C460" s="50">
        <v>3.30421878E8</v>
      </c>
      <c r="D460" s="50" t="s">
        <v>172</v>
      </c>
      <c r="E460" s="50">
        <v>708.56</v>
      </c>
      <c r="F460" s="50">
        <v>708.56</v>
      </c>
      <c r="J460" s="241">
        <v>45684.0</v>
      </c>
      <c r="K460" s="241">
        <v>45684.0</v>
      </c>
      <c r="M460" s="50" t="s">
        <v>20</v>
      </c>
      <c r="N460" s="50">
        <v>3.30421878E8</v>
      </c>
      <c r="O460" s="50">
        <v>170288.0</v>
      </c>
      <c r="Q460" s="50" t="s">
        <v>617</v>
      </c>
      <c r="R460" s="50">
        <v>170288.0</v>
      </c>
    </row>
    <row r="461" ht="13.5" customHeight="1">
      <c r="B461" s="50" t="s">
        <v>20</v>
      </c>
      <c r="C461" s="50">
        <v>3.30421879E8</v>
      </c>
      <c r="D461" s="50" t="s">
        <v>172</v>
      </c>
      <c r="E461" s="55">
        <v>3263.36</v>
      </c>
      <c r="F461" s="50">
        <v>3263.36</v>
      </c>
      <c r="J461" s="241">
        <v>45684.0</v>
      </c>
      <c r="K461" s="241">
        <v>45684.0</v>
      </c>
      <c r="M461" s="50" t="s">
        <v>20</v>
      </c>
      <c r="N461" s="50">
        <v>3.30421879E8</v>
      </c>
      <c r="O461" s="50">
        <v>170288.0</v>
      </c>
      <c r="Q461" s="50" t="s">
        <v>618</v>
      </c>
      <c r="R461" s="50">
        <v>170288.0</v>
      </c>
    </row>
    <row r="462" ht="13.5" customHeight="1">
      <c r="B462" s="50" t="s">
        <v>20</v>
      </c>
      <c r="C462" s="50">
        <v>3.3042188E8</v>
      </c>
      <c r="D462" s="50" t="s">
        <v>172</v>
      </c>
      <c r="E462" s="50">
        <v>729.15</v>
      </c>
      <c r="F462" s="50">
        <v>729.15</v>
      </c>
      <c r="J462" s="241">
        <v>45684.0</v>
      </c>
      <c r="K462" s="241">
        <v>45684.0</v>
      </c>
      <c r="M462" s="50" t="s">
        <v>20</v>
      </c>
      <c r="N462" s="50">
        <v>3.3042188E8</v>
      </c>
      <c r="O462" s="50">
        <v>170288.0</v>
      </c>
      <c r="Q462" s="50" t="s">
        <v>619</v>
      </c>
      <c r="R462" s="50">
        <v>170288.0</v>
      </c>
    </row>
    <row r="463" ht="13.5" customHeight="1">
      <c r="B463" s="50" t="s">
        <v>20</v>
      </c>
      <c r="C463" s="50">
        <v>3.30421881E8</v>
      </c>
      <c r="D463" s="50" t="s">
        <v>172</v>
      </c>
      <c r="E463" s="55">
        <v>1565.64</v>
      </c>
      <c r="F463" s="50">
        <v>1565.64</v>
      </c>
      <c r="J463" s="241">
        <v>45684.0</v>
      </c>
      <c r="K463" s="241">
        <v>45684.0</v>
      </c>
      <c r="M463" s="50" t="s">
        <v>20</v>
      </c>
      <c r="N463" s="50">
        <v>3.30421881E8</v>
      </c>
      <c r="O463" s="50">
        <v>170288.0</v>
      </c>
      <c r="Q463" s="50" t="s">
        <v>241</v>
      </c>
      <c r="R463" s="50">
        <v>170288.0</v>
      </c>
    </row>
    <row r="464" ht="13.5" customHeight="1">
      <c r="B464" s="50" t="s">
        <v>20</v>
      </c>
      <c r="C464" s="50">
        <v>3.30421882E8</v>
      </c>
      <c r="D464" s="50" t="s">
        <v>172</v>
      </c>
      <c r="E464" s="55">
        <v>1565.64</v>
      </c>
      <c r="F464" s="50">
        <v>1565.64</v>
      </c>
      <c r="J464" s="241">
        <v>45684.0</v>
      </c>
      <c r="K464" s="241">
        <v>45684.0</v>
      </c>
      <c r="M464" s="50" t="s">
        <v>20</v>
      </c>
      <c r="N464" s="50">
        <v>3.30421882E8</v>
      </c>
      <c r="O464" s="50">
        <v>170288.0</v>
      </c>
      <c r="Q464" s="50" t="s">
        <v>242</v>
      </c>
      <c r="R464" s="50">
        <v>170288.0</v>
      </c>
    </row>
    <row r="465" ht="13.5" customHeight="1">
      <c r="B465" s="50" t="s">
        <v>20</v>
      </c>
      <c r="C465" s="50">
        <v>3.30421883E8</v>
      </c>
      <c r="D465" s="50" t="s">
        <v>172</v>
      </c>
      <c r="E465" s="55">
        <v>1511.97</v>
      </c>
      <c r="F465" s="50">
        <v>1511.97</v>
      </c>
      <c r="J465" s="241">
        <v>45684.0</v>
      </c>
      <c r="K465" s="241">
        <v>45684.0</v>
      </c>
      <c r="M465" s="50" t="s">
        <v>20</v>
      </c>
      <c r="N465" s="50">
        <v>3.30421883E8</v>
      </c>
      <c r="O465" s="50">
        <v>170288.0</v>
      </c>
      <c r="Q465" s="50" t="s">
        <v>620</v>
      </c>
      <c r="R465" s="50">
        <v>170288.0</v>
      </c>
    </row>
    <row r="466" ht="13.5" customHeight="1">
      <c r="B466" s="50" t="s">
        <v>20</v>
      </c>
      <c r="C466" s="50">
        <v>3.30421884E8</v>
      </c>
      <c r="D466" s="50" t="s">
        <v>172</v>
      </c>
      <c r="E466" s="55">
        <v>1398.52</v>
      </c>
      <c r="F466" s="50">
        <v>1398.52</v>
      </c>
      <c r="J466" s="241">
        <v>45684.0</v>
      </c>
      <c r="K466" s="241">
        <v>45684.0</v>
      </c>
      <c r="M466" s="50" t="s">
        <v>20</v>
      </c>
      <c r="N466" s="50">
        <v>3.30421884E8</v>
      </c>
      <c r="O466" s="50">
        <v>170288.0</v>
      </c>
      <c r="Q466" s="50" t="s">
        <v>621</v>
      </c>
      <c r="R466" s="50">
        <v>170288.0</v>
      </c>
    </row>
    <row r="467" ht="13.5" customHeight="1">
      <c r="B467" s="50" t="s">
        <v>20</v>
      </c>
      <c r="C467" s="50">
        <v>3.30421885E8</v>
      </c>
      <c r="D467" s="50" t="s">
        <v>172</v>
      </c>
      <c r="E467" s="55">
        <v>1255.42</v>
      </c>
      <c r="F467" s="50">
        <v>1255.42</v>
      </c>
      <c r="J467" s="241">
        <v>45684.0</v>
      </c>
      <c r="K467" s="241">
        <v>45684.0</v>
      </c>
      <c r="M467" s="50" t="s">
        <v>20</v>
      </c>
      <c r="N467" s="50">
        <v>3.30421885E8</v>
      </c>
      <c r="O467" s="50">
        <v>170288.0</v>
      </c>
      <c r="Q467" s="50" t="s">
        <v>622</v>
      </c>
      <c r="R467" s="50">
        <v>170288.0</v>
      </c>
    </row>
    <row r="468" ht="13.5" customHeight="1">
      <c r="B468" s="50" t="s">
        <v>20</v>
      </c>
      <c r="C468" s="50">
        <v>3.30421886E8</v>
      </c>
      <c r="D468" s="50" t="s">
        <v>172</v>
      </c>
      <c r="E468" s="55">
        <v>1207.72</v>
      </c>
      <c r="F468" s="50">
        <v>1207.72</v>
      </c>
      <c r="J468" s="241">
        <v>45684.0</v>
      </c>
      <c r="K468" s="241">
        <v>45684.0</v>
      </c>
      <c r="M468" s="50" t="s">
        <v>20</v>
      </c>
      <c r="N468" s="50">
        <v>3.30421886E8</v>
      </c>
      <c r="O468" s="50">
        <v>170288.0</v>
      </c>
      <c r="Q468" s="50" t="s">
        <v>244</v>
      </c>
      <c r="R468" s="50">
        <v>170288.0</v>
      </c>
    </row>
    <row r="469" ht="13.5" customHeight="1">
      <c r="B469" s="50" t="s">
        <v>20</v>
      </c>
      <c r="C469" s="50">
        <v>3.30421887E8</v>
      </c>
      <c r="D469" s="50" t="s">
        <v>172</v>
      </c>
      <c r="E469" s="55">
        <v>1672.98</v>
      </c>
      <c r="F469" s="50">
        <v>1672.98</v>
      </c>
      <c r="J469" s="241">
        <v>45684.0</v>
      </c>
      <c r="K469" s="241">
        <v>45684.0</v>
      </c>
      <c r="M469" s="50" t="s">
        <v>20</v>
      </c>
      <c r="N469" s="50">
        <v>3.30421887E8</v>
      </c>
      <c r="O469" s="50">
        <v>170288.0</v>
      </c>
      <c r="Q469" s="50" t="s">
        <v>623</v>
      </c>
      <c r="R469" s="50">
        <v>170288.0</v>
      </c>
    </row>
    <row r="470" ht="13.5" customHeight="1">
      <c r="B470" s="50" t="s">
        <v>20</v>
      </c>
      <c r="C470" s="50">
        <v>3.30421888E8</v>
      </c>
      <c r="D470" s="50" t="s">
        <v>172</v>
      </c>
      <c r="E470" s="55">
        <v>1398.52</v>
      </c>
      <c r="F470" s="50">
        <v>1398.52</v>
      </c>
      <c r="J470" s="241">
        <v>45684.0</v>
      </c>
      <c r="K470" s="241">
        <v>45684.0</v>
      </c>
      <c r="M470" s="50" t="s">
        <v>20</v>
      </c>
      <c r="N470" s="50">
        <v>3.30421888E8</v>
      </c>
      <c r="O470" s="50">
        <v>170288.0</v>
      </c>
      <c r="Q470" s="50" t="s">
        <v>624</v>
      </c>
      <c r="R470" s="50">
        <v>170288.0</v>
      </c>
    </row>
    <row r="471" ht="13.5" customHeight="1">
      <c r="B471" s="50" t="s">
        <v>20</v>
      </c>
      <c r="C471" s="50">
        <v>3.30421889E8</v>
      </c>
      <c r="D471" s="50" t="s">
        <v>172</v>
      </c>
      <c r="E471" s="55">
        <v>1350.82</v>
      </c>
      <c r="F471" s="50">
        <v>1350.82</v>
      </c>
      <c r="J471" s="241">
        <v>45684.0</v>
      </c>
      <c r="K471" s="241">
        <v>45684.0</v>
      </c>
      <c r="M471" s="50" t="s">
        <v>20</v>
      </c>
      <c r="N471" s="50">
        <v>3.30421889E8</v>
      </c>
      <c r="O471" s="50">
        <v>170288.0</v>
      </c>
      <c r="Q471" s="50" t="s">
        <v>625</v>
      </c>
      <c r="R471" s="50">
        <v>170288.0</v>
      </c>
    </row>
    <row r="472" ht="13.5" customHeight="1">
      <c r="B472" s="50" t="s">
        <v>20</v>
      </c>
      <c r="C472" s="50">
        <v>3.3042189E8</v>
      </c>
      <c r="D472" s="50" t="s">
        <v>172</v>
      </c>
      <c r="E472" s="55">
        <v>1565.64</v>
      </c>
      <c r="F472" s="50">
        <v>1565.64</v>
      </c>
      <c r="J472" s="241">
        <v>45684.0</v>
      </c>
      <c r="K472" s="241">
        <v>45684.0</v>
      </c>
      <c r="M472" s="50" t="s">
        <v>20</v>
      </c>
      <c r="N472" s="50">
        <v>3.3042189E8</v>
      </c>
      <c r="O472" s="50">
        <v>170288.0</v>
      </c>
      <c r="Q472" s="50" t="s">
        <v>246</v>
      </c>
      <c r="R472" s="50">
        <v>170288.0</v>
      </c>
    </row>
    <row r="473" ht="13.5" customHeight="1">
      <c r="B473" s="50" t="s">
        <v>20</v>
      </c>
      <c r="C473" s="50">
        <v>3.30421891E8</v>
      </c>
      <c r="D473" s="50" t="s">
        <v>172</v>
      </c>
      <c r="E473" s="55">
        <v>1350.82</v>
      </c>
      <c r="F473" s="50">
        <v>1350.82</v>
      </c>
      <c r="J473" s="241">
        <v>45684.0</v>
      </c>
      <c r="K473" s="241">
        <v>45684.0</v>
      </c>
      <c r="M473" s="50" t="s">
        <v>20</v>
      </c>
      <c r="N473" s="50">
        <v>3.30421891E8</v>
      </c>
      <c r="O473" s="50">
        <v>170288.0</v>
      </c>
      <c r="Q473" s="50" t="s">
        <v>626</v>
      </c>
      <c r="R473" s="50">
        <v>170288.0</v>
      </c>
    </row>
    <row r="474" ht="13.5" customHeight="1">
      <c r="B474" s="50" t="s">
        <v>20</v>
      </c>
      <c r="C474" s="50">
        <v>3.30421892E8</v>
      </c>
      <c r="D474" s="50" t="s">
        <v>172</v>
      </c>
      <c r="E474" s="50">
        <v>873.81</v>
      </c>
      <c r="F474" s="50">
        <v>873.81</v>
      </c>
      <c r="J474" s="241">
        <v>45684.0</v>
      </c>
      <c r="K474" s="241">
        <v>45684.0</v>
      </c>
      <c r="M474" s="50" t="s">
        <v>20</v>
      </c>
      <c r="N474" s="50">
        <v>3.30421892E8</v>
      </c>
      <c r="O474" s="50">
        <v>170288.0</v>
      </c>
      <c r="Q474" s="50" t="s">
        <v>627</v>
      </c>
      <c r="R474" s="50">
        <v>170288.0</v>
      </c>
    </row>
    <row r="475" ht="13.5" customHeight="1">
      <c r="B475" s="50" t="s">
        <v>20</v>
      </c>
      <c r="C475" s="50">
        <v>3.30421893E8</v>
      </c>
      <c r="D475" s="50" t="s">
        <v>172</v>
      </c>
      <c r="E475" s="50">
        <v>873.81</v>
      </c>
      <c r="F475" s="50">
        <v>873.81</v>
      </c>
      <c r="J475" s="241">
        <v>45684.0</v>
      </c>
      <c r="K475" s="241">
        <v>45684.0</v>
      </c>
      <c r="M475" s="50" t="s">
        <v>20</v>
      </c>
      <c r="N475" s="50">
        <v>3.30421893E8</v>
      </c>
      <c r="O475" s="50">
        <v>170288.0</v>
      </c>
      <c r="Q475" s="50" t="s">
        <v>628</v>
      </c>
      <c r="R475" s="50">
        <v>170288.0</v>
      </c>
    </row>
    <row r="476" ht="13.5" customHeight="1">
      <c r="B476" s="50" t="s">
        <v>20</v>
      </c>
      <c r="C476" s="50">
        <v>3.30421894E8</v>
      </c>
      <c r="D476" s="50" t="s">
        <v>172</v>
      </c>
      <c r="E476" s="50">
        <v>651.56</v>
      </c>
      <c r="F476" s="50">
        <v>651.56</v>
      </c>
      <c r="J476" s="241">
        <v>45684.0</v>
      </c>
      <c r="K476" s="241">
        <v>45684.0</v>
      </c>
      <c r="M476" s="50" t="s">
        <v>20</v>
      </c>
      <c r="N476" s="50">
        <v>3.30421894E8</v>
      </c>
      <c r="O476" s="50">
        <v>170288.0</v>
      </c>
      <c r="Q476" s="50" t="s">
        <v>629</v>
      </c>
      <c r="R476" s="50">
        <v>170288.0</v>
      </c>
    </row>
    <row r="477" ht="13.5" customHeight="1">
      <c r="B477" s="50" t="s">
        <v>20</v>
      </c>
      <c r="C477" s="50">
        <v>3.30421895E8</v>
      </c>
      <c r="D477" s="50" t="s">
        <v>172</v>
      </c>
      <c r="E477" s="55">
        <v>1404.63</v>
      </c>
      <c r="F477" s="50">
        <v>1404.63</v>
      </c>
      <c r="J477" s="241">
        <v>45684.0</v>
      </c>
      <c r="K477" s="241">
        <v>45684.0</v>
      </c>
      <c r="M477" s="50" t="s">
        <v>20</v>
      </c>
      <c r="N477" s="50">
        <v>3.30421895E8</v>
      </c>
      <c r="O477" s="50">
        <v>170288.0</v>
      </c>
      <c r="Q477" s="50" t="s">
        <v>630</v>
      </c>
      <c r="R477" s="50">
        <v>170288.0</v>
      </c>
    </row>
    <row r="478" ht="13.5" customHeight="1">
      <c r="B478" s="50" t="s">
        <v>20</v>
      </c>
      <c r="C478" s="50">
        <v>3.30421896E8</v>
      </c>
      <c r="D478" s="50" t="s">
        <v>172</v>
      </c>
      <c r="E478" s="55">
        <v>1493.92</v>
      </c>
      <c r="F478" s="50">
        <v>1493.92</v>
      </c>
      <c r="J478" s="241">
        <v>45684.0</v>
      </c>
      <c r="K478" s="241">
        <v>45684.0</v>
      </c>
      <c r="M478" s="50" t="s">
        <v>20</v>
      </c>
      <c r="N478" s="50">
        <v>3.30421896E8</v>
      </c>
      <c r="O478" s="50">
        <v>170288.0</v>
      </c>
      <c r="Q478" s="50" t="s">
        <v>631</v>
      </c>
      <c r="R478" s="50">
        <v>170288.0</v>
      </c>
    </row>
    <row r="479" ht="13.5" customHeight="1">
      <c r="B479" s="50" t="s">
        <v>20</v>
      </c>
      <c r="C479" s="50">
        <v>3.30421897E8</v>
      </c>
      <c r="D479" s="50" t="s">
        <v>172</v>
      </c>
      <c r="E479" s="55">
        <v>1255.42</v>
      </c>
      <c r="F479" s="50">
        <v>1255.42</v>
      </c>
      <c r="J479" s="241">
        <v>45684.0</v>
      </c>
      <c r="K479" s="241">
        <v>45684.0</v>
      </c>
      <c r="M479" s="50" t="s">
        <v>20</v>
      </c>
      <c r="N479" s="50">
        <v>3.30421897E8</v>
      </c>
      <c r="O479" s="50">
        <v>170288.0</v>
      </c>
      <c r="Q479" s="50" t="s">
        <v>632</v>
      </c>
      <c r="R479" s="50">
        <v>170288.0</v>
      </c>
    </row>
    <row r="480" ht="13.5" customHeight="1">
      <c r="B480" s="50" t="s">
        <v>20</v>
      </c>
      <c r="C480" s="50">
        <v>3.30421898E8</v>
      </c>
      <c r="D480" s="50" t="s">
        <v>172</v>
      </c>
      <c r="E480" s="50">
        <v>365.4</v>
      </c>
      <c r="F480" s="50">
        <v>365.4</v>
      </c>
      <c r="J480" s="241">
        <v>45684.0</v>
      </c>
      <c r="K480" s="241">
        <v>45684.0</v>
      </c>
      <c r="M480" s="50" t="s">
        <v>20</v>
      </c>
      <c r="N480" s="50">
        <v>3.30421898E8</v>
      </c>
      <c r="O480" s="50">
        <v>170288.0</v>
      </c>
      <c r="Q480" s="50" t="s">
        <v>633</v>
      </c>
      <c r="R480" s="50">
        <v>170288.0</v>
      </c>
    </row>
    <row r="481" ht="13.5" customHeight="1">
      <c r="B481" s="50" t="s">
        <v>20</v>
      </c>
      <c r="C481" s="50">
        <v>3.30421899E8</v>
      </c>
      <c r="D481" s="50" t="s">
        <v>172</v>
      </c>
      <c r="E481" s="55">
        <v>1511.97</v>
      </c>
      <c r="F481" s="50">
        <v>1511.97</v>
      </c>
      <c r="J481" s="241">
        <v>45684.0</v>
      </c>
      <c r="K481" s="241">
        <v>45684.0</v>
      </c>
      <c r="M481" s="50" t="s">
        <v>20</v>
      </c>
      <c r="N481" s="50">
        <v>3.30421899E8</v>
      </c>
      <c r="O481" s="50">
        <v>170288.0</v>
      </c>
      <c r="Q481" s="50" t="s">
        <v>634</v>
      </c>
      <c r="R481" s="50">
        <v>170288.0</v>
      </c>
    </row>
    <row r="482" ht="13.5" customHeight="1">
      <c r="B482" s="50" t="s">
        <v>20</v>
      </c>
      <c r="C482" s="50">
        <v>3.304219E8</v>
      </c>
      <c r="D482" s="50" t="s">
        <v>172</v>
      </c>
      <c r="E482" s="55">
        <v>1350.82</v>
      </c>
      <c r="F482" s="50">
        <v>1350.82</v>
      </c>
      <c r="J482" s="241">
        <v>45684.0</v>
      </c>
      <c r="K482" s="241">
        <v>45684.0</v>
      </c>
      <c r="M482" s="50" t="s">
        <v>20</v>
      </c>
      <c r="N482" s="50">
        <v>3.304219E8</v>
      </c>
      <c r="O482" s="50">
        <v>170288.0</v>
      </c>
      <c r="Q482" s="50" t="s">
        <v>635</v>
      </c>
      <c r="R482" s="50">
        <v>170288.0</v>
      </c>
    </row>
    <row r="483" ht="13.5" customHeight="1">
      <c r="B483" s="50" t="s">
        <v>20</v>
      </c>
      <c r="C483" s="50">
        <v>3.30421901E8</v>
      </c>
      <c r="D483" s="50" t="s">
        <v>172</v>
      </c>
      <c r="E483" s="55">
        <v>1112.31</v>
      </c>
      <c r="F483" s="50">
        <v>1112.31</v>
      </c>
      <c r="J483" s="241">
        <v>45684.0</v>
      </c>
      <c r="K483" s="241">
        <v>45684.0</v>
      </c>
      <c r="M483" s="50" t="s">
        <v>20</v>
      </c>
      <c r="N483" s="50">
        <v>3.30421901E8</v>
      </c>
      <c r="O483" s="50">
        <v>170288.0</v>
      </c>
      <c r="Q483" s="50" t="s">
        <v>636</v>
      </c>
      <c r="R483" s="50">
        <v>170288.0</v>
      </c>
    </row>
    <row r="484" ht="13.5" customHeight="1">
      <c r="B484" s="50" t="s">
        <v>20</v>
      </c>
      <c r="C484" s="50">
        <v>3.30421902E8</v>
      </c>
      <c r="D484" s="50" t="s">
        <v>172</v>
      </c>
      <c r="E484" s="55">
        <v>2537.5</v>
      </c>
      <c r="F484" s="50">
        <v>2537.5</v>
      </c>
      <c r="J484" s="241">
        <v>45684.0</v>
      </c>
      <c r="K484" s="241">
        <v>45684.0</v>
      </c>
      <c r="M484" s="50" t="s">
        <v>20</v>
      </c>
      <c r="N484" s="50">
        <v>3.30421902E8</v>
      </c>
      <c r="O484" s="50">
        <v>170288.0</v>
      </c>
      <c r="Q484" s="50" t="s">
        <v>637</v>
      </c>
      <c r="R484" s="50">
        <v>170288.0</v>
      </c>
    </row>
    <row r="485" ht="13.5" customHeight="1">
      <c r="B485" s="50" t="s">
        <v>20</v>
      </c>
      <c r="C485" s="50">
        <v>3.30421903E8</v>
      </c>
      <c r="D485" s="50" t="s">
        <v>172</v>
      </c>
      <c r="E485" s="55">
        <v>1350.82</v>
      </c>
      <c r="F485" s="50">
        <v>1350.82</v>
      </c>
      <c r="J485" s="241">
        <v>45684.0</v>
      </c>
      <c r="K485" s="241">
        <v>45684.0</v>
      </c>
      <c r="M485" s="50" t="s">
        <v>20</v>
      </c>
      <c r="N485" s="50">
        <v>3.30421903E8</v>
      </c>
      <c r="O485" s="50">
        <v>170288.0</v>
      </c>
      <c r="Q485" s="50" t="s">
        <v>638</v>
      </c>
      <c r="R485" s="50">
        <v>170288.0</v>
      </c>
    </row>
    <row r="486" ht="13.5" customHeight="1">
      <c r="B486" s="50" t="s">
        <v>20</v>
      </c>
      <c r="C486" s="50">
        <v>3.30421904E8</v>
      </c>
      <c r="D486" s="50" t="s">
        <v>172</v>
      </c>
      <c r="E486" s="55">
        <v>1404.63</v>
      </c>
      <c r="F486" s="50">
        <v>1404.63</v>
      </c>
      <c r="J486" s="241">
        <v>45684.0</v>
      </c>
      <c r="K486" s="241">
        <v>45684.0</v>
      </c>
      <c r="M486" s="50" t="s">
        <v>20</v>
      </c>
      <c r="N486" s="50">
        <v>3.30421904E8</v>
      </c>
      <c r="O486" s="50">
        <v>170288.0</v>
      </c>
      <c r="Q486" s="50" t="s">
        <v>639</v>
      </c>
      <c r="R486" s="50">
        <v>170288.0</v>
      </c>
    </row>
    <row r="487" ht="13.5" customHeight="1">
      <c r="B487" s="50" t="s">
        <v>20</v>
      </c>
      <c r="C487" s="50">
        <v>3.30421905E8</v>
      </c>
      <c r="D487" s="50" t="s">
        <v>172</v>
      </c>
      <c r="E487" s="50">
        <v>607.0</v>
      </c>
      <c r="F487" s="50">
        <v>607.0</v>
      </c>
      <c r="J487" s="241">
        <v>45684.0</v>
      </c>
      <c r="K487" s="241">
        <v>45684.0</v>
      </c>
      <c r="M487" s="50" t="s">
        <v>20</v>
      </c>
      <c r="N487" s="50">
        <v>3.30421905E8</v>
      </c>
      <c r="O487" s="50">
        <v>170288.0</v>
      </c>
      <c r="Q487" s="50" t="s">
        <v>640</v>
      </c>
      <c r="R487" s="50">
        <v>170288.0</v>
      </c>
    </row>
    <row r="488" ht="13.5" customHeight="1">
      <c r="B488" s="50" t="s">
        <v>20</v>
      </c>
      <c r="C488" s="50">
        <v>3.30421906E8</v>
      </c>
      <c r="D488" s="50" t="s">
        <v>172</v>
      </c>
      <c r="E488" s="55">
        <v>1511.97</v>
      </c>
      <c r="F488" s="50">
        <v>1511.97</v>
      </c>
      <c r="J488" s="241">
        <v>45684.0</v>
      </c>
      <c r="K488" s="241">
        <v>45684.0</v>
      </c>
      <c r="M488" s="50" t="s">
        <v>20</v>
      </c>
      <c r="N488" s="50">
        <v>3.30421906E8</v>
      </c>
      <c r="O488" s="50">
        <v>170288.0</v>
      </c>
      <c r="Q488" s="50" t="s">
        <v>641</v>
      </c>
      <c r="R488" s="50">
        <v>170288.0</v>
      </c>
    </row>
    <row r="489" ht="13.5" customHeight="1">
      <c r="B489" s="50" t="s">
        <v>20</v>
      </c>
      <c r="C489" s="50">
        <v>3.30421907E8</v>
      </c>
      <c r="D489" s="50" t="s">
        <v>172</v>
      </c>
      <c r="E489" s="55">
        <v>1398.52</v>
      </c>
      <c r="F489" s="50">
        <v>1398.52</v>
      </c>
      <c r="J489" s="241">
        <v>45684.0</v>
      </c>
      <c r="K489" s="241">
        <v>45684.0</v>
      </c>
      <c r="M489" s="50" t="s">
        <v>20</v>
      </c>
      <c r="N489" s="50">
        <v>3.30421907E8</v>
      </c>
      <c r="O489" s="50">
        <v>170288.0</v>
      </c>
      <c r="Q489" s="50" t="s">
        <v>642</v>
      </c>
      <c r="R489" s="50">
        <v>170288.0</v>
      </c>
    </row>
    <row r="490" ht="13.5" customHeight="1">
      <c r="B490" s="50" t="s">
        <v>20</v>
      </c>
      <c r="C490" s="50">
        <v>3.30421908E8</v>
      </c>
      <c r="D490" s="50" t="s">
        <v>172</v>
      </c>
      <c r="E490" s="55">
        <v>1255.42</v>
      </c>
      <c r="F490" s="50">
        <v>1255.42</v>
      </c>
      <c r="J490" s="241">
        <v>45684.0</v>
      </c>
      <c r="K490" s="241">
        <v>45684.0</v>
      </c>
      <c r="M490" s="50" t="s">
        <v>20</v>
      </c>
      <c r="N490" s="50">
        <v>3.30421908E8</v>
      </c>
      <c r="O490" s="50">
        <v>170288.0</v>
      </c>
      <c r="Q490" s="50" t="s">
        <v>643</v>
      </c>
      <c r="R490" s="50">
        <v>170288.0</v>
      </c>
    </row>
    <row r="491" ht="13.5" customHeight="1">
      <c r="B491" s="50" t="s">
        <v>20</v>
      </c>
      <c r="C491" s="50">
        <v>3.30421909E8</v>
      </c>
      <c r="D491" s="50" t="s">
        <v>172</v>
      </c>
      <c r="E491" s="55">
        <v>1493.92</v>
      </c>
      <c r="F491" s="50">
        <v>1493.92</v>
      </c>
      <c r="J491" s="241">
        <v>45684.0</v>
      </c>
      <c r="K491" s="241">
        <v>45684.0</v>
      </c>
      <c r="M491" s="50" t="s">
        <v>20</v>
      </c>
      <c r="N491" s="50">
        <v>3.30421909E8</v>
      </c>
      <c r="O491" s="50">
        <v>170288.0</v>
      </c>
      <c r="Q491" s="50" t="s">
        <v>644</v>
      </c>
      <c r="R491" s="50">
        <v>170288.0</v>
      </c>
    </row>
    <row r="492" ht="13.5" customHeight="1">
      <c r="B492" s="50" t="s">
        <v>20</v>
      </c>
      <c r="C492" s="50">
        <v>3.30421911E8</v>
      </c>
      <c r="D492" s="50" t="s">
        <v>172</v>
      </c>
      <c r="E492" s="50">
        <v>460.76</v>
      </c>
      <c r="F492" s="50">
        <v>460.76</v>
      </c>
      <c r="J492" s="241">
        <v>45684.0</v>
      </c>
      <c r="K492" s="241">
        <v>45684.0</v>
      </c>
      <c r="M492" s="50" t="s">
        <v>20</v>
      </c>
      <c r="N492" s="50">
        <v>3.30421911E8</v>
      </c>
      <c r="O492" s="50">
        <v>170288.0</v>
      </c>
      <c r="Q492" s="50" t="s">
        <v>645</v>
      </c>
      <c r="R492" s="50">
        <v>170288.0</v>
      </c>
    </row>
    <row r="493" ht="13.5" customHeight="1">
      <c r="B493" s="50" t="s">
        <v>20</v>
      </c>
      <c r="C493" s="50">
        <v>3.30421912E8</v>
      </c>
      <c r="D493" s="50" t="s">
        <v>172</v>
      </c>
      <c r="E493" s="55">
        <v>1565.64</v>
      </c>
      <c r="F493" s="50">
        <v>1565.64</v>
      </c>
      <c r="J493" s="241">
        <v>45684.0</v>
      </c>
      <c r="K493" s="241">
        <v>45684.0</v>
      </c>
      <c r="M493" s="50" t="s">
        <v>20</v>
      </c>
      <c r="N493" s="50">
        <v>3.30421912E8</v>
      </c>
      <c r="O493" s="50">
        <v>170288.0</v>
      </c>
      <c r="Q493" s="50" t="s">
        <v>249</v>
      </c>
      <c r="R493" s="50">
        <v>170288.0</v>
      </c>
    </row>
    <row r="494" ht="13.5" customHeight="1">
      <c r="B494" s="50" t="s">
        <v>20</v>
      </c>
      <c r="C494" s="50">
        <v>3.30421913E8</v>
      </c>
      <c r="D494" s="50" t="s">
        <v>172</v>
      </c>
      <c r="E494" s="50">
        <v>143.2</v>
      </c>
      <c r="F494" s="50">
        <v>143.2</v>
      </c>
      <c r="J494" s="241">
        <v>45684.0</v>
      </c>
      <c r="K494" s="241">
        <v>45684.0</v>
      </c>
      <c r="M494" s="50" t="s">
        <v>20</v>
      </c>
      <c r="N494" s="50">
        <v>3.30421913E8</v>
      </c>
      <c r="O494" s="50">
        <v>170288.0</v>
      </c>
      <c r="Q494" s="50" t="s">
        <v>646</v>
      </c>
      <c r="R494" s="50">
        <v>170288.0</v>
      </c>
    </row>
    <row r="495" ht="13.5" customHeight="1">
      <c r="B495" s="50" t="s">
        <v>20</v>
      </c>
      <c r="C495" s="50">
        <v>3.30421914E8</v>
      </c>
      <c r="D495" s="50" t="s">
        <v>172</v>
      </c>
      <c r="E495" s="55">
        <v>1398.52</v>
      </c>
      <c r="F495" s="50">
        <v>1398.52</v>
      </c>
      <c r="J495" s="241">
        <v>45684.0</v>
      </c>
      <c r="K495" s="241">
        <v>45684.0</v>
      </c>
      <c r="M495" s="50" t="s">
        <v>20</v>
      </c>
      <c r="N495" s="50">
        <v>3.30421914E8</v>
      </c>
      <c r="O495" s="50">
        <v>170288.0</v>
      </c>
      <c r="Q495" s="50" t="s">
        <v>647</v>
      </c>
      <c r="R495" s="50">
        <v>170288.0</v>
      </c>
    </row>
    <row r="496" ht="13.5" customHeight="1">
      <c r="B496" s="50" t="s">
        <v>20</v>
      </c>
      <c r="C496" s="50">
        <v>3.30421915E8</v>
      </c>
      <c r="D496" s="50" t="s">
        <v>172</v>
      </c>
      <c r="E496" s="55">
        <v>1493.92</v>
      </c>
      <c r="F496" s="50">
        <v>1493.92</v>
      </c>
      <c r="J496" s="241">
        <v>45684.0</v>
      </c>
      <c r="K496" s="241">
        <v>45684.0</v>
      </c>
      <c r="M496" s="50" t="s">
        <v>20</v>
      </c>
      <c r="N496" s="50">
        <v>3.30421915E8</v>
      </c>
      <c r="O496" s="50">
        <v>170288.0</v>
      </c>
      <c r="Q496" s="50" t="s">
        <v>648</v>
      </c>
      <c r="R496" s="50">
        <v>170288.0</v>
      </c>
    </row>
    <row r="497" ht="13.5" customHeight="1">
      <c r="B497" s="50" t="s">
        <v>20</v>
      </c>
      <c r="C497" s="50">
        <v>3.30421916E8</v>
      </c>
      <c r="D497" s="50" t="s">
        <v>172</v>
      </c>
      <c r="E497" s="55">
        <v>1398.52</v>
      </c>
      <c r="F497" s="50">
        <v>1398.52</v>
      </c>
      <c r="J497" s="241">
        <v>45684.0</v>
      </c>
      <c r="K497" s="241">
        <v>45684.0</v>
      </c>
      <c r="M497" s="50" t="s">
        <v>20</v>
      </c>
      <c r="N497" s="50">
        <v>3.30421916E8</v>
      </c>
      <c r="O497" s="50">
        <v>170288.0</v>
      </c>
      <c r="Q497" s="50" t="s">
        <v>649</v>
      </c>
      <c r="R497" s="50">
        <v>170288.0</v>
      </c>
    </row>
    <row r="498" ht="13.5" customHeight="1">
      <c r="B498" s="50" t="s">
        <v>20</v>
      </c>
      <c r="C498" s="50">
        <v>3.30421917E8</v>
      </c>
      <c r="D498" s="50" t="s">
        <v>172</v>
      </c>
      <c r="E498" s="55">
        <v>1530.34</v>
      </c>
      <c r="F498" s="50">
        <v>1530.34</v>
      </c>
      <c r="J498" s="241">
        <v>45684.0</v>
      </c>
      <c r="K498" s="241">
        <v>45684.0</v>
      </c>
      <c r="M498" s="50" t="s">
        <v>20</v>
      </c>
      <c r="N498" s="50">
        <v>3.30421917E8</v>
      </c>
      <c r="O498" s="50">
        <v>170288.0</v>
      </c>
      <c r="Q498" s="50" t="s">
        <v>650</v>
      </c>
      <c r="R498" s="50">
        <v>170288.0</v>
      </c>
    </row>
    <row r="499" ht="13.5" customHeight="1">
      <c r="B499" s="50" t="s">
        <v>20</v>
      </c>
      <c r="C499" s="50">
        <v>3.30421918E8</v>
      </c>
      <c r="D499" s="50" t="s">
        <v>172</v>
      </c>
      <c r="E499" s="55">
        <v>1493.92</v>
      </c>
      <c r="F499" s="50">
        <v>1493.92</v>
      </c>
      <c r="J499" s="241">
        <v>45684.0</v>
      </c>
      <c r="K499" s="241">
        <v>45684.0</v>
      </c>
      <c r="M499" s="50" t="s">
        <v>20</v>
      </c>
      <c r="N499" s="50">
        <v>3.30421918E8</v>
      </c>
      <c r="O499" s="50">
        <v>170288.0</v>
      </c>
      <c r="Q499" s="50" t="s">
        <v>651</v>
      </c>
      <c r="R499" s="50">
        <v>170288.0</v>
      </c>
    </row>
    <row r="500" ht="13.5" customHeight="1">
      <c r="B500" s="50" t="s">
        <v>20</v>
      </c>
      <c r="C500" s="50">
        <v>3.30421919E8</v>
      </c>
      <c r="D500" s="50" t="s">
        <v>172</v>
      </c>
      <c r="E500" s="55">
        <v>1493.92</v>
      </c>
      <c r="F500" s="50">
        <v>1493.92</v>
      </c>
      <c r="J500" s="241">
        <v>45684.0</v>
      </c>
      <c r="K500" s="241">
        <v>45684.0</v>
      </c>
      <c r="M500" s="50" t="s">
        <v>20</v>
      </c>
      <c r="N500" s="50">
        <v>3.30421919E8</v>
      </c>
      <c r="O500" s="50">
        <v>170288.0</v>
      </c>
      <c r="Q500" s="50" t="s">
        <v>652</v>
      </c>
      <c r="R500" s="50">
        <v>170288.0</v>
      </c>
    </row>
    <row r="501" ht="13.5" customHeight="1">
      <c r="B501" s="50" t="s">
        <v>20</v>
      </c>
      <c r="C501" s="50">
        <v>3.3042192E8</v>
      </c>
      <c r="D501" s="50" t="s">
        <v>172</v>
      </c>
      <c r="E501" s="55">
        <v>1207.72</v>
      </c>
      <c r="F501" s="50">
        <v>1207.72</v>
      </c>
      <c r="J501" s="241">
        <v>45684.0</v>
      </c>
      <c r="K501" s="241">
        <v>45684.0</v>
      </c>
      <c r="M501" s="50" t="s">
        <v>20</v>
      </c>
      <c r="N501" s="50">
        <v>3.3042192E8</v>
      </c>
      <c r="O501" s="50">
        <v>170288.0</v>
      </c>
      <c r="Q501" s="50" t="s">
        <v>653</v>
      </c>
      <c r="R501" s="50">
        <v>170288.0</v>
      </c>
    </row>
    <row r="502" ht="13.5" customHeight="1">
      <c r="B502" s="50" t="s">
        <v>20</v>
      </c>
      <c r="C502" s="50">
        <v>3.30421921E8</v>
      </c>
      <c r="D502" s="50" t="s">
        <v>172</v>
      </c>
      <c r="E502" s="50">
        <v>873.81</v>
      </c>
      <c r="F502" s="50">
        <v>873.81</v>
      </c>
      <c r="J502" s="241">
        <v>45684.0</v>
      </c>
      <c r="K502" s="241">
        <v>45684.0</v>
      </c>
      <c r="M502" s="50" t="s">
        <v>20</v>
      </c>
      <c r="N502" s="50">
        <v>3.30421921E8</v>
      </c>
      <c r="O502" s="50">
        <v>170288.0</v>
      </c>
      <c r="Q502" s="50" t="s">
        <v>654</v>
      </c>
      <c r="R502" s="50">
        <v>170288.0</v>
      </c>
    </row>
    <row r="503" ht="13.5" customHeight="1">
      <c r="B503" s="50" t="s">
        <v>20</v>
      </c>
      <c r="C503" s="50">
        <v>3.30421922E8</v>
      </c>
      <c r="D503" s="50" t="s">
        <v>172</v>
      </c>
      <c r="E503" s="55">
        <v>2138.12</v>
      </c>
      <c r="F503" s="50">
        <v>2138.12</v>
      </c>
      <c r="J503" s="241">
        <v>45684.0</v>
      </c>
      <c r="K503" s="241">
        <v>45684.0</v>
      </c>
      <c r="M503" s="50" t="s">
        <v>20</v>
      </c>
      <c r="N503" s="50">
        <v>3.30421922E8</v>
      </c>
      <c r="O503" s="50">
        <v>170288.0</v>
      </c>
      <c r="Q503" s="50" t="s">
        <v>655</v>
      </c>
      <c r="R503" s="50">
        <v>170288.0</v>
      </c>
    </row>
    <row r="504" ht="13.5" customHeight="1">
      <c r="B504" s="50" t="s">
        <v>20</v>
      </c>
      <c r="C504" s="50">
        <v>3.30421923E8</v>
      </c>
      <c r="D504" s="50" t="s">
        <v>172</v>
      </c>
      <c r="E504" s="50">
        <v>873.81</v>
      </c>
      <c r="F504" s="50">
        <v>873.81</v>
      </c>
      <c r="J504" s="241">
        <v>45684.0</v>
      </c>
      <c r="K504" s="241">
        <v>45684.0</v>
      </c>
      <c r="M504" s="50" t="s">
        <v>20</v>
      </c>
      <c r="N504" s="50">
        <v>3.30421923E8</v>
      </c>
      <c r="O504" s="50">
        <v>170288.0</v>
      </c>
      <c r="Q504" s="50" t="s">
        <v>656</v>
      </c>
      <c r="R504" s="50">
        <v>170288.0</v>
      </c>
    </row>
    <row r="505" ht="13.5" customHeight="1">
      <c r="B505" s="50" t="s">
        <v>20</v>
      </c>
      <c r="C505" s="50">
        <v>3.30421924E8</v>
      </c>
      <c r="D505" s="50" t="s">
        <v>172</v>
      </c>
      <c r="E505" s="55">
        <v>1493.92</v>
      </c>
      <c r="F505" s="50">
        <v>1493.92</v>
      </c>
      <c r="J505" s="241">
        <v>45684.0</v>
      </c>
      <c r="K505" s="241">
        <v>45684.0</v>
      </c>
      <c r="M505" s="50" t="s">
        <v>20</v>
      </c>
      <c r="N505" s="50">
        <v>3.30421924E8</v>
      </c>
      <c r="O505" s="50">
        <v>170288.0</v>
      </c>
      <c r="Q505" s="50" t="s">
        <v>657</v>
      </c>
      <c r="R505" s="50">
        <v>170288.0</v>
      </c>
    </row>
    <row r="506" ht="13.5" customHeight="1">
      <c r="B506" s="50" t="s">
        <v>20</v>
      </c>
      <c r="C506" s="50">
        <v>3.30421925E8</v>
      </c>
      <c r="D506" s="50" t="s">
        <v>172</v>
      </c>
      <c r="E506" s="55">
        <v>1398.52</v>
      </c>
      <c r="F506" s="50">
        <v>1398.52</v>
      </c>
      <c r="J506" s="241">
        <v>45684.0</v>
      </c>
      <c r="K506" s="241">
        <v>45684.0</v>
      </c>
      <c r="M506" s="50" t="s">
        <v>20</v>
      </c>
      <c r="N506" s="50">
        <v>3.30421925E8</v>
      </c>
      <c r="O506" s="50">
        <v>170288.0</v>
      </c>
      <c r="Q506" s="50" t="s">
        <v>658</v>
      </c>
      <c r="R506" s="50">
        <v>170288.0</v>
      </c>
    </row>
    <row r="507" ht="13.5" customHeight="1">
      <c r="B507" s="50" t="s">
        <v>20</v>
      </c>
      <c r="C507" s="50">
        <v>3.30421926E8</v>
      </c>
      <c r="D507" s="50" t="s">
        <v>172</v>
      </c>
      <c r="E507" s="50">
        <v>34.95</v>
      </c>
      <c r="F507" s="50">
        <v>34.95</v>
      </c>
      <c r="J507" s="241">
        <v>45684.0</v>
      </c>
      <c r="K507" s="241">
        <v>45684.0</v>
      </c>
      <c r="M507" s="50" t="s">
        <v>20</v>
      </c>
      <c r="N507" s="50">
        <v>3.30421926E8</v>
      </c>
      <c r="O507" s="50">
        <v>170288.0</v>
      </c>
      <c r="Q507" s="50" t="s">
        <v>659</v>
      </c>
      <c r="R507" s="50">
        <v>170288.0</v>
      </c>
    </row>
    <row r="508" ht="13.5" customHeight="1">
      <c r="B508" s="50" t="s">
        <v>20</v>
      </c>
      <c r="C508" s="50">
        <v>3.30421927E8</v>
      </c>
      <c r="D508" s="50" t="s">
        <v>172</v>
      </c>
      <c r="E508" s="55">
        <v>1493.92</v>
      </c>
      <c r="F508" s="50">
        <v>1493.92</v>
      </c>
      <c r="J508" s="241">
        <v>45684.0</v>
      </c>
      <c r="K508" s="241">
        <v>45684.0</v>
      </c>
      <c r="M508" s="50" t="s">
        <v>20</v>
      </c>
      <c r="N508" s="50">
        <v>3.30421927E8</v>
      </c>
      <c r="O508" s="50">
        <v>170288.0</v>
      </c>
      <c r="Q508" s="50" t="s">
        <v>660</v>
      </c>
      <c r="R508" s="50">
        <v>170288.0</v>
      </c>
    </row>
    <row r="509" ht="13.5" customHeight="1">
      <c r="B509" s="50" t="s">
        <v>20</v>
      </c>
      <c r="C509" s="50">
        <v>3.30421928E8</v>
      </c>
      <c r="D509" s="50" t="s">
        <v>172</v>
      </c>
      <c r="E509" s="55">
        <v>4719.44</v>
      </c>
      <c r="F509" s="50">
        <v>4719.44</v>
      </c>
      <c r="J509" s="241">
        <v>45684.0</v>
      </c>
      <c r="K509" s="241">
        <v>45684.0</v>
      </c>
      <c r="M509" s="50" t="s">
        <v>20</v>
      </c>
      <c r="N509" s="50">
        <v>3.30421928E8</v>
      </c>
      <c r="O509" s="50">
        <v>170288.0</v>
      </c>
      <c r="Q509" s="50" t="s">
        <v>661</v>
      </c>
      <c r="R509" s="50">
        <v>170288.0</v>
      </c>
    </row>
    <row r="510" ht="13.5" customHeight="1">
      <c r="B510" s="50" t="s">
        <v>20</v>
      </c>
      <c r="C510" s="50">
        <v>3.30421929E8</v>
      </c>
      <c r="D510" s="50" t="s">
        <v>172</v>
      </c>
      <c r="E510" s="50">
        <v>650.85</v>
      </c>
      <c r="F510" s="50">
        <v>650.85</v>
      </c>
      <c r="J510" s="241">
        <v>45684.0</v>
      </c>
      <c r="K510" s="241">
        <v>45684.0</v>
      </c>
      <c r="M510" s="50" t="s">
        <v>20</v>
      </c>
      <c r="N510" s="50">
        <v>3.30421929E8</v>
      </c>
      <c r="O510" s="50">
        <v>170288.0</v>
      </c>
      <c r="Q510" s="50" t="s">
        <v>662</v>
      </c>
      <c r="R510" s="50">
        <v>170288.0</v>
      </c>
    </row>
    <row r="511" ht="13.5" customHeight="1">
      <c r="B511" s="50" t="s">
        <v>20</v>
      </c>
      <c r="C511" s="50">
        <v>3.3042193E8</v>
      </c>
      <c r="D511" s="50" t="s">
        <v>172</v>
      </c>
      <c r="E511" s="50">
        <v>455.24</v>
      </c>
      <c r="F511" s="50">
        <v>455.24</v>
      </c>
      <c r="J511" s="241">
        <v>45684.0</v>
      </c>
      <c r="K511" s="241">
        <v>45684.0</v>
      </c>
      <c r="M511" s="50" t="s">
        <v>20</v>
      </c>
      <c r="N511" s="50">
        <v>3.3042193E8</v>
      </c>
      <c r="O511" s="50">
        <v>170288.0</v>
      </c>
      <c r="Q511" s="50" t="s">
        <v>663</v>
      </c>
      <c r="R511" s="50">
        <v>170288.0</v>
      </c>
    </row>
    <row r="512" ht="13.5" customHeight="1">
      <c r="B512" s="50" t="s">
        <v>20</v>
      </c>
      <c r="C512" s="50">
        <v>3.30421931E8</v>
      </c>
      <c r="D512" s="50" t="s">
        <v>172</v>
      </c>
      <c r="E512" s="55">
        <v>1398.52</v>
      </c>
      <c r="F512" s="50">
        <v>1398.52</v>
      </c>
      <c r="J512" s="241">
        <v>45684.0</v>
      </c>
      <c r="K512" s="241">
        <v>45684.0</v>
      </c>
      <c r="M512" s="50" t="s">
        <v>20</v>
      </c>
      <c r="N512" s="50">
        <v>3.30421931E8</v>
      </c>
      <c r="O512" s="50">
        <v>170288.0</v>
      </c>
      <c r="Q512" s="50" t="s">
        <v>664</v>
      </c>
      <c r="R512" s="50">
        <v>170288.0</v>
      </c>
    </row>
    <row r="513" ht="13.5" customHeight="1">
      <c r="B513" s="50" t="s">
        <v>20</v>
      </c>
      <c r="C513" s="50">
        <v>3.30421932E8</v>
      </c>
      <c r="D513" s="50" t="s">
        <v>172</v>
      </c>
      <c r="E513" s="55">
        <v>1350.82</v>
      </c>
      <c r="F513" s="50">
        <v>1350.82</v>
      </c>
      <c r="J513" s="241">
        <v>45684.0</v>
      </c>
      <c r="K513" s="241">
        <v>45684.0</v>
      </c>
      <c r="M513" s="50" t="s">
        <v>20</v>
      </c>
      <c r="N513" s="50">
        <v>3.30421932E8</v>
      </c>
      <c r="O513" s="50">
        <v>170288.0</v>
      </c>
      <c r="Q513" s="50" t="s">
        <v>665</v>
      </c>
      <c r="R513" s="50">
        <v>170288.0</v>
      </c>
    </row>
    <row r="514" ht="13.5" customHeight="1">
      <c r="B514" s="50" t="s">
        <v>20</v>
      </c>
      <c r="C514" s="50">
        <v>3.30421933E8</v>
      </c>
      <c r="D514" s="50" t="s">
        <v>172</v>
      </c>
      <c r="E514" s="50">
        <v>651.56</v>
      </c>
      <c r="F514" s="50">
        <v>651.56</v>
      </c>
      <c r="J514" s="241">
        <v>45684.0</v>
      </c>
      <c r="K514" s="241">
        <v>45684.0</v>
      </c>
      <c r="M514" s="50" t="s">
        <v>20</v>
      </c>
      <c r="N514" s="50">
        <v>3.30421933E8</v>
      </c>
      <c r="O514" s="50">
        <v>170288.0</v>
      </c>
      <c r="Q514" s="50" t="s">
        <v>666</v>
      </c>
      <c r="R514" s="50">
        <v>170288.0</v>
      </c>
    </row>
    <row r="515" ht="13.5" customHeight="1">
      <c r="B515" s="50" t="s">
        <v>20</v>
      </c>
      <c r="C515" s="50">
        <v>3.30421934E8</v>
      </c>
      <c r="D515" s="50" t="s">
        <v>172</v>
      </c>
      <c r="E515" s="55">
        <v>1493.92</v>
      </c>
      <c r="F515" s="50">
        <v>1493.92</v>
      </c>
      <c r="J515" s="241">
        <v>45684.0</v>
      </c>
      <c r="K515" s="241">
        <v>45684.0</v>
      </c>
      <c r="M515" s="50" t="s">
        <v>20</v>
      </c>
      <c r="N515" s="50">
        <v>3.30421934E8</v>
      </c>
      <c r="O515" s="50">
        <v>170288.0</v>
      </c>
      <c r="Q515" s="50" t="s">
        <v>667</v>
      </c>
      <c r="R515" s="50">
        <v>170288.0</v>
      </c>
    </row>
    <row r="516" ht="13.5" customHeight="1">
      <c r="B516" s="50" t="s">
        <v>20</v>
      </c>
      <c r="C516" s="50">
        <v>3.30421935E8</v>
      </c>
      <c r="D516" s="50" t="s">
        <v>172</v>
      </c>
      <c r="E516" s="50">
        <v>201.3</v>
      </c>
      <c r="F516" s="50">
        <v>201.3</v>
      </c>
      <c r="J516" s="241">
        <v>45684.0</v>
      </c>
      <c r="K516" s="241">
        <v>45684.0</v>
      </c>
      <c r="M516" s="50" t="s">
        <v>20</v>
      </c>
      <c r="N516" s="50">
        <v>3.30421935E8</v>
      </c>
      <c r="O516" s="50">
        <v>170288.0</v>
      </c>
      <c r="Q516" s="50" t="s">
        <v>668</v>
      </c>
      <c r="R516" s="50">
        <v>170288.0</v>
      </c>
    </row>
    <row r="517" ht="13.5" customHeight="1">
      <c r="B517" s="50" t="s">
        <v>20</v>
      </c>
      <c r="C517" s="50">
        <v>3.30421936E8</v>
      </c>
      <c r="D517" s="50" t="s">
        <v>172</v>
      </c>
      <c r="E517" s="50">
        <v>138.79</v>
      </c>
      <c r="F517" s="50">
        <v>138.79</v>
      </c>
      <c r="J517" s="241">
        <v>45684.0</v>
      </c>
      <c r="K517" s="241">
        <v>45684.0</v>
      </c>
      <c r="M517" s="50" t="s">
        <v>20</v>
      </c>
      <c r="N517" s="50">
        <v>3.30421936E8</v>
      </c>
      <c r="O517" s="50">
        <v>170288.0</v>
      </c>
      <c r="Q517" s="50" t="s">
        <v>669</v>
      </c>
      <c r="R517" s="50">
        <v>170288.0</v>
      </c>
    </row>
    <row r="518" ht="13.5" customHeight="1">
      <c r="B518" s="50" t="s">
        <v>20</v>
      </c>
      <c r="C518" s="50">
        <v>3.30421937E8</v>
      </c>
      <c r="D518" s="50" t="s">
        <v>172</v>
      </c>
      <c r="E518" s="50">
        <v>122.2</v>
      </c>
      <c r="F518" s="50">
        <v>122.2</v>
      </c>
      <c r="J518" s="241">
        <v>45684.0</v>
      </c>
      <c r="K518" s="241">
        <v>45684.0</v>
      </c>
      <c r="M518" s="50" t="s">
        <v>20</v>
      </c>
      <c r="N518" s="50">
        <v>3.30421937E8</v>
      </c>
      <c r="O518" s="50">
        <v>170288.0</v>
      </c>
      <c r="Q518" s="50" t="s">
        <v>670</v>
      </c>
      <c r="R518" s="50">
        <v>170288.0</v>
      </c>
    </row>
    <row r="519" ht="13.5" customHeight="1">
      <c r="B519" s="50" t="s">
        <v>20</v>
      </c>
      <c r="C519" s="50">
        <v>3.30421938E8</v>
      </c>
      <c r="D519" s="50" t="s">
        <v>172</v>
      </c>
      <c r="E519" s="55">
        <v>1350.82</v>
      </c>
      <c r="F519" s="50">
        <v>1350.82</v>
      </c>
      <c r="J519" s="241">
        <v>45684.0</v>
      </c>
      <c r="K519" s="241">
        <v>45684.0</v>
      </c>
      <c r="M519" s="50" t="s">
        <v>20</v>
      </c>
      <c r="N519" s="50">
        <v>3.30421938E8</v>
      </c>
      <c r="O519" s="50">
        <v>170288.0</v>
      </c>
      <c r="Q519" s="50" t="s">
        <v>255</v>
      </c>
      <c r="R519" s="50">
        <v>170288.0</v>
      </c>
    </row>
    <row r="520" ht="13.5" customHeight="1">
      <c r="B520" s="50" t="s">
        <v>20</v>
      </c>
      <c r="C520" s="50">
        <v>3.30421939E8</v>
      </c>
      <c r="D520" s="50" t="s">
        <v>172</v>
      </c>
      <c r="E520" s="55">
        <v>1398.52</v>
      </c>
      <c r="F520" s="50">
        <v>1398.52</v>
      </c>
      <c r="J520" s="241">
        <v>45684.0</v>
      </c>
      <c r="K520" s="241">
        <v>45684.0</v>
      </c>
      <c r="M520" s="50" t="s">
        <v>20</v>
      </c>
      <c r="N520" s="50">
        <v>3.30421939E8</v>
      </c>
      <c r="O520" s="50">
        <v>170288.0</v>
      </c>
      <c r="Q520" s="50" t="s">
        <v>671</v>
      </c>
      <c r="R520" s="50">
        <v>170288.0</v>
      </c>
    </row>
    <row r="521" ht="13.5" customHeight="1">
      <c r="B521" s="50" t="s">
        <v>20</v>
      </c>
      <c r="C521" s="50">
        <v>3.3042194E8</v>
      </c>
      <c r="D521" s="50" t="s">
        <v>172</v>
      </c>
      <c r="E521" s="55">
        <v>1493.92</v>
      </c>
      <c r="F521" s="50">
        <v>1493.92</v>
      </c>
      <c r="J521" s="241">
        <v>45684.0</v>
      </c>
      <c r="K521" s="241">
        <v>45684.0</v>
      </c>
      <c r="M521" s="50" t="s">
        <v>20</v>
      </c>
      <c r="N521" s="50">
        <v>3.3042194E8</v>
      </c>
      <c r="O521" s="50">
        <v>170288.0</v>
      </c>
      <c r="Q521" s="50" t="s">
        <v>672</v>
      </c>
      <c r="R521" s="50">
        <v>170288.0</v>
      </c>
    </row>
    <row r="522" ht="13.5" customHeight="1">
      <c r="B522" s="50" t="s">
        <v>20</v>
      </c>
      <c r="C522" s="50">
        <v>3.30421941E8</v>
      </c>
      <c r="D522" s="50" t="s">
        <v>172</v>
      </c>
      <c r="E522" s="55">
        <v>1064.61</v>
      </c>
      <c r="F522" s="50">
        <v>1064.61</v>
      </c>
      <c r="J522" s="241">
        <v>45684.0</v>
      </c>
      <c r="K522" s="241">
        <v>45684.0</v>
      </c>
      <c r="M522" s="50" t="s">
        <v>20</v>
      </c>
      <c r="N522" s="50">
        <v>3.30421941E8</v>
      </c>
      <c r="O522" s="50">
        <v>170288.0</v>
      </c>
      <c r="Q522" s="50" t="s">
        <v>673</v>
      </c>
      <c r="R522" s="50">
        <v>170288.0</v>
      </c>
    </row>
    <row r="523" ht="13.5" customHeight="1">
      <c r="B523" s="50" t="s">
        <v>20</v>
      </c>
      <c r="C523" s="50">
        <v>3.30421942E8</v>
      </c>
      <c r="D523" s="50" t="s">
        <v>172</v>
      </c>
      <c r="E523" s="50">
        <v>174.95</v>
      </c>
      <c r="F523" s="50">
        <v>174.95</v>
      </c>
      <c r="J523" s="241">
        <v>45684.0</v>
      </c>
      <c r="K523" s="241">
        <v>45684.0</v>
      </c>
      <c r="M523" s="50" t="s">
        <v>20</v>
      </c>
      <c r="N523" s="50">
        <v>3.30421942E8</v>
      </c>
      <c r="O523" s="50">
        <v>170288.0</v>
      </c>
      <c r="Q523" s="50" t="s">
        <v>674</v>
      </c>
      <c r="R523" s="50">
        <v>170288.0</v>
      </c>
    </row>
    <row r="524" ht="13.5" customHeight="1">
      <c r="B524" s="50" t="s">
        <v>20</v>
      </c>
      <c r="C524" s="50">
        <v>3.30421943E8</v>
      </c>
      <c r="D524" s="50" t="s">
        <v>172</v>
      </c>
      <c r="E524" s="55">
        <v>1493.92</v>
      </c>
      <c r="F524" s="50">
        <v>1493.92</v>
      </c>
      <c r="J524" s="241">
        <v>45684.0</v>
      </c>
      <c r="K524" s="241">
        <v>45684.0</v>
      </c>
      <c r="M524" s="50" t="s">
        <v>20</v>
      </c>
      <c r="N524" s="50">
        <v>3.30421943E8</v>
      </c>
      <c r="O524" s="50">
        <v>170288.0</v>
      </c>
      <c r="Q524" s="50" t="s">
        <v>675</v>
      </c>
      <c r="R524" s="50">
        <v>170288.0</v>
      </c>
    </row>
    <row r="525" ht="13.5" customHeight="1">
      <c r="B525" s="50" t="s">
        <v>20</v>
      </c>
      <c r="C525" s="50">
        <v>3.30421944E8</v>
      </c>
      <c r="D525" s="50" t="s">
        <v>172</v>
      </c>
      <c r="E525" s="55">
        <v>1493.92</v>
      </c>
      <c r="F525" s="50">
        <v>1493.92</v>
      </c>
      <c r="J525" s="241">
        <v>45684.0</v>
      </c>
      <c r="K525" s="241">
        <v>45684.0</v>
      </c>
      <c r="M525" s="50" t="s">
        <v>20</v>
      </c>
      <c r="N525" s="50">
        <v>3.30421944E8</v>
      </c>
      <c r="O525" s="50">
        <v>170288.0</v>
      </c>
      <c r="Q525" s="50" t="s">
        <v>676</v>
      </c>
      <c r="R525" s="50">
        <v>170288.0</v>
      </c>
    </row>
    <row r="526" ht="13.5" customHeight="1">
      <c r="B526" s="50" t="s">
        <v>20</v>
      </c>
      <c r="C526" s="50">
        <v>3.30421945E8</v>
      </c>
      <c r="D526" s="50" t="s">
        <v>172</v>
      </c>
      <c r="E526" s="50">
        <v>299.8</v>
      </c>
      <c r="F526" s="50">
        <v>299.8</v>
      </c>
      <c r="J526" s="241">
        <v>45684.0</v>
      </c>
      <c r="K526" s="241">
        <v>45684.0</v>
      </c>
      <c r="M526" s="50" t="s">
        <v>20</v>
      </c>
      <c r="N526" s="50">
        <v>3.30421945E8</v>
      </c>
      <c r="O526" s="50">
        <v>170288.0</v>
      </c>
      <c r="Q526" s="50" t="s">
        <v>677</v>
      </c>
      <c r="R526" s="50">
        <v>170288.0</v>
      </c>
    </row>
    <row r="527" ht="13.5" customHeight="1">
      <c r="B527" s="50" t="s">
        <v>20</v>
      </c>
      <c r="C527" s="50">
        <v>3.30421946E8</v>
      </c>
      <c r="D527" s="50" t="s">
        <v>172</v>
      </c>
      <c r="E527" s="55">
        <v>2153.95</v>
      </c>
      <c r="F527" s="50">
        <v>2153.95</v>
      </c>
      <c r="J527" s="241">
        <v>45684.0</v>
      </c>
      <c r="K527" s="241">
        <v>45684.0</v>
      </c>
      <c r="M527" s="50" t="s">
        <v>20</v>
      </c>
      <c r="N527" s="50">
        <v>3.30421946E8</v>
      </c>
      <c r="O527" s="50">
        <v>170288.0</v>
      </c>
      <c r="Q527" s="50" t="s">
        <v>678</v>
      </c>
      <c r="R527" s="50">
        <v>170288.0</v>
      </c>
    </row>
    <row r="528" ht="13.5" customHeight="1">
      <c r="B528" s="50" t="s">
        <v>20</v>
      </c>
      <c r="C528" s="50">
        <v>3.30421947E8</v>
      </c>
      <c r="D528" s="50" t="s">
        <v>172</v>
      </c>
      <c r="E528" s="55">
        <v>1398.52</v>
      </c>
      <c r="F528" s="50">
        <v>1398.52</v>
      </c>
      <c r="J528" s="241">
        <v>45684.0</v>
      </c>
      <c r="K528" s="241">
        <v>45684.0</v>
      </c>
      <c r="M528" s="50" t="s">
        <v>20</v>
      </c>
      <c r="N528" s="50">
        <v>3.30421947E8</v>
      </c>
      <c r="O528" s="50">
        <v>170288.0</v>
      </c>
      <c r="Q528" s="50" t="s">
        <v>679</v>
      </c>
      <c r="R528" s="50">
        <v>170288.0</v>
      </c>
    </row>
    <row r="529" ht="13.5" customHeight="1">
      <c r="B529" s="50" t="s">
        <v>20</v>
      </c>
      <c r="C529" s="50">
        <v>3.30421948E8</v>
      </c>
      <c r="D529" s="50" t="s">
        <v>172</v>
      </c>
      <c r="E529" s="55">
        <v>1398.52</v>
      </c>
      <c r="F529" s="50">
        <v>1398.52</v>
      </c>
      <c r="J529" s="241">
        <v>45684.0</v>
      </c>
      <c r="K529" s="241">
        <v>45684.0</v>
      </c>
      <c r="M529" s="50" t="s">
        <v>20</v>
      </c>
      <c r="N529" s="50">
        <v>3.30421948E8</v>
      </c>
      <c r="O529" s="50">
        <v>170288.0</v>
      </c>
      <c r="Q529" s="50" t="s">
        <v>680</v>
      </c>
      <c r="R529" s="50">
        <v>170288.0</v>
      </c>
    </row>
    <row r="530" ht="13.5" customHeight="1">
      <c r="B530" s="50" t="s">
        <v>20</v>
      </c>
      <c r="C530" s="50">
        <v>3.30421949E8</v>
      </c>
      <c r="D530" s="50" t="s">
        <v>172</v>
      </c>
      <c r="E530" s="55">
        <v>1672.98</v>
      </c>
      <c r="F530" s="50">
        <v>1672.98</v>
      </c>
      <c r="J530" s="241">
        <v>45684.0</v>
      </c>
      <c r="K530" s="241">
        <v>45684.0</v>
      </c>
      <c r="M530" s="50" t="s">
        <v>20</v>
      </c>
      <c r="N530" s="50">
        <v>3.30421949E8</v>
      </c>
      <c r="O530" s="50">
        <v>170288.0</v>
      </c>
      <c r="Q530" s="50" t="s">
        <v>681</v>
      </c>
      <c r="R530" s="50">
        <v>170288.0</v>
      </c>
    </row>
    <row r="531" ht="13.5" customHeight="1">
      <c r="B531" s="50" t="s">
        <v>20</v>
      </c>
      <c r="C531" s="50">
        <v>3.3042195E8</v>
      </c>
      <c r="D531" s="50" t="s">
        <v>172</v>
      </c>
      <c r="E531" s="55">
        <v>1511.97</v>
      </c>
      <c r="F531" s="50">
        <v>1511.97</v>
      </c>
      <c r="J531" s="241">
        <v>45684.0</v>
      </c>
      <c r="K531" s="241">
        <v>45684.0</v>
      </c>
      <c r="M531" s="50" t="s">
        <v>20</v>
      </c>
      <c r="N531" s="50">
        <v>3.3042195E8</v>
      </c>
      <c r="O531" s="50">
        <v>170288.0</v>
      </c>
      <c r="Q531" s="50" t="s">
        <v>682</v>
      </c>
      <c r="R531" s="50">
        <v>170288.0</v>
      </c>
    </row>
    <row r="532" ht="13.5" customHeight="1">
      <c r="B532" s="50" t="s">
        <v>20</v>
      </c>
      <c r="C532" s="50">
        <v>3.30421951E8</v>
      </c>
      <c r="D532" s="50" t="s">
        <v>172</v>
      </c>
      <c r="E532" s="50">
        <v>651.56</v>
      </c>
      <c r="F532" s="50">
        <v>651.56</v>
      </c>
      <c r="J532" s="241">
        <v>45684.0</v>
      </c>
      <c r="K532" s="241">
        <v>45684.0</v>
      </c>
      <c r="M532" s="50" t="s">
        <v>20</v>
      </c>
      <c r="N532" s="50">
        <v>3.30421951E8</v>
      </c>
      <c r="O532" s="50">
        <v>170288.0</v>
      </c>
      <c r="Q532" s="50" t="s">
        <v>683</v>
      </c>
      <c r="R532" s="50">
        <v>170288.0</v>
      </c>
    </row>
    <row r="533" ht="13.5" customHeight="1">
      <c r="B533" s="50" t="s">
        <v>20</v>
      </c>
      <c r="C533" s="50">
        <v>3.30421952E8</v>
      </c>
      <c r="D533" s="50" t="s">
        <v>172</v>
      </c>
      <c r="E533" s="55">
        <v>1672.98</v>
      </c>
      <c r="F533" s="50">
        <v>1672.98</v>
      </c>
      <c r="J533" s="241">
        <v>45684.0</v>
      </c>
      <c r="K533" s="241">
        <v>45684.0</v>
      </c>
      <c r="M533" s="50" t="s">
        <v>20</v>
      </c>
      <c r="N533" s="50">
        <v>3.30421952E8</v>
      </c>
      <c r="O533" s="50">
        <v>170288.0</v>
      </c>
      <c r="Q533" s="50" t="s">
        <v>684</v>
      </c>
      <c r="R533" s="50">
        <v>170288.0</v>
      </c>
    </row>
    <row r="534" ht="13.5" customHeight="1">
      <c r="B534" s="50" t="s">
        <v>20</v>
      </c>
      <c r="C534" s="50">
        <v>3.30421953E8</v>
      </c>
      <c r="D534" s="50" t="s">
        <v>172</v>
      </c>
      <c r="E534" s="50">
        <v>805.2</v>
      </c>
      <c r="F534" s="50">
        <v>805.2</v>
      </c>
      <c r="J534" s="241">
        <v>45684.0</v>
      </c>
      <c r="K534" s="241">
        <v>45684.0</v>
      </c>
      <c r="M534" s="50" t="s">
        <v>20</v>
      </c>
      <c r="N534" s="50">
        <v>3.30421953E8</v>
      </c>
      <c r="O534" s="50">
        <v>170288.0</v>
      </c>
      <c r="Q534" s="50" t="s">
        <v>685</v>
      </c>
      <c r="R534" s="50">
        <v>170288.0</v>
      </c>
    </row>
    <row r="535" ht="13.5" customHeight="1">
      <c r="B535" s="50" t="s">
        <v>20</v>
      </c>
      <c r="C535" s="50">
        <v>3.30421954E8</v>
      </c>
      <c r="D535" s="50" t="s">
        <v>172</v>
      </c>
      <c r="E535" s="55">
        <v>1672.98</v>
      </c>
      <c r="F535" s="50">
        <v>1672.98</v>
      </c>
      <c r="J535" s="241">
        <v>45684.0</v>
      </c>
      <c r="K535" s="241">
        <v>45684.0</v>
      </c>
      <c r="M535" s="50" t="s">
        <v>20</v>
      </c>
      <c r="N535" s="50">
        <v>3.30421954E8</v>
      </c>
      <c r="O535" s="50">
        <v>170288.0</v>
      </c>
      <c r="Q535" s="50" t="s">
        <v>686</v>
      </c>
      <c r="R535" s="50">
        <v>170288.0</v>
      </c>
    </row>
    <row r="536" ht="13.5" customHeight="1">
      <c r="B536" s="50" t="s">
        <v>20</v>
      </c>
      <c r="C536" s="50">
        <v>3.30421955E8</v>
      </c>
      <c r="D536" s="50" t="s">
        <v>172</v>
      </c>
      <c r="E536" s="55">
        <v>1493.92</v>
      </c>
      <c r="F536" s="50">
        <v>1493.92</v>
      </c>
      <c r="J536" s="241">
        <v>45684.0</v>
      </c>
      <c r="K536" s="241">
        <v>45684.0</v>
      </c>
      <c r="M536" s="50" t="s">
        <v>20</v>
      </c>
      <c r="N536" s="50">
        <v>3.30421955E8</v>
      </c>
      <c r="O536" s="50">
        <v>170288.0</v>
      </c>
      <c r="Q536" s="50" t="s">
        <v>687</v>
      </c>
      <c r="R536" s="50">
        <v>170288.0</v>
      </c>
    </row>
    <row r="537" ht="13.5" customHeight="1">
      <c r="B537" s="50" t="s">
        <v>20</v>
      </c>
      <c r="C537" s="50">
        <v>3.30421956E8</v>
      </c>
      <c r="D537" s="50" t="s">
        <v>172</v>
      </c>
      <c r="E537" s="50">
        <v>826.11</v>
      </c>
      <c r="F537" s="50">
        <v>826.11</v>
      </c>
      <c r="J537" s="241">
        <v>45684.0</v>
      </c>
      <c r="K537" s="241">
        <v>45684.0</v>
      </c>
      <c r="M537" s="50" t="s">
        <v>20</v>
      </c>
      <c r="N537" s="50">
        <v>3.30421956E8</v>
      </c>
      <c r="O537" s="50">
        <v>170288.0</v>
      </c>
      <c r="Q537" s="50" t="s">
        <v>688</v>
      </c>
      <c r="R537" s="50">
        <v>170288.0</v>
      </c>
    </row>
    <row r="538" ht="13.5" customHeight="1">
      <c r="B538" s="50" t="s">
        <v>20</v>
      </c>
      <c r="C538" s="50">
        <v>3.30421957E8</v>
      </c>
      <c r="D538" s="50" t="s">
        <v>172</v>
      </c>
      <c r="E538" s="50">
        <v>621.81</v>
      </c>
      <c r="F538" s="50">
        <v>621.81</v>
      </c>
      <c r="J538" s="241">
        <v>45684.0</v>
      </c>
      <c r="K538" s="241">
        <v>45684.0</v>
      </c>
      <c r="M538" s="50" t="s">
        <v>20</v>
      </c>
      <c r="N538" s="50">
        <v>3.30421957E8</v>
      </c>
      <c r="O538" s="50">
        <v>170288.0</v>
      </c>
      <c r="Q538" s="50" t="s">
        <v>689</v>
      </c>
      <c r="R538" s="50">
        <v>170288.0</v>
      </c>
    </row>
    <row r="539" ht="13.5" customHeight="1">
      <c r="B539" s="50" t="s">
        <v>20</v>
      </c>
      <c r="C539" s="50">
        <v>3.30421958E8</v>
      </c>
      <c r="D539" s="50" t="s">
        <v>172</v>
      </c>
      <c r="E539" s="55">
        <v>1672.98</v>
      </c>
      <c r="F539" s="50">
        <v>1672.98</v>
      </c>
      <c r="J539" s="241">
        <v>45684.0</v>
      </c>
      <c r="K539" s="241">
        <v>45684.0</v>
      </c>
      <c r="M539" s="50" t="s">
        <v>20</v>
      </c>
      <c r="N539" s="50">
        <v>3.30421958E8</v>
      </c>
      <c r="O539" s="50">
        <v>170288.0</v>
      </c>
      <c r="Q539" s="50" t="s">
        <v>259</v>
      </c>
      <c r="R539" s="50">
        <v>170288.0</v>
      </c>
    </row>
    <row r="540" ht="13.5" customHeight="1">
      <c r="B540" s="50" t="s">
        <v>20</v>
      </c>
      <c r="C540" s="50">
        <v>3.30421959E8</v>
      </c>
      <c r="D540" s="50" t="s">
        <v>172</v>
      </c>
      <c r="E540" s="55">
        <v>1350.82</v>
      </c>
      <c r="F540" s="50">
        <v>1350.82</v>
      </c>
      <c r="J540" s="241">
        <v>45684.0</v>
      </c>
      <c r="K540" s="241">
        <v>45684.0</v>
      </c>
      <c r="M540" s="50" t="s">
        <v>20</v>
      </c>
      <c r="N540" s="50">
        <v>3.30421959E8</v>
      </c>
      <c r="O540" s="50">
        <v>170288.0</v>
      </c>
      <c r="Q540" s="50" t="s">
        <v>690</v>
      </c>
      <c r="R540" s="50">
        <v>170288.0</v>
      </c>
    </row>
    <row r="541" ht="13.5" customHeight="1">
      <c r="B541" s="50" t="s">
        <v>20</v>
      </c>
      <c r="C541" s="50">
        <v>3.3042196E8</v>
      </c>
      <c r="D541" s="50" t="s">
        <v>172</v>
      </c>
      <c r="E541" s="55">
        <v>1243.63</v>
      </c>
      <c r="F541" s="50">
        <v>1243.63</v>
      </c>
      <c r="J541" s="241">
        <v>45684.0</v>
      </c>
      <c r="K541" s="241">
        <v>45684.0</v>
      </c>
      <c r="M541" s="50" t="s">
        <v>20</v>
      </c>
      <c r="N541" s="50">
        <v>3.3042196E8</v>
      </c>
      <c r="O541" s="50">
        <v>170288.0</v>
      </c>
      <c r="Q541" s="50" t="s">
        <v>260</v>
      </c>
      <c r="R541" s="50">
        <v>170288.0</v>
      </c>
    </row>
    <row r="542" ht="13.5" customHeight="1">
      <c r="B542" s="50" t="s">
        <v>20</v>
      </c>
      <c r="C542" s="50">
        <v>3.30421961E8</v>
      </c>
      <c r="D542" s="50" t="s">
        <v>172</v>
      </c>
      <c r="E542" s="55">
        <v>1255.42</v>
      </c>
      <c r="F542" s="50">
        <v>1255.42</v>
      </c>
      <c r="J542" s="241">
        <v>45684.0</v>
      </c>
      <c r="K542" s="241">
        <v>45684.0</v>
      </c>
      <c r="M542" s="50" t="s">
        <v>20</v>
      </c>
      <c r="N542" s="50">
        <v>3.30421961E8</v>
      </c>
      <c r="O542" s="50">
        <v>170288.0</v>
      </c>
      <c r="Q542" s="50" t="s">
        <v>691</v>
      </c>
      <c r="R542" s="50">
        <v>170288.0</v>
      </c>
    </row>
    <row r="543" ht="13.5" customHeight="1">
      <c r="B543" s="50" t="s">
        <v>20</v>
      </c>
      <c r="C543" s="50">
        <v>3.30421962E8</v>
      </c>
      <c r="D543" s="50" t="s">
        <v>172</v>
      </c>
      <c r="E543" s="55">
        <v>1255.42</v>
      </c>
      <c r="F543" s="50">
        <v>1255.42</v>
      </c>
      <c r="J543" s="241">
        <v>45684.0</v>
      </c>
      <c r="K543" s="241">
        <v>45684.0</v>
      </c>
      <c r="M543" s="50" t="s">
        <v>20</v>
      </c>
      <c r="N543" s="50">
        <v>3.30421962E8</v>
      </c>
      <c r="O543" s="50">
        <v>170288.0</v>
      </c>
      <c r="Q543" s="50" t="s">
        <v>261</v>
      </c>
      <c r="R543" s="50">
        <v>170288.0</v>
      </c>
    </row>
    <row r="544" ht="13.5" customHeight="1">
      <c r="B544" s="50" t="s">
        <v>20</v>
      </c>
      <c r="C544" s="50">
        <v>3.30421963E8</v>
      </c>
      <c r="D544" s="50" t="s">
        <v>172</v>
      </c>
      <c r="E544" s="55">
        <v>1398.52</v>
      </c>
      <c r="F544" s="50">
        <v>1398.52</v>
      </c>
      <c r="J544" s="241">
        <v>45684.0</v>
      </c>
      <c r="K544" s="241">
        <v>45684.0</v>
      </c>
      <c r="M544" s="50" t="s">
        <v>20</v>
      </c>
      <c r="N544" s="50">
        <v>3.30421963E8</v>
      </c>
      <c r="O544" s="50">
        <v>170288.0</v>
      </c>
      <c r="Q544" s="50" t="s">
        <v>692</v>
      </c>
      <c r="R544" s="50">
        <v>170288.0</v>
      </c>
    </row>
    <row r="545" ht="13.5" customHeight="1">
      <c r="B545" s="50" t="s">
        <v>20</v>
      </c>
      <c r="C545" s="50">
        <v>3.30421964E8</v>
      </c>
      <c r="D545" s="50" t="s">
        <v>172</v>
      </c>
      <c r="E545" s="50">
        <v>53.67</v>
      </c>
      <c r="F545" s="50">
        <v>53.67</v>
      </c>
      <c r="J545" s="241">
        <v>45684.0</v>
      </c>
      <c r="K545" s="241">
        <v>45684.0</v>
      </c>
      <c r="M545" s="50" t="s">
        <v>20</v>
      </c>
      <c r="N545" s="50">
        <v>3.30421964E8</v>
      </c>
      <c r="O545" s="50">
        <v>170288.0</v>
      </c>
      <c r="Q545" s="50" t="s">
        <v>693</v>
      </c>
      <c r="R545" s="50">
        <v>170288.0</v>
      </c>
    </row>
    <row r="546" ht="13.5" customHeight="1">
      <c r="B546" s="50" t="s">
        <v>20</v>
      </c>
      <c r="C546" s="50">
        <v>3.30421965E8</v>
      </c>
      <c r="D546" s="50" t="s">
        <v>172</v>
      </c>
      <c r="E546" s="55">
        <v>1493.92</v>
      </c>
      <c r="F546" s="50">
        <v>1493.92</v>
      </c>
      <c r="J546" s="241">
        <v>45684.0</v>
      </c>
      <c r="K546" s="241">
        <v>45684.0</v>
      </c>
      <c r="M546" s="50" t="s">
        <v>20</v>
      </c>
      <c r="N546" s="50">
        <v>3.30421965E8</v>
      </c>
      <c r="O546" s="50">
        <v>170288.0</v>
      </c>
      <c r="Q546" s="50" t="s">
        <v>694</v>
      </c>
      <c r="R546" s="50">
        <v>170288.0</v>
      </c>
    </row>
    <row r="547" ht="13.5" customHeight="1">
      <c r="B547" s="50" t="s">
        <v>20</v>
      </c>
      <c r="C547" s="50">
        <v>3.30421966E8</v>
      </c>
      <c r="D547" s="50" t="s">
        <v>172</v>
      </c>
      <c r="E547" s="50">
        <v>975.28</v>
      </c>
      <c r="F547" s="50">
        <v>975.28</v>
      </c>
      <c r="J547" s="241">
        <v>45684.0</v>
      </c>
      <c r="K547" s="241">
        <v>45684.0</v>
      </c>
      <c r="M547" s="50" t="s">
        <v>20</v>
      </c>
      <c r="N547" s="50">
        <v>3.30421966E8</v>
      </c>
      <c r="O547" s="50">
        <v>170288.0</v>
      </c>
      <c r="Q547" s="50" t="s">
        <v>695</v>
      </c>
      <c r="R547" s="50">
        <v>170288.0</v>
      </c>
    </row>
    <row r="548" ht="13.5" customHeight="1">
      <c r="B548" s="50" t="s">
        <v>20</v>
      </c>
      <c r="C548" s="50">
        <v>3.30421967E8</v>
      </c>
      <c r="D548" s="50" t="s">
        <v>172</v>
      </c>
      <c r="E548" s="55">
        <v>1493.92</v>
      </c>
      <c r="F548" s="50">
        <v>1493.92</v>
      </c>
      <c r="J548" s="241">
        <v>45684.0</v>
      </c>
      <c r="K548" s="241">
        <v>45684.0</v>
      </c>
      <c r="M548" s="50" t="s">
        <v>20</v>
      </c>
      <c r="N548" s="50">
        <v>3.30421967E8</v>
      </c>
      <c r="O548" s="50">
        <v>170288.0</v>
      </c>
      <c r="Q548" s="50" t="s">
        <v>696</v>
      </c>
      <c r="R548" s="50">
        <v>170288.0</v>
      </c>
    </row>
    <row r="549" ht="13.5" customHeight="1">
      <c r="B549" s="50" t="s">
        <v>20</v>
      </c>
      <c r="C549" s="50">
        <v>3.30421968E8</v>
      </c>
      <c r="D549" s="50" t="s">
        <v>172</v>
      </c>
      <c r="E549" s="55">
        <v>1350.82</v>
      </c>
      <c r="F549" s="50">
        <v>1350.82</v>
      </c>
      <c r="J549" s="241">
        <v>45684.0</v>
      </c>
      <c r="K549" s="241">
        <v>45684.0</v>
      </c>
      <c r="M549" s="50" t="s">
        <v>20</v>
      </c>
      <c r="N549" s="50">
        <v>3.30421968E8</v>
      </c>
      <c r="O549" s="50">
        <v>170288.0</v>
      </c>
      <c r="Q549" s="50" t="s">
        <v>697</v>
      </c>
      <c r="R549" s="50">
        <v>170288.0</v>
      </c>
    </row>
    <row r="550" ht="13.5" customHeight="1">
      <c r="B550" s="50" t="s">
        <v>20</v>
      </c>
      <c r="C550" s="50">
        <v>3.30421969E8</v>
      </c>
      <c r="D550" s="50" t="s">
        <v>172</v>
      </c>
      <c r="E550" s="55">
        <v>1112.31</v>
      </c>
      <c r="F550" s="50">
        <v>1112.31</v>
      </c>
      <c r="J550" s="241">
        <v>45684.0</v>
      </c>
      <c r="K550" s="241">
        <v>45684.0</v>
      </c>
      <c r="M550" s="50" t="s">
        <v>20</v>
      </c>
      <c r="N550" s="50">
        <v>3.30421969E8</v>
      </c>
      <c r="O550" s="50">
        <v>170288.0</v>
      </c>
      <c r="Q550" s="50" t="s">
        <v>698</v>
      </c>
      <c r="R550" s="50">
        <v>170288.0</v>
      </c>
    </row>
    <row r="551" ht="13.5" customHeight="1">
      <c r="B551" s="50" t="s">
        <v>20</v>
      </c>
      <c r="C551" s="50">
        <v>3.3042197E8</v>
      </c>
      <c r="D551" s="50" t="s">
        <v>172</v>
      </c>
      <c r="E551" s="55">
        <v>9150.0</v>
      </c>
      <c r="F551" s="50">
        <v>9150.0</v>
      </c>
      <c r="J551" s="241">
        <v>45684.0</v>
      </c>
      <c r="K551" s="241">
        <v>45684.0</v>
      </c>
      <c r="M551" s="50" t="s">
        <v>20</v>
      </c>
      <c r="N551" s="50">
        <v>3.3042197E8</v>
      </c>
      <c r="O551" s="50">
        <v>170311.0</v>
      </c>
      <c r="Q551" s="50" t="s">
        <v>699</v>
      </c>
      <c r="R551" s="50">
        <v>170311.0</v>
      </c>
    </row>
    <row r="552" ht="13.5" customHeight="1">
      <c r="B552" s="50" t="s">
        <v>20</v>
      </c>
      <c r="C552" s="50">
        <v>3.30421971E8</v>
      </c>
      <c r="D552" s="50" t="s">
        <v>172</v>
      </c>
      <c r="E552" s="55">
        <v>695551.99</v>
      </c>
      <c r="F552" s="50">
        <v>695551.99</v>
      </c>
      <c r="J552" s="241">
        <v>45684.0</v>
      </c>
      <c r="K552" s="241">
        <v>45684.0</v>
      </c>
      <c r="M552" s="50" t="s">
        <v>20</v>
      </c>
      <c r="N552" s="50">
        <v>3.30421971E8</v>
      </c>
      <c r="O552" s="50">
        <v>170311.0</v>
      </c>
      <c r="Q552" s="50" t="s">
        <v>700</v>
      </c>
      <c r="R552" s="50">
        <v>170311.0</v>
      </c>
    </row>
    <row r="553" ht="13.5" customHeight="1">
      <c r="B553" s="50" t="s">
        <v>20</v>
      </c>
      <c r="C553" s="50">
        <v>3.30421972E8</v>
      </c>
      <c r="D553" s="50" t="s">
        <v>172</v>
      </c>
      <c r="E553" s="55">
        <v>6931.41</v>
      </c>
      <c r="F553" s="50">
        <v>6931.41</v>
      </c>
      <c r="J553" s="241">
        <v>45684.0</v>
      </c>
      <c r="K553" s="241">
        <v>45684.0</v>
      </c>
      <c r="M553" s="50" t="s">
        <v>20</v>
      </c>
      <c r="N553" s="50">
        <v>3.30421972E8</v>
      </c>
      <c r="O553" s="50">
        <v>170311.0</v>
      </c>
      <c r="Q553" s="50" t="s">
        <v>264</v>
      </c>
      <c r="R553" s="50">
        <v>170311.0</v>
      </c>
    </row>
    <row r="554" ht="13.5" customHeight="1">
      <c r="B554" s="50" t="s">
        <v>20</v>
      </c>
      <c r="C554" s="50">
        <v>3.30421973E8</v>
      </c>
      <c r="D554" s="50" t="s">
        <v>172</v>
      </c>
      <c r="E554" s="55">
        <v>15900.0</v>
      </c>
      <c r="F554" s="50">
        <v>15900.0</v>
      </c>
      <c r="J554" s="241">
        <v>45684.0</v>
      </c>
      <c r="K554" s="241">
        <v>45684.0</v>
      </c>
      <c r="M554" s="50" t="s">
        <v>20</v>
      </c>
      <c r="N554" s="50">
        <v>3.30421973E8</v>
      </c>
      <c r="O554" s="50">
        <v>170311.0</v>
      </c>
      <c r="Q554" s="50" t="s">
        <v>701</v>
      </c>
      <c r="R554" s="50">
        <v>170311.0</v>
      </c>
    </row>
    <row r="555" ht="13.5" customHeight="1">
      <c r="B555" s="50" t="s">
        <v>20</v>
      </c>
      <c r="C555" s="50">
        <v>3.30421974E8</v>
      </c>
      <c r="D555" s="50" t="s">
        <v>172</v>
      </c>
      <c r="E555" s="55">
        <v>6829.56</v>
      </c>
      <c r="F555" s="50">
        <v>6829.56</v>
      </c>
      <c r="J555" s="241">
        <v>45684.0</v>
      </c>
      <c r="K555" s="241">
        <v>45684.0</v>
      </c>
      <c r="M555" s="50" t="s">
        <v>20</v>
      </c>
      <c r="N555" s="50">
        <v>3.30421974E8</v>
      </c>
      <c r="O555" s="50">
        <v>170311.0</v>
      </c>
      <c r="Q555" s="50" t="s">
        <v>702</v>
      </c>
      <c r="R555" s="50">
        <v>170311.0</v>
      </c>
    </row>
    <row r="556" ht="13.5" customHeight="1">
      <c r="B556" s="50" t="s">
        <v>20</v>
      </c>
      <c r="C556" s="50">
        <v>3.30421975E8</v>
      </c>
      <c r="D556" s="50" t="s">
        <v>172</v>
      </c>
      <c r="E556" s="55">
        <v>1202191.44</v>
      </c>
      <c r="F556" s="50">
        <v>1202191.44</v>
      </c>
      <c r="J556" s="241">
        <v>45684.0</v>
      </c>
      <c r="K556" s="241">
        <v>45684.0</v>
      </c>
      <c r="M556" s="50" t="s">
        <v>20</v>
      </c>
      <c r="N556" s="50">
        <v>3.30421975E8</v>
      </c>
      <c r="O556" s="50">
        <v>170311.0</v>
      </c>
      <c r="Q556" s="50" t="s">
        <v>703</v>
      </c>
      <c r="R556" s="50">
        <v>170311.0</v>
      </c>
    </row>
    <row r="557" ht="13.5" customHeight="1">
      <c r="B557" s="50" t="s">
        <v>20</v>
      </c>
      <c r="C557" s="50">
        <v>3.30421976E8</v>
      </c>
      <c r="D557" s="50" t="s">
        <v>172</v>
      </c>
      <c r="E557" s="55">
        <v>6648.17</v>
      </c>
      <c r="F557" s="50">
        <v>6648.17</v>
      </c>
      <c r="J557" s="241">
        <v>45684.0</v>
      </c>
      <c r="K557" s="241">
        <v>45684.0</v>
      </c>
      <c r="M557" s="50" t="s">
        <v>20</v>
      </c>
      <c r="N557" s="50">
        <v>3.30421976E8</v>
      </c>
      <c r="O557" s="50">
        <v>170311.0</v>
      </c>
      <c r="Q557" s="50" t="s">
        <v>704</v>
      </c>
      <c r="R557" s="50">
        <v>170311.0</v>
      </c>
    </row>
    <row r="558" ht="13.5" customHeight="1">
      <c r="B558" s="50" t="s">
        <v>20</v>
      </c>
      <c r="C558" s="50">
        <v>3.30421977E8</v>
      </c>
      <c r="D558" s="50" t="s">
        <v>172</v>
      </c>
      <c r="E558" s="55">
        <v>3371.46</v>
      </c>
      <c r="F558" s="50">
        <v>3371.46</v>
      </c>
      <c r="J558" s="241">
        <v>45684.0</v>
      </c>
      <c r="K558" s="241">
        <v>45684.0</v>
      </c>
      <c r="M558" s="50" t="s">
        <v>20</v>
      </c>
      <c r="N558" s="50">
        <v>3.30421977E8</v>
      </c>
      <c r="O558" s="50">
        <v>170311.0</v>
      </c>
      <c r="Q558" s="50" t="s">
        <v>705</v>
      </c>
      <c r="R558" s="50">
        <v>170311.0</v>
      </c>
    </row>
    <row r="559" ht="13.5" customHeight="1">
      <c r="B559" s="50" t="s">
        <v>20</v>
      </c>
      <c r="C559" s="50">
        <v>3.30421978E8</v>
      </c>
      <c r="D559" s="50" t="s">
        <v>172</v>
      </c>
      <c r="E559" s="55">
        <v>70557.39</v>
      </c>
      <c r="F559" s="50">
        <v>70557.39</v>
      </c>
      <c r="J559" s="241">
        <v>45684.0</v>
      </c>
      <c r="K559" s="241">
        <v>45684.0</v>
      </c>
      <c r="M559" s="50" t="s">
        <v>20</v>
      </c>
      <c r="N559" s="50">
        <v>3.30421978E8</v>
      </c>
      <c r="O559" s="50">
        <v>170311.0</v>
      </c>
      <c r="Q559" s="50" t="s">
        <v>706</v>
      </c>
      <c r="R559" s="50">
        <v>170311.0</v>
      </c>
    </row>
    <row r="560" ht="13.5" customHeight="1">
      <c r="B560" s="50" t="s">
        <v>20</v>
      </c>
      <c r="C560" s="50">
        <v>3.30421979E8</v>
      </c>
      <c r="D560" s="50" t="s">
        <v>172</v>
      </c>
      <c r="E560" s="55">
        <v>2295.0</v>
      </c>
      <c r="F560" s="50">
        <v>2295.0</v>
      </c>
      <c r="J560" s="241">
        <v>45684.0</v>
      </c>
      <c r="K560" s="241">
        <v>45684.0</v>
      </c>
      <c r="M560" s="50" t="s">
        <v>20</v>
      </c>
      <c r="N560" s="50">
        <v>3.30421979E8</v>
      </c>
      <c r="O560" s="50">
        <v>170311.0</v>
      </c>
      <c r="Q560" s="50" t="s">
        <v>707</v>
      </c>
      <c r="R560" s="50">
        <v>170311.0</v>
      </c>
    </row>
    <row r="561" ht="13.5" customHeight="1">
      <c r="B561" s="50" t="s">
        <v>20</v>
      </c>
      <c r="C561" s="50">
        <v>3.3042198E8</v>
      </c>
      <c r="D561" s="50" t="s">
        <v>172</v>
      </c>
      <c r="E561" s="55">
        <v>8795.38</v>
      </c>
      <c r="F561" s="50">
        <v>8795.38</v>
      </c>
      <c r="J561" s="241">
        <v>45684.0</v>
      </c>
      <c r="K561" s="241">
        <v>45684.0</v>
      </c>
      <c r="M561" s="50" t="s">
        <v>20</v>
      </c>
      <c r="N561" s="50">
        <v>3.3042198E8</v>
      </c>
      <c r="O561" s="50">
        <v>170311.0</v>
      </c>
      <c r="Q561" s="50" t="s">
        <v>708</v>
      </c>
      <c r="R561" s="50">
        <v>170311.0</v>
      </c>
    </row>
    <row r="562" ht="13.5" customHeight="1">
      <c r="B562" s="50" t="s">
        <v>20</v>
      </c>
      <c r="C562" s="50">
        <v>3.30421981E8</v>
      </c>
      <c r="D562" s="50" t="s">
        <v>172</v>
      </c>
      <c r="E562" s="50">
        <v>542.1</v>
      </c>
      <c r="F562" s="50">
        <v>542.1</v>
      </c>
      <c r="J562" s="241">
        <v>45684.0</v>
      </c>
      <c r="K562" s="241">
        <v>45684.0</v>
      </c>
      <c r="M562" s="50" t="s">
        <v>20</v>
      </c>
      <c r="N562" s="50">
        <v>3.30421981E8</v>
      </c>
      <c r="O562" s="50">
        <v>170311.0</v>
      </c>
      <c r="Q562" s="50" t="s">
        <v>709</v>
      </c>
      <c r="R562" s="50">
        <v>170311.0</v>
      </c>
    </row>
    <row r="563" ht="13.5" customHeight="1">
      <c r="B563" s="50" t="s">
        <v>20</v>
      </c>
      <c r="C563" s="50">
        <v>3.30421982E8</v>
      </c>
      <c r="D563" s="50" t="s">
        <v>172</v>
      </c>
      <c r="E563" s="55">
        <v>1163.85</v>
      </c>
      <c r="F563" s="50">
        <v>1163.85</v>
      </c>
      <c r="J563" s="241">
        <v>45684.0</v>
      </c>
      <c r="K563" s="241">
        <v>45684.0</v>
      </c>
      <c r="M563" s="50" t="s">
        <v>20</v>
      </c>
      <c r="N563" s="50">
        <v>3.30421982E8</v>
      </c>
      <c r="O563" s="50">
        <v>170311.0</v>
      </c>
      <c r="Q563" s="50" t="s">
        <v>710</v>
      </c>
      <c r="R563" s="50">
        <v>170311.0</v>
      </c>
    </row>
    <row r="564" ht="13.5" customHeight="1">
      <c r="B564" s="50" t="s">
        <v>20</v>
      </c>
      <c r="C564" s="50">
        <v>3.30421983E8</v>
      </c>
      <c r="D564" s="50" t="s">
        <v>172</v>
      </c>
      <c r="E564" s="55">
        <v>11850.0</v>
      </c>
      <c r="F564" s="50">
        <v>11850.0</v>
      </c>
      <c r="J564" s="241">
        <v>45684.0</v>
      </c>
      <c r="K564" s="241">
        <v>45684.0</v>
      </c>
      <c r="M564" s="50" t="s">
        <v>20</v>
      </c>
      <c r="N564" s="50">
        <v>3.30421983E8</v>
      </c>
      <c r="O564" s="50">
        <v>170311.0</v>
      </c>
      <c r="Q564" s="50" t="s">
        <v>711</v>
      </c>
      <c r="R564" s="50">
        <v>170311.0</v>
      </c>
    </row>
    <row r="565" ht="13.5" customHeight="1">
      <c r="B565" s="50" t="s">
        <v>20</v>
      </c>
      <c r="C565" s="50">
        <v>3.30421984E8</v>
      </c>
      <c r="D565" s="50" t="s">
        <v>172</v>
      </c>
      <c r="E565" s="55">
        <v>9738.71</v>
      </c>
      <c r="F565" s="50">
        <v>9738.71</v>
      </c>
      <c r="J565" s="241">
        <v>45684.0</v>
      </c>
      <c r="K565" s="241">
        <v>45684.0</v>
      </c>
      <c r="M565" s="50" t="s">
        <v>20</v>
      </c>
      <c r="N565" s="50">
        <v>3.30421984E8</v>
      </c>
      <c r="O565" s="50">
        <v>170311.0</v>
      </c>
      <c r="Q565" s="50" t="s">
        <v>712</v>
      </c>
      <c r="R565" s="50">
        <v>170311.0</v>
      </c>
    </row>
    <row r="566" ht="13.5" customHeight="1">
      <c r="B566" s="50" t="s">
        <v>20</v>
      </c>
      <c r="C566" s="50">
        <v>3.30421985E8</v>
      </c>
      <c r="D566" s="50" t="s">
        <v>172</v>
      </c>
      <c r="E566" s="50">
        <v>295.73</v>
      </c>
      <c r="F566" s="50">
        <v>295.73</v>
      </c>
      <c r="J566" s="241">
        <v>45684.0</v>
      </c>
      <c r="K566" s="241">
        <v>45684.0</v>
      </c>
      <c r="M566" s="50" t="s">
        <v>20</v>
      </c>
      <c r="N566" s="50">
        <v>3.30421985E8</v>
      </c>
      <c r="O566" s="50">
        <v>170311.0</v>
      </c>
      <c r="Q566" s="50" t="s">
        <v>713</v>
      </c>
      <c r="R566" s="50">
        <v>170311.0</v>
      </c>
    </row>
    <row r="567" ht="13.5" customHeight="1">
      <c r="B567" s="50" t="s">
        <v>20</v>
      </c>
      <c r="C567" s="50">
        <v>3.30421986E8</v>
      </c>
      <c r="D567" s="50" t="s">
        <v>172</v>
      </c>
      <c r="E567" s="55">
        <v>14908.42</v>
      </c>
      <c r="F567" s="50">
        <v>14908.42</v>
      </c>
      <c r="J567" s="241">
        <v>45684.0</v>
      </c>
      <c r="K567" s="241">
        <v>45684.0</v>
      </c>
      <c r="M567" s="50" t="s">
        <v>20</v>
      </c>
      <c r="N567" s="50">
        <v>3.30421986E8</v>
      </c>
      <c r="O567" s="50">
        <v>170311.0</v>
      </c>
      <c r="Q567" s="50" t="s">
        <v>714</v>
      </c>
      <c r="R567" s="50">
        <v>170311.0</v>
      </c>
    </row>
    <row r="568" ht="13.5" customHeight="1">
      <c r="B568" s="50" t="s">
        <v>20</v>
      </c>
      <c r="C568" s="50">
        <v>3.30421987E8</v>
      </c>
      <c r="D568" s="50" t="s">
        <v>172</v>
      </c>
      <c r="E568" s="55">
        <v>85406.54</v>
      </c>
      <c r="F568" s="50">
        <v>85406.54</v>
      </c>
      <c r="J568" s="241">
        <v>45684.0</v>
      </c>
      <c r="K568" s="241">
        <v>45684.0</v>
      </c>
      <c r="M568" s="50" t="s">
        <v>20</v>
      </c>
      <c r="N568" s="50">
        <v>3.30421987E8</v>
      </c>
      <c r="O568" s="50">
        <v>170311.0</v>
      </c>
      <c r="Q568" s="50" t="s">
        <v>715</v>
      </c>
      <c r="R568" s="50">
        <v>170311.0</v>
      </c>
    </row>
    <row r="569" ht="13.5" customHeight="1">
      <c r="B569" s="50" t="s">
        <v>20</v>
      </c>
      <c r="C569" s="50">
        <v>3.30421988E8</v>
      </c>
      <c r="D569" s="50" t="s">
        <v>172</v>
      </c>
      <c r="E569" s="55">
        <v>32513.2</v>
      </c>
      <c r="F569" s="50">
        <v>32513.2</v>
      </c>
      <c r="J569" s="241">
        <v>45684.0</v>
      </c>
      <c r="K569" s="241">
        <v>45684.0</v>
      </c>
      <c r="M569" s="50" t="s">
        <v>20</v>
      </c>
      <c r="N569" s="50">
        <v>3.30421988E8</v>
      </c>
      <c r="O569" s="50">
        <v>170311.0</v>
      </c>
      <c r="Q569" s="50" t="s">
        <v>716</v>
      </c>
      <c r="R569" s="50">
        <v>170311.0</v>
      </c>
    </row>
    <row r="570" ht="13.5" customHeight="1">
      <c r="B570" s="50" t="s">
        <v>20</v>
      </c>
      <c r="C570" s="50">
        <v>3.30421989E8</v>
      </c>
      <c r="D570" s="50" t="s">
        <v>172</v>
      </c>
      <c r="E570" s="55">
        <v>176333.18</v>
      </c>
      <c r="F570" s="50">
        <v>176333.18</v>
      </c>
      <c r="J570" s="241">
        <v>45684.0</v>
      </c>
      <c r="K570" s="241">
        <v>45684.0</v>
      </c>
      <c r="M570" s="50" t="s">
        <v>20</v>
      </c>
      <c r="N570" s="50">
        <v>3.30421989E8</v>
      </c>
      <c r="O570" s="50">
        <v>170311.0</v>
      </c>
      <c r="Q570" s="50" t="s">
        <v>717</v>
      </c>
      <c r="R570" s="50">
        <v>170311.0</v>
      </c>
    </row>
    <row r="571" ht="13.5" customHeight="1">
      <c r="B571" s="50" t="s">
        <v>20</v>
      </c>
      <c r="C571" s="50">
        <v>9.10037152E8</v>
      </c>
      <c r="D571" s="50" t="s">
        <v>172</v>
      </c>
      <c r="E571" s="55">
        <v>2676.93</v>
      </c>
      <c r="F571" s="50">
        <v>2676.93</v>
      </c>
      <c r="J571" s="241">
        <v>45684.0</v>
      </c>
      <c r="K571" s="241">
        <v>45684.0</v>
      </c>
      <c r="M571" s="50" t="s">
        <v>20</v>
      </c>
      <c r="N571" s="50">
        <v>9.10037152E8</v>
      </c>
      <c r="O571" s="50">
        <v>170283.0</v>
      </c>
      <c r="Q571" s="50" t="s">
        <v>718</v>
      </c>
      <c r="R571" s="50">
        <v>170283.0</v>
      </c>
    </row>
    <row r="572" ht="13.5" customHeight="1">
      <c r="B572" s="50" t="s">
        <v>20</v>
      </c>
      <c r="C572" s="50">
        <v>9.10037156E8</v>
      </c>
      <c r="D572" s="50" t="s">
        <v>172</v>
      </c>
      <c r="E572" s="50">
        <v>892.31</v>
      </c>
      <c r="F572" s="50">
        <v>892.31</v>
      </c>
      <c r="J572" s="241">
        <v>45684.0</v>
      </c>
      <c r="K572" s="241">
        <v>45684.0</v>
      </c>
      <c r="M572" s="50" t="s">
        <v>20</v>
      </c>
      <c r="N572" s="50">
        <v>9.10037156E8</v>
      </c>
      <c r="O572" s="50">
        <v>170283.0</v>
      </c>
      <c r="Q572" s="50" t="s">
        <v>719</v>
      </c>
      <c r="R572" s="50">
        <v>170283.0</v>
      </c>
    </row>
    <row r="573" ht="13.5" customHeight="1">
      <c r="B573" s="50" t="s">
        <v>20</v>
      </c>
      <c r="C573" s="50">
        <v>9.10037157E8</v>
      </c>
      <c r="D573" s="50" t="s">
        <v>172</v>
      </c>
      <c r="E573" s="50">
        <v>594.87</v>
      </c>
      <c r="F573" s="50">
        <v>594.87</v>
      </c>
      <c r="J573" s="241">
        <v>45684.0</v>
      </c>
      <c r="K573" s="241">
        <v>45684.0</v>
      </c>
      <c r="M573" s="50" t="s">
        <v>20</v>
      </c>
      <c r="N573" s="50">
        <v>9.10037157E8</v>
      </c>
      <c r="O573" s="50">
        <v>170283.0</v>
      </c>
      <c r="Q573" s="50" t="s">
        <v>720</v>
      </c>
      <c r="R573" s="50">
        <v>170283.0</v>
      </c>
    </row>
    <row r="574" ht="13.5" customHeight="1">
      <c r="B574" s="50" t="s">
        <v>20</v>
      </c>
      <c r="C574" s="50">
        <v>9.10037159E8</v>
      </c>
      <c r="D574" s="50" t="s">
        <v>172</v>
      </c>
      <c r="E574" s="55">
        <v>1189.76</v>
      </c>
      <c r="F574" s="50">
        <v>1189.76</v>
      </c>
      <c r="J574" s="241">
        <v>45684.0</v>
      </c>
      <c r="K574" s="241">
        <v>45684.0</v>
      </c>
      <c r="M574" s="50" t="s">
        <v>20</v>
      </c>
      <c r="N574" s="50">
        <v>9.10037159E8</v>
      </c>
      <c r="O574" s="50">
        <v>170285.0</v>
      </c>
      <c r="Q574" s="50" t="s">
        <v>720</v>
      </c>
      <c r="R574" s="50">
        <v>170285.0</v>
      </c>
    </row>
    <row r="575" ht="13.5" customHeight="1">
      <c r="B575" s="50" t="s">
        <v>20</v>
      </c>
      <c r="C575" s="50">
        <v>9.1003716E8</v>
      </c>
      <c r="D575" s="50" t="s">
        <v>172</v>
      </c>
      <c r="E575" s="50">
        <v>444.4</v>
      </c>
      <c r="F575" s="50">
        <v>444.4</v>
      </c>
      <c r="J575" s="241">
        <v>45684.0</v>
      </c>
      <c r="K575" s="241">
        <v>45684.0</v>
      </c>
      <c r="M575" s="50" t="s">
        <v>20</v>
      </c>
      <c r="N575" s="50">
        <v>9.1003716E8</v>
      </c>
      <c r="O575" s="50" t="s">
        <v>155</v>
      </c>
      <c r="Q575" s="50" t="s">
        <v>721</v>
      </c>
    </row>
    <row r="576" ht="13.5" customHeight="1">
      <c r="B576" s="50" t="s">
        <v>20</v>
      </c>
      <c r="C576" s="50">
        <v>9.10037176E8</v>
      </c>
      <c r="D576" s="50" t="s">
        <v>172</v>
      </c>
      <c r="E576" s="50">
        <v>594.88</v>
      </c>
      <c r="F576" s="50">
        <v>594.88</v>
      </c>
      <c r="J576" s="241">
        <v>45684.0</v>
      </c>
      <c r="K576" s="241">
        <v>45684.0</v>
      </c>
      <c r="M576" s="50" t="s">
        <v>20</v>
      </c>
      <c r="N576" s="50">
        <v>9.10037176E8</v>
      </c>
      <c r="O576" s="50">
        <v>170319.0</v>
      </c>
      <c r="Q576" s="50" t="s">
        <v>718</v>
      </c>
      <c r="R576" s="50">
        <v>170319.0</v>
      </c>
    </row>
    <row r="577" ht="13.5" customHeight="1">
      <c r="B577" s="50" t="s">
        <v>20</v>
      </c>
      <c r="C577" s="50">
        <v>9.10037179E8</v>
      </c>
      <c r="D577" s="50" t="s">
        <v>172</v>
      </c>
      <c r="E577" s="50">
        <v>594.88</v>
      </c>
      <c r="F577" s="50">
        <v>594.88</v>
      </c>
      <c r="J577" s="241">
        <v>45684.0</v>
      </c>
      <c r="K577" s="241">
        <v>45684.0</v>
      </c>
      <c r="M577" s="50" t="s">
        <v>20</v>
      </c>
      <c r="N577" s="50">
        <v>9.10037179E8</v>
      </c>
      <c r="O577" s="50">
        <v>170319.0</v>
      </c>
      <c r="Q577" s="50" t="s">
        <v>722</v>
      </c>
      <c r="R577" s="50">
        <v>170319.0</v>
      </c>
    </row>
    <row r="578" ht="13.5" customHeight="1">
      <c r="B578" s="50" t="s">
        <v>20</v>
      </c>
      <c r="C578" s="50">
        <v>9.10037181E8</v>
      </c>
      <c r="D578" s="50" t="s">
        <v>172</v>
      </c>
      <c r="E578" s="50">
        <v>892.31</v>
      </c>
      <c r="F578" s="50">
        <v>892.31</v>
      </c>
      <c r="J578" s="241">
        <v>45684.0</v>
      </c>
      <c r="K578" s="241">
        <v>45684.0</v>
      </c>
      <c r="M578" s="50" t="s">
        <v>20</v>
      </c>
      <c r="N578" s="50">
        <v>9.10037181E8</v>
      </c>
      <c r="O578" s="50">
        <v>170319.0</v>
      </c>
      <c r="Q578" s="50" t="s">
        <v>719</v>
      </c>
      <c r="R578" s="50">
        <v>170319.0</v>
      </c>
    </row>
    <row r="579" ht="13.5" customHeight="1">
      <c r="B579" s="50" t="s">
        <v>20</v>
      </c>
      <c r="C579" s="50">
        <v>9.10037183E8</v>
      </c>
      <c r="D579" s="50" t="s">
        <v>172</v>
      </c>
      <c r="E579" s="50">
        <v>521.66</v>
      </c>
      <c r="F579" s="50">
        <v>521.66</v>
      </c>
      <c r="J579" s="241">
        <v>45684.0</v>
      </c>
      <c r="K579" s="241">
        <v>45684.0</v>
      </c>
      <c r="M579" s="50" t="s">
        <v>20</v>
      </c>
      <c r="N579" s="50">
        <v>9.10037183E8</v>
      </c>
      <c r="O579" s="50">
        <v>170319.0</v>
      </c>
      <c r="Q579" s="50" t="s">
        <v>723</v>
      </c>
      <c r="R579" s="50">
        <v>170319.0</v>
      </c>
    </row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14.25"/>
    <col customWidth="1" min="3" max="3" width="8.88"/>
    <col customWidth="1" min="4" max="4" width="12.88"/>
    <col customWidth="1" min="5" max="5" width="15.25"/>
    <col customWidth="1" min="6" max="6" width="18.25"/>
    <col customWidth="1" min="7" max="7" width="27.5"/>
    <col customWidth="1" min="8" max="9" width="8.63"/>
    <col customWidth="1" min="10" max="10" width="26.88"/>
    <col customWidth="1" min="11" max="11" width="14.0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46226.0</v>
      </c>
      <c r="E2" s="17">
        <v>9702.44</v>
      </c>
      <c r="F2" s="14" t="s">
        <v>15</v>
      </c>
      <c r="G2" s="14" t="s">
        <v>19</v>
      </c>
      <c r="H2" s="14"/>
      <c r="I2" s="14"/>
      <c r="J2" s="26">
        <v>183650.0</v>
      </c>
      <c r="K2" s="29">
        <v>80120.91000000003</v>
      </c>
    </row>
    <row r="3" ht="13.5" customHeight="1">
      <c r="A3" s="30">
        <v>2.0</v>
      </c>
      <c r="B3" s="30" t="s">
        <v>9</v>
      </c>
      <c r="C3" s="30">
        <v>2060855.0</v>
      </c>
      <c r="D3" s="31">
        <v>46226.0</v>
      </c>
      <c r="E3" s="32">
        <v>6000000.0</v>
      </c>
      <c r="F3" s="30" t="s">
        <v>13</v>
      </c>
      <c r="G3" s="14" t="s">
        <v>19</v>
      </c>
      <c r="H3" s="14"/>
      <c r="I3" s="14"/>
      <c r="J3" s="26">
        <v>183651.0</v>
      </c>
      <c r="K3" s="29">
        <v>10046.84</v>
      </c>
    </row>
    <row r="4" ht="13.5" customHeight="1">
      <c r="A4" s="14">
        <v>3.0</v>
      </c>
      <c r="B4" s="14" t="s">
        <v>20</v>
      </c>
      <c r="C4" s="14">
        <v>1170470.0</v>
      </c>
      <c r="D4" s="16">
        <v>46226.0</v>
      </c>
      <c r="E4" s="17">
        <v>21992.96</v>
      </c>
      <c r="F4" s="14"/>
      <c r="G4" s="14" t="s">
        <v>19</v>
      </c>
      <c r="H4" s="14"/>
      <c r="I4" s="14"/>
      <c r="J4" s="26">
        <v>183657.0</v>
      </c>
      <c r="K4" s="29">
        <v>293197.94999999995</v>
      </c>
    </row>
    <row r="5" ht="13.5" customHeight="1">
      <c r="A5" s="23">
        <v>6.0</v>
      </c>
      <c r="B5" s="23" t="s">
        <v>20</v>
      </c>
      <c r="C5" s="23">
        <v>1200393.0</v>
      </c>
      <c r="D5" s="49">
        <v>46226.0</v>
      </c>
      <c r="E5" s="29">
        <v>7522.29</v>
      </c>
      <c r="F5" s="23"/>
      <c r="G5" s="23" t="s">
        <v>19</v>
      </c>
      <c r="H5" s="14"/>
      <c r="I5" s="14"/>
      <c r="J5" s="26" t="s">
        <v>307</v>
      </c>
      <c r="K5" s="29">
        <v>4837.0</v>
      </c>
    </row>
    <row r="6" ht="13.5" customHeight="1">
      <c r="A6" s="23">
        <v>7.0</v>
      </c>
      <c r="B6" s="23" t="s">
        <v>20</v>
      </c>
      <c r="C6" s="23">
        <v>1040211.0</v>
      </c>
      <c r="D6" s="49">
        <v>46226.0</v>
      </c>
      <c r="E6" s="29">
        <v>72598.62</v>
      </c>
      <c r="F6" s="23"/>
      <c r="G6" s="23" t="s">
        <v>19</v>
      </c>
      <c r="H6" s="14"/>
      <c r="I6" s="14"/>
      <c r="J6" s="26" t="s">
        <v>311</v>
      </c>
      <c r="K6" s="29">
        <v>93.13</v>
      </c>
    </row>
    <row r="7" ht="13.5" customHeight="1">
      <c r="A7" s="23">
        <v>8.0</v>
      </c>
      <c r="B7" s="23" t="s">
        <v>20</v>
      </c>
      <c r="C7" s="23">
        <v>1200393.0</v>
      </c>
      <c r="D7" s="49">
        <v>46226.0</v>
      </c>
      <c r="E7" s="29">
        <v>5621.92</v>
      </c>
      <c r="F7" s="23"/>
      <c r="G7" s="23" t="s">
        <v>19</v>
      </c>
      <c r="H7" s="14"/>
      <c r="I7" s="14"/>
      <c r="J7" s="23" t="s">
        <v>314</v>
      </c>
      <c r="K7" s="29">
        <v>2413.77</v>
      </c>
    </row>
    <row r="8" ht="13.5" customHeight="1">
      <c r="A8" s="23">
        <v>9.0</v>
      </c>
      <c r="B8" s="23" t="s">
        <v>20</v>
      </c>
      <c r="C8" s="23">
        <v>1040211.0</v>
      </c>
      <c r="D8" s="49">
        <v>46226.0</v>
      </c>
      <c r="E8" s="29">
        <v>4424.92</v>
      </c>
      <c r="F8" s="23"/>
      <c r="G8" s="23" t="s">
        <v>19</v>
      </c>
      <c r="H8" s="14"/>
      <c r="I8" s="14"/>
      <c r="J8" s="14"/>
      <c r="K8" s="17"/>
    </row>
    <row r="9" ht="13.5" customHeight="1">
      <c r="A9" s="23">
        <v>10.0</v>
      </c>
      <c r="B9" s="23" t="s">
        <v>20</v>
      </c>
      <c r="C9" s="23">
        <v>1040250.0</v>
      </c>
      <c r="D9" s="49">
        <v>46226.0</v>
      </c>
      <c r="E9" s="29">
        <v>2200.0</v>
      </c>
      <c r="F9" s="23"/>
      <c r="G9" s="23" t="s">
        <v>19</v>
      </c>
      <c r="H9" s="14"/>
      <c r="I9" s="14"/>
      <c r="J9" s="14"/>
      <c r="K9" s="17"/>
    </row>
    <row r="10" ht="13.5" customHeight="1">
      <c r="A10" s="23">
        <v>11.0</v>
      </c>
      <c r="B10" s="23" t="s">
        <v>20</v>
      </c>
      <c r="C10" s="23">
        <v>1200393.0</v>
      </c>
      <c r="D10" s="49">
        <v>46226.0</v>
      </c>
      <c r="E10" s="29">
        <v>2637.0</v>
      </c>
      <c r="F10" s="23"/>
      <c r="G10" s="23" t="s">
        <v>19</v>
      </c>
      <c r="H10" s="14"/>
      <c r="I10" s="14"/>
      <c r="J10" s="14"/>
      <c r="K10" s="17"/>
    </row>
    <row r="11" ht="13.5" customHeight="1">
      <c r="A11" s="23">
        <v>12.0</v>
      </c>
      <c r="B11" s="23" t="s">
        <v>20</v>
      </c>
      <c r="C11" s="23">
        <v>1200393.0</v>
      </c>
      <c r="D11" s="49">
        <v>46226.0</v>
      </c>
      <c r="E11" s="29">
        <v>3785.32</v>
      </c>
      <c r="F11" s="23"/>
      <c r="G11" s="23" t="s">
        <v>19</v>
      </c>
      <c r="H11" s="14"/>
      <c r="I11" s="14"/>
      <c r="J11" s="14"/>
      <c r="K11" s="17"/>
    </row>
    <row r="12" ht="13.5" customHeight="1">
      <c r="A12" s="23">
        <v>13.0</v>
      </c>
      <c r="B12" s="23" t="s">
        <v>20</v>
      </c>
      <c r="C12" s="23">
        <v>1200393.0</v>
      </c>
      <c r="D12" s="49">
        <v>46226.0</v>
      </c>
      <c r="E12" s="29">
        <v>61027.33</v>
      </c>
      <c r="F12" s="23"/>
      <c r="G12" s="23" t="s">
        <v>19</v>
      </c>
      <c r="H12" s="14"/>
      <c r="I12" s="14"/>
      <c r="J12" s="14"/>
      <c r="K12" s="17"/>
    </row>
    <row r="13" ht="13.5" customHeight="1">
      <c r="A13" s="23">
        <v>14.0</v>
      </c>
      <c r="B13" s="23" t="s">
        <v>20</v>
      </c>
      <c r="C13" s="23">
        <v>1040250.0</v>
      </c>
      <c r="D13" s="49">
        <v>46226.0</v>
      </c>
      <c r="E13" s="29">
        <v>228385.3</v>
      </c>
      <c r="F13" s="23"/>
      <c r="G13" s="23" t="s">
        <v>19</v>
      </c>
      <c r="H13" s="14"/>
      <c r="I13" s="14"/>
      <c r="J13" s="14"/>
      <c r="K13" s="17"/>
    </row>
    <row r="14" ht="13.5" customHeight="1">
      <c r="A14" s="14">
        <v>15.0</v>
      </c>
      <c r="B14" s="14" t="s">
        <v>20</v>
      </c>
      <c r="C14" s="14">
        <v>1060345.0</v>
      </c>
      <c r="D14" s="16">
        <v>46226.0</v>
      </c>
      <c r="E14" s="17">
        <v>76289.15</v>
      </c>
      <c r="F14" s="14"/>
      <c r="G14" s="14" t="s">
        <v>19</v>
      </c>
      <c r="H14" s="14"/>
      <c r="I14" s="14"/>
      <c r="J14" s="14"/>
      <c r="K14" s="17"/>
    </row>
    <row r="15" ht="13.5" customHeight="1">
      <c r="A15" s="23">
        <v>16.0</v>
      </c>
      <c r="B15" s="23" t="s">
        <v>47</v>
      </c>
      <c r="C15" s="23">
        <v>1040500.0</v>
      </c>
      <c r="D15" s="49">
        <v>46226.0</v>
      </c>
      <c r="E15" s="29">
        <v>2413.77</v>
      </c>
      <c r="F15" s="23"/>
      <c r="G15" s="23" t="s">
        <v>19</v>
      </c>
      <c r="H15" s="14"/>
      <c r="I15" s="14"/>
      <c r="J15" s="14"/>
      <c r="K15" s="17"/>
    </row>
    <row r="16" ht="13.5" customHeight="1">
      <c r="A16" s="23">
        <v>21.0</v>
      </c>
      <c r="B16" s="23" t="s">
        <v>20</v>
      </c>
      <c r="C16" s="23">
        <v>1040375.0</v>
      </c>
      <c r="D16" s="49">
        <v>46226.0</v>
      </c>
      <c r="E16" s="29">
        <v>79.36</v>
      </c>
      <c r="F16" s="23"/>
      <c r="G16" s="23" t="s">
        <v>19</v>
      </c>
      <c r="H16" s="14"/>
      <c r="I16" s="14"/>
      <c r="J16" s="14"/>
      <c r="K16" s="17"/>
    </row>
    <row r="17" ht="13.5" customHeight="1">
      <c r="A17" s="23">
        <v>22.0</v>
      </c>
      <c r="B17" s="23" t="s">
        <v>20</v>
      </c>
      <c r="C17" s="23">
        <v>1040375.0</v>
      </c>
      <c r="D17" s="49">
        <v>46226.0</v>
      </c>
      <c r="E17" s="29">
        <v>13.77</v>
      </c>
      <c r="F17" s="23"/>
      <c r="G17" s="23" t="s">
        <v>19</v>
      </c>
      <c r="H17" s="14"/>
      <c r="I17" s="14"/>
      <c r="J17" s="14"/>
      <c r="K17" s="17"/>
    </row>
    <row r="18" ht="13.5" customHeight="1">
      <c r="A18" s="14"/>
      <c r="B18" s="14"/>
      <c r="C18" s="14"/>
      <c r="D18" s="14"/>
      <c r="E18" s="17"/>
      <c r="F18" s="14"/>
      <c r="G18" s="14"/>
      <c r="H18" s="14"/>
      <c r="I18" s="14"/>
      <c r="J18" s="14"/>
      <c r="K18" s="17"/>
    </row>
    <row r="19" ht="13.5" customHeight="1">
      <c r="A19" s="14"/>
      <c r="B19" s="14"/>
      <c r="C19" s="14"/>
      <c r="D19" s="14"/>
      <c r="E19" s="17"/>
      <c r="F19" s="14"/>
      <c r="G19" s="14"/>
      <c r="H19" s="14"/>
      <c r="I19" s="14"/>
      <c r="J19" s="14"/>
      <c r="K19" s="17"/>
    </row>
    <row r="20" ht="13.5" customHeight="1">
      <c r="A20" s="14"/>
      <c r="B20" s="14"/>
      <c r="C20" s="14"/>
      <c r="D20" s="14"/>
      <c r="E20" s="17"/>
      <c r="F20" s="14"/>
      <c r="G20" s="14"/>
      <c r="H20" s="14"/>
      <c r="I20" s="14"/>
      <c r="J20" s="14"/>
      <c r="K20" s="17"/>
    </row>
    <row r="21" ht="13.5" customHeight="1">
      <c r="E21" s="51"/>
      <c r="F21" s="12"/>
      <c r="K21" s="51"/>
    </row>
    <row r="22" ht="13.5" customHeight="1">
      <c r="E22" s="51"/>
      <c r="F22" s="12"/>
      <c r="K22" s="51"/>
    </row>
    <row r="23" ht="13.5" customHeight="1">
      <c r="E23" s="51"/>
      <c r="F23" s="12"/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H37" s="61"/>
      <c r="I37" s="61"/>
      <c r="J37" s="61"/>
      <c r="K37" s="75"/>
      <c r="L37" s="61"/>
    </row>
    <row r="38" ht="13.5" customHeight="1">
      <c r="E38" s="51"/>
      <c r="F38" s="12"/>
      <c r="H38" s="61"/>
      <c r="I38" s="61"/>
      <c r="J38" s="61"/>
      <c r="K38" s="75"/>
      <c r="L38" s="61"/>
    </row>
    <row r="39" ht="13.5" customHeight="1">
      <c r="E39" s="51"/>
      <c r="F39" s="12"/>
      <c r="H39" s="61"/>
      <c r="I39" s="61"/>
      <c r="J39" s="61"/>
      <c r="K39" s="75"/>
      <c r="L39" s="61"/>
    </row>
    <row r="40" ht="13.5" customHeight="1">
      <c r="E40" s="51"/>
      <c r="F40" s="12"/>
      <c r="H40" s="61"/>
      <c r="I40" s="61"/>
      <c r="J40" s="61"/>
      <c r="K40" s="75"/>
      <c r="L40" s="61"/>
    </row>
    <row r="41" ht="13.5" customHeight="1">
      <c r="E41" s="51"/>
      <c r="F41" s="12"/>
      <c r="H41" s="61"/>
      <c r="I41" s="61"/>
      <c r="J41" s="61"/>
      <c r="K41" s="75"/>
      <c r="L41" s="61"/>
    </row>
    <row r="42" ht="13.5" customHeight="1">
      <c r="E42" s="51"/>
      <c r="F42" s="12"/>
      <c r="H42" s="61"/>
      <c r="I42" s="61"/>
      <c r="J42" s="61"/>
      <c r="K42" s="75"/>
      <c r="L42" s="61"/>
    </row>
    <row r="43" ht="13.5" customHeight="1">
      <c r="E43" s="51"/>
      <c r="F43" s="12"/>
      <c r="H43" s="61"/>
      <c r="I43" s="61"/>
      <c r="J43" s="61"/>
      <c r="K43" s="75"/>
      <c r="L43" s="61"/>
    </row>
    <row r="44" ht="13.5" customHeight="1">
      <c r="E44" s="51"/>
      <c r="F44" s="12"/>
      <c r="H44" s="61"/>
      <c r="I44" s="61"/>
      <c r="J44" s="61"/>
      <c r="K44" s="75"/>
      <c r="L44" s="61"/>
    </row>
    <row r="45" ht="13.5" customHeight="1">
      <c r="E45" s="51"/>
      <c r="F45" s="12"/>
      <c r="H45" s="61"/>
      <c r="I45" s="61"/>
      <c r="J45" s="61"/>
      <c r="K45" s="75"/>
      <c r="L45" s="61"/>
    </row>
    <row r="46" ht="13.5" customHeight="1">
      <c r="E46" s="51"/>
      <c r="F46" s="12"/>
      <c r="H46" s="61"/>
      <c r="I46" s="61"/>
      <c r="J46" s="61"/>
      <c r="K46" s="75"/>
      <c r="L46" s="61"/>
    </row>
    <row r="47" ht="13.5" customHeight="1">
      <c r="E47" s="51"/>
      <c r="F47" s="12"/>
      <c r="H47" s="61"/>
      <c r="I47" s="61"/>
      <c r="J47" s="61"/>
      <c r="K47" s="75"/>
      <c r="L47" s="61"/>
    </row>
    <row r="48" ht="13.5" customHeight="1">
      <c r="E48" s="51"/>
      <c r="F48" s="12"/>
      <c r="H48" s="61"/>
      <c r="I48" s="61"/>
      <c r="J48" s="61"/>
      <c r="K48" s="75"/>
      <c r="L48" s="61"/>
    </row>
    <row r="49" ht="13.5" customHeight="1">
      <c r="E49" s="51"/>
      <c r="F49" s="12"/>
      <c r="H49" s="61"/>
      <c r="I49" s="61"/>
      <c r="J49" s="61"/>
      <c r="K49" s="75"/>
      <c r="L49" s="61"/>
    </row>
    <row r="50" ht="13.5" customHeight="1">
      <c r="E50" s="51"/>
      <c r="F50" s="12"/>
      <c r="H50" s="61"/>
      <c r="I50" s="61"/>
      <c r="J50" s="61"/>
      <c r="K50" s="75"/>
      <c r="L50" s="61"/>
    </row>
    <row r="51" ht="13.5" customHeight="1">
      <c r="E51" s="51"/>
      <c r="F51" s="12"/>
      <c r="H51" s="61"/>
      <c r="I51" s="61"/>
      <c r="J51" s="61"/>
      <c r="K51" s="75"/>
      <c r="L51" s="61"/>
    </row>
    <row r="52" ht="13.5" customHeight="1">
      <c r="E52" s="51"/>
      <c r="F52" s="12"/>
      <c r="H52" s="61"/>
      <c r="I52" s="61"/>
      <c r="J52" s="61"/>
      <c r="K52" s="75"/>
      <c r="L52" s="61"/>
    </row>
    <row r="53" ht="13.5" customHeight="1">
      <c r="E53" s="51"/>
      <c r="F53" s="12"/>
      <c r="H53" s="61"/>
      <c r="I53" s="61"/>
      <c r="J53" s="61"/>
      <c r="K53" s="75"/>
      <c r="L53" s="61"/>
    </row>
    <row r="54" ht="13.5" customHeight="1">
      <c r="E54" s="51"/>
      <c r="F54" s="12"/>
      <c r="H54" s="61"/>
      <c r="I54" s="61"/>
      <c r="J54" s="61"/>
      <c r="K54" s="75"/>
      <c r="L54" s="61"/>
    </row>
    <row r="55" ht="13.5" customHeight="1">
      <c r="E55" s="51"/>
      <c r="F55" s="12"/>
      <c r="H55" s="61"/>
      <c r="I55" s="61"/>
      <c r="J55" s="61"/>
      <c r="K55" s="75"/>
      <c r="L55" s="61"/>
    </row>
    <row r="56" ht="13.5" customHeight="1">
      <c r="E56" s="51"/>
      <c r="F56" s="12"/>
      <c r="H56" s="61"/>
      <c r="I56" s="61"/>
      <c r="J56" s="61"/>
      <c r="K56" s="75"/>
      <c r="L56" s="61"/>
    </row>
    <row r="57" ht="13.5" customHeight="1">
      <c r="E57" s="51"/>
      <c r="F57" s="12"/>
      <c r="H57" s="61"/>
      <c r="I57" s="61"/>
      <c r="J57" s="61"/>
      <c r="K57" s="75"/>
      <c r="L57" s="61"/>
    </row>
    <row r="58" ht="13.5" customHeight="1">
      <c r="E58" s="51"/>
      <c r="F58" s="12"/>
      <c r="H58" s="61"/>
      <c r="I58" s="61"/>
      <c r="J58" s="61"/>
      <c r="K58" s="75"/>
      <c r="L58" s="61"/>
    </row>
    <row r="59" ht="13.5" customHeight="1">
      <c r="E59" s="51"/>
      <c r="F59" s="12"/>
      <c r="H59" s="61"/>
      <c r="I59" s="61"/>
      <c r="J59" s="61"/>
      <c r="K59" s="75"/>
      <c r="L59" s="61"/>
    </row>
    <row r="60" ht="13.5" customHeight="1">
      <c r="E60" s="51"/>
      <c r="F60" s="12"/>
      <c r="H60" s="61"/>
      <c r="I60" s="61"/>
      <c r="J60" s="61"/>
      <c r="K60" s="75"/>
      <c r="L60" s="61"/>
    </row>
    <row r="61" ht="13.5" customHeight="1">
      <c r="E61" s="51"/>
      <c r="F61" s="12"/>
      <c r="H61" s="61"/>
      <c r="I61" s="61"/>
      <c r="J61" s="61"/>
      <c r="K61" s="75"/>
      <c r="L61" s="61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A63" s="61"/>
      <c r="B63" s="61"/>
      <c r="C63" s="61"/>
      <c r="D63" s="61"/>
      <c r="E63" s="75"/>
      <c r="F63" s="69"/>
      <c r="G63" s="61"/>
      <c r="H63" s="61"/>
      <c r="I63" s="61"/>
      <c r="J63" s="61"/>
      <c r="K63" s="75"/>
      <c r="L63" s="61"/>
    </row>
    <row r="64" ht="13.5" customHeight="1">
      <c r="A64" s="61"/>
      <c r="B64" s="61"/>
      <c r="C64" s="61"/>
      <c r="D64" s="61"/>
      <c r="E64" s="75"/>
      <c r="F64" s="69"/>
      <c r="G64" s="61"/>
      <c r="H64" s="61"/>
      <c r="I64" s="61"/>
      <c r="J64" s="61"/>
      <c r="K64" s="75"/>
      <c r="L64" s="61"/>
    </row>
    <row r="65" ht="13.5" customHeight="1">
      <c r="A65" s="61"/>
      <c r="B65" s="61"/>
      <c r="C65" s="61"/>
      <c r="D65" s="61"/>
      <c r="E65" s="75"/>
      <c r="F65" s="69"/>
      <c r="G65" s="61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J149" s="61"/>
      <c r="K149" s="75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J150" s="61"/>
      <c r="K150" s="75"/>
      <c r="L150" s="61"/>
    </row>
    <row r="151" ht="13.5" customHeight="1">
      <c r="A151" s="61"/>
      <c r="B151" s="61"/>
      <c r="C151" s="61"/>
      <c r="D151" s="61"/>
      <c r="E151" s="75"/>
      <c r="F151" s="69"/>
      <c r="H151" s="61"/>
      <c r="I151" s="61"/>
      <c r="J151" s="61"/>
      <c r="K151" s="75"/>
      <c r="L151" s="6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51"/>
  <printOptions/>
  <pageMargins bottom="0.787401575" footer="0.0" header="0.0" left="0.511811024" right="0.511811024" top="0.7874015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14.25"/>
    <col customWidth="1" min="3" max="3" width="8.88"/>
    <col customWidth="1" min="4" max="4" width="18.63"/>
    <col customWidth="1" min="5" max="5" width="15.5"/>
    <col customWidth="1" min="6" max="6" width="8.63"/>
    <col customWidth="1" min="7" max="7" width="26.88"/>
    <col customWidth="1" min="8" max="8" width="27.63"/>
    <col customWidth="1" min="9" max="9" width="8.63"/>
    <col customWidth="1" min="10" max="10" width="27.63"/>
    <col customWidth="1" min="11" max="11" width="15.5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34">
        <v>1.0</v>
      </c>
      <c r="B2" s="34" t="s">
        <v>9</v>
      </c>
      <c r="C2" s="34">
        <v>2130870.0</v>
      </c>
      <c r="D2" s="16">
        <v>46227.0</v>
      </c>
      <c r="E2" s="17">
        <v>5890588.38</v>
      </c>
      <c r="F2" s="34" t="s">
        <v>10</v>
      </c>
      <c r="G2" s="240" t="s">
        <v>11</v>
      </c>
      <c r="H2" s="34"/>
      <c r="I2" s="34"/>
      <c r="J2" s="21">
        <v>183669.0</v>
      </c>
      <c r="K2" s="29">
        <v>37773.06000000001</v>
      </c>
      <c r="L2" s="24"/>
      <c r="M2" s="24"/>
      <c r="N2" s="24"/>
      <c r="O2" s="24"/>
    </row>
    <row r="3" ht="13.5" customHeight="1">
      <c r="A3" s="34">
        <v>2.0</v>
      </c>
      <c r="B3" s="34" t="s">
        <v>9</v>
      </c>
      <c r="C3" s="34">
        <v>2050900.0</v>
      </c>
      <c r="D3" s="16">
        <v>46227.0</v>
      </c>
      <c r="E3" s="17">
        <v>43673.75</v>
      </c>
      <c r="F3" s="34"/>
      <c r="G3" s="240" t="s">
        <v>19</v>
      </c>
      <c r="H3" s="34"/>
      <c r="I3" s="34"/>
      <c r="J3" s="21">
        <v>183670.0</v>
      </c>
      <c r="K3" s="29">
        <v>4527816.32</v>
      </c>
      <c r="L3" s="24"/>
      <c r="M3" s="24"/>
      <c r="N3" s="24"/>
      <c r="O3" s="24"/>
    </row>
    <row r="4" ht="13.5" customHeight="1">
      <c r="A4" s="34">
        <v>3.0</v>
      </c>
      <c r="B4" s="34" t="s">
        <v>9</v>
      </c>
      <c r="C4" s="34">
        <v>2050900.0</v>
      </c>
      <c r="D4" s="16">
        <v>46227.0</v>
      </c>
      <c r="E4" s="17">
        <v>15424.57</v>
      </c>
      <c r="F4" s="34"/>
      <c r="G4" s="240" t="s">
        <v>19</v>
      </c>
      <c r="H4" s="34"/>
      <c r="I4" s="34"/>
      <c r="J4" s="21">
        <v>183672.0</v>
      </c>
      <c r="K4" s="29">
        <v>21169.78</v>
      </c>
      <c r="L4" s="24"/>
      <c r="M4" s="24"/>
      <c r="N4" s="24"/>
      <c r="O4" s="24"/>
    </row>
    <row r="5" ht="13.5" customHeight="1">
      <c r="A5" s="34">
        <v>4.0</v>
      </c>
      <c r="B5" s="34" t="s">
        <v>9</v>
      </c>
      <c r="C5" s="34">
        <v>2050900.0</v>
      </c>
      <c r="D5" s="16">
        <v>46227.0</v>
      </c>
      <c r="E5" s="17">
        <v>2561.44</v>
      </c>
      <c r="F5" s="34"/>
      <c r="G5" s="240" t="s">
        <v>19</v>
      </c>
      <c r="H5" s="34"/>
      <c r="I5" s="34"/>
      <c r="J5" s="21">
        <v>183677.0</v>
      </c>
      <c r="K5" s="29">
        <v>11063.4</v>
      </c>
      <c r="L5" s="24"/>
      <c r="M5" s="24"/>
      <c r="N5" s="24"/>
      <c r="O5" s="24"/>
    </row>
    <row r="6" ht="13.5" customHeight="1">
      <c r="A6" s="34">
        <v>5.0</v>
      </c>
      <c r="B6" s="34" t="s">
        <v>16</v>
      </c>
      <c r="C6" s="34">
        <v>2050752.0</v>
      </c>
      <c r="D6" s="16">
        <v>46227.0</v>
      </c>
      <c r="E6" s="17">
        <v>109298.91</v>
      </c>
      <c r="F6" s="34"/>
      <c r="G6" s="240" t="s">
        <v>19</v>
      </c>
      <c r="H6" s="34"/>
      <c r="I6" s="34"/>
      <c r="J6" s="21">
        <v>183678.0</v>
      </c>
      <c r="K6" s="29">
        <v>17315.980000000003</v>
      </c>
      <c r="L6" s="24"/>
      <c r="M6" s="24"/>
      <c r="N6" s="24"/>
      <c r="O6" s="24"/>
    </row>
    <row r="7" ht="13.5" customHeight="1">
      <c r="A7" s="30">
        <v>6.0</v>
      </c>
      <c r="B7" s="30" t="s">
        <v>16</v>
      </c>
      <c r="C7" s="30">
        <v>2090976.0</v>
      </c>
      <c r="D7" s="31">
        <v>46227.0</v>
      </c>
      <c r="E7" s="32">
        <v>12778.27</v>
      </c>
      <c r="F7" s="30"/>
      <c r="G7" s="30" t="s">
        <v>19</v>
      </c>
      <c r="H7" s="34"/>
      <c r="I7" s="34"/>
      <c r="J7" s="21">
        <v>183684.0</v>
      </c>
      <c r="K7" s="29">
        <v>19471.070000000003</v>
      </c>
      <c r="L7" s="24"/>
      <c r="M7" s="24"/>
      <c r="N7" s="24"/>
      <c r="O7" s="24"/>
    </row>
    <row r="8" ht="13.5" customHeight="1">
      <c r="A8" s="23">
        <v>11.0</v>
      </c>
      <c r="B8" s="23" t="s">
        <v>20</v>
      </c>
      <c r="C8" s="23">
        <v>1040211.0</v>
      </c>
      <c r="D8" s="49">
        <v>46227.0</v>
      </c>
      <c r="E8" s="29">
        <v>14071.16</v>
      </c>
      <c r="F8" s="23"/>
      <c r="G8" s="23" t="s">
        <v>19</v>
      </c>
      <c r="H8" s="34"/>
      <c r="I8" s="34"/>
      <c r="J8" s="21" t="s">
        <v>431</v>
      </c>
      <c r="K8" s="29">
        <v>32.82</v>
      </c>
      <c r="L8" s="24"/>
      <c r="M8" s="24"/>
      <c r="N8" s="24"/>
      <c r="O8" s="24"/>
    </row>
    <row r="9" ht="13.5" customHeight="1">
      <c r="A9" s="23">
        <v>12.0</v>
      </c>
      <c r="B9" s="23" t="s">
        <v>20</v>
      </c>
      <c r="C9" s="23">
        <v>1200393.0</v>
      </c>
      <c r="D9" s="49">
        <v>46227.0</v>
      </c>
      <c r="E9" s="29">
        <v>5399.91</v>
      </c>
      <c r="F9" s="23"/>
      <c r="G9" s="23" t="s">
        <v>19</v>
      </c>
      <c r="H9" s="34"/>
      <c r="I9" s="34"/>
      <c r="J9" s="23">
        <v>183725.0</v>
      </c>
      <c r="K9" s="29">
        <v>1131.47</v>
      </c>
      <c r="L9" s="24"/>
      <c r="M9" s="24"/>
      <c r="N9" s="24"/>
      <c r="O9" s="24"/>
    </row>
    <row r="10" ht="13.5" customHeight="1">
      <c r="A10" s="23">
        <v>16.0</v>
      </c>
      <c r="B10" s="23" t="s">
        <v>20</v>
      </c>
      <c r="C10" s="23">
        <v>1200393.0</v>
      </c>
      <c r="D10" s="49">
        <v>46227.0</v>
      </c>
      <c r="E10" s="29">
        <v>3401.2</v>
      </c>
      <c r="F10" s="23"/>
      <c r="G10" s="23" t="s">
        <v>19</v>
      </c>
      <c r="H10" s="34"/>
      <c r="I10" s="34"/>
      <c r="J10" s="23">
        <v>183723.0</v>
      </c>
      <c r="K10" s="29">
        <v>37126.37</v>
      </c>
      <c r="L10" s="24"/>
      <c r="M10" s="24"/>
      <c r="N10" s="24"/>
      <c r="O10" s="24"/>
    </row>
    <row r="11" ht="13.5" customHeight="1">
      <c r="A11" s="23">
        <v>17.0</v>
      </c>
      <c r="B11" s="23" t="s">
        <v>20</v>
      </c>
      <c r="C11" s="23">
        <v>1040211.0</v>
      </c>
      <c r="D11" s="49">
        <v>46227.0</v>
      </c>
      <c r="E11" s="29">
        <v>17768.58</v>
      </c>
      <c r="F11" s="23"/>
      <c r="G11" s="23" t="s">
        <v>19</v>
      </c>
      <c r="H11" s="34"/>
      <c r="I11" s="34"/>
      <c r="J11" s="23" t="s">
        <v>443</v>
      </c>
      <c r="K11" s="29">
        <v>39.49</v>
      </c>
      <c r="L11" s="24"/>
      <c r="M11" s="24"/>
      <c r="N11" s="24"/>
      <c r="O11" s="24"/>
    </row>
    <row r="12" ht="13.5" customHeight="1">
      <c r="A12" s="23">
        <v>19.0</v>
      </c>
      <c r="B12" s="23" t="s">
        <v>20</v>
      </c>
      <c r="C12" s="23">
        <v>1040211.0</v>
      </c>
      <c r="D12" s="49">
        <v>46227.0</v>
      </c>
      <c r="E12" s="29">
        <v>34127.05</v>
      </c>
      <c r="F12" s="23"/>
      <c r="G12" s="23" t="s">
        <v>19</v>
      </c>
      <c r="H12" s="34"/>
      <c r="I12" s="34"/>
      <c r="J12" s="23">
        <v>183724.0</v>
      </c>
      <c r="K12" s="29">
        <v>1720.54</v>
      </c>
      <c r="L12" s="24"/>
      <c r="M12" s="24"/>
      <c r="N12" s="24"/>
      <c r="O12" s="24"/>
    </row>
    <row r="13" ht="13.5" customHeight="1">
      <c r="A13" s="23">
        <v>20.0</v>
      </c>
      <c r="B13" s="23" t="s">
        <v>20</v>
      </c>
      <c r="C13" s="23">
        <v>1200393.0</v>
      </c>
      <c r="D13" s="49">
        <v>46227.0</v>
      </c>
      <c r="E13" s="29">
        <v>3646.01</v>
      </c>
      <c r="F13" s="23"/>
      <c r="G13" s="23" t="s">
        <v>19</v>
      </c>
      <c r="H13" s="34"/>
      <c r="I13" s="34"/>
      <c r="J13" s="23" t="s">
        <v>447</v>
      </c>
      <c r="K13" s="29">
        <v>577.16</v>
      </c>
      <c r="L13" s="24"/>
      <c r="M13" s="24"/>
      <c r="N13" s="24"/>
      <c r="O13" s="24"/>
    </row>
    <row r="14" ht="13.5" customHeight="1">
      <c r="A14" s="23">
        <v>21.0</v>
      </c>
      <c r="B14" s="23" t="s">
        <v>20</v>
      </c>
      <c r="C14" s="23">
        <v>1040211.0</v>
      </c>
      <c r="D14" s="49">
        <v>46227.0</v>
      </c>
      <c r="E14" s="29">
        <v>3786382.28</v>
      </c>
      <c r="F14" s="23"/>
      <c r="G14" s="23" t="s">
        <v>19</v>
      </c>
      <c r="H14" s="34"/>
      <c r="I14" s="34"/>
      <c r="J14" s="23">
        <v>183704.0</v>
      </c>
      <c r="K14" s="29">
        <v>102.86</v>
      </c>
      <c r="L14" s="24"/>
      <c r="M14" s="24"/>
      <c r="N14" s="24"/>
      <c r="O14" s="24"/>
    </row>
    <row r="15" ht="13.5" customHeight="1">
      <c r="A15" s="23">
        <v>22.0</v>
      </c>
      <c r="B15" s="23" t="s">
        <v>20</v>
      </c>
      <c r="C15" s="23">
        <v>1200393.0</v>
      </c>
      <c r="D15" s="49">
        <v>46227.0</v>
      </c>
      <c r="E15" s="29">
        <v>27115.06</v>
      </c>
      <c r="F15" s="23"/>
      <c r="G15" s="23" t="s">
        <v>19</v>
      </c>
      <c r="H15" s="34"/>
      <c r="I15" s="34"/>
      <c r="J15" s="23" t="s">
        <v>453</v>
      </c>
      <c r="K15" s="29">
        <v>152.26</v>
      </c>
      <c r="L15" s="24"/>
      <c r="M15" s="24"/>
      <c r="N15" s="24"/>
      <c r="O15" s="24"/>
    </row>
    <row r="16" ht="13.5" customHeight="1">
      <c r="A16" s="23">
        <v>23.0</v>
      </c>
      <c r="B16" s="23" t="s">
        <v>20</v>
      </c>
      <c r="C16" s="23">
        <v>1200393.0</v>
      </c>
      <c r="D16" s="49">
        <v>46227.0</v>
      </c>
      <c r="E16" s="29">
        <v>714318.98</v>
      </c>
      <c r="F16" s="23"/>
      <c r="G16" s="23" t="s">
        <v>19</v>
      </c>
      <c r="H16" s="34"/>
      <c r="I16" s="34"/>
      <c r="J16" s="23"/>
      <c r="K16" s="29">
        <v>215.6</v>
      </c>
      <c r="L16" s="24"/>
      <c r="M16" s="24"/>
      <c r="N16" s="24"/>
      <c r="O16" s="24"/>
    </row>
    <row r="17" ht="13.5" customHeight="1">
      <c r="A17" s="34">
        <v>24.0</v>
      </c>
      <c r="B17" s="34" t="s">
        <v>20</v>
      </c>
      <c r="C17" s="34">
        <v>1060345.0</v>
      </c>
      <c r="D17" s="16">
        <v>46227.0</v>
      </c>
      <c r="E17" s="17">
        <v>500000.0</v>
      </c>
      <c r="F17" s="34"/>
      <c r="G17" s="240" t="s">
        <v>11</v>
      </c>
      <c r="H17" s="34"/>
      <c r="I17" s="34"/>
      <c r="J17" s="23">
        <v>183726.0</v>
      </c>
      <c r="K17" s="29">
        <v>1757.25</v>
      </c>
      <c r="L17" s="24"/>
      <c r="M17" s="24"/>
      <c r="N17" s="24"/>
      <c r="O17" s="24"/>
    </row>
    <row r="18" ht="15.0" customHeight="1">
      <c r="A18" s="23">
        <v>25.0</v>
      </c>
      <c r="B18" s="23" t="s">
        <v>20</v>
      </c>
      <c r="C18" s="23">
        <v>1040375.0</v>
      </c>
      <c r="D18" s="49">
        <v>46227.0</v>
      </c>
      <c r="E18" s="29">
        <v>840.36</v>
      </c>
      <c r="F18" s="23"/>
      <c r="G18" s="23" t="s">
        <v>19</v>
      </c>
      <c r="H18" s="34"/>
      <c r="I18" s="34"/>
      <c r="J18" s="23" t="s">
        <v>460</v>
      </c>
      <c r="K18" s="29">
        <v>14369.19</v>
      </c>
      <c r="L18" s="24"/>
      <c r="M18" s="24"/>
      <c r="N18" s="24"/>
      <c r="O18" s="24"/>
    </row>
    <row r="19" ht="13.5" customHeight="1">
      <c r="A19" s="23">
        <v>26.0</v>
      </c>
      <c r="B19" s="23" t="s">
        <v>20</v>
      </c>
      <c r="C19" s="23">
        <v>1040375.0</v>
      </c>
      <c r="D19" s="49">
        <v>46227.0</v>
      </c>
      <c r="E19" s="29">
        <v>10040.59</v>
      </c>
      <c r="F19" s="23"/>
      <c r="G19" s="23" t="s">
        <v>19</v>
      </c>
      <c r="H19" s="34"/>
      <c r="I19" s="34"/>
      <c r="J19" s="23" t="s">
        <v>464</v>
      </c>
      <c r="K19" s="29">
        <v>8606.87</v>
      </c>
      <c r="L19" s="24"/>
      <c r="M19" s="24"/>
      <c r="N19" s="24"/>
      <c r="O19" s="24"/>
    </row>
    <row r="20" ht="13.5" customHeight="1">
      <c r="A20" s="23">
        <v>27.0</v>
      </c>
      <c r="B20" s="23" t="s">
        <v>20</v>
      </c>
      <c r="C20" s="23">
        <v>1040375.0</v>
      </c>
      <c r="D20" s="49">
        <v>46227.0</v>
      </c>
      <c r="E20" s="29">
        <v>182.45</v>
      </c>
      <c r="F20" s="23"/>
      <c r="G20" s="23" t="s">
        <v>19</v>
      </c>
      <c r="H20" s="34"/>
      <c r="I20" s="34"/>
      <c r="J20" s="23" t="s">
        <v>467</v>
      </c>
      <c r="K20" s="29">
        <v>2179.87</v>
      </c>
      <c r="L20" s="24"/>
      <c r="M20" s="24"/>
      <c r="N20" s="24"/>
      <c r="O20" s="24"/>
    </row>
    <row r="21" ht="13.5" customHeight="1">
      <c r="A21" s="23">
        <v>28.0</v>
      </c>
      <c r="B21" s="23" t="s">
        <v>20</v>
      </c>
      <c r="C21" s="23">
        <v>1040362.0</v>
      </c>
      <c r="D21" s="35">
        <v>46227.0</v>
      </c>
      <c r="E21" s="29">
        <v>92.31</v>
      </c>
      <c r="F21" s="23"/>
      <c r="G21" s="23" t="s">
        <v>19</v>
      </c>
      <c r="H21" s="34"/>
      <c r="I21" s="34"/>
      <c r="J21" s="34"/>
      <c r="K21" s="17"/>
      <c r="L21" s="24"/>
      <c r="M21" s="24"/>
      <c r="N21" s="24"/>
      <c r="O21" s="24"/>
    </row>
    <row r="22" ht="13.5" customHeight="1">
      <c r="A22" s="23">
        <v>30.0</v>
      </c>
      <c r="B22" s="23" t="s">
        <v>20</v>
      </c>
      <c r="C22" s="23">
        <v>1040362.0</v>
      </c>
      <c r="D22" s="35">
        <v>46227.0</v>
      </c>
      <c r="E22" s="29">
        <v>1799.9</v>
      </c>
      <c r="F22" s="23"/>
      <c r="G22" s="23" t="s">
        <v>19</v>
      </c>
      <c r="H22" s="34"/>
      <c r="I22" s="34"/>
      <c r="J22" s="34"/>
      <c r="K22" s="17"/>
      <c r="L22" s="24"/>
      <c r="M22" s="24"/>
      <c r="N22" s="24"/>
      <c r="O22" s="24"/>
    </row>
    <row r="23" ht="13.5" customHeight="1">
      <c r="A23" s="23">
        <v>32.0</v>
      </c>
      <c r="B23" s="23" t="s">
        <v>20</v>
      </c>
      <c r="C23" s="23">
        <v>1040363.0</v>
      </c>
      <c r="D23" s="35">
        <v>46227.0</v>
      </c>
      <c r="E23" s="29">
        <v>12394.38</v>
      </c>
      <c r="F23" s="23"/>
      <c r="G23" s="23" t="s">
        <v>19</v>
      </c>
      <c r="H23" s="34"/>
      <c r="I23" s="34"/>
      <c r="J23" s="34"/>
      <c r="K23" s="17"/>
      <c r="L23" s="24"/>
      <c r="M23" s="24"/>
      <c r="N23" s="24"/>
      <c r="O23" s="24"/>
    </row>
    <row r="24" ht="13.5" customHeight="1">
      <c r="A24" s="23">
        <v>33.0</v>
      </c>
      <c r="B24" s="23" t="s">
        <v>20</v>
      </c>
      <c r="C24" s="23">
        <v>1040363.0</v>
      </c>
      <c r="D24" s="35">
        <v>46227.0</v>
      </c>
      <c r="E24" s="29">
        <v>185.65</v>
      </c>
      <c r="F24" s="23"/>
      <c r="G24" s="23" t="s">
        <v>19</v>
      </c>
      <c r="H24" s="34"/>
      <c r="I24" s="34"/>
      <c r="J24" s="34"/>
      <c r="K24" s="17"/>
      <c r="L24" s="24"/>
      <c r="M24" s="24"/>
      <c r="N24" s="24"/>
      <c r="O24" s="24"/>
    </row>
    <row r="25" ht="13.5" customHeight="1">
      <c r="A25" s="23">
        <v>35.0</v>
      </c>
      <c r="B25" s="23" t="s">
        <v>20</v>
      </c>
      <c r="C25" s="23">
        <v>1040109.0</v>
      </c>
      <c r="D25" s="35">
        <v>46227.0</v>
      </c>
      <c r="E25" s="29">
        <v>1063.24</v>
      </c>
      <c r="F25" s="23"/>
      <c r="G25" s="23" t="s">
        <v>19</v>
      </c>
      <c r="H25" s="34"/>
      <c r="I25" s="34"/>
      <c r="J25" s="34"/>
      <c r="K25" s="17"/>
      <c r="L25" s="24"/>
      <c r="M25" s="24"/>
      <c r="N25" s="24"/>
      <c r="O25" s="24"/>
    </row>
    <row r="26" ht="13.5" customHeight="1">
      <c r="A26" s="23">
        <v>36.0</v>
      </c>
      <c r="B26" s="23" t="s">
        <v>20</v>
      </c>
      <c r="C26" s="23">
        <v>1040109.0</v>
      </c>
      <c r="D26" s="35">
        <v>46227.0</v>
      </c>
      <c r="E26" s="29">
        <v>662.95</v>
      </c>
      <c r="F26" s="23"/>
      <c r="G26" s="23" t="s">
        <v>19</v>
      </c>
      <c r="H26" s="34"/>
      <c r="I26" s="34"/>
      <c r="J26" s="34"/>
      <c r="K26" s="17"/>
      <c r="L26" s="24"/>
      <c r="M26" s="24"/>
      <c r="N26" s="24"/>
      <c r="O26" s="24"/>
    </row>
    <row r="27" ht="13.5" customHeight="1">
      <c r="A27" s="23">
        <v>38.0</v>
      </c>
      <c r="B27" s="23" t="s">
        <v>20</v>
      </c>
      <c r="C27" s="23">
        <v>1040109.0</v>
      </c>
      <c r="D27" s="35">
        <v>46227.0</v>
      </c>
      <c r="E27" s="29">
        <v>141.67</v>
      </c>
      <c r="F27" s="23"/>
      <c r="G27" s="23" t="s">
        <v>19</v>
      </c>
      <c r="H27" s="34"/>
      <c r="I27" s="34"/>
      <c r="J27" s="34"/>
      <c r="K27" s="17"/>
      <c r="L27" s="24"/>
      <c r="M27" s="24"/>
      <c r="N27" s="24"/>
      <c r="O27" s="24"/>
    </row>
    <row r="28" ht="13.5" customHeight="1">
      <c r="A28" s="23">
        <v>39.0</v>
      </c>
      <c r="B28" s="23" t="s">
        <v>20</v>
      </c>
      <c r="C28" s="23">
        <v>1040109.0</v>
      </c>
      <c r="D28" s="35">
        <v>46227.0</v>
      </c>
      <c r="E28" s="29">
        <v>136.73</v>
      </c>
      <c r="F28" s="23"/>
      <c r="G28" s="23" t="s">
        <v>19</v>
      </c>
      <c r="H28" s="34"/>
      <c r="I28" s="34"/>
      <c r="J28" s="34"/>
      <c r="K28" s="17"/>
      <c r="L28" s="24"/>
      <c r="M28" s="24"/>
      <c r="N28" s="24"/>
      <c r="O28" s="24"/>
    </row>
    <row r="29" ht="13.5" customHeight="1">
      <c r="A29" s="23">
        <v>40.0</v>
      </c>
      <c r="B29" s="23" t="s">
        <v>20</v>
      </c>
      <c r="C29" s="23">
        <v>1040109.0</v>
      </c>
      <c r="D29" s="35">
        <v>46227.0</v>
      </c>
      <c r="E29" s="29">
        <v>229.66</v>
      </c>
      <c r="F29" s="23"/>
      <c r="G29" s="23" t="s">
        <v>19</v>
      </c>
      <c r="H29" s="34"/>
      <c r="I29" s="34"/>
      <c r="J29" s="14"/>
      <c r="K29" s="17"/>
      <c r="L29" s="24"/>
      <c r="M29" s="24"/>
      <c r="N29" s="24"/>
      <c r="O29" s="24"/>
    </row>
    <row r="30" ht="13.5" customHeight="1">
      <c r="A30" s="23">
        <v>42.0</v>
      </c>
      <c r="B30" s="23" t="s">
        <v>20</v>
      </c>
      <c r="C30" s="23">
        <v>1040109.0</v>
      </c>
      <c r="D30" s="35">
        <v>46227.0</v>
      </c>
      <c r="E30" s="29">
        <v>224.79</v>
      </c>
      <c r="F30" s="23"/>
      <c r="G30" s="23" t="s">
        <v>19</v>
      </c>
      <c r="H30" s="14"/>
      <c r="I30" s="14"/>
      <c r="J30" s="14"/>
      <c r="K30" s="17"/>
    </row>
    <row r="31" ht="13.5" customHeight="1">
      <c r="A31" s="23">
        <v>44.0</v>
      </c>
      <c r="B31" s="23" t="s">
        <v>20</v>
      </c>
      <c r="C31" s="23">
        <v>1040109.0</v>
      </c>
      <c r="D31" s="35">
        <v>46227.0</v>
      </c>
      <c r="E31" s="29">
        <v>384.7</v>
      </c>
      <c r="F31" s="23"/>
      <c r="G31" s="23" t="s">
        <v>19</v>
      </c>
      <c r="H31" s="14"/>
      <c r="I31" s="14"/>
      <c r="J31" s="14"/>
      <c r="K31" s="17"/>
    </row>
    <row r="32" ht="13.5" customHeight="1">
      <c r="A32" s="23">
        <v>48.0</v>
      </c>
      <c r="B32" s="23" t="s">
        <v>20</v>
      </c>
      <c r="C32" s="23">
        <v>1040375.0</v>
      </c>
      <c r="D32" s="35">
        <v>46227.0</v>
      </c>
      <c r="E32" s="29">
        <v>1131.47</v>
      </c>
      <c r="F32" s="23"/>
      <c r="G32" s="23" t="s">
        <v>19</v>
      </c>
      <c r="H32" s="14"/>
      <c r="I32" s="14"/>
      <c r="J32" s="14"/>
      <c r="K32" s="17"/>
    </row>
    <row r="33" ht="13.5" customHeight="1">
      <c r="A33" s="23">
        <v>49.0</v>
      </c>
      <c r="B33" s="23" t="s">
        <v>20</v>
      </c>
      <c r="C33" s="23">
        <v>1040375.0</v>
      </c>
      <c r="D33" s="35">
        <v>46227.0</v>
      </c>
      <c r="E33" s="29">
        <v>14369.19</v>
      </c>
      <c r="F33" s="23"/>
      <c r="G33" s="23" t="s">
        <v>19</v>
      </c>
      <c r="H33" s="14"/>
      <c r="I33" s="14"/>
      <c r="J33" s="14"/>
      <c r="K33" s="17"/>
    </row>
    <row r="34" ht="13.5" customHeight="1">
      <c r="A34" s="23">
        <v>50.0</v>
      </c>
      <c r="B34" s="23" t="s">
        <v>20</v>
      </c>
      <c r="C34" s="23">
        <v>1040375.0</v>
      </c>
      <c r="D34" s="35">
        <v>46227.0</v>
      </c>
      <c r="E34" s="29">
        <v>152.26</v>
      </c>
      <c r="F34" s="23"/>
      <c r="G34" s="23" t="s">
        <v>19</v>
      </c>
      <c r="H34" s="14"/>
      <c r="I34" s="14"/>
      <c r="J34" s="14"/>
      <c r="K34" s="17"/>
    </row>
    <row r="35" ht="13.5" customHeight="1">
      <c r="A35" s="23">
        <v>51.0</v>
      </c>
      <c r="B35" s="23" t="s">
        <v>20</v>
      </c>
      <c r="C35" s="23">
        <v>1040375.0</v>
      </c>
      <c r="D35" s="35">
        <v>46227.0</v>
      </c>
      <c r="E35" s="29">
        <v>32.82</v>
      </c>
      <c r="F35" s="23"/>
      <c r="G35" s="23" t="s">
        <v>19</v>
      </c>
      <c r="H35" s="14"/>
      <c r="I35" s="14"/>
      <c r="J35" s="14"/>
      <c r="K35" s="17"/>
    </row>
    <row r="36" ht="13.5" customHeight="1">
      <c r="A36" s="23">
        <v>52.0</v>
      </c>
      <c r="B36" s="23" t="s">
        <v>20</v>
      </c>
      <c r="C36" s="23">
        <v>1040375.0</v>
      </c>
      <c r="D36" s="35">
        <v>46227.0</v>
      </c>
      <c r="E36" s="29">
        <v>102.86</v>
      </c>
      <c r="F36" s="23"/>
      <c r="G36" s="23" t="s">
        <v>19</v>
      </c>
      <c r="H36" s="14"/>
      <c r="I36" s="14"/>
      <c r="J36" s="14"/>
      <c r="K36" s="17"/>
    </row>
    <row r="37" ht="13.5" customHeight="1">
      <c r="A37" s="23">
        <v>53.0</v>
      </c>
      <c r="B37" s="23" t="s">
        <v>20</v>
      </c>
      <c r="C37" s="23">
        <v>1040375.0</v>
      </c>
      <c r="D37" s="35">
        <v>46227.0</v>
      </c>
      <c r="E37" s="29">
        <v>1720.54</v>
      </c>
      <c r="F37" s="23"/>
      <c r="G37" s="23" t="s">
        <v>19</v>
      </c>
      <c r="H37" s="23"/>
      <c r="I37" s="14"/>
      <c r="J37" s="14"/>
      <c r="K37" s="17"/>
    </row>
    <row r="38" ht="13.5" customHeight="1">
      <c r="A38" s="23">
        <v>54.0</v>
      </c>
      <c r="B38" s="23" t="s">
        <v>20</v>
      </c>
      <c r="C38" s="23">
        <v>1040375.0</v>
      </c>
      <c r="D38" s="35">
        <v>46227.0</v>
      </c>
      <c r="E38" s="29">
        <v>577.16</v>
      </c>
      <c r="F38" s="23"/>
      <c r="G38" s="23" t="s">
        <v>19</v>
      </c>
      <c r="H38" s="23"/>
      <c r="I38" s="14"/>
      <c r="J38" s="14"/>
      <c r="K38" s="17"/>
    </row>
    <row r="39" ht="13.5" customHeight="1">
      <c r="A39" s="23">
        <v>55.0</v>
      </c>
      <c r="B39" s="23" t="s">
        <v>20</v>
      </c>
      <c r="C39" s="23">
        <v>1040375.0</v>
      </c>
      <c r="D39" s="35">
        <v>46227.0</v>
      </c>
      <c r="E39" s="29">
        <v>1757.25</v>
      </c>
      <c r="F39" s="23"/>
      <c r="G39" s="23" t="s">
        <v>19</v>
      </c>
      <c r="H39" s="23"/>
      <c r="I39" s="14"/>
      <c r="J39" s="14"/>
      <c r="K39" s="17"/>
    </row>
    <row r="40" ht="13.5" customHeight="1">
      <c r="A40" s="23">
        <v>57.0</v>
      </c>
      <c r="B40" s="23" t="s">
        <v>20</v>
      </c>
      <c r="C40" s="23">
        <v>1040375.0</v>
      </c>
      <c r="D40" s="35">
        <v>46227.0</v>
      </c>
      <c r="E40" s="29">
        <v>37126.37</v>
      </c>
      <c r="F40" s="23"/>
      <c r="G40" s="23" t="s">
        <v>19</v>
      </c>
      <c r="H40" s="23"/>
      <c r="I40" s="14"/>
      <c r="J40" s="14"/>
      <c r="K40" s="17"/>
    </row>
    <row r="41" ht="13.5" customHeight="1">
      <c r="A41" s="23">
        <v>58.0</v>
      </c>
      <c r="B41" s="23" t="s">
        <v>20</v>
      </c>
      <c r="C41" s="23">
        <v>1040375.0</v>
      </c>
      <c r="D41" s="35">
        <v>46227.0</v>
      </c>
      <c r="E41" s="29">
        <v>8606.87</v>
      </c>
      <c r="F41" s="23"/>
      <c r="G41" s="23" t="s">
        <v>19</v>
      </c>
      <c r="H41" s="23"/>
      <c r="I41" s="14"/>
      <c r="J41" s="16"/>
      <c r="K41" s="17"/>
    </row>
    <row r="42" ht="13.5" customHeight="1">
      <c r="A42" s="23">
        <v>59.0</v>
      </c>
      <c r="B42" s="23" t="s">
        <v>20</v>
      </c>
      <c r="C42" s="23">
        <v>1040375.0</v>
      </c>
      <c r="D42" s="35">
        <v>46227.0</v>
      </c>
      <c r="E42" s="29">
        <v>215.6</v>
      </c>
      <c r="F42" s="23"/>
      <c r="G42" s="23" t="s">
        <v>19</v>
      </c>
      <c r="H42" s="23"/>
      <c r="I42" s="14"/>
      <c r="J42" s="14"/>
      <c r="K42" s="17"/>
    </row>
    <row r="43" ht="13.5" customHeight="1">
      <c r="A43" s="23">
        <v>60.0</v>
      </c>
      <c r="B43" s="23" t="s">
        <v>20</v>
      </c>
      <c r="C43" s="23">
        <v>1040375.0</v>
      </c>
      <c r="D43" s="35">
        <v>46227.0</v>
      </c>
      <c r="E43" s="29">
        <v>39.49</v>
      </c>
      <c r="F43" s="23"/>
      <c r="G43" s="23" t="s">
        <v>19</v>
      </c>
      <c r="H43" s="23"/>
      <c r="I43" s="14"/>
      <c r="J43" s="14"/>
      <c r="K43" s="17"/>
    </row>
    <row r="44" ht="13.5" customHeight="1">
      <c r="A44" s="23">
        <v>67.0</v>
      </c>
      <c r="B44" s="23" t="s">
        <v>20</v>
      </c>
      <c r="C44" s="23">
        <v>1040375.0</v>
      </c>
      <c r="D44" s="35">
        <v>46227.0</v>
      </c>
      <c r="E44" s="29">
        <v>2179.87</v>
      </c>
      <c r="F44" s="23"/>
      <c r="G44" s="23" t="s">
        <v>19</v>
      </c>
      <c r="H44" s="23"/>
      <c r="I44" s="14"/>
      <c r="J44" s="14"/>
      <c r="K44" s="17"/>
    </row>
    <row r="45" ht="13.5" customHeight="1">
      <c r="A45" s="14"/>
      <c r="B45" s="14"/>
      <c r="C45" s="14"/>
      <c r="D45" s="15"/>
      <c r="E45" s="17"/>
      <c r="F45" s="23"/>
      <c r="G45" s="23"/>
      <c r="H45" s="23"/>
      <c r="I45" s="14"/>
      <c r="J45" s="14"/>
      <c r="K45" s="17"/>
    </row>
    <row r="46" ht="13.5" customHeight="1">
      <c r="A46" s="14"/>
      <c r="B46" s="14"/>
      <c r="C46" s="14"/>
      <c r="D46" s="15"/>
      <c r="E46" s="17"/>
      <c r="F46" s="23"/>
      <c r="G46" s="23"/>
      <c r="H46" s="23"/>
      <c r="I46" s="14"/>
      <c r="J46" s="14"/>
      <c r="K46" s="17"/>
    </row>
    <row r="47" ht="13.5" customHeight="1">
      <c r="A47" s="14"/>
      <c r="B47" s="14"/>
      <c r="C47" s="14"/>
      <c r="D47" s="15"/>
      <c r="E47" s="17"/>
      <c r="F47" s="23"/>
      <c r="G47" s="23"/>
      <c r="H47" s="23"/>
      <c r="I47" s="14"/>
      <c r="J47" s="14"/>
      <c r="K47" s="17"/>
    </row>
    <row r="48" ht="13.5" customHeight="1">
      <c r="A48" s="14"/>
      <c r="B48" s="14"/>
      <c r="C48" s="14"/>
      <c r="D48" s="15"/>
      <c r="E48" s="17"/>
      <c r="F48" s="23"/>
      <c r="G48" s="23"/>
      <c r="H48" s="23"/>
      <c r="I48" s="14"/>
      <c r="J48" s="14"/>
      <c r="K48" s="17"/>
    </row>
    <row r="49" ht="13.5" customHeight="1">
      <c r="A49" s="14"/>
      <c r="B49" s="14"/>
      <c r="C49" s="14"/>
      <c r="D49" s="15"/>
      <c r="E49" s="17"/>
      <c r="F49" s="23"/>
      <c r="G49" s="23"/>
      <c r="H49" s="23"/>
      <c r="I49" s="14"/>
      <c r="J49" s="14"/>
      <c r="K49" s="17"/>
    </row>
    <row r="50" ht="13.5" customHeight="1">
      <c r="A50" s="14"/>
      <c r="B50" s="14"/>
      <c r="C50" s="14"/>
      <c r="D50" s="15"/>
      <c r="E50" s="17"/>
      <c r="F50" s="23"/>
      <c r="G50" s="23"/>
      <c r="H50" s="23"/>
      <c r="I50" s="14"/>
      <c r="J50" s="14"/>
      <c r="K50" s="17"/>
    </row>
    <row r="51" ht="13.5" customHeight="1">
      <c r="A51" s="14"/>
      <c r="B51" s="14"/>
      <c r="C51" s="14"/>
      <c r="D51" s="15"/>
      <c r="E51" s="17"/>
      <c r="F51" s="23"/>
      <c r="G51" s="23"/>
      <c r="H51" s="23"/>
      <c r="I51" s="14"/>
      <c r="J51" s="14"/>
      <c r="K51" s="17"/>
    </row>
    <row r="52" ht="13.5" customHeight="1">
      <c r="D52" s="12"/>
      <c r="E52" s="51"/>
      <c r="F52" s="61"/>
      <c r="G52" s="61"/>
      <c r="H52" s="61"/>
      <c r="K52" s="51"/>
    </row>
    <row r="53" ht="13.5" customHeight="1">
      <c r="D53" s="12"/>
      <c r="E53" s="51"/>
      <c r="F53" s="61"/>
      <c r="G53" s="61"/>
      <c r="H53" s="61"/>
      <c r="K53" s="51"/>
    </row>
    <row r="54" ht="13.5" customHeight="1">
      <c r="D54" s="12"/>
      <c r="E54" s="51"/>
      <c r="F54" s="61"/>
      <c r="G54" s="61"/>
      <c r="H54" s="61"/>
      <c r="K54" s="51"/>
    </row>
    <row r="55" ht="13.5" customHeight="1">
      <c r="D55" s="12"/>
      <c r="E55" s="51"/>
      <c r="F55" s="61"/>
      <c r="G55" s="61"/>
      <c r="H55" s="61"/>
      <c r="K55" s="51"/>
    </row>
    <row r="56" ht="13.5" customHeight="1">
      <c r="D56" s="12"/>
      <c r="E56" s="51"/>
      <c r="F56" s="61"/>
      <c r="G56" s="61"/>
      <c r="H56" s="61"/>
      <c r="K56" s="51"/>
    </row>
    <row r="57" ht="13.5" customHeight="1">
      <c r="D57" s="12"/>
      <c r="E57" s="51"/>
      <c r="F57" s="61"/>
      <c r="G57" s="61"/>
      <c r="H57" s="61"/>
      <c r="K57" s="51"/>
    </row>
    <row r="58" ht="13.5" customHeight="1">
      <c r="D58" s="12"/>
      <c r="E58" s="51"/>
      <c r="F58" s="61"/>
      <c r="G58" s="61"/>
      <c r="H58" s="61"/>
      <c r="K58" s="51"/>
    </row>
    <row r="59" ht="13.5" customHeight="1">
      <c r="D59" s="12"/>
      <c r="E59" s="51"/>
      <c r="F59" s="61"/>
      <c r="G59" s="61"/>
      <c r="H59" s="61"/>
      <c r="K59" s="51"/>
    </row>
    <row r="60" ht="13.5" customHeight="1">
      <c r="D60" s="12"/>
      <c r="E60" s="51"/>
      <c r="F60" s="61"/>
      <c r="G60" s="61"/>
      <c r="H60" s="61"/>
      <c r="K60" s="51"/>
    </row>
    <row r="61" ht="13.5" customHeight="1">
      <c r="D61" s="12"/>
      <c r="E61" s="51"/>
      <c r="F61" s="61"/>
      <c r="G61" s="61"/>
      <c r="H61" s="61"/>
      <c r="K61" s="51"/>
    </row>
    <row r="62" ht="13.5" customHeight="1">
      <c r="D62" s="12"/>
      <c r="E62" s="51"/>
      <c r="F62" s="61"/>
      <c r="G62" s="61"/>
      <c r="H62" s="61"/>
      <c r="K62" s="51"/>
    </row>
    <row r="63" ht="13.5" customHeight="1">
      <c r="A63" s="61"/>
      <c r="B63" s="61"/>
      <c r="C63" s="61"/>
      <c r="D63" s="69"/>
      <c r="E63" s="75"/>
      <c r="F63" s="61"/>
      <c r="G63" s="61"/>
      <c r="H63" s="61"/>
      <c r="K63" s="51"/>
    </row>
    <row r="64" ht="13.5" customHeight="1">
      <c r="A64" s="61"/>
      <c r="B64" s="61"/>
      <c r="C64" s="61"/>
      <c r="D64" s="69"/>
      <c r="E64" s="75"/>
      <c r="F64" s="61"/>
      <c r="G64" s="61"/>
      <c r="H64" s="61"/>
      <c r="K64" s="51"/>
    </row>
    <row r="65" ht="13.5" customHeight="1">
      <c r="A65" s="61"/>
      <c r="B65" s="61"/>
      <c r="C65" s="61"/>
      <c r="D65" s="69"/>
      <c r="E65" s="75"/>
      <c r="F65" s="61"/>
      <c r="G65" s="61"/>
      <c r="H65" s="61"/>
      <c r="K65" s="51"/>
    </row>
    <row r="66" ht="13.5" customHeight="1">
      <c r="A66" s="61"/>
      <c r="B66" s="61"/>
      <c r="C66" s="61"/>
      <c r="D66" s="69"/>
      <c r="E66" s="75"/>
      <c r="F66" s="61"/>
      <c r="G66" s="61"/>
      <c r="H66" s="61"/>
      <c r="K66" s="51"/>
    </row>
    <row r="67" ht="13.5" customHeight="1">
      <c r="A67" s="61"/>
      <c r="B67" s="61"/>
      <c r="C67" s="61"/>
      <c r="D67" s="69"/>
      <c r="E67" s="75"/>
      <c r="F67" s="61"/>
      <c r="G67" s="61"/>
      <c r="H67" s="61"/>
      <c r="K67" s="51"/>
    </row>
    <row r="68" ht="13.5" customHeight="1">
      <c r="A68" s="61"/>
      <c r="B68" s="61"/>
      <c r="C68" s="61"/>
      <c r="D68" s="69"/>
      <c r="E68" s="75"/>
      <c r="F68" s="61"/>
      <c r="G68" s="61"/>
      <c r="H68" s="61"/>
      <c r="K68" s="51"/>
    </row>
    <row r="69" ht="13.5" customHeight="1">
      <c r="A69" s="61"/>
      <c r="B69" s="61"/>
      <c r="C69" s="61"/>
      <c r="D69" s="69"/>
      <c r="E69" s="75"/>
      <c r="F69" s="61"/>
      <c r="G69" s="61"/>
      <c r="H69" s="61"/>
      <c r="K69" s="51"/>
    </row>
    <row r="70" ht="13.5" customHeight="1">
      <c r="A70" s="61"/>
      <c r="B70" s="61"/>
      <c r="C70" s="61"/>
      <c r="D70" s="69"/>
      <c r="E70" s="75"/>
      <c r="F70" s="61"/>
      <c r="G70" s="61"/>
      <c r="H70" s="61"/>
      <c r="K70" s="51"/>
    </row>
    <row r="71" ht="13.5" customHeight="1">
      <c r="A71" s="61"/>
      <c r="B71" s="61"/>
      <c r="C71" s="61"/>
      <c r="D71" s="69"/>
      <c r="E71" s="75"/>
      <c r="F71" s="61"/>
      <c r="G71" s="61"/>
      <c r="H71" s="61"/>
      <c r="K71" s="51"/>
    </row>
    <row r="72" ht="13.5" customHeight="1">
      <c r="A72" s="61"/>
      <c r="B72" s="61"/>
      <c r="C72" s="61"/>
      <c r="D72" s="69"/>
      <c r="E72" s="75"/>
      <c r="F72" s="61"/>
      <c r="G72" s="61"/>
      <c r="H72" s="61"/>
      <c r="K72" s="51"/>
    </row>
    <row r="73" ht="13.5" customHeight="1">
      <c r="A73" s="61"/>
      <c r="B73" s="61"/>
      <c r="C73" s="61"/>
      <c r="D73" s="69"/>
      <c r="E73" s="75"/>
      <c r="F73" s="61"/>
      <c r="G73" s="61"/>
      <c r="H73" s="61"/>
      <c r="K73" s="51"/>
    </row>
    <row r="74" ht="13.5" customHeight="1">
      <c r="A74" s="61"/>
      <c r="B74" s="61"/>
      <c r="C74" s="61"/>
      <c r="D74" s="69"/>
      <c r="E74" s="75"/>
      <c r="F74" s="61"/>
      <c r="G74" s="61"/>
      <c r="H74" s="61"/>
      <c r="K74" s="51"/>
    </row>
    <row r="75" ht="13.5" customHeight="1">
      <c r="A75" s="61"/>
      <c r="B75" s="61"/>
      <c r="C75" s="61"/>
      <c r="D75" s="69"/>
      <c r="E75" s="75"/>
      <c r="F75" s="61"/>
      <c r="G75" s="61"/>
      <c r="H75" s="61"/>
      <c r="K75" s="51"/>
    </row>
    <row r="76" ht="13.5" customHeight="1">
      <c r="A76" s="61"/>
      <c r="B76" s="61"/>
      <c r="C76" s="61"/>
      <c r="D76" s="69"/>
      <c r="E76" s="75"/>
      <c r="F76" s="61"/>
      <c r="G76" s="61"/>
      <c r="H76" s="61"/>
      <c r="K76" s="51"/>
    </row>
    <row r="77" ht="13.5" customHeight="1">
      <c r="A77" s="61"/>
      <c r="B77" s="61"/>
      <c r="C77" s="61"/>
      <c r="D77" s="69"/>
      <c r="E77" s="75"/>
      <c r="F77" s="61"/>
      <c r="G77" s="61"/>
      <c r="H77" s="61"/>
      <c r="K77" s="51"/>
    </row>
    <row r="78" ht="13.5" customHeight="1">
      <c r="A78" s="61"/>
      <c r="B78" s="61"/>
      <c r="C78" s="61"/>
      <c r="D78" s="69"/>
      <c r="E78" s="75"/>
      <c r="F78" s="61"/>
      <c r="G78" s="61"/>
      <c r="H78" s="61"/>
      <c r="K78" s="51"/>
    </row>
    <row r="79" ht="13.5" customHeight="1">
      <c r="A79" s="61"/>
      <c r="B79" s="61"/>
      <c r="C79" s="61"/>
      <c r="D79" s="69"/>
      <c r="E79" s="75"/>
      <c r="F79" s="61"/>
      <c r="G79" s="61"/>
      <c r="H79" s="61"/>
      <c r="K79" s="51"/>
    </row>
    <row r="80" ht="13.5" customHeight="1">
      <c r="A80" s="61"/>
      <c r="B80" s="61"/>
      <c r="C80" s="61"/>
      <c r="D80" s="69"/>
      <c r="E80" s="75"/>
      <c r="F80" s="61"/>
      <c r="G80" s="61"/>
      <c r="H80" s="61"/>
      <c r="K80" s="51"/>
    </row>
    <row r="81" ht="13.5" customHeight="1">
      <c r="A81" s="61"/>
      <c r="B81" s="61"/>
      <c r="C81" s="61"/>
      <c r="D81" s="69"/>
      <c r="E81" s="75"/>
      <c r="F81" s="61"/>
      <c r="G81" s="61"/>
      <c r="H81" s="61"/>
      <c r="K81" s="51"/>
    </row>
    <row r="82" ht="13.5" customHeight="1">
      <c r="A82" s="61"/>
      <c r="B82" s="61"/>
      <c r="C82" s="61"/>
      <c r="D82" s="69"/>
      <c r="E82" s="75"/>
      <c r="F82" s="61"/>
      <c r="G82" s="61"/>
      <c r="H82" s="61"/>
      <c r="K82" s="51"/>
    </row>
    <row r="83" ht="13.5" customHeight="1">
      <c r="A83" s="61"/>
      <c r="B83" s="61"/>
      <c r="C83" s="61"/>
      <c r="D83" s="69"/>
      <c r="E83" s="75"/>
      <c r="F83" s="61"/>
      <c r="G83" s="61"/>
      <c r="H83" s="61"/>
      <c r="K83" s="51"/>
    </row>
    <row r="84" ht="13.5" customHeight="1">
      <c r="A84" s="61"/>
      <c r="B84" s="61"/>
      <c r="C84" s="61"/>
      <c r="D84" s="69"/>
      <c r="E84" s="75"/>
      <c r="F84" s="61"/>
      <c r="G84" s="61"/>
      <c r="H84" s="61"/>
      <c r="K84" s="51"/>
    </row>
    <row r="85" ht="13.5" customHeight="1">
      <c r="A85" s="61"/>
      <c r="B85" s="61"/>
      <c r="C85" s="61"/>
      <c r="D85" s="69"/>
      <c r="E85" s="75"/>
      <c r="F85" s="61"/>
      <c r="G85" s="61"/>
      <c r="H85" s="61"/>
      <c r="K85" s="51"/>
    </row>
    <row r="86" ht="13.5" customHeight="1">
      <c r="A86" s="61"/>
      <c r="B86" s="61"/>
      <c r="C86" s="61"/>
      <c r="D86" s="69"/>
      <c r="E86" s="75"/>
      <c r="F86" s="61"/>
      <c r="G86" s="61"/>
      <c r="H86" s="61"/>
      <c r="K86" s="51"/>
    </row>
    <row r="87" ht="13.5" customHeight="1">
      <c r="A87" s="61"/>
      <c r="B87" s="61"/>
      <c r="C87" s="61"/>
      <c r="D87" s="69"/>
      <c r="E87" s="75"/>
      <c r="F87" s="61"/>
      <c r="G87" s="61"/>
      <c r="H87" s="61"/>
      <c r="K87" s="51"/>
    </row>
    <row r="88" ht="13.5" customHeight="1">
      <c r="A88" s="61"/>
      <c r="B88" s="61"/>
      <c r="C88" s="61"/>
      <c r="D88" s="69"/>
      <c r="E88" s="75"/>
      <c r="F88" s="61"/>
      <c r="G88" s="61"/>
      <c r="H88" s="61"/>
      <c r="K88" s="51"/>
    </row>
    <row r="89" ht="13.5" customHeight="1">
      <c r="A89" s="61"/>
      <c r="B89" s="61"/>
      <c r="C89" s="61"/>
      <c r="D89" s="69"/>
      <c r="E89" s="75"/>
      <c r="F89" s="61"/>
      <c r="G89" s="61"/>
      <c r="H89" s="61"/>
      <c r="K89" s="51"/>
    </row>
    <row r="90" ht="13.5" customHeight="1">
      <c r="A90" s="61"/>
      <c r="B90" s="61"/>
      <c r="C90" s="61"/>
      <c r="D90" s="69"/>
      <c r="E90" s="75"/>
      <c r="F90" s="61"/>
      <c r="G90" s="61"/>
      <c r="H90" s="61"/>
      <c r="K90" s="51"/>
    </row>
    <row r="91" ht="13.5" customHeight="1">
      <c r="A91" s="61"/>
      <c r="B91" s="61"/>
      <c r="C91" s="61"/>
      <c r="D91" s="69"/>
      <c r="E91" s="75"/>
      <c r="F91" s="61"/>
      <c r="G91" s="61"/>
      <c r="H91" s="61"/>
      <c r="K91" s="51"/>
    </row>
    <row r="92" ht="13.5" customHeight="1">
      <c r="A92" s="61"/>
      <c r="B92" s="61"/>
      <c r="C92" s="61"/>
      <c r="D92" s="69"/>
      <c r="E92" s="75"/>
      <c r="F92" s="61"/>
      <c r="G92" s="61"/>
      <c r="H92" s="61"/>
      <c r="K92" s="51"/>
    </row>
    <row r="93" ht="13.5" customHeight="1">
      <c r="A93" s="61"/>
      <c r="B93" s="61"/>
      <c r="C93" s="61"/>
      <c r="D93" s="69"/>
      <c r="E93" s="75"/>
      <c r="F93" s="61"/>
      <c r="G93" s="61"/>
      <c r="H93" s="61"/>
      <c r="K93" s="51"/>
    </row>
    <row r="94" ht="13.5" customHeight="1">
      <c r="A94" s="61"/>
      <c r="B94" s="61"/>
      <c r="C94" s="61"/>
      <c r="D94" s="69"/>
      <c r="E94" s="75"/>
      <c r="F94" s="61"/>
      <c r="G94" s="61"/>
      <c r="H94" s="61"/>
      <c r="K94" s="51"/>
    </row>
    <row r="95" ht="13.5" customHeight="1">
      <c r="A95" s="61"/>
      <c r="B95" s="61"/>
      <c r="C95" s="61"/>
      <c r="D95" s="69"/>
      <c r="E95" s="75"/>
      <c r="F95" s="61"/>
      <c r="G95" s="61"/>
      <c r="H95" s="61"/>
      <c r="K95" s="51"/>
    </row>
    <row r="96" ht="13.5" customHeight="1">
      <c r="A96" s="61"/>
      <c r="B96" s="61"/>
      <c r="C96" s="61"/>
      <c r="D96" s="69"/>
      <c r="E96" s="75"/>
      <c r="F96" s="61"/>
      <c r="G96" s="61"/>
      <c r="H96" s="61"/>
      <c r="K96" s="51"/>
    </row>
    <row r="97" ht="13.5" customHeight="1">
      <c r="A97" s="61"/>
      <c r="B97" s="61"/>
      <c r="C97" s="61"/>
      <c r="D97" s="69"/>
      <c r="E97" s="75"/>
      <c r="F97" s="61"/>
      <c r="G97" s="61"/>
      <c r="H97" s="61"/>
      <c r="K97" s="51"/>
    </row>
    <row r="98" ht="13.5" customHeight="1">
      <c r="A98" s="61"/>
      <c r="B98" s="61"/>
      <c r="C98" s="61"/>
      <c r="D98" s="69"/>
      <c r="E98" s="75"/>
      <c r="F98" s="61"/>
      <c r="G98" s="61"/>
      <c r="H98" s="61"/>
      <c r="K98" s="51"/>
    </row>
    <row r="99" ht="13.5" customHeight="1">
      <c r="A99" s="61"/>
      <c r="B99" s="61"/>
      <c r="C99" s="61"/>
      <c r="D99" s="69"/>
      <c r="E99" s="75"/>
      <c r="F99" s="61"/>
      <c r="G99" s="61"/>
      <c r="H99" s="61"/>
      <c r="K99" s="51"/>
    </row>
    <row r="100" ht="13.5" customHeight="1">
      <c r="A100" s="61"/>
      <c r="B100" s="61"/>
      <c r="C100" s="61"/>
      <c r="D100" s="69"/>
      <c r="E100" s="75"/>
      <c r="F100" s="61"/>
      <c r="G100" s="61"/>
      <c r="H100" s="61"/>
      <c r="K100" s="51"/>
    </row>
    <row r="101" ht="13.5" customHeight="1">
      <c r="A101" s="61"/>
      <c r="B101" s="61"/>
      <c r="C101" s="61"/>
      <c r="D101" s="69"/>
      <c r="E101" s="75"/>
      <c r="F101" s="61"/>
      <c r="G101" s="61"/>
      <c r="H101" s="61"/>
      <c r="K101" s="51"/>
    </row>
    <row r="102" ht="13.5" customHeight="1">
      <c r="A102" s="61"/>
      <c r="B102" s="61"/>
      <c r="C102" s="61"/>
      <c r="D102" s="69"/>
      <c r="E102" s="75"/>
      <c r="F102" s="61"/>
      <c r="G102" s="61"/>
      <c r="H102" s="61"/>
      <c r="K102" s="51"/>
    </row>
    <row r="103" ht="13.5" customHeight="1">
      <c r="A103" s="61"/>
      <c r="B103" s="61"/>
      <c r="C103" s="61"/>
      <c r="D103" s="69"/>
      <c r="E103" s="75"/>
      <c r="F103" s="61"/>
      <c r="G103" s="61"/>
      <c r="H103" s="61"/>
      <c r="K103" s="51"/>
    </row>
    <row r="104" ht="13.5" customHeight="1">
      <c r="A104" s="61"/>
      <c r="B104" s="61"/>
      <c r="C104" s="61"/>
      <c r="D104" s="69"/>
      <c r="E104" s="75"/>
      <c r="F104" s="61"/>
      <c r="G104" s="61"/>
      <c r="H104" s="61"/>
      <c r="K104" s="51"/>
    </row>
    <row r="105" ht="13.5" customHeight="1">
      <c r="A105" s="61"/>
      <c r="B105" s="61"/>
      <c r="C105" s="61"/>
      <c r="D105" s="69"/>
      <c r="E105" s="75"/>
      <c r="F105" s="61"/>
      <c r="G105" s="61"/>
      <c r="H105" s="61"/>
      <c r="K105" s="51"/>
    </row>
    <row r="106" ht="13.5" customHeight="1">
      <c r="A106" s="61"/>
      <c r="B106" s="61"/>
      <c r="C106" s="61"/>
      <c r="D106" s="69"/>
      <c r="E106" s="75"/>
      <c r="F106" s="61"/>
      <c r="G106" s="61"/>
      <c r="H106" s="61"/>
      <c r="K106" s="51"/>
    </row>
    <row r="107" ht="13.5" customHeight="1">
      <c r="A107" s="61"/>
      <c r="B107" s="61"/>
      <c r="C107" s="61"/>
      <c r="D107" s="69"/>
      <c r="E107" s="75"/>
      <c r="F107" s="61"/>
      <c r="G107" s="61"/>
      <c r="H107" s="61"/>
      <c r="K107" s="51"/>
    </row>
    <row r="108" ht="13.5" customHeight="1">
      <c r="A108" s="61"/>
      <c r="B108" s="61"/>
      <c r="C108" s="61"/>
      <c r="D108" s="69"/>
      <c r="E108" s="75"/>
      <c r="F108" s="61"/>
      <c r="G108" s="61"/>
      <c r="H108" s="61"/>
      <c r="K108" s="51"/>
    </row>
    <row r="109" ht="13.5" customHeight="1">
      <c r="A109" s="61"/>
      <c r="B109" s="61"/>
      <c r="C109" s="61"/>
      <c r="D109" s="69"/>
      <c r="E109" s="75"/>
      <c r="F109" s="61"/>
      <c r="G109" s="61"/>
      <c r="H109" s="61"/>
      <c r="K109" s="51"/>
    </row>
    <row r="110" ht="13.5" customHeight="1">
      <c r="A110" s="61"/>
      <c r="B110" s="61"/>
      <c r="C110" s="61"/>
      <c r="D110" s="69"/>
      <c r="E110" s="75"/>
      <c r="F110" s="61"/>
      <c r="G110" s="61"/>
      <c r="H110" s="61"/>
      <c r="K110" s="51"/>
    </row>
    <row r="111" ht="13.5" customHeight="1">
      <c r="A111" s="61"/>
      <c r="B111" s="61"/>
      <c r="C111" s="61"/>
      <c r="D111" s="69"/>
      <c r="E111" s="75"/>
      <c r="F111" s="61"/>
      <c r="G111" s="61"/>
      <c r="H111" s="61"/>
      <c r="K111" s="51"/>
    </row>
    <row r="112" ht="13.5" customHeight="1">
      <c r="A112" s="61"/>
      <c r="B112" s="61"/>
      <c r="C112" s="61"/>
      <c r="D112" s="69"/>
      <c r="E112" s="75"/>
      <c r="F112" s="61"/>
      <c r="G112" s="61"/>
      <c r="H112" s="61"/>
      <c r="K112" s="51"/>
    </row>
    <row r="113" ht="13.5" customHeight="1">
      <c r="A113" s="61"/>
      <c r="B113" s="61"/>
      <c r="C113" s="61"/>
      <c r="D113" s="69"/>
      <c r="E113" s="75"/>
      <c r="F113" s="61"/>
      <c r="G113" s="61"/>
      <c r="H113" s="61"/>
      <c r="K113" s="51"/>
    </row>
    <row r="114" ht="13.5" customHeight="1">
      <c r="A114" s="61"/>
      <c r="B114" s="61"/>
      <c r="C114" s="61"/>
      <c r="D114" s="69"/>
      <c r="E114" s="75"/>
      <c r="F114" s="61"/>
      <c r="G114" s="61"/>
      <c r="H114" s="61"/>
      <c r="K114" s="51"/>
    </row>
    <row r="115" ht="13.5" customHeight="1">
      <c r="A115" s="61"/>
      <c r="B115" s="61"/>
      <c r="C115" s="61"/>
      <c r="D115" s="69"/>
      <c r="E115" s="75"/>
      <c r="F115" s="61"/>
      <c r="G115" s="61"/>
      <c r="H115" s="61"/>
      <c r="K115" s="51"/>
    </row>
    <row r="116" ht="13.5" customHeight="1">
      <c r="A116" s="61"/>
      <c r="B116" s="61"/>
      <c r="C116" s="61"/>
      <c r="D116" s="69"/>
      <c r="E116" s="75"/>
      <c r="F116" s="61"/>
      <c r="G116" s="61"/>
      <c r="H116" s="61"/>
      <c r="K116" s="51"/>
    </row>
    <row r="117" ht="13.5" customHeight="1">
      <c r="A117" s="61"/>
      <c r="B117" s="61"/>
      <c r="C117" s="61"/>
      <c r="D117" s="69"/>
      <c r="E117" s="75"/>
      <c r="F117" s="61"/>
      <c r="G117" s="61"/>
      <c r="H117" s="61"/>
      <c r="K117" s="51"/>
    </row>
    <row r="118" ht="13.5" customHeight="1">
      <c r="A118" s="61"/>
      <c r="B118" s="61"/>
      <c r="C118" s="61"/>
      <c r="D118" s="69"/>
      <c r="E118" s="75"/>
      <c r="F118" s="61"/>
      <c r="G118" s="61"/>
      <c r="H118" s="61"/>
      <c r="K118" s="51"/>
    </row>
    <row r="119" ht="13.5" customHeight="1">
      <c r="A119" s="61"/>
      <c r="B119" s="61"/>
      <c r="C119" s="61"/>
      <c r="D119" s="69"/>
      <c r="E119" s="75"/>
      <c r="F119" s="61"/>
      <c r="G119" s="61"/>
      <c r="H119" s="61"/>
      <c r="K119" s="51"/>
    </row>
    <row r="120" ht="13.5" customHeight="1">
      <c r="A120" s="61"/>
      <c r="B120" s="61"/>
      <c r="C120" s="61"/>
      <c r="D120" s="69"/>
      <c r="E120" s="75"/>
      <c r="F120" s="61"/>
      <c r="G120" s="61"/>
      <c r="H120" s="61"/>
      <c r="K120" s="51"/>
    </row>
    <row r="121" ht="13.5" customHeight="1">
      <c r="A121" s="61"/>
      <c r="B121" s="61"/>
      <c r="C121" s="61"/>
      <c r="D121" s="69"/>
      <c r="E121" s="75"/>
      <c r="F121" s="61"/>
      <c r="G121" s="61"/>
      <c r="H121" s="61"/>
      <c r="K121" s="51"/>
    </row>
    <row r="122" ht="13.5" customHeight="1">
      <c r="A122" s="61"/>
      <c r="B122" s="61"/>
      <c r="C122" s="61"/>
      <c r="D122" s="69"/>
      <c r="E122" s="75"/>
      <c r="F122" s="61"/>
      <c r="G122" s="61"/>
      <c r="H122" s="61"/>
      <c r="K122" s="51"/>
    </row>
    <row r="123" ht="13.5" customHeight="1">
      <c r="A123" s="61"/>
      <c r="B123" s="61"/>
      <c r="C123" s="61"/>
      <c r="D123" s="69"/>
      <c r="E123" s="75"/>
      <c r="F123" s="61"/>
      <c r="G123" s="61"/>
      <c r="H123" s="61"/>
      <c r="K123" s="51"/>
    </row>
    <row r="124" ht="13.5" customHeight="1">
      <c r="A124" s="61"/>
      <c r="B124" s="61"/>
      <c r="C124" s="61"/>
      <c r="D124" s="69"/>
      <c r="E124" s="75"/>
      <c r="F124" s="61"/>
      <c r="G124" s="61"/>
      <c r="H124" s="61"/>
      <c r="K124" s="51"/>
    </row>
    <row r="125" ht="13.5" customHeight="1">
      <c r="A125" s="61"/>
      <c r="B125" s="61"/>
      <c r="C125" s="61"/>
      <c r="D125" s="69"/>
      <c r="E125" s="75"/>
      <c r="F125" s="61"/>
      <c r="G125" s="61"/>
      <c r="H125" s="61"/>
      <c r="K125" s="51"/>
    </row>
    <row r="126" ht="13.5" customHeight="1">
      <c r="A126" s="61"/>
      <c r="B126" s="61"/>
      <c r="C126" s="61"/>
      <c r="D126" s="69"/>
      <c r="E126" s="75"/>
      <c r="F126" s="61"/>
      <c r="G126" s="61"/>
      <c r="H126" s="61"/>
      <c r="K126" s="51"/>
    </row>
    <row r="127" ht="13.5" customHeight="1">
      <c r="A127" s="61"/>
      <c r="B127" s="61"/>
      <c r="C127" s="61"/>
      <c r="D127" s="69"/>
      <c r="E127" s="75"/>
      <c r="F127" s="61"/>
      <c r="G127" s="61"/>
      <c r="H127" s="61"/>
      <c r="K127" s="51"/>
    </row>
    <row r="128" ht="13.5" customHeight="1">
      <c r="A128" s="61"/>
      <c r="B128" s="61"/>
      <c r="C128" s="61"/>
      <c r="D128" s="69"/>
      <c r="E128" s="75"/>
      <c r="F128" s="61"/>
      <c r="G128" s="61"/>
      <c r="H128" s="61"/>
      <c r="K128" s="51"/>
    </row>
    <row r="129" ht="13.5" customHeight="1">
      <c r="A129" s="61"/>
      <c r="B129" s="61"/>
      <c r="C129" s="61"/>
      <c r="D129" s="69"/>
      <c r="E129" s="75"/>
      <c r="F129" s="61"/>
      <c r="G129" s="61"/>
      <c r="H129" s="61"/>
      <c r="K129" s="51"/>
    </row>
    <row r="130" ht="13.5" customHeight="1">
      <c r="A130" s="61"/>
      <c r="B130" s="61"/>
      <c r="C130" s="61"/>
      <c r="D130" s="69"/>
      <c r="E130" s="75"/>
      <c r="F130" s="61"/>
      <c r="G130" s="61"/>
      <c r="H130" s="61"/>
      <c r="K130" s="51"/>
    </row>
    <row r="131" ht="13.5" customHeight="1">
      <c r="A131" s="61"/>
      <c r="B131" s="61"/>
      <c r="C131" s="61"/>
      <c r="D131" s="69"/>
      <c r="E131" s="75"/>
      <c r="F131" s="61"/>
      <c r="G131" s="61"/>
      <c r="H131" s="61"/>
      <c r="K131" s="51"/>
    </row>
    <row r="132" ht="13.5" customHeight="1">
      <c r="A132" s="61"/>
      <c r="B132" s="61"/>
      <c r="C132" s="61"/>
      <c r="D132" s="69"/>
      <c r="E132" s="75"/>
      <c r="F132" s="61"/>
      <c r="G132" s="61"/>
      <c r="H132" s="61"/>
      <c r="K132" s="51"/>
    </row>
    <row r="133" ht="13.5" customHeight="1">
      <c r="A133" s="61"/>
      <c r="B133" s="61"/>
      <c r="C133" s="61"/>
      <c r="D133" s="69"/>
      <c r="E133" s="75"/>
      <c r="F133" s="61"/>
      <c r="G133" s="61"/>
      <c r="H133" s="61"/>
      <c r="K133" s="51"/>
    </row>
    <row r="134" ht="13.5" customHeight="1">
      <c r="A134" s="61"/>
      <c r="B134" s="61"/>
      <c r="C134" s="61"/>
      <c r="D134" s="69"/>
      <c r="E134" s="75"/>
      <c r="F134" s="61"/>
      <c r="G134" s="61"/>
      <c r="H134" s="61"/>
      <c r="K134" s="51"/>
    </row>
    <row r="135" ht="13.5" customHeight="1">
      <c r="A135" s="61"/>
      <c r="B135" s="61"/>
      <c r="C135" s="61"/>
      <c r="D135" s="69"/>
      <c r="E135" s="75"/>
      <c r="F135" s="61"/>
      <c r="G135" s="61"/>
      <c r="H135" s="61"/>
      <c r="K135" s="51"/>
    </row>
    <row r="136" ht="13.5" customHeight="1">
      <c r="A136" s="61"/>
      <c r="B136" s="61"/>
      <c r="C136" s="61"/>
      <c r="D136" s="69"/>
      <c r="E136" s="75"/>
      <c r="F136" s="61"/>
      <c r="G136" s="61"/>
      <c r="H136" s="61"/>
      <c r="K136" s="51"/>
    </row>
    <row r="137" ht="13.5" customHeight="1">
      <c r="A137" s="61"/>
      <c r="B137" s="61"/>
      <c r="C137" s="61"/>
      <c r="D137" s="69"/>
      <c r="E137" s="75"/>
      <c r="F137" s="61"/>
      <c r="G137" s="61"/>
      <c r="H137" s="61"/>
      <c r="K137" s="51"/>
    </row>
    <row r="138" ht="13.5" customHeight="1">
      <c r="A138" s="61"/>
      <c r="B138" s="61"/>
      <c r="C138" s="61"/>
      <c r="D138" s="69"/>
      <c r="E138" s="75"/>
      <c r="F138" s="61"/>
      <c r="G138" s="61"/>
      <c r="H138" s="61"/>
      <c r="K138" s="51"/>
    </row>
    <row r="139" ht="13.5" customHeight="1">
      <c r="A139" s="61"/>
      <c r="B139" s="61"/>
      <c r="C139" s="61"/>
      <c r="D139" s="69"/>
      <c r="E139" s="75"/>
      <c r="F139" s="61"/>
      <c r="G139" s="61"/>
      <c r="H139" s="61"/>
      <c r="K139" s="51"/>
    </row>
    <row r="140" ht="13.5" customHeight="1">
      <c r="A140" s="61"/>
      <c r="B140" s="61"/>
      <c r="C140" s="61"/>
      <c r="D140" s="69"/>
      <c r="E140" s="75"/>
      <c r="F140" s="61"/>
      <c r="G140" s="61"/>
      <c r="H140" s="61"/>
      <c r="K140" s="51"/>
    </row>
    <row r="141" ht="13.5" customHeight="1">
      <c r="A141" s="61"/>
      <c r="B141" s="61"/>
      <c r="C141" s="61"/>
      <c r="D141" s="69"/>
      <c r="E141" s="75"/>
      <c r="F141" s="61"/>
      <c r="G141" s="61"/>
      <c r="H141" s="61"/>
      <c r="K141" s="51"/>
    </row>
    <row r="142" ht="13.5" customHeight="1">
      <c r="A142" s="61"/>
      <c r="B142" s="61"/>
      <c r="C142" s="61"/>
      <c r="D142" s="69"/>
      <c r="E142" s="75"/>
      <c r="F142" s="61"/>
      <c r="G142" s="61"/>
      <c r="H142" s="61"/>
      <c r="K142" s="51"/>
    </row>
    <row r="143" ht="13.5" customHeight="1">
      <c r="A143" s="61"/>
      <c r="B143" s="61"/>
      <c r="C143" s="61"/>
      <c r="D143" s="69"/>
      <c r="E143" s="75"/>
      <c r="F143" s="61"/>
      <c r="G143" s="61"/>
      <c r="H143" s="61"/>
      <c r="K143" s="51"/>
    </row>
    <row r="144" ht="13.5" customHeight="1">
      <c r="A144" s="61"/>
      <c r="B144" s="61"/>
      <c r="C144" s="61"/>
      <c r="D144" s="69"/>
      <c r="E144" s="75"/>
      <c r="F144" s="61"/>
      <c r="G144" s="61"/>
      <c r="H144" s="61"/>
      <c r="K144" s="51"/>
    </row>
    <row r="145" ht="13.5" customHeight="1">
      <c r="A145" s="61"/>
      <c r="B145" s="61"/>
      <c r="C145" s="61"/>
      <c r="D145" s="69"/>
      <c r="E145" s="75"/>
      <c r="F145" s="61"/>
      <c r="G145" s="61"/>
      <c r="H145" s="61"/>
      <c r="K145" s="51"/>
    </row>
    <row r="146" ht="13.5" customHeight="1">
      <c r="A146" s="61"/>
      <c r="B146" s="61"/>
      <c r="C146" s="61"/>
      <c r="D146" s="69"/>
      <c r="E146" s="75"/>
      <c r="F146" s="61"/>
      <c r="G146" s="61"/>
      <c r="H146" s="61"/>
      <c r="K146" s="51"/>
    </row>
    <row r="147" ht="13.5" customHeight="1">
      <c r="A147" s="61"/>
      <c r="B147" s="61"/>
      <c r="C147" s="61"/>
      <c r="D147" s="69"/>
      <c r="E147" s="75"/>
      <c r="F147" s="61"/>
      <c r="G147" s="61"/>
      <c r="H147" s="61"/>
      <c r="K147" s="51"/>
    </row>
    <row r="148" ht="13.5" customHeight="1">
      <c r="A148" s="61"/>
      <c r="B148" s="61"/>
      <c r="C148" s="61"/>
      <c r="D148" s="69"/>
      <c r="E148" s="51"/>
      <c r="F148" s="61"/>
      <c r="G148" s="61"/>
      <c r="H148" s="61"/>
      <c r="K148" s="51"/>
    </row>
    <row r="149" ht="13.5" customHeight="1">
      <c r="A149" s="61"/>
      <c r="B149" s="61"/>
      <c r="C149" s="61"/>
      <c r="D149" s="69"/>
      <c r="E149" s="51"/>
      <c r="F149" s="61"/>
      <c r="G149" s="61"/>
      <c r="H149" s="61"/>
      <c r="K149" s="51"/>
    </row>
    <row r="150" ht="13.5" customHeight="1">
      <c r="A150" s="61"/>
      <c r="B150" s="61"/>
      <c r="C150" s="61"/>
      <c r="D150" s="69"/>
      <c r="E150" s="51"/>
      <c r="F150" s="61"/>
      <c r="G150" s="61"/>
      <c r="H150" s="61"/>
      <c r="K150" s="51"/>
    </row>
    <row r="151" ht="13.5" customHeight="1">
      <c r="A151" s="61"/>
      <c r="B151" s="61"/>
      <c r="C151" s="61"/>
      <c r="D151" s="69"/>
      <c r="E151" s="51"/>
      <c r="F151" s="61"/>
      <c r="G151" s="61"/>
      <c r="H151" s="61"/>
      <c r="K151" s="51"/>
    </row>
    <row r="152" ht="13.5" customHeight="1">
      <c r="D152" s="12"/>
      <c r="E152" s="51"/>
      <c r="K152" s="51"/>
    </row>
    <row r="153" ht="13.5" customHeight="1">
      <c r="D153" s="12"/>
      <c r="E153" s="51"/>
      <c r="K153" s="51"/>
    </row>
    <row r="154" ht="13.5" customHeight="1">
      <c r="D154" s="12"/>
      <c r="E154" s="51"/>
      <c r="K154" s="51"/>
    </row>
    <row r="155" ht="13.5" customHeight="1">
      <c r="D155" s="12"/>
      <c r="E155" s="51"/>
      <c r="K155" s="51"/>
    </row>
    <row r="156" ht="13.5" customHeight="1">
      <c r="D156" s="12"/>
      <c r="E156" s="51"/>
      <c r="K156" s="51"/>
    </row>
    <row r="157" ht="13.5" customHeight="1">
      <c r="D157" s="12"/>
      <c r="E157" s="51"/>
      <c r="K157" s="51"/>
    </row>
    <row r="158" ht="13.5" customHeight="1">
      <c r="D158" s="12"/>
      <c r="E158" s="51"/>
      <c r="K158" s="51"/>
    </row>
    <row r="159" ht="13.5" customHeight="1">
      <c r="D159" s="12"/>
      <c r="E159" s="51"/>
      <c r="K159" s="51"/>
    </row>
    <row r="160" ht="13.5" customHeight="1">
      <c r="D160" s="12"/>
      <c r="E160" s="51"/>
      <c r="K160" s="51"/>
    </row>
    <row r="161" ht="13.5" customHeight="1">
      <c r="D161" s="12"/>
      <c r="E161" s="51"/>
      <c r="K161" s="51"/>
    </row>
    <row r="162" ht="13.5" customHeight="1">
      <c r="D162" s="12"/>
      <c r="E162" s="51"/>
      <c r="K162" s="51"/>
    </row>
    <row r="163" ht="13.5" customHeight="1">
      <c r="D163" s="12"/>
      <c r="E163" s="51"/>
      <c r="K163" s="51"/>
    </row>
    <row r="164" ht="13.5" customHeight="1">
      <c r="D164" s="12"/>
      <c r="E164" s="51"/>
      <c r="K164" s="51"/>
    </row>
    <row r="165" ht="13.5" customHeight="1">
      <c r="D165" s="12"/>
      <c r="E165" s="51"/>
      <c r="K165" s="51"/>
    </row>
    <row r="166" ht="13.5" customHeight="1">
      <c r="D166" s="12"/>
      <c r="E166" s="51"/>
      <c r="K166" s="51"/>
    </row>
    <row r="167" ht="13.5" customHeight="1">
      <c r="D167" s="12"/>
      <c r="E167" s="51"/>
      <c r="K167" s="51"/>
    </row>
    <row r="168" ht="13.5" customHeight="1">
      <c r="D168" s="12"/>
      <c r="E168" s="51"/>
      <c r="K168" s="51"/>
    </row>
    <row r="169" ht="13.5" customHeight="1">
      <c r="D169" s="12"/>
      <c r="E169" s="51"/>
      <c r="K169" s="51"/>
    </row>
    <row r="170" ht="13.5" customHeight="1">
      <c r="D170" s="12"/>
      <c r="E170" s="51"/>
      <c r="K170" s="51"/>
    </row>
    <row r="171" ht="13.5" customHeight="1">
      <c r="D171" s="12"/>
      <c r="E171" s="51"/>
      <c r="K171" s="51"/>
    </row>
    <row r="172" ht="13.5" customHeight="1">
      <c r="D172" s="12"/>
      <c r="E172" s="51"/>
      <c r="K172" s="51"/>
    </row>
    <row r="173" ht="13.5" customHeight="1">
      <c r="D173" s="12"/>
      <c r="E173" s="51"/>
      <c r="K173" s="51"/>
    </row>
    <row r="174" ht="13.5" customHeight="1">
      <c r="D174" s="12"/>
      <c r="E174" s="51"/>
      <c r="K174" s="51"/>
    </row>
    <row r="175" ht="13.5" customHeight="1">
      <c r="D175" s="12"/>
      <c r="E175" s="51"/>
      <c r="K175" s="51"/>
    </row>
    <row r="176" ht="13.5" customHeight="1">
      <c r="D176" s="12"/>
      <c r="E176" s="51"/>
      <c r="K176" s="51"/>
    </row>
    <row r="177" ht="13.5" customHeight="1">
      <c r="D177" s="12"/>
      <c r="E177" s="51"/>
      <c r="K177" s="51"/>
    </row>
    <row r="178" ht="13.5" customHeight="1">
      <c r="D178" s="12"/>
      <c r="E178" s="51"/>
      <c r="K178" s="51"/>
    </row>
    <row r="179" ht="13.5" customHeight="1">
      <c r="D179" s="12"/>
      <c r="E179" s="51"/>
      <c r="K179" s="51"/>
    </row>
    <row r="180" ht="13.5" customHeight="1">
      <c r="D180" s="12"/>
      <c r="E180" s="51"/>
      <c r="K180" s="51"/>
    </row>
    <row r="181" ht="13.5" customHeight="1">
      <c r="D181" s="12"/>
      <c r="E181" s="51"/>
      <c r="K181" s="51"/>
    </row>
    <row r="182" ht="13.5" customHeight="1">
      <c r="D182" s="12"/>
      <c r="E182" s="51"/>
      <c r="K182" s="51"/>
    </row>
    <row r="183" ht="13.5" customHeight="1">
      <c r="D183" s="12"/>
      <c r="E183" s="51"/>
      <c r="K183" s="51"/>
    </row>
    <row r="184" ht="13.5" customHeight="1">
      <c r="D184" s="12"/>
      <c r="E184" s="51"/>
      <c r="K184" s="51"/>
    </row>
    <row r="185" ht="13.5" customHeight="1">
      <c r="D185" s="12"/>
      <c r="E185" s="51"/>
      <c r="K185" s="51"/>
    </row>
    <row r="186" ht="13.5" customHeight="1">
      <c r="D186" s="12"/>
      <c r="E186" s="51"/>
      <c r="K186" s="51"/>
    </row>
    <row r="187" ht="13.5" customHeight="1">
      <c r="D187" s="12"/>
      <c r="E187" s="51"/>
      <c r="K187" s="51"/>
    </row>
    <row r="188" ht="13.5" customHeight="1">
      <c r="D188" s="12"/>
      <c r="E188" s="51"/>
      <c r="K188" s="51"/>
    </row>
    <row r="189" ht="13.5" customHeight="1">
      <c r="D189" s="12"/>
      <c r="E189" s="51"/>
      <c r="K189" s="51"/>
    </row>
    <row r="190" ht="13.5" customHeight="1">
      <c r="D190" s="12"/>
      <c r="E190" s="51"/>
      <c r="K190" s="51"/>
    </row>
    <row r="191" ht="13.5" customHeight="1">
      <c r="D191" s="12"/>
      <c r="E191" s="51"/>
      <c r="K191" s="51"/>
    </row>
    <row r="192" ht="13.5" customHeight="1">
      <c r="D192" s="12"/>
      <c r="E192" s="51"/>
      <c r="K192" s="51"/>
    </row>
    <row r="193" ht="13.5" customHeight="1">
      <c r="D193" s="12"/>
      <c r="E193" s="51"/>
      <c r="K193" s="51"/>
    </row>
    <row r="194" ht="13.5" customHeight="1">
      <c r="D194" s="12"/>
      <c r="E194" s="51"/>
      <c r="K194" s="51"/>
    </row>
    <row r="195" ht="13.5" customHeight="1">
      <c r="D195" s="12"/>
      <c r="E195" s="51"/>
      <c r="K195" s="51"/>
    </row>
    <row r="196" ht="13.5" customHeight="1">
      <c r="D196" s="12"/>
      <c r="E196" s="51"/>
      <c r="K196" s="51"/>
    </row>
    <row r="197" ht="13.5" customHeight="1">
      <c r="D197" s="12"/>
      <c r="E197" s="51"/>
      <c r="K197" s="51"/>
    </row>
    <row r="198" ht="13.5" customHeight="1">
      <c r="D198" s="12"/>
      <c r="E198" s="51"/>
      <c r="K198" s="51"/>
    </row>
    <row r="199" ht="13.5" customHeight="1">
      <c r="D199" s="12"/>
      <c r="E199" s="51"/>
      <c r="K199" s="51"/>
    </row>
    <row r="200" ht="13.5" customHeight="1">
      <c r="D200" s="12"/>
      <c r="E200" s="51"/>
      <c r="K200" s="51"/>
    </row>
    <row r="201" ht="13.5" customHeight="1">
      <c r="D201" s="12"/>
      <c r="E201" s="51"/>
      <c r="K201" s="51"/>
    </row>
    <row r="202" ht="13.5" customHeight="1">
      <c r="D202" s="12"/>
      <c r="E202" s="51"/>
      <c r="K202" s="51"/>
    </row>
    <row r="203" ht="13.5" customHeight="1">
      <c r="D203" s="12"/>
      <c r="E203" s="51"/>
      <c r="K203" s="51"/>
    </row>
    <row r="204" ht="13.5" customHeight="1">
      <c r="D204" s="12"/>
      <c r="E204" s="51"/>
      <c r="K204" s="51"/>
    </row>
    <row r="205" ht="13.5" customHeight="1">
      <c r="D205" s="12"/>
      <c r="E205" s="51"/>
      <c r="K205" s="51"/>
    </row>
    <row r="206" ht="13.5" customHeight="1">
      <c r="D206" s="12"/>
      <c r="E206" s="51"/>
      <c r="K206" s="51"/>
    </row>
    <row r="207" ht="13.5" customHeight="1">
      <c r="D207" s="12"/>
      <c r="E207" s="51"/>
      <c r="K207" s="51"/>
    </row>
    <row r="208" ht="13.5" customHeight="1">
      <c r="D208" s="12"/>
      <c r="E208" s="51"/>
      <c r="K208" s="51"/>
    </row>
    <row r="209" ht="13.5" customHeight="1">
      <c r="D209" s="12"/>
      <c r="E209" s="51"/>
      <c r="K209" s="51"/>
    </row>
    <row r="210" ht="13.5" customHeight="1">
      <c r="D210" s="12"/>
      <c r="E210" s="51"/>
      <c r="K210" s="51"/>
    </row>
    <row r="211" ht="13.5" customHeight="1">
      <c r="D211" s="12"/>
      <c r="E211" s="51"/>
      <c r="K211" s="51"/>
    </row>
    <row r="212" ht="13.5" customHeight="1">
      <c r="D212" s="12"/>
      <c r="E212" s="51"/>
      <c r="K212" s="51"/>
    </row>
    <row r="213" ht="13.5" customHeight="1">
      <c r="D213" s="12"/>
      <c r="E213" s="51"/>
      <c r="K213" s="51"/>
    </row>
    <row r="214" ht="13.5" customHeight="1">
      <c r="D214" s="12"/>
      <c r="E214" s="51"/>
      <c r="K214" s="51"/>
    </row>
    <row r="215" ht="13.5" customHeight="1">
      <c r="D215" s="12"/>
      <c r="E215" s="51"/>
      <c r="K215" s="51"/>
    </row>
    <row r="216" ht="13.5" customHeight="1">
      <c r="D216" s="12"/>
      <c r="E216" s="51"/>
      <c r="K216" s="51"/>
    </row>
    <row r="217" ht="13.5" customHeight="1">
      <c r="D217" s="12"/>
      <c r="E217" s="51"/>
      <c r="K217" s="51"/>
    </row>
    <row r="218" ht="13.5" customHeight="1">
      <c r="D218" s="12"/>
      <c r="E218" s="51"/>
      <c r="K218" s="51"/>
    </row>
    <row r="219" ht="13.5" customHeight="1">
      <c r="D219" s="12"/>
      <c r="E219" s="51"/>
      <c r="K219" s="51"/>
    </row>
    <row r="220" ht="13.5" customHeight="1">
      <c r="D220" s="12"/>
      <c r="E220" s="51"/>
      <c r="K220" s="51"/>
    </row>
    <row r="221" ht="13.5" customHeight="1">
      <c r="D221" s="12"/>
      <c r="E221" s="51"/>
      <c r="K221" s="51"/>
    </row>
    <row r="222" ht="13.5" customHeight="1">
      <c r="D222" s="12"/>
      <c r="E222" s="51"/>
      <c r="K222" s="51"/>
    </row>
    <row r="223" ht="13.5" customHeight="1">
      <c r="D223" s="12"/>
      <c r="E223" s="51"/>
      <c r="K223" s="51"/>
    </row>
    <row r="224" ht="13.5" customHeight="1">
      <c r="D224" s="12"/>
      <c r="E224" s="51"/>
      <c r="K224" s="51"/>
    </row>
    <row r="225" ht="13.5" customHeight="1">
      <c r="D225" s="12"/>
      <c r="E225" s="51"/>
      <c r="K225" s="51"/>
    </row>
    <row r="226" ht="13.5" customHeight="1">
      <c r="D226" s="12"/>
      <c r="E226" s="51"/>
      <c r="K226" s="51"/>
    </row>
    <row r="227" ht="13.5" customHeight="1">
      <c r="D227" s="12"/>
      <c r="E227" s="51"/>
      <c r="K227" s="51"/>
    </row>
    <row r="228" ht="13.5" customHeight="1">
      <c r="D228" s="12"/>
      <c r="E228" s="51"/>
      <c r="K228" s="51"/>
    </row>
    <row r="229" ht="13.5" customHeight="1">
      <c r="D229" s="12"/>
      <c r="E229" s="51"/>
      <c r="K229" s="51"/>
    </row>
    <row r="230" ht="13.5" customHeight="1">
      <c r="D230" s="12"/>
      <c r="E230" s="51"/>
      <c r="K230" s="51"/>
    </row>
    <row r="231" ht="13.5" customHeight="1">
      <c r="D231" s="12"/>
      <c r="E231" s="51"/>
      <c r="K231" s="51"/>
    </row>
    <row r="232" ht="13.5" customHeight="1">
      <c r="D232" s="12"/>
      <c r="E232" s="51"/>
      <c r="K232" s="51"/>
    </row>
    <row r="233" ht="13.5" customHeight="1">
      <c r="D233" s="12"/>
      <c r="E233" s="51"/>
      <c r="K233" s="51"/>
    </row>
    <row r="234" ht="13.5" customHeight="1">
      <c r="D234" s="12"/>
      <c r="E234" s="51"/>
      <c r="K234" s="51"/>
    </row>
    <row r="235" ht="13.5" customHeight="1">
      <c r="D235" s="12"/>
      <c r="E235" s="51"/>
      <c r="K235" s="51"/>
    </row>
    <row r="236" ht="13.5" customHeight="1">
      <c r="D236" s="12"/>
      <c r="E236" s="51"/>
      <c r="K236" s="51"/>
    </row>
    <row r="237" ht="13.5" customHeight="1">
      <c r="D237" s="12"/>
      <c r="E237" s="51"/>
      <c r="K237" s="51"/>
    </row>
    <row r="238" ht="13.5" customHeight="1">
      <c r="D238" s="12"/>
      <c r="E238" s="51"/>
      <c r="K238" s="51"/>
    </row>
    <row r="239" ht="13.5" customHeight="1">
      <c r="D239" s="12"/>
      <c r="E239" s="51"/>
      <c r="K239" s="51"/>
    </row>
    <row r="240" ht="13.5" customHeight="1">
      <c r="D240" s="12"/>
      <c r="E240" s="51"/>
      <c r="K240" s="51"/>
    </row>
    <row r="241" ht="13.5" customHeight="1">
      <c r="D241" s="12"/>
      <c r="E241" s="51"/>
      <c r="K241" s="51"/>
    </row>
    <row r="242" ht="13.5" customHeight="1">
      <c r="D242" s="12"/>
      <c r="E242" s="51"/>
      <c r="K242" s="51"/>
    </row>
    <row r="243" ht="13.5" customHeight="1">
      <c r="D243" s="12"/>
      <c r="E243" s="51"/>
      <c r="K243" s="51"/>
    </row>
    <row r="244" ht="13.5" customHeight="1">
      <c r="D244" s="12"/>
      <c r="E244" s="51"/>
      <c r="K244" s="51"/>
    </row>
    <row r="245" ht="13.5" customHeight="1">
      <c r="D245" s="12"/>
      <c r="E245" s="51"/>
      <c r="K245" s="51"/>
    </row>
    <row r="246" ht="13.5" customHeight="1">
      <c r="D246" s="12"/>
      <c r="E246" s="51"/>
      <c r="K246" s="51"/>
    </row>
    <row r="247" ht="13.5" customHeight="1">
      <c r="D247" s="12"/>
      <c r="E247" s="51"/>
      <c r="K247" s="51"/>
    </row>
    <row r="248" ht="13.5" customHeight="1">
      <c r="D248" s="12"/>
      <c r="E248" s="51"/>
      <c r="K248" s="51"/>
    </row>
    <row r="249" ht="13.5" customHeight="1">
      <c r="D249" s="12"/>
      <c r="E249" s="51"/>
      <c r="K249" s="51"/>
    </row>
    <row r="250" ht="13.5" customHeight="1">
      <c r="D250" s="12"/>
      <c r="E250" s="51"/>
      <c r="K250" s="51"/>
    </row>
    <row r="251" ht="13.5" customHeight="1">
      <c r="D251" s="12"/>
      <c r="E251" s="51"/>
      <c r="K251" s="51"/>
    </row>
    <row r="252" ht="13.5" customHeight="1">
      <c r="D252" s="12"/>
      <c r="E252" s="51"/>
      <c r="K252" s="51"/>
    </row>
    <row r="253" ht="13.5" customHeight="1">
      <c r="D253" s="12"/>
      <c r="E253" s="51"/>
      <c r="K253" s="51"/>
    </row>
    <row r="254" ht="13.5" customHeight="1">
      <c r="D254" s="12"/>
      <c r="E254" s="51"/>
      <c r="K254" s="51"/>
    </row>
    <row r="255" ht="13.5" customHeight="1">
      <c r="D255" s="12"/>
      <c r="E255" s="51"/>
      <c r="K255" s="51"/>
    </row>
    <row r="256" ht="13.5" customHeight="1">
      <c r="D256" s="12"/>
      <c r="E256" s="51"/>
      <c r="K256" s="51"/>
    </row>
    <row r="257" ht="13.5" customHeight="1">
      <c r="D257" s="12"/>
      <c r="E257" s="51"/>
      <c r="K257" s="51"/>
    </row>
    <row r="258" ht="13.5" customHeight="1">
      <c r="D258" s="12"/>
      <c r="E258" s="51"/>
      <c r="K258" s="51"/>
    </row>
    <row r="259" ht="13.5" customHeight="1">
      <c r="D259" s="12"/>
      <c r="E259" s="51"/>
      <c r="K259" s="51"/>
    </row>
    <row r="260" ht="13.5" customHeight="1">
      <c r="D260" s="12"/>
      <c r="E260" s="51"/>
      <c r="K260" s="51"/>
    </row>
    <row r="261" ht="13.5" customHeight="1">
      <c r="D261" s="12"/>
      <c r="E261" s="51"/>
      <c r="K261" s="51"/>
    </row>
    <row r="262" ht="13.5" customHeight="1">
      <c r="D262" s="12"/>
      <c r="E262" s="51"/>
      <c r="K262" s="51"/>
    </row>
    <row r="263" ht="13.5" customHeight="1">
      <c r="D263" s="12"/>
      <c r="E263" s="51"/>
      <c r="K263" s="51"/>
    </row>
    <row r="264" ht="13.5" customHeight="1">
      <c r="D264" s="12"/>
      <c r="E264" s="51"/>
      <c r="K264" s="51"/>
    </row>
    <row r="265" ht="13.5" customHeight="1">
      <c r="D265" s="12"/>
      <c r="E265" s="51"/>
      <c r="K265" s="51"/>
    </row>
    <row r="266" ht="13.5" customHeight="1">
      <c r="D266" s="12"/>
      <c r="E266" s="51"/>
      <c r="K266" s="51"/>
    </row>
    <row r="267" ht="13.5" customHeight="1">
      <c r="D267" s="12"/>
      <c r="E267" s="51"/>
      <c r="K267" s="51"/>
    </row>
    <row r="268" ht="13.5" customHeight="1">
      <c r="D268" s="12"/>
      <c r="E268" s="51"/>
      <c r="K268" s="51"/>
    </row>
    <row r="269" ht="13.5" customHeight="1">
      <c r="D269" s="12"/>
      <c r="E269" s="51"/>
      <c r="K269" s="51"/>
    </row>
    <row r="270" ht="13.5" customHeight="1">
      <c r="D270" s="12"/>
      <c r="E270" s="51"/>
      <c r="K270" s="51"/>
    </row>
    <row r="271" ht="13.5" customHeight="1">
      <c r="D271" s="12"/>
      <c r="E271" s="51"/>
      <c r="K271" s="51"/>
    </row>
    <row r="272" ht="13.5" customHeight="1">
      <c r="D272" s="12"/>
      <c r="E272" s="51"/>
      <c r="K272" s="51"/>
    </row>
    <row r="273" ht="13.5" customHeight="1">
      <c r="D273" s="12"/>
      <c r="E273" s="51"/>
      <c r="K273" s="51"/>
    </row>
    <row r="274" ht="13.5" customHeight="1">
      <c r="D274" s="12"/>
      <c r="E274" s="51"/>
      <c r="K274" s="51"/>
    </row>
    <row r="275" ht="13.5" customHeight="1">
      <c r="D275" s="12"/>
      <c r="E275" s="51"/>
      <c r="K275" s="51"/>
    </row>
    <row r="276" ht="13.5" customHeight="1">
      <c r="D276" s="12"/>
      <c r="E276" s="51"/>
      <c r="K276" s="51"/>
    </row>
    <row r="277" ht="13.5" customHeight="1">
      <c r="D277" s="12"/>
      <c r="E277" s="51"/>
      <c r="K277" s="51"/>
    </row>
    <row r="278" ht="13.5" customHeight="1">
      <c r="D278" s="12"/>
      <c r="E278" s="51"/>
      <c r="K278" s="51"/>
    </row>
    <row r="279" ht="13.5" customHeight="1">
      <c r="D279" s="12"/>
      <c r="E279" s="51"/>
      <c r="K279" s="51"/>
    </row>
    <row r="280" ht="13.5" customHeight="1">
      <c r="D280" s="12"/>
      <c r="E280" s="51"/>
      <c r="K280" s="51"/>
    </row>
    <row r="281" ht="13.5" customHeight="1">
      <c r="D281" s="12"/>
      <c r="E281" s="51"/>
      <c r="K281" s="51"/>
    </row>
    <row r="282" ht="13.5" customHeight="1">
      <c r="D282" s="12"/>
      <c r="E282" s="51"/>
      <c r="K282" s="51"/>
    </row>
    <row r="283" ht="13.5" customHeight="1">
      <c r="D283" s="12"/>
      <c r="E283" s="51"/>
      <c r="K283" s="51"/>
    </row>
    <row r="284" ht="13.5" customHeight="1">
      <c r="D284" s="12"/>
      <c r="E284" s="51"/>
      <c r="K284" s="51"/>
    </row>
    <row r="285" ht="13.5" customHeight="1">
      <c r="D285" s="12"/>
      <c r="E285" s="51"/>
      <c r="K285" s="51"/>
    </row>
    <row r="286" ht="13.5" customHeight="1">
      <c r="D286" s="12"/>
      <c r="E286" s="51"/>
      <c r="K286" s="51"/>
    </row>
    <row r="287" ht="13.5" customHeight="1">
      <c r="D287" s="12"/>
      <c r="E287" s="51"/>
      <c r="K287" s="51"/>
    </row>
    <row r="288" ht="13.5" customHeight="1">
      <c r="D288" s="12"/>
      <c r="E288" s="51"/>
      <c r="K288" s="51"/>
    </row>
    <row r="289" ht="13.5" customHeight="1">
      <c r="D289" s="12"/>
      <c r="E289" s="51"/>
      <c r="K289" s="51"/>
    </row>
    <row r="290" ht="13.5" customHeight="1">
      <c r="D290" s="12"/>
      <c r="E290" s="51"/>
      <c r="K290" s="51"/>
    </row>
    <row r="291" ht="13.5" customHeight="1">
      <c r="D291" s="12"/>
      <c r="E291" s="51"/>
      <c r="K291" s="51"/>
    </row>
    <row r="292" ht="13.5" customHeight="1">
      <c r="D292" s="12"/>
      <c r="E292" s="51"/>
      <c r="K292" s="51"/>
    </row>
    <row r="293" ht="13.5" customHeight="1">
      <c r="D293" s="12"/>
      <c r="E293" s="51"/>
      <c r="K293" s="51"/>
    </row>
    <row r="294" ht="13.5" customHeight="1">
      <c r="D294" s="12"/>
      <c r="E294" s="51"/>
      <c r="K294" s="51"/>
    </row>
    <row r="295" ht="13.5" customHeight="1">
      <c r="D295" s="12"/>
      <c r="E295" s="51"/>
      <c r="K295" s="51"/>
    </row>
    <row r="296" ht="13.5" customHeight="1">
      <c r="D296" s="12"/>
      <c r="E296" s="51"/>
      <c r="K296" s="51"/>
    </row>
    <row r="297" ht="13.5" customHeight="1">
      <c r="D297" s="12"/>
      <c r="E297" s="51"/>
      <c r="K297" s="51"/>
    </row>
    <row r="298" ht="13.5" customHeight="1">
      <c r="D298" s="12"/>
      <c r="E298" s="51"/>
      <c r="K298" s="51"/>
    </row>
    <row r="299" ht="13.5" customHeight="1">
      <c r="D299" s="12"/>
      <c r="E299" s="51"/>
      <c r="K299" s="51"/>
    </row>
    <row r="300" ht="13.5" customHeight="1">
      <c r="D300" s="12"/>
      <c r="E300" s="51"/>
      <c r="K300" s="51"/>
    </row>
    <row r="301" ht="13.5" customHeight="1">
      <c r="D301" s="12"/>
      <c r="E301" s="51"/>
      <c r="K301" s="51"/>
    </row>
    <row r="302" ht="13.5" customHeight="1">
      <c r="D302" s="12"/>
      <c r="E302" s="51"/>
      <c r="K302" s="51"/>
    </row>
    <row r="303" ht="13.5" customHeight="1">
      <c r="D303" s="12"/>
      <c r="E303" s="51"/>
      <c r="K303" s="51"/>
    </row>
    <row r="304" ht="13.5" customHeight="1">
      <c r="D304" s="12"/>
      <c r="E304" s="51"/>
      <c r="K304" s="51"/>
    </row>
    <row r="305" ht="13.5" customHeight="1">
      <c r="D305" s="12"/>
      <c r="E305" s="51"/>
      <c r="K305" s="51"/>
    </row>
    <row r="306" ht="13.5" customHeight="1">
      <c r="D306" s="12"/>
      <c r="E306" s="51"/>
      <c r="K306" s="51"/>
    </row>
    <row r="307" ht="13.5" customHeight="1">
      <c r="D307" s="12"/>
      <c r="E307" s="51"/>
      <c r="K307" s="51"/>
    </row>
    <row r="308" ht="13.5" customHeight="1">
      <c r="D308" s="12"/>
      <c r="E308" s="51"/>
      <c r="K308" s="51"/>
    </row>
    <row r="309" ht="13.5" customHeight="1">
      <c r="D309" s="12"/>
      <c r="E309" s="51"/>
      <c r="K309" s="51"/>
    </row>
    <row r="310" ht="13.5" customHeight="1">
      <c r="D310" s="12"/>
      <c r="E310" s="51"/>
      <c r="K310" s="51"/>
    </row>
    <row r="311" ht="13.5" customHeight="1">
      <c r="D311" s="12"/>
      <c r="E311" s="51"/>
      <c r="K311" s="51"/>
    </row>
    <row r="312" ht="13.5" customHeight="1">
      <c r="D312" s="12"/>
      <c r="E312" s="51"/>
      <c r="K312" s="51"/>
    </row>
    <row r="313" ht="13.5" customHeight="1">
      <c r="D313" s="12"/>
      <c r="E313" s="51"/>
      <c r="K313" s="51"/>
    </row>
    <row r="314" ht="13.5" customHeight="1">
      <c r="D314" s="12"/>
      <c r="E314" s="51"/>
      <c r="K314" s="51"/>
    </row>
    <row r="315" ht="13.5" customHeight="1">
      <c r="D315" s="12"/>
      <c r="E315" s="51"/>
      <c r="K315" s="51"/>
    </row>
    <row r="316" ht="13.5" customHeight="1">
      <c r="D316" s="12"/>
      <c r="E316" s="51"/>
      <c r="K316" s="51"/>
    </row>
    <row r="317" ht="13.5" customHeight="1">
      <c r="D317" s="12"/>
      <c r="E317" s="51"/>
      <c r="K317" s="51"/>
    </row>
    <row r="318" ht="13.5" customHeight="1">
      <c r="D318" s="12"/>
      <c r="E318" s="51"/>
      <c r="K318" s="51"/>
    </row>
    <row r="319" ht="13.5" customHeight="1">
      <c r="D319" s="12"/>
      <c r="E319" s="51"/>
      <c r="K319" s="51"/>
    </row>
    <row r="320" ht="13.5" customHeight="1">
      <c r="D320" s="12"/>
      <c r="E320" s="51"/>
      <c r="K320" s="51"/>
    </row>
    <row r="321" ht="13.5" customHeight="1">
      <c r="D321" s="12"/>
      <c r="E321" s="51"/>
      <c r="K321" s="51"/>
    </row>
    <row r="322" ht="13.5" customHeight="1">
      <c r="D322" s="12"/>
      <c r="E322" s="51"/>
      <c r="K322" s="51"/>
    </row>
    <row r="323" ht="13.5" customHeight="1">
      <c r="D323" s="12"/>
      <c r="E323" s="51"/>
      <c r="K323" s="51"/>
    </row>
    <row r="324" ht="13.5" customHeight="1">
      <c r="D324" s="12"/>
      <c r="E324" s="51"/>
      <c r="K324" s="51"/>
    </row>
    <row r="325" ht="13.5" customHeight="1">
      <c r="D325" s="12"/>
      <c r="E325" s="51"/>
      <c r="K325" s="51"/>
    </row>
    <row r="326" ht="13.5" customHeight="1">
      <c r="D326" s="12"/>
      <c r="E326" s="51"/>
      <c r="K326" s="51"/>
    </row>
    <row r="327" ht="13.5" customHeight="1">
      <c r="D327" s="12"/>
      <c r="E327" s="51"/>
      <c r="K327" s="51"/>
    </row>
    <row r="328" ht="13.5" customHeight="1">
      <c r="D328" s="12"/>
      <c r="E328" s="51"/>
      <c r="K328" s="51"/>
    </row>
    <row r="329" ht="13.5" customHeight="1">
      <c r="D329" s="12"/>
      <c r="E329" s="51"/>
      <c r="K329" s="51"/>
    </row>
    <row r="330" ht="13.5" customHeight="1">
      <c r="D330" s="12"/>
      <c r="E330" s="51"/>
      <c r="K330" s="51"/>
    </row>
    <row r="331" ht="13.5" customHeight="1">
      <c r="D331" s="12"/>
      <c r="E331" s="51"/>
      <c r="K331" s="51"/>
    </row>
    <row r="332" ht="13.5" customHeight="1">
      <c r="D332" s="12"/>
      <c r="E332" s="51"/>
      <c r="K332" s="51"/>
    </row>
    <row r="333" ht="13.5" customHeight="1">
      <c r="D333" s="12"/>
      <c r="E333" s="51"/>
      <c r="K333" s="51"/>
    </row>
    <row r="334" ht="13.5" customHeight="1">
      <c r="D334" s="12"/>
      <c r="E334" s="51"/>
      <c r="K334" s="51"/>
    </row>
    <row r="335" ht="13.5" customHeight="1">
      <c r="D335" s="12"/>
      <c r="E335" s="51"/>
      <c r="K335" s="51"/>
    </row>
    <row r="336" ht="13.5" customHeight="1">
      <c r="D336" s="12"/>
      <c r="E336" s="51"/>
      <c r="K336" s="51"/>
    </row>
    <row r="337" ht="13.5" customHeight="1">
      <c r="D337" s="12"/>
      <c r="E337" s="51"/>
      <c r="K337" s="51"/>
    </row>
    <row r="338" ht="13.5" customHeight="1">
      <c r="D338" s="12"/>
      <c r="E338" s="51"/>
      <c r="K338" s="51"/>
    </row>
    <row r="339" ht="13.5" customHeight="1">
      <c r="D339" s="12"/>
      <c r="E339" s="51"/>
      <c r="K339" s="51"/>
    </row>
    <row r="340" ht="13.5" customHeight="1">
      <c r="D340" s="12"/>
      <c r="E340" s="51"/>
      <c r="K340" s="51"/>
    </row>
    <row r="341" ht="13.5" customHeight="1">
      <c r="D341" s="12"/>
      <c r="E341" s="51"/>
      <c r="K341" s="51"/>
    </row>
    <row r="342" ht="13.5" customHeight="1">
      <c r="D342" s="12"/>
      <c r="E342" s="51"/>
      <c r="K342" s="51"/>
    </row>
    <row r="343" ht="13.5" customHeight="1">
      <c r="D343" s="12"/>
      <c r="E343" s="51"/>
      <c r="K343" s="51"/>
    </row>
    <row r="344" ht="13.5" customHeight="1">
      <c r="D344" s="12"/>
      <c r="E344" s="51"/>
      <c r="K344" s="51"/>
    </row>
    <row r="345" ht="13.5" customHeight="1">
      <c r="D345" s="12"/>
      <c r="E345" s="51"/>
      <c r="K345" s="51"/>
    </row>
    <row r="346" ht="13.5" customHeight="1">
      <c r="D346" s="12"/>
      <c r="E346" s="51"/>
      <c r="K346" s="51"/>
    </row>
    <row r="347" ht="13.5" customHeight="1">
      <c r="D347" s="12"/>
      <c r="E347" s="51"/>
      <c r="K347" s="51"/>
    </row>
    <row r="348" ht="13.5" customHeight="1">
      <c r="D348" s="12"/>
      <c r="E348" s="51"/>
      <c r="K348" s="51"/>
    </row>
    <row r="349" ht="13.5" customHeight="1">
      <c r="D349" s="12"/>
      <c r="E349" s="51"/>
      <c r="K349" s="51"/>
    </row>
    <row r="350" ht="13.5" customHeight="1">
      <c r="D350" s="12"/>
      <c r="E350" s="51"/>
      <c r="K350" s="51"/>
    </row>
    <row r="351" ht="13.5" customHeight="1">
      <c r="D351" s="12"/>
      <c r="E351" s="51"/>
      <c r="K351" s="51"/>
    </row>
    <row r="352" ht="13.5" customHeight="1">
      <c r="D352" s="12"/>
      <c r="E352" s="51"/>
      <c r="K352" s="51"/>
    </row>
    <row r="353" ht="13.5" customHeight="1">
      <c r="D353" s="12"/>
      <c r="E353" s="51"/>
      <c r="K353" s="51"/>
    </row>
    <row r="354" ht="13.5" customHeight="1">
      <c r="D354" s="12"/>
      <c r="E354" s="51"/>
      <c r="K354" s="51"/>
    </row>
    <row r="355" ht="13.5" customHeight="1">
      <c r="D355" s="12"/>
      <c r="E355" s="51"/>
      <c r="K355" s="51"/>
    </row>
    <row r="356" ht="13.5" customHeight="1">
      <c r="D356" s="12"/>
      <c r="E356" s="51"/>
      <c r="K356" s="51"/>
    </row>
    <row r="357" ht="13.5" customHeight="1">
      <c r="D357" s="12"/>
      <c r="E357" s="51"/>
      <c r="K357" s="51"/>
    </row>
    <row r="358" ht="13.5" customHeight="1">
      <c r="D358" s="12"/>
      <c r="E358" s="51"/>
      <c r="K358" s="51"/>
    </row>
    <row r="359" ht="13.5" customHeight="1">
      <c r="D359" s="12"/>
      <c r="E359" s="51"/>
      <c r="K359" s="51"/>
    </row>
    <row r="360" ht="13.5" customHeight="1">
      <c r="D360" s="12"/>
      <c r="E360" s="51"/>
      <c r="K360" s="51"/>
    </row>
    <row r="361" ht="13.5" customHeight="1">
      <c r="D361" s="12"/>
      <c r="E361" s="51"/>
      <c r="K361" s="51"/>
    </row>
    <row r="362" ht="13.5" customHeight="1">
      <c r="D362" s="12"/>
      <c r="E362" s="51"/>
      <c r="K362" s="51"/>
    </row>
    <row r="363" ht="13.5" customHeight="1">
      <c r="D363" s="12"/>
      <c r="E363" s="51"/>
      <c r="K363" s="51"/>
    </row>
    <row r="364" ht="13.5" customHeight="1">
      <c r="D364" s="12"/>
      <c r="E364" s="51"/>
      <c r="K364" s="51"/>
    </row>
    <row r="365" ht="13.5" customHeight="1">
      <c r="D365" s="12"/>
      <c r="E365" s="51"/>
      <c r="K365" s="51"/>
    </row>
    <row r="366" ht="13.5" customHeight="1">
      <c r="D366" s="12"/>
      <c r="E366" s="51"/>
      <c r="K366" s="51"/>
    </row>
    <row r="367" ht="13.5" customHeight="1">
      <c r="D367" s="12"/>
      <c r="E367" s="51"/>
      <c r="K367" s="51"/>
    </row>
    <row r="368" ht="13.5" customHeight="1">
      <c r="D368" s="12"/>
      <c r="E368" s="51"/>
      <c r="K368" s="51"/>
    </row>
    <row r="369" ht="13.5" customHeight="1">
      <c r="D369" s="12"/>
      <c r="E369" s="51"/>
      <c r="K369" s="51"/>
    </row>
    <row r="370" ht="13.5" customHeight="1">
      <c r="D370" s="12"/>
      <c r="E370" s="51"/>
      <c r="K370" s="51"/>
    </row>
    <row r="371" ht="13.5" customHeight="1">
      <c r="D371" s="12"/>
      <c r="E371" s="51"/>
      <c r="K371" s="51"/>
    </row>
    <row r="372" ht="13.5" customHeight="1">
      <c r="D372" s="12"/>
      <c r="E372" s="51"/>
      <c r="K372" s="51"/>
    </row>
    <row r="373" ht="13.5" customHeight="1">
      <c r="D373" s="12"/>
      <c r="E373" s="51"/>
      <c r="K373" s="51"/>
    </row>
    <row r="374" ht="13.5" customHeight="1">
      <c r="D374" s="12"/>
      <c r="E374" s="51"/>
      <c r="K374" s="51"/>
    </row>
    <row r="375" ht="13.5" customHeight="1">
      <c r="D375" s="12"/>
      <c r="E375" s="51"/>
      <c r="K375" s="51"/>
    </row>
    <row r="376" ht="13.5" customHeight="1">
      <c r="D376" s="12"/>
      <c r="E376" s="51"/>
      <c r="K376" s="51"/>
    </row>
    <row r="377" ht="13.5" customHeight="1">
      <c r="D377" s="12"/>
      <c r="E377" s="51"/>
      <c r="K377" s="51"/>
    </row>
    <row r="378" ht="13.5" customHeight="1">
      <c r="D378" s="12"/>
      <c r="E378" s="51"/>
      <c r="K378" s="51"/>
    </row>
    <row r="379" ht="13.5" customHeight="1">
      <c r="D379" s="12"/>
      <c r="E379" s="51"/>
      <c r="K379" s="51"/>
    </row>
    <row r="380" ht="13.5" customHeight="1">
      <c r="D380" s="12"/>
      <c r="E380" s="51"/>
      <c r="K380" s="51"/>
    </row>
    <row r="381" ht="13.5" customHeight="1">
      <c r="D381" s="12"/>
      <c r="E381" s="51"/>
      <c r="K381" s="51"/>
    </row>
    <row r="382" ht="13.5" customHeight="1">
      <c r="D382" s="12"/>
      <c r="E382" s="51"/>
      <c r="K382" s="51"/>
    </row>
    <row r="383" ht="13.5" customHeight="1">
      <c r="D383" s="12"/>
      <c r="E383" s="51"/>
      <c r="K383" s="51"/>
    </row>
    <row r="384" ht="13.5" customHeight="1">
      <c r="D384" s="12"/>
      <c r="E384" s="51"/>
      <c r="K384" s="51"/>
    </row>
    <row r="385" ht="13.5" customHeight="1">
      <c r="D385" s="12"/>
      <c r="E385" s="51"/>
      <c r="K385" s="51"/>
    </row>
    <row r="386" ht="13.5" customHeight="1">
      <c r="D386" s="12"/>
      <c r="E386" s="51"/>
      <c r="K386" s="51"/>
    </row>
    <row r="387" ht="13.5" customHeight="1">
      <c r="D387" s="12"/>
      <c r="E387" s="51"/>
      <c r="K387" s="51"/>
    </row>
    <row r="388" ht="13.5" customHeight="1">
      <c r="D388" s="12"/>
      <c r="E388" s="51"/>
      <c r="K388" s="51"/>
    </row>
    <row r="389" ht="13.5" customHeight="1">
      <c r="D389" s="12"/>
      <c r="E389" s="51"/>
      <c r="K389" s="51"/>
    </row>
    <row r="390" ht="13.5" customHeight="1">
      <c r="D390" s="12"/>
      <c r="E390" s="51"/>
      <c r="K390" s="51"/>
    </row>
    <row r="391" ht="13.5" customHeight="1">
      <c r="D391" s="12"/>
      <c r="E391" s="51"/>
      <c r="K391" s="51"/>
    </row>
    <row r="392" ht="13.5" customHeight="1">
      <c r="D392" s="12"/>
      <c r="E392" s="51"/>
      <c r="K392" s="51"/>
    </row>
    <row r="393" ht="13.5" customHeight="1">
      <c r="D393" s="12"/>
      <c r="E393" s="51"/>
      <c r="K393" s="51"/>
    </row>
    <row r="394" ht="13.5" customHeight="1">
      <c r="D394" s="12"/>
      <c r="E394" s="51"/>
      <c r="K394" s="51"/>
    </row>
    <row r="395" ht="13.5" customHeight="1">
      <c r="D395" s="12"/>
      <c r="E395" s="51"/>
      <c r="K395" s="51"/>
    </row>
    <row r="396" ht="13.5" customHeight="1">
      <c r="D396" s="12"/>
      <c r="E396" s="51"/>
      <c r="K396" s="51"/>
    </row>
    <row r="397" ht="13.5" customHeight="1">
      <c r="D397" s="12"/>
      <c r="E397" s="51"/>
      <c r="K397" s="51"/>
    </row>
    <row r="398" ht="13.5" customHeight="1">
      <c r="D398" s="12"/>
      <c r="E398" s="51"/>
      <c r="K398" s="51"/>
    </row>
    <row r="399" ht="13.5" customHeight="1">
      <c r="D399" s="12"/>
      <c r="E399" s="51"/>
      <c r="K399" s="51"/>
    </row>
    <row r="400" ht="13.5" customHeight="1">
      <c r="D400" s="12"/>
      <c r="E400" s="51"/>
      <c r="K400" s="51"/>
    </row>
    <row r="401" ht="13.5" customHeight="1">
      <c r="D401" s="12"/>
      <c r="E401" s="51"/>
      <c r="K401" s="51"/>
    </row>
    <row r="402" ht="13.5" customHeight="1">
      <c r="D402" s="12"/>
      <c r="E402" s="51"/>
      <c r="K402" s="51"/>
    </row>
    <row r="403" ht="13.5" customHeight="1">
      <c r="D403" s="12"/>
      <c r="E403" s="51"/>
      <c r="K403" s="51"/>
    </row>
    <row r="404" ht="13.5" customHeight="1">
      <c r="D404" s="12"/>
      <c r="E404" s="51"/>
      <c r="K404" s="51"/>
    </row>
    <row r="405" ht="13.5" customHeight="1">
      <c r="D405" s="12"/>
      <c r="E405" s="51"/>
      <c r="K405" s="51"/>
    </row>
    <row r="406" ht="13.5" customHeight="1">
      <c r="D406" s="12"/>
      <c r="E406" s="51"/>
      <c r="K406" s="51"/>
    </row>
    <row r="407" ht="13.5" customHeight="1">
      <c r="D407" s="12"/>
      <c r="E407" s="51"/>
      <c r="K407" s="51"/>
    </row>
    <row r="408" ht="13.5" customHeight="1">
      <c r="D408" s="12"/>
      <c r="E408" s="51"/>
      <c r="K408" s="51"/>
    </row>
    <row r="409" ht="13.5" customHeight="1">
      <c r="D409" s="12"/>
      <c r="E409" s="51"/>
      <c r="K409" s="51"/>
    </row>
    <row r="410" ht="13.5" customHeight="1">
      <c r="D410" s="12"/>
      <c r="E410" s="51"/>
      <c r="K410" s="51"/>
    </row>
    <row r="411" ht="13.5" customHeight="1">
      <c r="D411" s="12"/>
      <c r="E411" s="51"/>
      <c r="K411" s="51"/>
    </row>
    <row r="412" ht="13.5" customHeight="1">
      <c r="D412" s="12"/>
      <c r="E412" s="51"/>
      <c r="K412" s="51"/>
    </row>
    <row r="413" ht="13.5" customHeight="1">
      <c r="D413" s="12"/>
      <c r="E413" s="51"/>
      <c r="K413" s="51"/>
    </row>
    <row r="414" ht="13.5" customHeight="1">
      <c r="D414" s="12"/>
      <c r="E414" s="51"/>
      <c r="K414" s="51"/>
    </row>
    <row r="415" ht="13.5" customHeight="1">
      <c r="D415" s="12"/>
      <c r="E415" s="51"/>
      <c r="K415" s="51"/>
    </row>
    <row r="416" ht="13.5" customHeight="1">
      <c r="D416" s="12"/>
      <c r="E416" s="51"/>
      <c r="K416" s="51"/>
    </row>
    <row r="417" ht="13.5" customHeight="1">
      <c r="D417" s="12"/>
      <c r="E417" s="51"/>
      <c r="K417" s="51"/>
    </row>
    <row r="418" ht="13.5" customHeight="1">
      <c r="D418" s="12"/>
      <c r="E418" s="51"/>
      <c r="K418" s="51"/>
    </row>
    <row r="419" ht="13.5" customHeight="1">
      <c r="D419" s="12"/>
      <c r="E419" s="51"/>
      <c r="K419" s="51"/>
    </row>
    <row r="420" ht="13.5" customHeight="1">
      <c r="D420" s="12"/>
      <c r="E420" s="51"/>
      <c r="K420" s="51"/>
    </row>
    <row r="421" ht="13.5" customHeight="1">
      <c r="D421" s="12"/>
      <c r="E421" s="51"/>
      <c r="K421" s="51"/>
    </row>
    <row r="422" ht="13.5" customHeight="1">
      <c r="D422" s="12"/>
      <c r="E422" s="51"/>
      <c r="K422" s="51"/>
    </row>
    <row r="423" ht="13.5" customHeight="1">
      <c r="D423" s="12"/>
      <c r="E423" s="51"/>
      <c r="K423" s="51"/>
    </row>
    <row r="424" ht="13.5" customHeight="1">
      <c r="D424" s="12"/>
      <c r="E424" s="51"/>
      <c r="K424" s="51"/>
    </row>
    <row r="425" ht="13.5" customHeight="1">
      <c r="D425" s="12"/>
      <c r="E425" s="51"/>
      <c r="K425" s="51"/>
    </row>
    <row r="426" ht="13.5" customHeight="1">
      <c r="D426" s="12"/>
      <c r="E426" s="51"/>
      <c r="K426" s="51"/>
    </row>
    <row r="427" ht="13.5" customHeight="1">
      <c r="D427" s="12"/>
      <c r="E427" s="51"/>
      <c r="K427" s="51"/>
    </row>
    <row r="428" ht="13.5" customHeight="1">
      <c r="D428" s="12"/>
      <c r="E428" s="51"/>
      <c r="K428" s="51"/>
    </row>
    <row r="429" ht="13.5" customHeight="1">
      <c r="D429" s="12"/>
      <c r="E429" s="51"/>
      <c r="K429" s="51"/>
    </row>
    <row r="430" ht="13.5" customHeight="1">
      <c r="D430" s="12"/>
      <c r="E430" s="51"/>
      <c r="K430" s="51"/>
    </row>
    <row r="431" ht="13.5" customHeight="1">
      <c r="D431" s="12"/>
      <c r="E431" s="51"/>
      <c r="K431" s="51"/>
    </row>
    <row r="432" ht="13.5" customHeight="1">
      <c r="D432" s="12"/>
      <c r="E432" s="51"/>
      <c r="K432" s="51"/>
    </row>
    <row r="433" ht="13.5" customHeight="1">
      <c r="D433" s="12"/>
      <c r="E433" s="51"/>
      <c r="K433" s="51"/>
    </row>
    <row r="434" ht="13.5" customHeight="1">
      <c r="D434" s="12"/>
      <c r="E434" s="51"/>
      <c r="K434" s="51"/>
    </row>
    <row r="435" ht="13.5" customHeight="1">
      <c r="D435" s="12"/>
      <c r="E435" s="51"/>
      <c r="K435" s="51"/>
    </row>
    <row r="436" ht="13.5" customHeight="1">
      <c r="D436" s="12"/>
      <c r="E436" s="51"/>
      <c r="K436" s="51"/>
    </row>
    <row r="437" ht="13.5" customHeight="1">
      <c r="D437" s="12"/>
      <c r="E437" s="51"/>
      <c r="K437" s="51"/>
    </row>
    <row r="438" ht="13.5" customHeight="1">
      <c r="D438" s="12"/>
      <c r="E438" s="51"/>
      <c r="K438" s="51"/>
    </row>
    <row r="439" ht="13.5" customHeight="1">
      <c r="D439" s="12"/>
      <c r="E439" s="51"/>
      <c r="K439" s="51"/>
    </row>
    <row r="440" ht="13.5" customHeight="1">
      <c r="D440" s="12"/>
      <c r="E440" s="51"/>
      <c r="K440" s="51"/>
    </row>
    <row r="441" ht="13.5" customHeight="1">
      <c r="D441" s="12"/>
      <c r="E441" s="51"/>
      <c r="K441" s="51"/>
    </row>
    <row r="442" ht="13.5" customHeight="1">
      <c r="D442" s="12"/>
      <c r="E442" s="51"/>
      <c r="K442" s="51"/>
    </row>
    <row r="443" ht="13.5" customHeight="1">
      <c r="D443" s="12"/>
      <c r="E443" s="51"/>
      <c r="K443" s="51"/>
    </row>
    <row r="444" ht="13.5" customHeight="1">
      <c r="D444" s="12"/>
      <c r="E444" s="51"/>
      <c r="K444" s="51"/>
    </row>
    <row r="445" ht="13.5" customHeight="1">
      <c r="D445" s="12"/>
      <c r="E445" s="51"/>
      <c r="K445" s="51"/>
    </row>
    <row r="446" ht="13.5" customHeight="1">
      <c r="D446" s="12"/>
      <c r="E446" s="51"/>
      <c r="K446" s="51"/>
    </row>
    <row r="447" ht="13.5" customHeight="1">
      <c r="D447" s="12"/>
      <c r="E447" s="51"/>
      <c r="K447" s="51"/>
    </row>
    <row r="448" ht="13.5" customHeight="1">
      <c r="D448" s="12"/>
      <c r="E448" s="51"/>
      <c r="K448" s="51"/>
    </row>
    <row r="449" ht="13.5" customHeight="1">
      <c r="D449" s="12"/>
      <c r="E449" s="51"/>
      <c r="K449" s="51"/>
    </row>
    <row r="450" ht="13.5" customHeight="1">
      <c r="D450" s="12"/>
      <c r="E450" s="51"/>
      <c r="K450" s="51"/>
    </row>
    <row r="451" ht="13.5" customHeight="1">
      <c r="D451" s="12"/>
      <c r="E451" s="51"/>
      <c r="K451" s="51"/>
    </row>
    <row r="452" ht="13.5" customHeight="1">
      <c r="D452" s="12"/>
      <c r="E452" s="51"/>
      <c r="K452" s="51"/>
    </row>
    <row r="453" ht="13.5" customHeight="1">
      <c r="D453" s="12"/>
      <c r="E453" s="51"/>
      <c r="K453" s="51"/>
    </row>
    <row r="454" ht="13.5" customHeight="1">
      <c r="D454" s="12"/>
      <c r="E454" s="51"/>
      <c r="K454" s="51"/>
    </row>
    <row r="455" ht="13.5" customHeight="1">
      <c r="D455" s="12"/>
      <c r="E455" s="51"/>
      <c r="K455" s="51"/>
    </row>
    <row r="456" ht="13.5" customHeight="1">
      <c r="D456" s="12"/>
      <c r="E456" s="51"/>
      <c r="K456" s="51"/>
    </row>
    <row r="457" ht="13.5" customHeight="1">
      <c r="D457" s="12"/>
      <c r="E457" s="51"/>
      <c r="K457" s="51"/>
    </row>
    <row r="458" ht="13.5" customHeight="1">
      <c r="D458" s="12"/>
      <c r="E458" s="51"/>
      <c r="K458" s="51"/>
    </row>
    <row r="459" ht="13.5" customHeight="1">
      <c r="D459" s="12"/>
      <c r="E459" s="51"/>
      <c r="K459" s="51"/>
    </row>
    <row r="460" ht="13.5" customHeight="1">
      <c r="D460" s="12"/>
      <c r="E460" s="51"/>
      <c r="K460" s="51"/>
    </row>
    <row r="461" ht="13.5" customHeight="1">
      <c r="D461" s="12"/>
      <c r="E461" s="51"/>
      <c r="K461" s="51"/>
    </row>
    <row r="462" ht="13.5" customHeight="1">
      <c r="D462" s="12"/>
      <c r="E462" s="51"/>
      <c r="K462" s="51"/>
    </row>
    <row r="463" ht="13.5" customHeight="1">
      <c r="D463" s="12"/>
      <c r="E463" s="51"/>
      <c r="K463" s="51"/>
    </row>
    <row r="464" ht="13.5" customHeight="1">
      <c r="D464" s="12"/>
      <c r="E464" s="51"/>
      <c r="K464" s="51"/>
    </row>
    <row r="465" ht="13.5" customHeight="1">
      <c r="D465" s="12"/>
      <c r="E465" s="51"/>
      <c r="K465" s="51"/>
    </row>
    <row r="466" ht="13.5" customHeight="1">
      <c r="D466" s="12"/>
      <c r="E466" s="51"/>
      <c r="K466" s="51"/>
    </row>
    <row r="467" ht="13.5" customHeight="1">
      <c r="D467" s="12"/>
      <c r="E467" s="51"/>
      <c r="K467" s="51"/>
    </row>
    <row r="468" ht="13.5" customHeight="1">
      <c r="D468" s="12"/>
      <c r="E468" s="51"/>
      <c r="K468" s="51"/>
    </row>
    <row r="469" ht="13.5" customHeight="1">
      <c r="D469" s="12"/>
      <c r="E469" s="51"/>
      <c r="K469" s="51"/>
    </row>
    <row r="470" ht="13.5" customHeight="1">
      <c r="D470" s="12"/>
      <c r="E470" s="51"/>
      <c r="K470" s="51"/>
    </row>
    <row r="471" ht="13.5" customHeight="1">
      <c r="D471" s="12"/>
      <c r="E471" s="51"/>
      <c r="K471" s="51"/>
    </row>
    <row r="472" ht="13.5" customHeight="1">
      <c r="D472" s="12"/>
      <c r="E472" s="51"/>
      <c r="K472" s="51"/>
    </row>
    <row r="473" ht="13.5" customHeight="1">
      <c r="D473" s="12"/>
      <c r="E473" s="51"/>
      <c r="K473" s="51"/>
    </row>
    <row r="474" ht="13.5" customHeight="1">
      <c r="D474" s="12"/>
      <c r="E474" s="51"/>
      <c r="K474" s="51"/>
    </row>
    <row r="475" ht="13.5" customHeight="1">
      <c r="D475" s="12"/>
      <c r="E475" s="51"/>
      <c r="K475" s="51"/>
    </row>
    <row r="476" ht="13.5" customHeight="1">
      <c r="D476" s="12"/>
      <c r="E476" s="51"/>
      <c r="K476" s="51"/>
    </row>
    <row r="477" ht="13.5" customHeight="1">
      <c r="D477" s="12"/>
      <c r="E477" s="51"/>
      <c r="K477" s="51"/>
    </row>
    <row r="478" ht="13.5" customHeight="1">
      <c r="D478" s="12"/>
      <c r="E478" s="51"/>
      <c r="K478" s="51"/>
    </row>
    <row r="479" ht="13.5" customHeight="1">
      <c r="D479" s="12"/>
      <c r="E479" s="51"/>
      <c r="K479" s="51"/>
    </row>
    <row r="480" ht="13.5" customHeight="1">
      <c r="D480" s="12"/>
      <c r="E480" s="51"/>
      <c r="K480" s="51"/>
    </row>
    <row r="481" ht="13.5" customHeight="1">
      <c r="D481" s="12"/>
      <c r="E481" s="51"/>
      <c r="K481" s="51"/>
    </row>
    <row r="482" ht="13.5" customHeight="1">
      <c r="D482" s="12"/>
      <c r="E482" s="51"/>
      <c r="K482" s="51"/>
    </row>
    <row r="483" ht="13.5" customHeight="1">
      <c r="D483" s="12"/>
      <c r="E483" s="51"/>
      <c r="K483" s="51"/>
    </row>
    <row r="484" ht="13.5" customHeight="1">
      <c r="D484" s="12"/>
      <c r="E484" s="51"/>
      <c r="K484" s="51"/>
    </row>
    <row r="485" ht="13.5" customHeight="1">
      <c r="D485" s="12"/>
      <c r="E485" s="51"/>
      <c r="K485" s="51"/>
    </row>
    <row r="486" ht="13.5" customHeight="1">
      <c r="D486" s="12"/>
      <c r="E486" s="51"/>
      <c r="K486" s="51"/>
    </row>
    <row r="487" ht="13.5" customHeight="1">
      <c r="D487" s="12"/>
      <c r="E487" s="51"/>
      <c r="K487" s="51"/>
    </row>
    <row r="488" ht="13.5" customHeight="1">
      <c r="D488" s="12"/>
      <c r="E488" s="51"/>
      <c r="K488" s="51"/>
    </row>
    <row r="489" ht="13.5" customHeight="1">
      <c r="D489" s="12"/>
      <c r="E489" s="51"/>
      <c r="K489" s="51"/>
    </row>
    <row r="490" ht="13.5" customHeight="1">
      <c r="D490" s="12"/>
      <c r="E490" s="51"/>
      <c r="K490" s="51"/>
    </row>
    <row r="491" ht="13.5" customHeight="1">
      <c r="D491" s="12"/>
      <c r="E491" s="51"/>
      <c r="K491" s="51"/>
    </row>
    <row r="492" ht="13.5" customHeight="1">
      <c r="D492" s="12"/>
      <c r="E492" s="51"/>
      <c r="K492" s="51"/>
    </row>
    <row r="493" ht="13.5" customHeight="1">
      <c r="D493" s="12"/>
      <c r="E493" s="51"/>
      <c r="K493" s="51"/>
    </row>
    <row r="494" ht="13.5" customHeight="1">
      <c r="D494" s="12"/>
      <c r="E494" s="51"/>
      <c r="K494" s="51"/>
    </row>
    <row r="495" ht="13.5" customHeight="1">
      <c r="D495" s="12"/>
      <c r="E495" s="51"/>
      <c r="K495" s="51"/>
    </row>
    <row r="496" ht="13.5" customHeight="1">
      <c r="D496" s="12"/>
      <c r="E496" s="51"/>
      <c r="K496" s="51"/>
    </row>
    <row r="497" ht="13.5" customHeight="1">
      <c r="D497" s="12"/>
      <c r="E497" s="51"/>
      <c r="K497" s="51"/>
    </row>
    <row r="498" ht="13.5" customHeight="1">
      <c r="D498" s="12"/>
      <c r="E498" s="51"/>
      <c r="K498" s="51"/>
    </row>
    <row r="499" ht="13.5" customHeight="1">
      <c r="D499" s="12"/>
      <c r="E499" s="51"/>
      <c r="K499" s="51"/>
    </row>
    <row r="500" ht="13.5" customHeight="1">
      <c r="D500" s="12"/>
      <c r="E500" s="51"/>
      <c r="K500" s="51"/>
    </row>
    <row r="501" ht="13.5" customHeight="1">
      <c r="D501" s="12"/>
      <c r="E501" s="51"/>
      <c r="K501" s="51"/>
    </row>
    <row r="502" ht="13.5" customHeight="1">
      <c r="D502" s="12"/>
      <c r="E502" s="51"/>
      <c r="K502" s="51"/>
    </row>
    <row r="503" ht="13.5" customHeight="1">
      <c r="D503" s="12"/>
      <c r="E503" s="51"/>
      <c r="K503" s="51"/>
    </row>
    <row r="504" ht="13.5" customHeight="1">
      <c r="D504" s="12"/>
      <c r="E504" s="51"/>
      <c r="K504" s="51"/>
    </row>
    <row r="505" ht="13.5" customHeight="1">
      <c r="D505" s="12"/>
      <c r="E505" s="51"/>
      <c r="K505" s="51"/>
    </row>
    <row r="506" ht="13.5" customHeight="1">
      <c r="D506" s="12"/>
      <c r="E506" s="51"/>
      <c r="K506" s="51"/>
    </row>
    <row r="507" ht="13.5" customHeight="1">
      <c r="D507" s="12"/>
      <c r="E507" s="51"/>
      <c r="K507" s="51"/>
    </row>
    <row r="508" ht="13.5" customHeight="1">
      <c r="D508" s="12"/>
      <c r="E508" s="51"/>
      <c r="K508" s="51"/>
    </row>
    <row r="509" ht="13.5" customHeight="1">
      <c r="D509" s="12"/>
      <c r="E509" s="51"/>
      <c r="K509" s="51"/>
    </row>
    <row r="510" ht="13.5" customHeight="1">
      <c r="D510" s="12"/>
      <c r="E510" s="51"/>
      <c r="K510" s="51"/>
    </row>
    <row r="511" ht="13.5" customHeight="1">
      <c r="D511" s="12"/>
      <c r="E511" s="51"/>
      <c r="K511" s="51"/>
    </row>
    <row r="512" ht="13.5" customHeight="1">
      <c r="D512" s="12"/>
      <c r="E512" s="51"/>
      <c r="K512" s="51"/>
    </row>
    <row r="513" ht="13.5" customHeight="1">
      <c r="D513" s="12"/>
      <c r="E513" s="51"/>
      <c r="K513" s="51"/>
    </row>
    <row r="514" ht="13.5" customHeight="1">
      <c r="D514" s="12"/>
      <c r="E514" s="51"/>
      <c r="K514" s="51"/>
    </row>
    <row r="515" ht="13.5" customHeight="1">
      <c r="D515" s="12"/>
      <c r="E515" s="51"/>
      <c r="K515" s="51"/>
    </row>
    <row r="516" ht="13.5" customHeight="1">
      <c r="D516" s="12"/>
      <c r="E516" s="51"/>
      <c r="K516" s="51"/>
    </row>
    <row r="517" ht="13.5" customHeight="1">
      <c r="D517" s="12"/>
      <c r="E517" s="51"/>
      <c r="K517" s="51"/>
    </row>
    <row r="518" ht="13.5" customHeight="1">
      <c r="D518" s="12"/>
      <c r="E518" s="51"/>
      <c r="K518" s="51"/>
    </row>
    <row r="519" ht="13.5" customHeight="1">
      <c r="D519" s="12"/>
      <c r="E519" s="51"/>
      <c r="K519" s="51"/>
    </row>
    <row r="520" ht="13.5" customHeight="1">
      <c r="D520" s="12"/>
      <c r="E520" s="51"/>
      <c r="K520" s="51"/>
    </row>
    <row r="521" ht="13.5" customHeight="1">
      <c r="D521" s="12"/>
      <c r="E521" s="51"/>
      <c r="K521" s="51"/>
    </row>
    <row r="522" ht="13.5" customHeight="1">
      <c r="D522" s="12"/>
      <c r="E522" s="51"/>
      <c r="K522" s="51"/>
    </row>
    <row r="523" ht="13.5" customHeight="1">
      <c r="D523" s="12"/>
      <c r="E523" s="51"/>
      <c r="K523" s="51"/>
    </row>
    <row r="524" ht="13.5" customHeight="1">
      <c r="D524" s="12"/>
      <c r="E524" s="51"/>
      <c r="K524" s="51"/>
    </row>
    <row r="525" ht="13.5" customHeight="1">
      <c r="D525" s="12"/>
      <c r="E525" s="51"/>
      <c r="K525" s="51"/>
    </row>
    <row r="526" ht="13.5" customHeight="1">
      <c r="D526" s="12"/>
      <c r="E526" s="51"/>
      <c r="K526" s="51"/>
    </row>
    <row r="527" ht="13.5" customHeight="1">
      <c r="D527" s="12"/>
      <c r="E527" s="51"/>
      <c r="K527" s="51"/>
    </row>
    <row r="528" ht="13.5" customHeight="1">
      <c r="D528" s="12"/>
      <c r="E528" s="51"/>
      <c r="K528" s="51"/>
    </row>
    <row r="529" ht="13.5" customHeight="1">
      <c r="D529" s="12"/>
      <c r="E529" s="51"/>
      <c r="K529" s="51"/>
    </row>
    <row r="530" ht="13.5" customHeight="1">
      <c r="D530" s="12"/>
      <c r="E530" s="51"/>
      <c r="K530" s="51"/>
    </row>
    <row r="531" ht="13.5" customHeight="1">
      <c r="D531" s="12"/>
      <c r="E531" s="51"/>
      <c r="K531" s="51"/>
    </row>
    <row r="532" ht="13.5" customHeight="1">
      <c r="D532" s="12"/>
      <c r="E532" s="51"/>
      <c r="K532" s="51"/>
    </row>
    <row r="533" ht="13.5" customHeight="1">
      <c r="D533" s="12"/>
      <c r="E533" s="51"/>
      <c r="K533" s="51"/>
    </row>
    <row r="534" ht="13.5" customHeight="1">
      <c r="D534" s="12"/>
      <c r="E534" s="51"/>
      <c r="K534" s="51"/>
    </row>
    <row r="535" ht="13.5" customHeight="1">
      <c r="D535" s="12"/>
      <c r="E535" s="51"/>
      <c r="K535" s="51"/>
    </row>
    <row r="536" ht="13.5" customHeight="1">
      <c r="D536" s="12"/>
      <c r="E536" s="51"/>
      <c r="K536" s="51"/>
    </row>
    <row r="537" ht="13.5" customHeight="1">
      <c r="D537" s="12"/>
      <c r="E537" s="51"/>
      <c r="K537" s="51"/>
    </row>
    <row r="538" ht="13.5" customHeight="1">
      <c r="D538" s="12"/>
      <c r="E538" s="51"/>
      <c r="K538" s="51"/>
    </row>
    <row r="539" ht="13.5" customHeight="1">
      <c r="D539" s="12"/>
      <c r="E539" s="51"/>
      <c r="K539" s="51"/>
    </row>
    <row r="540" ht="13.5" customHeight="1">
      <c r="D540" s="12"/>
      <c r="E540" s="51"/>
      <c r="K540" s="51"/>
    </row>
    <row r="541" ht="13.5" customHeight="1">
      <c r="D541" s="12"/>
      <c r="E541" s="51"/>
      <c r="K541" s="51"/>
    </row>
    <row r="542" ht="13.5" customHeight="1">
      <c r="D542" s="12"/>
      <c r="E542" s="51"/>
      <c r="K542" s="51"/>
    </row>
    <row r="543" ht="13.5" customHeight="1">
      <c r="D543" s="12"/>
      <c r="E543" s="51"/>
      <c r="K543" s="51"/>
    </row>
    <row r="544" ht="13.5" customHeight="1">
      <c r="D544" s="12"/>
      <c r="E544" s="51"/>
      <c r="K544" s="51"/>
    </row>
    <row r="545" ht="13.5" customHeight="1">
      <c r="D545" s="12"/>
      <c r="E545" s="51"/>
      <c r="K545" s="51"/>
    </row>
    <row r="546" ht="13.5" customHeight="1">
      <c r="D546" s="12"/>
      <c r="E546" s="51"/>
      <c r="K546" s="51"/>
    </row>
    <row r="547" ht="13.5" customHeight="1">
      <c r="D547" s="12"/>
      <c r="E547" s="51"/>
      <c r="K547" s="51"/>
    </row>
    <row r="548" ht="13.5" customHeight="1">
      <c r="D548" s="12"/>
      <c r="E548" s="51"/>
      <c r="K548" s="51"/>
    </row>
    <row r="549" ht="13.5" customHeight="1">
      <c r="D549" s="12"/>
      <c r="E549" s="51"/>
      <c r="K549" s="51"/>
    </row>
    <row r="550" ht="13.5" customHeight="1">
      <c r="D550" s="12"/>
      <c r="E550" s="51"/>
      <c r="K550" s="51"/>
    </row>
    <row r="551" ht="13.5" customHeight="1">
      <c r="D551" s="12"/>
      <c r="E551" s="51"/>
      <c r="K551" s="51"/>
    </row>
    <row r="552" ht="13.5" customHeight="1">
      <c r="D552" s="12"/>
      <c r="E552" s="51"/>
      <c r="K552" s="51"/>
    </row>
    <row r="553" ht="13.5" customHeight="1">
      <c r="D553" s="12"/>
      <c r="E553" s="51"/>
      <c r="K553" s="51"/>
    </row>
    <row r="554" ht="13.5" customHeight="1">
      <c r="D554" s="12"/>
      <c r="E554" s="51"/>
      <c r="K554" s="51"/>
    </row>
    <row r="555" ht="13.5" customHeight="1">
      <c r="D555" s="12"/>
      <c r="E555" s="51"/>
      <c r="K555" s="51"/>
    </row>
    <row r="556" ht="13.5" customHeight="1">
      <c r="D556" s="12"/>
      <c r="E556" s="51"/>
      <c r="K556" s="51"/>
    </row>
    <row r="557" ht="13.5" customHeight="1">
      <c r="D557" s="12"/>
      <c r="E557" s="51"/>
      <c r="K557" s="51"/>
    </row>
    <row r="558" ht="13.5" customHeight="1">
      <c r="D558" s="12"/>
      <c r="E558" s="51"/>
      <c r="K558" s="51"/>
    </row>
    <row r="559" ht="13.5" customHeight="1">
      <c r="D559" s="12"/>
      <c r="E559" s="51"/>
      <c r="K559" s="51"/>
    </row>
    <row r="560" ht="13.5" customHeight="1">
      <c r="D560" s="12"/>
      <c r="E560" s="51"/>
      <c r="K560" s="51"/>
    </row>
    <row r="561" ht="13.5" customHeight="1">
      <c r="D561" s="12"/>
      <c r="E561" s="51"/>
      <c r="K561" s="51"/>
    </row>
    <row r="562" ht="13.5" customHeight="1">
      <c r="D562" s="12"/>
      <c r="E562" s="51"/>
      <c r="K562" s="51"/>
    </row>
    <row r="563" ht="13.5" customHeight="1">
      <c r="D563" s="12"/>
      <c r="E563" s="51"/>
      <c r="K563" s="51"/>
    </row>
    <row r="564" ht="13.5" customHeight="1">
      <c r="D564" s="12"/>
      <c r="E564" s="51"/>
      <c r="K564" s="51"/>
    </row>
    <row r="565" ht="13.5" customHeight="1">
      <c r="D565" s="12"/>
      <c r="E565" s="51"/>
      <c r="K565" s="51"/>
    </row>
    <row r="566" ht="13.5" customHeight="1">
      <c r="D566" s="12"/>
      <c r="E566" s="51"/>
      <c r="K566" s="51"/>
    </row>
    <row r="567" ht="13.5" customHeight="1">
      <c r="D567" s="12"/>
      <c r="E567" s="51"/>
      <c r="K567" s="51"/>
    </row>
    <row r="568" ht="13.5" customHeight="1">
      <c r="D568" s="12"/>
      <c r="E568" s="51"/>
      <c r="K568" s="51"/>
    </row>
    <row r="569" ht="13.5" customHeight="1">
      <c r="D569" s="12"/>
      <c r="E569" s="51"/>
      <c r="K569" s="51"/>
    </row>
    <row r="570" ht="13.5" customHeight="1">
      <c r="D570" s="12"/>
      <c r="E570" s="51"/>
      <c r="K570" s="51"/>
    </row>
    <row r="571" ht="13.5" customHeight="1">
      <c r="D571" s="12"/>
      <c r="E571" s="51"/>
      <c r="K571" s="51"/>
    </row>
    <row r="572" ht="13.5" customHeight="1">
      <c r="D572" s="12"/>
      <c r="E572" s="51"/>
      <c r="K572" s="51"/>
    </row>
    <row r="573" ht="13.5" customHeight="1">
      <c r="D573" s="12"/>
      <c r="E573" s="51"/>
      <c r="K573" s="51"/>
    </row>
    <row r="574" ht="13.5" customHeight="1">
      <c r="D574" s="12"/>
      <c r="E574" s="51"/>
      <c r="K574" s="51"/>
    </row>
    <row r="575" ht="13.5" customHeight="1">
      <c r="D575" s="12"/>
      <c r="E575" s="51"/>
      <c r="K575" s="51"/>
    </row>
    <row r="576" ht="13.5" customHeight="1">
      <c r="D576" s="12"/>
      <c r="E576" s="51"/>
      <c r="K576" s="51"/>
    </row>
    <row r="577" ht="13.5" customHeight="1">
      <c r="D577" s="12"/>
      <c r="E577" s="51"/>
      <c r="K577" s="51"/>
    </row>
    <row r="578" ht="13.5" customHeight="1">
      <c r="D578" s="12"/>
      <c r="E578" s="51"/>
      <c r="K578" s="51"/>
    </row>
    <row r="579" ht="13.5" customHeight="1">
      <c r="D579" s="12"/>
      <c r="E579" s="51"/>
      <c r="K579" s="51"/>
    </row>
    <row r="580" ht="13.5" customHeight="1">
      <c r="D580" s="12"/>
      <c r="E580" s="51"/>
      <c r="K580" s="51"/>
    </row>
    <row r="581" ht="13.5" customHeight="1">
      <c r="D581" s="12"/>
      <c r="E581" s="51"/>
      <c r="K581" s="51"/>
    </row>
    <row r="582" ht="13.5" customHeight="1">
      <c r="D582" s="12"/>
      <c r="E582" s="51"/>
      <c r="K582" s="51"/>
    </row>
    <row r="583" ht="13.5" customHeight="1">
      <c r="D583" s="12"/>
      <c r="E583" s="51"/>
      <c r="K583" s="51"/>
    </row>
    <row r="584" ht="13.5" customHeight="1">
      <c r="D584" s="12"/>
      <c r="E584" s="51"/>
      <c r="K584" s="51"/>
    </row>
    <row r="585" ht="13.5" customHeight="1">
      <c r="D585" s="12"/>
      <c r="E585" s="51"/>
      <c r="K585" s="51"/>
    </row>
    <row r="586" ht="13.5" customHeight="1">
      <c r="D586" s="12"/>
      <c r="E586" s="51"/>
      <c r="K586" s="51"/>
    </row>
    <row r="587" ht="13.5" customHeight="1">
      <c r="D587" s="12"/>
      <c r="E587" s="51"/>
      <c r="K587" s="51"/>
    </row>
    <row r="588" ht="13.5" customHeight="1">
      <c r="D588" s="12"/>
      <c r="E588" s="51"/>
      <c r="K588" s="51"/>
    </row>
    <row r="589" ht="13.5" customHeight="1">
      <c r="D589" s="12"/>
      <c r="E589" s="51"/>
      <c r="K589" s="51"/>
    </row>
    <row r="590" ht="13.5" customHeight="1">
      <c r="D590" s="12"/>
      <c r="E590" s="51"/>
      <c r="K590" s="51"/>
    </row>
    <row r="591" ht="13.5" customHeight="1">
      <c r="D591" s="12"/>
      <c r="E591" s="51"/>
      <c r="K591" s="51"/>
    </row>
    <row r="592" ht="13.5" customHeight="1">
      <c r="D592" s="12"/>
      <c r="E592" s="51"/>
      <c r="K592" s="51"/>
    </row>
    <row r="593" ht="13.5" customHeight="1">
      <c r="D593" s="12"/>
      <c r="E593" s="51"/>
      <c r="K593" s="51"/>
    </row>
    <row r="594" ht="13.5" customHeight="1">
      <c r="D594" s="12"/>
      <c r="E594" s="51"/>
      <c r="K594" s="51"/>
    </row>
    <row r="595" ht="13.5" customHeight="1">
      <c r="D595" s="12"/>
      <c r="E595" s="51"/>
      <c r="K595" s="51"/>
    </row>
    <row r="596" ht="13.5" customHeight="1">
      <c r="D596" s="12"/>
      <c r="E596" s="51"/>
      <c r="K596" s="51"/>
    </row>
    <row r="597" ht="13.5" customHeight="1">
      <c r="D597" s="12"/>
      <c r="E597" s="51"/>
      <c r="K597" s="51"/>
    </row>
    <row r="598" ht="13.5" customHeight="1">
      <c r="D598" s="12"/>
      <c r="E598" s="51"/>
      <c r="K598" s="51"/>
    </row>
    <row r="599" ht="13.5" customHeight="1">
      <c r="D599" s="12"/>
      <c r="E599" s="51"/>
      <c r="K599" s="51"/>
    </row>
    <row r="600" ht="13.5" customHeight="1">
      <c r="D600" s="12"/>
      <c r="E600" s="51"/>
      <c r="K600" s="51"/>
    </row>
    <row r="601" ht="13.5" customHeight="1">
      <c r="D601" s="12"/>
      <c r="E601" s="51"/>
      <c r="K601" s="51"/>
    </row>
    <row r="602" ht="13.5" customHeight="1">
      <c r="D602" s="12"/>
      <c r="E602" s="51"/>
      <c r="K602" s="51"/>
    </row>
    <row r="603" ht="13.5" customHeight="1">
      <c r="D603" s="12"/>
      <c r="E603" s="51"/>
      <c r="K603" s="51"/>
    </row>
    <row r="604" ht="13.5" customHeight="1">
      <c r="D604" s="12"/>
      <c r="E604" s="51"/>
      <c r="K604" s="51"/>
    </row>
    <row r="605" ht="13.5" customHeight="1">
      <c r="D605" s="12"/>
      <c r="E605" s="51"/>
      <c r="K605" s="51"/>
    </row>
    <row r="606" ht="13.5" customHeight="1">
      <c r="D606" s="12"/>
      <c r="E606" s="51"/>
      <c r="K606" s="51"/>
    </row>
    <row r="607" ht="13.5" customHeight="1">
      <c r="D607" s="12"/>
      <c r="E607" s="51"/>
      <c r="K607" s="51"/>
    </row>
    <row r="608" ht="13.5" customHeight="1">
      <c r="D608" s="12"/>
      <c r="E608" s="51"/>
      <c r="K608" s="51"/>
    </row>
    <row r="609" ht="13.5" customHeight="1">
      <c r="D609" s="12"/>
      <c r="E609" s="51"/>
      <c r="K609" s="51"/>
    </row>
    <row r="610" ht="13.5" customHeight="1">
      <c r="D610" s="12"/>
      <c r="E610" s="51"/>
      <c r="K610" s="51"/>
    </row>
    <row r="611" ht="13.5" customHeight="1">
      <c r="D611" s="12"/>
      <c r="E611" s="51"/>
      <c r="K611" s="51"/>
    </row>
    <row r="612" ht="13.5" customHeight="1">
      <c r="D612" s="12"/>
      <c r="E612" s="51"/>
      <c r="K612" s="51"/>
    </row>
    <row r="613" ht="13.5" customHeight="1">
      <c r="D613" s="12"/>
      <c r="E613" s="51"/>
      <c r="K613" s="51"/>
    </row>
    <row r="614" ht="13.5" customHeight="1">
      <c r="D614" s="12"/>
      <c r="E614" s="51"/>
      <c r="K614" s="51"/>
    </row>
    <row r="615" ht="13.5" customHeight="1">
      <c r="D615" s="12"/>
      <c r="E615" s="51"/>
      <c r="K615" s="51"/>
    </row>
    <row r="616" ht="13.5" customHeight="1">
      <c r="D616" s="12"/>
      <c r="E616" s="51"/>
      <c r="K616" s="51"/>
    </row>
    <row r="617" ht="13.5" customHeight="1">
      <c r="D617" s="12"/>
      <c r="E617" s="51"/>
      <c r="K617" s="51"/>
    </row>
    <row r="618" ht="13.5" customHeight="1">
      <c r="D618" s="12"/>
      <c r="E618" s="51"/>
      <c r="K618" s="51"/>
    </row>
    <row r="619" ht="13.5" customHeight="1">
      <c r="D619" s="12"/>
      <c r="E619" s="51"/>
      <c r="K619" s="51"/>
    </row>
    <row r="620" ht="13.5" customHeight="1">
      <c r="D620" s="12"/>
      <c r="E620" s="51"/>
      <c r="K620" s="51"/>
    </row>
    <row r="621" ht="13.5" customHeight="1">
      <c r="D621" s="12"/>
      <c r="E621" s="51"/>
      <c r="K621" s="51"/>
    </row>
    <row r="622" ht="13.5" customHeight="1">
      <c r="D622" s="12"/>
      <c r="E622" s="51"/>
      <c r="K622" s="51"/>
    </row>
    <row r="623" ht="13.5" customHeight="1">
      <c r="D623" s="12"/>
      <c r="E623" s="51"/>
      <c r="K623" s="51"/>
    </row>
    <row r="624" ht="13.5" customHeight="1">
      <c r="D624" s="12"/>
      <c r="E624" s="51"/>
      <c r="K624" s="51"/>
    </row>
    <row r="625" ht="13.5" customHeight="1">
      <c r="D625" s="12"/>
      <c r="E625" s="51"/>
      <c r="K625" s="51"/>
    </row>
    <row r="626" ht="13.5" customHeight="1">
      <c r="D626" s="12"/>
      <c r="E626" s="51"/>
      <c r="K626" s="51"/>
    </row>
    <row r="627" ht="13.5" customHeight="1">
      <c r="D627" s="12"/>
      <c r="E627" s="51"/>
      <c r="K627" s="51"/>
    </row>
    <row r="628" ht="13.5" customHeight="1">
      <c r="D628" s="12"/>
      <c r="E628" s="51"/>
      <c r="K628" s="51"/>
    </row>
    <row r="629" ht="13.5" customHeight="1">
      <c r="D629" s="12"/>
      <c r="E629" s="51"/>
      <c r="K629" s="51"/>
    </row>
    <row r="630" ht="13.5" customHeight="1">
      <c r="D630" s="12"/>
      <c r="E630" s="51"/>
      <c r="K630" s="51"/>
    </row>
    <row r="631" ht="13.5" customHeight="1">
      <c r="D631" s="12"/>
      <c r="E631" s="51"/>
      <c r="K631" s="51"/>
    </row>
    <row r="632" ht="13.5" customHeight="1">
      <c r="D632" s="12"/>
      <c r="E632" s="51"/>
      <c r="K632" s="51"/>
    </row>
    <row r="633" ht="13.5" customHeight="1">
      <c r="D633" s="12"/>
      <c r="E633" s="51"/>
      <c r="K633" s="51"/>
    </row>
    <row r="634" ht="13.5" customHeight="1">
      <c r="D634" s="12"/>
      <c r="E634" s="51"/>
      <c r="K634" s="51"/>
    </row>
    <row r="635" ht="13.5" customHeight="1">
      <c r="D635" s="12"/>
      <c r="E635" s="51"/>
      <c r="K635" s="51"/>
    </row>
    <row r="636" ht="13.5" customHeight="1">
      <c r="D636" s="12"/>
      <c r="E636" s="51"/>
      <c r="K636" s="51"/>
    </row>
    <row r="637" ht="13.5" customHeight="1">
      <c r="D637" s="12"/>
      <c r="E637" s="51"/>
      <c r="K637" s="51"/>
    </row>
    <row r="638" ht="13.5" customHeight="1">
      <c r="D638" s="12"/>
      <c r="E638" s="51"/>
      <c r="K638" s="51"/>
    </row>
    <row r="639" ht="13.5" customHeight="1">
      <c r="D639" s="12"/>
      <c r="E639" s="51"/>
      <c r="K639" s="51"/>
    </row>
    <row r="640" ht="13.5" customHeight="1">
      <c r="D640" s="12"/>
      <c r="E640" s="51"/>
      <c r="K640" s="51"/>
    </row>
    <row r="641" ht="13.5" customHeight="1">
      <c r="D641" s="12"/>
      <c r="E641" s="51"/>
      <c r="K641" s="51"/>
    </row>
    <row r="642" ht="13.5" customHeight="1">
      <c r="D642" s="12"/>
      <c r="E642" s="51"/>
      <c r="K642" s="51"/>
    </row>
    <row r="643" ht="13.5" customHeight="1">
      <c r="D643" s="12"/>
      <c r="E643" s="51"/>
      <c r="K643" s="51"/>
    </row>
    <row r="644" ht="13.5" customHeight="1">
      <c r="D644" s="12"/>
      <c r="E644" s="51"/>
      <c r="K644" s="51"/>
    </row>
    <row r="645" ht="13.5" customHeight="1">
      <c r="D645" s="12"/>
      <c r="E645" s="51"/>
      <c r="K645" s="51"/>
    </row>
    <row r="646" ht="13.5" customHeight="1">
      <c r="D646" s="12"/>
      <c r="E646" s="51"/>
      <c r="K646" s="51"/>
    </row>
    <row r="647" ht="13.5" customHeight="1">
      <c r="D647" s="12"/>
      <c r="E647" s="51"/>
      <c r="K647" s="51"/>
    </row>
    <row r="648" ht="13.5" customHeight="1">
      <c r="D648" s="12"/>
      <c r="E648" s="51"/>
      <c r="K648" s="51"/>
    </row>
    <row r="649" ht="13.5" customHeight="1">
      <c r="D649" s="12"/>
      <c r="E649" s="51"/>
      <c r="K649" s="51"/>
    </row>
    <row r="650" ht="13.5" customHeight="1">
      <c r="D650" s="12"/>
      <c r="E650" s="51"/>
      <c r="K650" s="51"/>
    </row>
    <row r="651" ht="13.5" customHeight="1">
      <c r="D651" s="12"/>
      <c r="E651" s="51"/>
      <c r="K651" s="51"/>
    </row>
    <row r="652" ht="13.5" customHeight="1">
      <c r="D652" s="12"/>
      <c r="E652" s="51"/>
      <c r="K652" s="51"/>
    </row>
    <row r="653" ht="13.5" customHeight="1">
      <c r="D653" s="12"/>
      <c r="E653" s="51"/>
      <c r="K653" s="51"/>
    </row>
    <row r="654" ht="13.5" customHeight="1">
      <c r="D654" s="12"/>
      <c r="E654" s="51"/>
      <c r="K654" s="51"/>
    </row>
    <row r="655" ht="13.5" customHeight="1">
      <c r="D655" s="12"/>
      <c r="E655" s="51"/>
      <c r="K655" s="51"/>
    </row>
    <row r="656" ht="13.5" customHeight="1">
      <c r="D656" s="12"/>
      <c r="E656" s="51"/>
      <c r="K656" s="51"/>
    </row>
    <row r="657" ht="13.5" customHeight="1">
      <c r="D657" s="12"/>
      <c r="E657" s="51"/>
      <c r="K657" s="51"/>
    </row>
    <row r="658" ht="13.5" customHeight="1">
      <c r="D658" s="12"/>
      <c r="E658" s="51"/>
      <c r="K658" s="51"/>
    </row>
    <row r="659" ht="13.5" customHeight="1">
      <c r="D659" s="12"/>
      <c r="E659" s="51"/>
      <c r="K659" s="51"/>
    </row>
    <row r="660" ht="13.5" customHeight="1">
      <c r="D660" s="12"/>
      <c r="E660" s="51"/>
      <c r="K660" s="51"/>
    </row>
    <row r="661" ht="13.5" customHeight="1">
      <c r="D661" s="12"/>
      <c r="E661" s="51"/>
      <c r="K661" s="51"/>
    </row>
    <row r="662" ht="13.5" customHeight="1">
      <c r="D662" s="12"/>
      <c r="E662" s="51"/>
      <c r="K662" s="51"/>
    </row>
    <row r="663" ht="13.5" customHeight="1">
      <c r="D663" s="12"/>
      <c r="E663" s="51"/>
      <c r="K663" s="51"/>
    </row>
    <row r="664" ht="13.5" customHeight="1">
      <c r="D664" s="12"/>
      <c r="E664" s="51"/>
      <c r="K664" s="51"/>
    </row>
    <row r="665" ht="13.5" customHeight="1">
      <c r="D665" s="12"/>
      <c r="E665" s="51"/>
      <c r="K665" s="51"/>
    </row>
    <row r="666" ht="13.5" customHeight="1">
      <c r="D666" s="12"/>
      <c r="E666" s="51"/>
      <c r="K666" s="51"/>
    </row>
    <row r="667" ht="13.5" customHeight="1">
      <c r="D667" s="12"/>
      <c r="E667" s="51"/>
      <c r="K667" s="51"/>
    </row>
    <row r="668" ht="13.5" customHeight="1">
      <c r="D668" s="12"/>
      <c r="E668" s="51"/>
      <c r="K668" s="51"/>
    </row>
    <row r="669" ht="13.5" customHeight="1">
      <c r="D669" s="12"/>
      <c r="E669" s="51"/>
      <c r="K669" s="51"/>
    </row>
    <row r="670" ht="13.5" customHeight="1">
      <c r="D670" s="12"/>
      <c r="E670" s="51"/>
      <c r="K670" s="51"/>
    </row>
    <row r="671" ht="13.5" customHeight="1">
      <c r="D671" s="12"/>
      <c r="E671" s="51"/>
      <c r="K671" s="51"/>
    </row>
    <row r="672" ht="13.5" customHeight="1">
      <c r="D672" s="12"/>
      <c r="E672" s="51"/>
      <c r="K672" s="51"/>
    </row>
    <row r="673" ht="13.5" customHeight="1">
      <c r="D673" s="12"/>
      <c r="E673" s="51"/>
      <c r="K673" s="51"/>
    </row>
    <row r="674" ht="13.5" customHeight="1">
      <c r="D674" s="12"/>
      <c r="E674" s="51"/>
      <c r="K674" s="51"/>
    </row>
    <row r="675" ht="13.5" customHeight="1">
      <c r="D675" s="12"/>
      <c r="E675" s="51"/>
      <c r="K675" s="51"/>
    </row>
    <row r="676" ht="13.5" customHeight="1">
      <c r="D676" s="12"/>
      <c r="E676" s="51"/>
      <c r="K676" s="51"/>
    </row>
    <row r="677" ht="13.5" customHeight="1">
      <c r="D677" s="12"/>
      <c r="E677" s="51"/>
      <c r="K677" s="51"/>
    </row>
    <row r="678" ht="13.5" customHeight="1">
      <c r="D678" s="12"/>
      <c r="E678" s="51"/>
      <c r="K678" s="51"/>
    </row>
    <row r="679" ht="13.5" customHeight="1">
      <c r="D679" s="12"/>
      <c r="E679" s="51"/>
      <c r="K679" s="51"/>
    </row>
    <row r="680" ht="13.5" customHeight="1">
      <c r="D680" s="12"/>
      <c r="E680" s="51"/>
      <c r="K680" s="51"/>
    </row>
    <row r="681" ht="13.5" customHeight="1">
      <c r="D681" s="12"/>
      <c r="E681" s="51"/>
      <c r="K681" s="51"/>
    </row>
    <row r="682" ht="13.5" customHeight="1">
      <c r="D682" s="12"/>
      <c r="E682" s="51"/>
      <c r="K682" s="51"/>
    </row>
    <row r="683" ht="13.5" customHeight="1">
      <c r="D683" s="12"/>
      <c r="E683" s="51"/>
      <c r="K683" s="51"/>
    </row>
    <row r="684" ht="13.5" customHeight="1">
      <c r="D684" s="12"/>
      <c r="E684" s="51"/>
      <c r="K684" s="51"/>
    </row>
    <row r="685" ht="13.5" customHeight="1">
      <c r="D685" s="12"/>
      <c r="E685" s="51"/>
      <c r="K685" s="51"/>
    </row>
    <row r="686" ht="13.5" customHeight="1">
      <c r="D686" s="12"/>
      <c r="E686" s="51"/>
      <c r="K686" s="51"/>
    </row>
    <row r="687" ht="13.5" customHeight="1">
      <c r="D687" s="12"/>
      <c r="E687" s="51"/>
      <c r="K687" s="51"/>
    </row>
    <row r="688" ht="13.5" customHeight="1">
      <c r="D688" s="12"/>
      <c r="E688" s="51"/>
      <c r="K688" s="51"/>
    </row>
    <row r="689" ht="13.5" customHeight="1">
      <c r="D689" s="12"/>
      <c r="E689" s="51"/>
      <c r="K689" s="51"/>
    </row>
    <row r="690" ht="13.5" customHeight="1">
      <c r="D690" s="12"/>
      <c r="E690" s="51"/>
      <c r="K690" s="51"/>
    </row>
    <row r="691" ht="13.5" customHeight="1">
      <c r="D691" s="12"/>
      <c r="E691" s="51"/>
      <c r="K691" s="51"/>
    </row>
    <row r="692" ht="13.5" customHeight="1">
      <c r="D692" s="12"/>
      <c r="E692" s="51"/>
      <c r="K692" s="51"/>
    </row>
    <row r="693" ht="13.5" customHeight="1">
      <c r="D693" s="12"/>
      <c r="E693" s="51"/>
      <c r="K693" s="51"/>
    </row>
    <row r="694" ht="13.5" customHeight="1">
      <c r="D694" s="12"/>
      <c r="E694" s="51"/>
      <c r="K694" s="51"/>
    </row>
    <row r="695" ht="13.5" customHeight="1">
      <c r="D695" s="12"/>
      <c r="E695" s="51"/>
      <c r="K695" s="51"/>
    </row>
    <row r="696" ht="13.5" customHeight="1">
      <c r="D696" s="12"/>
      <c r="E696" s="51"/>
      <c r="K696" s="51"/>
    </row>
    <row r="697" ht="13.5" customHeight="1">
      <c r="D697" s="12"/>
      <c r="E697" s="51"/>
      <c r="K697" s="51"/>
    </row>
    <row r="698" ht="13.5" customHeight="1">
      <c r="D698" s="12"/>
      <c r="E698" s="51"/>
      <c r="K698" s="51"/>
    </row>
    <row r="699" ht="13.5" customHeight="1">
      <c r="D699" s="12"/>
      <c r="E699" s="51"/>
      <c r="K699" s="51"/>
    </row>
    <row r="700" ht="13.5" customHeight="1">
      <c r="D700" s="12"/>
      <c r="E700" s="51"/>
      <c r="K700" s="51"/>
    </row>
    <row r="701" ht="13.5" customHeight="1">
      <c r="D701" s="12"/>
      <c r="E701" s="51"/>
      <c r="K701" s="51"/>
    </row>
    <row r="702" ht="13.5" customHeight="1">
      <c r="D702" s="12"/>
      <c r="E702" s="51"/>
      <c r="K702" s="51"/>
    </row>
    <row r="703" ht="13.5" customHeight="1">
      <c r="D703" s="12"/>
      <c r="E703" s="51"/>
      <c r="K703" s="51"/>
    </row>
    <row r="704" ht="13.5" customHeight="1">
      <c r="D704" s="12"/>
      <c r="E704" s="51"/>
      <c r="K704" s="51"/>
    </row>
    <row r="705" ht="13.5" customHeight="1">
      <c r="D705" s="12"/>
      <c r="E705" s="51"/>
      <c r="K705" s="51"/>
    </row>
    <row r="706" ht="13.5" customHeight="1">
      <c r="D706" s="12"/>
      <c r="E706" s="51"/>
      <c r="K706" s="51"/>
    </row>
    <row r="707" ht="13.5" customHeight="1">
      <c r="D707" s="12"/>
      <c r="E707" s="51"/>
      <c r="K707" s="51"/>
    </row>
    <row r="708" ht="13.5" customHeight="1">
      <c r="D708" s="12"/>
      <c r="E708" s="51"/>
      <c r="K708" s="51"/>
    </row>
    <row r="709" ht="13.5" customHeight="1">
      <c r="D709" s="12"/>
      <c r="E709" s="51"/>
      <c r="K709" s="51"/>
    </row>
    <row r="710" ht="13.5" customHeight="1">
      <c r="D710" s="12"/>
      <c r="E710" s="51"/>
      <c r="K710" s="51"/>
    </row>
    <row r="711" ht="13.5" customHeight="1">
      <c r="D711" s="12"/>
      <c r="E711" s="51"/>
      <c r="K711" s="51"/>
    </row>
    <row r="712" ht="13.5" customHeight="1">
      <c r="D712" s="12"/>
      <c r="E712" s="51"/>
      <c r="K712" s="51"/>
    </row>
    <row r="713" ht="13.5" customHeight="1">
      <c r="D713" s="12"/>
      <c r="E713" s="51"/>
      <c r="K713" s="51"/>
    </row>
    <row r="714" ht="13.5" customHeight="1">
      <c r="D714" s="12"/>
      <c r="E714" s="51"/>
      <c r="K714" s="51"/>
    </row>
    <row r="715" ht="13.5" customHeight="1">
      <c r="D715" s="12"/>
      <c r="E715" s="51"/>
      <c r="K715" s="51"/>
    </row>
    <row r="716" ht="13.5" customHeight="1">
      <c r="D716" s="12"/>
      <c r="E716" s="51"/>
      <c r="K716" s="51"/>
    </row>
    <row r="717" ht="13.5" customHeight="1">
      <c r="D717" s="12"/>
      <c r="E717" s="51"/>
      <c r="K717" s="51"/>
    </row>
    <row r="718" ht="13.5" customHeight="1">
      <c r="D718" s="12"/>
      <c r="E718" s="51"/>
      <c r="K718" s="51"/>
    </row>
    <row r="719" ht="13.5" customHeight="1">
      <c r="D719" s="12"/>
      <c r="E719" s="51"/>
      <c r="K719" s="51"/>
    </row>
    <row r="720" ht="13.5" customHeight="1">
      <c r="D720" s="12"/>
      <c r="E720" s="51"/>
      <c r="K720" s="51"/>
    </row>
    <row r="721" ht="13.5" customHeight="1">
      <c r="D721" s="12"/>
      <c r="E721" s="51"/>
      <c r="K721" s="51"/>
    </row>
    <row r="722" ht="13.5" customHeight="1">
      <c r="D722" s="12"/>
      <c r="E722" s="51"/>
      <c r="K722" s="51"/>
    </row>
    <row r="723" ht="13.5" customHeight="1">
      <c r="D723" s="12"/>
      <c r="E723" s="51"/>
      <c r="K723" s="51"/>
    </row>
    <row r="724" ht="13.5" customHeight="1">
      <c r="D724" s="12"/>
      <c r="E724" s="51"/>
      <c r="K724" s="51"/>
    </row>
    <row r="725" ht="13.5" customHeight="1">
      <c r="D725" s="12"/>
      <c r="E725" s="51"/>
      <c r="K725" s="51"/>
    </row>
    <row r="726" ht="13.5" customHeight="1">
      <c r="D726" s="12"/>
      <c r="E726" s="51"/>
      <c r="K726" s="51"/>
    </row>
    <row r="727" ht="13.5" customHeight="1">
      <c r="D727" s="12"/>
      <c r="E727" s="51"/>
      <c r="K727" s="51"/>
    </row>
    <row r="728" ht="13.5" customHeight="1">
      <c r="D728" s="12"/>
      <c r="E728" s="51"/>
      <c r="K728" s="51"/>
    </row>
    <row r="729" ht="13.5" customHeight="1">
      <c r="D729" s="12"/>
      <c r="E729" s="51"/>
      <c r="K729" s="51"/>
    </row>
    <row r="730" ht="13.5" customHeight="1">
      <c r="D730" s="12"/>
      <c r="E730" s="51"/>
      <c r="K730" s="51"/>
    </row>
    <row r="731" ht="13.5" customHeight="1">
      <c r="D731" s="12"/>
      <c r="E731" s="51"/>
      <c r="K731" s="51"/>
    </row>
    <row r="732" ht="13.5" customHeight="1">
      <c r="D732" s="12"/>
      <c r="E732" s="51"/>
      <c r="K732" s="51"/>
    </row>
    <row r="733" ht="13.5" customHeight="1">
      <c r="D733" s="12"/>
      <c r="E733" s="51"/>
      <c r="K733" s="51"/>
    </row>
    <row r="734" ht="13.5" customHeight="1">
      <c r="D734" s="12"/>
      <c r="E734" s="51"/>
      <c r="K734" s="51"/>
    </row>
    <row r="735" ht="13.5" customHeight="1">
      <c r="D735" s="12"/>
      <c r="E735" s="51"/>
      <c r="K735" s="51"/>
    </row>
    <row r="736" ht="13.5" customHeight="1">
      <c r="D736" s="12"/>
      <c r="E736" s="51"/>
      <c r="K736" s="51"/>
    </row>
    <row r="737" ht="13.5" customHeight="1">
      <c r="D737" s="12"/>
      <c r="E737" s="51"/>
      <c r="K737" s="51"/>
    </row>
    <row r="738" ht="13.5" customHeight="1">
      <c r="D738" s="12"/>
      <c r="E738" s="51"/>
      <c r="K738" s="51"/>
    </row>
    <row r="739" ht="13.5" customHeight="1">
      <c r="D739" s="12"/>
      <c r="E739" s="51"/>
      <c r="K739" s="51"/>
    </row>
    <row r="740" ht="13.5" customHeight="1">
      <c r="D740" s="12"/>
      <c r="E740" s="51"/>
      <c r="K740" s="51"/>
    </row>
    <row r="741" ht="13.5" customHeight="1">
      <c r="D741" s="12"/>
      <c r="E741" s="51"/>
      <c r="K741" s="51"/>
    </row>
    <row r="742" ht="13.5" customHeight="1">
      <c r="D742" s="12"/>
      <c r="E742" s="51"/>
      <c r="K742" s="51"/>
    </row>
    <row r="743" ht="13.5" customHeight="1">
      <c r="D743" s="12"/>
      <c r="E743" s="51"/>
      <c r="K743" s="51"/>
    </row>
    <row r="744" ht="13.5" customHeight="1">
      <c r="D744" s="12"/>
      <c r="E744" s="51"/>
      <c r="K744" s="51"/>
    </row>
    <row r="745" ht="13.5" customHeight="1">
      <c r="D745" s="12"/>
      <c r="E745" s="51"/>
      <c r="K745" s="51"/>
    </row>
    <row r="746" ht="13.5" customHeight="1">
      <c r="D746" s="12"/>
      <c r="E746" s="51"/>
      <c r="K746" s="51"/>
    </row>
    <row r="747" ht="13.5" customHeight="1">
      <c r="D747" s="12"/>
      <c r="E747" s="51"/>
      <c r="K747" s="51"/>
    </row>
    <row r="748" ht="13.5" customHeight="1">
      <c r="D748" s="12"/>
      <c r="E748" s="51"/>
      <c r="K748" s="51"/>
    </row>
    <row r="749" ht="13.5" customHeight="1">
      <c r="D749" s="12"/>
      <c r="E749" s="51"/>
      <c r="K749" s="51"/>
    </row>
    <row r="750" ht="13.5" customHeight="1">
      <c r="D750" s="12"/>
      <c r="E750" s="51"/>
      <c r="K750" s="51"/>
    </row>
    <row r="751" ht="13.5" customHeight="1">
      <c r="D751" s="12"/>
      <c r="E751" s="51"/>
      <c r="K751" s="51"/>
    </row>
    <row r="752" ht="13.5" customHeight="1">
      <c r="D752" s="12"/>
      <c r="E752" s="51"/>
      <c r="K752" s="51"/>
    </row>
    <row r="753" ht="13.5" customHeight="1">
      <c r="D753" s="12"/>
      <c r="E753" s="51"/>
      <c r="K753" s="51"/>
    </row>
    <row r="754" ht="13.5" customHeight="1">
      <c r="D754" s="12"/>
      <c r="E754" s="51"/>
      <c r="K754" s="51"/>
    </row>
    <row r="755" ht="13.5" customHeight="1">
      <c r="D755" s="12"/>
      <c r="E755" s="51"/>
      <c r="K755" s="51"/>
    </row>
    <row r="756" ht="13.5" customHeight="1">
      <c r="D756" s="12"/>
      <c r="E756" s="51"/>
      <c r="K756" s="51"/>
    </row>
    <row r="757" ht="13.5" customHeight="1">
      <c r="D757" s="12"/>
      <c r="E757" s="51"/>
      <c r="K757" s="51"/>
    </row>
    <row r="758" ht="13.5" customHeight="1">
      <c r="D758" s="12"/>
      <c r="E758" s="51"/>
      <c r="K758" s="51"/>
    </row>
    <row r="759" ht="13.5" customHeight="1">
      <c r="D759" s="12"/>
      <c r="E759" s="51"/>
      <c r="K759" s="51"/>
    </row>
    <row r="760" ht="13.5" customHeight="1">
      <c r="D760" s="12"/>
      <c r="E760" s="51"/>
      <c r="K760" s="51"/>
    </row>
    <row r="761" ht="13.5" customHeight="1">
      <c r="D761" s="12"/>
      <c r="E761" s="51"/>
      <c r="K761" s="51"/>
    </row>
    <row r="762" ht="13.5" customHeight="1">
      <c r="D762" s="12"/>
      <c r="E762" s="51"/>
      <c r="K762" s="51"/>
    </row>
    <row r="763" ht="13.5" customHeight="1">
      <c r="D763" s="12"/>
      <c r="E763" s="51"/>
      <c r="K763" s="51"/>
    </row>
    <row r="764" ht="13.5" customHeight="1">
      <c r="D764" s="12"/>
      <c r="E764" s="51"/>
      <c r="K764" s="51"/>
    </row>
    <row r="765" ht="13.5" customHeight="1">
      <c r="D765" s="12"/>
      <c r="E765" s="51"/>
      <c r="K765" s="51"/>
    </row>
    <row r="766" ht="13.5" customHeight="1">
      <c r="D766" s="12"/>
      <c r="E766" s="51"/>
      <c r="K766" s="51"/>
    </row>
    <row r="767" ht="13.5" customHeight="1">
      <c r="D767" s="12"/>
      <c r="E767" s="51"/>
      <c r="K767" s="51"/>
    </row>
    <row r="768" ht="13.5" customHeight="1">
      <c r="D768" s="12"/>
      <c r="E768" s="51"/>
      <c r="K768" s="51"/>
    </row>
    <row r="769" ht="13.5" customHeight="1">
      <c r="D769" s="12"/>
      <c r="E769" s="51"/>
      <c r="K769" s="51"/>
    </row>
    <row r="770" ht="13.5" customHeight="1">
      <c r="D770" s="12"/>
      <c r="E770" s="51"/>
      <c r="K770" s="51"/>
    </row>
    <row r="771" ht="13.5" customHeight="1">
      <c r="D771" s="12"/>
      <c r="E771" s="51"/>
      <c r="K771" s="51"/>
    </row>
    <row r="772" ht="13.5" customHeight="1">
      <c r="D772" s="12"/>
      <c r="E772" s="51"/>
      <c r="K772" s="51"/>
    </row>
    <row r="773" ht="13.5" customHeight="1">
      <c r="D773" s="12"/>
      <c r="E773" s="51"/>
      <c r="K773" s="51"/>
    </row>
    <row r="774" ht="13.5" customHeight="1">
      <c r="D774" s="12"/>
      <c r="E774" s="51"/>
      <c r="K774" s="51"/>
    </row>
    <row r="775" ht="13.5" customHeight="1">
      <c r="D775" s="12"/>
      <c r="E775" s="51"/>
      <c r="K775" s="51"/>
    </row>
    <row r="776" ht="13.5" customHeight="1">
      <c r="D776" s="12"/>
      <c r="E776" s="51"/>
      <c r="K776" s="51"/>
    </row>
    <row r="777" ht="13.5" customHeight="1">
      <c r="D777" s="12"/>
      <c r="E777" s="51"/>
      <c r="K777" s="51"/>
    </row>
    <row r="778" ht="13.5" customHeight="1">
      <c r="D778" s="12"/>
      <c r="E778" s="51"/>
      <c r="K778" s="51"/>
    </row>
    <row r="779" ht="13.5" customHeight="1">
      <c r="D779" s="12"/>
      <c r="E779" s="51"/>
      <c r="K779" s="51"/>
    </row>
    <row r="780" ht="13.5" customHeight="1">
      <c r="D780" s="12"/>
      <c r="E780" s="51"/>
      <c r="K780" s="51"/>
    </row>
    <row r="781" ht="13.5" customHeight="1">
      <c r="D781" s="12"/>
      <c r="E781" s="51"/>
      <c r="K781" s="51"/>
    </row>
    <row r="782" ht="13.5" customHeight="1">
      <c r="D782" s="12"/>
      <c r="E782" s="51"/>
      <c r="K782" s="51"/>
    </row>
    <row r="783" ht="13.5" customHeight="1">
      <c r="D783" s="12"/>
      <c r="E783" s="51"/>
      <c r="K783" s="51"/>
    </row>
    <row r="784" ht="13.5" customHeight="1">
      <c r="D784" s="12"/>
      <c r="E784" s="51"/>
      <c r="K784" s="51"/>
    </row>
    <row r="785" ht="13.5" customHeight="1">
      <c r="D785" s="12"/>
      <c r="E785" s="51"/>
      <c r="K785" s="51"/>
    </row>
    <row r="786" ht="13.5" customHeight="1">
      <c r="D786" s="12"/>
      <c r="E786" s="51"/>
      <c r="K786" s="51"/>
    </row>
    <row r="787" ht="13.5" customHeight="1">
      <c r="D787" s="12"/>
      <c r="E787" s="51"/>
      <c r="K787" s="51"/>
    </row>
    <row r="788" ht="13.5" customHeight="1">
      <c r="D788" s="12"/>
      <c r="E788" s="51"/>
      <c r="K788" s="51"/>
    </row>
    <row r="789" ht="13.5" customHeight="1">
      <c r="D789" s="12"/>
      <c r="E789" s="51"/>
      <c r="K789" s="51"/>
    </row>
    <row r="790" ht="13.5" customHeight="1">
      <c r="D790" s="12"/>
      <c r="E790" s="51"/>
      <c r="K790" s="51"/>
    </row>
    <row r="791" ht="13.5" customHeight="1">
      <c r="D791" s="12"/>
      <c r="E791" s="51"/>
      <c r="K791" s="51"/>
    </row>
    <row r="792" ht="13.5" customHeight="1">
      <c r="D792" s="12"/>
      <c r="E792" s="51"/>
      <c r="K792" s="51"/>
    </row>
    <row r="793" ht="13.5" customHeight="1">
      <c r="D793" s="12"/>
      <c r="E793" s="51"/>
      <c r="K793" s="51"/>
    </row>
    <row r="794" ht="13.5" customHeight="1">
      <c r="D794" s="12"/>
      <c r="E794" s="51"/>
      <c r="K794" s="51"/>
    </row>
    <row r="795" ht="13.5" customHeight="1">
      <c r="D795" s="12"/>
      <c r="E795" s="51"/>
      <c r="K795" s="51"/>
    </row>
    <row r="796" ht="13.5" customHeight="1">
      <c r="D796" s="12"/>
      <c r="E796" s="51"/>
      <c r="K796" s="51"/>
    </row>
    <row r="797" ht="13.5" customHeight="1">
      <c r="D797" s="12"/>
      <c r="E797" s="51"/>
      <c r="K797" s="51"/>
    </row>
    <row r="798" ht="13.5" customHeight="1">
      <c r="D798" s="12"/>
      <c r="E798" s="51"/>
      <c r="K798" s="51"/>
    </row>
    <row r="799" ht="13.5" customHeight="1">
      <c r="D799" s="12"/>
      <c r="E799" s="51"/>
      <c r="K799" s="51"/>
    </row>
    <row r="800" ht="13.5" customHeight="1">
      <c r="D800" s="12"/>
      <c r="E800" s="51"/>
      <c r="K800" s="51"/>
    </row>
    <row r="801" ht="13.5" customHeight="1">
      <c r="D801" s="12"/>
      <c r="E801" s="51"/>
      <c r="K801" s="51"/>
    </row>
    <row r="802" ht="13.5" customHeight="1">
      <c r="D802" s="12"/>
      <c r="E802" s="51"/>
      <c r="K802" s="51"/>
    </row>
    <row r="803" ht="13.5" customHeight="1">
      <c r="D803" s="12"/>
      <c r="E803" s="51"/>
      <c r="K803" s="51"/>
    </row>
    <row r="804" ht="13.5" customHeight="1">
      <c r="D804" s="12"/>
      <c r="E804" s="51"/>
      <c r="K804" s="51"/>
    </row>
    <row r="805" ht="13.5" customHeight="1">
      <c r="D805" s="12"/>
      <c r="E805" s="51"/>
      <c r="K805" s="51"/>
    </row>
    <row r="806" ht="13.5" customHeight="1">
      <c r="D806" s="12"/>
      <c r="E806" s="51"/>
      <c r="K806" s="51"/>
    </row>
    <row r="807" ht="13.5" customHeight="1">
      <c r="D807" s="12"/>
      <c r="E807" s="51"/>
      <c r="K807" s="51"/>
    </row>
    <row r="808" ht="13.5" customHeight="1">
      <c r="D808" s="12"/>
      <c r="E808" s="51"/>
      <c r="K808" s="51"/>
    </row>
    <row r="809" ht="13.5" customHeight="1">
      <c r="D809" s="12"/>
      <c r="E809" s="51"/>
      <c r="K809" s="51"/>
    </row>
    <row r="810" ht="13.5" customHeight="1">
      <c r="D810" s="12"/>
      <c r="E810" s="51"/>
      <c r="K810" s="51"/>
    </row>
    <row r="811" ht="13.5" customHeight="1">
      <c r="D811" s="12"/>
      <c r="E811" s="51"/>
      <c r="K811" s="51"/>
    </row>
    <row r="812" ht="13.5" customHeight="1">
      <c r="D812" s="12"/>
      <c r="E812" s="51"/>
      <c r="K812" s="51"/>
    </row>
    <row r="813" ht="13.5" customHeight="1">
      <c r="D813" s="12"/>
      <c r="E813" s="51"/>
      <c r="K813" s="51"/>
    </row>
    <row r="814" ht="13.5" customHeight="1">
      <c r="D814" s="12"/>
      <c r="E814" s="51"/>
      <c r="K814" s="51"/>
    </row>
    <row r="815" ht="13.5" customHeight="1">
      <c r="D815" s="12"/>
      <c r="E815" s="51"/>
      <c r="K815" s="51"/>
    </row>
    <row r="816" ht="13.5" customHeight="1">
      <c r="D816" s="12"/>
      <c r="E816" s="51"/>
      <c r="K816" s="51"/>
    </row>
    <row r="817" ht="13.5" customHeight="1">
      <c r="D817" s="12"/>
      <c r="E817" s="51"/>
      <c r="K817" s="51"/>
    </row>
    <row r="818" ht="13.5" customHeight="1">
      <c r="D818" s="12"/>
      <c r="E818" s="51"/>
      <c r="K818" s="51"/>
    </row>
    <row r="819" ht="13.5" customHeight="1">
      <c r="D819" s="12"/>
      <c r="E819" s="51"/>
      <c r="K819" s="51"/>
    </row>
    <row r="820" ht="13.5" customHeight="1">
      <c r="D820" s="12"/>
      <c r="E820" s="51"/>
      <c r="K820" s="51"/>
    </row>
    <row r="821" ht="13.5" customHeight="1">
      <c r="D821" s="12"/>
      <c r="E821" s="51"/>
      <c r="K821" s="51"/>
    </row>
    <row r="822" ht="13.5" customHeight="1">
      <c r="D822" s="12"/>
      <c r="E822" s="51"/>
      <c r="K822" s="51"/>
    </row>
    <row r="823" ht="13.5" customHeight="1">
      <c r="D823" s="12"/>
      <c r="E823" s="51"/>
      <c r="K823" s="51"/>
    </row>
    <row r="824" ht="13.5" customHeight="1">
      <c r="D824" s="12"/>
      <c r="E824" s="51"/>
      <c r="K824" s="51"/>
    </row>
    <row r="825" ht="13.5" customHeight="1">
      <c r="D825" s="12"/>
      <c r="E825" s="51"/>
      <c r="K825" s="51"/>
    </row>
    <row r="826" ht="13.5" customHeight="1">
      <c r="D826" s="12"/>
      <c r="E826" s="51"/>
      <c r="K826" s="51"/>
    </row>
    <row r="827" ht="13.5" customHeight="1">
      <c r="D827" s="12"/>
      <c r="E827" s="51"/>
      <c r="K827" s="51"/>
    </row>
    <row r="828" ht="13.5" customHeight="1">
      <c r="D828" s="12"/>
      <c r="E828" s="51"/>
      <c r="K828" s="51"/>
    </row>
    <row r="829" ht="13.5" customHeight="1">
      <c r="D829" s="12"/>
      <c r="E829" s="51"/>
      <c r="K829" s="51"/>
    </row>
    <row r="830" ht="13.5" customHeight="1">
      <c r="D830" s="12"/>
      <c r="E830" s="51"/>
      <c r="K830" s="51"/>
    </row>
    <row r="831" ht="13.5" customHeight="1">
      <c r="D831" s="12"/>
      <c r="E831" s="51"/>
      <c r="K831" s="51"/>
    </row>
    <row r="832" ht="13.5" customHeight="1">
      <c r="D832" s="12"/>
      <c r="E832" s="51"/>
      <c r="K832" s="51"/>
    </row>
    <row r="833" ht="13.5" customHeight="1">
      <c r="D833" s="12"/>
      <c r="E833" s="51"/>
      <c r="K833" s="51"/>
    </row>
    <row r="834" ht="13.5" customHeight="1">
      <c r="D834" s="12"/>
      <c r="E834" s="51"/>
      <c r="K834" s="51"/>
    </row>
    <row r="835" ht="13.5" customHeight="1">
      <c r="D835" s="12"/>
      <c r="E835" s="51"/>
      <c r="K835" s="51"/>
    </row>
    <row r="836" ht="13.5" customHeight="1">
      <c r="D836" s="12"/>
      <c r="E836" s="51"/>
      <c r="K836" s="51"/>
    </row>
    <row r="837" ht="13.5" customHeight="1">
      <c r="D837" s="12"/>
      <c r="E837" s="51"/>
      <c r="K837" s="51"/>
    </row>
    <row r="838" ht="13.5" customHeight="1">
      <c r="D838" s="12"/>
      <c r="E838" s="51"/>
      <c r="K838" s="51"/>
    </row>
    <row r="839" ht="13.5" customHeight="1">
      <c r="D839" s="12"/>
      <c r="E839" s="51"/>
      <c r="K839" s="51"/>
    </row>
    <row r="840" ht="13.5" customHeight="1">
      <c r="D840" s="12"/>
      <c r="E840" s="51"/>
      <c r="K840" s="51"/>
    </row>
    <row r="841" ht="13.5" customHeight="1">
      <c r="D841" s="12"/>
      <c r="E841" s="51"/>
      <c r="K841" s="51"/>
    </row>
    <row r="842" ht="13.5" customHeight="1">
      <c r="D842" s="12"/>
      <c r="E842" s="51"/>
      <c r="K842" s="51"/>
    </row>
    <row r="843" ht="13.5" customHeight="1">
      <c r="D843" s="12"/>
      <c r="E843" s="51"/>
      <c r="K843" s="51"/>
    </row>
    <row r="844" ht="13.5" customHeight="1">
      <c r="D844" s="12"/>
      <c r="E844" s="51"/>
      <c r="K844" s="51"/>
    </row>
    <row r="845" ht="13.5" customHeight="1">
      <c r="D845" s="12"/>
      <c r="E845" s="51"/>
      <c r="K845" s="51"/>
    </row>
    <row r="846" ht="13.5" customHeight="1">
      <c r="D846" s="12"/>
      <c r="E846" s="51"/>
      <c r="K846" s="51"/>
    </row>
    <row r="847" ht="13.5" customHeight="1">
      <c r="D847" s="12"/>
      <c r="E847" s="51"/>
      <c r="K847" s="51"/>
    </row>
    <row r="848" ht="13.5" customHeight="1">
      <c r="D848" s="12"/>
      <c r="E848" s="51"/>
      <c r="K848" s="51"/>
    </row>
    <row r="849" ht="13.5" customHeight="1">
      <c r="D849" s="12"/>
      <c r="E849" s="51"/>
      <c r="K849" s="51"/>
    </row>
    <row r="850" ht="13.5" customHeight="1">
      <c r="D850" s="12"/>
      <c r="E850" s="51"/>
      <c r="K850" s="51"/>
    </row>
    <row r="851" ht="13.5" customHeight="1">
      <c r="D851" s="12"/>
      <c r="E851" s="51"/>
      <c r="K851" s="51"/>
    </row>
    <row r="852" ht="13.5" customHeight="1">
      <c r="D852" s="12"/>
      <c r="E852" s="51"/>
      <c r="K852" s="51"/>
    </row>
    <row r="853" ht="13.5" customHeight="1">
      <c r="D853" s="12"/>
      <c r="E853" s="51"/>
      <c r="K853" s="51"/>
    </row>
    <row r="854" ht="13.5" customHeight="1">
      <c r="D854" s="12"/>
      <c r="E854" s="51"/>
      <c r="K854" s="51"/>
    </row>
    <row r="855" ht="13.5" customHeight="1">
      <c r="D855" s="12"/>
      <c r="E855" s="51"/>
      <c r="K855" s="51"/>
    </row>
    <row r="856" ht="13.5" customHeight="1">
      <c r="D856" s="12"/>
      <c r="E856" s="51"/>
      <c r="K856" s="51"/>
    </row>
    <row r="857" ht="13.5" customHeight="1">
      <c r="D857" s="12"/>
      <c r="E857" s="51"/>
      <c r="K857" s="51"/>
    </row>
    <row r="858" ht="13.5" customHeight="1">
      <c r="D858" s="12"/>
      <c r="E858" s="51"/>
      <c r="K858" s="51"/>
    </row>
    <row r="859" ht="13.5" customHeight="1">
      <c r="D859" s="12"/>
      <c r="E859" s="51"/>
      <c r="K859" s="51"/>
    </row>
    <row r="860" ht="13.5" customHeight="1">
      <c r="D860" s="12"/>
      <c r="E860" s="51"/>
      <c r="K860" s="51"/>
    </row>
    <row r="861" ht="13.5" customHeight="1">
      <c r="D861" s="12"/>
      <c r="E861" s="51"/>
      <c r="K861" s="51"/>
    </row>
    <row r="862" ht="13.5" customHeight="1">
      <c r="D862" s="12"/>
      <c r="E862" s="51"/>
      <c r="K862" s="51"/>
    </row>
    <row r="863" ht="13.5" customHeight="1">
      <c r="D863" s="12"/>
      <c r="E863" s="51"/>
      <c r="K863" s="51"/>
    </row>
    <row r="864" ht="13.5" customHeight="1">
      <c r="D864" s="12"/>
      <c r="E864" s="51"/>
      <c r="K864" s="51"/>
    </row>
    <row r="865" ht="13.5" customHeight="1">
      <c r="D865" s="12"/>
      <c r="E865" s="51"/>
      <c r="K865" s="51"/>
    </row>
    <row r="866" ht="13.5" customHeight="1">
      <c r="D866" s="12"/>
      <c r="E866" s="51"/>
      <c r="K866" s="51"/>
    </row>
    <row r="867" ht="13.5" customHeight="1">
      <c r="D867" s="12"/>
      <c r="E867" s="51"/>
      <c r="K867" s="51"/>
    </row>
    <row r="868" ht="13.5" customHeight="1">
      <c r="D868" s="12"/>
      <c r="E868" s="51"/>
      <c r="K868" s="51"/>
    </row>
    <row r="869" ht="13.5" customHeight="1">
      <c r="D869" s="12"/>
      <c r="E869" s="51"/>
      <c r="K869" s="51"/>
    </row>
    <row r="870" ht="13.5" customHeight="1">
      <c r="D870" s="12"/>
      <c r="E870" s="51"/>
      <c r="K870" s="51"/>
    </row>
    <row r="871" ht="13.5" customHeight="1">
      <c r="D871" s="12"/>
      <c r="E871" s="51"/>
      <c r="K871" s="51"/>
    </row>
    <row r="872" ht="13.5" customHeight="1">
      <c r="D872" s="12"/>
      <c r="E872" s="51"/>
      <c r="K872" s="51"/>
    </row>
    <row r="873" ht="13.5" customHeight="1">
      <c r="D873" s="12"/>
      <c r="E873" s="51"/>
      <c r="K873" s="51"/>
    </row>
    <row r="874" ht="13.5" customHeight="1">
      <c r="D874" s="12"/>
      <c r="E874" s="51"/>
      <c r="K874" s="51"/>
    </row>
    <row r="875" ht="13.5" customHeight="1">
      <c r="D875" s="12"/>
      <c r="E875" s="51"/>
      <c r="K875" s="51"/>
    </row>
    <row r="876" ht="13.5" customHeight="1">
      <c r="D876" s="12"/>
      <c r="E876" s="51"/>
      <c r="K876" s="51"/>
    </row>
    <row r="877" ht="13.5" customHeight="1">
      <c r="D877" s="12"/>
      <c r="E877" s="51"/>
      <c r="K877" s="51"/>
    </row>
    <row r="878" ht="13.5" customHeight="1">
      <c r="D878" s="12"/>
      <c r="E878" s="51"/>
      <c r="K878" s="51"/>
    </row>
    <row r="879" ht="13.5" customHeight="1">
      <c r="D879" s="12"/>
      <c r="E879" s="51"/>
      <c r="K879" s="51"/>
    </row>
    <row r="880" ht="13.5" customHeight="1">
      <c r="D880" s="12"/>
      <c r="E880" s="51"/>
      <c r="K880" s="51"/>
    </row>
    <row r="881" ht="13.5" customHeight="1">
      <c r="D881" s="12"/>
      <c r="E881" s="51"/>
      <c r="K881" s="51"/>
    </row>
    <row r="882" ht="13.5" customHeight="1">
      <c r="D882" s="12"/>
      <c r="E882" s="51"/>
      <c r="K882" s="51"/>
    </row>
    <row r="883" ht="13.5" customHeight="1">
      <c r="D883" s="12"/>
      <c r="E883" s="51"/>
      <c r="K883" s="51"/>
    </row>
    <row r="884" ht="13.5" customHeight="1">
      <c r="D884" s="12"/>
      <c r="E884" s="51"/>
      <c r="K884" s="51"/>
    </row>
    <row r="885" ht="13.5" customHeight="1">
      <c r="D885" s="12"/>
      <c r="E885" s="51"/>
      <c r="K885" s="51"/>
    </row>
    <row r="886" ht="13.5" customHeight="1">
      <c r="D886" s="12"/>
      <c r="E886" s="51"/>
      <c r="K886" s="51"/>
    </row>
    <row r="887" ht="13.5" customHeight="1">
      <c r="D887" s="12"/>
      <c r="E887" s="51"/>
      <c r="K887" s="51"/>
    </row>
    <row r="888" ht="13.5" customHeight="1">
      <c r="D888" s="12"/>
      <c r="E888" s="51"/>
      <c r="K888" s="51"/>
    </row>
    <row r="889" ht="13.5" customHeight="1">
      <c r="D889" s="12"/>
      <c r="E889" s="51"/>
      <c r="K889" s="51"/>
    </row>
    <row r="890" ht="13.5" customHeight="1">
      <c r="D890" s="12"/>
      <c r="E890" s="51"/>
      <c r="K890" s="51"/>
    </row>
    <row r="891" ht="13.5" customHeight="1">
      <c r="D891" s="12"/>
      <c r="E891" s="51"/>
      <c r="K891" s="51"/>
    </row>
    <row r="892" ht="13.5" customHeight="1">
      <c r="D892" s="12"/>
      <c r="E892" s="51"/>
      <c r="K892" s="51"/>
    </row>
    <row r="893" ht="13.5" customHeight="1">
      <c r="D893" s="12"/>
      <c r="E893" s="51"/>
      <c r="K893" s="51"/>
    </row>
    <row r="894" ht="13.5" customHeight="1">
      <c r="D894" s="12"/>
      <c r="E894" s="51"/>
      <c r="K894" s="51"/>
    </row>
    <row r="895" ht="13.5" customHeight="1">
      <c r="D895" s="12"/>
      <c r="E895" s="51"/>
      <c r="K895" s="51"/>
    </row>
    <row r="896" ht="13.5" customHeight="1">
      <c r="D896" s="12"/>
      <c r="E896" s="51"/>
      <c r="K896" s="51"/>
    </row>
    <row r="897" ht="13.5" customHeight="1">
      <c r="D897" s="12"/>
      <c r="E897" s="51"/>
      <c r="K897" s="51"/>
    </row>
    <row r="898" ht="13.5" customHeight="1">
      <c r="D898" s="12"/>
      <c r="E898" s="51"/>
      <c r="K898" s="51"/>
    </row>
    <row r="899" ht="13.5" customHeight="1">
      <c r="D899" s="12"/>
      <c r="E899" s="51"/>
      <c r="K899" s="51"/>
    </row>
    <row r="900" ht="13.5" customHeight="1">
      <c r="D900" s="12"/>
      <c r="E900" s="51"/>
      <c r="K900" s="51"/>
    </row>
    <row r="901" ht="13.5" customHeight="1">
      <c r="D901" s="12"/>
      <c r="E901" s="51"/>
      <c r="K901" s="51"/>
    </row>
    <row r="902" ht="13.5" customHeight="1">
      <c r="D902" s="12"/>
      <c r="E902" s="51"/>
      <c r="K902" s="51"/>
    </row>
    <row r="903" ht="13.5" customHeight="1">
      <c r="D903" s="12"/>
      <c r="E903" s="51"/>
      <c r="K903" s="51"/>
    </row>
    <row r="904" ht="13.5" customHeight="1">
      <c r="D904" s="12"/>
      <c r="E904" s="51"/>
      <c r="K904" s="51"/>
    </row>
    <row r="905" ht="13.5" customHeight="1">
      <c r="D905" s="12"/>
      <c r="E905" s="51"/>
      <c r="K905" s="51"/>
    </row>
    <row r="906" ht="13.5" customHeight="1">
      <c r="D906" s="12"/>
      <c r="E906" s="51"/>
      <c r="K906" s="51"/>
    </row>
    <row r="907" ht="13.5" customHeight="1">
      <c r="D907" s="12"/>
      <c r="E907" s="51"/>
      <c r="K907" s="51"/>
    </row>
    <row r="908" ht="13.5" customHeight="1">
      <c r="D908" s="12"/>
      <c r="E908" s="51"/>
      <c r="K908" s="51"/>
    </row>
    <row r="909" ht="13.5" customHeight="1">
      <c r="D909" s="12"/>
      <c r="E909" s="51"/>
      <c r="K909" s="51"/>
    </row>
    <row r="910" ht="13.5" customHeight="1">
      <c r="D910" s="12"/>
      <c r="E910" s="51"/>
      <c r="K910" s="51"/>
    </row>
    <row r="911" ht="13.5" customHeight="1">
      <c r="D911" s="12"/>
      <c r="E911" s="51"/>
      <c r="K911" s="51"/>
    </row>
    <row r="912" ht="13.5" customHeight="1">
      <c r="D912" s="12"/>
      <c r="E912" s="51"/>
      <c r="K912" s="51"/>
    </row>
    <row r="913" ht="13.5" customHeight="1">
      <c r="D913" s="12"/>
      <c r="E913" s="51"/>
      <c r="K913" s="51"/>
    </row>
    <row r="914" ht="13.5" customHeight="1">
      <c r="D914" s="12"/>
      <c r="E914" s="51"/>
      <c r="K914" s="51"/>
    </row>
    <row r="915" ht="13.5" customHeight="1">
      <c r="D915" s="12"/>
      <c r="E915" s="51"/>
      <c r="K915" s="51"/>
    </row>
    <row r="916" ht="13.5" customHeight="1">
      <c r="D916" s="12"/>
      <c r="E916" s="51"/>
      <c r="K916" s="51"/>
    </row>
    <row r="917" ht="13.5" customHeight="1">
      <c r="D917" s="12"/>
      <c r="E917" s="51"/>
      <c r="K917" s="51"/>
    </row>
    <row r="918" ht="13.5" customHeight="1">
      <c r="D918" s="12"/>
      <c r="E918" s="51"/>
      <c r="K918" s="51"/>
    </row>
    <row r="919" ht="13.5" customHeight="1">
      <c r="D919" s="12"/>
      <c r="E919" s="51"/>
      <c r="K919" s="51"/>
    </row>
    <row r="920" ht="13.5" customHeight="1">
      <c r="D920" s="12"/>
      <c r="E920" s="51"/>
      <c r="K920" s="51"/>
    </row>
    <row r="921" ht="13.5" customHeight="1">
      <c r="D921" s="12"/>
      <c r="E921" s="51"/>
      <c r="K921" s="51"/>
    </row>
    <row r="922" ht="13.5" customHeight="1">
      <c r="D922" s="12"/>
      <c r="E922" s="51"/>
      <c r="K922" s="51"/>
    </row>
    <row r="923" ht="13.5" customHeight="1">
      <c r="D923" s="12"/>
      <c r="E923" s="51"/>
      <c r="K923" s="51"/>
    </row>
    <row r="924" ht="13.5" customHeight="1">
      <c r="D924" s="12"/>
      <c r="E924" s="51"/>
      <c r="K924" s="51"/>
    </row>
    <row r="925" ht="13.5" customHeight="1">
      <c r="D925" s="12"/>
      <c r="E925" s="51"/>
      <c r="K925" s="51"/>
    </row>
    <row r="926" ht="13.5" customHeight="1">
      <c r="D926" s="12"/>
      <c r="E926" s="51"/>
      <c r="K926" s="51"/>
    </row>
    <row r="927" ht="13.5" customHeight="1">
      <c r="D927" s="12"/>
      <c r="E927" s="51"/>
      <c r="K927" s="51"/>
    </row>
    <row r="928" ht="13.5" customHeight="1">
      <c r="D928" s="12"/>
      <c r="E928" s="51"/>
      <c r="K928" s="51"/>
    </row>
    <row r="929" ht="13.5" customHeight="1">
      <c r="D929" s="12"/>
      <c r="E929" s="51"/>
      <c r="K929" s="51"/>
    </row>
    <row r="930" ht="13.5" customHeight="1">
      <c r="D930" s="12"/>
      <c r="E930" s="51"/>
      <c r="K930" s="51"/>
    </row>
    <row r="931" ht="13.5" customHeight="1">
      <c r="D931" s="12"/>
      <c r="E931" s="51"/>
      <c r="K931" s="51"/>
    </row>
    <row r="932" ht="13.5" customHeight="1">
      <c r="D932" s="12"/>
      <c r="E932" s="51"/>
      <c r="K932" s="51"/>
    </row>
    <row r="933" ht="13.5" customHeight="1">
      <c r="D933" s="12"/>
      <c r="E933" s="51"/>
      <c r="K933" s="51"/>
    </row>
    <row r="934" ht="13.5" customHeight="1">
      <c r="D934" s="12"/>
      <c r="E934" s="51"/>
      <c r="K934" s="51"/>
    </row>
    <row r="935" ht="13.5" customHeight="1">
      <c r="D935" s="12"/>
      <c r="E935" s="51"/>
      <c r="K935" s="51"/>
    </row>
    <row r="936" ht="13.5" customHeight="1">
      <c r="D936" s="12"/>
      <c r="E936" s="51"/>
      <c r="K936" s="51"/>
    </row>
    <row r="937" ht="13.5" customHeight="1">
      <c r="D937" s="12"/>
      <c r="E937" s="51"/>
      <c r="K937" s="51"/>
    </row>
    <row r="938" ht="13.5" customHeight="1">
      <c r="D938" s="12"/>
      <c r="E938" s="51"/>
      <c r="K938" s="51"/>
    </row>
    <row r="939" ht="13.5" customHeight="1">
      <c r="D939" s="12"/>
      <c r="E939" s="51"/>
      <c r="K939" s="51"/>
    </row>
    <row r="940" ht="13.5" customHeight="1">
      <c r="D940" s="12"/>
      <c r="E940" s="51"/>
      <c r="K940" s="51"/>
    </row>
    <row r="941" ht="13.5" customHeight="1">
      <c r="D941" s="12"/>
      <c r="E941" s="51"/>
      <c r="K941" s="51"/>
    </row>
    <row r="942" ht="13.5" customHeight="1">
      <c r="D942" s="12"/>
      <c r="E942" s="51"/>
      <c r="K942" s="51"/>
    </row>
    <row r="943" ht="13.5" customHeight="1">
      <c r="D943" s="12"/>
      <c r="E943" s="51"/>
      <c r="K943" s="51"/>
    </row>
    <row r="944" ht="13.5" customHeight="1">
      <c r="D944" s="12"/>
      <c r="E944" s="51"/>
      <c r="K944" s="51"/>
    </row>
    <row r="945" ht="13.5" customHeight="1">
      <c r="D945" s="12"/>
      <c r="E945" s="51"/>
      <c r="K945" s="51"/>
    </row>
    <row r="946" ht="13.5" customHeight="1">
      <c r="D946" s="12"/>
      <c r="E946" s="51"/>
      <c r="K946" s="51"/>
    </row>
    <row r="947" ht="13.5" customHeight="1">
      <c r="D947" s="12"/>
      <c r="E947" s="51"/>
      <c r="K947" s="51"/>
    </row>
    <row r="948" ht="13.5" customHeight="1">
      <c r="D948" s="12"/>
      <c r="E948" s="51"/>
      <c r="K948" s="51"/>
    </row>
    <row r="949" ht="13.5" customHeight="1">
      <c r="D949" s="12"/>
      <c r="E949" s="51"/>
      <c r="K949" s="51"/>
    </row>
    <row r="950" ht="13.5" customHeight="1">
      <c r="D950" s="12"/>
      <c r="E950" s="51"/>
      <c r="K950" s="51"/>
    </row>
    <row r="951" ht="13.5" customHeight="1">
      <c r="D951" s="12"/>
      <c r="E951" s="51"/>
      <c r="K951" s="51"/>
    </row>
    <row r="952" ht="13.5" customHeight="1">
      <c r="D952" s="12"/>
      <c r="E952" s="51"/>
      <c r="K952" s="51"/>
    </row>
    <row r="953" ht="13.5" customHeight="1">
      <c r="D953" s="12"/>
      <c r="E953" s="51"/>
      <c r="K953" s="51"/>
    </row>
    <row r="954" ht="13.5" customHeight="1">
      <c r="D954" s="12"/>
      <c r="E954" s="51"/>
      <c r="K954" s="51"/>
    </row>
    <row r="955" ht="13.5" customHeight="1">
      <c r="D955" s="12"/>
      <c r="E955" s="51"/>
      <c r="K955" s="51"/>
    </row>
    <row r="956" ht="13.5" customHeight="1">
      <c r="D956" s="12"/>
      <c r="E956" s="51"/>
      <c r="K956" s="51"/>
    </row>
    <row r="957" ht="13.5" customHeight="1">
      <c r="D957" s="12"/>
      <c r="E957" s="51"/>
      <c r="K957" s="51"/>
    </row>
    <row r="958" ht="13.5" customHeight="1">
      <c r="D958" s="12"/>
      <c r="E958" s="51"/>
      <c r="K958" s="51"/>
    </row>
    <row r="959" ht="13.5" customHeight="1">
      <c r="D959" s="12"/>
      <c r="E959" s="51"/>
      <c r="K959" s="51"/>
    </row>
    <row r="960" ht="13.5" customHeight="1">
      <c r="D960" s="12"/>
      <c r="E960" s="51"/>
      <c r="K960" s="51"/>
    </row>
    <row r="961" ht="13.5" customHeight="1">
      <c r="D961" s="12"/>
      <c r="E961" s="51"/>
      <c r="K961" s="51"/>
    </row>
    <row r="962" ht="13.5" customHeight="1">
      <c r="D962" s="12"/>
      <c r="E962" s="51"/>
      <c r="K962" s="51"/>
    </row>
    <row r="963" ht="13.5" customHeight="1">
      <c r="D963" s="12"/>
      <c r="E963" s="51"/>
      <c r="K963" s="51"/>
    </row>
    <row r="964" ht="13.5" customHeight="1">
      <c r="D964" s="12"/>
      <c r="E964" s="51"/>
      <c r="K964" s="51"/>
    </row>
    <row r="965" ht="13.5" customHeight="1">
      <c r="D965" s="12"/>
      <c r="E965" s="51"/>
      <c r="K965" s="51"/>
    </row>
    <row r="966" ht="13.5" customHeight="1">
      <c r="D966" s="12"/>
      <c r="E966" s="51"/>
      <c r="K966" s="51"/>
    </row>
    <row r="967" ht="13.5" customHeight="1">
      <c r="D967" s="12"/>
      <c r="E967" s="51"/>
      <c r="K967" s="51"/>
    </row>
    <row r="968" ht="13.5" customHeight="1">
      <c r="D968" s="12"/>
      <c r="E968" s="51"/>
      <c r="K968" s="51"/>
    </row>
    <row r="969" ht="13.5" customHeight="1">
      <c r="D969" s="12"/>
      <c r="E969" s="51"/>
      <c r="K969" s="51"/>
    </row>
    <row r="970" ht="13.5" customHeight="1">
      <c r="D970" s="12"/>
      <c r="E970" s="51"/>
      <c r="K970" s="51"/>
    </row>
    <row r="971" ht="13.5" customHeight="1">
      <c r="D971" s="12"/>
      <c r="E971" s="51"/>
      <c r="K971" s="51"/>
    </row>
    <row r="972" ht="13.5" customHeight="1">
      <c r="D972" s="12"/>
      <c r="E972" s="51"/>
      <c r="K972" s="51"/>
    </row>
    <row r="973" ht="13.5" customHeight="1">
      <c r="D973" s="12"/>
      <c r="E973" s="51"/>
      <c r="K973" s="51"/>
    </row>
    <row r="974" ht="13.5" customHeight="1">
      <c r="D974" s="12"/>
      <c r="E974" s="51"/>
      <c r="K974" s="51"/>
    </row>
    <row r="975" ht="13.5" customHeight="1">
      <c r="D975" s="12"/>
      <c r="E975" s="51"/>
      <c r="K975" s="51"/>
    </row>
    <row r="976" ht="13.5" customHeight="1">
      <c r="D976" s="12"/>
      <c r="E976" s="51"/>
      <c r="K976" s="51"/>
    </row>
    <row r="977" ht="13.5" customHeight="1">
      <c r="D977" s="12"/>
      <c r="E977" s="51"/>
      <c r="K977" s="51"/>
    </row>
    <row r="978" ht="13.5" customHeight="1">
      <c r="D978" s="12"/>
      <c r="E978" s="51"/>
      <c r="K978" s="51"/>
    </row>
    <row r="979" ht="13.5" customHeight="1">
      <c r="D979" s="12"/>
      <c r="E979" s="51"/>
      <c r="K979" s="51"/>
    </row>
    <row r="980" ht="13.5" customHeight="1">
      <c r="D980" s="12"/>
      <c r="E980" s="51"/>
      <c r="K980" s="51"/>
    </row>
    <row r="981" ht="13.5" customHeight="1">
      <c r="D981" s="12"/>
      <c r="E981" s="51"/>
      <c r="K981" s="51"/>
    </row>
    <row r="982" ht="13.5" customHeight="1">
      <c r="D982" s="12"/>
      <c r="E982" s="51"/>
      <c r="K982" s="51"/>
    </row>
    <row r="983" ht="13.5" customHeight="1">
      <c r="D983" s="12"/>
      <c r="E983" s="51"/>
      <c r="K983" s="51"/>
    </row>
    <row r="984" ht="13.5" customHeight="1">
      <c r="D984" s="12"/>
      <c r="E984" s="51"/>
      <c r="K984" s="51"/>
    </row>
    <row r="985" ht="13.5" customHeight="1">
      <c r="D985" s="12"/>
      <c r="E985" s="51"/>
      <c r="K985" s="51"/>
    </row>
    <row r="986" ht="13.5" customHeight="1">
      <c r="D986" s="12"/>
      <c r="E986" s="51"/>
      <c r="K986" s="51"/>
    </row>
    <row r="987" ht="13.5" customHeight="1">
      <c r="D987" s="12"/>
      <c r="E987" s="51"/>
      <c r="K987" s="51"/>
    </row>
    <row r="988" ht="13.5" customHeight="1">
      <c r="D988" s="12"/>
      <c r="E988" s="51"/>
      <c r="K988" s="51"/>
    </row>
    <row r="989" ht="13.5" customHeight="1">
      <c r="D989" s="12"/>
      <c r="E989" s="51"/>
      <c r="K989" s="51"/>
    </row>
    <row r="990" ht="13.5" customHeight="1">
      <c r="D990" s="12"/>
      <c r="E990" s="51"/>
      <c r="K990" s="51"/>
    </row>
    <row r="991" ht="13.5" customHeight="1">
      <c r="D991" s="12"/>
      <c r="E991" s="51"/>
      <c r="K991" s="51"/>
    </row>
    <row r="992" ht="13.5" customHeight="1">
      <c r="D992" s="12"/>
      <c r="E992" s="51"/>
      <c r="K992" s="51"/>
    </row>
    <row r="993" ht="13.5" customHeight="1">
      <c r="D993" s="12"/>
      <c r="E993" s="51"/>
      <c r="K993" s="51"/>
    </row>
    <row r="994" ht="13.5" customHeight="1">
      <c r="D994" s="12"/>
      <c r="E994" s="51"/>
      <c r="K994" s="51"/>
    </row>
    <row r="995" ht="13.5" customHeight="1">
      <c r="D995" s="12"/>
      <c r="E995" s="51"/>
      <c r="K995" s="51"/>
    </row>
    <row r="996" ht="13.5" customHeight="1">
      <c r="D996" s="12"/>
      <c r="E996" s="51"/>
      <c r="K996" s="51"/>
    </row>
    <row r="997" ht="13.5" customHeight="1">
      <c r="D997" s="12"/>
      <c r="E997" s="51"/>
      <c r="K997" s="51"/>
    </row>
    <row r="998" ht="13.5" customHeight="1">
      <c r="D998" s="12"/>
      <c r="E998" s="51"/>
      <c r="K998" s="51"/>
    </row>
    <row r="999" ht="13.5" customHeight="1">
      <c r="D999" s="12"/>
      <c r="E999" s="51"/>
      <c r="K999" s="51"/>
    </row>
    <row r="1000" ht="13.5" customHeight="1">
      <c r="D1000" s="12"/>
      <c r="E1000" s="51"/>
      <c r="K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2.25"/>
    <col customWidth="1" min="5" max="5" width="14.13"/>
    <col customWidth="1" min="6" max="6" width="12.75"/>
    <col customWidth="1" min="7" max="7" width="27.5"/>
    <col customWidth="1" min="8" max="8" width="11.0"/>
    <col customWidth="1" min="9" max="9" width="8.63"/>
    <col customWidth="1" min="10" max="10" width="27.88"/>
    <col customWidth="1" min="11" max="11" width="14.13"/>
    <col customWidth="1" min="12" max="26" width="8.63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46230.0</v>
      </c>
      <c r="E2" s="17">
        <v>96587.98</v>
      </c>
      <c r="F2" s="14" t="s">
        <v>10</v>
      </c>
      <c r="G2" s="181" t="s">
        <v>19</v>
      </c>
      <c r="H2" s="14"/>
      <c r="I2" s="14"/>
      <c r="J2" s="21">
        <v>183697.0</v>
      </c>
      <c r="K2" s="29">
        <v>23771.750000000004</v>
      </c>
    </row>
    <row r="3" ht="13.5" customHeight="1">
      <c r="A3" s="14">
        <v>2.0</v>
      </c>
      <c r="B3" s="14" t="s">
        <v>16</v>
      </c>
      <c r="C3" s="14">
        <v>2090976.0</v>
      </c>
      <c r="D3" s="16">
        <v>46230.0</v>
      </c>
      <c r="E3" s="17">
        <v>6979.7</v>
      </c>
      <c r="F3" s="14"/>
      <c r="G3" s="181" t="s">
        <v>19</v>
      </c>
      <c r="H3" s="14"/>
      <c r="I3" s="14"/>
      <c r="J3" s="21">
        <v>183698.0</v>
      </c>
      <c r="K3" s="29">
        <v>364047.27999999997</v>
      </c>
    </row>
    <row r="4" ht="13.5" customHeight="1">
      <c r="A4" s="23">
        <v>3.0</v>
      </c>
      <c r="B4" s="23" t="s">
        <v>9</v>
      </c>
      <c r="C4" s="23">
        <v>2050900.0</v>
      </c>
      <c r="D4" s="49">
        <v>46230.0</v>
      </c>
      <c r="E4" s="29">
        <v>184.21</v>
      </c>
      <c r="F4" s="23" t="s">
        <v>724</v>
      </c>
      <c r="G4" s="62" t="s">
        <v>19</v>
      </c>
      <c r="H4" s="14"/>
      <c r="I4" s="14"/>
      <c r="J4" s="21">
        <v>183718.0</v>
      </c>
      <c r="K4" s="29">
        <v>35472.80000000002</v>
      </c>
    </row>
    <row r="5" ht="13.5" customHeight="1">
      <c r="A5" s="30">
        <v>4.0</v>
      </c>
      <c r="B5" s="30" t="s">
        <v>9</v>
      </c>
      <c r="C5" s="30">
        <v>2140632.0</v>
      </c>
      <c r="D5" s="31">
        <v>46230.0</v>
      </c>
      <c r="E5" s="32">
        <v>65543.33</v>
      </c>
      <c r="F5" s="30"/>
      <c r="G5" s="236" t="s">
        <v>19</v>
      </c>
      <c r="H5" s="14"/>
      <c r="I5" s="14"/>
      <c r="J5" s="21">
        <v>183720.0</v>
      </c>
      <c r="K5" s="29">
        <v>19919.93</v>
      </c>
    </row>
    <row r="6" ht="13.5" customHeight="1">
      <c r="A6" s="23">
        <v>5.0</v>
      </c>
      <c r="B6" s="23" t="s">
        <v>47</v>
      </c>
      <c r="C6" s="23">
        <v>1040500.0</v>
      </c>
      <c r="D6" s="49">
        <v>46230.0</v>
      </c>
      <c r="E6" s="29">
        <v>64.29</v>
      </c>
      <c r="F6" s="23"/>
      <c r="G6" s="62" t="s">
        <v>19</v>
      </c>
      <c r="H6" s="14"/>
      <c r="I6" s="14"/>
      <c r="J6" s="21" t="s">
        <v>725</v>
      </c>
      <c r="K6" s="29">
        <v>545.78</v>
      </c>
    </row>
    <row r="7" ht="13.5" customHeight="1">
      <c r="A7" s="23">
        <v>6.0</v>
      </c>
      <c r="B7" s="23" t="s">
        <v>47</v>
      </c>
      <c r="C7" s="23">
        <v>1040500.0</v>
      </c>
      <c r="D7" s="49">
        <v>46230.0</v>
      </c>
      <c r="E7" s="29">
        <v>461.5</v>
      </c>
      <c r="F7" s="23"/>
      <c r="G7" s="62" t="s">
        <v>19</v>
      </c>
      <c r="H7" s="14"/>
      <c r="I7" s="14"/>
      <c r="J7" s="21" t="s">
        <v>726</v>
      </c>
      <c r="K7" s="29">
        <v>338.38</v>
      </c>
    </row>
    <row r="8" ht="13.5" customHeight="1">
      <c r="A8" s="23">
        <v>7.0</v>
      </c>
      <c r="B8" s="23" t="s">
        <v>47</v>
      </c>
      <c r="C8" s="23">
        <v>1040500.0</v>
      </c>
      <c r="D8" s="49">
        <v>46230.0</v>
      </c>
      <c r="E8" s="29">
        <v>421.66</v>
      </c>
      <c r="F8" s="23"/>
      <c r="G8" s="62" t="s">
        <v>19</v>
      </c>
      <c r="H8" s="14"/>
      <c r="I8" s="14"/>
      <c r="J8" s="23" t="s">
        <v>727</v>
      </c>
      <c r="K8" s="29">
        <v>2022.25</v>
      </c>
    </row>
    <row r="9" ht="13.5" customHeight="1">
      <c r="A9" s="23">
        <v>8.0</v>
      </c>
      <c r="B9" s="23" t="s">
        <v>47</v>
      </c>
      <c r="C9" s="23">
        <v>1040500.0</v>
      </c>
      <c r="D9" s="49">
        <v>46230.0</v>
      </c>
      <c r="E9" s="29">
        <v>586.76</v>
      </c>
      <c r="F9" s="23"/>
      <c r="G9" s="62" t="s">
        <v>19</v>
      </c>
      <c r="H9" s="14"/>
      <c r="I9" s="14"/>
      <c r="J9" s="14"/>
      <c r="K9" s="17"/>
    </row>
    <row r="10" ht="13.5" customHeight="1">
      <c r="A10" s="23">
        <v>9.0</v>
      </c>
      <c r="B10" s="23" t="s">
        <v>47</v>
      </c>
      <c r="C10" s="23">
        <v>1040500.0</v>
      </c>
      <c r="D10" s="49">
        <v>46230.0</v>
      </c>
      <c r="E10" s="29">
        <v>488.04</v>
      </c>
      <c r="F10" s="23"/>
      <c r="G10" s="62" t="s">
        <v>19</v>
      </c>
      <c r="H10" s="14"/>
      <c r="I10" s="14"/>
      <c r="J10" s="14"/>
      <c r="K10" s="17"/>
    </row>
    <row r="11" ht="13.5" customHeight="1">
      <c r="A11" s="23">
        <v>10.0</v>
      </c>
      <c r="B11" s="23" t="s">
        <v>20</v>
      </c>
      <c r="C11" s="23">
        <v>1040211.0</v>
      </c>
      <c r="D11" s="49">
        <v>46230.0</v>
      </c>
      <c r="E11" s="29">
        <v>364047.28</v>
      </c>
      <c r="F11" s="23"/>
      <c r="G11" s="62" t="s">
        <v>19</v>
      </c>
      <c r="H11" s="14"/>
      <c r="I11" s="14"/>
      <c r="J11" s="14"/>
      <c r="K11" s="17"/>
    </row>
    <row r="12" ht="13.5" customHeight="1">
      <c r="A12" s="23">
        <v>12.0</v>
      </c>
      <c r="B12" s="23" t="s">
        <v>20</v>
      </c>
      <c r="C12" s="23">
        <v>1200393.0</v>
      </c>
      <c r="D12" s="49">
        <v>46230.0</v>
      </c>
      <c r="E12" s="29">
        <v>6236.25</v>
      </c>
      <c r="F12" s="23"/>
      <c r="G12" s="62" t="s">
        <v>19</v>
      </c>
      <c r="H12" s="14"/>
      <c r="I12" s="14"/>
      <c r="J12" s="14"/>
      <c r="K12" s="17"/>
    </row>
    <row r="13" ht="13.5" customHeight="1">
      <c r="A13" s="23">
        <v>13.0</v>
      </c>
      <c r="B13" s="23" t="s">
        <v>20</v>
      </c>
      <c r="C13" s="23">
        <v>1040211.0</v>
      </c>
      <c r="D13" s="49">
        <v>46230.0</v>
      </c>
      <c r="E13" s="29">
        <v>29236.55</v>
      </c>
      <c r="F13" s="23"/>
      <c r="G13" s="62" t="s">
        <v>19</v>
      </c>
      <c r="H13" s="14"/>
      <c r="I13" s="14"/>
      <c r="J13" s="14"/>
      <c r="K13" s="17"/>
    </row>
    <row r="14" ht="13.5" customHeight="1">
      <c r="A14" s="23">
        <v>14.0</v>
      </c>
      <c r="B14" s="23" t="s">
        <v>20</v>
      </c>
      <c r="C14" s="23">
        <v>1200393.0</v>
      </c>
      <c r="D14" s="49">
        <v>46230.0</v>
      </c>
      <c r="E14" s="29">
        <v>5853.45</v>
      </c>
      <c r="F14" s="23"/>
      <c r="G14" s="62" t="s">
        <v>19</v>
      </c>
      <c r="H14" s="14"/>
      <c r="I14" s="14"/>
      <c r="J14" s="14"/>
      <c r="K14" s="17"/>
    </row>
    <row r="15" ht="13.5" customHeight="1">
      <c r="A15" s="23">
        <v>15.0</v>
      </c>
      <c r="B15" s="23" t="s">
        <v>20</v>
      </c>
      <c r="C15" s="23">
        <v>1040211.0</v>
      </c>
      <c r="D15" s="49">
        <v>46230.0</v>
      </c>
      <c r="E15" s="29">
        <v>17918.3</v>
      </c>
      <c r="F15" s="23"/>
      <c r="G15" s="62" t="s">
        <v>19</v>
      </c>
      <c r="H15" s="14"/>
      <c r="I15" s="14"/>
      <c r="J15" s="14"/>
      <c r="K15" s="17"/>
    </row>
    <row r="16" ht="13.5" customHeight="1">
      <c r="A16" s="23">
        <v>19.0</v>
      </c>
      <c r="B16" s="23" t="s">
        <v>47</v>
      </c>
      <c r="C16" s="23">
        <v>1170144.0</v>
      </c>
      <c r="D16" s="49">
        <v>46230.0</v>
      </c>
      <c r="E16" s="29">
        <v>338.38</v>
      </c>
      <c r="F16" s="23"/>
      <c r="G16" s="62" t="s">
        <v>19</v>
      </c>
      <c r="H16" s="14"/>
      <c r="I16" s="14"/>
      <c r="J16" s="14"/>
      <c r="K16" s="17"/>
    </row>
    <row r="17" ht="13.5" customHeight="1">
      <c r="A17" s="23">
        <v>21.0</v>
      </c>
      <c r="B17" s="23" t="s">
        <v>20</v>
      </c>
      <c r="C17" s="23">
        <v>1040109.0</v>
      </c>
      <c r="D17" s="49">
        <v>46230.0</v>
      </c>
      <c r="E17" s="29">
        <v>282.67</v>
      </c>
      <c r="F17" s="23"/>
      <c r="G17" s="62" t="s">
        <v>19</v>
      </c>
      <c r="H17" s="14"/>
      <c r="I17" s="14"/>
      <c r="J17" s="14"/>
      <c r="K17" s="17"/>
    </row>
    <row r="18" ht="13.5" customHeight="1">
      <c r="A18" s="23">
        <v>22.0</v>
      </c>
      <c r="B18" s="23" t="s">
        <v>20</v>
      </c>
      <c r="C18" s="23">
        <v>1040109.0</v>
      </c>
      <c r="D18" s="49">
        <v>46230.0</v>
      </c>
      <c r="E18" s="29">
        <v>19637.26</v>
      </c>
      <c r="F18" s="23"/>
      <c r="G18" s="62" t="s">
        <v>19</v>
      </c>
      <c r="H18" s="14"/>
      <c r="I18" s="14"/>
      <c r="J18" s="14"/>
      <c r="K18" s="17"/>
    </row>
    <row r="19" ht="13.5" customHeight="1">
      <c r="A19" s="23">
        <v>23.0</v>
      </c>
      <c r="B19" s="23" t="s">
        <v>47</v>
      </c>
      <c r="C19" s="23">
        <v>1170144.0</v>
      </c>
      <c r="D19" s="49">
        <v>46230.0</v>
      </c>
      <c r="E19" s="29">
        <v>184.21</v>
      </c>
      <c r="F19" s="33"/>
      <c r="G19" s="62" t="s">
        <v>19</v>
      </c>
      <c r="H19" s="14"/>
      <c r="I19" s="14"/>
      <c r="J19" s="14"/>
      <c r="K19" s="17"/>
    </row>
    <row r="20" ht="13.5" customHeight="1">
      <c r="A20" s="23">
        <v>26.0</v>
      </c>
      <c r="B20" s="23" t="s">
        <v>20</v>
      </c>
      <c r="C20" s="23">
        <v>1040375.0</v>
      </c>
      <c r="D20" s="49">
        <v>46230.0</v>
      </c>
      <c r="E20" s="29">
        <v>417.36</v>
      </c>
      <c r="F20" s="33"/>
      <c r="G20" s="62" t="s">
        <v>19</v>
      </c>
      <c r="H20" s="14"/>
      <c r="I20" s="14"/>
      <c r="J20" s="14"/>
      <c r="K20" s="17"/>
    </row>
    <row r="21" ht="13.5" customHeight="1">
      <c r="A21" s="23">
        <v>27.0</v>
      </c>
      <c r="B21" s="23" t="s">
        <v>20</v>
      </c>
      <c r="C21" s="23">
        <v>1040375.0</v>
      </c>
      <c r="D21" s="49">
        <v>46230.0</v>
      </c>
      <c r="E21" s="29">
        <v>128.42</v>
      </c>
      <c r="F21" s="33"/>
      <c r="G21" s="62" t="s">
        <v>19</v>
      </c>
      <c r="H21" s="14"/>
      <c r="I21" s="14"/>
      <c r="J21" s="14"/>
      <c r="K21" s="17"/>
    </row>
    <row r="22" ht="13.5" customHeight="1">
      <c r="A22" s="14">
        <v>33.0</v>
      </c>
      <c r="B22" s="14" t="s">
        <v>20</v>
      </c>
      <c r="C22" s="14">
        <v>1040258.0</v>
      </c>
      <c r="D22" s="16">
        <v>46230.0</v>
      </c>
      <c r="E22" s="17">
        <v>3.34</v>
      </c>
      <c r="F22" s="15"/>
      <c r="G22" s="181" t="s">
        <v>19</v>
      </c>
      <c r="H22" s="14"/>
      <c r="I22" s="14"/>
      <c r="J22" s="14"/>
      <c r="K22" s="17"/>
    </row>
    <row r="23" ht="13.5" customHeight="1">
      <c r="A23" s="14"/>
      <c r="B23" s="14"/>
      <c r="C23" s="14"/>
      <c r="D23" s="14"/>
      <c r="E23" s="17"/>
      <c r="F23" s="15"/>
      <c r="G23" s="181"/>
      <c r="H23" s="14"/>
      <c r="I23" s="14"/>
      <c r="J23" s="14"/>
      <c r="K23" s="17"/>
    </row>
    <row r="24" ht="13.5" customHeight="1">
      <c r="A24" s="14"/>
      <c r="B24" s="14"/>
      <c r="C24" s="14"/>
      <c r="D24" s="14"/>
      <c r="E24" s="17"/>
      <c r="F24" s="15"/>
      <c r="G24" s="181"/>
      <c r="H24" s="14"/>
      <c r="I24" s="14"/>
      <c r="J24" s="14"/>
      <c r="K24" s="17"/>
    </row>
    <row r="25" ht="13.5" customHeight="1">
      <c r="A25" s="14"/>
      <c r="B25" s="14"/>
      <c r="C25" s="14"/>
      <c r="D25" s="14"/>
      <c r="E25" s="17"/>
      <c r="F25" s="15"/>
      <c r="G25" s="181"/>
      <c r="H25" s="14"/>
      <c r="I25" s="14"/>
      <c r="J25" s="14"/>
      <c r="K25" s="17"/>
    </row>
    <row r="26" ht="13.5" customHeight="1">
      <c r="E26" s="51"/>
      <c r="F26" s="12"/>
      <c r="G26" s="74"/>
      <c r="K26" s="51"/>
    </row>
    <row r="27" ht="13.5" customHeight="1">
      <c r="E27" s="51"/>
      <c r="F27" s="12"/>
      <c r="G27" s="74"/>
      <c r="K27" s="51"/>
    </row>
    <row r="28" ht="13.5" customHeight="1">
      <c r="E28" s="51"/>
      <c r="F28" s="12"/>
      <c r="G28" s="74"/>
      <c r="K28" s="51"/>
    </row>
    <row r="29" ht="13.5" customHeight="1">
      <c r="E29" s="51"/>
      <c r="F29" s="12"/>
      <c r="G29" s="74"/>
      <c r="K29" s="51"/>
    </row>
    <row r="30" ht="13.5" customHeight="1">
      <c r="E30" s="51"/>
      <c r="F30" s="12"/>
      <c r="G30" s="74"/>
      <c r="K30" s="51"/>
    </row>
    <row r="31" ht="13.5" customHeight="1">
      <c r="E31" s="51"/>
      <c r="F31" s="12"/>
      <c r="G31" s="74"/>
      <c r="K31" s="51"/>
    </row>
    <row r="32" ht="13.5" customHeight="1">
      <c r="E32" s="51"/>
      <c r="F32" s="12"/>
      <c r="G32" s="74"/>
      <c r="K32" s="51"/>
    </row>
    <row r="33" ht="13.5" customHeight="1">
      <c r="E33" s="51"/>
      <c r="F33" s="12"/>
      <c r="G33" s="74"/>
      <c r="K33" s="51"/>
    </row>
    <row r="34" ht="13.5" customHeight="1">
      <c r="E34" s="51"/>
      <c r="F34" s="12"/>
      <c r="G34" s="74"/>
      <c r="J34" s="61"/>
      <c r="K34" s="75"/>
    </row>
    <row r="35" ht="13.5" customHeight="1">
      <c r="E35" s="51"/>
      <c r="F35" s="12"/>
      <c r="G35" s="74"/>
      <c r="J35" s="61"/>
      <c r="K35" s="75"/>
    </row>
    <row r="36" ht="13.5" customHeight="1">
      <c r="E36" s="51"/>
      <c r="F36" s="12"/>
      <c r="G36" s="74"/>
      <c r="J36" s="61"/>
      <c r="K36" s="75"/>
    </row>
    <row r="37" ht="13.5" customHeight="1">
      <c r="E37" s="51"/>
      <c r="F37" s="12"/>
      <c r="G37" s="74"/>
      <c r="I37" s="61"/>
      <c r="J37" s="61"/>
      <c r="K37" s="75"/>
      <c r="L37" s="61"/>
    </row>
    <row r="38" ht="13.5" customHeight="1">
      <c r="E38" s="51"/>
      <c r="F38" s="12"/>
      <c r="G38" s="74"/>
      <c r="I38" s="61"/>
      <c r="J38" s="61"/>
      <c r="K38" s="75"/>
      <c r="L38" s="61"/>
    </row>
    <row r="39" ht="13.5" customHeight="1">
      <c r="A39" s="61"/>
      <c r="B39" s="61"/>
      <c r="C39" s="61"/>
      <c r="D39" s="61"/>
      <c r="E39" s="75"/>
      <c r="F39" s="69"/>
      <c r="G39" s="65"/>
      <c r="H39" s="61"/>
      <c r="I39" s="61"/>
      <c r="J39" s="61"/>
      <c r="K39" s="75"/>
      <c r="L39" s="61"/>
    </row>
    <row r="40" ht="13.5" customHeight="1">
      <c r="A40" s="61"/>
      <c r="B40" s="61"/>
      <c r="C40" s="61"/>
      <c r="D40" s="61"/>
      <c r="E40" s="75"/>
      <c r="F40" s="69"/>
      <c r="G40" s="65"/>
      <c r="H40" s="61"/>
      <c r="I40" s="61"/>
      <c r="J40" s="61"/>
      <c r="K40" s="75"/>
      <c r="L40" s="61"/>
    </row>
    <row r="41" ht="13.5" customHeight="1">
      <c r="A41" s="61"/>
      <c r="B41" s="61"/>
      <c r="C41" s="61"/>
      <c r="D41" s="61"/>
      <c r="E41" s="75"/>
      <c r="F41" s="69"/>
      <c r="G41" s="65"/>
      <c r="H41" s="61"/>
      <c r="I41" s="61"/>
      <c r="J41" s="61"/>
      <c r="K41" s="75"/>
      <c r="L41" s="61"/>
    </row>
    <row r="42" ht="13.5" customHeight="1">
      <c r="A42" s="61"/>
      <c r="B42" s="61"/>
      <c r="C42" s="61"/>
      <c r="D42" s="61"/>
      <c r="E42" s="75"/>
      <c r="F42" s="69"/>
      <c r="G42" s="65"/>
      <c r="H42" s="61"/>
      <c r="I42" s="61"/>
      <c r="J42" s="61"/>
      <c r="K42" s="75"/>
      <c r="L42" s="61"/>
    </row>
    <row r="43" ht="13.5" customHeight="1">
      <c r="A43" s="61"/>
      <c r="B43" s="61"/>
      <c r="C43" s="61"/>
      <c r="D43" s="61"/>
      <c r="E43" s="75"/>
      <c r="F43" s="69"/>
      <c r="G43" s="65"/>
      <c r="H43" s="61"/>
      <c r="I43" s="61"/>
      <c r="J43" s="61"/>
      <c r="K43" s="75"/>
      <c r="L43" s="61"/>
    </row>
    <row r="44" ht="13.5" customHeight="1">
      <c r="A44" s="61"/>
      <c r="B44" s="61"/>
      <c r="C44" s="61"/>
      <c r="D44" s="61"/>
      <c r="E44" s="75"/>
      <c r="F44" s="69"/>
      <c r="G44" s="65"/>
      <c r="H44" s="61"/>
      <c r="I44" s="61"/>
      <c r="J44" s="61"/>
      <c r="K44" s="75"/>
      <c r="L44" s="61"/>
    </row>
    <row r="45" ht="13.5" customHeight="1">
      <c r="A45" s="61"/>
      <c r="B45" s="61"/>
      <c r="C45" s="61"/>
      <c r="D45" s="61"/>
      <c r="E45" s="75"/>
      <c r="F45" s="69"/>
      <c r="G45" s="65"/>
      <c r="H45" s="61"/>
      <c r="I45" s="61"/>
      <c r="J45" s="61"/>
      <c r="K45" s="75"/>
      <c r="L45" s="61"/>
    </row>
    <row r="46" ht="13.5" customHeight="1">
      <c r="A46" s="61"/>
      <c r="B46" s="61"/>
      <c r="C46" s="61"/>
      <c r="D46" s="61"/>
      <c r="E46" s="75"/>
      <c r="F46" s="69"/>
      <c r="G46" s="65"/>
      <c r="H46" s="61"/>
      <c r="I46" s="61"/>
      <c r="J46" s="61"/>
      <c r="K46" s="75"/>
      <c r="L46" s="61"/>
    </row>
    <row r="47" ht="13.5" customHeight="1">
      <c r="A47" s="61"/>
      <c r="B47" s="61"/>
      <c r="C47" s="61"/>
      <c r="D47" s="61"/>
      <c r="E47" s="75"/>
      <c r="F47" s="69"/>
      <c r="G47" s="65"/>
      <c r="H47" s="61"/>
      <c r="I47" s="61"/>
      <c r="J47" s="61"/>
      <c r="K47" s="75"/>
      <c r="L47" s="61"/>
    </row>
    <row r="48" ht="13.5" customHeight="1">
      <c r="A48" s="61"/>
      <c r="B48" s="61"/>
      <c r="C48" s="61"/>
      <c r="D48" s="61"/>
      <c r="E48" s="75"/>
      <c r="F48" s="69"/>
      <c r="G48" s="65"/>
      <c r="H48" s="61"/>
      <c r="I48" s="61"/>
      <c r="J48" s="61"/>
      <c r="K48" s="75"/>
      <c r="L48" s="61"/>
    </row>
    <row r="49" ht="13.5" customHeight="1">
      <c r="A49" s="61"/>
      <c r="B49" s="61"/>
      <c r="C49" s="61"/>
      <c r="D49" s="61"/>
      <c r="E49" s="75"/>
      <c r="F49" s="69"/>
      <c r="G49" s="65"/>
      <c r="H49" s="61"/>
      <c r="I49" s="61"/>
      <c r="J49" s="61"/>
      <c r="K49" s="75"/>
      <c r="L49" s="61"/>
    </row>
    <row r="50" ht="13.5" customHeight="1">
      <c r="A50" s="61"/>
      <c r="B50" s="61"/>
      <c r="C50" s="61"/>
      <c r="D50" s="61"/>
      <c r="E50" s="75"/>
      <c r="F50" s="69"/>
      <c r="G50" s="65"/>
      <c r="H50" s="61"/>
      <c r="I50" s="61"/>
      <c r="J50" s="61"/>
      <c r="K50" s="75"/>
      <c r="L50" s="61"/>
    </row>
    <row r="51" ht="13.5" customHeight="1">
      <c r="A51" s="61"/>
      <c r="B51" s="61"/>
      <c r="C51" s="61"/>
      <c r="D51" s="61"/>
      <c r="E51" s="75"/>
      <c r="F51" s="69"/>
      <c r="G51" s="65"/>
      <c r="H51" s="61"/>
      <c r="I51" s="61"/>
      <c r="J51" s="61"/>
      <c r="K51" s="75"/>
      <c r="L51" s="61"/>
    </row>
    <row r="52" ht="13.5" customHeight="1">
      <c r="A52" s="61"/>
      <c r="B52" s="61"/>
      <c r="C52" s="61"/>
      <c r="D52" s="61"/>
      <c r="E52" s="75"/>
      <c r="F52" s="69"/>
      <c r="G52" s="65"/>
      <c r="H52" s="61"/>
      <c r="I52" s="61"/>
      <c r="J52" s="61"/>
      <c r="K52" s="75"/>
      <c r="L52" s="61"/>
    </row>
    <row r="53" ht="13.5" customHeight="1">
      <c r="A53" s="61"/>
      <c r="B53" s="61"/>
      <c r="C53" s="61"/>
      <c r="D53" s="61"/>
      <c r="E53" s="75"/>
      <c r="F53" s="69"/>
      <c r="G53" s="65"/>
      <c r="H53" s="61"/>
      <c r="I53" s="61"/>
      <c r="J53" s="61"/>
      <c r="K53" s="75"/>
      <c r="L53" s="61"/>
    </row>
    <row r="54" ht="13.5" customHeight="1">
      <c r="A54" s="61"/>
      <c r="B54" s="61"/>
      <c r="C54" s="61"/>
      <c r="D54" s="61"/>
      <c r="E54" s="75"/>
      <c r="F54" s="69"/>
      <c r="G54" s="65"/>
      <c r="H54" s="61"/>
      <c r="I54" s="61"/>
      <c r="J54" s="61"/>
      <c r="K54" s="75"/>
      <c r="L54" s="61"/>
    </row>
    <row r="55" ht="13.5" customHeight="1">
      <c r="A55" s="61"/>
      <c r="B55" s="61"/>
      <c r="C55" s="61"/>
      <c r="D55" s="61"/>
      <c r="E55" s="75"/>
      <c r="F55" s="69"/>
      <c r="G55" s="65"/>
      <c r="H55" s="61"/>
      <c r="I55" s="61"/>
      <c r="J55" s="61"/>
      <c r="K55" s="75"/>
      <c r="L55" s="61"/>
    </row>
    <row r="56" ht="13.5" customHeight="1">
      <c r="A56" s="61"/>
      <c r="B56" s="61"/>
      <c r="C56" s="61"/>
      <c r="D56" s="61"/>
      <c r="E56" s="75"/>
      <c r="F56" s="69"/>
      <c r="G56" s="65"/>
      <c r="H56" s="61"/>
      <c r="I56" s="61"/>
      <c r="J56" s="61"/>
      <c r="K56" s="75"/>
      <c r="L56" s="61"/>
    </row>
    <row r="57" ht="13.5" customHeight="1">
      <c r="A57" s="61"/>
      <c r="B57" s="61"/>
      <c r="C57" s="61"/>
      <c r="D57" s="61"/>
      <c r="E57" s="75"/>
      <c r="F57" s="69"/>
      <c r="G57" s="65"/>
      <c r="H57" s="61"/>
      <c r="I57" s="61"/>
      <c r="J57" s="61"/>
      <c r="K57" s="75"/>
      <c r="L57" s="61"/>
    </row>
    <row r="58" ht="13.5" customHeight="1">
      <c r="A58" s="61"/>
      <c r="B58" s="61"/>
      <c r="C58" s="61"/>
      <c r="D58" s="61"/>
      <c r="E58" s="75"/>
      <c r="F58" s="69"/>
      <c r="G58" s="65"/>
      <c r="H58" s="61"/>
      <c r="I58" s="61"/>
      <c r="J58" s="61"/>
      <c r="K58" s="75"/>
      <c r="L58" s="61"/>
    </row>
    <row r="59" ht="13.5" customHeight="1">
      <c r="A59" s="61"/>
      <c r="B59" s="61"/>
      <c r="C59" s="61"/>
      <c r="D59" s="61"/>
      <c r="E59" s="75"/>
      <c r="F59" s="69"/>
      <c r="G59" s="65"/>
      <c r="H59" s="61"/>
      <c r="I59" s="61"/>
      <c r="J59" s="61"/>
      <c r="K59" s="75"/>
      <c r="L59" s="61"/>
    </row>
    <row r="60" ht="13.5" customHeight="1">
      <c r="A60" s="61"/>
      <c r="B60" s="61"/>
      <c r="C60" s="61"/>
      <c r="D60" s="61"/>
      <c r="E60" s="75"/>
      <c r="F60" s="69"/>
      <c r="G60" s="65"/>
      <c r="H60" s="61"/>
      <c r="I60" s="61"/>
      <c r="J60" s="61"/>
      <c r="K60" s="75"/>
      <c r="L60" s="61"/>
    </row>
    <row r="61" ht="13.5" customHeight="1">
      <c r="A61" s="61"/>
      <c r="B61" s="61"/>
      <c r="C61" s="61"/>
      <c r="D61" s="61"/>
      <c r="E61" s="75"/>
      <c r="F61" s="69"/>
      <c r="G61" s="65"/>
      <c r="H61" s="61"/>
      <c r="I61" s="61"/>
      <c r="J61" s="61"/>
      <c r="K61" s="75"/>
      <c r="L61" s="61"/>
    </row>
    <row r="62" ht="13.5" customHeight="1">
      <c r="A62" s="61"/>
      <c r="B62" s="61"/>
      <c r="C62" s="61"/>
      <c r="D62" s="61"/>
      <c r="E62" s="75"/>
      <c r="F62" s="69"/>
      <c r="G62" s="65"/>
      <c r="H62" s="61"/>
      <c r="I62" s="61"/>
      <c r="J62" s="61"/>
      <c r="K62" s="75"/>
      <c r="L62" s="61"/>
    </row>
    <row r="63" ht="13.5" customHeight="1">
      <c r="A63" s="61"/>
      <c r="B63" s="61"/>
      <c r="C63" s="61"/>
      <c r="D63" s="61"/>
      <c r="E63" s="75"/>
      <c r="F63" s="69"/>
      <c r="G63" s="65"/>
      <c r="H63" s="61"/>
      <c r="I63" s="61"/>
      <c r="J63" s="61"/>
      <c r="K63" s="75"/>
      <c r="L63" s="61"/>
    </row>
    <row r="64" ht="13.5" customHeight="1">
      <c r="A64" s="61"/>
      <c r="B64" s="61"/>
      <c r="C64" s="61"/>
      <c r="D64" s="61"/>
      <c r="E64" s="75"/>
      <c r="F64" s="69"/>
      <c r="G64" s="65"/>
      <c r="H64" s="61"/>
      <c r="I64" s="61"/>
      <c r="J64" s="61"/>
      <c r="K64" s="75"/>
      <c r="L64" s="61"/>
    </row>
    <row r="65" ht="13.5" customHeight="1">
      <c r="A65" s="61"/>
      <c r="B65" s="61"/>
      <c r="C65" s="61"/>
      <c r="D65" s="61"/>
      <c r="E65" s="75"/>
      <c r="F65" s="69"/>
      <c r="G65" s="65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5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5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5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5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5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5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5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5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5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5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5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5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5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5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5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5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5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5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5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5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5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5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5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5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5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5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5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5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5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5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5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5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5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5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5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5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5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5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5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5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5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5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5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5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5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5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5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5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5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5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5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5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5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5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5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5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5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5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5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5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5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5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5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5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5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5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5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5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5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5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5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5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5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5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5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5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5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5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5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5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5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5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G148" s="74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G149" s="74"/>
      <c r="H149" s="61"/>
      <c r="I149" s="61"/>
      <c r="K149" s="51"/>
      <c r="L149" s="61"/>
    </row>
    <row r="150" ht="13.5" customHeight="1">
      <c r="A150" s="61"/>
      <c r="B150" s="61"/>
      <c r="C150" s="61"/>
      <c r="D150" s="61"/>
      <c r="E150" s="75"/>
      <c r="F150" s="69"/>
      <c r="G150" s="74"/>
      <c r="H150" s="61"/>
      <c r="I150" s="61"/>
      <c r="K150" s="51"/>
      <c r="L150" s="61"/>
    </row>
    <row r="151" ht="13.5" customHeight="1">
      <c r="A151" s="61"/>
      <c r="B151" s="61"/>
      <c r="C151" s="61"/>
      <c r="D151" s="61"/>
      <c r="E151" s="75"/>
      <c r="F151" s="69"/>
      <c r="G151" s="74"/>
      <c r="H151" s="61"/>
      <c r="I151" s="61"/>
      <c r="K151" s="51"/>
      <c r="L151" s="61"/>
    </row>
    <row r="152" ht="13.5" customHeight="1">
      <c r="E152" s="51"/>
      <c r="F152" s="12"/>
      <c r="G152" s="74"/>
      <c r="K152" s="51"/>
    </row>
    <row r="153" ht="13.5" customHeight="1">
      <c r="E153" s="51"/>
      <c r="F153" s="12"/>
      <c r="G153" s="74"/>
      <c r="K153" s="51"/>
    </row>
    <row r="154" ht="13.5" customHeight="1">
      <c r="E154" s="51"/>
      <c r="F154" s="12"/>
      <c r="G154" s="74"/>
      <c r="K154" s="51"/>
    </row>
    <row r="155" ht="13.5" customHeight="1">
      <c r="E155" s="51"/>
      <c r="F155" s="12"/>
      <c r="G155" s="74"/>
      <c r="K155" s="51"/>
    </row>
    <row r="156" ht="13.5" customHeight="1">
      <c r="E156" s="51"/>
      <c r="F156" s="12"/>
      <c r="G156" s="74"/>
      <c r="K156" s="51"/>
    </row>
    <row r="157" ht="13.5" customHeight="1">
      <c r="E157" s="51"/>
      <c r="F157" s="12"/>
      <c r="G157" s="74"/>
      <c r="K157" s="51"/>
    </row>
    <row r="158" ht="13.5" customHeight="1">
      <c r="E158" s="51"/>
      <c r="F158" s="12"/>
      <c r="G158" s="74"/>
      <c r="K158" s="51"/>
    </row>
    <row r="159" ht="13.5" customHeight="1">
      <c r="E159" s="51"/>
      <c r="F159" s="12"/>
      <c r="G159" s="74"/>
      <c r="K159" s="51"/>
    </row>
    <row r="160" ht="13.5" customHeight="1">
      <c r="E160" s="51"/>
      <c r="F160" s="12"/>
      <c r="G160" s="74"/>
      <c r="K160" s="51"/>
    </row>
    <row r="161" ht="13.5" customHeight="1">
      <c r="E161" s="51"/>
      <c r="F161" s="12"/>
      <c r="G161" s="74"/>
      <c r="K161" s="51"/>
    </row>
    <row r="162" ht="13.5" customHeight="1">
      <c r="E162" s="51"/>
      <c r="F162" s="12"/>
      <c r="G162" s="74"/>
      <c r="K162" s="51"/>
    </row>
    <row r="163" ht="13.5" customHeight="1">
      <c r="E163" s="51"/>
      <c r="F163" s="12"/>
      <c r="G163" s="74"/>
      <c r="K163" s="51"/>
    </row>
    <row r="164" ht="13.5" customHeight="1">
      <c r="E164" s="51"/>
      <c r="F164" s="12"/>
      <c r="G164" s="74"/>
      <c r="K164" s="51"/>
    </row>
    <row r="165" ht="13.5" customHeight="1">
      <c r="E165" s="51"/>
      <c r="F165" s="12"/>
      <c r="G165" s="74"/>
      <c r="K165" s="51"/>
    </row>
    <row r="166" ht="13.5" customHeight="1">
      <c r="E166" s="51"/>
      <c r="F166" s="12"/>
      <c r="G166" s="74"/>
      <c r="K166" s="51"/>
    </row>
    <row r="167" ht="13.5" customHeight="1">
      <c r="E167" s="51"/>
      <c r="F167" s="12"/>
      <c r="G167" s="74"/>
      <c r="K167" s="51"/>
    </row>
    <row r="168" ht="13.5" customHeight="1">
      <c r="E168" s="51"/>
      <c r="F168" s="12"/>
      <c r="G168" s="74"/>
      <c r="K168" s="51"/>
    </row>
    <row r="169" ht="13.5" customHeight="1">
      <c r="E169" s="51"/>
      <c r="F169" s="12"/>
      <c r="G169" s="74"/>
      <c r="K169" s="51"/>
    </row>
    <row r="170" ht="13.5" customHeight="1">
      <c r="E170" s="51"/>
      <c r="F170" s="12"/>
      <c r="G170" s="74"/>
      <c r="K170" s="51"/>
    </row>
    <row r="171" ht="13.5" customHeight="1">
      <c r="E171" s="51"/>
      <c r="F171" s="12"/>
      <c r="G171" s="74"/>
      <c r="K171" s="51"/>
    </row>
    <row r="172" ht="13.5" customHeight="1">
      <c r="E172" s="51"/>
      <c r="F172" s="12"/>
      <c r="G172" s="74"/>
      <c r="K172" s="51"/>
    </row>
    <row r="173" ht="13.5" customHeight="1">
      <c r="E173" s="51"/>
      <c r="F173" s="12"/>
      <c r="G173" s="74"/>
      <c r="K173" s="51"/>
    </row>
    <row r="174" ht="13.5" customHeight="1">
      <c r="E174" s="51"/>
      <c r="F174" s="12"/>
      <c r="G174" s="74"/>
      <c r="K174" s="51"/>
    </row>
    <row r="175" ht="13.5" customHeight="1">
      <c r="E175" s="51"/>
      <c r="F175" s="12"/>
      <c r="G175" s="74"/>
      <c r="K175" s="51"/>
    </row>
    <row r="176" ht="13.5" customHeight="1">
      <c r="E176" s="51"/>
      <c r="F176" s="12"/>
      <c r="G176" s="74"/>
      <c r="K176" s="51"/>
    </row>
    <row r="177" ht="13.5" customHeight="1">
      <c r="E177" s="51"/>
      <c r="F177" s="12"/>
      <c r="G177" s="74"/>
      <c r="K177" s="51"/>
    </row>
    <row r="178" ht="13.5" customHeight="1">
      <c r="E178" s="51"/>
      <c r="F178" s="12"/>
      <c r="G178" s="74"/>
      <c r="K178" s="51"/>
    </row>
    <row r="179" ht="13.5" customHeight="1">
      <c r="E179" s="51"/>
      <c r="F179" s="12"/>
      <c r="G179" s="74"/>
      <c r="K179" s="51"/>
    </row>
    <row r="180" ht="13.5" customHeight="1">
      <c r="E180" s="51"/>
      <c r="F180" s="12"/>
      <c r="G180" s="74"/>
      <c r="K180" s="51"/>
    </row>
    <row r="181" ht="13.5" customHeight="1">
      <c r="E181" s="51"/>
      <c r="F181" s="12"/>
      <c r="G181" s="74"/>
      <c r="K181" s="51"/>
    </row>
    <row r="182" ht="13.5" customHeight="1">
      <c r="E182" s="51"/>
      <c r="F182" s="12"/>
      <c r="G182" s="74"/>
      <c r="K182" s="51"/>
    </row>
    <row r="183" ht="13.5" customHeight="1">
      <c r="E183" s="51"/>
      <c r="F183" s="12"/>
      <c r="G183" s="74"/>
      <c r="K183" s="51"/>
    </row>
    <row r="184" ht="13.5" customHeight="1">
      <c r="E184" s="51"/>
      <c r="F184" s="12"/>
      <c r="G184" s="74"/>
      <c r="K184" s="51"/>
    </row>
    <row r="185" ht="13.5" customHeight="1">
      <c r="E185" s="51"/>
      <c r="F185" s="12"/>
      <c r="G185" s="74"/>
      <c r="K185" s="51"/>
    </row>
    <row r="186" ht="13.5" customHeight="1">
      <c r="E186" s="51"/>
      <c r="F186" s="12"/>
      <c r="G186" s="74"/>
      <c r="K186" s="51"/>
    </row>
    <row r="187" ht="13.5" customHeight="1">
      <c r="E187" s="51"/>
      <c r="F187" s="12"/>
      <c r="G187" s="74"/>
      <c r="K187" s="51"/>
    </row>
    <row r="188" ht="13.5" customHeight="1">
      <c r="E188" s="51"/>
      <c r="F188" s="12"/>
      <c r="G188" s="74"/>
      <c r="K188" s="51"/>
    </row>
    <row r="189" ht="13.5" customHeight="1">
      <c r="E189" s="51"/>
      <c r="F189" s="12"/>
      <c r="G189" s="74"/>
      <c r="K189" s="51"/>
    </row>
    <row r="190" ht="13.5" customHeight="1">
      <c r="E190" s="51"/>
      <c r="F190" s="12"/>
      <c r="G190" s="74"/>
      <c r="K190" s="51"/>
    </row>
    <row r="191" ht="13.5" customHeight="1">
      <c r="E191" s="51"/>
      <c r="F191" s="12"/>
      <c r="G191" s="74"/>
      <c r="K191" s="51"/>
    </row>
    <row r="192" ht="13.5" customHeight="1">
      <c r="E192" s="51"/>
      <c r="F192" s="12"/>
      <c r="G192" s="74"/>
      <c r="K192" s="51"/>
    </row>
    <row r="193" ht="13.5" customHeight="1">
      <c r="E193" s="51"/>
      <c r="F193" s="12"/>
      <c r="G193" s="74"/>
      <c r="K193" s="51"/>
    </row>
    <row r="194" ht="13.5" customHeight="1">
      <c r="E194" s="51"/>
      <c r="F194" s="12"/>
      <c r="G194" s="74"/>
      <c r="K194" s="51"/>
    </row>
    <row r="195" ht="13.5" customHeight="1">
      <c r="E195" s="51"/>
      <c r="F195" s="12"/>
      <c r="G195" s="74"/>
      <c r="K195" s="51"/>
    </row>
    <row r="196" ht="13.5" customHeight="1">
      <c r="E196" s="51"/>
      <c r="F196" s="12"/>
      <c r="G196" s="74"/>
      <c r="K196" s="51"/>
    </row>
    <row r="197" ht="13.5" customHeight="1">
      <c r="E197" s="51"/>
      <c r="F197" s="12"/>
      <c r="G197" s="74"/>
      <c r="K197" s="51"/>
    </row>
    <row r="198" ht="13.5" customHeight="1">
      <c r="E198" s="51"/>
      <c r="F198" s="12"/>
      <c r="G198" s="74"/>
      <c r="K198" s="51"/>
    </row>
    <row r="199" ht="13.5" customHeight="1">
      <c r="E199" s="51"/>
      <c r="F199" s="12"/>
      <c r="G199" s="74"/>
      <c r="K199" s="51"/>
    </row>
    <row r="200" ht="13.5" customHeight="1">
      <c r="E200" s="51"/>
      <c r="F200" s="12"/>
      <c r="G200" s="74"/>
      <c r="K200" s="51"/>
    </row>
    <row r="201" ht="13.5" customHeight="1">
      <c r="E201" s="51"/>
      <c r="F201" s="12"/>
      <c r="G201" s="74"/>
      <c r="K201" s="51"/>
    </row>
    <row r="202" ht="13.5" customHeight="1">
      <c r="E202" s="51"/>
      <c r="F202" s="12"/>
      <c r="G202" s="74"/>
      <c r="K202" s="51"/>
    </row>
    <row r="203" ht="13.5" customHeight="1">
      <c r="E203" s="51"/>
      <c r="F203" s="12"/>
      <c r="G203" s="74"/>
      <c r="K203" s="51"/>
    </row>
    <row r="204" ht="13.5" customHeight="1">
      <c r="E204" s="51"/>
      <c r="F204" s="12"/>
      <c r="G204" s="74"/>
      <c r="K204" s="51"/>
    </row>
    <row r="205" ht="13.5" customHeight="1">
      <c r="E205" s="51"/>
      <c r="F205" s="12"/>
      <c r="G205" s="74"/>
      <c r="K205" s="51"/>
    </row>
    <row r="206" ht="13.5" customHeight="1">
      <c r="E206" s="51"/>
      <c r="F206" s="12"/>
      <c r="G206" s="74"/>
      <c r="K206" s="51"/>
    </row>
    <row r="207" ht="13.5" customHeight="1">
      <c r="E207" s="51"/>
      <c r="F207" s="12"/>
      <c r="G207" s="74"/>
      <c r="K207" s="51"/>
    </row>
    <row r="208" ht="13.5" customHeight="1">
      <c r="E208" s="51"/>
      <c r="F208" s="12"/>
      <c r="G208" s="74"/>
      <c r="K208" s="51"/>
    </row>
    <row r="209" ht="13.5" customHeight="1">
      <c r="E209" s="51"/>
      <c r="F209" s="12"/>
      <c r="G209" s="74"/>
      <c r="K209" s="51"/>
    </row>
    <row r="210" ht="13.5" customHeight="1">
      <c r="E210" s="51"/>
      <c r="F210" s="12"/>
      <c r="G210" s="74"/>
      <c r="K210" s="51"/>
    </row>
    <row r="211" ht="13.5" customHeight="1">
      <c r="E211" s="51"/>
      <c r="F211" s="12"/>
      <c r="G211" s="74"/>
      <c r="K211" s="51"/>
    </row>
    <row r="212" ht="13.5" customHeight="1">
      <c r="E212" s="51"/>
      <c r="F212" s="12"/>
      <c r="G212" s="74"/>
      <c r="K212" s="51"/>
    </row>
    <row r="213" ht="13.5" customHeight="1">
      <c r="E213" s="51"/>
      <c r="F213" s="12"/>
      <c r="G213" s="74"/>
      <c r="K213" s="51"/>
    </row>
    <row r="214" ht="13.5" customHeight="1">
      <c r="E214" s="51"/>
      <c r="F214" s="12"/>
      <c r="G214" s="74"/>
      <c r="K214" s="51"/>
    </row>
    <row r="215" ht="13.5" customHeight="1">
      <c r="E215" s="51"/>
      <c r="F215" s="12"/>
      <c r="G215" s="74"/>
      <c r="K215" s="51"/>
    </row>
    <row r="216" ht="13.5" customHeight="1">
      <c r="E216" s="51"/>
      <c r="F216" s="12"/>
      <c r="G216" s="74"/>
      <c r="K216" s="51"/>
    </row>
    <row r="217" ht="13.5" customHeight="1">
      <c r="E217" s="51"/>
      <c r="F217" s="12"/>
      <c r="G217" s="74"/>
      <c r="K217" s="51"/>
    </row>
    <row r="218" ht="13.5" customHeight="1">
      <c r="E218" s="51"/>
      <c r="F218" s="12"/>
      <c r="G218" s="74"/>
      <c r="K218" s="51"/>
    </row>
    <row r="219" ht="13.5" customHeight="1">
      <c r="E219" s="51"/>
      <c r="F219" s="12"/>
      <c r="G219" s="74"/>
      <c r="K219" s="51"/>
    </row>
    <row r="220" ht="13.5" customHeight="1">
      <c r="E220" s="51"/>
      <c r="F220" s="12"/>
      <c r="G220" s="74"/>
      <c r="K220" s="51"/>
    </row>
    <row r="221" ht="13.5" customHeight="1">
      <c r="E221" s="51"/>
      <c r="F221" s="12"/>
      <c r="G221" s="74"/>
      <c r="K221" s="51"/>
    </row>
    <row r="222" ht="13.5" customHeight="1">
      <c r="E222" s="51"/>
      <c r="F222" s="12"/>
      <c r="G222" s="74"/>
      <c r="K222" s="51"/>
    </row>
    <row r="223" ht="13.5" customHeight="1">
      <c r="E223" s="51"/>
      <c r="F223" s="12"/>
      <c r="G223" s="74"/>
      <c r="K223" s="51"/>
    </row>
    <row r="224" ht="13.5" customHeight="1">
      <c r="E224" s="51"/>
      <c r="F224" s="12"/>
      <c r="G224" s="74"/>
      <c r="K224" s="51"/>
    </row>
    <row r="225" ht="13.5" customHeight="1">
      <c r="E225" s="51"/>
      <c r="F225" s="12"/>
      <c r="G225" s="74"/>
      <c r="K225" s="51"/>
    </row>
    <row r="226" ht="13.5" customHeight="1">
      <c r="E226" s="51"/>
      <c r="F226" s="12"/>
      <c r="G226" s="74"/>
      <c r="K226" s="51"/>
    </row>
    <row r="227" ht="13.5" customHeight="1">
      <c r="E227" s="51"/>
      <c r="F227" s="12"/>
      <c r="G227" s="74"/>
      <c r="K227" s="51"/>
    </row>
    <row r="228" ht="13.5" customHeight="1">
      <c r="E228" s="51"/>
      <c r="F228" s="12"/>
      <c r="G228" s="74"/>
      <c r="K228" s="51"/>
    </row>
    <row r="229" ht="13.5" customHeight="1">
      <c r="E229" s="51"/>
      <c r="F229" s="12"/>
      <c r="G229" s="74"/>
      <c r="K229" s="51"/>
    </row>
    <row r="230" ht="13.5" customHeight="1">
      <c r="E230" s="51"/>
      <c r="F230" s="12"/>
      <c r="G230" s="74"/>
      <c r="K230" s="51"/>
    </row>
    <row r="231" ht="13.5" customHeight="1">
      <c r="E231" s="51"/>
      <c r="F231" s="12"/>
      <c r="G231" s="74"/>
      <c r="K231" s="51"/>
    </row>
    <row r="232" ht="13.5" customHeight="1">
      <c r="E232" s="51"/>
      <c r="F232" s="12"/>
      <c r="G232" s="74"/>
      <c r="K232" s="51"/>
    </row>
    <row r="233" ht="13.5" customHeight="1">
      <c r="E233" s="51"/>
      <c r="F233" s="12"/>
      <c r="G233" s="74"/>
      <c r="K233" s="51"/>
    </row>
    <row r="234" ht="13.5" customHeight="1">
      <c r="E234" s="51"/>
      <c r="F234" s="12"/>
      <c r="G234" s="74"/>
      <c r="K234" s="51"/>
    </row>
    <row r="235" ht="13.5" customHeight="1">
      <c r="E235" s="51"/>
      <c r="F235" s="12"/>
      <c r="G235" s="74"/>
      <c r="K235" s="51"/>
    </row>
    <row r="236" ht="13.5" customHeight="1">
      <c r="E236" s="51"/>
      <c r="F236" s="12"/>
      <c r="G236" s="74"/>
      <c r="K236" s="51"/>
    </row>
    <row r="237" ht="13.5" customHeight="1">
      <c r="E237" s="51"/>
      <c r="F237" s="12"/>
      <c r="G237" s="74"/>
      <c r="K237" s="51"/>
    </row>
    <row r="238" ht="13.5" customHeight="1">
      <c r="E238" s="51"/>
      <c r="F238" s="12"/>
      <c r="G238" s="74"/>
      <c r="K238" s="51"/>
    </row>
    <row r="239" ht="13.5" customHeight="1">
      <c r="E239" s="51"/>
      <c r="F239" s="12"/>
      <c r="G239" s="74"/>
      <c r="K239" s="51"/>
    </row>
    <row r="240" ht="13.5" customHeight="1">
      <c r="E240" s="51"/>
      <c r="F240" s="12"/>
      <c r="G240" s="74"/>
      <c r="K240" s="51"/>
    </row>
    <row r="241" ht="13.5" customHeight="1">
      <c r="E241" s="51"/>
      <c r="F241" s="12"/>
      <c r="G241" s="74"/>
      <c r="K241" s="51"/>
    </row>
    <row r="242" ht="13.5" customHeight="1">
      <c r="E242" s="51"/>
      <c r="F242" s="12"/>
      <c r="G242" s="74"/>
      <c r="K242" s="51"/>
    </row>
    <row r="243" ht="13.5" customHeight="1">
      <c r="E243" s="51"/>
      <c r="F243" s="12"/>
      <c r="G243" s="74"/>
      <c r="K243" s="51"/>
    </row>
    <row r="244" ht="13.5" customHeight="1">
      <c r="E244" s="51"/>
      <c r="F244" s="12"/>
      <c r="G244" s="74"/>
      <c r="K244" s="51"/>
    </row>
    <row r="245" ht="13.5" customHeight="1">
      <c r="E245" s="51"/>
      <c r="F245" s="12"/>
      <c r="G245" s="74"/>
      <c r="K245" s="51"/>
    </row>
    <row r="246" ht="13.5" customHeight="1">
      <c r="E246" s="51"/>
      <c r="F246" s="12"/>
      <c r="G246" s="74"/>
      <c r="K246" s="51"/>
    </row>
    <row r="247" ht="13.5" customHeight="1">
      <c r="E247" s="51"/>
      <c r="F247" s="12"/>
      <c r="G247" s="74"/>
      <c r="K247" s="51"/>
    </row>
    <row r="248" ht="13.5" customHeight="1">
      <c r="E248" s="51"/>
      <c r="F248" s="12"/>
      <c r="G248" s="74"/>
      <c r="K248" s="51"/>
    </row>
    <row r="249" ht="13.5" customHeight="1">
      <c r="E249" s="51"/>
      <c r="F249" s="12"/>
      <c r="G249" s="74"/>
      <c r="K249" s="51"/>
    </row>
    <row r="250" ht="13.5" customHeight="1">
      <c r="E250" s="51"/>
      <c r="F250" s="12"/>
      <c r="G250" s="74"/>
      <c r="K250" s="51"/>
    </row>
    <row r="251" ht="13.5" customHeight="1">
      <c r="E251" s="51"/>
      <c r="F251" s="12"/>
      <c r="G251" s="74"/>
      <c r="K251" s="51"/>
    </row>
    <row r="252" ht="13.5" customHeight="1">
      <c r="E252" s="51"/>
      <c r="F252" s="12"/>
      <c r="G252" s="74"/>
      <c r="K252" s="51"/>
    </row>
    <row r="253" ht="13.5" customHeight="1">
      <c r="E253" s="51"/>
      <c r="F253" s="12"/>
      <c r="G253" s="74"/>
      <c r="K253" s="51"/>
    </row>
    <row r="254" ht="13.5" customHeight="1">
      <c r="E254" s="51"/>
      <c r="F254" s="12"/>
      <c r="G254" s="74"/>
      <c r="K254" s="51"/>
    </row>
    <row r="255" ht="13.5" customHeight="1">
      <c r="E255" s="51"/>
      <c r="F255" s="12"/>
      <c r="G255" s="74"/>
      <c r="K255" s="51"/>
    </row>
    <row r="256" ht="13.5" customHeight="1">
      <c r="E256" s="51"/>
      <c r="F256" s="12"/>
      <c r="G256" s="74"/>
      <c r="K256" s="51"/>
    </row>
    <row r="257" ht="13.5" customHeight="1">
      <c r="E257" s="51"/>
      <c r="F257" s="12"/>
      <c r="G257" s="74"/>
      <c r="K257" s="51"/>
    </row>
    <row r="258" ht="13.5" customHeight="1">
      <c r="E258" s="51"/>
      <c r="F258" s="12"/>
      <c r="G258" s="74"/>
      <c r="K258" s="51"/>
    </row>
    <row r="259" ht="13.5" customHeight="1">
      <c r="E259" s="51"/>
      <c r="F259" s="12"/>
      <c r="G259" s="74"/>
      <c r="K259" s="51"/>
    </row>
    <row r="260" ht="13.5" customHeight="1">
      <c r="E260" s="51"/>
      <c r="F260" s="12"/>
      <c r="G260" s="74"/>
      <c r="K260" s="51"/>
    </row>
    <row r="261" ht="13.5" customHeight="1">
      <c r="E261" s="51"/>
      <c r="F261" s="12"/>
      <c r="G261" s="74"/>
      <c r="K261" s="51"/>
    </row>
    <row r="262" ht="13.5" customHeight="1">
      <c r="E262" s="51"/>
      <c r="F262" s="12"/>
      <c r="G262" s="74"/>
      <c r="K262" s="51"/>
    </row>
    <row r="263" ht="13.5" customHeight="1">
      <c r="E263" s="51"/>
      <c r="F263" s="12"/>
      <c r="G263" s="74"/>
      <c r="K263" s="51"/>
    </row>
    <row r="264" ht="13.5" customHeight="1">
      <c r="E264" s="51"/>
      <c r="F264" s="12"/>
      <c r="G264" s="74"/>
      <c r="K264" s="51"/>
    </row>
    <row r="265" ht="13.5" customHeight="1">
      <c r="E265" s="51"/>
      <c r="F265" s="12"/>
      <c r="G265" s="74"/>
      <c r="K265" s="51"/>
    </row>
    <row r="266" ht="13.5" customHeight="1">
      <c r="E266" s="51"/>
      <c r="F266" s="12"/>
      <c r="G266" s="74"/>
      <c r="K266" s="51"/>
    </row>
    <row r="267" ht="13.5" customHeight="1">
      <c r="E267" s="51"/>
      <c r="F267" s="12"/>
      <c r="G267" s="74"/>
      <c r="K267" s="51"/>
    </row>
    <row r="268" ht="13.5" customHeight="1">
      <c r="E268" s="51"/>
      <c r="F268" s="12"/>
      <c r="G268" s="74"/>
      <c r="K268" s="51"/>
    </row>
    <row r="269" ht="13.5" customHeight="1">
      <c r="E269" s="51"/>
      <c r="F269" s="12"/>
      <c r="G269" s="74"/>
      <c r="K269" s="51"/>
    </row>
    <row r="270" ht="13.5" customHeight="1">
      <c r="E270" s="51"/>
      <c r="F270" s="12"/>
      <c r="G270" s="74"/>
      <c r="K270" s="51"/>
    </row>
    <row r="271" ht="13.5" customHeight="1">
      <c r="E271" s="51"/>
      <c r="F271" s="12"/>
      <c r="G271" s="74"/>
      <c r="K271" s="51"/>
    </row>
    <row r="272" ht="13.5" customHeight="1">
      <c r="E272" s="51"/>
      <c r="F272" s="12"/>
      <c r="G272" s="74"/>
      <c r="K272" s="51"/>
    </row>
    <row r="273" ht="13.5" customHeight="1">
      <c r="E273" s="51"/>
      <c r="F273" s="12"/>
      <c r="G273" s="74"/>
      <c r="K273" s="51"/>
    </row>
    <row r="274" ht="13.5" customHeight="1">
      <c r="E274" s="51"/>
      <c r="F274" s="12"/>
      <c r="G274" s="74"/>
      <c r="K274" s="51"/>
    </row>
    <row r="275" ht="13.5" customHeight="1">
      <c r="E275" s="51"/>
      <c r="F275" s="12"/>
      <c r="G275" s="74"/>
      <c r="K275" s="51"/>
    </row>
    <row r="276" ht="13.5" customHeight="1">
      <c r="E276" s="51"/>
      <c r="F276" s="12"/>
      <c r="G276" s="74"/>
      <c r="K276" s="51"/>
    </row>
    <row r="277" ht="13.5" customHeight="1">
      <c r="E277" s="51"/>
      <c r="F277" s="12"/>
      <c r="G277" s="74"/>
      <c r="K277" s="51"/>
    </row>
    <row r="278" ht="13.5" customHeight="1">
      <c r="E278" s="51"/>
      <c r="F278" s="12"/>
      <c r="G278" s="74"/>
      <c r="K278" s="51"/>
    </row>
    <row r="279" ht="13.5" customHeight="1">
      <c r="E279" s="51"/>
      <c r="F279" s="12"/>
      <c r="G279" s="74"/>
      <c r="K279" s="51"/>
    </row>
    <row r="280" ht="13.5" customHeight="1">
      <c r="E280" s="51"/>
      <c r="F280" s="12"/>
      <c r="G280" s="74"/>
      <c r="K280" s="51"/>
    </row>
    <row r="281" ht="13.5" customHeight="1">
      <c r="E281" s="51"/>
      <c r="F281" s="12"/>
      <c r="G281" s="74"/>
      <c r="K281" s="51"/>
    </row>
    <row r="282" ht="13.5" customHeight="1">
      <c r="E282" s="51"/>
      <c r="F282" s="12"/>
      <c r="G282" s="74"/>
      <c r="K282" s="51"/>
    </row>
    <row r="283" ht="13.5" customHeight="1">
      <c r="E283" s="51"/>
      <c r="F283" s="12"/>
      <c r="G283" s="74"/>
      <c r="K283" s="51"/>
    </row>
    <row r="284" ht="13.5" customHeight="1">
      <c r="E284" s="51"/>
      <c r="F284" s="12"/>
      <c r="G284" s="74"/>
      <c r="K284" s="51"/>
    </row>
    <row r="285" ht="13.5" customHeight="1">
      <c r="E285" s="51"/>
      <c r="F285" s="12"/>
      <c r="G285" s="74"/>
      <c r="K285" s="51"/>
    </row>
    <row r="286" ht="13.5" customHeight="1">
      <c r="E286" s="51"/>
      <c r="F286" s="12"/>
      <c r="G286" s="74"/>
      <c r="K286" s="51"/>
    </row>
    <row r="287" ht="13.5" customHeight="1">
      <c r="E287" s="51"/>
      <c r="F287" s="12"/>
      <c r="G287" s="74"/>
      <c r="K287" s="51"/>
    </row>
    <row r="288" ht="13.5" customHeight="1">
      <c r="E288" s="51"/>
      <c r="F288" s="12"/>
      <c r="G288" s="74"/>
      <c r="K288" s="51"/>
    </row>
    <row r="289" ht="13.5" customHeight="1">
      <c r="E289" s="51"/>
      <c r="F289" s="12"/>
      <c r="G289" s="74"/>
      <c r="K289" s="51"/>
    </row>
    <row r="290" ht="13.5" customHeight="1">
      <c r="E290" s="51"/>
      <c r="F290" s="12"/>
      <c r="G290" s="74"/>
      <c r="K290" s="51"/>
    </row>
    <row r="291" ht="13.5" customHeight="1">
      <c r="E291" s="51"/>
      <c r="F291" s="12"/>
      <c r="G291" s="74"/>
      <c r="K291" s="51"/>
    </row>
    <row r="292" ht="13.5" customHeight="1">
      <c r="E292" s="51"/>
      <c r="F292" s="12"/>
      <c r="G292" s="74"/>
      <c r="K292" s="51"/>
    </row>
    <row r="293" ht="13.5" customHeight="1">
      <c r="E293" s="51"/>
      <c r="F293" s="12"/>
      <c r="G293" s="74"/>
      <c r="K293" s="51"/>
    </row>
    <row r="294" ht="13.5" customHeight="1">
      <c r="E294" s="51"/>
      <c r="F294" s="12"/>
      <c r="G294" s="74"/>
      <c r="K294" s="51"/>
    </row>
    <row r="295" ht="13.5" customHeight="1">
      <c r="E295" s="51"/>
      <c r="F295" s="12"/>
      <c r="G295" s="74"/>
      <c r="K295" s="51"/>
    </row>
    <row r="296" ht="13.5" customHeight="1">
      <c r="E296" s="51"/>
      <c r="F296" s="12"/>
      <c r="G296" s="74"/>
      <c r="K296" s="51"/>
    </row>
    <row r="297" ht="13.5" customHeight="1">
      <c r="E297" s="51"/>
      <c r="F297" s="12"/>
      <c r="G297" s="74"/>
      <c r="K297" s="51"/>
    </row>
    <row r="298" ht="13.5" customHeight="1">
      <c r="E298" s="51"/>
      <c r="F298" s="12"/>
      <c r="G298" s="74"/>
      <c r="K298" s="51"/>
    </row>
    <row r="299" ht="13.5" customHeight="1">
      <c r="E299" s="51"/>
      <c r="F299" s="12"/>
      <c r="G299" s="74"/>
      <c r="K299" s="51"/>
    </row>
    <row r="300" ht="13.5" customHeight="1">
      <c r="E300" s="51"/>
      <c r="F300" s="12"/>
      <c r="G300" s="74"/>
      <c r="K300" s="51"/>
    </row>
    <row r="301" ht="13.5" customHeight="1">
      <c r="E301" s="51"/>
      <c r="F301" s="12"/>
      <c r="G301" s="74"/>
      <c r="K301" s="51"/>
    </row>
    <row r="302" ht="13.5" customHeight="1">
      <c r="E302" s="51"/>
      <c r="F302" s="12"/>
      <c r="G302" s="74"/>
      <c r="K302" s="51"/>
    </row>
    <row r="303" ht="13.5" customHeight="1">
      <c r="E303" s="51"/>
      <c r="F303" s="12"/>
      <c r="G303" s="74"/>
      <c r="K303" s="51"/>
    </row>
    <row r="304" ht="13.5" customHeight="1">
      <c r="E304" s="51"/>
      <c r="F304" s="12"/>
      <c r="G304" s="74"/>
      <c r="K304" s="51"/>
    </row>
    <row r="305" ht="13.5" customHeight="1">
      <c r="E305" s="51"/>
      <c r="F305" s="12"/>
      <c r="G305" s="74"/>
      <c r="K305" s="51"/>
    </row>
    <row r="306" ht="13.5" customHeight="1">
      <c r="E306" s="51"/>
      <c r="F306" s="12"/>
      <c r="G306" s="74"/>
      <c r="K306" s="51"/>
    </row>
    <row r="307" ht="13.5" customHeight="1">
      <c r="E307" s="51"/>
      <c r="F307" s="12"/>
      <c r="G307" s="74"/>
      <c r="K307" s="51"/>
    </row>
    <row r="308" ht="13.5" customHeight="1">
      <c r="E308" s="51"/>
      <c r="F308" s="12"/>
      <c r="G308" s="74"/>
      <c r="K308" s="51"/>
    </row>
    <row r="309" ht="13.5" customHeight="1">
      <c r="E309" s="51"/>
      <c r="F309" s="12"/>
      <c r="G309" s="74"/>
      <c r="K309" s="51"/>
    </row>
    <row r="310" ht="13.5" customHeight="1">
      <c r="E310" s="51"/>
      <c r="F310" s="12"/>
      <c r="G310" s="74"/>
      <c r="K310" s="51"/>
    </row>
    <row r="311" ht="13.5" customHeight="1">
      <c r="E311" s="51"/>
      <c r="F311" s="12"/>
      <c r="G311" s="74"/>
      <c r="K311" s="51"/>
    </row>
    <row r="312" ht="13.5" customHeight="1">
      <c r="E312" s="51"/>
      <c r="F312" s="12"/>
      <c r="G312" s="74"/>
      <c r="K312" s="51"/>
    </row>
    <row r="313" ht="13.5" customHeight="1">
      <c r="E313" s="51"/>
      <c r="F313" s="12"/>
      <c r="G313" s="74"/>
      <c r="K313" s="51"/>
    </row>
    <row r="314" ht="13.5" customHeight="1">
      <c r="E314" s="51"/>
      <c r="F314" s="12"/>
      <c r="G314" s="74"/>
      <c r="K314" s="51"/>
    </row>
    <row r="315" ht="13.5" customHeight="1">
      <c r="E315" s="51"/>
      <c r="F315" s="12"/>
      <c r="G315" s="74"/>
      <c r="K315" s="51"/>
    </row>
    <row r="316" ht="13.5" customHeight="1">
      <c r="E316" s="51"/>
      <c r="F316" s="12"/>
      <c r="G316" s="74"/>
      <c r="K316" s="51"/>
    </row>
    <row r="317" ht="13.5" customHeight="1">
      <c r="E317" s="51"/>
      <c r="F317" s="12"/>
      <c r="G317" s="74"/>
      <c r="K317" s="51"/>
    </row>
    <row r="318" ht="13.5" customHeight="1">
      <c r="E318" s="51"/>
      <c r="F318" s="12"/>
      <c r="G318" s="74"/>
      <c r="K318" s="51"/>
    </row>
    <row r="319" ht="13.5" customHeight="1">
      <c r="E319" s="51"/>
      <c r="F319" s="12"/>
      <c r="G319" s="74"/>
      <c r="K319" s="51"/>
    </row>
    <row r="320" ht="13.5" customHeight="1">
      <c r="E320" s="51"/>
      <c r="F320" s="12"/>
      <c r="G320" s="74"/>
      <c r="K320" s="51"/>
    </row>
    <row r="321" ht="13.5" customHeight="1">
      <c r="E321" s="51"/>
      <c r="F321" s="12"/>
      <c r="G321" s="74"/>
      <c r="K321" s="51"/>
    </row>
    <row r="322" ht="13.5" customHeight="1">
      <c r="E322" s="51"/>
      <c r="F322" s="12"/>
      <c r="G322" s="74"/>
      <c r="K322" s="51"/>
    </row>
    <row r="323" ht="13.5" customHeight="1">
      <c r="E323" s="51"/>
      <c r="F323" s="12"/>
      <c r="G323" s="74"/>
      <c r="K323" s="51"/>
    </row>
    <row r="324" ht="13.5" customHeight="1">
      <c r="E324" s="51"/>
      <c r="F324" s="12"/>
      <c r="G324" s="74"/>
      <c r="K324" s="51"/>
    </row>
    <row r="325" ht="13.5" customHeight="1">
      <c r="E325" s="51"/>
      <c r="F325" s="12"/>
      <c r="G325" s="74"/>
      <c r="K325" s="51"/>
    </row>
    <row r="326" ht="13.5" customHeight="1">
      <c r="E326" s="51"/>
      <c r="F326" s="12"/>
      <c r="G326" s="74"/>
      <c r="K326" s="51"/>
    </row>
    <row r="327" ht="13.5" customHeight="1">
      <c r="E327" s="51"/>
      <c r="F327" s="12"/>
      <c r="G327" s="74"/>
      <c r="K327" s="51"/>
    </row>
    <row r="328" ht="13.5" customHeight="1">
      <c r="E328" s="51"/>
      <c r="F328" s="12"/>
      <c r="G328" s="74"/>
      <c r="K328" s="51"/>
    </row>
    <row r="329" ht="13.5" customHeight="1">
      <c r="E329" s="51"/>
      <c r="F329" s="12"/>
      <c r="G329" s="74"/>
      <c r="K329" s="51"/>
    </row>
    <row r="330" ht="13.5" customHeight="1">
      <c r="E330" s="51"/>
      <c r="F330" s="12"/>
      <c r="G330" s="74"/>
      <c r="K330" s="51"/>
    </row>
    <row r="331" ht="13.5" customHeight="1">
      <c r="E331" s="51"/>
      <c r="F331" s="12"/>
      <c r="G331" s="74"/>
      <c r="K331" s="51"/>
    </row>
    <row r="332" ht="13.5" customHeight="1">
      <c r="E332" s="51"/>
      <c r="F332" s="12"/>
      <c r="G332" s="74"/>
      <c r="K332" s="51"/>
    </row>
    <row r="333" ht="13.5" customHeight="1">
      <c r="E333" s="51"/>
      <c r="F333" s="12"/>
      <c r="G333" s="74"/>
      <c r="K333" s="51"/>
    </row>
    <row r="334" ht="13.5" customHeight="1">
      <c r="E334" s="51"/>
      <c r="F334" s="12"/>
      <c r="G334" s="74"/>
      <c r="K334" s="51"/>
    </row>
    <row r="335" ht="13.5" customHeight="1">
      <c r="E335" s="51"/>
      <c r="F335" s="12"/>
      <c r="G335" s="74"/>
      <c r="K335" s="51"/>
    </row>
    <row r="336" ht="13.5" customHeight="1">
      <c r="E336" s="51"/>
      <c r="F336" s="12"/>
      <c r="G336" s="74"/>
      <c r="K336" s="51"/>
    </row>
    <row r="337" ht="13.5" customHeight="1">
      <c r="E337" s="51"/>
      <c r="F337" s="12"/>
      <c r="G337" s="74"/>
      <c r="K337" s="51"/>
    </row>
    <row r="338" ht="13.5" customHeight="1">
      <c r="E338" s="51"/>
      <c r="F338" s="12"/>
      <c r="G338" s="74"/>
      <c r="K338" s="51"/>
    </row>
    <row r="339" ht="13.5" customHeight="1">
      <c r="E339" s="51"/>
      <c r="F339" s="12"/>
      <c r="G339" s="74"/>
      <c r="K339" s="51"/>
    </row>
    <row r="340" ht="13.5" customHeight="1">
      <c r="E340" s="51"/>
      <c r="F340" s="12"/>
      <c r="G340" s="74"/>
      <c r="K340" s="51"/>
    </row>
    <row r="341" ht="13.5" customHeight="1">
      <c r="E341" s="51"/>
      <c r="F341" s="12"/>
      <c r="G341" s="74"/>
      <c r="K341" s="51"/>
    </row>
    <row r="342" ht="13.5" customHeight="1">
      <c r="E342" s="51"/>
      <c r="F342" s="12"/>
      <c r="G342" s="74"/>
      <c r="K342" s="51"/>
    </row>
    <row r="343" ht="13.5" customHeight="1">
      <c r="E343" s="51"/>
      <c r="F343" s="12"/>
      <c r="G343" s="74"/>
      <c r="K343" s="51"/>
    </row>
    <row r="344" ht="13.5" customHeight="1">
      <c r="E344" s="51"/>
      <c r="F344" s="12"/>
      <c r="G344" s="74"/>
      <c r="K344" s="51"/>
    </row>
    <row r="345" ht="13.5" customHeight="1">
      <c r="E345" s="51"/>
      <c r="F345" s="12"/>
      <c r="G345" s="74"/>
      <c r="K345" s="51"/>
    </row>
    <row r="346" ht="13.5" customHeight="1">
      <c r="E346" s="51"/>
      <c r="F346" s="12"/>
      <c r="G346" s="74"/>
      <c r="K346" s="51"/>
    </row>
    <row r="347" ht="13.5" customHeight="1">
      <c r="E347" s="51"/>
      <c r="F347" s="12"/>
      <c r="G347" s="74"/>
      <c r="K347" s="51"/>
    </row>
    <row r="348" ht="13.5" customHeight="1">
      <c r="E348" s="51"/>
      <c r="F348" s="12"/>
      <c r="G348" s="74"/>
      <c r="K348" s="51"/>
    </row>
    <row r="349" ht="13.5" customHeight="1">
      <c r="E349" s="51"/>
      <c r="F349" s="12"/>
      <c r="G349" s="74"/>
      <c r="K349" s="51"/>
    </row>
    <row r="350" ht="13.5" customHeight="1">
      <c r="E350" s="51"/>
      <c r="F350" s="12"/>
      <c r="G350" s="74"/>
      <c r="K350" s="51"/>
    </row>
    <row r="351" ht="13.5" customHeight="1">
      <c r="E351" s="51"/>
      <c r="F351" s="12"/>
      <c r="G351" s="74"/>
      <c r="K351" s="51"/>
    </row>
    <row r="352" ht="13.5" customHeight="1">
      <c r="E352" s="51"/>
      <c r="F352" s="12"/>
      <c r="G352" s="74"/>
      <c r="K352" s="51"/>
    </row>
    <row r="353" ht="13.5" customHeight="1">
      <c r="E353" s="51"/>
      <c r="F353" s="12"/>
      <c r="G353" s="74"/>
      <c r="K353" s="51"/>
    </row>
    <row r="354" ht="13.5" customHeight="1">
      <c r="E354" s="51"/>
      <c r="F354" s="12"/>
      <c r="G354" s="74"/>
      <c r="K354" s="51"/>
    </row>
    <row r="355" ht="13.5" customHeight="1">
      <c r="E355" s="51"/>
      <c r="F355" s="12"/>
      <c r="G355" s="74"/>
      <c r="K355" s="51"/>
    </row>
    <row r="356" ht="13.5" customHeight="1">
      <c r="E356" s="51"/>
      <c r="F356" s="12"/>
      <c r="G356" s="74"/>
      <c r="K356" s="51"/>
    </row>
    <row r="357" ht="13.5" customHeight="1">
      <c r="E357" s="51"/>
      <c r="F357" s="12"/>
      <c r="G357" s="74"/>
      <c r="K357" s="51"/>
    </row>
    <row r="358" ht="13.5" customHeight="1">
      <c r="E358" s="51"/>
      <c r="F358" s="12"/>
      <c r="G358" s="74"/>
      <c r="K358" s="51"/>
    </row>
    <row r="359" ht="13.5" customHeight="1">
      <c r="E359" s="51"/>
      <c r="F359" s="12"/>
      <c r="G359" s="74"/>
      <c r="K359" s="51"/>
    </row>
    <row r="360" ht="13.5" customHeight="1">
      <c r="E360" s="51"/>
      <c r="F360" s="12"/>
      <c r="G360" s="74"/>
      <c r="K360" s="51"/>
    </row>
    <row r="361" ht="13.5" customHeight="1">
      <c r="E361" s="51"/>
      <c r="F361" s="12"/>
      <c r="G361" s="74"/>
      <c r="K361" s="51"/>
    </row>
    <row r="362" ht="13.5" customHeight="1">
      <c r="E362" s="51"/>
      <c r="F362" s="12"/>
      <c r="G362" s="74"/>
      <c r="K362" s="51"/>
    </row>
    <row r="363" ht="13.5" customHeight="1">
      <c r="E363" s="51"/>
      <c r="F363" s="12"/>
      <c r="G363" s="74"/>
      <c r="K363" s="51"/>
    </row>
    <row r="364" ht="13.5" customHeight="1">
      <c r="E364" s="51"/>
      <c r="F364" s="12"/>
      <c r="G364" s="74"/>
      <c r="K364" s="51"/>
    </row>
    <row r="365" ht="13.5" customHeight="1">
      <c r="E365" s="51"/>
      <c r="F365" s="12"/>
      <c r="G365" s="74"/>
      <c r="K365" s="51"/>
    </row>
    <row r="366" ht="13.5" customHeight="1">
      <c r="E366" s="51"/>
      <c r="F366" s="12"/>
      <c r="G366" s="74"/>
      <c r="K366" s="51"/>
    </row>
    <row r="367" ht="13.5" customHeight="1">
      <c r="E367" s="51"/>
      <c r="F367" s="12"/>
      <c r="G367" s="74"/>
      <c r="K367" s="51"/>
    </row>
    <row r="368" ht="13.5" customHeight="1">
      <c r="E368" s="51"/>
      <c r="F368" s="12"/>
      <c r="G368" s="74"/>
      <c r="K368" s="51"/>
    </row>
    <row r="369" ht="13.5" customHeight="1">
      <c r="E369" s="51"/>
      <c r="F369" s="12"/>
      <c r="G369" s="74"/>
      <c r="K369" s="51"/>
    </row>
    <row r="370" ht="13.5" customHeight="1">
      <c r="E370" s="51"/>
      <c r="F370" s="12"/>
      <c r="G370" s="74"/>
      <c r="K370" s="51"/>
    </row>
    <row r="371" ht="13.5" customHeight="1">
      <c r="E371" s="51"/>
      <c r="F371" s="12"/>
      <c r="G371" s="74"/>
      <c r="K371" s="51"/>
    </row>
    <row r="372" ht="13.5" customHeight="1">
      <c r="E372" s="51"/>
      <c r="F372" s="12"/>
      <c r="G372" s="74"/>
      <c r="K372" s="51"/>
    </row>
    <row r="373" ht="13.5" customHeight="1">
      <c r="E373" s="51"/>
      <c r="F373" s="12"/>
      <c r="G373" s="74"/>
      <c r="K373" s="51"/>
    </row>
    <row r="374" ht="13.5" customHeight="1">
      <c r="E374" s="51"/>
      <c r="F374" s="12"/>
      <c r="G374" s="74"/>
      <c r="K374" s="51"/>
    </row>
    <row r="375" ht="13.5" customHeight="1">
      <c r="E375" s="51"/>
      <c r="F375" s="12"/>
      <c r="G375" s="74"/>
      <c r="K375" s="51"/>
    </row>
    <row r="376" ht="13.5" customHeight="1">
      <c r="E376" s="51"/>
      <c r="F376" s="12"/>
      <c r="G376" s="74"/>
      <c r="K376" s="51"/>
    </row>
    <row r="377" ht="13.5" customHeight="1">
      <c r="E377" s="51"/>
      <c r="F377" s="12"/>
      <c r="G377" s="74"/>
      <c r="K377" s="51"/>
    </row>
    <row r="378" ht="13.5" customHeight="1">
      <c r="E378" s="51"/>
      <c r="F378" s="12"/>
      <c r="G378" s="74"/>
      <c r="K378" s="51"/>
    </row>
    <row r="379" ht="13.5" customHeight="1">
      <c r="E379" s="51"/>
      <c r="F379" s="12"/>
      <c r="G379" s="74"/>
      <c r="K379" s="51"/>
    </row>
    <row r="380" ht="13.5" customHeight="1">
      <c r="E380" s="51"/>
      <c r="F380" s="12"/>
      <c r="G380" s="74"/>
      <c r="K380" s="51"/>
    </row>
    <row r="381" ht="13.5" customHeight="1">
      <c r="E381" s="51"/>
      <c r="F381" s="12"/>
      <c r="G381" s="74"/>
      <c r="K381" s="51"/>
    </row>
    <row r="382" ht="13.5" customHeight="1">
      <c r="E382" s="51"/>
      <c r="F382" s="12"/>
      <c r="G382" s="74"/>
      <c r="K382" s="51"/>
    </row>
    <row r="383" ht="13.5" customHeight="1">
      <c r="E383" s="51"/>
      <c r="F383" s="12"/>
      <c r="G383" s="74"/>
      <c r="K383" s="51"/>
    </row>
    <row r="384" ht="13.5" customHeight="1">
      <c r="E384" s="51"/>
      <c r="F384" s="12"/>
      <c r="G384" s="74"/>
      <c r="K384" s="51"/>
    </row>
    <row r="385" ht="13.5" customHeight="1">
      <c r="E385" s="51"/>
      <c r="F385" s="12"/>
      <c r="G385" s="74"/>
      <c r="K385" s="51"/>
    </row>
    <row r="386" ht="13.5" customHeight="1">
      <c r="E386" s="51"/>
      <c r="F386" s="12"/>
      <c r="G386" s="74"/>
      <c r="K386" s="51"/>
    </row>
    <row r="387" ht="13.5" customHeight="1">
      <c r="E387" s="51"/>
      <c r="F387" s="12"/>
      <c r="G387" s="74"/>
      <c r="K387" s="51"/>
    </row>
    <row r="388" ht="13.5" customHeight="1">
      <c r="E388" s="51"/>
      <c r="F388" s="12"/>
      <c r="G388" s="74"/>
      <c r="K388" s="51"/>
    </row>
    <row r="389" ht="13.5" customHeight="1">
      <c r="E389" s="51"/>
      <c r="F389" s="12"/>
      <c r="G389" s="74"/>
      <c r="K389" s="51"/>
    </row>
    <row r="390" ht="13.5" customHeight="1">
      <c r="E390" s="51"/>
      <c r="F390" s="12"/>
      <c r="G390" s="74"/>
      <c r="K390" s="51"/>
    </row>
    <row r="391" ht="13.5" customHeight="1">
      <c r="E391" s="51"/>
      <c r="F391" s="12"/>
      <c r="G391" s="74"/>
      <c r="K391" s="51"/>
    </row>
    <row r="392" ht="13.5" customHeight="1">
      <c r="E392" s="51"/>
      <c r="F392" s="12"/>
      <c r="G392" s="74"/>
      <c r="K392" s="51"/>
    </row>
    <row r="393" ht="13.5" customHeight="1">
      <c r="E393" s="51"/>
      <c r="F393" s="12"/>
      <c r="G393" s="74"/>
      <c r="K393" s="51"/>
    </row>
    <row r="394" ht="13.5" customHeight="1">
      <c r="E394" s="51"/>
      <c r="F394" s="12"/>
      <c r="G394" s="74"/>
      <c r="K394" s="51"/>
    </row>
    <row r="395" ht="13.5" customHeight="1">
      <c r="E395" s="51"/>
      <c r="F395" s="12"/>
      <c r="G395" s="74"/>
      <c r="K395" s="51"/>
    </row>
    <row r="396" ht="13.5" customHeight="1">
      <c r="E396" s="51"/>
      <c r="F396" s="12"/>
      <c r="G396" s="74"/>
      <c r="K396" s="51"/>
    </row>
    <row r="397" ht="13.5" customHeight="1">
      <c r="E397" s="51"/>
      <c r="F397" s="12"/>
      <c r="G397" s="74"/>
      <c r="K397" s="51"/>
    </row>
    <row r="398" ht="13.5" customHeight="1">
      <c r="E398" s="51"/>
      <c r="F398" s="12"/>
      <c r="G398" s="74"/>
      <c r="K398" s="51"/>
    </row>
    <row r="399" ht="13.5" customHeight="1">
      <c r="E399" s="51"/>
      <c r="F399" s="12"/>
      <c r="G399" s="74"/>
      <c r="K399" s="51"/>
    </row>
    <row r="400" ht="13.5" customHeight="1">
      <c r="E400" s="51"/>
      <c r="F400" s="12"/>
      <c r="G400" s="74"/>
      <c r="K400" s="51"/>
    </row>
    <row r="401" ht="13.5" customHeight="1">
      <c r="E401" s="51"/>
      <c r="F401" s="12"/>
      <c r="G401" s="74"/>
      <c r="K401" s="51"/>
    </row>
    <row r="402" ht="13.5" customHeight="1">
      <c r="E402" s="51"/>
      <c r="F402" s="12"/>
      <c r="G402" s="74"/>
      <c r="K402" s="51"/>
    </row>
    <row r="403" ht="13.5" customHeight="1">
      <c r="E403" s="51"/>
      <c r="F403" s="12"/>
      <c r="G403" s="74"/>
      <c r="K403" s="51"/>
    </row>
    <row r="404" ht="13.5" customHeight="1">
      <c r="E404" s="51"/>
      <c r="F404" s="12"/>
      <c r="G404" s="74"/>
      <c r="K404" s="51"/>
    </row>
    <row r="405" ht="13.5" customHeight="1">
      <c r="E405" s="51"/>
      <c r="F405" s="12"/>
      <c r="G405" s="74"/>
      <c r="K405" s="51"/>
    </row>
    <row r="406" ht="13.5" customHeight="1">
      <c r="E406" s="51"/>
      <c r="F406" s="12"/>
      <c r="G406" s="74"/>
      <c r="K406" s="51"/>
    </row>
    <row r="407" ht="13.5" customHeight="1">
      <c r="E407" s="51"/>
      <c r="F407" s="12"/>
      <c r="G407" s="74"/>
      <c r="K407" s="51"/>
    </row>
    <row r="408" ht="13.5" customHeight="1">
      <c r="E408" s="51"/>
      <c r="F408" s="12"/>
      <c r="G408" s="74"/>
      <c r="K408" s="51"/>
    </row>
    <row r="409" ht="13.5" customHeight="1">
      <c r="E409" s="51"/>
      <c r="F409" s="12"/>
      <c r="G409" s="74"/>
      <c r="K409" s="51"/>
    </row>
    <row r="410" ht="13.5" customHeight="1">
      <c r="E410" s="51"/>
      <c r="F410" s="12"/>
      <c r="G410" s="74"/>
      <c r="K410" s="51"/>
    </row>
    <row r="411" ht="13.5" customHeight="1">
      <c r="E411" s="51"/>
      <c r="F411" s="12"/>
      <c r="G411" s="74"/>
      <c r="K411" s="51"/>
    </row>
    <row r="412" ht="13.5" customHeight="1">
      <c r="E412" s="51"/>
      <c r="F412" s="12"/>
      <c r="G412" s="74"/>
      <c r="K412" s="51"/>
    </row>
    <row r="413" ht="13.5" customHeight="1">
      <c r="E413" s="51"/>
      <c r="F413" s="12"/>
      <c r="G413" s="74"/>
      <c r="K413" s="51"/>
    </row>
    <row r="414" ht="13.5" customHeight="1">
      <c r="E414" s="51"/>
      <c r="F414" s="12"/>
      <c r="G414" s="74"/>
      <c r="K414" s="51"/>
    </row>
    <row r="415" ht="13.5" customHeight="1">
      <c r="E415" s="51"/>
      <c r="F415" s="12"/>
      <c r="G415" s="74"/>
      <c r="K415" s="51"/>
    </row>
    <row r="416" ht="13.5" customHeight="1">
      <c r="E416" s="51"/>
      <c r="F416" s="12"/>
      <c r="G416" s="74"/>
      <c r="K416" s="51"/>
    </row>
    <row r="417" ht="13.5" customHeight="1">
      <c r="E417" s="51"/>
      <c r="F417" s="12"/>
      <c r="G417" s="74"/>
      <c r="K417" s="51"/>
    </row>
    <row r="418" ht="13.5" customHeight="1">
      <c r="E418" s="51"/>
      <c r="F418" s="12"/>
      <c r="G418" s="74"/>
      <c r="K418" s="51"/>
    </row>
    <row r="419" ht="13.5" customHeight="1">
      <c r="E419" s="51"/>
      <c r="F419" s="12"/>
      <c r="G419" s="74"/>
      <c r="K419" s="51"/>
    </row>
    <row r="420" ht="13.5" customHeight="1">
      <c r="E420" s="51"/>
      <c r="F420" s="12"/>
      <c r="G420" s="74"/>
      <c r="K420" s="51"/>
    </row>
    <row r="421" ht="13.5" customHeight="1">
      <c r="E421" s="51"/>
      <c r="F421" s="12"/>
      <c r="G421" s="74"/>
      <c r="K421" s="51"/>
    </row>
    <row r="422" ht="13.5" customHeight="1">
      <c r="E422" s="51"/>
      <c r="F422" s="12"/>
      <c r="G422" s="74"/>
      <c r="K422" s="51"/>
    </row>
    <row r="423" ht="13.5" customHeight="1">
      <c r="E423" s="51"/>
      <c r="F423" s="12"/>
      <c r="G423" s="74"/>
      <c r="K423" s="51"/>
    </row>
    <row r="424" ht="13.5" customHeight="1">
      <c r="E424" s="51"/>
      <c r="F424" s="12"/>
      <c r="G424" s="74"/>
      <c r="K424" s="51"/>
    </row>
    <row r="425" ht="13.5" customHeight="1">
      <c r="E425" s="51"/>
      <c r="F425" s="12"/>
      <c r="G425" s="74"/>
      <c r="K425" s="51"/>
    </row>
    <row r="426" ht="13.5" customHeight="1">
      <c r="E426" s="51"/>
      <c r="F426" s="12"/>
      <c r="G426" s="74"/>
      <c r="K426" s="51"/>
    </row>
    <row r="427" ht="13.5" customHeight="1">
      <c r="E427" s="51"/>
      <c r="F427" s="12"/>
      <c r="G427" s="74"/>
      <c r="K427" s="51"/>
    </row>
    <row r="428" ht="13.5" customHeight="1">
      <c r="E428" s="51"/>
      <c r="F428" s="12"/>
      <c r="G428" s="74"/>
      <c r="K428" s="51"/>
    </row>
    <row r="429" ht="13.5" customHeight="1">
      <c r="E429" s="51"/>
      <c r="F429" s="12"/>
      <c r="G429" s="74"/>
      <c r="K429" s="51"/>
    </row>
    <row r="430" ht="13.5" customHeight="1">
      <c r="E430" s="51"/>
      <c r="F430" s="12"/>
      <c r="G430" s="74"/>
      <c r="K430" s="51"/>
    </row>
    <row r="431" ht="13.5" customHeight="1">
      <c r="E431" s="51"/>
      <c r="F431" s="12"/>
      <c r="G431" s="74"/>
      <c r="K431" s="51"/>
    </row>
    <row r="432" ht="13.5" customHeight="1">
      <c r="E432" s="51"/>
      <c r="F432" s="12"/>
      <c r="G432" s="74"/>
      <c r="K432" s="51"/>
    </row>
    <row r="433" ht="13.5" customHeight="1">
      <c r="E433" s="51"/>
      <c r="F433" s="12"/>
      <c r="G433" s="74"/>
      <c r="K433" s="51"/>
    </row>
    <row r="434" ht="13.5" customHeight="1">
      <c r="E434" s="51"/>
      <c r="F434" s="12"/>
      <c r="G434" s="74"/>
      <c r="K434" s="51"/>
    </row>
    <row r="435" ht="13.5" customHeight="1">
      <c r="E435" s="51"/>
      <c r="F435" s="12"/>
      <c r="G435" s="74"/>
      <c r="K435" s="51"/>
    </row>
    <row r="436" ht="13.5" customHeight="1">
      <c r="E436" s="51"/>
      <c r="F436" s="12"/>
      <c r="G436" s="74"/>
      <c r="K436" s="51"/>
    </row>
    <row r="437" ht="13.5" customHeight="1">
      <c r="E437" s="51"/>
      <c r="F437" s="12"/>
      <c r="G437" s="74"/>
      <c r="K437" s="51"/>
    </row>
    <row r="438" ht="13.5" customHeight="1">
      <c r="E438" s="51"/>
      <c r="F438" s="12"/>
      <c r="G438" s="74"/>
      <c r="K438" s="51"/>
    </row>
    <row r="439" ht="13.5" customHeight="1">
      <c r="E439" s="51"/>
      <c r="F439" s="12"/>
      <c r="G439" s="74"/>
      <c r="K439" s="51"/>
    </row>
    <row r="440" ht="13.5" customHeight="1">
      <c r="E440" s="51"/>
      <c r="F440" s="12"/>
      <c r="G440" s="74"/>
      <c r="K440" s="51"/>
    </row>
    <row r="441" ht="13.5" customHeight="1">
      <c r="E441" s="51"/>
      <c r="F441" s="12"/>
      <c r="G441" s="74"/>
      <c r="K441" s="51"/>
    </row>
    <row r="442" ht="13.5" customHeight="1">
      <c r="E442" s="51"/>
      <c r="F442" s="12"/>
      <c r="G442" s="74"/>
      <c r="K442" s="51"/>
    </row>
    <row r="443" ht="13.5" customHeight="1">
      <c r="E443" s="51"/>
      <c r="F443" s="12"/>
      <c r="G443" s="74"/>
      <c r="K443" s="51"/>
    </row>
    <row r="444" ht="13.5" customHeight="1">
      <c r="E444" s="51"/>
      <c r="F444" s="12"/>
      <c r="G444" s="74"/>
      <c r="K444" s="51"/>
    </row>
    <row r="445" ht="13.5" customHeight="1">
      <c r="E445" s="51"/>
      <c r="F445" s="12"/>
      <c r="G445" s="74"/>
      <c r="K445" s="51"/>
    </row>
    <row r="446" ht="13.5" customHeight="1">
      <c r="E446" s="51"/>
      <c r="F446" s="12"/>
      <c r="G446" s="74"/>
      <c r="K446" s="51"/>
    </row>
    <row r="447" ht="13.5" customHeight="1">
      <c r="E447" s="51"/>
      <c r="F447" s="12"/>
      <c r="G447" s="74"/>
      <c r="K447" s="51"/>
    </row>
    <row r="448" ht="13.5" customHeight="1">
      <c r="E448" s="51"/>
      <c r="F448" s="12"/>
      <c r="G448" s="74"/>
      <c r="K448" s="51"/>
    </row>
    <row r="449" ht="13.5" customHeight="1">
      <c r="E449" s="51"/>
      <c r="F449" s="12"/>
      <c r="G449" s="74"/>
      <c r="K449" s="51"/>
    </row>
    <row r="450" ht="13.5" customHeight="1">
      <c r="E450" s="51"/>
      <c r="F450" s="12"/>
      <c r="G450" s="74"/>
      <c r="K450" s="51"/>
    </row>
    <row r="451" ht="13.5" customHeight="1">
      <c r="E451" s="51"/>
      <c r="F451" s="12"/>
      <c r="G451" s="74"/>
      <c r="K451" s="51"/>
    </row>
    <row r="452" ht="13.5" customHeight="1">
      <c r="E452" s="51"/>
      <c r="F452" s="12"/>
      <c r="G452" s="74"/>
      <c r="K452" s="51"/>
    </row>
    <row r="453" ht="13.5" customHeight="1">
      <c r="E453" s="51"/>
      <c r="F453" s="12"/>
      <c r="G453" s="74"/>
      <c r="K453" s="51"/>
    </row>
    <row r="454" ht="13.5" customHeight="1">
      <c r="E454" s="51"/>
      <c r="F454" s="12"/>
      <c r="G454" s="74"/>
      <c r="K454" s="51"/>
    </row>
    <row r="455" ht="13.5" customHeight="1">
      <c r="E455" s="51"/>
      <c r="F455" s="12"/>
      <c r="G455" s="74"/>
      <c r="K455" s="51"/>
    </row>
    <row r="456" ht="13.5" customHeight="1">
      <c r="E456" s="51"/>
      <c r="F456" s="12"/>
      <c r="G456" s="74"/>
      <c r="K456" s="51"/>
    </row>
    <row r="457" ht="13.5" customHeight="1">
      <c r="E457" s="51"/>
      <c r="F457" s="12"/>
      <c r="G457" s="74"/>
      <c r="K457" s="51"/>
    </row>
    <row r="458" ht="13.5" customHeight="1">
      <c r="E458" s="51"/>
      <c r="F458" s="12"/>
      <c r="G458" s="74"/>
      <c r="K458" s="51"/>
    </row>
    <row r="459" ht="13.5" customHeight="1">
      <c r="E459" s="51"/>
      <c r="F459" s="12"/>
      <c r="G459" s="74"/>
      <c r="K459" s="51"/>
    </row>
    <row r="460" ht="13.5" customHeight="1">
      <c r="E460" s="51"/>
      <c r="F460" s="12"/>
      <c r="G460" s="74"/>
      <c r="K460" s="51"/>
    </row>
    <row r="461" ht="13.5" customHeight="1">
      <c r="E461" s="51"/>
      <c r="F461" s="12"/>
      <c r="G461" s="74"/>
      <c r="K461" s="51"/>
    </row>
    <row r="462" ht="13.5" customHeight="1">
      <c r="E462" s="51"/>
      <c r="F462" s="12"/>
      <c r="G462" s="74"/>
      <c r="K462" s="51"/>
    </row>
    <row r="463" ht="13.5" customHeight="1">
      <c r="E463" s="51"/>
      <c r="F463" s="12"/>
      <c r="G463" s="74"/>
      <c r="K463" s="51"/>
    </row>
    <row r="464" ht="13.5" customHeight="1">
      <c r="E464" s="51"/>
      <c r="F464" s="12"/>
      <c r="G464" s="74"/>
      <c r="K464" s="51"/>
    </row>
    <row r="465" ht="13.5" customHeight="1">
      <c r="E465" s="51"/>
      <c r="F465" s="12"/>
      <c r="G465" s="74"/>
      <c r="K465" s="51"/>
    </row>
    <row r="466" ht="13.5" customHeight="1">
      <c r="E466" s="51"/>
      <c r="F466" s="12"/>
      <c r="G466" s="74"/>
      <c r="K466" s="51"/>
    </row>
    <row r="467" ht="13.5" customHeight="1">
      <c r="E467" s="51"/>
      <c r="F467" s="12"/>
      <c r="G467" s="74"/>
      <c r="K467" s="51"/>
    </row>
    <row r="468" ht="13.5" customHeight="1">
      <c r="E468" s="51"/>
      <c r="F468" s="12"/>
      <c r="G468" s="74"/>
      <c r="K468" s="51"/>
    </row>
    <row r="469" ht="13.5" customHeight="1">
      <c r="E469" s="51"/>
      <c r="F469" s="12"/>
      <c r="G469" s="74"/>
      <c r="K469" s="51"/>
    </row>
    <row r="470" ht="13.5" customHeight="1">
      <c r="E470" s="51"/>
      <c r="F470" s="12"/>
      <c r="G470" s="74"/>
      <c r="K470" s="51"/>
    </row>
    <row r="471" ht="13.5" customHeight="1">
      <c r="E471" s="51"/>
      <c r="F471" s="12"/>
      <c r="G471" s="74"/>
      <c r="K471" s="51"/>
    </row>
    <row r="472" ht="13.5" customHeight="1">
      <c r="E472" s="51"/>
      <c r="F472" s="12"/>
      <c r="G472" s="74"/>
      <c r="K472" s="51"/>
    </row>
    <row r="473" ht="13.5" customHeight="1">
      <c r="E473" s="51"/>
      <c r="F473" s="12"/>
      <c r="G473" s="74"/>
      <c r="K473" s="51"/>
    </row>
    <row r="474" ht="13.5" customHeight="1">
      <c r="E474" s="51"/>
      <c r="F474" s="12"/>
      <c r="G474" s="74"/>
      <c r="K474" s="51"/>
    </row>
    <row r="475" ht="13.5" customHeight="1">
      <c r="E475" s="51"/>
      <c r="F475" s="12"/>
      <c r="G475" s="74"/>
      <c r="K475" s="51"/>
    </row>
    <row r="476" ht="13.5" customHeight="1">
      <c r="E476" s="51"/>
      <c r="F476" s="12"/>
      <c r="G476" s="74"/>
      <c r="K476" s="51"/>
    </row>
    <row r="477" ht="13.5" customHeight="1">
      <c r="E477" s="51"/>
      <c r="F477" s="12"/>
      <c r="G477" s="74"/>
      <c r="K477" s="51"/>
    </row>
    <row r="478" ht="13.5" customHeight="1">
      <c r="E478" s="51"/>
      <c r="F478" s="12"/>
      <c r="G478" s="74"/>
      <c r="K478" s="51"/>
    </row>
    <row r="479" ht="13.5" customHeight="1">
      <c r="E479" s="51"/>
      <c r="F479" s="12"/>
      <c r="G479" s="74"/>
      <c r="K479" s="51"/>
    </row>
    <row r="480" ht="13.5" customHeight="1">
      <c r="E480" s="51"/>
      <c r="F480" s="12"/>
      <c r="G480" s="74"/>
      <c r="K480" s="51"/>
    </row>
    <row r="481" ht="13.5" customHeight="1">
      <c r="E481" s="51"/>
      <c r="F481" s="12"/>
      <c r="G481" s="74"/>
      <c r="K481" s="51"/>
    </row>
    <row r="482" ht="13.5" customHeight="1">
      <c r="E482" s="51"/>
      <c r="F482" s="12"/>
      <c r="G482" s="74"/>
      <c r="K482" s="51"/>
    </row>
    <row r="483" ht="13.5" customHeight="1">
      <c r="E483" s="51"/>
      <c r="F483" s="12"/>
      <c r="G483" s="74"/>
      <c r="K483" s="51"/>
    </row>
    <row r="484" ht="13.5" customHeight="1">
      <c r="E484" s="51"/>
      <c r="F484" s="12"/>
      <c r="G484" s="74"/>
      <c r="K484" s="51"/>
    </row>
    <row r="485" ht="13.5" customHeight="1">
      <c r="E485" s="51"/>
      <c r="F485" s="12"/>
      <c r="G485" s="74"/>
      <c r="K485" s="51"/>
    </row>
    <row r="486" ht="13.5" customHeight="1">
      <c r="E486" s="51"/>
      <c r="F486" s="12"/>
      <c r="G486" s="74"/>
      <c r="K486" s="51"/>
    </row>
    <row r="487" ht="13.5" customHeight="1">
      <c r="E487" s="51"/>
      <c r="F487" s="12"/>
      <c r="G487" s="74"/>
      <c r="K487" s="51"/>
    </row>
    <row r="488" ht="13.5" customHeight="1">
      <c r="E488" s="51"/>
      <c r="F488" s="12"/>
      <c r="G488" s="74"/>
      <c r="K488" s="51"/>
    </row>
    <row r="489" ht="13.5" customHeight="1">
      <c r="E489" s="51"/>
      <c r="F489" s="12"/>
      <c r="G489" s="74"/>
      <c r="K489" s="51"/>
    </row>
    <row r="490" ht="13.5" customHeight="1">
      <c r="E490" s="51"/>
      <c r="F490" s="12"/>
      <c r="G490" s="74"/>
      <c r="K490" s="51"/>
    </row>
    <row r="491" ht="13.5" customHeight="1">
      <c r="E491" s="51"/>
      <c r="F491" s="12"/>
      <c r="G491" s="74"/>
      <c r="K491" s="51"/>
    </row>
    <row r="492" ht="13.5" customHeight="1">
      <c r="E492" s="51"/>
      <c r="F492" s="12"/>
      <c r="G492" s="74"/>
      <c r="K492" s="51"/>
    </row>
    <row r="493" ht="13.5" customHeight="1">
      <c r="E493" s="51"/>
      <c r="F493" s="12"/>
      <c r="G493" s="74"/>
      <c r="K493" s="51"/>
    </row>
    <row r="494" ht="13.5" customHeight="1">
      <c r="E494" s="51"/>
      <c r="F494" s="12"/>
      <c r="G494" s="74"/>
      <c r="K494" s="51"/>
    </row>
    <row r="495" ht="13.5" customHeight="1">
      <c r="E495" s="51"/>
      <c r="F495" s="12"/>
      <c r="G495" s="74"/>
      <c r="K495" s="51"/>
    </row>
    <row r="496" ht="13.5" customHeight="1">
      <c r="E496" s="51"/>
      <c r="F496" s="12"/>
      <c r="G496" s="74"/>
      <c r="K496" s="51"/>
    </row>
    <row r="497" ht="13.5" customHeight="1">
      <c r="E497" s="51"/>
      <c r="F497" s="12"/>
      <c r="G497" s="74"/>
      <c r="K497" s="51"/>
    </row>
    <row r="498" ht="13.5" customHeight="1">
      <c r="E498" s="51"/>
      <c r="F498" s="12"/>
      <c r="G498" s="74"/>
      <c r="K498" s="51"/>
    </row>
    <row r="499" ht="13.5" customHeight="1">
      <c r="E499" s="51"/>
      <c r="F499" s="12"/>
      <c r="G499" s="74"/>
      <c r="K499" s="51"/>
    </row>
    <row r="500" ht="13.5" customHeight="1">
      <c r="E500" s="51"/>
      <c r="F500" s="12"/>
      <c r="G500" s="74"/>
      <c r="K500" s="51"/>
    </row>
    <row r="501" ht="13.5" customHeight="1">
      <c r="E501" s="51"/>
      <c r="F501" s="12"/>
      <c r="G501" s="74"/>
      <c r="K501" s="51"/>
    </row>
    <row r="502" ht="13.5" customHeight="1">
      <c r="E502" s="51"/>
      <c r="F502" s="12"/>
      <c r="G502" s="74"/>
      <c r="K502" s="51"/>
    </row>
    <row r="503" ht="13.5" customHeight="1">
      <c r="E503" s="51"/>
      <c r="F503" s="12"/>
      <c r="G503" s="74"/>
      <c r="K503" s="51"/>
    </row>
    <row r="504" ht="13.5" customHeight="1">
      <c r="E504" s="51"/>
      <c r="F504" s="12"/>
      <c r="G504" s="74"/>
      <c r="K504" s="51"/>
    </row>
    <row r="505" ht="13.5" customHeight="1">
      <c r="E505" s="51"/>
      <c r="F505" s="12"/>
      <c r="G505" s="74"/>
      <c r="K505" s="51"/>
    </row>
    <row r="506" ht="13.5" customHeight="1">
      <c r="E506" s="51"/>
      <c r="F506" s="12"/>
      <c r="G506" s="74"/>
      <c r="K506" s="51"/>
    </row>
    <row r="507" ht="13.5" customHeight="1">
      <c r="E507" s="51"/>
      <c r="F507" s="12"/>
      <c r="G507" s="74"/>
      <c r="K507" s="51"/>
    </row>
    <row r="508" ht="13.5" customHeight="1">
      <c r="E508" s="51"/>
      <c r="F508" s="12"/>
      <c r="G508" s="74"/>
      <c r="K508" s="51"/>
    </row>
    <row r="509" ht="13.5" customHeight="1">
      <c r="E509" s="51"/>
      <c r="F509" s="12"/>
      <c r="G509" s="74"/>
      <c r="K509" s="51"/>
    </row>
    <row r="510" ht="13.5" customHeight="1">
      <c r="E510" s="51"/>
      <c r="F510" s="12"/>
      <c r="G510" s="74"/>
      <c r="K510" s="51"/>
    </row>
    <row r="511" ht="13.5" customHeight="1">
      <c r="E511" s="51"/>
      <c r="F511" s="12"/>
      <c r="G511" s="74"/>
      <c r="K511" s="51"/>
    </row>
    <row r="512" ht="13.5" customHeight="1">
      <c r="E512" s="51"/>
      <c r="F512" s="12"/>
      <c r="G512" s="74"/>
      <c r="K512" s="51"/>
    </row>
    <row r="513" ht="13.5" customHeight="1">
      <c r="E513" s="51"/>
      <c r="F513" s="12"/>
      <c r="G513" s="74"/>
      <c r="K513" s="51"/>
    </row>
    <row r="514" ht="13.5" customHeight="1">
      <c r="E514" s="51"/>
      <c r="F514" s="12"/>
      <c r="G514" s="74"/>
      <c r="K514" s="51"/>
    </row>
    <row r="515" ht="13.5" customHeight="1">
      <c r="E515" s="51"/>
      <c r="F515" s="12"/>
      <c r="G515" s="74"/>
      <c r="K515" s="51"/>
    </row>
    <row r="516" ht="13.5" customHeight="1">
      <c r="E516" s="51"/>
      <c r="F516" s="12"/>
      <c r="G516" s="74"/>
      <c r="K516" s="51"/>
    </row>
    <row r="517" ht="13.5" customHeight="1">
      <c r="E517" s="51"/>
      <c r="F517" s="12"/>
      <c r="G517" s="74"/>
      <c r="K517" s="51"/>
    </row>
    <row r="518" ht="13.5" customHeight="1">
      <c r="E518" s="51"/>
      <c r="F518" s="12"/>
      <c r="G518" s="74"/>
      <c r="K518" s="51"/>
    </row>
    <row r="519" ht="13.5" customHeight="1">
      <c r="E519" s="51"/>
      <c r="F519" s="12"/>
      <c r="G519" s="74"/>
      <c r="K519" s="51"/>
    </row>
    <row r="520" ht="13.5" customHeight="1">
      <c r="E520" s="51"/>
      <c r="F520" s="12"/>
      <c r="G520" s="74"/>
      <c r="K520" s="51"/>
    </row>
    <row r="521" ht="13.5" customHeight="1">
      <c r="E521" s="51"/>
      <c r="F521" s="12"/>
      <c r="G521" s="74"/>
      <c r="K521" s="51"/>
    </row>
    <row r="522" ht="13.5" customHeight="1">
      <c r="E522" s="51"/>
      <c r="F522" s="12"/>
      <c r="G522" s="74"/>
      <c r="K522" s="51"/>
    </row>
    <row r="523" ht="13.5" customHeight="1">
      <c r="E523" s="51"/>
      <c r="F523" s="12"/>
      <c r="G523" s="74"/>
      <c r="K523" s="51"/>
    </row>
    <row r="524" ht="13.5" customHeight="1">
      <c r="E524" s="51"/>
      <c r="F524" s="12"/>
      <c r="G524" s="74"/>
      <c r="K524" s="51"/>
    </row>
    <row r="525" ht="13.5" customHeight="1">
      <c r="E525" s="51"/>
      <c r="F525" s="12"/>
      <c r="G525" s="74"/>
      <c r="K525" s="51"/>
    </row>
    <row r="526" ht="13.5" customHeight="1">
      <c r="E526" s="51"/>
      <c r="F526" s="12"/>
      <c r="G526" s="74"/>
      <c r="K526" s="51"/>
    </row>
    <row r="527" ht="13.5" customHeight="1">
      <c r="E527" s="51"/>
      <c r="F527" s="12"/>
      <c r="G527" s="74"/>
      <c r="K527" s="51"/>
    </row>
    <row r="528" ht="13.5" customHeight="1">
      <c r="E528" s="51"/>
      <c r="F528" s="12"/>
      <c r="G528" s="74"/>
      <c r="K528" s="51"/>
    </row>
    <row r="529" ht="13.5" customHeight="1">
      <c r="E529" s="51"/>
      <c r="F529" s="12"/>
      <c r="G529" s="74"/>
      <c r="K529" s="51"/>
    </row>
    <row r="530" ht="13.5" customHeight="1">
      <c r="E530" s="51"/>
      <c r="F530" s="12"/>
      <c r="G530" s="74"/>
      <c r="K530" s="51"/>
    </row>
    <row r="531" ht="13.5" customHeight="1">
      <c r="E531" s="51"/>
      <c r="F531" s="12"/>
      <c r="G531" s="74"/>
      <c r="K531" s="51"/>
    </row>
    <row r="532" ht="13.5" customHeight="1">
      <c r="E532" s="51"/>
      <c r="F532" s="12"/>
      <c r="G532" s="74"/>
      <c r="K532" s="51"/>
    </row>
    <row r="533" ht="13.5" customHeight="1">
      <c r="E533" s="51"/>
      <c r="F533" s="12"/>
      <c r="G533" s="74"/>
      <c r="K533" s="51"/>
    </row>
    <row r="534" ht="13.5" customHeight="1">
      <c r="E534" s="51"/>
      <c r="F534" s="12"/>
      <c r="G534" s="74"/>
      <c r="K534" s="51"/>
    </row>
    <row r="535" ht="13.5" customHeight="1">
      <c r="E535" s="51"/>
      <c r="F535" s="12"/>
      <c r="G535" s="74"/>
      <c r="K535" s="51"/>
    </row>
    <row r="536" ht="13.5" customHeight="1">
      <c r="E536" s="51"/>
      <c r="F536" s="12"/>
      <c r="G536" s="74"/>
      <c r="K536" s="51"/>
    </row>
    <row r="537" ht="13.5" customHeight="1">
      <c r="E537" s="51"/>
      <c r="F537" s="12"/>
      <c r="G537" s="74"/>
      <c r="K537" s="51"/>
    </row>
    <row r="538" ht="13.5" customHeight="1">
      <c r="E538" s="51"/>
      <c r="F538" s="12"/>
      <c r="G538" s="74"/>
      <c r="K538" s="51"/>
    </row>
    <row r="539" ht="13.5" customHeight="1">
      <c r="E539" s="51"/>
      <c r="F539" s="12"/>
      <c r="G539" s="74"/>
      <c r="K539" s="51"/>
    </row>
    <row r="540" ht="13.5" customHeight="1">
      <c r="E540" s="51"/>
      <c r="F540" s="12"/>
      <c r="G540" s="74"/>
      <c r="K540" s="51"/>
    </row>
    <row r="541" ht="13.5" customHeight="1">
      <c r="E541" s="51"/>
      <c r="F541" s="12"/>
      <c r="G541" s="74"/>
      <c r="K541" s="51"/>
    </row>
    <row r="542" ht="13.5" customHeight="1">
      <c r="E542" s="51"/>
      <c r="F542" s="12"/>
      <c r="G542" s="74"/>
      <c r="K542" s="51"/>
    </row>
    <row r="543" ht="13.5" customHeight="1">
      <c r="E543" s="51"/>
      <c r="F543" s="12"/>
      <c r="G543" s="74"/>
      <c r="K543" s="51"/>
    </row>
    <row r="544" ht="13.5" customHeight="1">
      <c r="E544" s="51"/>
      <c r="F544" s="12"/>
      <c r="G544" s="74"/>
      <c r="K544" s="51"/>
    </row>
    <row r="545" ht="13.5" customHeight="1">
      <c r="E545" s="51"/>
      <c r="F545" s="12"/>
      <c r="G545" s="74"/>
      <c r="K545" s="51"/>
    </row>
    <row r="546" ht="13.5" customHeight="1">
      <c r="E546" s="51"/>
      <c r="F546" s="12"/>
      <c r="G546" s="74"/>
      <c r="K546" s="51"/>
    </row>
    <row r="547" ht="13.5" customHeight="1">
      <c r="E547" s="51"/>
      <c r="F547" s="12"/>
      <c r="G547" s="74"/>
      <c r="K547" s="51"/>
    </row>
    <row r="548" ht="13.5" customHeight="1">
      <c r="E548" s="51"/>
      <c r="F548" s="12"/>
      <c r="G548" s="74"/>
      <c r="K548" s="51"/>
    </row>
    <row r="549" ht="13.5" customHeight="1">
      <c r="E549" s="51"/>
      <c r="F549" s="12"/>
      <c r="G549" s="74"/>
      <c r="K549" s="51"/>
    </row>
    <row r="550" ht="13.5" customHeight="1">
      <c r="E550" s="51"/>
      <c r="F550" s="12"/>
      <c r="G550" s="74"/>
      <c r="K550" s="51"/>
    </row>
    <row r="551" ht="13.5" customHeight="1">
      <c r="E551" s="51"/>
      <c r="F551" s="12"/>
      <c r="G551" s="74"/>
      <c r="K551" s="51"/>
    </row>
    <row r="552" ht="13.5" customHeight="1">
      <c r="E552" s="51"/>
      <c r="F552" s="12"/>
      <c r="G552" s="74"/>
      <c r="K552" s="51"/>
    </row>
    <row r="553" ht="13.5" customHeight="1">
      <c r="E553" s="51"/>
      <c r="F553" s="12"/>
      <c r="G553" s="74"/>
      <c r="K553" s="51"/>
    </row>
    <row r="554" ht="13.5" customHeight="1">
      <c r="E554" s="51"/>
      <c r="F554" s="12"/>
      <c r="G554" s="74"/>
      <c r="K554" s="51"/>
    </row>
    <row r="555" ht="13.5" customHeight="1">
      <c r="E555" s="51"/>
      <c r="F555" s="12"/>
      <c r="G555" s="74"/>
      <c r="K555" s="51"/>
    </row>
    <row r="556" ht="13.5" customHeight="1">
      <c r="E556" s="51"/>
      <c r="F556" s="12"/>
      <c r="G556" s="74"/>
      <c r="K556" s="51"/>
    </row>
    <row r="557" ht="13.5" customHeight="1">
      <c r="E557" s="51"/>
      <c r="F557" s="12"/>
      <c r="G557" s="74"/>
      <c r="K557" s="51"/>
    </row>
    <row r="558" ht="13.5" customHeight="1">
      <c r="E558" s="51"/>
      <c r="F558" s="12"/>
      <c r="G558" s="74"/>
      <c r="K558" s="51"/>
    </row>
    <row r="559" ht="13.5" customHeight="1">
      <c r="E559" s="51"/>
      <c r="F559" s="12"/>
      <c r="G559" s="74"/>
      <c r="K559" s="51"/>
    </row>
    <row r="560" ht="13.5" customHeight="1">
      <c r="E560" s="51"/>
      <c r="F560" s="12"/>
      <c r="G560" s="74"/>
      <c r="K560" s="51"/>
    </row>
    <row r="561" ht="13.5" customHeight="1">
      <c r="E561" s="51"/>
      <c r="F561" s="12"/>
      <c r="G561" s="74"/>
      <c r="K561" s="51"/>
    </row>
    <row r="562" ht="13.5" customHeight="1">
      <c r="E562" s="51"/>
      <c r="F562" s="12"/>
      <c r="G562" s="74"/>
      <c r="K562" s="51"/>
    </row>
    <row r="563" ht="13.5" customHeight="1">
      <c r="E563" s="51"/>
      <c r="F563" s="12"/>
      <c r="G563" s="74"/>
      <c r="K563" s="51"/>
    </row>
    <row r="564" ht="13.5" customHeight="1">
      <c r="E564" s="51"/>
      <c r="F564" s="12"/>
      <c r="G564" s="74"/>
      <c r="K564" s="51"/>
    </row>
    <row r="565" ht="13.5" customHeight="1">
      <c r="E565" s="51"/>
      <c r="F565" s="12"/>
      <c r="G565" s="74"/>
      <c r="K565" s="51"/>
    </row>
    <row r="566" ht="13.5" customHeight="1">
      <c r="E566" s="51"/>
      <c r="F566" s="12"/>
      <c r="G566" s="74"/>
      <c r="K566" s="51"/>
    </row>
    <row r="567" ht="13.5" customHeight="1">
      <c r="E567" s="51"/>
      <c r="F567" s="12"/>
      <c r="G567" s="74"/>
      <c r="K567" s="51"/>
    </row>
    <row r="568" ht="13.5" customHeight="1">
      <c r="E568" s="51"/>
      <c r="F568" s="12"/>
      <c r="G568" s="74"/>
      <c r="K568" s="51"/>
    </row>
    <row r="569" ht="13.5" customHeight="1">
      <c r="E569" s="51"/>
      <c r="F569" s="12"/>
      <c r="G569" s="74"/>
      <c r="K569" s="51"/>
    </row>
    <row r="570" ht="13.5" customHeight="1">
      <c r="E570" s="51"/>
      <c r="F570" s="12"/>
      <c r="G570" s="74"/>
      <c r="K570" s="51"/>
    </row>
    <row r="571" ht="13.5" customHeight="1">
      <c r="E571" s="51"/>
      <c r="F571" s="12"/>
      <c r="G571" s="74"/>
      <c r="K571" s="51"/>
    </row>
    <row r="572" ht="13.5" customHeight="1">
      <c r="E572" s="51"/>
      <c r="F572" s="12"/>
      <c r="G572" s="74"/>
      <c r="K572" s="51"/>
    </row>
    <row r="573" ht="13.5" customHeight="1">
      <c r="E573" s="51"/>
      <c r="F573" s="12"/>
      <c r="G573" s="74"/>
      <c r="K573" s="51"/>
    </row>
    <row r="574" ht="13.5" customHeight="1">
      <c r="E574" s="51"/>
      <c r="F574" s="12"/>
      <c r="G574" s="74"/>
      <c r="K574" s="51"/>
    </row>
    <row r="575" ht="13.5" customHeight="1">
      <c r="E575" s="51"/>
      <c r="F575" s="12"/>
      <c r="G575" s="74"/>
      <c r="K575" s="51"/>
    </row>
    <row r="576" ht="13.5" customHeight="1">
      <c r="E576" s="51"/>
      <c r="F576" s="12"/>
      <c r="G576" s="74"/>
      <c r="K576" s="51"/>
    </row>
    <row r="577" ht="13.5" customHeight="1">
      <c r="E577" s="51"/>
      <c r="F577" s="12"/>
      <c r="G577" s="74"/>
      <c r="K577" s="51"/>
    </row>
    <row r="578" ht="13.5" customHeight="1">
      <c r="E578" s="51"/>
      <c r="F578" s="12"/>
      <c r="G578" s="74"/>
      <c r="K578" s="51"/>
    </row>
    <row r="579" ht="13.5" customHeight="1">
      <c r="E579" s="51"/>
      <c r="F579" s="12"/>
      <c r="G579" s="74"/>
      <c r="K579" s="51"/>
    </row>
    <row r="580" ht="13.5" customHeight="1">
      <c r="E580" s="51"/>
      <c r="F580" s="12"/>
      <c r="G580" s="74"/>
      <c r="K580" s="51"/>
    </row>
    <row r="581" ht="13.5" customHeight="1">
      <c r="E581" s="51"/>
      <c r="F581" s="12"/>
      <c r="G581" s="74"/>
      <c r="K581" s="51"/>
    </row>
    <row r="582" ht="13.5" customHeight="1">
      <c r="E582" s="51"/>
      <c r="F582" s="12"/>
      <c r="G582" s="74"/>
      <c r="K582" s="51"/>
    </row>
    <row r="583" ht="13.5" customHeight="1">
      <c r="E583" s="51"/>
      <c r="F583" s="12"/>
      <c r="G583" s="74"/>
      <c r="K583" s="51"/>
    </row>
    <row r="584" ht="13.5" customHeight="1">
      <c r="E584" s="51"/>
      <c r="F584" s="12"/>
      <c r="G584" s="74"/>
      <c r="K584" s="51"/>
    </row>
    <row r="585" ht="13.5" customHeight="1">
      <c r="E585" s="51"/>
      <c r="F585" s="12"/>
      <c r="G585" s="74"/>
      <c r="K585" s="51"/>
    </row>
    <row r="586" ht="13.5" customHeight="1">
      <c r="E586" s="51"/>
      <c r="F586" s="12"/>
      <c r="G586" s="74"/>
      <c r="K586" s="51"/>
    </row>
    <row r="587" ht="13.5" customHeight="1">
      <c r="E587" s="51"/>
      <c r="F587" s="12"/>
      <c r="G587" s="74"/>
      <c r="K587" s="51"/>
    </row>
    <row r="588" ht="13.5" customHeight="1">
      <c r="E588" s="51"/>
      <c r="F588" s="12"/>
      <c r="G588" s="74"/>
      <c r="K588" s="51"/>
    </row>
    <row r="589" ht="13.5" customHeight="1">
      <c r="E589" s="51"/>
      <c r="F589" s="12"/>
      <c r="G589" s="74"/>
      <c r="K589" s="51"/>
    </row>
    <row r="590" ht="13.5" customHeight="1">
      <c r="E590" s="51"/>
      <c r="F590" s="12"/>
      <c r="G590" s="74"/>
      <c r="K590" s="51"/>
    </row>
    <row r="591" ht="13.5" customHeight="1">
      <c r="E591" s="51"/>
      <c r="F591" s="12"/>
      <c r="G591" s="74"/>
      <c r="K591" s="51"/>
    </row>
    <row r="592" ht="13.5" customHeight="1">
      <c r="E592" s="51"/>
      <c r="F592" s="12"/>
      <c r="G592" s="74"/>
      <c r="K592" s="51"/>
    </row>
    <row r="593" ht="13.5" customHeight="1">
      <c r="E593" s="51"/>
      <c r="F593" s="12"/>
      <c r="G593" s="74"/>
      <c r="K593" s="51"/>
    </row>
    <row r="594" ht="13.5" customHeight="1">
      <c r="E594" s="51"/>
      <c r="F594" s="12"/>
      <c r="G594" s="74"/>
      <c r="K594" s="51"/>
    </row>
    <row r="595" ht="13.5" customHeight="1">
      <c r="E595" s="51"/>
      <c r="F595" s="12"/>
      <c r="G595" s="74"/>
      <c r="K595" s="51"/>
    </row>
    <row r="596" ht="13.5" customHeight="1">
      <c r="E596" s="51"/>
      <c r="F596" s="12"/>
      <c r="G596" s="74"/>
      <c r="K596" s="51"/>
    </row>
    <row r="597" ht="13.5" customHeight="1">
      <c r="E597" s="51"/>
      <c r="F597" s="12"/>
      <c r="G597" s="74"/>
      <c r="K597" s="51"/>
    </row>
    <row r="598" ht="13.5" customHeight="1">
      <c r="E598" s="51"/>
      <c r="F598" s="12"/>
      <c r="G598" s="74"/>
      <c r="K598" s="51"/>
    </row>
    <row r="599" ht="13.5" customHeight="1">
      <c r="E599" s="51"/>
      <c r="F599" s="12"/>
      <c r="G599" s="74"/>
      <c r="K599" s="51"/>
    </row>
    <row r="600" ht="13.5" customHeight="1">
      <c r="E600" s="51"/>
      <c r="F600" s="12"/>
      <c r="G600" s="74"/>
      <c r="K600" s="51"/>
    </row>
    <row r="601" ht="13.5" customHeight="1">
      <c r="E601" s="51"/>
      <c r="F601" s="12"/>
      <c r="G601" s="74"/>
      <c r="K601" s="51"/>
    </row>
    <row r="602" ht="13.5" customHeight="1">
      <c r="E602" s="51"/>
      <c r="F602" s="12"/>
      <c r="G602" s="74"/>
      <c r="K602" s="51"/>
    </row>
    <row r="603" ht="13.5" customHeight="1">
      <c r="E603" s="51"/>
      <c r="F603" s="12"/>
      <c r="G603" s="74"/>
      <c r="K603" s="51"/>
    </row>
    <row r="604" ht="13.5" customHeight="1">
      <c r="E604" s="51"/>
      <c r="F604" s="12"/>
      <c r="G604" s="74"/>
      <c r="K604" s="51"/>
    </row>
    <row r="605" ht="13.5" customHeight="1">
      <c r="E605" s="51"/>
      <c r="F605" s="12"/>
      <c r="G605" s="74"/>
      <c r="K605" s="51"/>
    </row>
    <row r="606" ht="13.5" customHeight="1">
      <c r="E606" s="51"/>
      <c r="F606" s="12"/>
      <c r="G606" s="74"/>
      <c r="K606" s="51"/>
    </row>
    <row r="607" ht="13.5" customHeight="1">
      <c r="E607" s="51"/>
      <c r="F607" s="12"/>
      <c r="G607" s="74"/>
      <c r="K607" s="51"/>
    </row>
    <row r="608" ht="13.5" customHeight="1">
      <c r="E608" s="51"/>
      <c r="F608" s="12"/>
      <c r="G608" s="74"/>
      <c r="K608" s="51"/>
    </row>
    <row r="609" ht="13.5" customHeight="1">
      <c r="E609" s="51"/>
      <c r="F609" s="12"/>
      <c r="G609" s="74"/>
      <c r="K609" s="51"/>
    </row>
    <row r="610" ht="13.5" customHeight="1">
      <c r="E610" s="51"/>
      <c r="F610" s="12"/>
      <c r="G610" s="74"/>
      <c r="K610" s="51"/>
    </row>
    <row r="611" ht="13.5" customHeight="1">
      <c r="E611" s="51"/>
      <c r="F611" s="12"/>
      <c r="G611" s="74"/>
      <c r="K611" s="51"/>
    </row>
    <row r="612" ht="13.5" customHeight="1">
      <c r="E612" s="51"/>
      <c r="F612" s="12"/>
      <c r="G612" s="74"/>
      <c r="K612" s="51"/>
    </row>
    <row r="613" ht="13.5" customHeight="1">
      <c r="E613" s="51"/>
      <c r="F613" s="12"/>
      <c r="G613" s="74"/>
      <c r="K613" s="51"/>
    </row>
    <row r="614" ht="13.5" customHeight="1">
      <c r="E614" s="51"/>
      <c r="F614" s="12"/>
      <c r="G614" s="74"/>
      <c r="K614" s="51"/>
    </row>
    <row r="615" ht="13.5" customHeight="1">
      <c r="E615" s="51"/>
      <c r="F615" s="12"/>
      <c r="G615" s="74"/>
      <c r="K615" s="51"/>
    </row>
    <row r="616" ht="13.5" customHeight="1">
      <c r="E616" s="51"/>
      <c r="F616" s="12"/>
      <c r="G616" s="74"/>
      <c r="K616" s="51"/>
    </row>
    <row r="617" ht="13.5" customHeight="1">
      <c r="E617" s="51"/>
      <c r="F617" s="12"/>
      <c r="G617" s="74"/>
      <c r="K617" s="51"/>
    </row>
    <row r="618" ht="13.5" customHeight="1">
      <c r="E618" s="51"/>
      <c r="F618" s="12"/>
      <c r="G618" s="74"/>
      <c r="K618" s="51"/>
    </row>
    <row r="619" ht="13.5" customHeight="1">
      <c r="E619" s="51"/>
      <c r="F619" s="12"/>
      <c r="G619" s="74"/>
      <c r="K619" s="51"/>
    </row>
    <row r="620" ht="13.5" customHeight="1">
      <c r="E620" s="51"/>
      <c r="F620" s="12"/>
      <c r="G620" s="74"/>
      <c r="K620" s="51"/>
    </row>
    <row r="621" ht="13.5" customHeight="1">
      <c r="E621" s="51"/>
      <c r="F621" s="12"/>
      <c r="G621" s="74"/>
      <c r="K621" s="51"/>
    </row>
    <row r="622" ht="13.5" customHeight="1">
      <c r="E622" s="51"/>
      <c r="F622" s="12"/>
      <c r="G622" s="74"/>
      <c r="K622" s="51"/>
    </row>
    <row r="623" ht="13.5" customHeight="1">
      <c r="E623" s="51"/>
      <c r="F623" s="12"/>
      <c r="G623" s="74"/>
      <c r="K623" s="51"/>
    </row>
    <row r="624" ht="13.5" customHeight="1">
      <c r="E624" s="51"/>
      <c r="F624" s="12"/>
      <c r="G624" s="74"/>
      <c r="K624" s="51"/>
    </row>
    <row r="625" ht="13.5" customHeight="1">
      <c r="E625" s="51"/>
      <c r="F625" s="12"/>
      <c r="G625" s="74"/>
      <c r="K625" s="51"/>
    </row>
    <row r="626" ht="13.5" customHeight="1">
      <c r="E626" s="51"/>
      <c r="F626" s="12"/>
      <c r="G626" s="74"/>
      <c r="K626" s="51"/>
    </row>
    <row r="627" ht="13.5" customHeight="1">
      <c r="E627" s="51"/>
      <c r="F627" s="12"/>
      <c r="G627" s="74"/>
      <c r="K627" s="51"/>
    </row>
    <row r="628" ht="13.5" customHeight="1">
      <c r="E628" s="51"/>
      <c r="F628" s="12"/>
      <c r="G628" s="74"/>
      <c r="K628" s="51"/>
    </row>
    <row r="629" ht="13.5" customHeight="1">
      <c r="E629" s="51"/>
      <c r="F629" s="12"/>
      <c r="G629" s="74"/>
      <c r="K629" s="51"/>
    </row>
    <row r="630" ht="13.5" customHeight="1">
      <c r="E630" s="51"/>
      <c r="F630" s="12"/>
      <c r="G630" s="74"/>
      <c r="K630" s="51"/>
    </row>
    <row r="631" ht="13.5" customHeight="1">
      <c r="E631" s="51"/>
      <c r="F631" s="12"/>
      <c r="G631" s="74"/>
      <c r="K631" s="51"/>
    </row>
    <row r="632" ht="13.5" customHeight="1">
      <c r="E632" s="51"/>
      <c r="F632" s="12"/>
      <c r="G632" s="74"/>
      <c r="K632" s="51"/>
    </row>
    <row r="633" ht="13.5" customHeight="1">
      <c r="E633" s="51"/>
      <c r="F633" s="12"/>
      <c r="G633" s="74"/>
      <c r="K633" s="51"/>
    </row>
    <row r="634" ht="13.5" customHeight="1">
      <c r="E634" s="51"/>
      <c r="F634" s="12"/>
      <c r="G634" s="74"/>
      <c r="K634" s="51"/>
    </row>
    <row r="635" ht="13.5" customHeight="1">
      <c r="E635" s="51"/>
      <c r="F635" s="12"/>
      <c r="G635" s="74"/>
      <c r="K635" s="51"/>
    </row>
    <row r="636" ht="13.5" customHeight="1">
      <c r="E636" s="51"/>
      <c r="F636" s="12"/>
      <c r="G636" s="74"/>
      <c r="K636" s="51"/>
    </row>
    <row r="637" ht="13.5" customHeight="1">
      <c r="E637" s="51"/>
      <c r="F637" s="12"/>
      <c r="G637" s="74"/>
      <c r="K637" s="51"/>
    </row>
    <row r="638" ht="13.5" customHeight="1">
      <c r="E638" s="51"/>
      <c r="F638" s="12"/>
      <c r="G638" s="74"/>
      <c r="K638" s="51"/>
    </row>
    <row r="639" ht="13.5" customHeight="1">
      <c r="E639" s="51"/>
      <c r="F639" s="12"/>
      <c r="G639" s="74"/>
      <c r="K639" s="51"/>
    </row>
    <row r="640" ht="13.5" customHeight="1">
      <c r="E640" s="51"/>
      <c r="F640" s="12"/>
      <c r="G640" s="74"/>
      <c r="K640" s="51"/>
    </row>
    <row r="641" ht="13.5" customHeight="1">
      <c r="E641" s="51"/>
      <c r="F641" s="12"/>
      <c r="G641" s="74"/>
      <c r="K641" s="51"/>
    </row>
    <row r="642" ht="13.5" customHeight="1">
      <c r="E642" s="51"/>
      <c r="F642" s="12"/>
      <c r="G642" s="74"/>
      <c r="K642" s="51"/>
    </row>
    <row r="643" ht="13.5" customHeight="1">
      <c r="E643" s="51"/>
      <c r="F643" s="12"/>
      <c r="G643" s="74"/>
      <c r="K643" s="51"/>
    </row>
    <row r="644" ht="13.5" customHeight="1">
      <c r="E644" s="51"/>
      <c r="F644" s="12"/>
      <c r="G644" s="74"/>
      <c r="K644" s="51"/>
    </row>
    <row r="645" ht="13.5" customHeight="1">
      <c r="E645" s="51"/>
      <c r="F645" s="12"/>
      <c r="G645" s="74"/>
      <c r="K645" s="51"/>
    </row>
    <row r="646" ht="13.5" customHeight="1">
      <c r="E646" s="51"/>
      <c r="F646" s="12"/>
      <c r="G646" s="74"/>
      <c r="K646" s="51"/>
    </row>
    <row r="647" ht="13.5" customHeight="1">
      <c r="E647" s="51"/>
      <c r="F647" s="12"/>
      <c r="G647" s="74"/>
      <c r="K647" s="51"/>
    </row>
    <row r="648" ht="13.5" customHeight="1">
      <c r="E648" s="51"/>
      <c r="F648" s="12"/>
      <c r="G648" s="74"/>
      <c r="K648" s="51"/>
    </row>
    <row r="649" ht="13.5" customHeight="1">
      <c r="E649" s="51"/>
      <c r="F649" s="12"/>
      <c r="G649" s="74"/>
      <c r="K649" s="51"/>
    </row>
    <row r="650" ht="13.5" customHeight="1">
      <c r="E650" s="51"/>
      <c r="F650" s="12"/>
      <c r="G650" s="74"/>
      <c r="K650" s="51"/>
    </row>
    <row r="651" ht="13.5" customHeight="1">
      <c r="E651" s="51"/>
      <c r="F651" s="12"/>
      <c r="G651" s="74"/>
      <c r="K651" s="51"/>
    </row>
    <row r="652" ht="13.5" customHeight="1">
      <c r="E652" s="51"/>
      <c r="F652" s="12"/>
      <c r="G652" s="74"/>
      <c r="K652" s="51"/>
    </row>
    <row r="653" ht="13.5" customHeight="1">
      <c r="E653" s="51"/>
      <c r="F653" s="12"/>
      <c r="G653" s="74"/>
      <c r="K653" s="51"/>
    </row>
    <row r="654" ht="13.5" customHeight="1">
      <c r="E654" s="51"/>
      <c r="F654" s="12"/>
      <c r="G654" s="74"/>
      <c r="K654" s="51"/>
    </row>
    <row r="655" ht="13.5" customHeight="1">
      <c r="E655" s="51"/>
      <c r="F655" s="12"/>
      <c r="G655" s="74"/>
      <c r="K655" s="51"/>
    </row>
    <row r="656" ht="13.5" customHeight="1">
      <c r="E656" s="51"/>
      <c r="F656" s="12"/>
      <c r="G656" s="74"/>
      <c r="K656" s="51"/>
    </row>
    <row r="657" ht="13.5" customHeight="1">
      <c r="E657" s="51"/>
      <c r="F657" s="12"/>
      <c r="G657" s="74"/>
      <c r="K657" s="51"/>
    </row>
    <row r="658" ht="13.5" customHeight="1">
      <c r="E658" s="51"/>
      <c r="F658" s="12"/>
      <c r="G658" s="74"/>
      <c r="K658" s="51"/>
    </row>
    <row r="659" ht="13.5" customHeight="1">
      <c r="E659" s="51"/>
      <c r="F659" s="12"/>
      <c r="G659" s="74"/>
      <c r="K659" s="51"/>
    </row>
    <row r="660" ht="13.5" customHeight="1">
      <c r="E660" s="51"/>
      <c r="F660" s="12"/>
      <c r="G660" s="74"/>
      <c r="K660" s="51"/>
    </row>
    <row r="661" ht="13.5" customHeight="1">
      <c r="E661" s="51"/>
      <c r="F661" s="12"/>
      <c r="G661" s="74"/>
      <c r="K661" s="51"/>
    </row>
    <row r="662" ht="13.5" customHeight="1">
      <c r="E662" s="51"/>
      <c r="F662" s="12"/>
      <c r="G662" s="74"/>
      <c r="K662" s="51"/>
    </row>
    <row r="663" ht="13.5" customHeight="1">
      <c r="E663" s="51"/>
      <c r="F663" s="12"/>
      <c r="G663" s="74"/>
      <c r="K663" s="51"/>
    </row>
    <row r="664" ht="13.5" customHeight="1">
      <c r="E664" s="51"/>
      <c r="F664" s="12"/>
      <c r="G664" s="74"/>
      <c r="K664" s="51"/>
    </row>
    <row r="665" ht="13.5" customHeight="1">
      <c r="E665" s="51"/>
      <c r="F665" s="12"/>
      <c r="G665" s="74"/>
      <c r="K665" s="51"/>
    </row>
    <row r="666" ht="13.5" customHeight="1">
      <c r="E666" s="51"/>
      <c r="F666" s="12"/>
      <c r="G666" s="74"/>
      <c r="K666" s="51"/>
    </row>
    <row r="667" ht="13.5" customHeight="1">
      <c r="E667" s="51"/>
      <c r="F667" s="12"/>
      <c r="G667" s="74"/>
      <c r="K667" s="51"/>
    </row>
    <row r="668" ht="13.5" customHeight="1">
      <c r="E668" s="51"/>
      <c r="F668" s="12"/>
      <c r="G668" s="74"/>
      <c r="K668" s="51"/>
    </row>
    <row r="669" ht="13.5" customHeight="1">
      <c r="E669" s="51"/>
      <c r="F669" s="12"/>
      <c r="G669" s="74"/>
      <c r="K669" s="51"/>
    </row>
    <row r="670" ht="13.5" customHeight="1">
      <c r="E670" s="51"/>
      <c r="F670" s="12"/>
      <c r="G670" s="74"/>
      <c r="K670" s="51"/>
    </row>
    <row r="671" ht="13.5" customHeight="1">
      <c r="E671" s="51"/>
      <c r="F671" s="12"/>
      <c r="G671" s="74"/>
      <c r="K671" s="51"/>
    </row>
    <row r="672" ht="13.5" customHeight="1">
      <c r="E672" s="51"/>
      <c r="F672" s="12"/>
      <c r="G672" s="74"/>
      <c r="K672" s="51"/>
    </row>
    <row r="673" ht="13.5" customHeight="1">
      <c r="E673" s="51"/>
      <c r="F673" s="12"/>
      <c r="G673" s="74"/>
      <c r="K673" s="51"/>
    </row>
    <row r="674" ht="13.5" customHeight="1">
      <c r="E674" s="51"/>
      <c r="F674" s="12"/>
      <c r="G674" s="74"/>
      <c r="K674" s="51"/>
    </row>
    <row r="675" ht="13.5" customHeight="1">
      <c r="E675" s="51"/>
      <c r="F675" s="12"/>
      <c r="G675" s="74"/>
      <c r="K675" s="51"/>
    </row>
    <row r="676" ht="13.5" customHeight="1">
      <c r="E676" s="51"/>
      <c r="F676" s="12"/>
      <c r="G676" s="74"/>
      <c r="K676" s="51"/>
    </row>
    <row r="677" ht="13.5" customHeight="1">
      <c r="E677" s="51"/>
      <c r="F677" s="12"/>
      <c r="G677" s="74"/>
      <c r="K677" s="51"/>
    </row>
    <row r="678" ht="13.5" customHeight="1">
      <c r="E678" s="51"/>
      <c r="F678" s="12"/>
      <c r="G678" s="74"/>
      <c r="K678" s="51"/>
    </row>
    <row r="679" ht="13.5" customHeight="1">
      <c r="E679" s="51"/>
      <c r="F679" s="12"/>
      <c r="G679" s="74"/>
      <c r="K679" s="51"/>
    </row>
    <row r="680" ht="13.5" customHeight="1">
      <c r="E680" s="51"/>
      <c r="F680" s="12"/>
      <c r="G680" s="74"/>
      <c r="K680" s="51"/>
    </row>
    <row r="681" ht="13.5" customHeight="1">
      <c r="E681" s="51"/>
      <c r="F681" s="12"/>
      <c r="G681" s="74"/>
      <c r="K681" s="51"/>
    </row>
    <row r="682" ht="13.5" customHeight="1">
      <c r="E682" s="51"/>
      <c r="F682" s="12"/>
      <c r="G682" s="74"/>
      <c r="K682" s="51"/>
    </row>
    <row r="683" ht="13.5" customHeight="1">
      <c r="E683" s="51"/>
      <c r="F683" s="12"/>
      <c r="G683" s="74"/>
      <c r="K683" s="51"/>
    </row>
    <row r="684" ht="13.5" customHeight="1">
      <c r="E684" s="51"/>
      <c r="F684" s="12"/>
      <c r="G684" s="74"/>
      <c r="K684" s="51"/>
    </row>
    <row r="685" ht="13.5" customHeight="1">
      <c r="E685" s="51"/>
      <c r="F685" s="12"/>
      <c r="G685" s="74"/>
      <c r="K685" s="51"/>
    </row>
    <row r="686" ht="13.5" customHeight="1">
      <c r="E686" s="51"/>
      <c r="F686" s="12"/>
      <c r="G686" s="74"/>
      <c r="K686" s="51"/>
    </row>
    <row r="687" ht="13.5" customHeight="1">
      <c r="E687" s="51"/>
      <c r="F687" s="12"/>
      <c r="G687" s="74"/>
      <c r="K687" s="51"/>
    </row>
    <row r="688" ht="13.5" customHeight="1">
      <c r="E688" s="51"/>
      <c r="F688" s="12"/>
      <c r="G688" s="74"/>
      <c r="K688" s="51"/>
    </row>
    <row r="689" ht="13.5" customHeight="1">
      <c r="E689" s="51"/>
      <c r="F689" s="12"/>
      <c r="G689" s="74"/>
      <c r="K689" s="51"/>
    </row>
    <row r="690" ht="13.5" customHeight="1">
      <c r="E690" s="51"/>
      <c r="F690" s="12"/>
      <c r="G690" s="74"/>
      <c r="K690" s="51"/>
    </row>
    <row r="691" ht="13.5" customHeight="1">
      <c r="E691" s="51"/>
      <c r="F691" s="12"/>
      <c r="G691" s="74"/>
      <c r="K691" s="51"/>
    </row>
    <row r="692" ht="13.5" customHeight="1">
      <c r="E692" s="51"/>
      <c r="F692" s="12"/>
      <c r="G692" s="74"/>
      <c r="K692" s="51"/>
    </row>
    <row r="693" ht="13.5" customHeight="1">
      <c r="E693" s="51"/>
      <c r="F693" s="12"/>
      <c r="G693" s="74"/>
      <c r="K693" s="51"/>
    </row>
    <row r="694" ht="13.5" customHeight="1">
      <c r="E694" s="51"/>
      <c r="F694" s="12"/>
      <c r="G694" s="74"/>
      <c r="K694" s="51"/>
    </row>
    <row r="695" ht="13.5" customHeight="1">
      <c r="E695" s="51"/>
      <c r="F695" s="12"/>
      <c r="G695" s="74"/>
      <c r="K695" s="51"/>
    </row>
    <row r="696" ht="13.5" customHeight="1">
      <c r="E696" s="51"/>
      <c r="F696" s="12"/>
      <c r="G696" s="74"/>
      <c r="K696" s="51"/>
    </row>
    <row r="697" ht="13.5" customHeight="1">
      <c r="E697" s="51"/>
      <c r="F697" s="12"/>
      <c r="G697" s="74"/>
      <c r="K697" s="51"/>
    </row>
    <row r="698" ht="13.5" customHeight="1">
      <c r="E698" s="51"/>
      <c r="F698" s="12"/>
      <c r="G698" s="74"/>
      <c r="K698" s="51"/>
    </row>
    <row r="699" ht="13.5" customHeight="1">
      <c r="E699" s="51"/>
      <c r="F699" s="12"/>
      <c r="G699" s="74"/>
      <c r="K699" s="51"/>
    </row>
    <row r="700" ht="13.5" customHeight="1">
      <c r="E700" s="51"/>
      <c r="F700" s="12"/>
      <c r="G700" s="74"/>
      <c r="K700" s="51"/>
    </row>
    <row r="701" ht="13.5" customHeight="1">
      <c r="E701" s="51"/>
      <c r="F701" s="12"/>
      <c r="G701" s="74"/>
      <c r="K701" s="51"/>
    </row>
    <row r="702" ht="13.5" customHeight="1">
      <c r="E702" s="51"/>
      <c r="F702" s="12"/>
      <c r="G702" s="74"/>
      <c r="K702" s="51"/>
    </row>
    <row r="703" ht="13.5" customHeight="1">
      <c r="E703" s="51"/>
      <c r="F703" s="12"/>
      <c r="G703" s="74"/>
      <c r="K703" s="51"/>
    </row>
    <row r="704" ht="13.5" customHeight="1">
      <c r="E704" s="51"/>
      <c r="F704" s="12"/>
      <c r="G704" s="74"/>
      <c r="K704" s="51"/>
    </row>
    <row r="705" ht="13.5" customHeight="1">
      <c r="E705" s="51"/>
      <c r="F705" s="12"/>
      <c r="G705" s="74"/>
      <c r="K705" s="51"/>
    </row>
    <row r="706" ht="13.5" customHeight="1">
      <c r="E706" s="51"/>
      <c r="F706" s="12"/>
      <c r="G706" s="74"/>
      <c r="K706" s="51"/>
    </row>
    <row r="707" ht="13.5" customHeight="1">
      <c r="E707" s="51"/>
      <c r="F707" s="12"/>
      <c r="G707" s="74"/>
      <c r="K707" s="51"/>
    </row>
    <row r="708" ht="13.5" customHeight="1">
      <c r="E708" s="51"/>
      <c r="F708" s="12"/>
      <c r="G708" s="74"/>
      <c r="K708" s="51"/>
    </row>
    <row r="709" ht="13.5" customHeight="1">
      <c r="E709" s="51"/>
      <c r="F709" s="12"/>
      <c r="G709" s="74"/>
      <c r="K709" s="51"/>
    </row>
    <row r="710" ht="13.5" customHeight="1">
      <c r="E710" s="51"/>
      <c r="F710" s="12"/>
      <c r="G710" s="74"/>
      <c r="K710" s="51"/>
    </row>
    <row r="711" ht="13.5" customHeight="1">
      <c r="E711" s="51"/>
      <c r="F711" s="12"/>
      <c r="G711" s="74"/>
      <c r="K711" s="51"/>
    </row>
    <row r="712" ht="13.5" customHeight="1">
      <c r="E712" s="51"/>
      <c r="F712" s="12"/>
      <c r="G712" s="74"/>
      <c r="K712" s="51"/>
    </row>
    <row r="713" ht="13.5" customHeight="1">
      <c r="E713" s="51"/>
      <c r="F713" s="12"/>
      <c r="G713" s="74"/>
      <c r="K713" s="51"/>
    </row>
    <row r="714" ht="13.5" customHeight="1">
      <c r="E714" s="51"/>
      <c r="F714" s="12"/>
      <c r="G714" s="74"/>
      <c r="K714" s="51"/>
    </row>
    <row r="715" ht="13.5" customHeight="1">
      <c r="E715" s="51"/>
      <c r="F715" s="12"/>
      <c r="G715" s="74"/>
      <c r="K715" s="51"/>
    </row>
    <row r="716" ht="13.5" customHeight="1">
      <c r="E716" s="51"/>
      <c r="F716" s="12"/>
      <c r="G716" s="74"/>
      <c r="K716" s="51"/>
    </row>
    <row r="717" ht="13.5" customHeight="1">
      <c r="E717" s="51"/>
      <c r="F717" s="12"/>
      <c r="G717" s="74"/>
      <c r="K717" s="51"/>
    </row>
    <row r="718" ht="13.5" customHeight="1">
      <c r="E718" s="51"/>
      <c r="F718" s="12"/>
      <c r="G718" s="74"/>
      <c r="K718" s="51"/>
    </row>
    <row r="719" ht="13.5" customHeight="1">
      <c r="E719" s="51"/>
      <c r="F719" s="12"/>
      <c r="G719" s="74"/>
      <c r="K719" s="51"/>
    </row>
    <row r="720" ht="13.5" customHeight="1">
      <c r="E720" s="51"/>
      <c r="F720" s="12"/>
      <c r="G720" s="74"/>
      <c r="K720" s="51"/>
    </row>
    <row r="721" ht="13.5" customHeight="1">
      <c r="E721" s="51"/>
      <c r="F721" s="12"/>
      <c r="G721" s="74"/>
      <c r="K721" s="51"/>
    </row>
    <row r="722" ht="13.5" customHeight="1">
      <c r="E722" s="51"/>
      <c r="F722" s="12"/>
      <c r="G722" s="74"/>
      <c r="K722" s="51"/>
    </row>
    <row r="723" ht="13.5" customHeight="1">
      <c r="E723" s="51"/>
      <c r="F723" s="12"/>
      <c r="G723" s="74"/>
      <c r="K723" s="51"/>
    </row>
    <row r="724" ht="13.5" customHeight="1">
      <c r="E724" s="51"/>
      <c r="F724" s="12"/>
      <c r="G724" s="74"/>
      <c r="K724" s="51"/>
    </row>
    <row r="725" ht="13.5" customHeight="1">
      <c r="E725" s="51"/>
      <c r="F725" s="12"/>
      <c r="G725" s="74"/>
      <c r="K725" s="51"/>
    </row>
    <row r="726" ht="13.5" customHeight="1">
      <c r="E726" s="51"/>
      <c r="F726" s="12"/>
      <c r="G726" s="74"/>
      <c r="K726" s="51"/>
    </row>
    <row r="727" ht="13.5" customHeight="1">
      <c r="E727" s="51"/>
      <c r="F727" s="12"/>
      <c r="G727" s="74"/>
      <c r="K727" s="51"/>
    </row>
    <row r="728" ht="13.5" customHeight="1">
      <c r="E728" s="51"/>
      <c r="F728" s="12"/>
      <c r="G728" s="74"/>
      <c r="K728" s="51"/>
    </row>
    <row r="729" ht="13.5" customHeight="1">
      <c r="E729" s="51"/>
      <c r="F729" s="12"/>
      <c r="G729" s="74"/>
      <c r="K729" s="51"/>
    </row>
    <row r="730" ht="13.5" customHeight="1">
      <c r="E730" s="51"/>
      <c r="F730" s="12"/>
      <c r="G730" s="74"/>
      <c r="K730" s="51"/>
    </row>
    <row r="731" ht="13.5" customHeight="1">
      <c r="E731" s="51"/>
      <c r="F731" s="12"/>
      <c r="G731" s="74"/>
      <c r="K731" s="51"/>
    </row>
    <row r="732" ht="13.5" customHeight="1">
      <c r="E732" s="51"/>
      <c r="F732" s="12"/>
      <c r="G732" s="74"/>
      <c r="K732" s="51"/>
    </row>
    <row r="733" ht="13.5" customHeight="1">
      <c r="E733" s="51"/>
      <c r="F733" s="12"/>
      <c r="G733" s="74"/>
      <c r="K733" s="51"/>
    </row>
    <row r="734" ht="13.5" customHeight="1">
      <c r="E734" s="51"/>
      <c r="F734" s="12"/>
      <c r="G734" s="74"/>
      <c r="K734" s="51"/>
    </row>
    <row r="735" ht="13.5" customHeight="1">
      <c r="E735" s="51"/>
      <c r="F735" s="12"/>
      <c r="G735" s="74"/>
      <c r="K735" s="51"/>
    </row>
    <row r="736" ht="13.5" customHeight="1">
      <c r="E736" s="51"/>
      <c r="F736" s="12"/>
      <c r="G736" s="74"/>
      <c r="K736" s="51"/>
    </row>
    <row r="737" ht="13.5" customHeight="1">
      <c r="E737" s="51"/>
      <c r="F737" s="12"/>
      <c r="G737" s="74"/>
      <c r="K737" s="51"/>
    </row>
    <row r="738" ht="13.5" customHeight="1">
      <c r="E738" s="51"/>
      <c r="F738" s="12"/>
      <c r="G738" s="74"/>
      <c r="K738" s="51"/>
    </row>
    <row r="739" ht="13.5" customHeight="1">
      <c r="E739" s="51"/>
      <c r="F739" s="12"/>
      <c r="G739" s="74"/>
      <c r="K739" s="51"/>
    </row>
    <row r="740" ht="13.5" customHeight="1">
      <c r="E740" s="51"/>
      <c r="F740" s="12"/>
      <c r="G740" s="74"/>
      <c r="K740" s="51"/>
    </row>
    <row r="741" ht="13.5" customHeight="1">
      <c r="E741" s="51"/>
      <c r="F741" s="12"/>
      <c r="G741" s="74"/>
      <c r="K741" s="51"/>
    </row>
    <row r="742" ht="13.5" customHeight="1">
      <c r="E742" s="51"/>
      <c r="F742" s="12"/>
      <c r="G742" s="74"/>
      <c r="K742" s="51"/>
    </row>
    <row r="743" ht="13.5" customHeight="1">
      <c r="E743" s="51"/>
      <c r="F743" s="12"/>
      <c r="G743" s="74"/>
      <c r="K743" s="51"/>
    </row>
    <row r="744" ht="13.5" customHeight="1">
      <c r="E744" s="51"/>
      <c r="F744" s="12"/>
      <c r="G744" s="74"/>
      <c r="K744" s="51"/>
    </row>
    <row r="745" ht="13.5" customHeight="1">
      <c r="E745" s="51"/>
      <c r="F745" s="12"/>
      <c r="G745" s="74"/>
      <c r="K745" s="51"/>
    </row>
    <row r="746" ht="13.5" customHeight="1">
      <c r="E746" s="51"/>
      <c r="F746" s="12"/>
      <c r="G746" s="74"/>
      <c r="K746" s="51"/>
    </row>
    <row r="747" ht="13.5" customHeight="1">
      <c r="E747" s="51"/>
      <c r="F747" s="12"/>
      <c r="G747" s="74"/>
      <c r="K747" s="51"/>
    </row>
    <row r="748" ht="13.5" customHeight="1">
      <c r="E748" s="51"/>
      <c r="F748" s="12"/>
      <c r="G748" s="74"/>
      <c r="K748" s="51"/>
    </row>
    <row r="749" ht="13.5" customHeight="1">
      <c r="E749" s="51"/>
      <c r="F749" s="12"/>
      <c r="G749" s="74"/>
      <c r="K749" s="51"/>
    </row>
    <row r="750" ht="13.5" customHeight="1">
      <c r="E750" s="51"/>
      <c r="F750" s="12"/>
      <c r="G750" s="74"/>
      <c r="K750" s="51"/>
    </row>
    <row r="751" ht="13.5" customHeight="1">
      <c r="E751" s="51"/>
      <c r="F751" s="12"/>
      <c r="G751" s="74"/>
      <c r="K751" s="51"/>
    </row>
    <row r="752" ht="13.5" customHeight="1">
      <c r="E752" s="51"/>
      <c r="F752" s="12"/>
      <c r="G752" s="74"/>
      <c r="K752" s="51"/>
    </row>
    <row r="753" ht="13.5" customHeight="1">
      <c r="E753" s="51"/>
      <c r="F753" s="12"/>
      <c r="G753" s="74"/>
      <c r="K753" s="51"/>
    </row>
    <row r="754" ht="13.5" customHeight="1">
      <c r="E754" s="51"/>
      <c r="F754" s="12"/>
      <c r="G754" s="74"/>
      <c r="K754" s="51"/>
    </row>
    <row r="755" ht="13.5" customHeight="1">
      <c r="E755" s="51"/>
      <c r="F755" s="12"/>
      <c r="G755" s="74"/>
      <c r="K755" s="51"/>
    </row>
    <row r="756" ht="13.5" customHeight="1">
      <c r="E756" s="51"/>
      <c r="F756" s="12"/>
      <c r="G756" s="74"/>
      <c r="K756" s="51"/>
    </row>
    <row r="757" ht="13.5" customHeight="1">
      <c r="E757" s="51"/>
      <c r="F757" s="12"/>
      <c r="G757" s="74"/>
      <c r="K757" s="51"/>
    </row>
    <row r="758" ht="13.5" customHeight="1">
      <c r="E758" s="51"/>
      <c r="F758" s="12"/>
      <c r="G758" s="74"/>
      <c r="K758" s="51"/>
    </row>
    <row r="759" ht="13.5" customHeight="1">
      <c r="E759" s="51"/>
      <c r="F759" s="12"/>
      <c r="G759" s="74"/>
      <c r="K759" s="51"/>
    </row>
    <row r="760" ht="13.5" customHeight="1">
      <c r="E760" s="51"/>
      <c r="F760" s="12"/>
      <c r="G760" s="74"/>
      <c r="K760" s="51"/>
    </row>
    <row r="761" ht="13.5" customHeight="1">
      <c r="E761" s="51"/>
      <c r="F761" s="12"/>
      <c r="G761" s="74"/>
      <c r="K761" s="51"/>
    </row>
    <row r="762" ht="13.5" customHeight="1">
      <c r="E762" s="51"/>
      <c r="F762" s="12"/>
      <c r="G762" s="74"/>
      <c r="K762" s="51"/>
    </row>
    <row r="763" ht="13.5" customHeight="1">
      <c r="E763" s="51"/>
      <c r="F763" s="12"/>
      <c r="G763" s="74"/>
      <c r="K763" s="51"/>
    </row>
    <row r="764" ht="13.5" customHeight="1">
      <c r="E764" s="51"/>
      <c r="F764" s="12"/>
      <c r="G764" s="74"/>
      <c r="K764" s="51"/>
    </row>
    <row r="765" ht="13.5" customHeight="1">
      <c r="E765" s="51"/>
      <c r="F765" s="12"/>
      <c r="G765" s="74"/>
      <c r="K765" s="51"/>
    </row>
    <row r="766" ht="13.5" customHeight="1">
      <c r="E766" s="51"/>
      <c r="F766" s="12"/>
      <c r="G766" s="74"/>
      <c r="K766" s="51"/>
    </row>
    <row r="767" ht="13.5" customHeight="1">
      <c r="E767" s="51"/>
      <c r="F767" s="12"/>
      <c r="G767" s="74"/>
      <c r="K767" s="51"/>
    </row>
    <row r="768" ht="13.5" customHeight="1">
      <c r="E768" s="51"/>
      <c r="F768" s="12"/>
      <c r="G768" s="74"/>
      <c r="K768" s="51"/>
    </row>
    <row r="769" ht="13.5" customHeight="1">
      <c r="E769" s="51"/>
      <c r="F769" s="12"/>
      <c r="G769" s="74"/>
      <c r="K769" s="51"/>
    </row>
    <row r="770" ht="13.5" customHeight="1">
      <c r="E770" s="51"/>
      <c r="F770" s="12"/>
      <c r="G770" s="74"/>
      <c r="K770" s="51"/>
    </row>
    <row r="771" ht="13.5" customHeight="1">
      <c r="E771" s="51"/>
      <c r="F771" s="12"/>
      <c r="G771" s="74"/>
      <c r="K771" s="51"/>
    </row>
    <row r="772" ht="13.5" customHeight="1">
      <c r="E772" s="51"/>
      <c r="F772" s="12"/>
      <c r="G772" s="74"/>
      <c r="K772" s="51"/>
    </row>
    <row r="773" ht="13.5" customHeight="1">
      <c r="E773" s="51"/>
      <c r="F773" s="12"/>
      <c r="G773" s="74"/>
      <c r="K773" s="51"/>
    </row>
    <row r="774" ht="13.5" customHeight="1">
      <c r="E774" s="51"/>
      <c r="F774" s="12"/>
      <c r="G774" s="74"/>
      <c r="K774" s="51"/>
    </row>
    <row r="775" ht="13.5" customHeight="1">
      <c r="E775" s="51"/>
      <c r="F775" s="12"/>
      <c r="G775" s="74"/>
      <c r="K775" s="51"/>
    </row>
    <row r="776" ht="13.5" customHeight="1">
      <c r="E776" s="51"/>
      <c r="F776" s="12"/>
      <c r="G776" s="74"/>
      <c r="K776" s="51"/>
    </row>
    <row r="777" ht="13.5" customHeight="1">
      <c r="E777" s="51"/>
      <c r="F777" s="12"/>
      <c r="G777" s="74"/>
      <c r="K777" s="51"/>
    </row>
    <row r="778" ht="13.5" customHeight="1">
      <c r="E778" s="51"/>
      <c r="F778" s="12"/>
      <c r="G778" s="74"/>
      <c r="K778" s="51"/>
    </row>
    <row r="779" ht="13.5" customHeight="1">
      <c r="E779" s="51"/>
      <c r="F779" s="12"/>
      <c r="G779" s="74"/>
      <c r="K779" s="51"/>
    </row>
    <row r="780" ht="13.5" customHeight="1">
      <c r="E780" s="51"/>
      <c r="F780" s="12"/>
      <c r="G780" s="74"/>
      <c r="K780" s="51"/>
    </row>
    <row r="781" ht="13.5" customHeight="1">
      <c r="E781" s="51"/>
      <c r="F781" s="12"/>
      <c r="G781" s="74"/>
      <c r="K781" s="51"/>
    </row>
    <row r="782" ht="13.5" customHeight="1">
      <c r="E782" s="51"/>
      <c r="F782" s="12"/>
      <c r="G782" s="74"/>
      <c r="K782" s="51"/>
    </row>
    <row r="783" ht="13.5" customHeight="1">
      <c r="E783" s="51"/>
      <c r="F783" s="12"/>
      <c r="G783" s="74"/>
      <c r="K783" s="51"/>
    </row>
    <row r="784" ht="13.5" customHeight="1">
      <c r="E784" s="51"/>
      <c r="F784" s="12"/>
      <c r="G784" s="74"/>
      <c r="K784" s="51"/>
    </row>
    <row r="785" ht="13.5" customHeight="1">
      <c r="E785" s="51"/>
      <c r="F785" s="12"/>
      <c r="G785" s="74"/>
      <c r="K785" s="51"/>
    </row>
    <row r="786" ht="13.5" customHeight="1">
      <c r="E786" s="51"/>
      <c r="F786" s="12"/>
      <c r="G786" s="74"/>
      <c r="K786" s="51"/>
    </row>
    <row r="787" ht="13.5" customHeight="1">
      <c r="E787" s="51"/>
      <c r="F787" s="12"/>
      <c r="G787" s="74"/>
      <c r="K787" s="51"/>
    </row>
    <row r="788" ht="13.5" customHeight="1">
      <c r="E788" s="51"/>
      <c r="F788" s="12"/>
      <c r="G788" s="74"/>
      <c r="K788" s="51"/>
    </row>
    <row r="789" ht="13.5" customHeight="1">
      <c r="E789" s="51"/>
      <c r="F789" s="12"/>
      <c r="G789" s="74"/>
      <c r="K789" s="51"/>
    </row>
    <row r="790" ht="13.5" customHeight="1">
      <c r="E790" s="51"/>
      <c r="F790" s="12"/>
      <c r="G790" s="74"/>
      <c r="K790" s="51"/>
    </row>
    <row r="791" ht="13.5" customHeight="1">
      <c r="E791" s="51"/>
      <c r="F791" s="12"/>
      <c r="G791" s="74"/>
      <c r="K791" s="51"/>
    </row>
    <row r="792" ht="13.5" customHeight="1">
      <c r="E792" s="51"/>
      <c r="F792" s="12"/>
      <c r="G792" s="74"/>
      <c r="K792" s="51"/>
    </row>
    <row r="793" ht="13.5" customHeight="1">
      <c r="E793" s="51"/>
      <c r="F793" s="12"/>
      <c r="G793" s="74"/>
      <c r="K793" s="51"/>
    </row>
    <row r="794" ht="13.5" customHeight="1">
      <c r="E794" s="51"/>
      <c r="F794" s="12"/>
      <c r="G794" s="74"/>
      <c r="K794" s="51"/>
    </row>
    <row r="795" ht="13.5" customHeight="1">
      <c r="E795" s="51"/>
      <c r="F795" s="12"/>
      <c r="G795" s="74"/>
      <c r="K795" s="51"/>
    </row>
    <row r="796" ht="13.5" customHeight="1">
      <c r="E796" s="51"/>
      <c r="F796" s="12"/>
      <c r="G796" s="74"/>
      <c r="K796" s="51"/>
    </row>
    <row r="797" ht="13.5" customHeight="1">
      <c r="E797" s="51"/>
      <c r="F797" s="12"/>
      <c r="G797" s="74"/>
      <c r="K797" s="51"/>
    </row>
    <row r="798" ht="13.5" customHeight="1">
      <c r="E798" s="51"/>
      <c r="F798" s="12"/>
      <c r="G798" s="74"/>
      <c r="K798" s="51"/>
    </row>
    <row r="799" ht="13.5" customHeight="1">
      <c r="E799" s="51"/>
      <c r="F799" s="12"/>
      <c r="G799" s="74"/>
      <c r="K799" s="51"/>
    </row>
    <row r="800" ht="13.5" customHeight="1">
      <c r="E800" s="51"/>
      <c r="F800" s="12"/>
      <c r="G800" s="74"/>
      <c r="K800" s="51"/>
    </row>
    <row r="801" ht="13.5" customHeight="1">
      <c r="E801" s="51"/>
      <c r="F801" s="12"/>
      <c r="G801" s="74"/>
      <c r="K801" s="51"/>
    </row>
    <row r="802" ht="13.5" customHeight="1">
      <c r="E802" s="51"/>
      <c r="F802" s="12"/>
      <c r="G802" s="74"/>
      <c r="K802" s="51"/>
    </row>
    <row r="803" ht="13.5" customHeight="1">
      <c r="E803" s="51"/>
      <c r="F803" s="12"/>
      <c r="G803" s="74"/>
      <c r="K803" s="51"/>
    </row>
    <row r="804" ht="13.5" customHeight="1">
      <c r="E804" s="51"/>
      <c r="F804" s="12"/>
      <c r="G804" s="74"/>
      <c r="K804" s="51"/>
    </row>
    <row r="805" ht="13.5" customHeight="1">
      <c r="E805" s="51"/>
      <c r="F805" s="12"/>
      <c r="G805" s="74"/>
      <c r="K805" s="51"/>
    </row>
    <row r="806" ht="13.5" customHeight="1">
      <c r="E806" s="51"/>
      <c r="F806" s="12"/>
      <c r="G806" s="74"/>
      <c r="K806" s="51"/>
    </row>
    <row r="807" ht="13.5" customHeight="1">
      <c r="E807" s="51"/>
      <c r="F807" s="12"/>
      <c r="G807" s="74"/>
      <c r="K807" s="51"/>
    </row>
    <row r="808" ht="13.5" customHeight="1">
      <c r="E808" s="51"/>
      <c r="F808" s="12"/>
      <c r="G808" s="74"/>
      <c r="K808" s="51"/>
    </row>
    <row r="809" ht="13.5" customHeight="1">
      <c r="E809" s="51"/>
      <c r="F809" s="12"/>
      <c r="G809" s="74"/>
      <c r="K809" s="51"/>
    </row>
    <row r="810" ht="13.5" customHeight="1">
      <c r="E810" s="51"/>
      <c r="F810" s="12"/>
      <c r="G810" s="74"/>
      <c r="K810" s="51"/>
    </row>
    <row r="811" ht="13.5" customHeight="1">
      <c r="E811" s="51"/>
      <c r="F811" s="12"/>
      <c r="G811" s="74"/>
      <c r="K811" s="51"/>
    </row>
    <row r="812" ht="13.5" customHeight="1">
      <c r="E812" s="51"/>
      <c r="F812" s="12"/>
      <c r="G812" s="74"/>
      <c r="K812" s="51"/>
    </row>
    <row r="813" ht="13.5" customHeight="1">
      <c r="E813" s="51"/>
      <c r="F813" s="12"/>
      <c r="G813" s="74"/>
      <c r="K813" s="51"/>
    </row>
    <row r="814" ht="13.5" customHeight="1">
      <c r="E814" s="51"/>
      <c r="F814" s="12"/>
      <c r="G814" s="74"/>
      <c r="K814" s="51"/>
    </row>
    <row r="815" ht="13.5" customHeight="1">
      <c r="E815" s="51"/>
      <c r="F815" s="12"/>
      <c r="G815" s="74"/>
      <c r="K815" s="51"/>
    </row>
    <row r="816" ht="13.5" customHeight="1">
      <c r="E816" s="51"/>
      <c r="F816" s="12"/>
      <c r="G816" s="74"/>
      <c r="K816" s="51"/>
    </row>
    <row r="817" ht="13.5" customHeight="1">
      <c r="E817" s="51"/>
      <c r="F817" s="12"/>
      <c r="G817" s="74"/>
      <c r="K817" s="51"/>
    </row>
    <row r="818" ht="13.5" customHeight="1">
      <c r="E818" s="51"/>
      <c r="F818" s="12"/>
      <c r="G818" s="74"/>
      <c r="K818" s="51"/>
    </row>
    <row r="819" ht="13.5" customHeight="1">
      <c r="E819" s="51"/>
      <c r="F819" s="12"/>
      <c r="G819" s="74"/>
      <c r="K819" s="51"/>
    </row>
    <row r="820" ht="13.5" customHeight="1">
      <c r="E820" s="51"/>
      <c r="F820" s="12"/>
      <c r="G820" s="74"/>
      <c r="K820" s="51"/>
    </row>
    <row r="821" ht="13.5" customHeight="1">
      <c r="E821" s="51"/>
      <c r="F821" s="12"/>
      <c r="G821" s="74"/>
      <c r="K821" s="51"/>
    </row>
    <row r="822" ht="13.5" customHeight="1">
      <c r="E822" s="51"/>
      <c r="F822" s="12"/>
      <c r="G822" s="74"/>
      <c r="K822" s="51"/>
    </row>
    <row r="823" ht="13.5" customHeight="1">
      <c r="E823" s="51"/>
      <c r="F823" s="12"/>
      <c r="G823" s="74"/>
      <c r="K823" s="51"/>
    </row>
    <row r="824" ht="13.5" customHeight="1">
      <c r="E824" s="51"/>
      <c r="F824" s="12"/>
      <c r="G824" s="74"/>
      <c r="K824" s="51"/>
    </row>
    <row r="825" ht="13.5" customHeight="1">
      <c r="E825" s="51"/>
      <c r="F825" s="12"/>
      <c r="G825" s="74"/>
      <c r="K825" s="51"/>
    </row>
    <row r="826" ht="13.5" customHeight="1">
      <c r="E826" s="51"/>
      <c r="F826" s="12"/>
      <c r="G826" s="74"/>
      <c r="K826" s="51"/>
    </row>
    <row r="827" ht="13.5" customHeight="1">
      <c r="E827" s="51"/>
      <c r="F827" s="12"/>
      <c r="G827" s="74"/>
      <c r="K827" s="51"/>
    </row>
    <row r="828" ht="13.5" customHeight="1">
      <c r="E828" s="51"/>
      <c r="F828" s="12"/>
      <c r="G828" s="74"/>
      <c r="K828" s="51"/>
    </row>
    <row r="829" ht="13.5" customHeight="1">
      <c r="E829" s="51"/>
      <c r="F829" s="12"/>
      <c r="G829" s="74"/>
      <c r="K829" s="51"/>
    </row>
    <row r="830" ht="13.5" customHeight="1">
      <c r="E830" s="51"/>
      <c r="F830" s="12"/>
      <c r="G830" s="74"/>
      <c r="K830" s="51"/>
    </row>
    <row r="831" ht="13.5" customHeight="1">
      <c r="E831" s="51"/>
      <c r="F831" s="12"/>
      <c r="G831" s="74"/>
      <c r="K831" s="51"/>
    </row>
    <row r="832" ht="13.5" customHeight="1">
      <c r="E832" s="51"/>
      <c r="F832" s="12"/>
      <c r="G832" s="74"/>
      <c r="K832" s="51"/>
    </row>
    <row r="833" ht="13.5" customHeight="1">
      <c r="E833" s="51"/>
      <c r="F833" s="12"/>
      <c r="G833" s="74"/>
      <c r="K833" s="51"/>
    </row>
    <row r="834" ht="13.5" customHeight="1">
      <c r="E834" s="51"/>
      <c r="F834" s="12"/>
      <c r="G834" s="74"/>
      <c r="K834" s="51"/>
    </row>
    <row r="835" ht="13.5" customHeight="1">
      <c r="E835" s="51"/>
      <c r="F835" s="12"/>
      <c r="G835" s="74"/>
      <c r="K835" s="51"/>
    </row>
    <row r="836" ht="13.5" customHeight="1">
      <c r="E836" s="51"/>
      <c r="F836" s="12"/>
      <c r="G836" s="74"/>
      <c r="K836" s="51"/>
    </row>
    <row r="837" ht="13.5" customHeight="1">
      <c r="E837" s="51"/>
      <c r="F837" s="12"/>
      <c r="G837" s="74"/>
      <c r="K837" s="51"/>
    </row>
    <row r="838" ht="13.5" customHeight="1">
      <c r="E838" s="51"/>
      <c r="F838" s="12"/>
      <c r="G838" s="74"/>
      <c r="K838" s="51"/>
    </row>
    <row r="839" ht="13.5" customHeight="1">
      <c r="E839" s="51"/>
      <c r="F839" s="12"/>
      <c r="G839" s="74"/>
      <c r="K839" s="51"/>
    </row>
    <row r="840" ht="13.5" customHeight="1">
      <c r="E840" s="51"/>
      <c r="F840" s="12"/>
      <c r="G840" s="74"/>
      <c r="K840" s="51"/>
    </row>
    <row r="841" ht="13.5" customHeight="1">
      <c r="E841" s="51"/>
      <c r="F841" s="12"/>
      <c r="G841" s="74"/>
      <c r="K841" s="51"/>
    </row>
    <row r="842" ht="13.5" customHeight="1">
      <c r="E842" s="51"/>
      <c r="F842" s="12"/>
      <c r="G842" s="74"/>
      <c r="K842" s="51"/>
    </row>
    <row r="843" ht="13.5" customHeight="1">
      <c r="E843" s="51"/>
      <c r="F843" s="12"/>
      <c r="G843" s="74"/>
      <c r="K843" s="51"/>
    </row>
    <row r="844" ht="13.5" customHeight="1">
      <c r="E844" s="51"/>
      <c r="F844" s="12"/>
      <c r="G844" s="74"/>
      <c r="K844" s="51"/>
    </row>
    <row r="845" ht="13.5" customHeight="1">
      <c r="E845" s="51"/>
      <c r="F845" s="12"/>
      <c r="G845" s="74"/>
      <c r="K845" s="51"/>
    </row>
    <row r="846" ht="13.5" customHeight="1">
      <c r="E846" s="51"/>
      <c r="F846" s="12"/>
      <c r="G846" s="74"/>
      <c r="K846" s="51"/>
    </row>
    <row r="847" ht="13.5" customHeight="1">
      <c r="E847" s="51"/>
      <c r="F847" s="12"/>
      <c r="G847" s="74"/>
      <c r="K847" s="51"/>
    </row>
    <row r="848" ht="13.5" customHeight="1">
      <c r="E848" s="51"/>
      <c r="F848" s="12"/>
      <c r="G848" s="74"/>
      <c r="K848" s="51"/>
    </row>
    <row r="849" ht="13.5" customHeight="1">
      <c r="E849" s="51"/>
      <c r="F849" s="12"/>
      <c r="G849" s="74"/>
      <c r="K849" s="51"/>
    </row>
    <row r="850" ht="13.5" customHeight="1">
      <c r="E850" s="51"/>
      <c r="F850" s="12"/>
      <c r="G850" s="74"/>
      <c r="K850" s="51"/>
    </row>
    <row r="851" ht="13.5" customHeight="1">
      <c r="E851" s="51"/>
      <c r="F851" s="12"/>
      <c r="G851" s="74"/>
      <c r="K851" s="51"/>
    </row>
    <row r="852" ht="13.5" customHeight="1">
      <c r="E852" s="51"/>
      <c r="F852" s="12"/>
      <c r="G852" s="74"/>
      <c r="K852" s="51"/>
    </row>
    <row r="853" ht="13.5" customHeight="1">
      <c r="E853" s="51"/>
      <c r="F853" s="12"/>
      <c r="G853" s="74"/>
      <c r="K853" s="51"/>
    </row>
    <row r="854" ht="13.5" customHeight="1">
      <c r="E854" s="51"/>
      <c r="F854" s="12"/>
      <c r="G854" s="74"/>
      <c r="K854" s="51"/>
    </row>
    <row r="855" ht="13.5" customHeight="1">
      <c r="E855" s="51"/>
      <c r="F855" s="12"/>
      <c r="G855" s="74"/>
      <c r="K855" s="51"/>
    </row>
    <row r="856" ht="13.5" customHeight="1">
      <c r="E856" s="51"/>
      <c r="F856" s="12"/>
      <c r="G856" s="74"/>
      <c r="K856" s="51"/>
    </row>
    <row r="857" ht="13.5" customHeight="1">
      <c r="E857" s="51"/>
      <c r="F857" s="12"/>
      <c r="G857" s="74"/>
      <c r="K857" s="51"/>
    </row>
    <row r="858" ht="13.5" customHeight="1">
      <c r="E858" s="51"/>
      <c r="F858" s="12"/>
      <c r="G858" s="74"/>
      <c r="K858" s="51"/>
    </row>
    <row r="859" ht="13.5" customHeight="1">
      <c r="E859" s="51"/>
      <c r="F859" s="12"/>
      <c r="G859" s="74"/>
      <c r="K859" s="51"/>
    </row>
    <row r="860" ht="13.5" customHeight="1">
      <c r="E860" s="51"/>
      <c r="F860" s="12"/>
      <c r="G860" s="74"/>
      <c r="K860" s="51"/>
    </row>
    <row r="861" ht="13.5" customHeight="1">
      <c r="E861" s="51"/>
      <c r="F861" s="12"/>
      <c r="G861" s="74"/>
      <c r="K861" s="51"/>
    </row>
    <row r="862" ht="13.5" customHeight="1">
      <c r="E862" s="51"/>
      <c r="F862" s="12"/>
      <c r="G862" s="74"/>
      <c r="K862" s="51"/>
    </row>
    <row r="863" ht="13.5" customHeight="1">
      <c r="E863" s="51"/>
      <c r="F863" s="12"/>
      <c r="G863" s="74"/>
      <c r="K863" s="51"/>
    </row>
    <row r="864" ht="13.5" customHeight="1">
      <c r="E864" s="51"/>
      <c r="F864" s="12"/>
      <c r="G864" s="74"/>
      <c r="K864" s="51"/>
    </row>
    <row r="865" ht="13.5" customHeight="1">
      <c r="E865" s="51"/>
      <c r="F865" s="12"/>
      <c r="G865" s="74"/>
      <c r="K865" s="51"/>
    </row>
    <row r="866" ht="13.5" customHeight="1">
      <c r="E866" s="51"/>
      <c r="F866" s="12"/>
      <c r="G866" s="74"/>
      <c r="K866" s="51"/>
    </row>
    <row r="867" ht="13.5" customHeight="1">
      <c r="E867" s="51"/>
      <c r="F867" s="12"/>
      <c r="G867" s="74"/>
      <c r="K867" s="51"/>
    </row>
    <row r="868" ht="13.5" customHeight="1">
      <c r="E868" s="51"/>
      <c r="F868" s="12"/>
      <c r="G868" s="74"/>
      <c r="K868" s="51"/>
    </row>
    <row r="869" ht="13.5" customHeight="1">
      <c r="E869" s="51"/>
      <c r="F869" s="12"/>
      <c r="G869" s="74"/>
      <c r="K869" s="51"/>
    </row>
    <row r="870" ht="13.5" customHeight="1">
      <c r="E870" s="51"/>
      <c r="F870" s="12"/>
      <c r="G870" s="74"/>
      <c r="K870" s="51"/>
    </row>
    <row r="871" ht="13.5" customHeight="1">
      <c r="E871" s="51"/>
      <c r="F871" s="12"/>
      <c r="G871" s="74"/>
      <c r="K871" s="51"/>
    </row>
    <row r="872" ht="13.5" customHeight="1">
      <c r="E872" s="51"/>
      <c r="F872" s="12"/>
      <c r="G872" s="74"/>
      <c r="K872" s="51"/>
    </row>
    <row r="873" ht="13.5" customHeight="1">
      <c r="E873" s="51"/>
      <c r="F873" s="12"/>
      <c r="G873" s="74"/>
      <c r="K873" s="51"/>
    </row>
    <row r="874" ht="13.5" customHeight="1">
      <c r="E874" s="51"/>
      <c r="F874" s="12"/>
      <c r="G874" s="74"/>
      <c r="K874" s="51"/>
    </row>
    <row r="875" ht="13.5" customHeight="1">
      <c r="E875" s="51"/>
      <c r="F875" s="12"/>
      <c r="G875" s="74"/>
      <c r="K875" s="51"/>
    </row>
    <row r="876" ht="13.5" customHeight="1">
      <c r="E876" s="51"/>
      <c r="F876" s="12"/>
      <c r="G876" s="74"/>
      <c r="K876" s="51"/>
    </row>
    <row r="877" ht="13.5" customHeight="1">
      <c r="E877" s="51"/>
      <c r="F877" s="12"/>
      <c r="G877" s="74"/>
      <c r="K877" s="51"/>
    </row>
    <row r="878" ht="13.5" customHeight="1">
      <c r="E878" s="51"/>
      <c r="F878" s="12"/>
      <c r="G878" s="74"/>
      <c r="K878" s="51"/>
    </row>
    <row r="879" ht="13.5" customHeight="1">
      <c r="E879" s="51"/>
      <c r="F879" s="12"/>
      <c r="G879" s="74"/>
      <c r="K879" s="51"/>
    </row>
    <row r="880" ht="13.5" customHeight="1">
      <c r="E880" s="51"/>
      <c r="F880" s="12"/>
      <c r="G880" s="74"/>
      <c r="K880" s="51"/>
    </row>
    <row r="881" ht="13.5" customHeight="1">
      <c r="E881" s="51"/>
      <c r="F881" s="12"/>
      <c r="G881" s="74"/>
      <c r="K881" s="51"/>
    </row>
    <row r="882" ht="13.5" customHeight="1">
      <c r="E882" s="51"/>
      <c r="F882" s="12"/>
      <c r="G882" s="74"/>
      <c r="K882" s="51"/>
    </row>
    <row r="883" ht="13.5" customHeight="1">
      <c r="E883" s="51"/>
      <c r="F883" s="12"/>
      <c r="G883" s="74"/>
      <c r="K883" s="51"/>
    </row>
    <row r="884" ht="13.5" customHeight="1">
      <c r="E884" s="51"/>
      <c r="F884" s="12"/>
      <c r="G884" s="74"/>
      <c r="K884" s="51"/>
    </row>
    <row r="885" ht="13.5" customHeight="1">
      <c r="E885" s="51"/>
      <c r="F885" s="12"/>
      <c r="G885" s="74"/>
      <c r="K885" s="51"/>
    </row>
    <row r="886" ht="13.5" customHeight="1">
      <c r="E886" s="51"/>
      <c r="F886" s="12"/>
      <c r="G886" s="74"/>
      <c r="K886" s="51"/>
    </row>
    <row r="887" ht="13.5" customHeight="1">
      <c r="E887" s="51"/>
      <c r="F887" s="12"/>
      <c r="G887" s="74"/>
      <c r="K887" s="51"/>
    </row>
    <row r="888" ht="13.5" customHeight="1">
      <c r="E888" s="51"/>
      <c r="F888" s="12"/>
      <c r="G888" s="74"/>
      <c r="K888" s="51"/>
    </row>
    <row r="889" ht="13.5" customHeight="1">
      <c r="E889" s="51"/>
      <c r="F889" s="12"/>
      <c r="G889" s="74"/>
      <c r="K889" s="51"/>
    </row>
    <row r="890" ht="13.5" customHeight="1">
      <c r="E890" s="51"/>
      <c r="F890" s="12"/>
      <c r="G890" s="74"/>
      <c r="K890" s="51"/>
    </row>
    <row r="891" ht="13.5" customHeight="1">
      <c r="E891" s="51"/>
      <c r="F891" s="12"/>
      <c r="G891" s="74"/>
      <c r="K891" s="51"/>
    </row>
    <row r="892" ht="13.5" customHeight="1">
      <c r="E892" s="51"/>
      <c r="F892" s="12"/>
      <c r="G892" s="74"/>
      <c r="K892" s="51"/>
    </row>
    <row r="893" ht="13.5" customHeight="1">
      <c r="E893" s="51"/>
      <c r="F893" s="12"/>
      <c r="G893" s="74"/>
      <c r="K893" s="51"/>
    </row>
    <row r="894" ht="13.5" customHeight="1">
      <c r="E894" s="51"/>
      <c r="F894" s="12"/>
      <c r="G894" s="74"/>
      <c r="K894" s="51"/>
    </row>
    <row r="895" ht="13.5" customHeight="1">
      <c r="E895" s="51"/>
      <c r="F895" s="12"/>
      <c r="G895" s="74"/>
      <c r="K895" s="51"/>
    </row>
    <row r="896" ht="13.5" customHeight="1">
      <c r="E896" s="51"/>
      <c r="F896" s="12"/>
      <c r="G896" s="74"/>
      <c r="K896" s="51"/>
    </row>
    <row r="897" ht="13.5" customHeight="1">
      <c r="E897" s="51"/>
      <c r="F897" s="12"/>
      <c r="G897" s="74"/>
      <c r="K897" s="51"/>
    </row>
    <row r="898" ht="13.5" customHeight="1">
      <c r="E898" s="51"/>
      <c r="F898" s="12"/>
      <c r="G898" s="74"/>
      <c r="K898" s="51"/>
    </row>
    <row r="899" ht="13.5" customHeight="1">
      <c r="E899" s="51"/>
      <c r="F899" s="12"/>
      <c r="G899" s="74"/>
      <c r="K899" s="51"/>
    </row>
    <row r="900" ht="13.5" customHeight="1">
      <c r="E900" s="51"/>
      <c r="F900" s="12"/>
      <c r="G900" s="74"/>
      <c r="K900" s="51"/>
    </row>
    <row r="901" ht="13.5" customHeight="1">
      <c r="E901" s="51"/>
      <c r="F901" s="12"/>
      <c r="G901" s="74"/>
      <c r="K901" s="51"/>
    </row>
    <row r="902" ht="13.5" customHeight="1">
      <c r="E902" s="51"/>
      <c r="F902" s="12"/>
      <c r="G902" s="74"/>
      <c r="K902" s="51"/>
    </row>
    <row r="903" ht="13.5" customHeight="1">
      <c r="E903" s="51"/>
      <c r="F903" s="12"/>
      <c r="G903" s="74"/>
      <c r="K903" s="51"/>
    </row>
    <row r="904" ht="13.5" customHeight="1">
      <c r="E904" s="51"/>
      <c r="F904" s="12"/>
      <c r="G904" s="74"/>
      <c r="K904" s="51"/>
    </row>
    <row r="905" ht="13.5" customHeight="1">
      <c r="E905" s="51"/>
      <c r="F905" s="12"/>
      <c r="G905" s="74"/>
      <c r="K905" s="51"/>
    </row>
    <row r="906" ht="13.5" customHeight="1">
      <c r="E906" s="51"/>
      <c r="F906" s="12"/>
      <c r="G906" s="74"/>
      <c r="K906" s="51"/>
    </row>
    <row r="907" ht="13.5" customHeight="1">
      <c r="E907" s="51"/>
      <c r="F907" s="12"/>
      <c r="G907" s="74"/>
      <c r="K907" s="51"/>
    </row>
    <row r="908" ht="13.5" customHeight="1">
      <c r="E908" s="51"/>
      <c r="F908" s="12"/>
      <c r="G908" s="74"/>
      <c r="K908" s="51"/>
    </row>
    <row r="909" ht="13.5" customHeight="1">
      <c r="E909" s="51"/>
      <c r="F909" s="12"/>
      <c r="G909" s="74"/>
      <c r="K909" s="51"/>
    </row>
    <row r="910" ht="13.5" customHeight="1">
      <c r="E910" s="51"/>
      <c r="F910" s="12"/>
      <c r="G910" s="74"/>
      <c r="K910" s="51"/>
    </row>
    <row r="911" ht="13.5" customHeight="1">
      <c r="E911" s="51"/>
      <c r="F911" s="12"/>
      <c r="G911" s="74"/>
      <c r="K911" s="51"/>
    </row>
    <row r="912" ht="13.5" customHeight="1">
      <c r="E912" s="51"/>
      <c r="F912" s="12"/>
      <c r="G912" s="74"/>
      <c r="K912" s="51"/>
    </row>
    <row r="913" ht="13.5" customHeight="1">
      <c r="E913" s="51"/>
      <c r="F913" s="12"/>
      <c r="G913" s="74"/>
      <c r="K913" s="51"/>
    </row>
    <row r="914" ht="13.5" customHeight="1">
      <c r="E914" s="51"/>
      <c r="F914" s="12"/>
      <c r="G914" s="74"/>
      <c r="K914" s="51"/>
    </row>
    <row r="915" ht="13.5" customHeight="1">
      <c r="E915" s="51"/>
      <c r="F915" s="12"/>
      <c r="G915" s="74"/>
      <c r="K915" s="51"/>
    </row>
    <row r="916" ht="13.5" customHeight="1">
      <c r="E916" s="51"/>
      <c r="F916" s="12"/>
      <c r="G916" s="74"/>
      <c r="K916" s="51"/>
    </row>
    <row r="917" ht="13.5" customHeight="1">
      <c r="E917" s="51"/>
      <c r="F917" s="12"/>
      <c r="G917" s="74"/>
      <c r="K917" s="51"/>
    </row>
    <row r="918" ht="13.5" customHeight="1">
      <c r="E918" s="51"/>
      <c r="F918" s="12"/>
      <c r="G918" s="74"/>
      <c r="K918" s="51"/>
    </row>
    <row r="919" ht="13.5" customHeight="1">
      <c r="E919" s="51"/>
      <c r="F919" s="12"/>
      <c r="G919" s="74"/>
      <c r="K919" s="51"/>
    </row>
    <row r="920" ht="13.5" customHeight="1">
      <c r="E920" s="51"/>
      <c r="F920" s="12"/>
      <c r="G920" s="74"/>
      <c r="K920" s="51"/>
    </row>
    <row r="921" ht="13.5" customHeight="1">
      <c r="E921" s="51"/>
      <c r="F921" s="12"/>
      <c r="G921" s="74"/>
      <c r="K921" s="51"/>
    </row>
    <row r="922" ht="13.5" customHeight="1">
      <c r="E922" s="51"/>
      <c r="F922" s="12"/>
      <c r="G922" s="74"/>
      <c r="K922" s="51"/>
    </row>
    <row r="923" ht="13.5" customHeight="1">
      <c r="E923" s="51"/>
      <c r="F923" s="12"/>
      <c r="G923" s="74"/>
      <c r="K923" s="51"/>
    </row>
    <row r="924" ht="13.5" customHeight="1">
      <c r="E924" s="51"/>
      <c r="F924" s="12"/>
      <c r="G924" s="74"/>
      <c r="K924" s="51"/>
    </row>
    <row r="925" ht="13.5" customHeight="1">
      <c r="E925" s="51"/>
      <c r="F925" s="12"/>
      <c r="G925" s="74"/>
      <c r="K925" s="51"/>
    </row>
    <row r="926" ht="13.5" customHeight="1">
      <c r="E926" s="51"/>
      <c r="F926" s="12"/>
      <c r="G926" s="74"/>
      <c r="K926" s="51"/>
    </row>
    <row r="927" ht="13.5" customHeight="1">
      <c r="E927" s="51"/>
      <c r="F927" s="12"/>
      <c r="G927" s="74"/>
      <c r="K927" s="51"/>
    </row>
    <row r="928" ht="13.5" customHeight="1">
      <c r="E928" s="51"/>
      <c r="F928" s="12"/>
      <c r="G928" s="74"/>
      <c r="K928" s="51"/>
    </row>
    <row r="929" ht="13.5" customHeight="1">
      <c r="E929" s="51"/>
      <c r="F929" s="12"/>
      <c r="G929" s="74"/>
      <c r="K929" s="51"/>
    </row>
    <row r="930" ht="13.5" customHeight="1">
      <c r="E930" s="51"/>
      <c r="F930" s="12"/>
      <c r="G930" s="74"/>
      <c r="K930" s="51"/>
    </row>
    <row r="931" ht="13.5" customHeight="1">
      <c r="E931" s="51"/>
      <c r="F931" s="12"/>
      <c r="G931" s="74"/>
      <c r="K931" s="51"/>
    </row>
    <row r="932" ht="13.5" customHeight="1">
      <c r="E932" s="51"/>
      <c r="F932" s="12"/>
      <c r="G932" s="74"/>
      <c r="K932" s="51"/>
    </row>
    <row r="933" ht="13.5" customHeight="1">
      <c r="E933" s="51"/>
      <c r="F933" s="12"/>
      <c r="G933" s="74"/>
      <c r="K933" s="51"/>
    </row>
    <row r="934" ht="13.5" customHeight="1">
      <c r="E934" s="51"/>
      <c r="F934" s="12"/>
      <c r="G934" s="74"/>
      <c r="K934" s="51"/>
    </row>
    <row r="935" ht="13.5" customHeight="1">
      <c r="E935" s="51"/>
      <c r="F935" s="12"/>
      <c r="G935" s="74"/>
      <c r="K935" s="51"/>
    </row>
    <row r="936" ht="13.5" customHeight="1">
      <c r="E936" s="51"/>
      <c r="F936" s="12"/>
      <c r="G936" s="74"/>
      <c r="K936" s="51"/>
    </row>
    <row r="937" ht="13.5" customHeight="1">
      <c r="E937" s="51"/>
      <c r="F937" s="12"/>
      <c r="G937" s="74"/>
      <c r="K937" s="51"/>
    </row>
    <row r="938" ht="13.5" customHeight="1">
      <c r="E938" s="51"/>
      <c r="F938" s="12"/>
      <c r="G938" s="74"/>
      <c r="K938" s="51"/>
    </row>
    <row r="939" ht="13.5" customHeight="1">
      <c r="E939" s="51"/>
      <c r="F939" s="12"/>
      <c r="G939" s="74"/>
      <c r="K939" s="51"/>
    </row>
    <row r="940" ht="13.5" customHeight="1">
      <c r="E940" s="51"/>
      <c r="F940" s="12"/>
      <c r="G940" s="74"/>
      <c r="K940" s="51"/>
    </row>
    <row r="941" ht="13.5" customHeight="1">
      <c r="E941" s="51"/>
      <c r="F941" s="12"/>
      <c r="G941" s="74"/>
      <c r="K941" s="51"/>
    </row>
    <row r="942" ht="13.5" customHeight="1">
      <c r="E942" s="51"/>
      <c r="F942" s="12"/>
      <c r="G942" s="74"/>
      <c r="K942" s="51"/>
    </row>
    <row r="943" ht="13.5" customHeight="1">
      <c r="E943" s="51"/>
      <c r="F943" s="12"/>
      <c r="G943" s="74"/>
      <c r="K943" s="51"/>
    </row>
    <row r="944" ht="13.5" customHeight="1">
      <c r="E944" s="51"/>
      <c r="F944" s="12"/>
      <c r="G944" s="74"/>
      <c r="K944" s="51"/>
    </row>
    <row r="945" ht="13.5" customHeight="1">
      <c r="E945" s="51"/>
      <c r="F945" s="12"/>
      <c r="G945" s="74"/>
      <c r="K945" s="51"/>
    </row>
    <row r="946" ht="13.5" customHeight="1">
      <c r="E946" s="51"/>
      <c r="F946" s="12"/>
      <c r="G946" s="74"/>
      <c r="K946" s="51"/>
    </row>
    <row r="947" ht="13.5" customHeight="1">
      <c r="E947" s="51"/>
      <c r="F947" s="12"/>
      <c r="G947" s="74"/>
      <c r="K947" s="51"/>
    </row>
    <row r="948" ht="13.5" customHeight="1">
      <c r="E948" s="51"/>
      <c r="F948" s="12"/>
      <c r="G948" s="74"/>
      <c r="K948" s="51"/>
    </row>
    <row r="949" ht="13.5" customHeight="1">
      <c r="E949" s="51"/>
      <c r="F949" s="12"/>
      <c r="G949" s="74"/>
      <c r="K949" s="51"/>
    </row>
    <row r="950" ht="13.5" customHeight="1">
      <c r="E950" s="51"/>
      <c r="F950" s="12"/>
      <c r="G950" s="74"/>
      <c r="K950" s="51"/>
    </row>
    <row r="951" ht="13.5" customHeight="1">
      <c r="E951" s="51"/>
      <c r="F951" s="12"/>
      <c r="G951" s="74"/>
      <c r="K951" s="51"/>
    </row>
    <row r="952" ht="13.5" customHeight="1">
      <c r="E952" s="51"/>
      <c r="F952" s="12"/>
      <c r="G952" s="74"/>
      <c r="K952" s="51"/>
    </row>
    <row r="953" ht="13.5" customHeight="1">
      <c r="E953" s="51"/>
      <c r="F953" s="12"/>
      <c r="G953" s="74"/>
      <c r="K953" s="51"/>
    </row>
    <row r="954" ht="13.5" customHeight="1">
      <c r="E954" s="51"/>
      <c r="F954" s="12"/>
      <c r="G954" s="74"/>
      <c r="K954" s="51"/>
    </row>
    <row r="955" ht="13.5" customHeight="1">
      <c r="E955" s="51"/>
      <c r="F955" s="12"/>
      <c r="G955" s="74"/>
      <c r="K955" s="51"/>
    </row>
    <row r="956" ht="13.5" customHeight="1">
      <c r="E956" s="51"/>
      <c r="F956" s="12"/>
      <c r="G956" s="74"/>
      <c r="K956" s="51"/>
    </row>
    <row r="957" ht="13.5" customHeight="1">
      <c r="E957" s="51"/>
      <c r="F957" s="12"/>
      <c r="G957" s="74"/>
      <c r="K957" s="51"/>
    </row>
    <row r="958" ht="13.5" customHeight="1">
      <c r="E958" s="51"/>
      <c r="F958" s="12"/>
      <c r="G958" s="74"/>
      <c r="K958" s="51"/>
    </row>
    <row r="959" ht="13.5" customHeight="1">
      <c r="E959" s="51"/>
      <c r="F959" s="12"/>
      <c r="G959" s="74"/>
      <c r="K959" s="51"/>
    </row>
    <row r="960" ht="13.5" customHeight="1">
      <c r="E960" s="51"/>
      <c r="F960" s="12"/>
      <c r="G960" s="74"/>
      <c r="K960" s="51"/>
    </row>
    <row r="961" ht="13.5" customHeight="1">
      <c r="E961" s="51"/>
      <c r="F961" s="12"/>
      <c r="G961" s="74"/>
      <c r="K961" s="51"/>
    </row>
    <row r="962" ht="13.5" customHeight="1">
      <c r="E962" s="51"/>
      <c r="F962" s="12"/>
      <c r="G962" s="74"/>
      <c r="K962" s="51"/>
    </row>
    <row r="963" ht="13.5" customHeight="1">
      <c r="E963" s="51"/>
      <c r="F963" s="12"/>
      <c r="G963" s="74"/>
      <c r="K963" s="51"/>
    </row>
    <row r="964" ht="13.5" customHeight="1">
      <c r="E964" s="51"/>
      <c r="F964" s="12"/>
      <c r="G964" s="74"/>
      <c r="K964" s="51"/>
    </row>
    <row r="965" ht="13.5" customHeight="1">
      <c r="E965" s="51"/>
      <c r="F965" s="12"/>
      <c r="G965" s="74"/>
      <c r="K965" s="51"/>
    </row>
    <row r="966" ht="13.5" customHeight="1">
      <c r="E966" s="51"/>
      <c r="F966" s="12"/>
      <c r="G966" s="74"/>
      <c r="K966" s="51"/>
    </row>
    <row r="967" ht="13.5" customHeight="1">
      <c r="E967" s="51"/>
      <c r="F967" s="12"/>
      <c r="G967" s="74"/>
      <c r="K967" s="51"/>
    </row>
    <row r="968" ht="13.5" customHeight="1">
      <c r="E968" s="51"/>
      <c r="F968" s="12"/>
      <c r="G968" s="74"/>
      <c r="K968" s="51"/>
    </row>
    <row r="969" ht="13.5" customHeight="1">
      <c r="E969" s="51"/>
      <c r="F969" s="12"/>
      <c r="G969" s="74"/>
      <c r="K969" s="51"/>
    </row>
    <row r="970" ht="13.5" customHeight="1">
      <c r="E970" s="51"/>
      <c r="F970" s="12"/>
      <c r="G970" s="74"/>
      <c r="K970" s="51"/>
    </row>
    <row r="971" ht="13.5" customHeight="1">
      <c r="E971" s="51"/>
      <c r="F971" s="12"/>
      <c r="G971" s="74"/>
      <c r="K971" s="51"/>
    </row>
    <row r="972" ht="13.5" customHeight="1">
      <c r="E972" s="51"/>
      <c r="F972" s="12"/>
      <c r="G972" s="74"/>
      <c r="K972" s="51"/>
    </row>
    <row r="973" ht="13.5" customHeight="1">
      <c r="E973" s="51"/>
      <c r="F973" s="12"/>
      <c r="G973" s="74"/>
      <c r="K973" s="51"/>
    </row>
    <row r="974" ht="13.5" customHeight="1">
      <c r="E974" s="51"/>
      <c r="F974" s="12"/>
      <c r="G974" s="74"/>
      <c r="K974" s="51"/>
    </row>
    <row r="975" ht="13.5" customHeight="1">
      <c r="E975" s="51"/>
      <c r="F975" s="12"/>
      <c r="G975" s="74"/>
      <c r="K975" s="51"/>
    </row>
    <row r="976" ht="13.5" customHeight="1">
      <c r="E976" s="51"/>
      <c r="F976" s="12"/>
      <c r="G976" s="74"/>
      <c r="K976" s="51"/>
    </row>
    <row r="977" ht="13.5" customHeight="1">
      <c r="E977" s="51"/>
      <c r="F977" s="12"/>
      <c r="G977" s="74"/>
      <c r="K977" s="51"/>
    </row>
    <row r="978" ht="13.5" customHeight="1">
      <c r="E978" s="51"/>
      <c r="F978" s="12"/>
      <c r="G978" s="74"/>
      <c r="K978" s="51"/>
    </row>
    <row r="979" ht="13.5" customHeight="1">
      <c r="E979" s="51"/>
      <c r="F979" s="12"/>
      <c r="G979" s="74"/>
      <c r="K979" s="51"/>
    </row>
    <row r="980" ht="13.5" customHeight="1">
      <c r="E980" s="51"/>
      <c r="F980" s="12"/>
      <c r="G980" s="74"/>
      <c r="K980" s="51"/>
    </row>
    <row r="981" ht="13.5" customHeight="1">
      <c r="E981" s="51"/>
      <c r="F981" s="12"/>
      <c r="G981" s="74"/>
      <c r="K981" s="51"/>
    </row>
    <row r="982" ht="13.5" customHeight="1">
      <c r="E982" s="51"/>
      <c r="F982" s="12"/>
      <c r="G982" s="74"/>
      <c r="K982" s="51"/>
    </row>
    <row r="983" ht="13.5" customHeight="1">
      <c r="E983" s="51"/>
      <c r="F983" s="12"/>
      <c r="G983" s="74"/>
      <c r="K983" s="51"/>
    </row>
    <row r="984" ht="13.5" customHeight="1">
      <c r="E984" s="51"/>
      <c r="F984" s="12"/>
      <c r="G984" s="74"/>
      <c r="K984" s="51"/>
    </row>
    <row r="985" ht="13.5" customHeight="1">
      <c r="E985" s="51"/>
      <c r="F985" s="12"/>
      <c r="G985" s="74"/>
      <c r="K985" s="51"/>
    </row>
    <row r="986" ht="13.5" customHeight="1">
      <c r="E986" s="51"/>
      <c r="F986" s="12"/>
      <c r="G986" s="74"/>
      <c r="K986" s="51"/>
    </row>
    <row r="987" ht="13.5" customHeight="1">
      <c r="E987" s="51"/>
      <c r="F987" s="12"/>
      <c r="G987" s="74"/>
      <c r="K987" s="51"/>
    </row>
    <row r="988" ht="13.5" customHeight="1">
      <c r="E988" s="51"/>
      <c r="F988" s="12"/>
      <c r="G988" s="74"/>
      <c r="K988" s="51"/>
    </row>
    <row r="989" ht="13.5" customHeight="1">
      <c r="E989" s="51"/>
      <c r="F989" s="12"/>
      <c r="G989" s="74"/>
      <c r="K989" s="51"/>
    </row>
    <row r="990" ht="13.5" customHeight="1">
      <c r="E990" s="51"/>
      <c r="F990" s="12"/>
      <c r="G990" s="74"/>
      <c r="K990" s="51"/>
    </row>
    <row r="991" ht="13.5" customHeight="1">
      <c r="E991" s="51"/>
      <c r="F991" s="12"/>
      <c r="G991" s="74"/>
      <c r="K991" s="51"/>
    </row>
    <row r="992" ht="13.5" customHeight="1">
      <c r="E992" s="51"/>
      <c r="F992" s="12"/>
      <c r="G992" s="74"/>
      <c r="K992" s="51"/>
    </row>
    <row r="993" ht="13.5" customHeight="1">
      <c r="E993" s="51"/>
      <c r="F993" s="12"/>
      <c r="G993" s="74"/>
      <c r="K993" s="51"/>
    </row>
    <row r="994" ht="13.5" customHeight="1">
      <c r="E994" s="51"/>
      <c r="F994" s="12"/>
      <c r="G994" s="74"/>
      <c r="K994" s="51"/>
    </row>
    <row r="995" ht="13.5" customHeight="1">
      <c r="E995" s="51"/>
      <c r="F995" s="12"/>
      <c r="G995" s="74"/>
      <c r="K995" s="51"/>
    </row>
    <row r="996" ht="13.5" customHeight="1">
      <c r="E996" s="51"/>
      <c r="F996" s="12"/>
      <c r="G996" s="74"/>
      <c r="K996" s="51"/>
    </row>
    <row r="997" ht="13.5" customHeight="1">
      <c r="E997" s="51"/>
      <c r="F997" s="12"/>
      <c r="G997" s="74"/>
      <c r="K997" s="51"/>
    </row>
    <row r="998" ht="13.5" customHeight="1">
      <c r="E998" s="51"/>
      <c r="F998" s="12"/>
      <c r="G998" s="74"/>
      <c r="K998" s="51"/>
    </row>
    <row r="999" ht="13.5" customHeight="1">
      <c r="E999" s="51"/>
      <c r="F999" s="12"/>
      <c r="G999" s="74"/>
      <c r="K999" s="51"/>
    </row>
    <row r="1000" ht="13.5" customHeight="1">
      <c r="E1000" s="51"/>
      <c r="F1000" s="12"/>
      <c r="G1000" s="74"/>
      <c r="K1000" s="51"/>
    </row>
  </sheetData>
  <autoFilter ref="$A$1:$C$51"/>
  <printOptions/>
  <pageMargins bottom="0.787401575" footer="0.0" header="0.0" left="0.511811024" right="0.511811024" top="0.7874015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6.63"/>
    <col customWidth="1" min="5" max="5" width="14.13"/>
    <col customWidth="1" min="6" max="6" width="12.75"/>
    <col customWidth="1" min="7" max="7" width="27.5"/>
    <col customWidth="1" min="8" max="8" width="13.75"/>
    <col customWidth="1" min="9" max="9" width="5.25"/>
    <col customWidth="1" min="10" max="10" width="27.88"/>
    <col customWidth="1" min="11" max="11" width="13.13"/>
    <col customWidth="1" min="12" max="13" width="5.25"/>
    <col customWidth="1" min="14" max="14" width="13.13"/>
    <col customWidth="1" min="15" max="26" width="5.25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46231.0</v>
      </c>
      <c r="E2" s="17">
        <v>10103.42</v>
      </c>
      <c r="F2" s="14" t="s">
        <v>15</v>
      </c>
      <c r="G2" s="14" t="s">
        <v>19</v>
      </c>
      <c r="H2" s="14"/>
      <c r="I2" s="14"/>
      <c r="J2" s="21">
        <v>183731.0</v>
      </c>
      <c r="K2" s="29">
        <v>33860.9</v>
      </c>
    </row>
    <row r="3" ht="13.5" customHeight="1">
      <c r="A3" s="14">
        <v>2.0</v>
      </c>
      <c r="B3" s="14" t="s">
        <v>9</v>
      </c>
      <c r="C3" s="14">
        <v>2060855.0</v>
      </c>
      <c r="D3" s="16">
        <v>46231.0</v>
      </c>
      <c r="E3" s="17">
        <v>400000.0</v>
      </c>
      <c r="F3" s="14" t="s">
        <v>13</v>
      </c>
      <c r="G3" s="14" t="s">
        <v>19</v>
      </c>
      <c r="H3" s="14"/>
      <c r="I3" s="14"/>
      <c r="J3" s="21">
        <v>183741.0</v>
      </c>
      <c r="K3" s="29">
        <v>7158.93</v>
      </c>
    </row>
    <row r="4" ht="13.5" customHeight="1">
      <c r="A4" s="30">
        <v>3.0</v>
      </c>
      <c r="B4" s="30" t="s">
        <v>9</v>
      </c>
      <c r="C4" s="30">
        <v>2050900.0</v>
      </c>
      <c r="D4" s="31">
        <v>46231.0</v>
      </c>
      <c r="E4" s="32">
        <v>24299.46</v>
      </c>
      <c r="F4" s="30" t="s">
        <v>728</v>
      </c>
      <c r="G4" s="30" t="s">
        <v>19</v>
      </c>
      <c r="H4" s="14"/>
      <c r="I4" s="14"/>
      <c r="J4" s="21">
        <v>183756.0</v>
      </c>
      <c r="K4" s="29">
        <v>31864.54</v>
      </c>
    </row>
    <row r="5" ht="13.5" customHeight="1">
      <c r="A5" s="23">
        <v>8.0</v>
      </c>
      <c r="B5" s="23" t="s">
        <v>20</v>
      </c>
      <c r="C5" s="23">
        <v>1200393.0</v>
      </c>
      <c r="D5" s="49">
        <v>46231.0</v>
      </c>
      <c r="E5" s="29">
        <v>7153.35</v>
      </c>
      <c r="F5" s="23"/>
      <c r="G5" s="23" t="s">
        <v>19</v>
      </c>
      <c r="H5" s="14"/>
      <c r="I5" s="14"/>
      <c r="J5" s="21" t="s">
        <v>729</v>
      </c>
      <c r="K5" s="29">
        <v>184.21</v>
      </c>
    </row>
    <row r="6" ht="13.5" customHeight="1">
      <c r="A6" s="23">
        <v>9.0</v>
      </c>
      <c r="B6" s="23" t="s">
        <v>20</v>
      </c>
      <c r="C6" s="23">
        <v>1040211.0</v>
      </c>
      <c r="D6" s="49">
        <v>46231.0</v>
      </c>
      <c r="E6" s="29">
        <v>24711.19</v>
      </c>
      <c r="F6" s="23"/>
      <c r="G6" s="23" t="s">
        <v>19</v>
      </c>
      <c r="H6" s="14"/>
      <c r="I6" s="14"/>
      <c r="J6" s="14"/>
      <c r="K6" s="17"/>
    </row>
    <row r="7" ht="13.5" customHeight="1">
      <c r="A7" s="23">
        <v>13.0</v>
      </c>
      <c r="B7" s="23" t="s">
        <v>20</v>
      </c>
      <c r="C7" s="23">
        <v>1200393.0</v>
      </c>
      <c r="D7" s="49">
        <v>46231.0</v>
      </c>
      <c r="E7" s="29">
        <v>2048.77</v>
      </c>
      <c r="F7" s="23"/>
      <c r="G7" s="23" t="s">
        <v>19</v>
      </c>
      <c r="H7" s="14"/>
      <c r="I7" s="14"/>
      <c r="J7" s="14"/>
      <c r="K7" s="17"/>
    </row>
    <row r="8" ht="13.5" customHeight="1">
      <c r="A8" s="23">
        <v>14.0</v>
      </c>
      <c r="B8" s="23" t="s">
        <v>20</v>
      </c>
      <c r="C8" s="23">
        <v>1040211.0</v>
      </c>
      <c r="D8" s="49">
        <v>46231.0</v>
      </c>
      <c r="E8" s="29">
        <v>31812.13</v>
      </c>
      <c r="F8" s="23"/>
      <c r="G8" s="23" t="s">
        <v>19</v>
      </c>
      <c r="H8" s="14"/>
      <c r="I8" s="14"/>
      <c r="J8" s="14"/>
      <c r="K8" s="17"/>
    </row>
    <row r="9" ht="13.5" customHeight="1">
      <c r="A9" s="23">
        <v>20.0</v>
      </c>
      <c r="B9" s="23" t="s">
        <v>47</v>
      </c>
      <c r="C9" s="23">
        <v>1170144.0</v>
      </c>
      <c r="D9" s="49">
        <v>46231.0</v>
      </c>
      <c r="E9" s="29">
        <v>184.21</v>
      </c>
      <c r="F9" s="23"/>
      <c r="G9" s="23" t="s">
        <v>19</v>
      </c>
      <c r="H9" s="252"/>
      <c r="I9" s="14"/>
      <c r="J9" s="14"/>
      <c r="K9" s="17"/>
    </row>
    <row r="10" ht="13.5" customHeight="1">
      <c r="A10" s="23">
        <v>21.0</v>
      </c>
      <c r="B10" s="23" t="s">
        <v>20</v>
      </c>
      <c r="C10" s="23">
        <v>1040375.0</v>
      </c>
      <c r="D10" s="49">
        <v>46231.0</v>
      </c>
      <c r="E10" s="29">
        <v>7.48</v>
      </c>
      <c r="F10" s="23"/>
      <c r="G10" s="23" t="s">
        <v>19</v>
      </c>
      <c r="H10" s="14"/>
      <c r="I10" s="14"/>
      <c r="J10" s="14"/>
      <c r="K10" s="17"/>
    </row>
    <row r="11" ht="13.5" customHeight="1">
      <c r="A11" s="23">
        <v>22.0</v>
      </c>
      <c r="B11" s="23" t="s">
        <v>20</v>
      </c>
      <c r="C11" s="23">
        <v>1040375.0</v>
      </c>
      <c r="D11" s="49">
        <v>46231.0</v>
      </c>
      <c r="E11" s="29">
        <v>207.42</v>
      </c>
      <c r="F11" s="23"/>
      <c r="G11" s="23" t="s">
        <v>19</v>
      </c>
      <c r="H11" s="14"/>
      <c r="I11" s="14"/>
      <c r="J11" s="14"/>
      <c r="K11" s="17"/>
    </row>
    <row r="12" ht="13.5" customHeight="1">
      <c r="A12" s="23">
        <v>23.0</v>
      </c>
      <c r="B12" s="23" t="s">
        <v>20</v>
      </c>
      <c r="C12" s="23">
        <v>1040375.0</v>
      </c>
      <c r="D12" s="49">
        <v>46231.0</v>
      </c>
      <c r="E12" s="29">
        <v>1847.45</v>
      </c>
      <c r="F12" s="33"/>
      <c r="G12" s="23" t="s">
        <v>19</v>
      </c>
      <c r="H12" s="14"/>
      <c r="I12" s="14"/>
      <c r="J12" s="14"/>
      <c r="K12" s="17"/>
    </row>
    <row r="13" ht="13.5" customHeight="1">
      <c r="A13" s="23">
        <v>24.0</v>
      </c>
      <c r="B13" s="23" t="s">
        <v>20</v>
      </c>
      <c r="C13" s="23">
        <v>1040375.0</v>
      </c>
      <c r="D13" s="49">
        <v>46231.0</v>
      </c>
      <c r="E13" s="29">
        <v>22.75</v>
      </c>
      <c r="F13" s="33"/>
      <c r="G13" s="23" t="s">
        <v>19</v>
      </c>
      <c r="H13" s="14"/>
      <c r="I13" s="14"/>
      <c r="J13" s="14"/>
      <c r="K13" s="17"/>
    </row>
    <row r="14" ht="13.5" customHeight="1">
      <c r="A14" s="23">
        <v>25.0</v>
      </c>
      <c r="B14" s="23" t="s">
        <v>20</v>
      </c>
      <c r="C14" s="23">
        <v>1040375.0</v>
      </c>
      <c r="D14" s="49">
        <v>46231.0</v>
      </c>
      <c r="E14" s="29">
        <v>109.01</v>
      </c>
      <c r="F14" s="33"/>
      <c r="G14" s="23" t="s">
        <v>19</v>
      </c>
      <c r="H14" s="14"/>
      <c r="I14" s="14"/>
      <c r="J14" s="14"/>
      <c r="K14" s="17"/>
      <c r="N14" s="51"/>
    </row>
    <row r="15" ht="13.5" customHeight="1">
      <c r="A15" s="23">
        <v>26.0</v>
      </c>
      <c r="B15" s="23" t="s">
        <v>20</v>
      </c>
      <c r="C15" s="23">
        <v>1040375.0</v>
      </c>
      <c r="D15" s="49">
        <v>46231.0</v>
      </c>
      <c r="E15" s="29">
        <v>1976.0</v>
      </c>
      <c r="F15" s="33"/>
      <c r="G15" s="23" t="s">
        <v>19</v>
      </c>
      <c r="H15" s="14"/>
      <c r="I15" s="14"/>
      <c r="J15" s="14"/>
      <c r="K15" s="17"/>
    </row>
    <row r="16" ht="13.5" customHeight="1">
      <c r="A16" s="23">
        <v>27.0</v>
      </c>
      <c r="B16" s="23" t="s">
        <v>20</v>
      </c>
      <c r="C16" s="23">
        <v>1040375.0</v>
      </c>
      <c r="D16" s="49">
        <v>46231.0</v>
      </c>
      <c r="E16" s="29">
        <v>1847.45</v>
      </c>
      <c r="F16" s="33"/>
      <c r="G16" s="23" t="s">
        <v>19</v>
      </c>
      <c r="H16" s="14"/>
      <c r="I16" s="14"/>
      <c r="J16" s="14"/>
      <c r="K16" s="17"/>
    </row>
    <row r="17" ht="13.5" customHeight="1">
      <c r="A17" s="23">
        <v>28.0</v>
      </c>
      <c r="B17" s="23"/>
      <c r="C17" s="23"/>
      <c r="D17" s="49"/>
      <c r="E17" s="29">
        <v>194.99</v>
      </c>
      <c r="F17" s="33"/>
      <c r="G17" s="23" t="s">
        <v>19</v>
      </c>
      <c r="H17" s="14"/>
      <c r="I17" s="14"/>
      <c r="J17" s="14"/>
      <c r="K17" s="17"/>
    </row>
    <row r="18" ht="13.5" customHeight="1">
      <c r="A18" s="23">
        <v>29.0</v>
      </c>
      <c r="B18" s="23" t="s">
        <v>20</v>
      </c>
      <c r="C18" s="23">
        <v>1040375.0</v>
      </c>
      <c r="D18" s="49">
        <v>46231.0</v>
      </c>
      <c r="E18" s="29">
        <v>907.5</v>
      </c>
      <c r="F18" s="33"/>
      <c r="G18" s="23" t="s">
        <v>730</v>
      </c>
      <c r="H18" s="14"/>
      <c r="I18" s="14"/>
      <c r="J18" s="14"/>
      <c r="K18" s="17"/>
    </row>
    <row r="19" ht="13.5" customHeight="1">
      <c r="A19" s="23">
        <v>30.0</v>
      </c>
      <c r="B19" s="23" t="s">
        <v>20</v>
      </c>
      <c r="C19" s="23">
        <v>1040375.0</v>
      </c>
      <c r="D19" s="49">
        <v>46231.0</v>
      </c>
      <c r="E19" s="29">
        <v>38.88</v>
      </c>
      <c r="F19" s="33"/>
      <c r="G19" s="23" t="s">
        <v>19</v>
      </c>
      <c r="H19" s="14"/>
      <c r="I19" s="14"/>
      <c r="J19" s="14"/>
      <c r="K19" s="17"/>
    </row>
    <row r="20" ht="13.5" customHeight="1">
      <c r="A20" s="14">
        <v>43.0</v>
      </c>
      <c r="B20" s="14" t="s">
        <v>20</v>
      </c>
      <c r="C20" s="14">
        <v>1040258.0</v>
      </c>
      <c r="D20" s="16">
        <v>46231.0</v>
      </c>
      <c r="E20" s="17">
        <v>1.82</v>
      </c>
      <c r="F20" s="15"/>
      <c r="G20" s="14" t="s">
        <v>19</v>
      </c>
      <c r="H20" s="14"/>
      <c r="I20" s="14"/>
      <c r="J20" s="14"/>
      <c r="K20" s="17"/>
    </row>
    <row r="21" ht="13.5" customHeight="1">
      <c r="A21" s="14"/>
      <c r="B21" s="14"/>
      <c r="C21" s="14"/>
      <c r="D21" s="14"/>
      <c r="E21" s="17"/>
      <c r="F21" s="15"/>
      <c r="G21" s="14"/>
      <c r="H21" s="14"/>
      <c r="I21" s="14"/>
      <c r="J21" s="14"/>
      <c r="K21" s="17"/>
    </row>
    <row r="22" ht="13.5" customHeight="1">
      <c r="A22" s="14"/>
      <c r="B22" s="14"/>
      <c r="C22" s="14"/>
      <c r="D22" s="14"/>
      <c r="E22" s="17"/>
      <c r="F22" s="15"/>
      <c r="G22" s="14"/>
      <c r="H22" s="14"/>
      <c r="I22" s="14"/>
      <c r="J22" s="14"/>
      <c r="K22" s="17"/>
    </row>
    <row r="23" ht="13.5" customHeight="1">
      <c r="E23" s="51"/>
      <c r="F23" s="12"/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K57" s="51"/>
    </row>
    <row r="58" ht="13.5" customHeight="1">
      <c r="E58" s="51"/>
      <c r="F58" s="12"/>
      <c r="K58" s="51"/>
    </row>
    <row r="59" ht="13.5" customHeight="1">
      <c r="E59" s="51"/>
      <c r="F59" s="12"/>
      <c r="K59" s="51"/>
    </row>
    <row r="60" ht="13.5" customHeight="1">
      <c r="E60" s="51"/>
      <c r="F60" s="12"/>
      <c r="K60" s="51"/>
    </row>
    <row r="61" ht="13.5" customHeight="1">
      <c r="E61" s="51"/>
      <c r="F61" s="12"/>
      <c r="J61" s="61"/>
      <c r="K61" s="75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E63" s="51"/>
      <c r="F63" s="12"/>
      <c r="H63" s="61"/>
      <c r="I63" s="61"/>
      <c r="J63" s="61"/>
      <c r="K63" s="75"/>
      <c r="L63" s="61"/>
    </row>
    <row r="64" ht="13.5" customHeight="1">
      <c r="E64" s="51"/>
      <c r="F64" s="12"/>
      <c r="H64" s="61"/>
      <c r="I64" s="61"/>
      <c r="J64" s="61"/>
      <c r="K64" s="75"/>
      <c r="L64" s="61"/>
    </row>
    <row r="65" ht="13.5" customHeight="1">
      <c r="E65" s="51"/>
      <c r="F65" s="12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G148" s="61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J149" s="61"/>
      <c r="K149" s="75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J150" s="61"/>
      <c r="K150" s="75"/>
      <c r="L150" s="61"/>
    </row>
    <row r="151" ht="13.5" customHeight="1">
      <c r="A151" s="61"/>
      <c r="B151" s="61"/>
      <c r="C151" s="61"/>
      <c r="D151" s="61"/>
      <c r="E151" s="75"/>
      <c r="F151" s="69"/>
      <c r="H151" s="61"/>
      <c r="I151" s="61"/>
      <c r="J151" s="61"/>
      <c r="K151" s="75"/>
      <c r="L151" s="61"/>
    </row>
    <row r="152" ht="13.5" customHeight="1">
      <c r="A152" s="61"/>
      <c r="B152" s="61"/>
      <c r="C152" s="61"/>
      <c r="D152" s="61"/>
      <c r="E152" s="75"/>
      <c r="F152" s="69"/>
      <c r="H152" s="61"/>
      <c r="I152" s="61"/>
      <c r="K152" s="51"/>
      <c r="L152" s="6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5"/>
  <printOptions/>
  <pageMargins bottom="0.787401575" footer="0.0" header="0.0" left="0.511811024" right="0.511811024" top="0.7874015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6.63"/>
    <col customWidth="1" min="5" max="5" width="23.88"/>
    <col customWidth="1" min="6" max="6" width="9.38"/>
    <col customWidth="1" min="7" max="7" width="27.5"/>
    <col customWidth="1" min="8" max="9" width="5.25"/>
    <col customWidth="1" min="10" max="10" width="27.88"/>
    <col customWidth="1" min="11" max="11" width="23.88"/>
    <col customWidth="1" min="12" max="26" width="5.25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50">
        <v>1.0</v>
      </c>
      <c r="B2" s="50" t="s">
        <v>9</v>
      </c>
      <c r="C2" s="50">
        <v>2130870.0</v>
      </c>
      <c r="D2" s="241">
        <v>46232.0</v>
      </c>
      <c r="E2" s="51">
        <v>5509952.79</v>
      </c>
      <c r="F2" s="50" t="s">
        <v>10</v>
      </c>
      <c r="G2" s="50" t="s">
        <v>19</v>
      </c>
      <c r="J2" s="253">
        <v>183745.0</v>
      </c>
      <c r="K2" s="254">
        <v>33113.01</v>
      </c>
    </row>
    <row r="3" ht="13.5" customHeight="1">
      <c r="A3" s="50">
        <v>2.0</v>
      </c>
      <c r="B3" s="50" t="s">
        <v>9</v>
      </c>
      <c r="C3" s="50">
        <v>2050900.0</v>
      </c>
      <c r="D3" s="241">
        <v>46232.0</v>
      </c>
      <c r="E3" s="51">
        <v>1082.66</v>
      </c>
      <c r="G3" s="50" t="s">
        <v>19</v>
      </c>
      <c r="J3" s="253">
        <v>183779.0</v>
      </c>
      <c r="K3" s="254">
        <v>11747.39</v>
      </c>
    </row>
    <row r="4" ht="13.5" customHeight="1">
      <c r="A4" s="50">
        <v>6.0</v>
      </c>
      <c r="B4" s="50" t="s">
        <v>16</v>
      </c>
      <c r="C4" s="50">
        <v>2050752.0</v>
      </c>
      <c r="D4" s="241">
        <v>46232.0</v>
      </c>
      <c r="E4" s="51">
        <v>828438.11</v>
      </c>
      <c r="G4" s="50" t="s">
        <v>19</v>
      </c>
      <c r="J4" s="253">
        <v>183782.0</v>
      </c>
      <c r="K4" s="254">
        <v>25358.67</v>
      </c>
    </row>
    <row r="5" ht="13.5" customHeight="1">
      <c r="A5" s="50">
        <v>7.0</v>
      </c>
      <c r="B5" s="50" t="s">
        <v>16</v>
      </c>
      <c r="C5" s="50">
        <v>2050752.0</v>
      </c>
      <c r="D5" s="241">
        <v>46232.0</v>
      </c>
      <c r="E5" s="51">
        <v>2243738.31</v>
      </c>
      <c r="G5" s="50" t="s">
        <v>19</v>
      </c>
      <c r="J5" s="253" t="s">
        <v>731</v>
      </c>
      <c r="K5" s="254">
        <v>272819.76</v>
      </c>
    </row>
    <row r="6" ht="13.5" customHeight="1">
      <c r="A6" s="50">
        <v>8.0</v>
      </c>
      <c r="B6" s="50" t="s">
        <v>16</v>
      </c>
      <c r="C6" s="50">
        <v>2050752.0</v>
      </c>
      <c r="D6" s="241">
        <v>46232.0</v>
      </c>
      <c r="E6" s="51">
        <v>306960.35</v>
      </c>
      <c r="G6" s="50" t="s">
        <v>19</v>
      </c>
      <c r="J6" s="253" t="s">
        <v>732</v>
      </c>
      <c r="K6" s="254">
        <v>524.6</v>
      </c>
    </row>
    <row r="7" ht="13.5" customHeight="1">
      <c r="A7" s="255">
        <v>10.0</v>
      </c>
      <c r="B7" s="255" t="s">
        <v>16</v>
      </c>
      <c r="C7" s="255">
        <v>2050752.0</v>
      </c>
      <c r="D7" s="256">
        <v>46232.0</v>
      </c>
      <c r="E7" s="257">
        <v>3074.49</v>
      </c>
      <c r="F7" s="255"/>
      <c r="G7" s="255" t="s">
        <v>19</v>
      </c>
      <c r="K7" s="51"/>
    </row>
    <row r="8" ht="13.5" customHeight="1">
      <c r="A8" s="57">
        <v>12.0</v>
      </c>
      <c r="B8" s="57" t="s">
        <v>20</v>
      </c>
      <c r="C8" s="57">
        <v>1200393.0</v>
      </c>
      <c r="D8" s="258">
        <v>46232.0</v>
      </c>
      <c r="E8" s="254">
        <v>4883.89</v>
      </c>
      <c r="F8" s="57"/>
      <c r="G8" s="57" t="s">
        <v>19</v>
      </c>
      <c r="K8" s="51"/>
    </row>
    <row r="9" ht="13.5" customHeight="1">
      <c r="A9" s="57">
        <v>13.0</v>
      </c>
      <c r="B9" s="57" t="s">
        <v>20</v>
      </c>
      <c r="C9" s="57">
        <v>1040211.0</v>
      </c>
      <c r="D9" s="258">
        <v>46232.0</v>
      </c>
      <c r="E9" s="254">
        <v>20474.78</v>
      </c>
      <c r="F9" s="57"/>
      <c r="G9" s="57" t="s">
        <v>730</v>
      </c>
      <c r="K9" s="51"/>
    </row>
    <row r="10" ht="13.5" customHeight="1">
      <c r="A10" s="57">
        <v>15.0</v>
      </c>
      <c r="B10" s="57" t="s">
        <v>20</v>
      </c>
      <c r="C10" s="57">
        <v>1200393.0</v>
      </c>
      <c r="D10" s="258">
        <v>46232.0</v>
      </c>
      <c r="E10" s="254">
        <v>7258.93</v>
      </c>
      <c r="F10" s="57"/>
      <c r="G10" s="57" t="s">
        <v>19</v>
      </c>
      <c r="K10" s="51"/>
    </row>
    <row r="11" ht="13.5" customHeight="1">
      <c r="A11" s="57">
        <v>16.0</v>
      </c>
      <c r="B11" s="57" t="s">
        <v>20</v>
      </c>
      <c r="C11" s="57">
        <v>1040211.0</v>
      </c>
      <c r="D11" s="258">
        <v>46232.0</v>
      </c>
      <c r="E11" s="254">
        <v>25854.08</v>
      </c>
      <c r="F11" s="57"/>
      <c r="G11" s="57" t="s">
        <v>19</v>
      </c>
      <c r="K11" s="51"/>
    </row>
    <row r="12" ht="13.5" customHeight="1">
      <c r="A12" s="57">
        <v>18.0</v>
      </c>
      <c r="B12" s="57" t="s">
        <v>20</v>
      </c>
      <c r="C12" s="57">
        <v>1040250.0</v>
      </c>
      <c r="D12" s="258">
        <v>46232.0</v>
      </c>
      <c r="E12" s="254">
        <v>197244.66</v>
      </c>
      <c r="F12" s="57"/>
      <c r="G12" s="57" t="s">
        <v>11</v>
      </c>
      <c r="K12" s="51"/>
    </row>
    <row r="13" ht="13.5" customHeight="1">
      <c r="A13" s="57">
        <v>19.0</v>
      </c>
      <c r="B13" s="57" t="s">
        <v>20</v>
      </c>
      <c r="C13" s="57">
        <v>1200393.0</v>
      </c>
      <c r="D13" s="258">
        <v>46232.0</v>
      </c>
      <c r="E13" s="254">
        <v>75575.1</v>
      </c>
      <c r="F13" s="57"/>
      <c r="G13" s="57" t="s">
        <v>11</v>
      </c>
      <c r="K13" s="51"/>
    </row>
    <row r="14" ht="13.5" customHeight="1">
      <c r="A14" s="50">
        <v>20.0</v>
      </c>
      <c r="B14" s="50" t="s">
        <v>20</v>
      </c>
      <c r="C14" s="50">
        <v>1060345.0</v>
      </c>
      <c r="D14" s="241">
        <v>46232.0</v>
      </c>
      <c r="E14" s="51">
        <v>1.65E7</v>
      </c>
      <c r="G14" s="50" t="s">
        <v>19</v>
      </c>
      <c r="K14" s="51"/>
    </row>
    <row r="15" ht="13.5" customHeight="1">
      <c r="A15" s="57">
        <v>22.0</v>
      </c>
      <c r="B15" s="57" t="s">
        <v>20</v>
      </c>
      <c r="C15" s="57">
        <v>1040375.0</v>
      </c>
      <c r="D15" s="258">
        <v>46232.0</v>
      </c>
      <c r="E15" s="254">
        <v>245.41</v>
      </c>
      <c r="F15" s="57"/>
      <c r="G15" s="57" t="s">
        <v>11</v>
      </c>
      <c r="K15" s="51"/>
    </row>
    <row r="16" ht="13.5" customHeight="1">
      <c r="A16" s="57">
        <v>23.0</v>
      </c>
      <c r="B16" s="57" t="s">
        <v>20</v>
      </c>
      <c r="C16" s="57">
        <v>1040375.0</v>
      </c>
      <c r="D16" s="258">
        <v>46232.0</v>
      </c>
      <c r="E16" s="254">
        <v>18.7</v>
      </c>
      <c r="F16" s="57"/>
      <c r="G16" s="57" t="s">
        <v>11</v>
      </c>
      <c r="K16" s="51"/>
    </row>
    <row r="17" ht="13.5" customHeight="1">
      <c r="A17" s="57">
        <v>24.0</v>
      </c>
      <c r="B17" s="57" t="s">
        <v>20</v>
      </c>
      <c r="C17" s="57">
        <v>1040375.0</v>
      </c>
      <c r="D17" s="258">
        <v>46232.0</v>
      </c>
      <c r="E17" s="254">
        <v>837.26</v>
      </c>
      <c r="F17" s="57"/>
      <c r="G17" s="57" t="s">
        <v>11</v>
      </c>
      <c r="K17" s="51"/>
    </row>
    <row r="18" ht="13.5" customHeight="1">
      <c r="A18" s="57">
        <v>25.0</v>
      </c>
      <c r="B18" s="57" t="s">
        <v>20</v>
      </c>
      <c r="C18" s="57">
        <v>1040375.0</v>
      </c>
      <c r="D18" s="258">
        <v>46232.0</v>
      </c>
      <c r="E18" s="254">
        <v>4.6</v>
      </c>
      <c r="F18" s="57"/>
      <c r="G18" s="57" t="s">
        <v>11</v>
      </c>
      <c r="K18" s="51"/>
    </row>
    <row r="19" ht="13.5" customHeight="1">
      <c r="A19" s="57">
        <v>26.0</v>
      </c>
      <c r="B19" s="57" t="s">
        <v>20</v>
      </c>
      <c r="C19" s="57">
        <v>1040375.0</v>
      </c>
      <c r="D19" s="258">
        <v>46232.0</v>
      </c>
      <c r="E19" s="254">
        <v>761.86</v>
      </c>
      <c r="F19" s="57"/>
      <c r="G19" s="57" t="s">
        <v>11</v>
      </c>
      <c r="K19" s="51"/>
    </row>
    <row r="20" ht="13.5" customHeight="1">
      <c r="A20" s="57">
        <v>27.0</v>
      </c>
      <c r="B20" s="57" t="s">
        <v>20</v>
      </c>
      <c r="C20" s="57">
        <v>1040375.0</v>
      </c>
      <c r="D20" s="258">
        <v>46232.0</v>
      </c>
      <c r="E20" s="254">
        <v>28.9</v>
      </c>
      <c r="F20" s="57"/>
      <c r="G20" s="57" t="s">
        <v>11</v>
      </c>
      <c r="K20" s="51"/>
    </row>
    <row r="21" ht="13.5" customHeight="1">
      <c r="A21" s="57">
        <v>28.0</v>
      </c>
      <c r="B21" s="57" t="s">
        <v>20</v>
      </c>
      <c r="C21" s="57">
        <v>1040375.0</v>
      </c>
      <c r="D21" s="258">
        <v>46232.0</v>
      </c>
      <c r="E21" s="254">
        <v>9850.66</v>
      </c>
      <c r="F21" s="57"/>
      <c r="G21" s="57" t="s">
        <v>11</v>
      </c>
      <c r="K21" s="51"/>
    </row>
    <row r="22" ht="13.5" customHeight="1">
      <c r="A22" s="57">
        <v>34.0</v>
      </c>
      <c r="B22" s="57" t="s">
        <v>20</v>
      </c>
      <c r="C22" s="57">
        <v>1040375.0</v>
      </c>
      <c r="D22" s="258">
        <v>46232.0</v>
      </c>
      <c r="E22" s="254">
        <v>462.82</v>
      </c>
      <c r="F22" s="57"/>
      <c r="G22" s="57" t="s">
        <v>11</v>
      </c>
      <c r="K22" s="51"/>
    </row>
    <row r="23" ht="13.5" customHeight="1">
      <c r="A23" s="57">
        <v>35.0</v>
      </c>
      <c r="B23" s="57" t="s">
        <v>20</v>
      </c>
      <c r="C23" s="57">
        <v>1040375.0</v>
      </c>
      <c r="D23" s="258">
        <v>46232.0</v>
      </c>
      <c r="E23" s="254">
        <v>61.78</v>
      </c>
      <c r="F23" s="25"/>
      <c r="G23" s="57" t="s">
        <v>11</v>
      </c>
      <c r="K23" s="51"/>
    </row>
    <row r="24" ht="13.5" customHeight="1">
      <c r="E24" s="51"/>
      <c r="F24" s="12"/>
      <c r="K24" s="51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K57" s="51"/>
    </row>
    <row r="58" ht="13.5" customHeight="1">
      <c r="E58" s="51"/>
      <c r="F58" s="12"/>
      <c r="K58" s="51"/>
    </row>
    <row r="59" ht="13.5" customHeight="1">
      <c r="E59" s="51"/>
      <c r="F59" s="12"/>
      <c r="J59" s="61"/>
      <c r="K59" s="75"/>
    </row>
    <row r="60" ht="13.5" customHeight="1">
      <c r="E60" s="51"/>
      <c r="F60" s="12"/>
      <c r="J60" s="61"/>
      <c r="K60" s="75"/>
    </row>
    <row r="61" ht="13.5" customHeight="1">
      <c r="E61" s="51"/>
      <c r="F61" s="12"/>
      <c r="H61" s="61"/>
      <c r="I61" s="61"/>
      <c r="J61" s="61"/>
      <c r="K61" s="75"/>
      <c r="L61" s="61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E63" s="51"/>
      <c r="F63" s="12"/>
      <c r="H63" s="61"/>
      <c r="I63" s="61"/>
      <c r="J63" s="61"/>
      <c r="K63" s="75"/>
      <c r="L63" s="61"/>
    </row>
    <row r="64" ht="13.5" customHeight="1">
      <c r="E64" s="51"/>
      <c r="F64" s="12"/>
      <c r="H64" s="61"/>
      <c r="I64" s="61"/>
      <c r="J64" s="61"/>
      <c r="K64" s="75"/>
      <c r="L64" s="61"/>
    </row>
    <row r="65" ht="13.5" customHeight="1">
      <c r="A65" s="61"/>
      <c r="B65" s="61"/>
      <c r="C65" s="61"/>
      <c r="D65" s="61"/>
      <c r="E65" s="75"/>
      <c r="F65" s="69"/>
      <c r="G65" s="61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J149" s="61"/>
      <c r="K149" s="75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K150" s="51"/>
      <c r="L150" s="61"/>
    </row>
    <row r="151" ht="13.5" customHeight="1">
      <c r="A151" s="61"/>
      <c r="B151" s="61"/>
      <c r="C151" s="61"/>
      <c r="D151" s="61"/>
      <c r="E151" s="75"/>
      <c r="F151" s="69"/>
      <c r="H151" s="61"/>
      <c r="I151" s="61"/>
      <c r="K151" s="51"/>
      <c r="L151" s="6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4"/>
  <printOptions/>
  <pageMargins bottom="0.787401575" footer="0.0" header="0.0" left="0.511811024" right="0.511811024" top="0.7874015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5" width="16.63"/>
    <col customWidth="1" min="6" max="7" width="19.25"/>
    <col customWidth="1" min="8" max="9" width="5.25"/>
    <col customWidth="1" min="10" max="10" width="27.88"/>
    <col customWidth="1" min="11" max="11" width="16.63"/>
    <col customWidth="1" min="12" max="26" width="5.25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46233.0</v>
      </c>
      <c r="E2" s="17">
        <v>34221.61</v>
      </c>
      <c r="F2" s="14" t="s">
        <v>80</v>
      </c>
      <c r="G2" s="14" t="s">
        <v>19</v>
      </c>
      <c r="H2" s="14"/>
      <c r="I2" s="14"/>
      <c r="J2" s="21">
        <v>183767.0</v>
      </c>
      <c r="K2" s="29">
        <v>443593.08</v>
      </c>
    </row>
    <row r="3" ht="13.5" customHeight="1">
      <c r="A3" s="14">
        <v>2.0</v>
      </c>
      <c r="B3" s="14" t="s">
        <v>9</v>
      </c>
      <c r="C3" s="14">
        <v>2130870.0</v>
      </c>
      <c r="D3" s="16">
        <v>46233.0</v>
      </c>
      <c r="E3" s="17">
        <v>6.947954852E7</v>
      </c>
      <c r="F3" s="14" t="s">
        <v>10</v>
      </c>
      <c r="G3" s="14" t="s">
        <v>19</v>
      </c>
      <c r="H3" s="14"/>
      <c r="I3" s="14"/>
      <c r="J3" s="21">
        <v>183789.0</v>
      </c>
      <c r="K3" s="29">
        <v>31225.660000000014</v>
      </c>
    </row>
    <row r="4" ht="13.5" customHeight="1">
      <c r="A4" s="14">
        <v>3.0</v>
      </c>
      <c r="B4" s="14" t="s">
        <v>16</v>
      </c>
      <c r="C4" s="14">
        <v>2090821.0</v>
      </c>
      <c r="D4" s="16">
        <v>46233.0</v>
      </c>
      <c r="E4" s="17">
        <v>1342.59</v>
      </c>
      <c r="F4" s="14"/>
      <c r="G4" s="14" t="s">
        <v>19</v>
      </c>
      <c r="H4" s="14"/>
      <c r="I4" s="14"/>
      <c r="J4" s="21">
        <v>183790.0</v>
      </c>
      <c r="K4" s="29">
        <v>1.053771903E7</v>
      </c>
    </row>
    <row r="5" ht="13.5" customHeight="1">
      <c r="A5" s="30">
        <v>4.0</v>
      </c>
      <c r="B5" s="30" t="s">
        <v>16</v>
      </c>
      <c r="C5" s="30">
        <v>2090821.0</v>
      </c>
      <c r="D5" s="31">
        <v>46233.0</v>
      </c>
      <c r="E5" s="32">
        <v>0.01</v>
      </c>
      <c r="F5" s="30"/>
      <c r="G5" s="30" t="s">
        <v>19</v>
      </c>
      <c r="H5" s="14"/>
      <c r="I5" s="14"/>
      <c r="J5" s="21">
        <v>183803.0</v>
      </c>
      <c r="K5" s="29">
        <v>10792.160000000003</v>
      </c>
    </row>
    <row r="6" ht="13.5" customHeight="1">
      <c r="A6" s="23">
        <v>5.0</v>
      </c>
      <c r="B6" s="23" t="s">
        <v>20</v>
      </c>
      <c r="C6" s="23">
        <v>1200393.0</v>
      </c>
      <c r="D6" s="49">
        <v>46233.0</v>
      </c>
      <c r="E6" s="29">
        <v>2433112.62</v>
      </c>
      <c r="F6" s="23"/>
      <c r="G6" s="23" t="s">
        <v>19</v>
      </c>
      <c r="H6" s="14"/>
      <c r="I6" s="14"/>
      <c r="J6" s="21" t="s">
        <v>733</v>
      </c>
      <c r="K6" s="29">
        <v>2410.75</v>
      </c>
    </row>
    <row r="7" ht="13.5" customHeight="1">
      <c r="A7" s="23">
        <v>6.0</v>
      </c>
      <c r="B7" s="23" t="s">
        <v>20</v>
      </c>
      <c r="C7" s="23">
        <v>1040211.0</v>
      </c>
      <c r="D7" s="49">
        <v>46233.0</v>
      </c>
      <c r="E7" s="29">
        <v>8104606.41</v>
      </c>
      <c r="F7" s="23"/>
      <c r="G7" s="23" t="s">
        <v>19</v>
      </c>
      <c r="H7" s="14"/>
      <c r="I7" s="14"/>
      <c r="J7" s="23">
        <v>183820.0</v>
      </c>
      <c r="K7" s="29">
        <v>52.05</v>
      </c>
    </row>
    <row r="8" ht="13.5" customHeight="1">
      <c r="A8" s="23">
        <v>11.0</v>
      </c>
      <c r="B8" s="23" t="s">
        <v>20</v>
      </c>
      <c r="C8" s="23">
        <v>1200393.0</v>
      </c>
      <c r="D8" s="49">
        <v>46233.0</v>
      </c>
      <c r="E8" s="29">
        <v>1259.4</v>
      </c>
      <c r="F8" s="23"/>
      <c r="G8" s="23" t="s">
        <v>19</v>
      </c>
      <c r="H8" s="14"/>
      <c r="I8" s="14"/>
      <c r="J8" s="23">
        <v>183821.0</v>
      </c>
      <c r="K8" s="29">
        <v>26.51</v>
      </c>
    </row>
    <row r="9" ht="13.5" customHeight="1">
      <c r="A9" s="23">
        <v>12.0</v>
      </c>
      <c r="B9" s="23" t="s">
        <v>20</v>
      </c>
      <c r="C9" s="23">
        <v>1040211.0</v>
      </c>
      <c r="D9" s="49">
        <v>46233.0</v>
      </c>
      <c r="E9" s="29">
        <v>9532.76</v>
      </c>
      <c r="F9" s="23"/>
      <c r="G9" s="23" t="s">
        <v>19</v>
      </c>
      <c r="H9" s="14"/>
      <c r="I9" s="14"/>
      <c r="J9" s="23" t="s">
        <v>734</v>
      </c>
      <c r="K9" s="29">
        <v>2794.0</v>
      </c>
    </row>
    <row r="10" ht="13.5" customHeight="1">
      <c r="A10" s="23">
        <v>14.0</v>
      </c>
      <c r="B10" s="23" t="s">
        <v>20</v>
      </c>
      <c r="C10" s="23">
        <v>1200393.0</v>
      </c>
      <c r="D10" s="49">
        <v>46233.0</v>
      </c>
      <c r="E10" s="29">
        <v>4534.7</v>
      </c>
      <c r="F10" s="23"/>
      <c r="G10" s="23" t="s">
        <v>19</v>
      </c>
      <c r="H10" s="14"/>
      <c r="I10" s="14"/>
      <c r="J10" s="23" t="s">
        <v>735</v>
      </c>
      <c r="K10" s="29">
        <v>855.32</v>
      </c>
    </row>
    <row r="11" ht="13.5" customHeight="1">
      <c r="A11" s="23">
        <v>16.0</v>
      </c>
      <c r="B11" s="23" t="s">
        <v>20</v>
      </c>
      <c r="C11" s="23">
        <v>1040211.0</v>
      </c>
      <c r="D11" s="49">
        <v>46233.0</v>
      </c>
      <c r="E11" s="29">
        <v>26690.96</v>
      </c>
      <c r="F11" s="23"/>
      <c r="G11" s="23" t="s">
        <v>19</v>
      </c>
      <c r="H11" s="14"/>
      <c r="I11" s="14"/>
      <c r="J11" s="23" t="s">
        <v>736</v>
      </c>
      <c r="K11" s="29">
        <v>555.42</v>
      </c>
    </row>
    <row r="12" ht="13.5" customHeight="1">
      <c r="A12" s="23">
        <v>17.0</v>
      </c>
      <c r="B12" s="23" t="s">
        <v>20</v>
      </c>
      <c r="C12" s="23">
        <v>1040250.0</v>
      </c>
      <c r="D12" s="49">
        <v>46233.0</v>
      </c>
      <c r="E12" s="29">
        <v>1986.92</v>
      </c>
      <c r="F12" s="23"/>
      <c r="G12" s="23" t="s">
        <v>19</v>
      </c>
      <c r="H12" s="14"/>
      <c r="I12" s="14"/>
      <c r="J12" s="23" t="s">
        <v>737</v>
      </c>
      <c r="K12" s="29">
        <v>2642.93</v>
      </c>
    </row>
    <row r="13" ht="13.5" customHeight="1">
      <c r="A13" s="23">
        <v>20.0</v>
      </c>
      <c r="B13" s="23" t="s">
        <v>20</v>
      </c>
      <c r="C13" s="23">
        <v>1200393.0</v>
      </c>
      <c r="D13" s="49">
        <v>46233.0</v>
      </c>
      <c r="E13" s="29">
        <v>1876.02</v>
      </c>
      <c r="F13" s="23"/>
      <c r="G13" s="23" t="s">
        <v>19</v>
      </c>
      <c r="H13" s="14"/>
      <c r="I13" s="14"/>
      <c r="J13" s="14"/>
      <c r="K13" s="17"/>
    </row>
    <row r="14" ht="13.5" customHeight="1">
      <c r="A14" s="23">
        <v>21.0</v>
      </c>
      <c r="B14" s="23" t="s">
        <v>20</v>
      </c>
      <c r="C14" s="23">
        <v>1200393.0</v>
      </c>
      <c r="D14" s="49">
        <v>46233.0</v>
      </c>
      <c r="E14" s="29">
        <v>423.83</v>
      </c>
      <c r="F14" s="23"/>
      <c r="G14" s="23" t="s">
        <v>19</v>
      </c>
      <c r="H14" s="14"/>
      <c r="I14" s="14"/>
      <c r="J14" s="14"/>
      <c r="K14" s="17"/>
    </row>
    <row r="15" ht="13.5" customHeight="1">
      <c r="A15" s="23">
        <v>22.0</v>
      </c>
      <c r="B15" s="23" t="s">
        <v>20</v>
      </c>
      <c r="C15" s="23">
        <v>1200393.0</v>
      </c>
      <c r="D15" s="49">
        <v>46233.0</v>
      </c>
      <c r="E15" s="29">
        <v>62458.55</v>
      </c>
      <c r="F15" s="23"/>
      <c r="G15" s="23" t="s">
        <v>19</v>
      </c>
      <c r="H15" s="14"/>
      <c r="I15" s="14"/>
      <c r="J15" s="14"/>
      <c r="K15" s="17"/>
    </row>
    <row r="16" ht="13.5" customHeight="1">
      <c r="A16" s="23">
        <v>23.0</v>
      </c>
      <c r="B16" s="23" t="s">
        <v>20</v>
      </c>
      <c r="C16" s="23">
        <v>1040250.0</v>
      </c>
      <c r="D16" s="49">
        <v>46233.0</v>
      </c>
      <c r="E16" s="29">
        <v>379258.51</v>
      </c>
      <c r="F16" s="23"/>
      <c r="G16" s="23" t="s">
        <v>19</v>
      </c>
      <c r="H16" s="14"/>
      <c r="I16" s="14"/>
      <c r="J16" s="14"/>
      <c r="K16" s="17"/>
    </row>
    <row r="17" ht="13.5" customHeight="1">
      <c r="A17" s="14">
        <v>24.0</v>
      </c>
      <c r="B17" s="14" t="s">
        <v>20</v>
      </c>
      <c r="C17" s="14">
        <v>1060345.0</v>
      </c>
      <c r="D17" s="16">
        <v>46233.0</v>
      </c>
      <c r="E17" s="17">
        <v>5.85E7</v>
      </c>
      <c r="F17" s="14"/>
      <c r="G17" s="14" t="s">
        <v>19</v>
      </c>
      <c r="H17" s="14"/>
      <c r="I17" s="14"/>
      <c r="J17" s="14"/>
      <c r="K17" s="17"/>
    </row>
    <row r="18" ht="13.5" customHeight="1">
      <c r="A18" s="23">
        <v>25.0</v>
      </c>
      <c r="B18" s="23" t="s">
        <v>47</v>
      </c>
      <c r="C18" s="23">
        <v>1040500.0</v>
      </c>
      <c r="D18" s="49">
        <v>46233.0</v>
      </c>
      <c r="E18" s="29">
        <v>2794.0</v>
      </c>
      <c r="F18" s="23"/>
      <c r="G18" s="23" t="s">
        <v>19</v>
      </c>
      <c r="H18" s="14"/>
      <c r="I18" s="14"/>
      <c r="J18" s="14"/>
      <c r="K18" s="17"/>
    </row>
    <row r="19" ht="13.5" customHeight="1">
      <c r="A19" s="23">
        <v>26.0</v>
      </c>
      <c r="B19" s="23" t="s">
        <v>47</v>
      </c>
      <c r="C19" s="23">
        <v>1040500.0</v>
      </c>
      <c r="D19" s="49">
        <v>46233.0</v>
      </c>
      <c r="E19" s="29">
        <v>855.32</v>
      </c>
      <c r="F19" s="23"/>
      <c r="G19" s="23" t="s">
        <v>19</v>
      </c>
      <c r="H19" s="14"/>
      <c r="I19" s="14"/>
      <c r="J19" s="14"/>
      <c r="K19" s="17"/>
    </row>
    <row r="20" ht="13.5" customHeight="1">
      <c r="A20" s="23">
        <v>27.0</v>
      </c>
      <c r="B20" s="23" t="s">
        <v>47</v>
      </c>
      <c r="C20" s="23">
        <v>1040500.0</v>
      </c>
      <c r="D20" s="49">
        <v>46233.0</v>
      </c>
      <c r="E20" s="29">
        <v>555.42</v>
      </c>
      <c r="F20" s="23"/>
      <c r="G20" s="23" t="s">
        <v>19</v>
      </c>
      <c r="H20" s="14"/>
      <c r="I20" s="14"/>
      <c r="J20" s="14"/>
      <c r="K20" s="17"/>
    </row>
    <row r="21" ht="13.5" customHeight="1">
      <c r="A21" s="23">
        <v>28.0</v>
      </c>
      <c r="B21" s="23" t="s">
        <v>47</v>
      </c>
      <c r="C21" s="23">
        <v>1040500.0</v>
      </c>
      <c r="D21" s="49">
        <v>46233.0</v>
      </c>
      <c r="E21" s="29">
        <v>2642.93</v>
      </c>
      <c r="F21" s="23"/>
      <c r="G21" s="23" t="s">
        <v>19</v>
      </c>
      <c r="H21" s="14"/>
      <c r="I21" s="14"/>
      <c r="J21" s="14"/>
      <c r="K21" s="17"/>
    </row>
    <row r="22" ht="13.5" customHeight="1">
      <c r="A22" s="23">
        <v>35.0</v>
      </c>
      <c r="B22" s="23" t="s">
        <v>47</v>
      </c>
      <c r="C22" s="23">
        <v>1170144.0</v>
      </c>
      <c r="D22" s="49">
        <v>46233.0</v>
      </c>
      <c r="E22" s="29">
        <v>52.05</v>
      </c>
      <c r="F22" s="23"/>
      <c r="G22" s="23" t="s">
        <v>19</v>
      </c>
      <c r="H22" s="14"/>
      <c r="I22" s="14"/>
      <c r="J22" s="14"/>
      <c r="K22" s="17"/>
    </row>
    <row r="23" ht="13.5" customHeight="1">
      <c r="A23" s="23">
        <v>36.0</v>
      </c>
      <c r="B23" s="23" t="s">
        <v>47</v>
      </c>
      <c r="C23" s="23">
        <v>1170144.0</v>
      </c>
      <c r="D23" s="49">
        <v>46233.0</v>
      </c>
      <c r="E23" s="29">
        <v>26.51</v>
      </c>
      <c r="F23" s="33"/>
      <c r="G23" s="23" t="s">
        <v>19</v>
      </c>
      <c r="H23" s="14"/>
      <c r="I23" s="14"/>
      <c r="J23" s="14"/>
      <c r="K23" s="17"/>
    </row>
    <row r="24" ht="13.5" customHeight="1">
      <c r="A24" s="14">
        <v>39.0</v>
      </c>
      <c r="B24" s="14" t="s">
        <v>20</v>
      </c>
      <c r="C24" s="14">
        <v>1040124.0</v>
      </c>
      <c r="D24" s="16">
        <v>46233.0</v>
      </c>
      <c r="E24" s="17">
        <v>5.3</v>
      </c>
      <c r="F24" s="15"/>
      <c r="G24" s="14" t="s">
        <v>19</v>
      </c>
      <c r="H24" s="14"/>
      <c r="I24" s="14"/>
      <c r="J24" s="14"/>
      <c r="K24" s="17"/>
    </row>
    <row r="25" ht="13.5" customHeight="1">
      <c r="E25" s="51"/>
      <c r="F25" s="12"/>
      <c r="K25" s="51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J55" s="61"/>
      <c r="K55" s="75"/>
    </row>
    <row r="56" ht="13.5" customHeight="1">
      <c r="E56" s="51"/>
      <c r="F56" s="12"/>
      <c r="J56" s="61"/>
      <c r="K56" s="75"/>
    </row>
    <row r="57" ht="13.5" customHeight="1">
      <c r="E57" s="51"/>
      <c r="F57" s="12"/>
      <c r="J57" s="61"/>
      <c r="K57" s="75"/>
    </row>
    <row r="58" ht="13.5" customHeight="1">
      <c r="E58" s="51"/>
      <c r="F58" s="12"/>
      <c r="J58" s="61"/>
      <c r="K58" s="75"/>
    </row>
    <row r="59" ht="13.5" customHeight="1">
      <c r="E59" s="51"/>
      <c r="F59" s="12"/>
      <c r="J59" s="61"/>
      <c r="K59" s="75"/>
    </row>
    <row r="60" ht="13.5" customHeight="1">
      <c r="E60" s="51"/>
      <c r="F60" s="12"/>
      <c r="J60" s="61"/>
      <c r="K60" s="75"/>
    </row>
    <row r="61" ht="13.5" customHeight="1">
      <c r="E61" s="51"/>
      <c r="F61" s="12"/>
      <c r="H61" s="61"/>
      <c r="I61" s="61"/>
      <c r="J61" s="61"/>
      <c r="K61" s="75"/>
      <c r="L61" s="61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E63" s="51"/>
      <c r="F63" s="12"/>
      <c r="H63" s="61"/>
      <c r="I63" s="61"/>
      <c r="J63" s="61"/>
      <c r="K63" s="75"/>
      <c r="L63" s="61"/>
    </row>
    <row r="64" ht="13.5" customHeight="1">
      <c r="E64" s="51"/>
      <c r="F64" s="12"/>
      <c r="H64" s="61"/>
      <c r="I64" s="61"/>
      <c r="J64" s="61"/>
      <c r="K64" s="75"/>
      <c r="L64" s="61"/>
    </row>
    <row r="65" ht="13.5" customHeight="1">
      <c r="A65" s="61"/>
      <c r="B65" s="61"/>
      <c r="C65" s="61"/>
      <c r="D65" s="61"/>
      <c r="E65" s="75"/>
      <c r="F65" s="69"/>
      <c r="G65" s="61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K146" s="51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K147" s="51"/>
      <c r="L147" s="61"/>
    </row>
    <row r="148" ht="13.5" customHeight="1">
      <c r="A148" s="61"/>
      <c r="B148" s="61"/>
      <c r="C148" s="61"/>
      <c r="D148" s="61"/>
      <c r="E148" s="75"/>
      <c r="F148" s="69"/>
      <c r="H148" s="61"/>
      <c r="I148" s="61"/>
      <c r="K148" s="51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K149" s="51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K150" s="51"/>
      <c r="L150" s="61"/>
    </row>
    <row r="151" ht="13.5" customHeight="1">
      <c r="A151" s="61"/>
      <c r="B151" s="61"/>
      <c r="C151" s="61"/>
      <c r="D151" s="61"/>
      <c r="E151" s="75"/>
      <c r="F151" s="69"/>
      <c r="H151" s="61"/>
      <c r="I151" s="61"/>
      <c r="K151" s="51"/>
      <c r="L151" s="6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4"/>
  <conditionalFormatting sqref="E1:E1000 K1:K1000">
    <cfRule type="cellIs" dxfId="0" priority="1" operator="equal">
      <formula>34739774.27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5.75"/>
    <col customWidth="1" min="3" max="3" width="8.88"/>
    <col customWidth="1" min="4" max="4" width="16.63"/>
    <col customWidth="1" min="5" max="5" width="28.5"/>
    <col customWidth="1" min="6" max="6" width="23.25"/>
    <col customWidth="1" min="7" max="7" width="27.5"/>
    <col customWidth="1" min="8" max="9" width="5.25"/>
    <col customWidth="1" min="10" max="10" width="26.88"/>
    <col customWidth="1" min="11" max="11" width="16.25"/>
    <col customWidth="1" min="12" max="26" width="5.25"/>
  </cols>
  <sheetData>
    <row r="1" ht="13.5" customHeight="1">
      <c r="A1" s="1" t="s">
        <v>0</v>
      </c>
      <c r="B1" s="4" t="s">
        <v>1</v>
      </c>
      <c r="C1" s="6" t="s">
        <v>2</v>
      </c>
      <c r="D1" s="8" t="s">
        <v>3</v>
      </c>
      <c r="E1" s="9" t="s">
        <v>4</v>
      </c>
      <c r="F1" s="10" t="s">
        <v>5</v>
      </c>
      <c r="G1" s="4" t="s">
        <v>6</v>
      </c>
      <c r="H1" s="11"/>
      <c r="I1" s="12"/>
      <c r="J1" s="10" t="s">
        <v>7</v>
      </c>
      <c r="K1" s="13" t="s">
        <v>8</v>
      </c>
    </row>
    <row r="2" ht="13.5" customHeight="1">
      <c r="A2" s="14">
        <v>1.0</v>
      </c>
      <c r="B2" s="14" t="s">
        <v>9</v>
      </c>
      <c r="C2" s="14">
        <v>2130870.0</v>
      </c>
      <c r="D2" s="16">
        <v>46234.0</v>
      </c>
      <c r="E2" s="17">
        <v>9336.51</v>
      </c>
      <c r="F2" s="14" t="s">
        <v>15</v>
      </c>
      <c r="G2" s="14" t="s">
        <v>19</v>
      </c>
      <c r="H2" s="14"/>
      <c r="I2" s="14"/>
      <c r="J2" s="21">
        <v>183775.0</v>
      </c>
      <c r="K2" s="29">
        <v>16552.68</v>
      </c>
    </row>
    <row r="3" ht="13.5" customHeight="1">
      <c r="A3" s="14">
        <v>2.0</v>
      </c>
      <c r="B3" s="14" t="s">
        <v>9</v>
      </c>
      <c r="C3" s="14">
        <v>2060855.0</v>
      </c>
      <c r="D3" s="16">
        <v>46234.0</v>
      </c>
      <c r="E3" s="17">
        <v>1.26E7</v>
      </c>
      <c r="F3" s="14" t="s">
        <v>738</v>
      </c>
      <c r="G3" s="14" t="s">
        <v>19</v>
      </c>
      <c r="H3" s="14"/>
      <c r="I3" s="14"/>
      <c r="J3" s="21">
        <v>183817.0</v>
      </c>
      <c r="K3" s="29">
        <v>44251.10000000001</v>
      </c>
    </row>
    <row r="4" ht="13.5" customHeight="1">
      <c r="A4" s="14">
        <v>3.0</v>
      </c>
      <c r="B4" s="14" t="s">
        <v>9</v>
      </c>
      <c r="C4" s="14">
        <v>2050808.0</v>
      </c>
      <c r="D4" s="16">
        <v>46234.0</v>
      </c>
      <c r="E4" s="17">
        <v>509526.94</v>
      </c>
      <c r="F4" s="14" t="s">
        <v>739</v>
      </c>
      <c r="G4" s="14" t="s">
        <v>19</v>
      </c>
      <c r="H4" s="14"/>
      <c r="I4" s="14"/>
      <c r="J4" s="21">
        <v>183818.0</v>
      </c>
      <c r="K4" s="29">
        <v>1.0145556750000002E7</v>
      </c>
    </row>
    <row r="5" ht="13.5" customHeight="1">
      <c r="A5" s="14">
        <v>6.0</v>
      </c>
      <c r="B5" s="14" t="s">
        <v>16</v>
      </c>
      <c r="C5" s="14">
        <v>2050752.0</v>
      </c>
      <c r="D5" s="16">
        <v>46234.0</v>
      </c>
      <c r="E5" s="17">
        <v>3505773.19</v>
      </c>
      <c r="F5" s="14" t="s">
        <v>50</v>
      </c>
      <c r="G5" s="14" t="s">
        <v>19</v>
      </c>
      <c r="H5" s="14"/>
      <c r="I5" s="14"/>
      <c r="J5" s="21">
        <v>183819.0</v>
      </c>
      <c r="K5" s="29">
        <v>2183295.9899999998</v>
      </c>
    </row>
    <row r="6" ht="13.5" customHeight="1">
      <c r="A6" s="30">
        <v>7.0</v>
      </c>
      <c r="B6" s="30" t="s">
        <v>16</v>
      </c>
      <c r="C6" s="30">
        <v>2090821.0</v>
      </c>
      <c r="D6" s="31">
        <v>46234.0</v>
      </c>
      <c r="E6" s="32">
        <v>13097.26</v>
      </c>
      <c r="F6" s="30"/>
      <c r="G6" s="30" t="s">
        <v>19</v>
      </c>
      <c r="H6" s="14"/>
      <c r="I6" s="14"/>
      <c r="J6" s="21">
        <v>183830.0</v>
      </c>
      <c r="K6" s="29">
        <v>2958.16</v>
      </c>
    </row>
    <row r="7" ht="13.5" customHeight="1">
      <c r="A7" s="14">
        <v>8.0</v>
      </c>
      <c r="B7" s="14" t="s">
        <v>20</v>
      </c>
      <c r="C7" s="14">
        <v>1170470.0</v>
      </c>
      <c r="D7" s="16">
        <v>46234.0</v>
      </c>
      <c r="E7" s="17">
        <v>108539.65</v>
      </c>
      <c r="F7" s="14"/>
      <c r="G7" s="14" t="s">
        <v>19</v>
      </c>
      <c r="H7" s="14"/>
      <c r="I7" s="14"/>
      <c r="J7" s="21">
        <v>183836.0</v>
      </c>
      <c r="K7" s="29">
        <v>340.08</v>
      </c>
    </row>
    <row r="8" ht="13.5" customHeight="1">
      <c r="A8" s="23">
        <v>10.0</v>
      </c>
      <c r="B8" s="23" t="s">
        <v>20</v>
      </c>
      <c r="C8" s="23">
        <v>1200393.0</v>
      </c>
      <c r="D8" s="49">
        <v>46234.0</v>
      </c>
      <c r="E8" s="29">
        <v>2958.16</v>
      </c>
      <c r="F8" s="23"/>
      <c r="G8" s="23" t="s">
        <v>19</v>
      </c>
      <c r="H8" s="14"/>
      <c r="I8" s="14"/>
      <c r="J8" s="21" t="s">
        <v>740</v>
      </c>
      <c r="K8" s="29">
        <v>27584.2</v>
      </c>
    </row>
    <row r="9" ht="13.5" customHeight="1">
      <c r="A9" s="23">
        <v>13.0</v>
      </c>
      <c r="B9" s="23" t="s">
        <v>20</v>
      </c>
      <c r="C9" s="23">
        <v>1040211.0</v>
      </c>
      <c r="D9" s="49">
        <v>46234.0</v>
      </c>
      <c r="E9" s="29">
        <v>2183295.99</v>
      </c>
      <c r="F9" s="23"/>
      <c r="G9" s="23" t="s">
        <v>19</v>
      </c>
      <c r="H9" s="14"/>
      <c r="I9" s="14"/>
      <c r="J9" s="23" t="s">
        <v>741</v>
      </c>
      <c r="K9" s="29">
        <v>19088.73</v>
      </c>
    </row>
    <row r="10" ht="13.5" customHeight="1">
      <c r="A10" s="23">
        <v>15.0</v>
      </c>
      <c r="B10" s="23" t="s">
        <v>20</v>
      </c>
      <c r="C10" s="23">
        <v>1200393.0</v>
      </c>
      <c r="D10" s="49">
        <v>46234.0</v>
      </c>
      <c r="E10" s="29">
        <v>2341.56</v>
      </c>
      <c r="F10" s="23"/>
      <c r="G10" s="23" t="s">
        <v>19</v>
      </c>
      <c r="H10" s="14"/>
      <c r="I10" s="14"/>
      <c r="J10" s="53" t="s">
        <v>742</v>
      </c>
      <c r="K10" s="28">
        <v>1379.12</v>
      </c>
    </row>
    <row r="11" ht="13.5" customHeight="1">
      <c r="A11" s="23">
        <v>16.0</v>
      </c>
      <c r="B11" s="23" t="s">
        <v>20</v>
      </c>
      <c r="C11" s="23">
        <v>1040211.0</v>
      </c>
      <c r="D11" s="49">
        <v>46234.0</v>
      </c>
      <c r="E11" s="29">
        <v>14211.12</v>
      </c>
      <c r="F11" s="23"/>
      <c r="G11" s="23" t="s">
        <v>19</v>
      </c>
      <c r="H11" s="14"/>
      <c r="I11" s="14"/>
      <c r="J11" s="14"/>
      <c r="K11" s="17"/>
    </row>
    <row r="12" ht="13.5" customHeight="1">
      <c r="A12" s="23">
        <v>17.0</v>
      </c>
      <c r="B12" s="23" t="s">
        <v>20</v>
      </c>
      <c r="C12" s="23">
        <v>1200393.0</v>
      </c>
      <c r="D12" s="49">
        <v>46234.0</v>
      </c>
      <c r="E12" s="29">
        <v>2933.62</v>
      </c>
      <c r="F12" s="23"/>
      <c r="G12" s="23" t="s">
        <v>19</v>
      </c>
      <c r="H12" s="14"/>
      <c r="I12" s="14"/>
      <c r="J12" s="14"/>
      <c r="K12" s="17"/>
    </row>
    <row r="13" ht="13.5" customHeight="1">
      <c r="A13" s="23">
        <v>18.0</v>
      </c>
      <c r="B13" s="23" t="s">
        <v>20</v>
      </c>
      <c r="C13" s="23">
        <v>1040211.0</v>
      </c>
      <c r="D13" s="49">
        <v>46234.0</v>
      </c>
      <c r="E13" s="29">
        <v>41317.48</v>
      </c>
      <c r="F13" s="23"/>
      <c r="G13" s="23" t="s">
        <v>19</v>
      </c>
      <c r="H13" s="14"/>
      <c r="I13" s="14"/>
      <c r="J13" s="14"/>
      <c r="K13" s="17"/>
    </row>
    <row r="14" ht="13.5" customHeight="1">
      <c r="A14" s="23">
        <v>20.0</v>
      </c>
      <c r="B14" s="23" t="s">
        <v>20</v>
      </c>
      <c r="C14" s="23">
        <v>1040250.0</v>
      </c>
      <c r="D14" s="49">
        <v>46234.0</v>
      </c>
      <c r="E14" s="29">
        <v>8172742.29</v>
      </c>
      <c r="F14" s="23"/>
      <c r="G14" s="23" t="s">
        <v>19</v>
      </c>
      <c r="H14" s="14"/>
      <c r="I14" s="14"/>
      <c r="J14" s="14"/>
      <c r="K14" s="17"/>
    </row>
    <row r="15" ht="13.5" customHeight="1">
      <c r="A15" s="23">
        <v>22.0</v>
      </c>
      <c r="B15" s="23" t="s">
        <v>20</v>
      </c>
      <c r="C15" s="23">
        <v>1200393.0</v>
      </c>
      <c r="D15" s="49">
        <v>46234.0</v>
      </c>
      <c r="E15" s="29">
        <v>83968.33</v>
      </c>
      <c r="F15" s="23"/>
      <c r="G15" s="23" t="s">
        <v>19</v>
      </c>
      <c r="H15" s="14"/>
      <c r="I15" s="14"/>
      <c r="J15" s="14"/>
      <c r="K15" s="17"/>
    </row>
    <row r="16" ht="13.5" customHeight="1">
      <c r="A16" s="23">
        <v>23.0</v>
      </c>
      <c r="B16" s="23" t="s">
        <v>20</v>
      </c>
      <c r="C16" s="23">
        <v>1200393.0</v>
      </c>
      <c r="D16" s="49">
        <v>46234.0</v>
      </c>
      <c r="E16" s="29">
        <v>1888846.13</v>
      </c>
      <c r="F16" s="23"/>
      <c r="G16" s="23" t="s">
        <v>19</v>
      </c>
      <c r="H16" s="14"/>
      <c r="I16" s="14"/>
      <c r="J16" s="14"/>
      <c r="K16" s="17"/>
    </row>
    <row r="17" ht="13.5" customHeight="1">
      <c r="A17" s="23">
        <v>24.0</v>
      </c>
      <c r="B17" s="23" t="s">
        <v>20</v>
      </c>
      <c r="C17" s="23">
        <v>1040250.0</v>
      </c>
      <c r="D17" s="49">
        <v>46234.0</v>
      </c>
      <c r="E17" s="29">
        <v>12609.92</v>
      </c>
      <c r="F17" s="23"/>
      <c r="G17" s="23" t="s">
        <v>19</v>
      </c>
      <c r="H17" s="14"/>
      <c r="I17" s="14"/>
      <c r="J17" s="14"/>
      <c r="K17" s="17"/>
    </row>
    <row r="18" ht="13.5" customHeight="1">
      <c r="A18" s="23">
        <v>25.0</v>
      </c>
      <c r="B18" s="23" t="s">
        <v>20</v>
      </c>
      <c r="C18" s="23">
        <v>1200393.0</v>
      </c>
      <c r="D18" s="49">
        <v>46234.0</v>
      </c>
      <c r="E18" s="29">
        <v>14974.28</v>
      </c>
      <c r="F18" s="23"/>
      <c r="G18" s="23" t="s">
        <v>19</v>
      </c>
      <c r="H18" s="14"/>
      <c r="I18" s="14"/>
      <c r="J18" s="14"/>
      <c r="K18" s="17"/>
    </row>
    <row r="19" ht="13.5" customHeight="1">
      <c r="A19" s="14">
        <v>26.0</v>
      </c>
      <c r="B19" s="14" t="s">
        <v>20</v>
      </c>
      <c r="C19" s="14">
        <v>1060345.0</v>
      </c>
      <c r="D19" s="16">
        <v>46234.0</v>
      </c>
      <c r="E19" s="17">
        <v>600000.0</v>
      </c>
      <c r="F19" s="14"/>
      <c r="G19" s="14" t="s">
        <v>19</v>
      </c>
      <c r="H19" s="14"/>
      <c r="I19" s="14"/>
      <c r="J19" s="14"/>
      <c r="K19" s="17"/>
    </row>
    <row r="20" ht="13.5" customHeight="1">
      <c r="A20" s="14">
        <v>27.0</v>
      </c>
      <c r="B20" s="14" t="s">
        <v>47</v>
      </c>
      <c r="C20" s="14">
        <v>1100118.0</v>
      </c>
      <c r="D20" s="16">
        <v>46234.0</v>
      </c>
      <c r="E20" s="17">
        <v>59.01</v>
      </c>
      <c r="F20" s="14"/>
      <c r="G20" s="14" t="s">
        <v>11</v>
      </c>
      <c r="H20" s="14"/>
      <c r="I20" s="14"/>
      <c r="J20" s="14"/>
      <c r="K20" s="17"/>
    </row>
    <row r="21" ht="13.5" customHeight="1">
      <c r="A21" s="14">
        <v>28.0</v>
      </c>
      <c r="B21" s="14" t="s">
        <v>47</v>
      </c>
      <c r="C21" s="14">
        <v>1100118.0</v>
      </c>
      <c r="D21" s="16">
        <v>46234.0</v>
      </c>
      <c r="E21" s="17">
        <v>5.72</v>
      </c>
      <c r="F21" s="14"/>
      <c r="G21" s="14" t="s">
        <v>11</v>
      </c>
      <c r="H21" s="14"/>
      <c r="I21" s="14"/>
      <c r="J21" s="14"/>
      <c r="K21" s="17"/>
    </row>
    <row r="22" ht="13.5" customHeight="1">
      <c r="A22" s="23">
        <v>29.0</v>
      </c>
      <c r="B22" s="23" t="s">
        <v>47</v>
      </c>
      <c r="C22" s="23">
        <v>1040500.0</v>
      </c>
      <c r="D22" s="49">
        <v>46234.0</v>
      </c>
      <c r="E22" s="29">
        <v>19088.73</v>
      </c>
      <c r="F22" s="23"/>
      <c r="G22" s="23" t="s">
        <v>11</v>
      </c>
      <c r="H22" s="14"/>
      <c r="I22" s="14"/>
      <c r="J22" s="14"/>
      <c r="K22" s="17"/>
    </row>
    <row r="23" ht="13.5" customHeight="1">
      <c r="A23" s="23">
        <v>30.0</v>
      </c>
      <c r="B23" s="23" t="s">
        <v>47</v>
      </c>
      <c r="C23" s="23">
        <v>1040500.0</v>
      </c>
      <c r="D23" s="49">
        <v>46234.0</v>
      </c>
      <c r="E23" s="29">
        <v>1379.12</v>
      </c>
      <c r="F23" s="33"/>
      <c r="G23" s="23" t="s">
        <v>11</v>
      </c>
      <c r="H23" s="14"/>
      <c r="I23" s="14"/>
      <c r="J23" s="14"/>
      <c r="K23" s="17"/>
    </row>
    <row r="24" ht="13.5" customHeight="1">
      <c r="A24" s="23">
        <v>33.0</v>
      </c>
      <c r="B24" s="23" t="s">
        <v>47</v>
      </c>
      <c r="C24" s="23">
        <v>1170144.0</v>
      </c>
      <c r="D24" s="49">
        <v>46234.0</v>
      </c>
      <c r="E24" s="29">
        <v>340.08</v>
      </c>
      <c r="F24" s="33"/>
      <c r="G24" s="23" t="s">
        <v>19</v>
      </c>
      <c r="H24" s="14"/>
      <c r="I24" s="14"/>
      <c r="J24" s="14"/>
      <c r="K24" s="17"/>
    </row>
    <row r="25" ht="13.5" customHeight="1">
      <c r="A25" s="14"/>
      <c r="B25" s="14"/>
      <c r="C25" s="14"/>
      <c r="D25" s="14"/>
      <c r="E25" s="17"/>
      <c r="F25" s="15"/>
      <c r="G25" s="14"/>
      <c r="H25" s="14"/>
      <c r="I25" s="14"/>
      <c r="J25" s="14"/>
      <c r="K25" s="17"/>
    </row>
    <row r="26" ht="13.5" customHeight="1">
      <c r="E26" s="51"/>
      <c r="F26" s="12"/>
      <c r="K26" s="51"/>
    </row>
    <row r="27" ht="13.5" customHeight="1">
      <c r="E27" s="51"/>
      <c r="F27" s="12"/>
      <c r="K27" s="51"/>
    </row>
    <row r="28" ht="13.5" customHeight="1">
      <c r="E28" s="51"/>
      <c r="F28" s="12"/>
      <c r="K28" s="51"/>
    </row>
    <row r="29" ht="13.5" customHeight="1">
      <c r="E29" s="51"/>
      <c r="F29" s="12"/>
      <c r="K29" s="51"/>
    </row>
    <row r="30" ht="13.5" customHeight="1">
      <c r="E30" s="51"/>
      <c r="F30" s="12"/>
      <c r="K30" s="51"/>
    </row>
    <row r="31" ht="13.5" customHeight="1">
      <c r="E31" s="51"/>
      <c r="F31" s="12"/>
      <c r="K31" s="51"/>
    </row>
    <row r="32" ht="13.5" customHeight="1">
      <c r="E32" s="51"/>
      <c r="F32" s="12"/>
      <c r="K32" s="51"/>
    </row>
    <row r="33" ht="13.5" customHeight="1">
      <c r="E33" s="51"/>
      <c r="F33" s="12"/>
      <c r="K33" s="51"/>
    </row>
    <row r="34" ht="13.5" customHeight="1">
      <c r="E34" s="51"/>
      <c r="F34" s="12"/>
      <c r="K34" s="51"/>
    </row>
    <row r="35" ht="13.5" customHeight="1">
      <c r="E35" s="51"/>
      <c r="F35" s="12"/>
      <c r="K35" s="51"/>
    </row>
    <row r="36" ht="13.5" customHeight="1">
      <c r="E36" s="51"/>
      <c r="F36" s="12"/>
      <c r="K36" s="51"/>
    </row>
    <row r="37" ht="13.5" customHeight="1">
      <c r="E37" s="51"/>
      <c r="F37" s="12"/>
      <c r="K37" s="51"/>
    </row>
    <row r="38" ht="13.5" customHeight="1">
      <c r="E38" s="51"/>
      <c r="F38" s="12"/>
      <c r="K38" s="51"/>
    </row>
    <row r="39" ht="13.5" customHeight="1">
      <c r="E39" s="51"/>
      <c r="F39" s="12"/>
      <c r="K39" s="51"/>
    </row>
    <row r="40" ht="13.5" customHeight="1">
      <c r="E40" s="51"/>
      <c r="F40" s="12"/>
      <c r="K40" s="51"/>
    </row>
    <row r="41" ht="13.5" customHeight="1">
      <c r="E41" s="51"/>
      <c r="F41" s="12"/>
      <c r="K41" s="51"/>
    </row>
    <row r="42" ht="13.5" customHeight="1">
      <c r="E42" s="51"/>
      <c r="F42" s="12"/>
      <c r="K42" s="51"/>
    </row>
    <row r="43" ht="13.5" customHeight="1">
      <c r="E43" s="51"/>
      <c r="F43" s="12"/>
      <c r="K43" s="51"/>
    </row>
    <row r="44" ht="13.5" customHeight="1">
      <c r="E44" s="51"/>
      <c r="F44" s="12"/>
      <c r="K44" s="51"/>
    </row>
    <row r="45" ht="13.5" customHeight="1">
      <c r="E45" s="51"/>
      <c r="F45" s="12"/>
      <c r="K45" s="51"/>
    </row>
    <row r="46" ht="13.5" customHeight="1">
      <c r="E46" s="51"/>
      <c r="F46" s="12"/>
      <c r="K46" s="51"/>
    </row>
    <row r="47" ht="13.5" customHeight="1">
      <c r="E47" s="51"/>
      <c r="F47" s="12"/>
      <c r="K47" s="51"/>
    </row>
    <row r="48" ht="13.5" customHeight="1">
      <c r="E48" s="51"/>
      <c r="F48" s="12"/>
      <c r="K48" s="51"/>
    </row>
    <row r="49" ht="13.5" customHeight="1">
      <c r="E49" s="51"/>
      <c r="F49" s="12"/>
      <c r="K49" s="51"/>
    </row>
    <row r="50" ht="13.5" customHeight="1">
      <c r="E50" s="51"/>
      <c r="F50" s="12"/>
      <c r="K50" s="51"/>
    </row>
    <row r="51" ht="13.5" customHeight="1">
      <c r="E51" s="51"/>
      <c r="F51" s="12"/>
      <c r="K51" s="51"/>
    </row>
    <row r="52" ht="13.5" customHeight="1">
      <c r="E52" s="51"/>
      <c r="F52" s="12"/>
      <c r="K52" s="51"/>
    </row>
    <row r="53" ht="13.5" customHeight="1">
      <c r="E53" s="51"/>
      <c r="F53" s="12"/>
      <c r="K53" s="51"/>
    </row>
    <row r="54" ht="13.5" customHeight="1">
      <c r="E54" s="51"/>
      <c r="F54" s="12"/>
      <c r="K54" s="51"/>
    </row>
    <row r="55" ht="13.5" customHeight="1">
      <c r="E55" s="51"/>
      <c r="F55" s="12"/>
      <c r="K55" s="51"/>
    </row>
    <row r="56" ht="13.5" customHeight="1">
      <c r="E56" s="51"/>
      <c r="F56" s="12"/>
      <c r="K56" s="51"/>
    </row>
    <row r="57" ht="13.5" customHeight="1">
      <c r="E57" s="51"/>
      <c r="F57" s="12"/>
      <c r="K57" s="51"/>
    </row>
    <row r="58" ht="13.5" customHeight="1">
      <c r="E58" s="51"/>
      <c r="F58" s="12"/>
      <c r="K58" s="51"/>
    </row>
    <row r="59" ht="13.5" customHeight="1">
      <c r="E59" s="51"/>
      <c r="F59" s="12"/>
      <c r="J59" s="61"/>
      <c r="K59" s="75"/>
    </row>
    <row r="60" ht="13.5" customHeight="1">
      <c r="E60" s="51"/>
      <c r="F60" s="12"/>
      <c r="J60" s="61"/>
      <c r="K60" s="75"/>
    </row>
    <row r="61" ht="13.5" customHeight="1">
      <c r="E61" s="51"/>
      <c r="F61" s="12"/>
      <c r="H61" s="61"/>
      <c r="I61" s="61"/>
      <c r="J61" s="61"/>
      <c r="K61" s="75"/>
      <c r="L61" s="61"/>
    </row>
    <row r="62" ht="13.5" customHeight="1">
      <c r="E62" s="51"/>
      <c r="F62" s="12"/>
      <c r="H62" s="61"/>
      <c r="I62" s="61"/>
      <c r="J62" s="61"/>
      <c r="K62" s="75"/>
      <c r="L62" s="61"/>
    </row>
    <row r="63" ht="13.5" customHeight="1">
      <c r="E63" s="51"/>
      <c r="F63" s="12"/>
      <c r="H63" s="61"/>
      <c r="I63" s="61"/>
      <c r="J63" s="61"/>
      <c r="K63" s="75"/>
      <c r="L63" s="61"/>
    </row>
    <row r="64" ht="13.5" customHeight="1">
      <c r="E64" s="51"/>
      <c r="F64" s="12"/>
      <c r="H64" s="61"/>
      <c r="I64" s="61"/>
      <c r="J64" s="61"/>
      <c r="K64" s="75"/>
      <c r="L64" s="61"/>
    </row>
    <row r="65" ht="13.5" customHeight="1">
      <c r="A65" s="61"/>
      <c r="B65" s="61"/>
      <c r="C65" s="61"/>
      <c r="D65" s="61"/>
      <c r="E65" s="75"/>
      <c r="F65" s="69"/>
      <c r="G65" s="61"/>
      <c r="H65" s="61"/>
      <c r="I65" s="61"/>
      <c r="J65" s="61"/>
      <c r="K65" s="75"/>
      <c r="L65" s="61"/>
    </row>
    <row r="66" ht="13.5" customHeight="1">
      <c r="A66" s="61"/>
      <c r="B66" s="61"/>
      <c r="C66" s="61"/>
      <c r="D66" s="61"/>
      <c r="E66" s="75"/>
      <c r="F66" s="69"/>
      <c r="G66" s="61"/>
      <c r="H66" s="61"/>
      <c r="I66" s="61"/>
      <c r="J66" s="61"/>
      <c r="K66" s="75"/>
      <c r="L66" s="61"/>
    </row>
    <row r="67" ht="13.5" customHeight="1">
      <c r="A67" s="61"/>
      <c r="B67" s="61"/>
      <c r="C67" s="61"/>
      <c r="D67" s="61"/>
      <c r="E67" s="75"/>
      <c r="F67" s="69"/>
      <c r="G67" s="61"/>
      <c r="H67" s="61"/>
      <c r="I67" s="61"/>
      <c r="J67" s="61"/>
      <c r="K67" s="75"/>
      <c r="L67" s="61"/>
    </row>
    <row r="68" ht="13.5" customHeight="1">
      <c r="A68" s="61"/>
      <c r="B68" s="61"/>
      <c r="C68" s="61"/>
      <c r="D68" s="61"/>
      <c r="E68" s="75"/>
      <c r="F68" s="69"/>
      <c r="G68" s="61"/>
      <c r="H68" s="61"/>
      <c r="I68" s="61"/>
      <c r="J68" s="61"/>
      <c r="K68" s="75"/>
      <c r="L68" s="61"/>
    </row>
    <row r="69" ht="13.5" customHeight="1">
      <c r="A69" s="61"/>
      <c r="B69" s="61"/>
      <c r="C69" s="61"/>
      <c r="D69" s="61"/>
      <c r="E69" s="75"/>
      <c r="F69" s="69"/>
      <c r="G69" s="61"/>
      <c r="H69" s="61"/>
      <c r="I69" s="61"/>
      <c r="J69" s="61"/>
      <c r="K69" s="75"/>
      <c r="L69" s="61"/>
    </row>
    <row r="70" ht="13.5" customHeight="1">
      <c r="A70" s="61"/>
      <c r="B70" s="61"/>
      <c r="C70" s="61"/>
      <c r="D70" s="61"/>
      <c r="E70" s="75"/>
      <c r="F70" s="69"/>
      <c r="G70" s="61"/>
      <c r="H70" s="61"/>
      <c r="I70" s="61"/>
      <c r="J70" s="61"/>
      <c r="K70" s="75"/>
      <c r="L70" s="61"/>
    </row>
    <row r="71" ht="13.5" customHeight="1">
      <c r="A71" s="61"/>
      <c r="B71" s="61"/>
      <c r="C71" s="61"/>
      <c r="D71" s="61"/>
      <c r="E71" s="75"/>
      <c r="F71" s="69"/>
      <c r="G71" s="61"/>
      <c r="H71" s="61"/>
      <c r="I71" s="61"/>
      <c r="J71" s="61"/>
      <c r="K71" s="75"/>
      <c r="L71" s="61"/>
    </row>
    <row r="72" ht="13.5" customHeight="1">
      <c r="A72" s="61"/>
      <c r="B72" s="61"/>
      <c r="C72" s="61"/>
      <c r="D72" s="61"/>
      <c r="E72" s="75"/>
      <c r="F72" s="69"/>
      <c r="G72" s="61"/>
      <c r="H72" s="61"/>
      <c r="I72" s="61"/>
      <c r="J72" s="61"/>
      <c r="K72" s="75"/>
      <c r="L72" s="61"/>
    </row>
    <row r="73" ht="13.5" customHeight="1">
      <c r="A73" s="61"/>
      <c r="B73" s="61"/>
      <c r="C73" s="61"/>
      <c r="D73" s="61"/>
      <c r="E73" s="75"/>
      <c r="F73" s="69"/>
      <c r="G73" s="61"/>
      <c r="H73" s="61"/>
      <c r="I73" s="61"/>
      <c r="J73" s="61"/>
      <c r="K73" s="75"/>
      <c r="L73" s="61"/>
    </row>
    <row r="74" ht="13.5" customHeight="1">
      <c r="A74" s="61"/>
      <c r="B74" s="61"/>
      <c r="C74" s="61"/>
      <c r="D74" s="61"/>
      <c r="E74" s="75"/>
      <c r="F74" s="69"/>
      <c r="G74" s="61"/>
      <c r="H74" s="61"/>
      <c r="I74" s="61"/>
      <c r="J74" s="61"/>
      <c r="K74" s="75"/>
      <c r="L74" s="61"/>
    </row>
    <row r="75" ht="13.5" customHeight="1">
      <c r="A75" s="61"/>
      <c r="B75" s="61"/>
      <c r="C75" s="61"/>
      <c r="D75" s="61"/>
      <c r="E75" s="75"/>
      <c r="F75" s="69"/>
      <c r="G75" s="61"/>
      <c r="H75" s="61"/>
      <c r="I75" s="61"/>
      <c r="J75" s="61"/>
      <c r="K75" s="75"/>
      <c r="L75" s="61"/>
    </row>
    <row r="76" ht="13.5" customHeight="1">
      <c r="A76" s="61"/>
      <c r="B76" s="61"/>
      <c r="C76" s="61"/>
      <c r="D76" s="61"/>
      <c r="E76" s="75"/>
      <c r="F76" s="69"/>
      <c r="G76" s="61"/>
      <c r="H76" s="61"/>
      <c r="I76" s="61"/>
      <c r="J76" s="61"/>
      <c r="K76" s="75"/>
      <c r="L76" s="61"/>
    </row>
    <row r="77" ht="13.5" customHeight="1">
      <c r="A77" s="61"/>
      <c r="B77" s="61"/>
      <c r="C77" s="61"/>
      <c r="D77" s="61"/>
      <c r="E77" s="75"/>
      <c r="F77" s="69"/>
      <c r="G77" s="61"/>
      <c r="H77" s="61"/>
      <c r="I77" s="61"/>
      <c r="J77" s="61"/>
      <c r="K77" s="75"/>
      <c r="L77" s="61"/>
    </row>
    <row r="78" ht="13.5" customHeight="1">
      <c r="A78" s="61"/>
      <c r="B78" s="61"/>
      <c r="C78" s="61"/>
      <c r="D78" s="61"/>
      <c r="E78" s="75"/>
      <c r="F78" s="69"/>
      <c r="G78" s="61"/>
      <c r="H78" s="61"/>
      <c r="I78" s="61"/>
      <c r="J78" s="61"/>
      <c r="K78" s="75"/>
      <c r="L78" s="61"/>
    </row>
    <row r="79" ht="13.5" customHeight="1">
      <c r="A79" s="61"/>
      <c r="B79" s="61"/>
      <c r="C79" s="61"/>
      <c r="D79" s="61"/>
      <c r="E79" s="75"/>
      <c r="F79" s="69"/>
      <c r="G79" s="61"/>
      <c r="H79" s="61"/>
      <c r="I79" s="61"/>
      <c r="J79" s="61"/>
      <c r="K79" s="75"/>
      <c r="L79" s="61"/>
    </row>
    <row r="80" ht="13.5" customHeight="1">
      <c r="A80" s="61"/>
      <c r="B80" s="61"/>
      <c r="C80" s="61"/>
      <c r="D80" s="61"/>
      <c r="E80" s="75"/>
      <c r="F80" s="69"/>
      <c r="G80" s="61"/>
      <c r="H80" s="61"/>
      <c r="I80" s="61"/>
      <c r="J80" s="61"/>
      <c r="K80" s="75"/>
      <c r="L80" s="61"/>
    </row>
    <row r="81" ht="13.5" customHeight="1">
      <c r="A81" s="61"/>
      <c r="B81" s="61"/>
      <c r="C81" s="61"/>
      <c r="D81" s="61"/>
      <c r="E81" s="75"/>
      <c r="F81" s="69"/>
      <c r="G81" s="61"/>
      <c r="H81" s="61"/>
      <c r="I81" s="61"/>
      <c r="J81" s="61"/>
      <c r="K81" s="75"/>
      <c r="L81" s="61"/>
    </row>
    <row r="82" ht="13.5" customHeight="1">
      <c r="A82" s="61"/>
      <c r="B82" s="61"/>
      <c r="C82" s="61"/>
      <c r="D82" s="61"/>
      <c r="E82" s="75"/>
      <c r="F82" s="69"/>
      <c r="G82" s="61"/>
      <c r="H82" s="61"/>
      <c r="I82" s="61"/>
      <c r="J82" s="61"/>
      <c r="K82" s="75"/>
      <c r="L82" s="61"/>
    </row>
    <row r="83" ht="13.5" customHeight="1">
      <c r="A83" s="61"/>
      <c r="B83" s="61"/>
      <c r="C83" s="61"/>
      <c r="D83" s="61"/>
      <c r="E83" s="75"/>
      <c r="F83" s="69"/>
      <c r="G83" s="61"/>
      <c r="H83" s="61"/>
      <c r="I83" s="61"/>
      <c r="J83" s="61"/>
      <c r="K83" s="75"/>
      <c r="L83" s="61"/>
    </row>
    <row r="84" ht="13.5" customHeight="1">
      <c r="A84" s="61"/>
      <c r="B84" s="61"/>
      <c r="C84" s="61"/>
      <c r="D84" s="61"/>
      <c r="E84" s="75"/>
      <c r="F84" s="69"/>
      <c r="G84" s="61"/>
      <c r="H84" s="61"/>
      <c r="I84" s="61"/>
      <c r="J84" s="61"/>
      <c r="K84" s="75"/>
      <c r="L84" s="61"/>
    </row>
    <row r="85" ht="13.5" customHeight="1">
      <c r="A85" s="61"/>
      <c r="B85" s="61"/>
      <c r="C85" s="61"/>
      <c r="D85" s="61"/>
      <c r="E85" s="75"/>
      <c r="F85" s="69"/>
      <c r="G85" s="61"/>
      <c r="H85" s="61"/>
      <c r="I85" s="61"/>
      <c r="J85" s="61"/>
      <c r="K85" s="75"/>
      <c r="L85" s="61"/>
    </row>
    <row r="86" ht="13.5" customHeight="1">
      <c r="A86" s="61"/>
      <c r="B86" s="61"/>
      <c r="C86" s="61"/>
      <c r="D86" s="61"/>
      <c r="E86" s="75"/>
      <c r="F86" s="69"/>
      <c r="G86" s="61"/>
      <c r="H86" s="61"/>
      <c r="I86" s="61"/>
      <c r="J86" s="61"/>
      <c r="K86" s="75"/>
      <c r="L86" s="61"/>
    </row>
    <row r="87" ht="13.5" customHeight="1">
      <c r="A87" s="61"/>
      <c r="B87" s="61"/>
      <c r="C87" s="61"/>
      <c r="D87" s="61"/>
      <c r="E87" s="75"/>
      <c r="F87" s="69"/>
      <c r="G87" s="61"/>
      <c r="H87" s="61"/>
      <c r="I87" s="61"/>
      <c r="J87" s="61"/>
      <c r="K87" s="75"/>
      <c r="L87" s="61"/>
    </row>
    <row r="88" ht="13.5" customHeight="1">
      <c r="A88" s="61"/>
      <c r="B88" s="61"/>
      <c r="C88" s="61"/>
      <c r="D88" s="61"/>
      <c r="E88" s="75"/>
      <c r="F88" s="69"/>
      <c r="G88" s="61"/>
      <c r="H88" s="61"/>
      <c r="I88" s="61"/>
      <c r="J88" s="61"/>
      <c r="K88" s="75"/>
      <c r="L88" s="61"/>
    </row>
    <row r="89" ht="13.5" customHeight="1">
      <c r="A89" s="61"/>
      <c r="B89" s="61"/>
      <c r="C89" s="61"/>
      <c r="D89" s="61"/>
      <c r="E89" s="75"/>
      <c r="F89" s="69"/>
      <c r="G89" s="61"/>
      <c r="H89" s="61"/>
      <c r="I89" s="61"/>
      <c r="J89" s="61"/>
      <c r="K89" s="75"/>
      <c r="L89" s="61"/>
    </row>
    <row r="90" ht="13.5" customHeight="1">
      <c r="A90" s="61"/>
      <c r="B90" s="61"/>
      <c r="C90" s="61"/>
      <c r="D90" s="61"/>
      <c r="E90" s="75"/>
      <c r="F90" s="69"/>
      <c r="G90" s="61"/>
      <c r="H90" s="61"/>
      <c r="I90" s="61"/>
      <c r="J90" s="61"/>
      <c r="K90" s="75"/>
      <c r="L90" s="61"/>
    </row>
    <row r="91" ht="13.5" customHeight="1">
      <c r="A91" s="61"/>
      <c r="B91" s="61"/>
      <c r="C91" s="61"/>
      <c r="D91" s="61"/>
      <c r="E91" s="75"/>
      <c r="F91" s="69"/>
      <c r="G91" s="61"/>
      <c r="H91" s="61"/>
      <c r="I91" s="61"/>
      <c r="J91" s="61"/>
      <c r="K91" s="75"/>
      <c r="L91" s="61"/>
    </row>
    <row r="92" ht="13.5" customHeight="1">
      <c r="A92" s="61"/>
      <c r="B92" s="61"/>
      <c r="C92" s="61"/>
      <c r="D92" s="61"/>
      <c r="E92" s="75"/>
      <c r="F92" s="69"/>
      <c r="G92" s="61"/>
      <c r="H92" s="61"/>
      <c r="I92" s="61"/>
      <c r="J92" s="61"/>
      <c r="K92" s="75"/>
      <c r="L92" s="61"/>
    </row>
    <row r="93" ht="13.5" customHeight="1">
      <c r="A93" s="61"/>
      <c r="B93" s="61"/>
      <c r="C93" s="61"/>
      <c r="D93" s="61"/>
      <c r="E93" s="75"/>
      <c r="F93" s="69"/>
      <c r="G93" s="61"/>
      <c r="H93" s="61"/>
      <c r="I93" s="61"/>
      <c r="J93" s="61"/>
      <c r="K93" s="75"/>
      <c r="L93" s="61"/>
    </row>
    <row r="94" ht="13.5" customHeight="1">
      <c r="A94" s="61"/>
      <c r="B94" s="61"/>
      <c r="C94" s="61"/>
      <c r="D94" s="61"/>
      <c r="E94" s="75"/>
      <c r="F94" s="69"/>
      <c r="G94" s="61"/>
      <c r="H94" s="61"/>
      <c r="I94" s="61"/>
      <c r="J94" s="61"/>
      <c r="K94" s="75"/>
      <c r="L94" s="61"/>
    </row>
    <row r="95" ht="13.5" customHeight="1">
      <c r="A95" s="61"/>
      <c r="B95" s="61"/>
      <c r="C95" s="61"/>
      <c r="D95" s="61"/>
      <c r="E95" s="75"/>
      <c r="F95" s="69"/>
      <c r="G95" s="61"/>
      <c r="H95" s="61"/>
      <c r="I95" s="61"/>
      <c r="J95" s="61"/>
      <c r="K95" s="75"/>
      <c r="L95" s="61"/>
    </row>
    <row r="96" ht="13.5" customHeight="1">
      <c r="A96" s="61"/>
      <c r="B96" s="61"/>
      <c r="C96" s="61"/>
      <c r="D96" s="61"/>
      <c r="E96" s="75"/>
      <c r="F96" s="69"/>
      <c r="G96" s="61"/>
      <c r="H96" s="61"/>
      <c r="I96" s="61"/>
      <c r="J96" s="61"/>
      <c r="K96" s="75"/>
      <c r="L96" s="61"/>
    </row>
    <row r="97" ht="13.5" customHeight="1">
      <c r="A97" s="61"/>
      <c r="B97" s="61"/>
      <c r="C97" s="61"/>
      <c r="D97" s="61"/>
      <c r="E97" s="75"/>
      <c r="F97" s="69"/>
      <c r="G97" s="61"/>
      <c r="H97" s="61"/>
      <c r="I97" s="61"/>
      <c r="J97" s="61"/>
      <c r="K97" s="75"/>
      <c r="L97" s="61"/>
    </row>
    <row r="98" ht="13.5" customHeight="1">
      <c r="A98" s="61"/>
      <c r="B98" s="61"/>
      <c r="C98" s="61"/>
      <c r="D98" s="61"/>
      <c r="E98" s="75"/>
      <c r="F98" s="69"/>
      <c r="G98" s="61"/>
      <c r="H98" s="61"/>
      <c r="I98" s="61"/>
      <c r="J98" s="61"/>
      <c r="K98" s="75"/>
      <c r="L98" s="61"/>
    </row>
    <row r="99" ht="13.5" customHeight="1">
      <c r="A99" s="61"/>
      <c r="B99" s="61"/>
      <c r="C99" s="61"/>
      <c r="D99" s="61"/>
      <c r="E99" s="75"/>
      <c r="F99" s="69"/>
      <c r="G99" s="61"/>
      <c r="H99" s="61"/>
      <c r="I99" s="61"/>
      <c r="J99" s="61"/>
      <c r="K99" s="75"/>
      <c r="L99" s="61"/>
    </row>
    <row r="100" ht="13.5" customHeight="1">
      <c r="A100" s="61"/>
      <c r="B100" s="61"/>
      <c r="C100" s="61"/>
      <c r="D100" s="61"/>
      <c r="E100" s="75"/>
      <c r="F100" s="69"/>
      <c r="G100" s="61"/>
      <c r="H100" s="61"/>
      <c r="I100" s="61"/>
      <c r="J100" s="61"/>
      <c r="K100" s="75"/>
      <c r="L100" s="61"/>
    </row>
    <row r="101" ht="13.5" customHeight="1">
      <c r="A101" s="61"/>
      <c r="B101" s="61"/>
      <c r="C101" s="61"/>
      <c r="D101" s="61"/>
      <c r="E101" s="75"/>
      <c r="F101" s="69"/>
      <c r="G101" s="61"/>
      <c r="H101" s="61"/>
      <c r="I101" s="61"/>
      <c r="J101" s="61"/>
      <c r="K101" s="75"/>
      <c r="L101" s="61"/>
    </row>
    <row r="102" ht="13.5" customHeight="1">
      <c r="A102" s="61"/>
      <c r="B102" s="61"/>
      <c r="C102" s="61"/>
      <c r="D102" s="61"/>
      <c r="E102" s="75"/>
      <c r="F102" s="69"/>
      <c r="G102" s="61"/>
      <c r="H102" s="61"/>
      <c r="I102" s="61"/>
      <c r="J102" s="61"/>
      <c r="K102" s="75"/>
      <c r="L102" s="61"/>
    </row>
    <row r="103" ht="13.5" customHeight="1">
      <c r="A103" s="61"/>
      <c r="B103" s="61"/>
      <c r="C103" s="61"/>
      <c r="D103" s="61"/>
      <c r="E103" s="75"/>
      <c r="F103" s="69"/>
      <c r="G103" s="61"/>
      <c r="H103" s="61"/>
      <c r="I103" s="61"/>
      <c r="J103" s="61"/>
      <c r="K103" s="75"/>
      <c r="L103" s="61"/>
    </row>
    <row r="104" ht="13.5" customHeight="1">
      <c r="A104" s="61"/>
      <c r="B104" s="61"/>
      <c r="C104" s="61"/>
      <c r="D104" s="61"/>
      <c r="E104" s="75"/>
      <c r="F104" s="69"/>
      <c r="G104" s="61"/>
      <c r="H104" s="61"/>
      <c r="I104" s="61"/>
      <c r="J104" s="61"/>
      <c r="K104" s="75"/>
      <c r="L104" s="61"/>
    </row>
    <row r="105" ht="13.5" customHeight="1">
      <c r="A105" s="61"/>
      <c r="B105" s="61"/>
      <c r="C105" s="61"/>
      <c r="D105" s="61"/>
      <c r="E105" s="75"/>
      <c r="F105" s="69"/>
      <c r="G105" s="61"/>
      <c r="H105" s="61"/>
      <c r="I105" s="61"/>
      <c r="J105" s="61"/>
      <c r="K105" s="75"/>
      <c r="L105" s="61"/>
    </row>
    <row r="106" ht="13.5" customHeight="1">
      <c r="A106" s="61"/>
      <c r="B106" s="61"/>
      <c r="C106" s="61"/>
      <c r="D106" s="61"/>
      <c r="E106" s="75"/>
      <c r="F106" s="69"/>
      <c r="G106" s="61"/>
      <c r="H106" s="61"/>
      <c r="I106" s="61"/>
      <c r="J106" s="61"/>
      <c r="K106" s="75"/>
      <c r="L106" s="61"/>
    </row>
    <row r="107" ht="13.5" customHeight="1">
      <c r="A107" s="61"/>
      <c r="B107" s="61"/>
      <c r="C107" s="61"/>
      <c r="D107" s="61"/>
      <c r="E107" s="75"/>
      <c r="F107" s="69"/>
      <c r="G107" s="61"/>
      <c r="H107" s="61"/>
      <c r="I107" s="61"/>
      <c r="J107" s="61"/>
      <c r="K107" s="75"/>
      <c r="L107" s="61"/>
    </row>
    <row r="108" ht="13.5" customHeight="1">
      <c r="A108" s="61"/>
      <c r="B108" s="61"/>
      <c r="C108" s="61"/>
      <c r="D108" s="61"/>
      <c r="E108" s="75"/>
      <c r="F108" s="69"/>
      <c r="G108" s="61"/>
      <c r="H108" s="61"/>
      <c r="I108" s="61"/>
      <c r="J108" s="61"/>
      <c r="K108" s="75"/>
      <c r="L108" s="61"/>
    </row>
    <row r="109" ht="13.5" customHeight="1">
      <c r="A109" s="61"/>
      <c r="B109" s="61"/>
      <c r="C109" s="61"/>
      <c r="D109" s="61"/>
      <c r="E109" s="75"/>
      <c r="F109" s="69"/>
      <c r="G109" s="61"/>
      <c r="H109" s="61"/>
      <c r="I109" s="61"/>
      <c r="J109" s="61"/>
      <c r="K109" s="75"/>
      <c r="L109" s="61"/>
    </row>
    <row r="110" ht="13.5" customHeight="1">
      <c r="A110" s="61"/>
      <c r="B110" s="61"/>
      <c r="C110" s="61"/>
      <c r="D110" s="61"/>
      <c r="E110" s="75"/>
      <c r="F110" s="69"/>
      <c r="G110" s="61"/>
      <c r="H110" s="61"/>
      <c r="I110" s="61"/>
      <c r="J110" s="61"/>
      <c r="K110" s="75"/>
      <c r="L110" s="61"/>
    </row>
    <row r="111" ht="13.5" customHeight="1">
      <c r="A111" s="61"/>
      <c r="B111" s="61"/>
      <c r="C111" s="61"/>
      <c r="D111" s="61"/>
      <c r="E111" s="75"/>
      <c r="F111" s="69"/>
      <c r="G111" s="61"/>
      <c r="H111" s="61"/>
      <c r="I111" s="61"/>
      <c r="J111" s="61"/>
      <c r="K111" s="75"/>
      <c r="L111" s="61"/>
    </row>
    <row r="112" ht="13.5" customHeight="1">
      <c r="A112" s="61"/>
      <c r="B112" s="61"/>
      <c r="C112" s="61"/>
      <c r="D112" s="61"/>
      <c r="E112" s="75"/>
      <c r="F112" s="69"/>
      <c r="G112" s="61"/>
      <c r="H112" s="61"/>
      <c r="I112" s="61"/>
      <c r="J112" s="61"/>
      <c r="K112" s="75"/>
      <c r="L112" s="61"/>
    </row>
    <row r="113" ht="13.5" customHeight="1">
      <c r="A113" s="61"/>
      <c r="B113" s="61"/>
      <c r="C113" s="61"/>
      <c r="D113" s="61"/>
      <c r="E113" s="75"/>
      <c r="F113" s="69"/>
      <c r="G113" s="61"/>
      <c r="H113" s="61"/>
      <c r="I113" s="61"/>
      <c r="J113" s="61"/>
      <c r="K113" s="75"/>
      <c r="L113" s="61"/>
    </row>
    <row r="114" ht="13.5" customHeight="1">
      <c r="A114" s="61"/>
      <c r="B114" s="61"/>
      <c r="C114" s="61"/>
      <c r="D114" s="61"/>
      <c r="E114" s="75"/>
      <c r="F114" s="69"/>
      <c r="G114" s="61"/>
      <c r="H114" s="61"/>
      <c r="I114" s="61"/>
      <c r="J114" s="61"/>
      <c r="K114" s="75"/>
      <c r="L114" s="61"/>
    </row>
    <row r="115" ht="13.5" customHeight="1">
      <c r="A115" s="61"/>
      <c r="B115" s="61"/>
      <c r="C115" s="61"/>
      <c r="D115" s="61"/>
      <c r="E115" s="75"/>
      <c r="F115" s="69"/>
      <c r="G115" s="61"/>
      <c r="H115" s="61"/>
      <c r="I115" s="61"/>
      <c r="J115" s="61"/>
      <c r="K115" s="75"/>
      <c r="L115" s="61"/>
    </row>
    <row r="116" ht="13.5" customHeight="1">
      <c r="A116" s="61"/>
      <c r="B116" s="61"/>
      <c r="C116" s="61"/>
      <c r="D116" s="61"/>
      <c r="E116" s="75"/>
      <c r="F116" s="69"/>
      <c r="G116" s="61"/>
      <c r="H116" s="61"/>
      <c r="I116" s="61"/>
      <c r="J116" s="61"/>
      <c r="K116" s="75"/>
      <c r="L116" s="61"/>
    </row>
    <row r="117" ht="13.5" customHeight="1">
      <c r="A117" s="61"/>
      <c r="B117" s="61"/>
      <c r="C117" s="61"/>
      <c r="D117" s="61"/>
      <c r="E117" s="75"/>
      <c r="F117" s="69"/>
      <c r="G117" s="61"/>
      <c r="H117" s="61"/>
      <c r="I117" s="61"/>
      <c r="J117" s="61"/>
      <c r="K117" s="75"/>
      <c r="L117" s="61"/>
    </row>
    <row r="118" ht="13.5" customHeight="1">
      <c r="A118" s="61"/>
      <c r="B118" s="61"/>
      <c r="C118" s="61"/>
      <c r="D118" s="61"/>
      <c r="E118" s="75"/>
      <c r="F118" s="69"/>
      <c r="G118" s="61"/>
      <c r="H118" s="61"/>
      <c r="I118" s="61"/>
      <c r="J118" s="61"/>
      <c r="K118" s="75"/>
      <c r="L118" s="61"/>
    </row>
    <row r="119" ht="13.5" customHeight="1">
      <c r="A119" s="61"/>
      <c r="B119" s="61"/>
      <c r="C119" s="61"/>
      <c r="D119" s="61"/>
      <c r="E119" s="75"/>
      <c r="F119" s="69"/>
      <c r="G119" s="61"/>
      <c r="H119" s="61"/>
      <c r="I119" s="61"/>
      <c r="J119" s="61"/>
      <c r="K119" s="75"/>
      <c r="L119" s="61"/>
    </row>
    <row r="120" ht="13.5" customHeight="1">
      <c r="A120" s="61"/>
      <c r="B120" s="61"/>
      <c r="C120" s="61"/>
      <c r="D120" s="61"/>
      <c r="E120" s="75"/>
      <c r="F120" s="69"/>
      <c r="G120" s="61"/>
      <c r="H120" s="61"/>
      <c r="I120" s="61"/>
      <c r="J120" s="61"/>
      <c r="K120" s="75"/>
      <c r="L120" s="61"/>
    </row>
    <row r="121" ht="13.5" customHeight="1">
      <c r="A121" s="61"/>
      <c r="B121" s="61"/>
      <c r="C121" s="61"/>
      <c r="D121" s="61"/>
      <c r="E121" s="75"/>
      <c r="F121" s="69"/>
      <c r="G121" s="61"/>
      <c r="H121" s="61"/>
      <c r="I121" s="61"/>
      <c r="J121" s="61"/>
      <c r="K121" s="75"/>
      <c r="L121" s="61"/>
    </row>
    <row r="122" ht="13.5" customHeight="1">
      <c r="A122" s="61"/>
      <c r="B122" s="61"/>
      <c r="C122" s="61"/>
      <c r="D122" s="61"/>
      <c r="E122" s="75"/>
      <c r="F122" s="69"/>
      <c r="G122" s="61"/>
      <c r="H122" s="61"/>
      <c r="I122" s="61"/>
      <c r="J122" s="61"/>
      <c r="K122" s="75"/>
      <c r="L122" s="61"/>
    </row>
    <row r="123" ht="13.5" customHeight="1">
      <c r="A123" s="61"/>
      <c r="B123" s="61"/>
      <c r="C123" s="61"/>
      <c r="D123" s="61"/>
      <c r="E123" s="75"/>
      <c r="F123" s="69"/>
      <c r="G123" s="61"/>
      <c r="H123" s="61"/>
      <c r="I123" s="61"/>
      <c r="J123" s="61"/>
      <c r="K123" s="75"/>
      <c r="L123" s="61"/>
    </row>
    <row r="124" ht="13.5" customHeight="1">
      <c r="A124" s="61"/>
      <c r="B124" s="61"/>
      <c r="C124" s="61"/>
      <c r="D124" s="61"/>
      <c r="E124" s="75"/>
      <c r="F124" s="69"/>
      <c r="G124" s="61"/>
      <c r="H124" s="61"/>
      <c r="I124" s="61"/>
      <c r="J124" s="61"/>
      <c r="K124" s="75"/>
      <c r="L124" s="61"/>
    </row>
    <row r="125" ht="13.5" customHeight="1">
      <c r="A125" s="61"/>
      <c r="B125" s="61"/>
      <c r="C125" s="61"/>
      <c r="D125" s="61"/>
      <c r="E125" s="75"/>
      <c r="F125" s="69"/>
      <c r="G125" s="61"/>
      <c r="H125" s="61"/>
      <c r="I125" s="61"/>
      <c r="J125" s="61"/>
      <c r="K125" s="75"/>
      <c r="L125" s="61"/>
    </row>
    <row r="126" ht="13.5" customHeight="1">
      <c r="A126" s="61"/>
      <c r="B126" s="61"/>
      <c r="C126" s="61"/>
      <c r="D126" s="61"/>
      <c r="E126" s="75"/>
      <c r="F126" s="69"/>
      <c r="G126" s="61"/>
      <c r="H126" s="61"/>
      <c r="I126" s="61"/>
      <c r="J126" s="61"/>
      <c r="K126" s="75"/>
      <c r="L126" s="61"/>
    </row>
    <row r="127" ht="13.5" customHeight="1">
      <c r="A127" s="61"/>
      <c r="B127" s="61"/>
      <c r="C127" s="61"/>
      <c r="D127" s="61"/>
      <c r="E127" s="75"/>
      <c r="F127" s="69"/>
      <c r="G127" s="61"/>
      <c r="H127" s="61"/>
      <c r="I127" s="61"/>
      <c r="J127" s="61"/>
      <c r="K127" s="75"/>
      <c r="L127" s="61"/>
    </row>
    <row r="128" ht="13.5" customHeight="1">
      <c r="A128" s="61"/>
      <c r="B128" s="61"/>
      <c r="C128" s="61"/>
      <c r="D128" s="61"/>
      <c r="E128" s="75"/>
      <c r="F128" s="69"/>
      <c r="G128" s="61"/>
      <c r="H128" s="61"/>
      <c r="I128" s="61"/>
      <c r="J128" s="61"/>
      <c r="K128" s="75"/>
      <c r="L128" s="61"/>
    </row>
    <row r="129" ht="13.5" customHeight="1">
      <c r="A129" s="61"/>
      <c r="B129" s="61"/>
      <c r="C129" s="61"/>
      <c r="D129" s="61"/>
      <c r="E129" s="75"/>
      <c r="F129" s="69"/>
      <c r="G129" s="61"/>
      <c r="H129" s="61"/>
      <c r="I129" s="61"/>
      <c r="J129" s="61"/>
      <c r="K129" s="75"/>
      <c r="L129" s="61"/>
    </row>
    <row r="130" ht="13.5" customHeight="1">
      <c r="A130" s="61"/>
      <c r="B130" s="61"/>
      <c r="C130" s="61"/>
      <c r="D130" s="61"/>
      <c r="E130" s="75"/>
      <c r="F130" s="69"/>
      <c r="G130" s="61"/>
      <c r="H130" s="61"/>
      <c r="I130" s="61"/>
      <c r="J130" s="61"/>
      <c r="K130" s="75"/>
      <c r="L130" s="61"/>
    </row>
    <row r="131" ht="13.5" customHeight="1">
      <c r="A131" s="61"/>
      <c r="B131" s="61"/>
      <c r="C131" s="61"/>
      <c r="D131" s="61"/>
      <c r="E131" s="75"/>
      <c r="F131" s="69"/>
      <c r="G131" s="61"/>
      <c r="H131" s="61"/>
      <c r="I131" s="61"/>
      <c r="J131" s="61"/>
      <c r="K131" s="75"/>
      <c r="L131" s="61"/>
    </row>
    <row r="132" ht="13.5" customHeight="1">
      <c r="A132" s="61"/>
      <c r="B132" s="61"/>
      <c r="C132" s="61"/>
      <c r="D132" s="61"/>
      <c r="E132" s="75"/>
      <c r="F132" s="69"/>
      <c r="G132" s="61"/>
      <c r="H132" s="61"/>
      <c r="I132" s="61"/>
      <c r="J132" s="61"/>
      <c r="K132" s="75"/>
      <c r="L132" s="61"/>
    </row>
    <row r="133" ht="13.5" customHeight="1">
      <c r="A133" s="61"/>
      <c r="B133" s="61"/>
      <c r="C133" s="61"/>
      <c r="D133" s="61"/>
      <c r="E133" s="75"/>
      <c r="F133" s="69"/>
      <c r="G133" s="61"/>
      <c r="H133" s="61"/>
      <c r="I133" s="61"/>
      <c r="J133" s="61"/>
      <c r="K133" s="75"/>
      <c r="L133" s="61"/>
    </row>
    <row r="134" ht="13.5" customHeight="1">
      <c r="A134" s="61"/>
      <c r="B134" s="61"/>
      <c r="C134" s="61"/>
      <c r="D134" s="61"/>
      <c r="E134" s="75"/>
      <c r="F134" s="69"/>
      <c r="G134" s="61"/>
      <c r="H134" s="61"/>
      <c r="I134" s="61"/>
      <c r="J134" s="61"/>
      <c r="K134" s="75"/>
      <c r="L134" s="61"/>
    </row>
    <row r="135" ht="13.5" customHeight="1">
      <c r="A135" s="61"/>
      <c r="B135" s="61"/>
      <c r="C135" s="61"/>
      <c r="D135" s="61"/>
      <c r="E135" s="75"/>
      <c r="F135" s="69"/>
      <c r="G135" s="61"/>
      <c r="H135" s="61"/>
      <c r="I135" s="61"/>
      <c r="J135" s="61"/>
      <c r="K135" s="75"/>
      <c r="L135" s="61"/>
    </row>
    <row r="136" ht="13.5" customHeight="1">
      <c r="A136" s="61"/>
      <c r="B136" s="61"/>
      <c r="C136" s="61"/>
      <c r="D136" s="61"/>
      <c r="E136" s="75"/>
      <c r="F136" s="69"/>
      <c r="G136" s="61"/>
      <c r="H136" s="61"/>
      <c r="I136" s="61"/>
      <c r="J136" s="61"/>
      <c r="K136" s="75"/>
      <c r="L136" s="61"/>
    </row>
    <row r="137" ht="13.5" customHeight="1">
      <c r="A137" s="61"/>
      <c r="B137" s="61"/>
      <c r="C137" s="61"/>
      <c r="D137" s="61"/>
      <c r="E137" s="75"/>
      <c r="F137" s="69"/>
      <c r="G137" s="61"/>
      <c r="H137" s="61"/>
      <c r="I137" s="61"/>
      <c r="J137" s="61"/>
      <c r="K137" s="75"/>
      <c r="L137" s="61"/>
    </row>
    <row r="138" ht="13.5" customHeight="1">
      <c r="A138" s="61"/>
      <c r="B138" s="61"/>
      <c r="C138" s="61"/>
      <c r="D138" s="61"/>
      <c r="E138" s="75"/>
      <c r="F138" s="69"/>
      <c r="G138" s="61"/>
      <c r="H138" s="61"/>
      <c r="I138" s="61"/>
      <c r="J138" s="61"/>
      <c r="K138" s="75"/>
      <c r="L138" s="61"/>
    </row>
    <row r="139" ht="13.5" customHeight="1">
      <c r="A139" s="61"/>
      <c r="B139" s="61"/>
      <c r="C139" s="61"/>
      <c r="D139" s="61"/>
      <c r="E139" s="75"/>
      <c r="F139" s="69"/>
      <c r="G139" s="61"/>
      <c r="H139" s="61"/>
      <c r="I139" s="61"/>
      <c r="J139" s="61"/>
      <c r="K139" s="75"/>
      <c r="L139" s="61"/>
    </row>
    <row r="140" ht="13.5" customHeight="1">
      <c r="A140" s="61"/>
      <c r="B140" s="61"/>
      <c r="C140" s="61"/>
      <c r="D140" s="61"/>
      <c r="E140" s="75"/>
      <c r="F140" s="69"/>
      <c r="G140" s="61"/>
      <c r="H140" s="61"/>
      <c r="I140" s="61"/>
      <c r="J140" s="61"/>
      <c r="K140" s="75"/>
      <c r="L140" s="61"/>
    </row>
    <row r="141" ht="13.5" customHeight="1">
      <c r="A141" s="61"/>
      <c r="B141" s="61"/>
      <c r="C141" s="61"/>
      <c r="D141" s="61"/>
      <c r="E141" s="75"/>
      <c r="F141" s="69"/>
      <c r="G141" s="61"/>
      <c r="H141" s="61"/>
      <c r="I141" s="61"/>
      <c r="J141" s="61"/>
      <c r="K141" s="75"/>
      <c r="L141" s="61"/>
    </row>
    <row r="142" ht="13.5" customHeight="1">
      <c r="A142" s="61"/>
      <c r="B142" s="61"/>
      <c r="C142" s="61"/>
      <c r="D142" s="61"/>
      <c r="E142" s="75"/>
      <c r="F142" s="69"/>
      <c r="G142" s="61"/>
      <c r="H142" s="61"/>
      <c r="I142" s="61"/>
      <c r="J142" s="61"/>
      <c r="K142" s="75"/>
      <c r="L142" s="61"/>
    </row>
    <row r="143" ht="13.5" customHeight="1">
      <c r="A143" s="61"/>
      <c r="B143" s="61"/>
      <c r="C143" s="61"/>
      <c r="D143" s="61"/>
      <c r="E143" s="75"/>
      <c r="F143" s="69"/>
      <c r="G143" s="61"/>
      <c r="H143" s="61"/>
      <c r="I143" s="61"/>
      <c r="J143" s="61"/>
      <c r="K143" s="75"/>
      <c r="L143" s="61"/>
    </row>
    <row r="144" ht="13.5" customHeight="1">
      <c r="A144" s="61"/>
      <c r="B144" s="61"/>
      <c r="C144" s="61"/>
      <c r="D144" s="61"/>
      <c r="E144" s="75"/>
      <c r="F144" s="69"/>
      <c r="G144" s="61"/>
      <c r="H144" s="61"/>
      <c r="I144" s="61"/>
      <c r="J144" s="61"/>
      <c r="K144" s="75"/>
      <c r="L144" s="61"/>
    </row>
    <row r="145" ht="13.5" customHeight="1">
      <c r="A145" s="61"/>
      <c r="B145" s="61"/>
      <c r="C145" s="61"/>
      <c r="D145" s="61"/>
      <c r="E145" s="75"/>
      <c r="F145" s="69"/>
      <c r="G145" s="61"/>
      <c r="H145" s="61"/>
      <c r="I145" s="61"/>
      <c r="J145" s="61"/>
      <c r="K145" s="75"/>
      <c r="L145" s="61"/>
    </row>
    <row r="146" ht="13.5" customHeight="1">
      <c r="A146" s="61"/>
      <c r="B146" s="61"/>
      <c r="C146" s="61"/>
      <c r="D146" s="61"/>
      <c r="E146" s="75"/>
      <c r="F146" s="69"/>
      <c r="G146" s="61"/>
      <c r="H146" s="61"/>
      <c r="I146" s="61"/>
      <c r="J146" s="61"/>
      <c r="K146" s="75"/>
      <c r="L146" s="61"/>
    </row>
    <row r="147" ht="13.5" customHeight="1">
      <c r="A147" s="61"/>
      <c r="B147" s="61"/>
      <c r="C147" s="61"/>
      <c r="D147" s="61"/>
      <c r="E147" s="75"/>
      <c r="F147" s="69"/>
      <c r="G147" s="61"/>
      <c r="H147" s="61"/>
      <c r="I147" s="61"/>
      <c r="J147" s="61"/>
      <c r="K147" s="75"/>
      <c r="L147" s="61"/>
    </row>
    <row r="148" ht="13.5" customHeight="1">
      <c r="A148" s="61"/>
      <c r="B148" s="61"/>
      <c r="C148" s="61"/>
      <c r="D148" s="61"/>
      <c r="E148" s="75"/>
      <c r="F148" s="69"/>
      <c r="H148" s="61"/>
      <c r="I148" s="61"/>
      <c r="J148" s="61"/>
      <c r="K148" s="75"/>
      <c r="L148" s="61"/>
    </row>
    <row r="149" ht="13.5" customHeight="1">
      <c r="A149" s="61"/>
      <c r="B149" s="61"/>
      <c r="C149" s="61"/>
      <c r="D149" s="61"/>
      <c r="E149" s="75"/>
      <c r="F149" s="69"/>
      <c r="H149" s="61"/>
      <c r="I149" s="61"/>
      <c r="J149" s="61"/>
      <c r="K149" s="75"/>
      <c r="L149" s="61"/>
    </row>
    <row r="150" ht="13.5" customHeight="1">
      <c r="A150" s="61"/>
      <c r="B150" s="61"/>
      <c r="C150" s="61"/>
      <c r="D150" s="61"/>
      <c r="E150" s="75"/>
      <c r="F150" s="69"/>
      <c r="H150" s="61"/>
      <c r="I150" s="61"/>
      <c r="K150" s="51"/>
      <c r="L150" s="61"/>
    </row>
    <row r="151" ht="13.5" customHeight="1">
      <c r="A151" s="61"/>
      <c r="B151" s="61"/>
      <c r="C151" s="61"/>
      <c r="D151" s="61"/>
      <c r="E151" s="75"/>
      <c r="F151" s="69"/>
      <c r="H151" s="61"/>
      <c r="I151" s="61"/>
      <c r="K151" s="51"/>
      <c r="L151" s="61"/>
    </row>
    <row r="152" ht="13.5" customHeight="1">
      <c r="E152" s="51"/>
      <c r="F152" s="12"/>
      <c r="K152" s="51"/>
    </row>
    <row r="153" ht="13.5" customHeight="1">
      <c r="E153" s="51"/>
      <c r="F153" s="12"/>
      <c r="K153" s="51"/>
    </row>
    <row r="154" ht="13.5" customHeight="1">
      <c r="E154" s="51"/>
      <c r="F154" s="12"/>
      <c r="K154" s="51"/>
    </row>
    <row r="155" ht="13.5" customHeight="1">
      <c r="E155" s="51"/>
      <c r="F155" s="12"/>
      <c r="K155" s="51"/>
    </row>
    <row r="156" ht="13.5" customHeight="1">
      <c r="E156" s="51"/>
      <c r="F156" s="12"/>
      <c r="K156" s="51"/>
    </row>
    <row r="157" ht="13.5" customHeight="1">
      <c r="E157" s="51"/>
      <c r="F157" s="12"/>
      <c r="K157" s="51"/>
    </row>
    <row r="158" ht="13.5" customHeight="1">
      <c r="E158" s="51"/>
      <c r="F158" s="12"/>
      <c r="K158" s="51"/>
    </row>
    <row r="159" ht="13.5" customHeight="1">
      <c r="E159" s="51"/>
      <c r="F159" s="12"/>
      <c r="K159" s="51"/>
    </row>
    <row r="160" ht="13.5" customHeight="1">
      <c r="E160" s="51"/>
      <c r="F160" s="12"/>
      <c r="K160" s="51"/>
    </row>
    <row r="161" ht="13.5" customHeight="1">
      <c r="E161" s="51"/>
      <c r="F161" s="12"/>
      <c r="K161" s="51"/>
    </row>
    <row r="162" ht="13.5" customHeight="1">
      <c r="E162" s="51"/>
      <c r="F162" s="12"/>
      <c r="K162" s="51"/>
    </row>
    <row r="163" ht="13.5" customHeight="1">
      <c r="E163" s="51"/>
      <c r="F163" s="12"/>
      <c r="K163" s="51"/>
    </row>
    <row r="164" ht="13.5" customHeight="1">
      <c r="E164" s="51"/>
      <c r="F164" s="12"/>
      <c r="K164" s="51"/>
    </row>
    <row r="165" ht="13.5" customHeight="1">
      <c r="E165" s="51"/>
      <c r="F165" s="12"/>
      <c r="K165" s="51"/>
    </row>
    <row r="166" ht="13.5" customHeight="1">
      <c r="E166" s="51"/>
      <c r="F166" s="12"/>
      <c r="K166" s="51"/>
    </row>
    <row r="167" ht="13.5" customHeight="1">
      <c r="E167" s="51"/>
      <c r="F167" s="12"/>
      <c r="K167" s="51"/>
    </row>
    <row r="168" ht="13.5" customHeight="1">
      <c r="E168" s="51"/>
      <c r="F168" s="12"/>
      <c r="K168" s="51"/>
    </row>
    <row r="169" ht="13.5" customHeight="1">
      <c r="E169" s="51"/>
      <c r="F169" s="12"/>
      <c r="K169" s="51"/>
    </row>
    <row r="170" ht="13.5" customHeight="1">
      <c r="E170" s="51"/>
      <c r="F170" s="12"/>
      <c r="K170" s="51"/>
    </row>
    <row r="171" ht="13.5" customHeight="1">
      <c r="E171" s="51"/>
      <c r="F171" s="12"/>
      <c r="K171" s="51"/>
    </row>
    <row r="172" ht="13.5" customHeight="1">
      <c r="E172" s="51"/>
      <c r="F172" s="12"/>
      <c r="K172" s="51"/>
    </row>
    <row r="173" ht="13.5" customHeight="1">
      <c r="E173" s="51"/>
      <c r="F173" s="12"/>
      <c r="K173" s="51"/>
    </row>
    <row r="174" ht="13.5" customHeight="1">
      <c r="E174" s="51"/>
      <c r="F174" s="12"/>
      <c r="K174" s="51"/>
    </row>
    <row r="175" ht="13.5" customHeight="1">
      <c r="E175" s="51"/>
      <c r="F175" s="12"/>
      <c r="K175" s="51"/>
    </row>
    <row r="176" ht="13.5" customHeight="1">
      <c r="E176" s="51"/>
      <c r="F176" s="12"/>
      <c r="K176" s="51"/>
    </row>
    <row r="177" ht="13.5" customHeight="1">
      <c r="E177" s="51"/>
      <c r="F177" s="12"/>
      <c r="K177" s="51"/>
    </row>
    <row r="178" ht="13.5" customHeight="1">
      <c r="E178" s="51"/>
      <c r="F178" s="12"/>
      <c r="K178" s="51"/>
    </row>
    <row r="179" ht="13.5" customHeight="1">
      <c r="E179" s="51"/>
      <c r="F179" s="12"/>
      <c r="K179" s="51"/>
    </row>
    <row r="180" ht="13.5" customHeight="1">
      <c r="E180" s="51"/>
      <c r="F180" s="12"/>
      <c r="K180" s="51"/>
    </row>
    <row r="181" ht="13.5" customHeight="1">
      <c r="E181" s="51"/>
      <c r="F181" s="12"/>
      <c r="K181" s="51"/>
    </row>
    <row r="182" ht="13.5" customHeight="1">
      <c r="E182" s="51"/>
      <c r="F182" s="12"/>
      <c r="K182" s="51"/>
    </row>
    <row r="183" ht="13.5" customHeight="1">
      <c r="E183" s="51"/>
      <c r="F183" s="12"/>
      <c r="K183" s="51"/>
    </row>
    <row r="184" ht="13.5" customHeight="1">
      <c r="E184" s="51"/>
      <c r="F184" s="12"/>
      <c r="K184" s="51"/>
    </row>
    <row r="185" ht="13.5" customHeight="1">
      <c r="E185" s="51"/>
      <c r="F185" s="12"/>
      <c r="K185" s="51"/>
    </row>
    <row r="186" ht="13.5" customHeight="1">
      <c r="E186" s="51"/>
      <c r="F186" s="12"/>
      <c r="K186" s="51"/>
    </row>
    <row r="187" ht="13.5" customHeight="1">
      <c r="E187" s="51"/>
      <c r="F187" s="12"/>
      <c r="K187" s="51"/>
    </row>
    <row r="188" ht="13.5" customHeight="1">
      <c r="E188" s="51"/>
      <c r="F188" s="12"/>
      <c r="K188" s="51"/>
    </row>
    <row r="189" ht="13.5" customHeight="1">
      <c r="E189" s="51"/>
      <c r="F189" s="12"/>
      <c r="K189" s="51"/>
    </row>
    <row r="190" ht="13.5" customHeight="1">
      <c r="E190" s="51"/>
      <c r="F190" s="12"/>
      <c r="K190" s="51"/>
    </row>
    <row r="191" ht="13.5" customHeight="1">
      <c r="E191" s="51"/>
      <c r="F191" s="12"/>
      <c r="K191" s="51"/>
    </row>
    <row r="192" ht="13.5" customHeight="1">
      <c r="E192" s="51"/>
      <c r="F192" s="12"/>
      <c r="K192" s="51"/>
    </row>
    <row r="193" ht="13.5" customHeight="1">
      <c r="E193" s="51"/>
      <c r="F193" s="12"/>
      <c r="K193" s="51"/>
    </row>
    <row r="194" ht="13.5" customHeight="1">
      <c r="E194" s="51"/>
      <c r="F194" s="12"/>
      <c r="K194" s="51"/>
    </row>
    <row r="195" ht="13.5" customHeight="1">
      <c r="E195" s="51"/>
      <c r="F195" s="12"/>
      <c r="K195" s="51"/>
    </row>
    <row r="196" ht="13.5" customHeight="1">
      <c r="E196" s="51"/>
      <c r="F196" s="12"/>
      <c r="K196" s="51"/>
    </row>
    <row r="197" ht="13.5" customHeight="1">
      <c r="E197" s="51"/>
      <c r="F197" s="12"/>
      <c r="K197" s="51"/>
    </row>
    <row r="198" ht="13.5" customHeight="1">
      <c r="E198" s="51"/>
      <c r="F198" s="12"/>
      <c r="K198" s="51"/>
    </row>
    <row r="199" ht="13.5" customHeight="1">
      <c r="E199" s="51"/>
      <c r="F199" s="12"/>
      <c r="K199" s="51"/>
    </row>
    <row r="200" ht="13.5" customHeight="1">
      <c r="E200" s="51"/>
      <c r="F200" s="12"/>
      <c r="K200" s="51"/>
    </row>
    <row r="201" ht="13.5" customHeight="1">
      <c r="E201" s="51"/>
      <c r="F201" s="12"/>
      <c r="K201" s="51"/>
    </row>
    <row r="202" ht="13.5" customHeight="1">
      <c r="E202" s="51"/>
      <c r="F202" s="12"/>
      <c r="K202" s="51"/>
    </row>
    <row r="203" ht="13.5" customHeight="1">
      <c r="E203" s="51"/>
      <c r="F203" s="12"/>
      <c r="K203" s="51"/>
    </row>
    <row r="204" ht="13.5" customHeight="1">
      <c r="E204" s="51"/>
      <c r="F204" s="12"/>
      <c r="K204" s="51"/>
    </row>
    <row r="205" ht="13.5" customHeight="1">
      <c r="E205" s="51"/>
      <c r="F205" s="12"/>
      <c r="K205" s="51"/>
    </row>
    <row r="206" ht="13.5" customHeight="1">
      <c r="E206" s="51"/>
      <c r="F206" s="12"/>
      <c r="K206" s="51"/>
    </row>
    <row r="207" ht="13.5" customHeight="1">
      <c r="E207" s="51"/>
      <c r="F207" s="12"/>
      <c r="K207" s="51"/>
    </row>
    <row r="208" ht="13.5" customHeight="1">
      <c r="E208" s="51"/>
      <c r="F208" s="12"/>
      <c r="K208" s="51"/>
    </row>
    <row r="209" ht="13.5" customHeight="1">
      <c r="E209" s="51"/>
      <c r="F209" s="12"/>
      <c r="K209" s="51"/>
    </row>
    <row r="210" ht="13.5" customHeight="1">
      <c r="E210" s="51"/>
      <c r="F210" s="12"/>
      <c r="K210" s="51"/>
    </row>
    <row r="211" ht="13.5" customHeight="1">
      <c r="E211" s="51"/>
      <c r="F211" s="12"/>
      <c r="K211" s="51"/>
    </row>
    <row r="212" ht="13.5" customHeight="1">
      <c r="E212" s="51"/>
      <c r="F212" s="12"/>
      <c r="K212" s="51"/>
    </row>
    <row r="213" ht="13.5" customHeight="1">
      <c r="E213" s="51"/>
      <c r="F213" s="12"/>
      <c r="K213" s="51"/>
    </row>
    <row r="214" ht="13.5" customHeight="1">
      <c r="E214" s="51"/>
      <c r="F214" s="12"/>
      <c r="K214" s="51"/>
    </row>
    <row r="215" ht="13.5" customHeight="1">
      <c r="E215" s="51"/>
      <c r="F215" s="12"/>
      <c r="K215" s="51"/>
    </row>
    <row r="216" ht="13.5" customHeight="1">
      <c r="E216" s="51"/>
      <c r="F216" s="12"/>
      <c r="K216" s="51"/>
    </row>
    <row r="217" ht="13.5" customHeight="1">
      <c r="E217" s="51"/>
      <c r="F217" s="12"/>
      <c r="K217" s="51"/>
    </row>
    <row r="218" ht="13.5" customHeight="1">
      <c r="E218" s="51"/>
      <c r="F218" s="12"/>
      <c r="K218" s="51"/>
    </row>
    <row r="219" ht="13.5" customHeight="1">
      <c r="E219" s="51"/>
      <c r="F219" s="12"/>
      <c r="K219" s="51"/>
    </row>
    <row r="220" ht="13.5" customHeight="1">
      <c r="E220" s="51"/>
      <c r="F220" s="12"/>
      <c r="K220" s="51"/>
    </row>
    <row r="221" ht="13.5" customHeight="1">
      <c r="E221" s="51"/>
      <c r="F221" s="12"/>
      <c r="K221" s="51"/>
    </row>
    <row r="222" ht="13.5" customHeight="1">
      <c r="E222" s="51"/>
      <c r="F222" s="12"/>
      <c r="K222" s="51"/>
    </row>
    <row r="223" ht="13.5" customHeight="1">
      <c r="E223" s="51"/>
      <c r="F223" s="12"/>
      <c r="K223" s="51"/>
    </row>
    <row r="224" ht="13.5" customHeight="1">
      <c r="E224" s="51"/>
      <c r="F224" s="12"/>
      <c r="K224" s="51"/>
    </row>
    <row r="225" ht="13.5" customHeight="1">
      <c r="E225" s="51"/>
      <c r="F225" s="12"/>
      <c r="K225" s="51"/>
    </row>
    <row r="226" ht="13.5" customHeight="1">
      <c r="E226" s="51"/>
      <c r="F226" s="12"/>
      <c r="K226" s="51"/>
    </row>
    <row r="227" ht="13.5" customHeight="1">
      <c r="E227" s="51"/>
      <c r="F227" s="12"/>
      <c r="K227" s="51"/>
    </row>
    <row r="228" ht="13.5" customHeight="1">
      <c r="E228" s="51"/>
      <c r="F228" s="12"/>
      <c r="K228" s="51"/>
    </row>
    <row r="229" ht="13.5" customHeight="1">
      <c r="E229" s="51"/>
      <c r="F229" s="12"/>
      <c r="K229" s="51"/>
    </row>
    <row r="230" ht="13.5" customHeight="1">
      <c r="E230" s="51"/>
      <c r="F230" s="12"/>
      <c r="K230" s="51"/>
    </row>
    <row r="231" ht="13.5" customHeight="1">
      <c r="E231" s="51"/>
      <c r="F231" s="12"/>
      <c r="K231" s="51"/>
    </row>
    <row r="232" ht="13.5" customHeight="1">
      <c r="E232" s="51"/>
      <c r="F232" s="12"/>
      <c r="K232" s="51"/>
    </row>
    <row r="233" ht="13.5" customHeight="1">
      <c r="E233" s="51"/>
      <c r="F233" s="12"/>
      <c r="K233" s="51"/>
    </row>
    <row r="234" ht="13.5" customHeight="1">
      <c r="E234" s="51"/>
      <c r="F234" s="12"/>
      <c r="K234" s="51"/>
    </row>
    <row r="235" ht="13.5" customHeight="1">
      <c r="E235" s="51"/>
      <c r="F235" s="12"/>
      <c r="K235" s="51"/>
    </row>
    <row r="236" ht="13.5" customHeight="1">
      <c r="E236" s="51"/>
      <c r="F236" s="12"/>
      <c r="K236" s="51"/>
    </row>
    <row r="237" ht="13.5" customHeight="1">
      <c r="E237" s="51"/>
      <c r="F237" s="12"/>
      <c r="K237" s="51"/>
    </row>
    <row r="238" ht="13.5" customHeight="1">
      <c r="E238" s="51"/>
      <c r="F238" s="12"/>
      <c r="K238" s="51"/>
    </row>
    <row r="239" ht="13.5" customHeight="1">
      <c r="E239" s="51"/>
      <c r="F239" s="12"/>
      <c r="K239" s="51"/>
    </row>
    <row r="240" ht="13.5" customHeight="1">
      <c r="E240" s="51"/>
      <c r="F240" s="12"/>
      <c r="K240" s="51"/>
    </row>
    <row r="241" ht="13.5" customHeight="1">
      <c r="E241" s="51"/>
      <c r="F241" s="12"/>
      <c r="K241" s="51"/>
    </row>
    <row r="242" ht="13.5" customHeight="1">
      <c r="E242" s="51"/>
      <c r="F242" s="12"/>
      <c r="K242" s="51"/>
    </row>
    <row r="243" ht="13.5" customHeight="1">
      <c r="E243" s="51"/>
      <c r="F243" s="12"/>
      <c r="K243" s="51"/>
    </row>
    <row r="244" ht="13.5" customHeight="1">
      <c r="E244" s="51"/>
      <c r="F244" s="12"/>
      <c r="K244" s="51"/>
    </row>
    <row r="245" ht="13.5" customHeight="1">
      <c r="E245" s="51"/>
      <c r="F245" s="12"/>
      <c r="K245" s="51"/>
    </row>
    <row r="246" ht="13.5" customHeight="1">
      <c r="E246" s="51"/>
      <c r="F246" s="12"/>
      <c r="K246" s="51"/>
    </row>
    <row r="247" ht="13.5" customHeight="1">
      <c r="E247" s="51"/>
      <c r="F247" s="12"/>
      <c r="K247" s="51"/>
    </row>
    <row r="248" ht="13.5" customHeight="1">
      <c r="E248" s="51"/>
      <c r="F248" s="12"/>
      <c r="K248" s="51"/>
    </row>
    <row r="249" ht="13.5" customHeight="1">
      <c r="E249" s="51"/>
      <c r="F249" s="12"/>
      <c r="K249" s="51"/>
    </row>
    <row r="250" ht="13.5" customHeight="1">
      <c r="E250" s="51"/>
      <c r="F250" s="12"/>
      <c r="K250" s="51"/>
    </row>
    <row r="251" ht="13.5" customHeight="1">
      <c r="E251" s="51"/>
      <c r="F251" s="12"/>
      <c r="K251" s="51"/>
    </row>
    <row r="252" ht="13.5" customHeight="1">
      <c r="E252" s="51"/>
      <c r="F252" s="12"/>
      <c r="K252" s="51"/>
    </row>
    <row r="253" ht="13.5" customHeight="1">
      <c r="E253" s="51"/>
      <c r="F253" s="12"/>
      <c r="K253" s="51"/>
    </row>
    <row r="254" ht="13.5" customHeight="1">
      <c r="E254" s="51"/>
      <c r="F254" s="12"/>
      <c r="K254" s="51"/>
    </row>
    <row r="255" ht="13.5" customHeight="1">
      <c r="E255" s="51"/>
      <c r="F255" s="12"/>
      <c r="K255" s="51"/>
    </row>
    <row r="256" ht="13.5" customHeight="1">
      <c r="E256" s="51"/>
      <c r="F256" s="12"/>
      <c r="K256" s="51"/>
    </row>
    <row r="257" ht="13.5" customHeight="1">
      <c r="E257" s="51"/>
      <c r="F257" s="12"/>
      <c r="K257" s="51"/>
    </row>
    <row r="258" ht="13.5" customHeight="1">
      <c r="E258" s="51"/>
      <c r="F258" s="12"/>
      <c r="K258" s="51"/>
    </row>
    <row r="259" ht="13.5" customHeight="1">
      <c r="E259" s="51"/>
      <c r="F259" s="12"/>
      <c r="K259" s="51"/>
    </row>
    <row r="260" ht="13.5" customHeight="1">
      <c r="E260" s="51"/>
      <c r="F260" s="12"/>
      <c r="K260" s="51"/>
    </row>
    <row r="261" ht="13.5" customHeight="1">
      <c r="E261" s="51"/>
      <c r="F261" s="12"/>
      <c r="K261" s="51"/>
    </row>
    <row r="262" ht="13.5" customHeight="1">
      <c r="E262" s="51"/>
      <c r="F262" s="12"/>
      <c r="K262" s="51"/>
    </row>
    <row r="263" ht="13.5" customHeight="1">
      <c r="E263" s="51"/>
      <c r="F263" s="12"/>
      <c r="K263" s="51"/>
    </row>
    <row r="264" ht="13.5" customHeight="1">
      <c r="E264" s="51"/>
      <c r="F264" s="12"/>
      <c r="K264" s="51"/>
    </row>
    <row r="265" ht="13.5" customHeight="1">
      <c r="E265" s="51"/>
      <c r="F265" s="12"/>
      <c r="K265" s="51"/>
    </row>
    <row r="266" ht="13.5" customHeight="1">
      <c r="E266" s="51"/>
      <c r="F266" s="12"/>
      <c r="K266" s="51"/>
    </row>
    <row r="267" ht="13.5" customHeight="1">
      <c r="E267" s="51"/>
      <c r="F267" s="12"/>
      <c r="K267" s="51"/>
    </row>
    <row r="268" ht="13.5" customHeight="1">
      <c r="E268" s="51"/>
      <c r="F268" s="12"/>
      <c r="K268" s="51"/>
    </row>
    <row r="269" ht="13.5" customHeight="1">
      <c r="E269" s="51"/>
      <c r="F269" s="12"/>
      <c r="K269" s="51"/>
    </row>
    <row r="270" ht="13.5" customHeight="1">
      <c r="E270" s="51"/>
      <c r="F270" s="12"/>
      <c r="K270" s="51"/>
    </row>
    <row r="271" ht="13.5" customHeight="1">
      <c r="E271" s="51"/>
      <c r="F271" s="12"/>
      <c r="K271" s="51"/>
    </row>
    <row r="272" ht="13.5" customHeight="1">
      <c r="E272" s="51"/>
      <c r="F272" s="12"/>
      <c r="K272" s="51"/>
    </row>
    <row r="273" ht="13.5" customHeight="1">
      <c r="E273" s="51"/>
      <c r="F273" s="12"/>
      <c r="K273" s="51"/>
    </row>
    <row r="274" ht="13.5" customHeight="1">
      <c r="E274" s="51"/>
      <c r="F274" s="12"/>
      <c r="K274" s="51"/>
    </row>
    <row r="275" ht="13.5" customHeight="1">
      <c r="E275" s="51"/>
      <c r="F275" s="12"/>
      <c r="K275" s="51"/>
    </row>
    <row r="276" ht="13.5" customHeight="1">
      <c r="E276" s="51"/>
      <c r="F276" s="12"/>
      <c r="K276" s="51"/>
    </row>
    <row r="277" ht="13.5" customHeight="1">
      <c r="E277" s="51"/>
      <c r="F277" s="12"/>
      <c r="K277" s="51"/>
    </row>
    <row r="278" ht="13.5" customHeight="1">
      <c r="E278" s="51"/>
      <c r="F278" s="12"/>
      <c r="K278" s="51"/>
    </row>
    <row r="279" ht="13.5" customHeight="1">
      <c r="E279" s="51"/>
      <c r="F279" s="12"/>
      <c r="K279" s="51"/>
    </row>
    <row r="280" ht="13.5" customHeight="1">
      <c r="E280" s="51"/>
      <c r="F280" s="12"/>
      <c r="K280" s="51"/>
    </row>
    <row r="281" ht="13.5" customHeight="1">
      <c r="E281" s="51"/>
      <c r="F281" s="12"/>
      <c r="K281" s="51"/>
    </row>
    <row r="282" ht="13.5" customHeight="1">
      <c r="E282" s="51"/>
      <c r="F282" s="12"/>
      <c r="K282" s="51"/>
    </row>
    <row r="283" ht="13.5" customHeight="1">
      <c r="E283" s="51"/>
      <c r="F283" s="12"/>
      <c r="K283" s="51"/>
    </row>
    <row r="284" ht="13.5" customHeight="1">
      <c r="E284" s="51"/>
      <c r="F284" s="12"/>
      <c r="K284" s="51"/>
    </row>
    <row r="285" ht="13.5" customHeight="1">
      <c r="E285" s="51"/>
      <c r="F285" s="12"/>
      <c r="K285" s="51"/>
    </row>
    <row r="286" ht="13.5" customHeight="1">
      <c r="E286" s="51"/>
      <c r="F286" s="12"/>
      <c r="K286" s="51"/>
    </row>
    <row r="287" ht="13.5" customHeight="1">
      <c r="E287" s="51"/>
      <c r="F287" s="12"/>
      <c r="K287" s="51"/>
    </row>
    <row r="288" ht="13.5" customHeight="1">
      <c r="E288" s="51"/>
      <c r="F288" s="12"/>
      <c r="K288" s="51"/>
    </row>
    <row r="289" ht="13.5" customHeight="1">
      <c r="E289" s="51"/>
      <c r="F289" s="12"/>
      <c r="K289" s="51"/>
    </row>
    <row r="290" ht="13.5" customHeight="1">
      <c r="E290" s="51"/>
      <c r="F290" s="12"/>
      <c r="K290" s="51"/>
    </row>
    <row r="291" ht="13.5" customHeight="1">
      <c r="E291" s="51"/>
      <c r="F291" s="12"/>
      <c r="K291" s="51"/>
    </row>
    <row r="292" ht="13.5" customHeight="1">
      <c r="E292" s="51"/>
      <c r="F292" s="12"/>
      <c r="K292" s="51"/>
    </row>
    <row r="293" ht="13.5" customHeight="1">
      <c r="E293" s="51"/>
      <c r="F293" s="12"/>
      <c r="K293" s="51"/>
    </row>
    <row r="294" ht="13.5" customHeight="1">
      <c r="E294" s="51"/>
      <c r="F294" s="12"/>
      <c r="K294" s="51"/>
    </row>
    <row r="295" ht="13.5" customHeight="1">
      <c r="E295" s="51"/>
      <c r="F295" s="12"/>
      <c r="K295" s="51"/>
    </row>
    <row r="296" ht="13.5" customHeight="1">
      <c r="E296" s="51"/>
      <c r="F296" s="12"/>
      <c r="K296" s="51"/>
    </row>
    <row r="297" ht="13.5" customHeight="1">
      <c r="E297" s="51"/>
      <c r="F297" s="12"/>
      <c r="K297" s="51"/>
    </row>
    <row r="298" ht="13.5" customHeight="1">
      <c r="E298" s="51"/>
      <c r="F298" s="12"/>
      <c r="K298" s="51"/>
    </row>
    <row r="299" ht="13.5" customHeight="1">
      <c r="E299" s="51"/>
      <c r="F299" s="12"/>
      <c r="K299" s="51"/>
    </row>
    <row r="300" ht="13.5" customHeight="1">
      <c r="E300" s="51"/>
      <c r="F300" s="12"/>
      <c r="K300" s="51"/>
    </row>
    <row r="301" ht="13.5" customHeight="1">
      <c r="E301" s="51"/>
      <c r="F301" s="12"/>
      <c r="K301" s="51"/>
    </row>
    <row r="302" ht="13.5" customHeight="1">
      <c r="E302" s="51"/>
      <c r="F302" s="12"/>
      <c r="K302" s="51"/>
    </row>
    <row r="303" ht="13.5" customHeight="1">
      <c r="E303" s="51"/>
      <c r="F303" s="12"/>
      <c r="K303" s="51"/>
    </row>
    <row r="304" ht="13.5" customHeight="1">
      <c r="E304" s="51"/>
      <c r="F304" s="12"/>
      <c r="K304" s="51"/>
    </row>
    <row r="305" ht="13.5" customHeight="1">
      <c r="E305" s="51"/>
      <c r="F305" s="12"/>
      <c r="K305" s="51"/>
    </row>
    <row r="306" ht="13.5" customHeight="1">
      <c r="E306" s="51"/>
      <c r="F306" s="12"/>
      <c r="K306" s="51"/>
    </row>
    <row r="307" ht="13.5" customHeight="1">
      <c r="E307" s="51"/>
      <c r="F307" s="12"/>
      <c r="K307" s="51"/>
    </row>
    <row r="308" ht="13.5" customHeight="1">
      <c r="E308" s="51"/>
      <c r="F308" s="12"/>
      <c r="K308" s="51"/>
    </row>
    <row r="309" ht="13.5" customHeight="1">
      <c r="E309" s="51"/>
      <c r="F309" s="12"/>
      <c r="K309" s="51"/>
    </row>
    <row r="310" ht="13.5" customHeight="1">
      <c r="E310" s="51"/>
      <c r="F310" s="12"/>
      <c r="K310" s="51"/>
    </row>
    <row r="311" ht="13.5" customHeight="1">
      <c r="E311" s="51"/>
      <c r="F311" s="12"/>
      <c r="K311" s="51"/>
    </row>
    <row r="312" ht="13.5" customHeight="1">
      <c r="E312" s="51"/>
      <c r="F312" s="12"/>
      <c r="K312" s="51"/>
    </row>
    <row r="313" ht="13.5" customHeight="1">
      <c r="E313" s="51"/>
      <c r="F313" s="12"/>
      <c r="K313" s="51"/>
    </row>
    <row r="314" ht="13.5" customHeight="1">
      <c r="E314" s="51"/>
      <c r="F314" s="12"/>
      <c r="K314" s="51"/>
    </row>
    <row r="315" ht="13.5" customHeight="1">
      <c r="E315" s="51"/>
      <c r="F315" s="12"/>
      <c r="K315" s="51"/>
    </row>
    <row r="316" ht="13.5" customHeight="1">
      <c r="E316" s="51"/>
      <c r="F316" s="12"/>
      <c r="K316" s="51"/>
    </row>
    <row r="317" ht="13.5" customHeight="1">
      <c r="E317" s="51"/>
      <c r="F317" s="12"/>
      <c r="K317" s="51"/>
    </row>
    <row r="318" ht="13.5" customHeight="1">
      <c r="E318" s="51"/>
      <c r="F318" s="12"/>
      <c r="K318" s="51"/>
    </row>
    <row r="319" ht="13.5" customHeight="1">
      <c r="E319" s="51"/>
      <c r="F319" s="12"/>
      <c r="K319" s="51"/>
    </row>
    <row r="320" ht="13.5" customHeight="1">
      <c r="E320" s="51"/>
      <c r="F320" s="12"/>
      <c r="K320" s="51"/>
    </row>
    <row r="321" ht="13.5" customHeight="1">
      <c r="E321" s="51"/>
      <c r="F321" s="12"/>
      <c r="K321" s="51"/>
    </row>
    <row r="322" ht="13.5" customHeight="1">
      <c r="E322" s="51"/>
      <c r="F322" s="12"/>
      <c r="K322" s="51"/>
    </row>
    <row r="323" ht="13.5" customHeight="1">
      <c r="E323" s="51"/>
      <c r="F323" s="12"/>
      <c r="K323" s="51"/>
    </row>
    <row r="324" ht="13.5" customHeight="1">
      <c r="E324" s="51"/>
      <c r="F324" s="12"/>
      <c r="K324" s="51"/>
    </row>
    <row r="325" ht="13.5" customHeight="1">
      <c r="E325" s="51"/>
      <c r="F325" s="12"/>
      <c r="K325" s="51"/>
    </row>
    <row r="326" ht="13.5" customHeight="1">
      <c r="E326" s="51"/>
      <c r="F326" s="12"/>
      <c r="K326" s="51"/>
    </row>
    <row r="327" ht="13.5" customHeight="1">
      <c r="E327" s="51"/>
      <c r="F327" s="12"/>
      <c r="K327" s="51"/>
    </row>
    <row r="328" ht="13.5" customHeight="1">
      <c r="E328" s="51"/>
      <c r="F328" s="12"/>
      <c r="K328" s="51"/>
    </row>
    <row r="329" ht="13.5" customHeight="1">
      <c r="E329" s="51"/>
      <c r="F329" s="12"/>
      <c r="K329" s="51"/>
    </row>
    <row r="330" ht="13.5" customHeight="1">
      <c r="E330" s="51"/>
      <c r="F330" s="12"/>
      <c r="K330" s="51"/>
    </row>
    <row r="331" ht="13.5" customHeight="1">
      <c r="E331" s="51"/>
      <c r="F331" s="12"/>
      <c r="K331" s="51"/>
    </row>
    <row r="332" ht="13.5" customHeight="1">
      <c r="E332" s="51"/>
      <c r="F332" s="12"/>
      <c r="K332" s="51"/>
    </row>
    <row r="333" ht="13.5" customHeight="1">
      <c r="E333" s="51"/>
      <c r="F333" s="12"/>
      <c r="K333" s="51"/>
    </row>
    <row r="334" ht="13.5" customHeight="1">
      <c r="E334" s="51"/>
      <c r="F334" s="12"/>
      <c r="K334" s="51"/>
    </row>
    <row r="335" ht="13.5" customHeight="1">
      <c r="E335" s="51"/>
      <c r="F335" s="12"/>
      <c r="K335" s="51"/>
    </row>
    <row r="336" ht="13.5" customHeight="1">
      <c r="E336" s="51"/>
      <c r="F336" s="12"/>
      <c r="K336" s="51"/>
    </row>
    <row r="337" ht="13.5" customHeight="1">
      <c r="E337" s="51"/>
      <c r="F337" s="12"/>
      <c r="K337" s="51"/>
    </row>
    <row r="338" ht="13.5" customHeight="1">
      <c r="E338" s="51"/>
      <c r="F338" s="12"/>
      <c r="K338" s="51"/>
    </row>
    <row r="339" ht="13.5" customHeight="1">
      <c r="E339" s="51"/>
      <c r="F339" s="12"/>
      <c r="K339" s="51"/>
    </row>
    <row r="340" ht="13.5" customHeight="1">
      <c r="E340" s="51"/>
      <c r="F340" s="12"/>
      <c r="K340" s="51"/>
    </row>
    <row r="341" ht="13.5" customHeight="1">
      <c r="E341" s="51"/>
      <c r="F341" s="12"/>
      <c r="K341" s="51"/>
    </row>
    <row r="342" ht="13.5" customHeight="1">
      <c r="E342" s="51"/>
      <c r="F342" s="12"/>
      <c r="K342" s="51"/>
    </row>
    <row r="343" ht="13.5" customHeight="1">
      <c r="E343" s="51"/>
      <c r="F343" s="12"/>
      <c r="K343" s="51"/>
    </row>
    <row r="344" ht="13.5" customHeight="1">
      <c r="E344" s="51"/>
      <c r="F344" s="12"/>
      <c r="K344" s="51"/>
    </row>
    <row r="345" ht="13.5" customHeight="1">
      <c r="E345" s="51"/>
      <c r="F345" s="12"/>
      <c r="K345" s="51"/>
    </row>
    <row r="346" ht="13.5" customHeight="1">
      <c r="E346" s="51"/>
      <c r="F346" s="12"/>
      <c r="K346" s="51"/>
    </row>
    <row r="347" ht="13.5" customHeight="1">
      <c r="E347" s="51"/>
      <c r="F347" s="12"/>
      <c r="K347" s="51"/>
    </row>
    <row r="348" ht="13.5" customHeight="1">
      <c r="E348" s="51"/>
      <c r="F348" s="12"/>
      <c r="K348" s="51"/>
    </row>
    <row r="349" ht="13.5" customHeight="1">
      <c r="E349" s="51"/>
      <c r="F349" s="12"/>
      <c r="K349" s="51"/>
    </row>
    <row r="350" ht="13.5" customHeight="1">
      <c r="E350" s="51"/>
      <c r="F350" s="12"/>
      <c r="K350" s="51"/>
    </row>
    <row r="351" ht="13.5" customHeight="1">
      <c r="E351" s="51"/>
      <c r="F351" s="12"/>
      <c r="K351" s="51"/>
    </row>
    <row r="352" ht="13.5" customHeight="1">
      <c r="E352" s="51"/>
      <c r="F352" s="12"/>
      <c r="K352" s="51"/>
    </row>
    <row r="353" ht="13.5" customHeight="1">
      <c r="E353" s="51"/>
      <c r="F353" s="12"/>
      <c r="K353" s="51"/>
    </row>
    <row r="354" ht="13.5" customHeight="1">
      <c r="E354" s="51"/>
      <c r="F354" s="12"/>
      <c r="K354" s="51"/>
    </row>
    <row r="355" ht="13.5" customHeight="1">
      <c r="E355" s="51"/>
      <c r="F355" s="12"/>
      <c r="K355" s="51"/>
    </row>
    <row r="356" ht="13.5" customHeight="1">
      <c r="E356" s="51"/>
      <c r="F356" s="12"/>
      <c r="K356" s="51"/>
    </row>
    <row r="357" ht="13.5" customHeight="1">
      <c r="E357" s="51"/>
      <c r="F357" s="12"/>
      <c r="K357" s="51"/>
    </row>
    <row r="358" ht="13.5" customHeight="1">
      <c r="E358" s="51"/>
      <c r="F358" s="12"/>
      <c r="K358" s="51"/>
    </row>
    <row r="359" ht="13.5" customHeight="1">
      <c r="E359" s="51"/>
      <c r="F359" s="12"/>
      <c r="K359" s="51"/>
    </row>
    <row r="360" ht="13.5" customHeight="1">
      <c r="E360" s="51"/>
      <c r="F360" s="12"/>
      <c r="K360" s="51"/>
    </row>
    <row r="361" ht="13.5" customHeight="1">
      <c r="E361" s="51"/>
      <c r="F361" s="12"/>
      <c r="K361" s="51"/>
    </row>
    <row r="362" ht="13.5" customHeight="1">
      <c r="E362" s="51"/>
      <c r="F362" s="12"/>
      <c r="K362" s="51"/>
    </row>
    <row r="363" ht="13.5" customHeight="1">
      <c r="E363" s="51"/>
      <c r="F363" s="12"/>
      <c r="K363" s="51"/>
    </row>
    <row r="364" ht="13.5" customHeight="1">
      <c r="E364" s="51"/>
      <c r="F364" s="12"/>
      <c r="K364" s="51"/>
    </row>
    <row r="365" ht="13.5" customHeight="1">
      <c r="E365" s="51"/>
      <c r="F365" s="12"/>
      <c r="K365" s="51"/>
    </row>
    <row r="366" ht="13.5" customHeight="1">
      <c r="E366" s="51"/>
      <c r="F366" s="12"/>
      <c r="K366" s="51"/>
    </row>
    <row r="367" ht="13.5" customHeight="1">
      <c r="E367" s="51"/>
      <c r="F367" s="12"/>
      <c r="K367" s="51"/>
    </row>
    <row r="368" ht="13.5" customHeight="1">
      <c r="E368" s="51"/>
      <c r="F368" s="12"/>
      <c r="K368" s="51"/>
    </row>
    <row r="369" ht="13.5" customHeight="1">
      <c r="E369" s="51"/>
      <c r="F369" s="12"/>
      <c r="K369" s="51"/>
    </row>
    <row r="370" ht="13.5" customHeight="1">
      <c r="E370" s="51"/>
      <c r="F370" s="12"/>
      <c r="K370" s="51"/>
    </row>
    <row r="371" ht="13.5" customHeight="1">
      <c r="E371" s="51"/>
      <c r="F371" s="12"/>
      <c r="K371" s="51"/>
    </row>
    <row r="372" ht="13.5" customHeight="1">
      <c r="E372" s="51"/>
      <c r="F372" s="12"/>
      <c r="K372" s="51"/>
    </row>
    <row r="373" ht="13.5" customHeight="1">
      <c r="E373" s="51"/>
      <c r="F373" s="12"/>
      <c r="K373" s="51"/>
    </row>
    <row r="374" ht="13.5" customHeight="1">
      <c r="E374" s="51"/>
      <c r="F374" s="12"/>
      <c r="K374" s="51"/>
    </row>
    <row r="375" ht="13.5" customHeight="1">
      <c r="E375" s="51"/>
      <c r="F375" s="12"/>
      <c r="K375" s="51"/>
    </row>
    <row r="376" ht="13.5" customHeight="1">
      <c r="E376" s="51"/>
      <c r="F376" s="12"/>
      <c r="K376" s="51"/>
    </row>
    <row r="377" ht="13.5" customHeight="1">
      <c r="E377" s="51"/>
      <c r="F377" s="12"/>
      <c r="K377" s="51"/>
    </row>
    <row r="378" ht="13.5" customHeight="1">
      <c r="E378" s="51"/>
      <c r="F378" s="12"/>
      <c r="K378" s="51"/>
    </row>
    <row r="379" ht="13.5" customHeight="1">
      <c r="E379" s="51"/>
      <c r="F379" s="12"/>
      <c r="K379" s="51"/>
    </row>
    <row r="380" ht="13.5" customHeight="1">
      <c r="E380" s="51"/>
      <c r="F380" s="12"/>
      <c r="K380" s="51"/>
    </row>
    <row r="381" ht="13.5" customHeight="1">
      <c r="E381" s="51"/>
      <c r="F381" s="12"/>
      <c r="K381" s="51"/>
    </row>
    <row r="382" ht="13.5" customHeight="1">
      <c r="E382" s="51"/>
      <c r="F382" s="12"/>
      <c r="K382" s="51"/>
    </row>
    <row r="383" ht="13.5" customHeight="1">
      <c r="E383" s="51"/>
      <c r="F383" s="12"/>
      <c r="K383" s="51"/>
    </row>
    <row r="384" ht="13.5" customHeight="1">
      <c r="E384" s="51"/>
      <c r="F384" s="12"/>
      <c r="K384" s="51"/>
    </row>
    <row r="385" ht="13.5" customHeight="1">
      <c r="E385" s="51"/>
      <c r="F385" s="12"/>
      <c r="K385" s="51"/>
    </row>
    <row r="386" ht="13.5" customHeight="1">
      <c r="E386" s="51"/>
      <c r="F386" s="12"/>
      <c r="K386" s="51"/>
    </row>
    <row r="387" ht="13.5" customHeight="1">
      <c r="E387" s="51"/>
      <c r="F387" s="12"/>
      <c r="K387" s="51"/>
    </row>
    <row r="388" ht="13.5" customHeight="1">
      <c r="E388" s="51"/>
      <c r="F388" s="12"/>
      <c r="K388" s="51"/>
    </row>
    <row r="389" ht="13.5" customHeight="1">
      <c r="E389" s="51"/>
      <c r="F389" s="12"/>
      <c r="K389" s="51"/>
    </row>
    <row r="390" ht="13.5" customHeight="1">
      <c r="E390" s="51"/>
      <c r="F390" s="12"/>
      <c r="K390" s="51"/>
    </row>
    <row r="391" ht="13.5" customHeight="1">
      <c r="E391" s="51"/>
      <c r="F391" s="12"/>
      <c r="K391" s="51"/>
    </row>
    <row r="392" ht="13.5" customHeight="1">
      <c r="E392" s="51"/>
      <c r="F392" s="12"/>
      <c r="K392" s="51"/>
    </row>
    <row r="393" ht="13.5" customHeight="1">
      <c r="E393" s="51"/>
      <c r="F393" s="12"/>
      <c r="K393" s="51"/>
    </row>
    <row r="394" ht="13.5" customHeight="1">
      <c r="E394" s="51"/>
      <c r="F394" s="12"/>
      <c r="K394" s="51"/>
    </row>
    <row r="395" ht="13.5" customHeight="1">
      <c r="E395" s="51"/>
      <c r="F395" s="12"/>
      <c r="K395" s="51"/>
    </row>
    <row r="396" ht="13.5" customHeight="1">
      <c r="E396" s="51"/>
      <c r="F396" s="12"/>
      <c r="K396" s="51"/>
    </row>
    <row r="397" ht="13.5" customHeight="1">
      <c r="E397" s="51"/>
      <c r="F397" s="12"/>
      <c r="K397" s="51"/>
    </row>
    <row r="398" ht="13.5" customHeight="1">
      <c r="E398" s="51"/>
      <c r="F398" s="12"/>
      <c r="K398" s="51"/>
    </row>
    <row r="399" ht="13.5" customHeight="1">
      <c r="E399" s="51"/>
      <c r="F399" s="12"/>
      <c r="K399" s="51"/>
    </row>
    <row r="400" ht="13.5" customHeight="1">
      <c r="E400" s="51"/>
      <c r="F400" s="12"/>
      <c r="K400" s="51"/>
    </row>
    <row r="401" ht="13.5" customHeight="1">
      <c r="E401" s="51"/>
      <c r="F401" s="12"/>
      <c r="K401" s="51"/>
    </row>
    <row r="402" ht="13.5" customHeight="1">
      <c r="E402" s="51"/>
      <c r="F402" s="12"/>
      <c r="K402" s="51"/>
    </row>
    <row r="403" ht="13.5" customHeight="1">
      <c r="E403" s="51"/>
      <c r="F403" s="12"/>
      <c r="K403" s="51"/>
    </row>
    <row r="404" ht="13.5" customHeight="1">
      <c r="E404" s="51"/>
      <c r="F404" s="12"/>
      <c r="K404" s="51"/>
    </row>
    <row r="405" ht="13.5" customHeight="1">
      <c r="E405" s="51"/>
      <c r="F405" s="12"/>
      <c r="K405" s="51"/>
    </row>
    <row r="406" ht="13.5" customHeight="1">
      <c r="E406" s="51"/>
      <c r="F406" s="12"/>
      <c r="K406" s="51"/>
    </row>
    <row r="407" ht="13.5" customHeight="1">
      <c r="E407" s="51"/>
      <c r="F407" s="12"/>
      <c r="K407" s="51"/>
    </row>
    <row r="408" ht="13.5" customHeight="1">
      <c r="E408" s="51"/>
      <c r="F408" s="12"/>
      <c r="K408" s="51"/>
    </row>
    <row r="409" ht="13.5" customHeight="1">
      <c r="E409" s="51"/>
      <c r="F409" s="12"/>
      <c r="K409" s="51"/>
    </row>
    <row r="410" ht="13.5" customHeight="1">
      <c r="E410" s="51"/>
      <c r="F410" s="12"/>
      <c r="K410" s="51"/>
    </row>
    <row r="411" ht="13.5" customHeight="1">
      <c r="E411" s="51"/>
      <c r="F411" s="12"/>
      <c r="K411" s="51"/>
    </row>
    <row r="412" ht="13.5" customHeight="1">
      <c r="E412" s="51"/>
      <c r="F412" s="12"/>
      <c r="K412" s="51"/>
    </row>
    <row r="413" ht="13.5" customHeight="1">
      <c r="E413" s="51"/>
      <c r="F413" s="12"/>
      <c r="K413" s="51"/>
    </row>
    <row r="414" ht="13.5" customHeight="1">
      <c r="E414" s="51"/>
      <c r="F414" s="12"/>
      <c r="K414" s="51"/>
    </row>
    <row r="415" ht="13.5" customHeight="1">
      <c r="E415" s="51"/>
      <c r="F415" s="12"/>
      <c r="K415" s="51"/>
    </row>
    <row r="416" ht="13.5" customHeight="1">
      <c r="E416" s="51"/>
      <c r="F416" s="12"/>
      <c r="K416" s="51"/>
    </row>
    <row r="417" ht="13.5" customHeight="1">
      <c r="E417" s="51"/>
      <c r="F417" s="12"/>
      <c r="K417" s="51"/>
    </row>
    <row r="418" ht="13.5" customHeight="1">
      <c r="E418" s="51"/>
      <c r="F418" s="12"/>
      <c r="K418" s="51"/>
    </row>
    <row r="419" ht="13.5" customHeight="1">
      <c r="E419" s="51"/>
      <c r="F419" s="12"/>
      <c r="K419" s="51"/>
    </row>
    <row r="420" ht="13.5" customHeight="1">
      <c r="E420" s="51"/>
      <c r="F420" s="12"/>
      <c r="K420" s="51"/>
    </row>
    <row r="421" ht="13.5" customHeight="1">
      <c r="E421" s="51"/>
      <c r="F421" s="12"/>
      <c r="K421" s="51"/>
    </row>
    <row r="422" ht="13.5" customHeight="1">
      <c r="E422" s="51"/>
      <c r="F422" s="12"/>
      <c r="K422" s="51"/>
    </row>
    <row r="423" ht="13.5" customHeight="1">
      <c r="E423" s="51"/>
      <c r="F423" s="12"/>
      <c r="K423" s="51"/>
    </row>
    <row r="424" ht="13.5" customHeight="1">
      <c r="E424" s="51"/>
      <c r="F424" s="12"/>
      <c r="K424" s="51"/>
    </row>
    <row r="425" ht="13.5" customHeight="1">
      <c r="E425" s="51"/>
      <c r="F425" s="12"/>
      <c r="K425" s="51"/>
    </row>
    <row r="426" ht="13.5" customHeight="1">
      <c r="E426" s="51"/>
      <c r="F426" s="12"/>
      <c r="K426" s="51"/>
    </row>
    <row r="427" ht="13.5" customHeight="1">
      <c r="E427" s="51"/>
      <c r="F427" s="12"/>
      <c r="K427" s="51"/>
    </row>
    <row r="428" ht="13.5" customHeight="1">
      <c r="E428" s="51"/>
      <c r="F428" s="12"/>
      <c r="K428" s="51"/>
    </row>
    <row r="429" ht="13.5" customHeight="1">
      <c r="E429" s="51"/>
      <c r="F429" s="12"/>
      <c r="K429" s="51"/>
    </row>
    <row r="430" ht="13.5" customHeight="1">
      <c r="E430" s="51"/>
      <c r="F430" s="12"/>
      <c r="K430" s="51"/>
    </row>
    <row r="431" ht="13.5" customHeight="1">
      <c r="E431" s="51"/>
      <c r="F431" s="12"/>
      <c r="K431" s="51"/>
    </row>
    <row r="432" ht="13.5" customHeight="1">
      <c r="E432" s="51"/>
      <c r="F432" s="12"/>
      <c r="K432" s="51"/>
    </row>
    <row r="433" ht="13.5" customHeight="1">
      <c r="E433" s="51"/>
      <c r="F433" s="12"/>
      <c r="K433" s="51"/>
    </row>
    <row r="434" ht="13.5" customHeight="1">
      <c r="E434" s="51"/>
      <c r="F434" s="12"/>
      <c r="K434" s="51"/>
    </row>
    <row r="435" ht="13.5" customHeight="1">
      <c r="E435" s="51"/>
      <c r="F435" s="12"/>
      <c r="K435" s="51"/>
    </row>
    <row r="436" ht="13.5" customHeight="1">
      <c r="E436" s="51"/>
      <c r="F436" s="12"/>
      <c r="K436" s="51"/>
    </row>
    <row r="437" ht="13.5" customHeight="1">
      <c r="E437" s="51"/>
      <c r="F437" s="12"/>
      <c r="K437" s="51"/>
    </row>
    <row r="438" ht="13.5" customHeight="1">
      <c r="E438" s="51"/>
      <c r="F438" s="12"/>
      <c r="K438" s="51"/>
    </row>
    <row r="439" ht="13.5" customHeight="1">
      <c r="E439" s="51"/>
      <c r="F439" s="12"/>
      <c r="K439" s="51"/>
    </row>
    <row r="440" ht="13.5" customHeight="1">
      <c r="E440" s="51"/>
      <c r="F440" s="12"/>
      <c r="K440" s="51"/>
    </row>
    <row r="441" ht="13.5" customHeight="1">
      <c r="E441" s="51"/>
      <c r="F441" s="12"/>
      <c r="K441" s="51"/>
    </row>
    <row r="442" ht="13.5" customHeight="1">
      <c r="E442" s="51"/>
      <c r="F442" s="12"/>
      <c r="K442" s="51"/>
    </row>
    <row r="443" ht="13.5" customHeight="1">
      <c r="E443" s="51"/>
      <c r="F443" s="12"/>
      <c r="K443" s="51"/>
    </row>
    <row r="444" ht="13.5" customHeight="1">
      <c r="E444" s="51"/>
      <c r="F444" s="12"/>
      <c r="K444" s="51"/>
    </row>
    <row r="445" ht="13.5" customHeight="1">
      <c r="E445" s="51"/>
      <c r="F445" s="12"/>
      <c r="K445" s="51"/>
    </row>
    <row r="446" ht="13.5" customHeight="1">
      <c r="E446" s="51"/>
      <c r="F446" s="12"/>
      <c r="K446" s="51"/>
    </row>
    <row r="447" ht="13.5" customHeight="1">
      <c r="E447" s="51"/>
      <c r="F447" s="12"/>
      <c r="K447" s="51"/>
    </row>
    <row r="448" ht="13.5" customHeight="1">
      <c r="E448" s="51"/>
      <c r="F448" s="12"/>
      <c r="K448" s="51"/>
    </row>
    <row r="449" ht="13.5" customHeight="1">
      <c r="E449" s="51"/>
      <c r="F449" s="12"/>
      <c r="K449" s="51"/>
    </row>
    <row r="450" ht="13.5" customHeight="1">
      <c r="E450" s="51"/>
      <c r="F450" s="12"/>
      <c r="K450" s="51"/>
    </row>
    <row r="451" ht="13.5" customHeight="1">
      <c r="E451" s="51"/>
      <c r="F451" s="12"/>
      <c r="K451" s="51"/>
    </row>
    <row r="452" ht="13.5" customHeight="1">
      <c r="E452" s="51"/>
      <c r="F452" s="12"/>
      <c r="K452" s="51"/>
    </row>
    <row r="453" ht="13.5" customHeight="1">
      <c r="E453" s="51"/>
      <c r="F453" s="12"/>
      <c r="K453" s="51"/>
    </row>
    <row r="454" ht="13.5" customHeight="1">
      <c r="E454" s="51"/>
      <c r="F454" s="12"/>
      <c r="K454" s="51"/>
    </row>
    <row r="455" ht="13.5" customHeight="1">
      <c r="E455" s="51"/>
      <c r="F455" s="12"/>
      <c r="K455" s="51"/>
    </row>
    <row r="456" ht="13.5" customHeight="1">
      <c r="E456" s="51"/>
      <c r="F456" s="12"/>
      <c r="K456" s="51"/>
    </row>
    <row r="457" ht="13.5" customHeight="1">
      <c r="E457" s="51"/>
      <c r="F457" s="12"/>
      <c r="K457" s="51"/>
    </row>
    <row r="458" ht="13.5" customHeight="1">
      <c r="E458" s="51"/>
      <c r="F458" s="12"/>
      <c r="K458" s="51"/>
    </row>
    <row r="459" ht="13.5" customHeight="1">
      <c r="E459" s="51"/>
      <c r="F459" s="12"/>
      <c r="K459" s="51"/>
    </row>
    <row r="460" ht="13.5" customHeight="1">
      <c r="E460" s="51"/>
      <c r="F460" s="12"/>
      <c r="K460" s="51"/>
    </row>
    <row r="461" ht="13.5" customHeight="1">
      <c r="E461" s="51"/>
      <c r="F461" s="12"/>
      <c r="K461" s="51"/>
    </row>
    <row r="462" ht="13.5" customHeight="1">
      <c r="E462" s="51"/>
      <c r="F462" s="12"/>
      <c r="K462" s="51"/>
    </row>
    <row r="463" ht="13.5" customHeight="1">
      <c r="E463" s="51"/>
      <c r="F463" s="12"/>
      <c r="K463" s="51"/>
    </row>
    <row r="464" ht="13.5" customHeight="1">
      <c r="E464" s="51"/>
      <c r="F464" s="12"/>
      <c r="K464" s="51"/>
    </row>
    <row r="465" ht="13.5" customHeight="1">
      <c r="E465" s="51"/>
      <c r="F465" s="12"/>
      <c r="K465" s="51"/>
    </row>
    <row r="466" ht="13.5" customHeight="1">
      <c r="E466" s="51"/>
      <c r="F466" s="12"/>
      <c r="K466" s="51"/>
    </row>
    <row r="467" ht="13.5" customHeight="1">
      <c r="E467" s="51"/>
      <c r="F467" s="12"/>
      <c r="K467" s="51"/>
    </row>
    <row r="468" ht="13.5" customHeight="1">
      <c r="E468" s="51"/>
      <c r="F468" s="12"/>
      <c r="K468" s="51"/>
    </row>
    <row r="469" ht="13.5" customHeight="1">
      <c r="E469" s="51"/>
      <c r="F469" s="12"/>
      <c r="K469" s="51"/>
    </row>
    <row r="470" ht="13.5" customHeight="1">
      <c r="E470" s="51"/>
      <c r="F470" s="12"/>
      <c r="K470" s="51"/>
    </row>
    <row r="471" ht="13.5" customHeight="1">
      <c r="E471" s="51"/>
      <c r="F471" s="12"/>
      <c r="K471" s="51"/>
    </row>
    <row r="472" ht="13.5" customHeight="1">
      <c r="E472" s="51"/>
      <c r="F472" s="12"/>
      <c r="K472" s="51"/>
    </row>
    <row r="473" ht="13.5" customHeight="1">
      <c r="E473" s="51"/>
      <c r="F473" s="12"/>
      <c r="K473" s="51"/>
    </row>
    <row r="474" ht="13.5" customHeight="1">
      <c r="E474" s="51"/>
      <c r="F474" s="12"/>
      <c r="K474" s="51"/>
    </row>
    <row r="475" ht="13.5" customHeight="1">
      <c r="E475" s="51"/>
      <c r="F475" s="12"/>
      <c r="K475" s="51"/>
    </row>
    <row r="476" ht="13.5" customHeight="1">
      <c r="E476" s="51"/>
      <c r="F476" s="12"/>
      <c r="K476" s="51"/>
    </row>
    <row r="477" ht="13.5" customHeight="1">
      <c r="E477" s="51"/>
      <c r="F477" s="12"/>
      <c r="K477" s="51"/>
    </row>
    <row r="478" ht="13.5" customHeight="1">
      <c r="E478" s="51"/>
      <c r="F478" s="12"/>
      <c r="K478" s="51"/>
    </row>
    <row r="479" ht="13.5" customHeight="1">
      <c r="E479" s="51"/>
      <c r="F479" s="12"/>
      <c r="K479" s="51"/>
    </row>
    <row r="480" ht="13.5" customHeight="1">
      <c r="E480" s="51"/>
      <c r="F480" s="12"/>
      <c r="K480" s="51"/>
    </row>
    <row r="481" ht="13.5" customHeight="1">
      <c r="E481" s="51"/>
      <c r="F481" s="12"/>
      <c r="K481" s="51"/>
    </row>
    <row r="482" ht="13.5" customHeight="1">
      <c r="E482" s="51"/>
      <c r="F482" s="12"/>
      <c r="K482" s="51"/>
    </row>
    <row r="483" ht="13.5" customHeight="1">
      <c r="E483" s="51"/>
      <c r="F483" s="12"/>
      <c r="K483" s="51"/>
    </row>
    <row r="484" ht="13.5" customHeight="1">
      <c r="E484" s="51"/>
      <c r="F484" s="12"/>
      <c r="K484" s="51"/>
    </row>
    <row r="485" ht="13.5" customHeight="1">
      <c r="E485" s="51"/>
      <c r="F485" s="12"/>
      <c r="K485" s="51"/>
    </row>
    <row r="486" ht="13.5" customHeight="1">
      <c r="E486" s="51"/>
      <c r="F486" s="12"/>
      <c r="K486" s="51"/>
    </row>
    <row r="487" ht="13.5" customHeight="1">
      <c r="E487" s="51"/>
      <c r="F487" s="12"/>
      <c r="K487" s="51"/>
    </row>
    <row r="488" ht="13.5" customHeight="1">
      <c r="E488" s="51"/>
      <c r="F488" s="12"/>
      <c r="K488" s="51"/>
    </row>
    <row r="489" ht="13.5" customHeight="1">
      <c r="E489" s="51"/>
      <c r="F489" s="12"/>
      <c r="K489" s="51"/>
    </row>
    <row r="490" ht="13.5" customHeight="1">
      <c r="E490" s="51"/>
      <c r="F490" s="12"/>
      <c r="K490" s="51"/>
    </row>
    <row r="491" ht="13.5" customHeight="1">
      <c r="E491" s="51"/>
      <c r="F491" s="12"/>
      <c r="K491" s="51"/>
    </row>
    <row r="492" ht="13.5" customHeight="1">
      <c r="E492" s="51"/>
      <c r="F492" s="12"/>
      <c r="K492" s="51"/>
    </row>
    <row r="493" ht="13.5" customHeight="1">
      <c r="E493" s="51"/>
      <c r="F493" s="12"/>
      <c r="K493" s="51"/>
    </row>
    <row r="494" ht="13.5" customHeight="1">
      <c r="E494" s="51"/>
      <c r="F494" s="12"/>
      <c r="K494" s="51"/>
    </row>
    <row r="495" ht="13.5" customHeight="1">
      <c r="E495" s="51"/>
      <c r="F495" s="12"/>
      <c r="K495" s="51"/>
    </row>
    <row r="496" ht="13.5" customHeight="1">
      <c r="E496" s="51"/>
      <c r="F496" s="12"/>
      <c r="K496" s="51"/>
    </row>
    <row r="497" ht="13.5" customHeight="1">
      <c r="E497" s="51"/>
      <c r="F497" s="12"/>
      <c r="K497" s="51"/>
    </row>
    <row r="498" ht="13.5" customHeight="1">
      <c r="E498" s="51"/>
      <c r="F498" s="12"/>
      <c r="K498" s="51"/>
    </row>
    <row r="499" ht="13.5" customHeight="1">
      <c r="E499" s="51"/>
      <c r="F499" s="12"/>
      <c r="K499" s="51"/>
    </row>
    <row r="500" ht="13.5" customHeight="1">
      <c r="E500" s="51"/>
      <c r="F500" s="12"/>
      <c r="K500" s="51"/>
    </row>
    <row r="501" ht="13.5" customHeight="1">
      <c r="E501" s="51"/>
      <c r="F501" s="12"/>
      <c r="K501" s="51"/>
    </row>
    <row r="502" ht="13.5" customHeight="1">
      <c r="E502" s="51"/>
      <c r="F502" s="12"/>
      <c r="K502" s="51"/>
    </row>
    <row r="503" ht="13.5" customHeight="1">
      <c r="E503" s="51"/>
      <c r="F503" s="12"/>
      <c r="K503" s="51"/>
    </row>
    <row r="504" ht="13.5" customHeight="1">
      <c r="E504" s="51"/>
      <c r="F504" s="12"/>
      <c r="K504" s="51"/>
    </row>
    <row r="505" ht="13.5" customHeight="1">
      <c r="E505" s="51"/>
      <c r="F505" s="12"/>
      <c r="K505" s="51"/>
    </row>
    <row r="506" ht="13.5" customHeight="1">
      <c r="E506" s="51"/>
      <c r="F506" s="12"/>
      <c r="K506" s="51"/>
    </row>
    <row r="507" ht="13.5" customHeight="1">
      <c r="E507" s="51"/>
      <c r="F507" s="12"/>
      <c r="K507" s="51"/>
    </row>
    <row r="508" ht="13.5" customHeight="1">
      <c r="E508" s="51"/>
      <c r="F508" s="12"/>
      <c r="K508" s="51"/>
    </row>
    <row r="509" ht="13.5" customHeight="1">
      <c r="E509" s="51"/>
      <c r="F509" s="12"/>
      <c r="K509" s="51"/>
    </row>
    <row r="510" ht="13.5" customHeight="1">
      <c r="E510" s="51"/>
      <c r="F510" s="12"/>
      <c r="K510" s="51"/>
    </row>
    <row r="511" ht="13.5" customHeight="1">
      <c r="E511" s="51"/>
      <c r="F511" s="12"/>
      <c r="K511" s="51"/>
    </row>
    <row r="512" ht="13.5" customHeight="1">
      <c r="E512" s="51"/>
      <c r="F512" s="12"/>
      <c r="K512" s="51"/>
    </row>
    <row r="513" ht="13.5" customHeight="1">
      <c r="E513" s="51"/>
      <c r="F513" s="12"/>
      <c r="K513" s="51"/>
    </row>
    <row r="514" ht="13.5" customHeight="1">
      <c r="E514" s="51"/>
      <c r="F514" s="12"/>
      <c r="K514" s="51"/>
    </row>
    <row r="515" ht="13.5" customHeight="1">
      <c r="E515" s="51"/>
      <c r="F515" s="12"/>
      <c r="K515" s="51"/>
    </row>
    <row r="516" ht="13.5" customHeight="1">
      <c r="E516" s="51"/>
      <c r="F516" s="12"/>
      <c r="K516" s="51"/>
    </row>
    <row r="517" ht="13.5" customHeight="1">
      <c r="E517" s="51"/>
      <c r="F517" s="12"/>
      <c r="K517" s="51"/>
    </row>
    <row r="518" ht="13.5" customHeight="1">
      <c r="E518" s="51"/>
      <c r="F518" s="12"/>
      <c r="K518" s="51"/>
    </row>
    <row r="519" ht="13.5" customHeight="1">
      <c r="E519" s="51"/>
      <c r="F519" s="12"/>
      <c r="K519" s="51"/>
    </row>
    <row r="520" ht="13.5" customHeight="1">
      <c r="E520" s="51"/>
      <c r="F520" s="12"/>
      <c r="K520" s="51"/>
    </row>
    <row r="521" ht="13.5" customHeight="1">
      <c r="E521" s="51"/>
      <c r="F521" s="12"/>
      <c r="K521" s="51"/>
    </row>
    <row r="522" ht="13.5" customHeight="1">
      <c r="E522" s="51"/>
      <c r="F522" s="12"/>
      <c r="K522" s="51"/>
    </row>
    <row r="523" ht="13.5" customHeight="1">
      <c r="E523" s="51"/>
      <c r="F523" s="12"/>
      <c r="K523" s="51"/>
    </row>
    <row r="524" ht="13.5" customHeight="1">
      <c r="E524" s="51"/>
      <c r="F524" s="12"/>
      <c r="K524" s="51"/>
    </row>
    <row r="525" ht="13.5" customHeight="1">
      <c r="E525" s="51"/>
      <c r="F525" s="12"/>
      <c r="K525" s="51"/>
    </row>
    <row r="526" ht="13.5" customHeight="1">
      <c r="E526" s="51"/>
      <c r="F526" s="12"/>
      <c r="K526" s="51"/>
    </row>
    <row r="527" ht="13.5" customHeight="1">
      <c r="E527" s="51"/>
      <c r="F527" s="12"/>
      <c r="K527" s="51"/>
    </row>
    <row r="528" ht="13.5" customHeight="1">
      <c r="E528" s="51"/>
      <c r="F528" s="12"/>
      <c r="K528" s="51"/>
    </row>
    <row r="529" ht="13.5" customHeight="1">
      <c r="E529" s="51"/>
      <c r="F529" s="12"/>
      <c r="K529" s="51"/>
    </row>
    <row r="530" ht="13.5" customHeight="1">
      <c r="E530" s="51"/>
      <c r="F530" s="12"/>
      <c r="K530" s="51"/>
    </row>
    <row r="531" ht="13.5" customHeight="1">
      <c r="E531" s="51"/>
      <c r="F531" s="12"/>
      <c r="K531" s="51"/>
    </row>
    <row r="532" ht="13.5" customHeight="1">
      <c r="E532" s="51"/>
      <c r="F532" s="12"/>
      <c r="K532" s="51"/>
    </row>
    <row r="533" ht="13.5" customHeight="1">
      <c r="E533" s="51"/>
      <c r="F533" s="12"/>
      <c r="K533" s="51"/>
    </row>
    <row r="534" ht="13.5" customHeight="1">
      <c r="E534" s="51"/>
      <c r="F534" s="12"/>
      <c r="K534" s="51"/>
    </row>
    <row r="535" ht="13.5" customHeight="1">
      <c r="E535" s="51"/>
      <c r="F535" s="12"/>
      <c r="K535" s="51"/>
    </row>
    <row r="536" ht="13.5" customHeight="1">
      <c r="E536" s="51"/>
      <c r="F536" s="12"/>
      <c r="K536" s="51"/>
    </row>
    <row r="537" ht="13.5" customHeight="1">
      <c r="E537" s="51"/>
      <c r="F537" s="12"/>
      <c r="K537" s="51"/>
    </row>
    <row r="538" ht="13.5" customHeight="1">
      <c r="E538" s="51"/>
      <c r="F538" s="12"/>
      <c r="K538" s="51"/>
    </row>
    <row r="539" ht="13.5" customHeight="1">
      <c r="E539" s="51"/>
      <c r="F539" s="12"/>
      <c r="K539" s="51"/>
    </row>
    <row r="540" ht="13.5" customHeight="1">
      <c r="E540" s="51"/>
      <c r="F540" s="12"/>
      <c r="K540" s="51"/>
    </row>
    <row r="541" ht="13.5" customHeight="1">
      <c r="E541" s="51"/>
      <c r="F541" s="12"/>
      <c r="K541" s="51"/>
    </row>
    <row r="542" ht="13.5" customHeight="1">
      <c r="E542" s="51"/>
      <c r="F542" s="12"/>
      <c r="K542" s="51"/>
    </row>
    <row r="543" ht="13.5" customHeight="1">
      <c r="E543" s="51"/>
      <c r="F543" s="12"/>
      <c r="K543" s="51"/>
    </row>
    <row r="544" ht="13.5" customHeight="1">
      <c r="E544" s="51"/>
      <c r="F544" s="12"/>
      <c r="K544" s="51"/>
    </row>
    <row r="545" ht="13.5" customHeight="1">
      <c r="E545" s="51"/>
      <c r="F545" s="12"/>
      <c r="K545" s="51"/>
    </row>
    <row r="546" ht="13.5" customHeight="1">
      <c r="E546" s="51"/>
      <c r="F546" s="12"/>
      <c r="K546" s="51"/>
    </row>
    <row r="547" ht="13.5" customHeight="1">
      <c r="E547" s="51"/>
      <c r="F547" s="12"/>
      <c r="K547" s="51"/>
    </row>
    <row r="548" ht="13.5" customHeight="1">
      <c r="E548" s="51"/>
      <c r="F548" s="12"/>
      <c r="K548" s="51"/>
    </row>
    <row r="549" ht="13.5" customHeight="1">
      <c r="E549" s="51"/>
      <c r="F549" s="12"/>
      <c r="K549" s="51"/>
    </row>
    <row r="550" ht="13.5" customHeight="1">
      <c r="E550" s="51"/>
      <c r="F550" s="12"/>
      <c r="K550" s="51"/>
    </row>
    <row r="551" ht="13.5" customHeight="1">
      <c r="E551" s="51"/>
      <c r="F551" s="12"/>
      <c r="K551" s="51"/>
    </row>
    <row r="552" ht="13.5" customHeight="1">
      <c r="E552" s="51"/>
      <c r="F552" s="12"/>
      <c r="K552" s="51"/>
    </row>
    <row r="553" ht="13.5" customHeight="1">
      <c r="E553" s="51"/>
      <c r="F553" s="12"/>
      <c r="K553" s="51"/>
    </row>
    <row r="554" ht="13.5" customHeight="1">
      <c r="E554" s="51"/>
      <c r="F554" s="12"/>
      <c r="K554" s="51"/>
    </row>
    <row r="555" ht="13.5" customHeight="1">
      <c r="E555" s="51"/>
      <c r="F555" s="12"/>
      <c r="K555" s="51"/>
    </row>
    <row r="556" ht="13.5" customHeight="1">
      <c r="E556" s="51"/>
      <c r="F556" s="12"/>
      <c r="K556" s="51"/>
    </row>
    <row r="557" ht="13.5" customHeight="1">
      <c r="E557" s="51"/>
      <c r="F557" s="12"/>
      <c r="K557" s="51"/>
    </row>
    <row r="558" ht="13.5" customHeight="1">
      <c r="E558" s="51"/>
      <c r="F558" s="12"/>
      <c r="K558" s="51"/>
    </row>
    <row r="559" ht="13.5" customHeight="1">
      <c r="E559" s="51"/>
      <c r="F559" s="12"/>
      <c r="K559" s="51"/>
    </row>
    <row r="560" ht="13.5" customHeight="1">
      <c r="E560" s="51"/>
      <c r="F560" s="12"/>
      <c r="K560" s="51"/>
    </row>
    <row r="561" ht="13.5" customHeight="1">
      <c r="E561" s="51"/>
      <c r="F561" s="12"/>
      <c r="K561" s="51"/>
    </row>
    <row r="562" ht="13.5" customHeight="1">
      <c r="E562" s="51"/>
      <c r="F562" s="12"/>
      <c r="K562" s="51"/>
    </row>
    <row r="563" ht="13.5" customHeight="1">
      <c r="E563" s="51"/>
      <c r="F563" s="12"/>
      <c r="K563" s="51"/>
    </row>
    <row r="564" ht="13.5" customHeight="1">
      <c r="E564" s="51"/>
      <c r="F564" s="12"/>
      <c r="K564" s="51"/>
    </row>
    <row r="565" ht="13.5" customHeight="1">
      <c r="E565" s="51"/>
      <c r="F565" s="12"/>
      <c r="K565" s="51"/>
    </row>
    <row r="566" ht="13.5" customHeight="1">
      <c r="E566" s="51"/>
      <c r="F566" s="12"/>
      <c r="K566" s="51"/>
    </row>
    <row r="567" ht="13.5" customHeight="1">
      <c r="E567" s="51"/>
      <c r="F567" s="12"/>
      <c r="K567" s="51"/>
    </row>
    <row r="568" ht="13.5" customHeight="1">
      <c r="E568" s="51"/>
      <c r="F568" s="12"/>
      <c r="K568" s="51"/>
    </row>
    <row r="569" ht="13.5" customHeight="1">
      <c r="E569" s="51"/>
      <c r="F569" s="12"/>
      <c r="K569" s="51"/>
    </row>
    <row r="570" ht="13.5" customHeight="1">
      <c r="E570" s="51"/>
      <c r="F570" s="12"/>
      <c r="K570" s="51"/>
    </row>
    <row r="571" ht="13.5" customHeight="1">
      <c r="E571" s="51"/>
      <c r="F571" s="12"/>
      <c r="K571" s="51"/>
    </row>
    <row r="572" ht="13.5" customHeight="1">
      <c r="E572" s="51"/>
      <c r="F572" s="12"/>
      <c r="K572" s="51"/>
    </row>
    <row r="573" ht="13.5" customHeight="1">
      <c r="E573" s="51"/>
      <c r="F573" s="12"/>
      <c r="K573" s="51"/>
    </row>
    <row r="574" ht="13.5" customHeight="1">
      <c r="E574" s="51"/>
      <c r="F574" s="12"/>
      <c r="K574" s="51"/>
    </row>
    <row r="575" ht="13.5" customHeight="1">
      <c r="E575" s="51"/>
      <c r="F575" s="12"/>
      <c r="K575" s="51"/>
    </row>
    <row r="576" ht="13.5" customHeight="1">
      <c r="E576" s="51"/>
      <c r="F576" s="12"/>
      <c r="K576" s="51"/>
    </row>
    <row r="577" ht="13.5" customHeight="1">
      <c r="E577" s="51"/>
      <c r="F577" s="12"/>
      <c r="K577" s="51"/>
    </row>
    <row r="578" ht="13.5" customHeight="1">
      <c r="E578" s="51"/>
      <c r="F578" s="12"/>
      <c r="K578" s="51"/>
    </row>
    <row r="579" ht="13.5" customHeight="1">
      <c r="E579" s="51"/>
      <c r="F579" s="12"/>
      <c r="K579" s="51"/>
    </row>
    <row r="580" ht="13.5" customHeight="1">
      <c r="E580" s="51"/>
      <c r="F580" s="12"/>
      <c r="K580" s="51"/>
    </row>
    <row r="581" ht="13.5" customHeight="1">
      <c r="E581" s="51"/>
      <c r="F581" s="12"/>
      <c r="K581" s="51"/>
    </row>
    <row r="582" ht="13.5" customHeight="1">
      <c r="E582" s="51"/>
      <c r="F582" s="12"/>
      <c r="K582" s="51"/>
    </row>
    <row r="583" ht="13.5" customHeight="1">
      <c r="E583" s="51"/>
      <c r="F583" s="12"/>
      <c r="K583" s="51"/>
    </row>
    <row r="584" ht="13.5" customHeight="1">
      <c r="E584" s="51"/>
      <c r="F584" s="12"/>
      <c r="K584" s="51"/>
    </row>
    <row r="585" ht="13.5" customHeight="1">
      <c r="E585" s="51"/>
      <c r="F585" s="12"/>
      <c r="K585" s="51"/>
    </row>
    <row r="586" ht="13.5" customHeight="1">
      <c r="E586" s="51"/>
      <c r="F586" s="12"/>
      <c r="K586" s="51"/>
    </row>
    <row r="587" ht="13.5" customHeight="1">
      <c r="E587" s="51"/>
      <c r="F587" s="12"/>
      <c r="K587" s="51"/>
    </row>
    <row r="588" ht="13.5" customHeight="1">
      <c r="E588" s="51"/>
      <c r="F588" s="12"/>
      <c r="K588" s="51"/>
    </row>
    <row r="589" ht="13.5" customHeight="1">
      <c r="E589" s="51"/>
      <c r="F589" s="12"/>
      <c r="K589" s="51"/>
    </row>
    <row r="590" ht="13.5" customHeight="1">
      <c r="E590" s="51"/>
      <c r="F590" s="12"/>
      <c r="K590" s="51"/>
    </row>
    <row r="591" ht="13.5" customHeight="1">
      <c r="E591" s="51"/>
      <c r="F591" s="12"/>
      <c r="K591" s="51"/>
    </row>
    <row r="592" ht="13.5" customHeight="1">
      <c r="E592" s="51"/>
      <c r="F592" s="12"/>
      <c r="K592" s="51"/>
    </row>
    <row r="593" ht="13.5" customHeight="1">
      <c r="E593" s="51"/>
      <c r="F593" s="12"/>
      <c r="K593" s="51"/>
    </row>
    <row r="594" ht="13.5" customHeight="1">
      <c r="E594" s="51"/>
      <c r="F594" s="12"/>
      <c r="K594" s="51"/>
    </row>
    <row r="595" ht="13.5" customHeight="1">
      <c r="E595" s="51"/>
      <c r="F595" s="12"/>
      <c r="K595" s="51"/>
    </row>
    <row r="596" ht="13.5" customHeight="1">
      <c r="E596" s="51"/>
      <c r="F596" s="12"/>
      <c r="K596" s="51"/>
    </row>
    <row r="597" ht="13.5" customHeight="1">
      <c r="E597" s="51"/>
      <c r="F597" s="12"/>
      <c r="K597" s="51"/>
    </row>
    <row r="598" ht="13.5" customHeight="1">
      <c r="E598" s="51"/>
      <c r="F598" s="12"/>
      <c r="K598" s="51"/>
    </row>
    <row r="599" ht="13.5" customHeight="1">
      <c r="E599" s="51"/>
      <c r="F599" s="12"/>
      <c r="K599" s="51"/>
    </row>
    <row r="600" ht="13.5" customHeight="1">
      <c r="E600" s="51"/>
      <c r="F600" s="12"/>
      <c r="K600" s="51"/>
    </row>
    <row r="601" ht="13.5" customHeight="1">
      <c r="E601" s="51"/>
      <c r="F601" s="12"/>
      <c r="K601" s="51"/>
    </row>
    <row r="602" ht="13.5" customHeight="1">
      <c r="E602" s="51"/>
      <c r="F602" s="12"/>
      <c r="K602" s="51"/>
    </row>
    <row r="603" ht="13.5" customHeight="1">
      <c r="E603" s="51"/>
      <c r="F603" s="12"/>
      <c r="K603" s="51"/>
    </row>
    <row r="604" ht="13.5" customHeight="1">
      <c r="E604" s="51"/>
      <c r="F604" s="12"/>
      <c r="K604" s="51"/>
    </row>
    <row r="605" ht="13.5" customHeight="1">
      <c r="E605" s="51"/>
      <c r="F605" s="12"/>
      <c r="K605" s="51"/>
    </row>
    <row r="606" ht="13.5" customHeight="1">
      <c r="E606" s="51"/>
      <c r="F606" s="12"/>
      <c r="K606" s="51"/>
    </row>
    <row r="607" ht="13.5" customHeight="1">
      <c r="E607" s="51"/>
      <c r="F607" s="12"/>
      <c r="K607" s="51"/>
    </row>
    <row r="608" ht="13.5" customHeight="1">
      <c r="E608" s="51"/>
      <c r="F608" s="12"/>
      <c r="K608" s="51"/>
    </row>
    <row r="609" ht="13.5" customHeight="1">
      <c r="E609" s="51"/>
      <c r="F609" s="12"/>
      <c r="K609" s="51"/>
    </row>
    <row r="610" ht="13.5" customHeight="1">
      <c r="E610" s="51"/>
      <c r="F610" s="12"/>
      <c r="K610" s="51"/>
    </row>
    <row r="611" ht="13.5" customHeight="1">
      <c r="E611" s="51"/>
      <c r="F611" s="12"/>
      <c r="K611" s="51"/>
    </row>
    <row r="612" ht="13.5" customHeight="1">
      <c r="E612" s="51"/>
      <c r="F612" s="12"/>
      <c r="K612" s="51"/>
    </row>
    <row r="613" ht="13.5" customHeight="1">
      <c r="E613" s="51"/>
      <c r="F613" s="12"/>
      <c r="K613" s="51"/>
    </row>
    <row r="614" ht="13.5" customHeight="1">
      <c r="E614" s="51"/>
      <c r="F614" s="12"/>
      <c r="K614" s="51"/>
    </row>
    <row r="615" ht="13.5" customHeight="1">
      <c r="E615" s="51"/>
      <c r="F615" s="12"/>
      <c r="K615" s="51"/>
    </row>
    <row r="616" ht="13.5" customHeight="1">
      <c r="E616" s="51"/>
      <c r="F616" s="12"/>
      <c r="K616" s="51"/>
    </row>
    <row r="617" ht="13.5" customHeight="1">
      <c r="E617" s="51"/>
      <c r="F617" s="12"/>
      <c r="K617" s="51"/>
    </row>
    <row r="618" ht="13.5" customHeight="1">
      <c r="E618" s="51"/>
      <c r="F618" s="12"/>
      <c r="K618" s="51"/>
    </row>
    <row r="619" ht="13.5" customHeight="1">
      <c r="E619" s="51"/>
      <c r="F619" s="12"/>
      <c r="K619" s="51"/>
    </row>
    <row r="620" ht="13.5" customHeight="1">
      <c r="E620" s="51"/>
      <c r="F620" s="12"/>
      <c r="K620" s="51"/>
    </row>
    <row r="621" ht="13.5" customHeight="1">
      <c r="E621" s="51"/>
      <c r="F621" s="12"/>
      <c r="K621" s="51"/>
    </row>
    <row r="622" ht="13.5" customHeight="1">
      <c r="E622" s="51"/>
      <c r="F622" s="12"/>
      <c r="K622" s="51"/>
    </row>
    <row r="623" ht="13.5" customHeight="1">
      <c r="E623" s="51"/>
      <c r="F623" s="12"/>
      <c r="K623" s="51"/>
    </row>
    <row r="624" ht="13.5" customHeight="1">
      <c r="E624" s="51"/>
      <c r="F624" s="12"/>
      <c r="K624" s="51"/>
    </row>
    <row r="625" ht="13.5" customHeight="1">
      <c r="E625" s="51"/>
      <c r="F625" s="12"/>
      <c r="K625" s="51"/>
    </row>
    <row r="626" ht="13.5" customHeight="1">
      <c r="E626" s="51"/>
      <c r="F626" s="12"/>
      <c r="K626" s="51"/>
    </row>
    <row r="627" ht="13.5" customHeight="1">
      <c r="E627" s="51"/>
      <c r="F627" s="12"/>
      <c r="K627" s="51"/>
    </row>
    <row r="628" ht="13.5" customHeight="1">
      <c r="E628" s="51"/>
      <c r="F628" s="12"/>
      <c r="K628" s="51"/>
    </row>
    <row r="629" ht="13.5" customHeight="1">
      <c r="E629" s="51"/>
      <c r="F629" s="12"/>
      <c r="K629" s="51"/>
    </row>
    <row r="630" ht="13.5" customHeight="1">
      <c r="E630" s="51"/>
      <c r="F630" s="12"/>
      <c r="K630" s="51"/>
    </row>
    <row r="631" ht="13.5" customHeight="1">
      <c r="E631" s="51"/>
      <c r="F631" s="12"/>
      <c r="K631" s="51"/>
    </row>
    <row r="632" ht="13.5" customHeight="1">
      <c r="E632" s="51"/>
      <c r="F632" s="12"/>
      <c r="K632" s="51"/>
    </row>
    <row r="633" ht="13.5" customHeight="1">
      <c r="E633" s="51"/>
      <c r="F633" s="12"/>
      <c r="K633" s="51"/>
    </row>
    <row r="634" ht="13.5" customHeight="1">
      <c r="E634" s="51"/>
      <c r="F634" s="12"/>
      <c r="K634" s="51"/>
    </row>
    <row r="635" ht="13.5" customHeight="1">
      <c r="E635" s="51"/>
      <c r="F635" s="12"/>
      <c r="K635" s="51"/>
    </row>
    <row r="636" ht="13.5" customHeight="1">
      <c r="E636" s="51"/>
      <c r="F636" s="12"/>
      <c r="K636" s="51"/>
    </row>
    <row r="637" ht="13.5" customHeight="1">
      <c r="E637" s="51"/>
      <c r="F637" s="12"/>
      <c r="K637" s="51"/>
    </row>
    <row r="638" ht="13.5" customHeight="1">
      <c r="E638" s="51"/>
      <c r="F638" s="12"/>
      <c r="K638" s="51"/>
    </row>
    <row r="639" ht="13.5" customHeight="1">
      <c r="E639" s="51"/>
      <c r="F639" s="12"/>
      <c r="K639" s="51"/>
    </row>
    <row r="640" ht="13.5" customHeight="1">
      <c r="E640" s="51"/>
      <c r="F640" s="12"/>
      <c r="K640" s="51"/>
    </row>
    <row r="641" ht="13.5" customHeight="1">
      <c r="E641" s="51"/>
      <c r="F641" s="12"/>
      <c r="K641" s="51"/>
    </row>
    <row r="642" ht="13.5" customHeight="1">
      <c r="E642" s="51"/>
      <c r="F642" s="12"/>
      <c r="K642" s="51"/>
    </row>
    <row r="643" ht="13.5" customHeight="1">
      <c r="E643" s="51"/>
      <c r="F643" s="12"/>
      <c r="K643" s="51"/>
    </row>
    <row r="644" ht="13.5" customHeight="1">
      <c r="E644" s="51"/>
      <c r="F644" s="12"/>
      <c r="K644" s="51"/>
    </row>
    <row r="645" ht="13.5" customHeight="1">
      <c r="E645" s="51"/>
      <c r="F645" s="12"/>
      <c r="K645" s="51"/>
    </row>
    <row r="646" ht="13.5" customHeight="1">
      <c r="E646" s="51"/>
      <c r="F646" s="12"/>
      <c r="K646" s="51"/>
    </row>
    <row r="647" ht="13.5" customHeight="1">
      <c r="E647" s="51"/>
      <c r="F647" s="12"/>
      <c r="K647" s="51"/>
    </row>
    <row r="648" ht="13.5" customHeight="1">
      <c r="E648" s="51"/>
      <c r="F648" s="12"/>
      <c r="K648" s="51"/>
    </row>
    <row r="649" ht="13.5" customHeight="1">
      <c r="E649" s="51"/>
      <c r="F649" s="12"/>
      <c r="K649" s="51"/>
    </row>
    <row r="650" ht="13.5" customHeight="1">
      <c r="E650" s="51"/>
      <c r="F650" s="12"/>
      <c r="K650" s="51"/>
    </row>
    <row r="651" ht="13.5" customHeight="1">
      <c r="E651" s="51"/>
      <c r="F651" s="12"/>
      <c r="K651" s="51"/>
    </row>
    <row r="652" ht="13.5" customHeight="1">
      <c r="E652" s="51"/>
      <c r="F652" s="12"/>
      <c r="K652" s="51"/>
    </row>
    <row r="653" ht="13.5" customHeight="1">
      <c r="E653" s="51"/>
      <c r="F653" s="12"/>
      <c r="K653" s="51"/>
    </row>
    <row r="654" ht="13.5" customHeight="1">
      <c r="E654" s="51"/>
      <c r="F654" s="12"/>
      <c r="K654" s="51"/>
    </row>
    <row r="655" ht="13.5" customHeight="1">
      <c r="E655" s="51"/>
      <c r="F655" s="12"/>
      <c r="K655" s="51"/>
    </row>
    <row r="656" ht="13.5" customHeight="1">
      <c r="E656" s="51"/>
      <c r="F656" s="12"/>
      <c r="K656" s="51"/>
    </row>
    <row r="657" ht="13.5" customHeight="1">
      <c r="E657" s="51"/>
      <c r="F657" s="12"/>
      <c r="K657" s="51"/>
    </row>
    <row r="658" ht="13.5" customHeight="1">
      <c r="E658" s="51"/>
      <c r="F658" s="12"/>
      <c r="K658" s="51"/>
    </row>
    <row r="659" ht="13.5" customHeight="1">
      <c r="E659" s="51"/>
      <c r="F659" s="12"/>
      <c r="K659" s="51"/>
    </row>
    <row r="660" ht="13.5" customHeight="1">
      <c r="E660" s="51"/>
      <c r="F660" s="12"/>
      <c r="K660" s="51"/>
    </row>
    <row r="661" ht="13.5" customHeight="1">
      <c r="E661" s="51"/>
      <c r="F661" s="12"/>
      <c r="K661" s="51"/>
    </row>
    <row r="662" ht="13.5" customHeight="1">
      <c r="E662" s="51"/>
      <c r="F662" s="12"/>
      <c r="K662" s="51"/>
    </row>
    <row r="663" ht="13.5" customHeight="1">
      <c r="E663" s="51"/>
      <c r="F663" s="12"/>
      <c r="K663" s="51"/>
    </row>
    <row r="664" ht="13.5" customHeight="1">
      <c r="E664" s="51"/>
      <c r="F664" s="12"/>
      <c r="K664" s="51"/>
    </row>
    <row r="665" ht="13.5" customHeight="1">
      <c r="E665" s="51"/>
      <c r="F665" s="12"/>
      <c r="K665" s="51"/>
    </row>
    <row r="666" ht="13.5" customHeight="1">
      <c r="E666" s="51"/>
      <c r="F666" s="12"/>
      <c r="K666" s="51"/>
    </row>
    <row r="667" ht="13.5" customHeight="1">
      <c r="E667" s="51"/>
      <c r="F667" s="12"/>
      <c r="K667" s="51"/>
    </row>
    <row r="668" ht="13.5" customHeight="1">
      <c r="E668" s="51"/>
      <c r="F668" s="12"/>
      <c r="K668" s="51"/>
    </row>
    <row r="669" ht="13.5" customHeight="1">
      <c r="E669" s="51"/>
      <c r="F669" s="12"/>
      <c r="K669" s="51"/>
    </row>
    <row r="670" ht="13.5" customHeight="1">
      <c r="E670" s="51"/>
      <c r="F670" s="12"/>
      <c r="K670" s="51"/>
    </row>
    <row r="671" ht="13.5" customHeight="1">
      <c r="E671" s="51"/>
      <c r="F671" s="12"/>
      <c r="K671" s="51"/>
    </row>
    <row r="672" ht="13.5" customHeight="1">
      <c r="E672" s="51"/>
      <c r="F672" s="12"/>
      <c r="K672" s="51"/>
    </row>
    <row r="673" ht="13.5" customHeight="1">
      <c r="E673" s="51"/>
      <c r="F673" s="12"/>
      <c r="K673" s="51"/>
    </row>
    <row r="674" ht="13.5" customHeight="1">
      <c r="E674" s="51"/>
      <c r="F674" s="12"/>
      <c r="K674" s="51"/>
    </row>
    <row r="675" ht="13.5" customHeight="1">
      <c r="E675" s="51"/>
      <c r="F675" s="12"/>
      <c r="K675" s="51"/>
    </row>
    <row r="676" ht="13.5" customHeight="1">
      <c r="E676" s="51"/>
      <c r="F676" s="12"/>
      <c r="K676" s="51"/>
    </row>
    <row r="677" ht="13.5" customHeight="1">
      <c r="E677" s="51"/>
      <c r="F677" s="12"/>
      <c r="K677" s="51"/>
    </row>
    <row r="678" ht="13.5" customHeight="1">
      <c r="E678" s="51"/>
      <c r="F678" s="12"/>
      <c r="K678" s="51"/>
    </row>
    <row r="679" ht="13.5" customHeight="1">
      <c r="E679" s="51"/>
      <c r="F679" s="12"/>
      <c r="K679" s="51"/>
    </row>
    <row r="680" ht="13.5" customHeight="1">
      <c r="E680" s="51"/>
      <c r="F680" s="12"/>
      <c r="K680" s="51"/>
    </row>
    <row r="681" ht="13.5" customHeight="1">
      <c r="E681" s="51"/>
      <c r="F681" s="12"/>
      <c r="K681" s="51"/>
    </row>
    <row r="682" ht="13.5" customHeight="1">
      <c r="E682" s="51"/>
      <c r="F682" s="12"/>
      <c r="K682" s="51"/>
    </row>
    <row r="683" ht="13.5" customHeight="1">
      <c r="E683" s="51"/>
      <c r="F683" s="12"/>
      <c r="K683" s="51"/>
    </row>
    <row r="684" ht="13.5" customHeight="1">
      <c r="E684" s="51"/>
      <c r="F684" s="12"/>
      <c r="K684" s="51"/>
    </row>
    <row r="685" ht="13.5" customHeight="1">
      <c r="E685" s="51"/>
      <c r="F685" s="12"/>
      <c r="K685" s="51"/>
    </row>
    <row r="686" ht="13.5" customHeight="1">
      <c r="E686" s="51"/>
      <c r="F686" s="12"/>
      <c r="K686" s="51"/>
    </row>
    <row r="687" ht="13.5" customHeight="1">
      <c r="E687" s="51"/>
      <c r="F687" s="12"/>
      <c r="K687" s="51"/>
    </row>
    <row r="688" ht="13.5" customHeight="1">
      <c r="E688" s="51"/>
      <c r="F688" s="12"/>
      <c r="K688" s="51"/>
    </row>
    <row r="689" ht="13.5" customHeight="1">
      <c r="E689" s="51"/>
      <c r="F689" s="12"/>
      <c r="K689" s="51"/>
    </row>
    <row r="690" ht="13.5" customHeight="1">
      <c r="E690" s="51"/>
      <c r="F690" s="12"/>
      <c r="K690" s="51"/>
    </row>
    <row r="691" ht="13.5" customHeight="1">
      <c r="E691" s="51"/>
      <c r="F691" s="12"/>
      <c r="K691" s="51"/>
    </row>
    <row r="692" ht="13.5" customHeight="1">
      <c r="E692" s="51"/>
      <c r="F692" s="12"/>
      <c r="K692" s="51"/>
    </row>
    <row r="693" ht="13.5" customHeight="1">
      <c r="E693" s="51"/>
      <c r="F693" s="12"/>
      <c r="K693" s="51"/>
    </row>
    <row r="694" ht="13.5" customHeight="1">
      <c r="E694" s="51"/>
      <c r="F694" s="12"/>
      <c r="K694" s="51"/>
    </row>
    <row r="695" ht="13.5" customHeight="1">
      <c r="E695" s="51"/>
      <c r="F695" s="12"/>
      <c r="K695" s="51"/>
    </row>
    <row r="696" ht="13.5" customHeight="1">
      <c r="E696" s="51"/>
      <c r="F696" s="12"/>
      <c r="K696" s="51"/>
    </row>
    <row r="697" ht="13.5" customHeight="1">
      <c r="E697" s="51"/>
      <c r="F697" s="12"/>
      <c r="K697" s="51"/>
    </row>
    <row r="698" ht="13.5" customHeight="1">
      <c r="E698" s="51"/>
      <c r="F698" s="12"/>
      <c r="K698" s="51"/>
    </row>
    <row r="699" ht="13.5" customHeight="1">
      <c r="E699" s="51"/>
      <c r="F699" s="12"/>
      <c r="K699" s="51"/>
    </row>
    <row r="700" ht="13.5" customHeight="1">
      <c r="E700" s="51"/>
      <c r="F700" s="12"/>
      <c r="K700" s="51"/>
    </row>
    <row r="701" ht="13.5" customHeight="1">
      <c r="E701" s="51"/>
      <c r="F701" s="12"/>
      <c r="K701" s="51"/>
    </row>
    <row r="702" ht="13.5" customHeight="1">
      <c r="E702" s="51"/>
      <c r="F702" s="12"/>
      <c r="K702" s="51"/>
    </row>
    <row r="703" ht="13.5" customHeight="1">
      <c r="E703" s="51"/>
      <c r="F703" s="12"/>
      <c r="K703" s="51"/>
    </row>
    <row r="704" ht="13.5" customHeight="1">
      <c r="E704" s="51"/>
      <c r="F704" s="12"/>
      <c r="K704" s="51"/>
    </row>
    <row r="705" ht="13.5" customHeight="1">
      <c r="E705" s="51"/>
      <c r="F705" s="12"/>
      <c r="K705" s="51"/>
    </row>
    <row r="706" ht="13.5" customHeight="1">
      <c r="E706" s="51"/>
      <c r="F706" s="12"/>
      <c r="K706" s="51"/>
    </row>
    <row r="707" ht="13.5" customHeight="1">
      <c r="E707" s="51"/>
      <c r="F707" s="12"/>
      <c r="K707" s="51"/>
    </row>
    <row r="708" ht="13.5" customHeight="1">
      <c r="E708" s="51"/>
      <c r="F708" s="12"/>
      <c r="K708" s="51"/>
    </row>
    <row r="709" ht="13.5" customHeight="1">
      <c r="E709" s="51"/>
      <c r="F709" s="12"/>
      <c r="K709" s="51"/>
    </row>
    <row r="710" ht="13.5" customHeight="1">
      <c r="E710" s="51"/>
      <c r="F710" s="12"/>
      <c r="K710" s="51"/>
    </row>
    <row r="711" ht="13.5" customHeight="1">
      <c r="E711" s="51"/>
      <c r="F711" s="12"/>
      <c r="K711" s="51"/>
    </row>
    <row r="712" ht="13.5" customHeight="1">
      <c r="E712" s="51"/>
      <c r="F712" s="12"/>
      <c r="K712" s="51"/>
    </row>
    <row r="713" ht="13.5" customHeight="1">
      <c r="E713" s="51"/>
      <c r="F713" s="12"/>
      <c r="K713" s="51"/>
    </row>
    <row r="714" ht="13.5" customHeight="1">
      <c r="E714" s="51"/>
      <c r="F714" s="12"/>
      <c r="K714" s="51"/>
    </row>
    <row r="715" ht="13.5" customHeight="1">
      <c r="E715" s="51"/>
      <c r="F715" s="12"/>
      <c r="K715" s="51"/>
    </row>
    <row r="716" ht="13.5" customHeight="1">
      <c r="E716" s="51"/>
      <c r="F716" s="12"/>
      <c r="K716" s="51"/>
    </row>
    <row r="717" ht="13.5" customHeight="1">
      <c r="E717" s="51"/>
      <c r="F717" s="12"/>
      <c r="K717" s="51"/>
    </row>
    <row r="718" ht="13.5" customHeight="1">
      <c r="E718" s="51"/>
      <c r="F718" s="12"/>
      <c r="K718" s="51"/>
    </row>
    <row r="719" ht="13.5" customHeight="1">
      <c r="E719" s="51"/>
      <c r="F719" s="12"/>
      <c r="K719" s="51"/>
    </row>
    <row r="720" ht="13.5" customHeight="1">
      <c r="E720" s="51"/>
      <c r="F720" s="12"/>
      <c r="K720" s="51"/>
    </row>
    <row r="721" ht="13.5" customHeight="1">
      <c r="E721" s="51"/>
      <c r="F721" s="12"/>
      <c r="K721" s="51"/>
    </row>
    <row r="722" ht="13.5" customHeight="1">
      <c r="E722" s="51"/>
      <c r="F722" s="12"/>
      <c r="K722" s="51"/>
    </row>
    <row r="723" ht="13.5" customHeight="1">
      <c r="E723" s="51"/>
      <c r="F723" s="12"/>
      <c r="K723" s="51"/>
    </row>
    <row r="724" ht="13.5" customHeight="1">
      <c r="E724" s="51"/>
      <c r="F724" s="12"/>
      <c r="K724" s="51"/>
    </row>
    <row r="725" ht="13.5" customHeight="1">
      <c r="E725" s="51"/>
      <c r="F725" s="12"/>
      <c r="K725" s="51"/>
    </row>
    <row r="726" ht="13.5" customHeight="1">
      <c r="E726" s="51"/>
      <c r="F726" s="12"/>
      <c r="K726" s="51"/>
    </row>
    <row r="727" ht="13.5" customHeight="1">
      <c r="E727" s="51"/>
      <c r="F727" s="12"/>
      <c r="K727" s="51"/>
    </row>
    <row r="728" ht="13.5" customHeight="1">
      <c r="E728" s="51"/>
      <c r="F728" s="12"/>
      <c r="K728" s="51"/>
    </row>
    <row r="729" ht="13.5" customHeight="1">
      <c r="E729" s="51"/>
      <c r="F729" s="12"/>
      <c r="K729" s="51"/>
    </row>
    <row r="730" ht="13.5" customHeight="1">
      <c r="E730" s="51"/>
      <c r="F730" s="12"/>
      <c r="K730" s="51"/>
    </row>
    <row r="731" ht="13.5" customHeight="1">
      <c r="E731" s="51"/>
      <c r="F731" s="12"/>
      <c r="K731" s="51"/>
    </row>
    <row r="732" ht="13.5" customHeight="1">
      <c r="E732" s="51"/>
      <c r="F732" s="12"/>
      <c r="K732" s="51"/>
    </row>
    <row r="733" ht="13.5" customHeight="1">
      <c r="E733" s="51"/>
      <c r="F733" s="12"/>
      <c r="K733" s="51"/>
    </row>
    <row r="734" ht="13.5" customHeight="1">
      <c r="E734" s="51"/>
      <c r="F734" s="12"/>
      <c r="K734" s="51"/>
    </row>
    <row r="735" ht="13.5" customHeight="1">
      <c r="E735" s="51"/>
      <c r="F735" s="12"/>
      <c r="K735" s="51"/>
    </row>
    <row r="736" ht="13.5" customHeight="1">
      <c r="E736" s="51"/>
      <c r="F736" s="12"/>
      <c r="K736" s="51"/>
    </row>
    <row r="737" ht="13.5" customHeight="1">
      <c r="E737" s="51"/>
      <c r="F737" s="12"/>
      <c r="K737" s="51"/>
    </row>
    <row r="738" ht="13.5" customHeight="1">
      <c r="E738" s="51"/>
      <c r="F738" s="12"/>
      <c r="K738" s="51"/>
    </row>
    <row r="739" ht="13.5" customHeight="1">
      <c r="E739" s="51"/>
      <c r="F739" s="12"/>
      <c r="K739" s="51"/>
    </row>
    <row r="740" ht="13.5" customHeight="1">
      <c r="E740" s="51"/>
      <c r="F740" s="12"/>
      <c r="K740" s="51"/>
    </row>
    <row r="741" ht="13.5" customHeight="1">
      <c r="E741" s="51"/>
      <c r="F741" s="12"/>
      <c r="K741" s="51"/>
    </row>
    <row r="742" ht="13.5" customHeight="1">
      <c r="E742" s="51"/>
      <c r="F742" s="12"/>
      <c r="K742" s="51"/>
    </row>
    <row r="743" ht="13.5" customHeight="1">
      <c r="E743" s="51"/>
      <c r="F743" s="12"/>
      <c r="K743" s="51"/>
    </row>
    <row r="744" ht="13.5" customHeight="1">
      <c r="E744" s="51"/>
      <c r="F744" s="12"/>
      <c r="K744" s="51"/>
    </row>
    <row r="745" ht="13.5" customHeight="1">
      <c r="E745" s="51"/>
      <c r="F745" s="12"/>
      <c r="K745" s="51"/>
    </row>
    <row r="746" ht="13.5" customHeight="1">
      <c r="E746" s="51"/>
      <c r="F746" s="12"/>
      <c r="K746" s="51"/>
    </row>
    <row r="747" ht="13.5" customHeight="1">
      <c r="E747" s="51"/>
      <c r="F747" s="12"/>
      <c r="K747" s="51"/>
    </row>
    <row r="748" ht="13.5" customHeight="1">
      <c r="E748" s="51"/>
      <c r="F748" s="12"/>
      <c r="K748" s="51"/>
    </row>
    <row r="749" ht="13.5" customHeight="1">
      <c r="E749" s="51"/>
      <c r="F749" s="12"/>
      <c r="K749" s="51"/>
    </row>
    <row r="750" ht="13.5" customHeight="1">
      <c r="E750" s="51"/>
      <c r="F750" s="12"/>
      <c r="K750" s="51"/>
    </row>
    <row r="751" ht="13.5" customHeight="1">
      <c r="E751" s="51"/>
      <c r="F751" s="12"/>
      <c r="K751" s="51"/>
    </row>
    <row r="752" ht="13.5" customHeight="1">
      <c r="E752" s="51"/>
      <c r="F752" s="12"/>
      <c r="K752" s="51"/>
    </row>
    <row r="753" ht="13.5" customHeight="1">
      <c r="E753" s="51"/>
      <c r="F753" s="12"/>
      <c r="K753" s="51"/>
    </row>
    <row r="754" ht="13.5" customHeight="1">
      <c r="E754" s="51"/>
      <c r="F754" s="12"/>
      <c r="K754" s="51"/>
    </row>
    <row r="755" ht="13.5" customHeight="1">
      <c r="E755" s="51"/>
      <c r="F755" s="12"/>
      <c r="K755" s="51"/>
    </row>
    <row r="756" ht="13.5" customHeight="1">
      <c r="E756" s="51"/>
      <c r="F756" s="12"/>
      <c r="K756" s="51"/>
    </row>
    <row r="757" ht="13.5" customHeight="1">
      <c r="E757" s="51"/>
      <c r="F757" s="12"/>
      <c r="K757" s="51"/>
    </row>
    <row r="758" ht="13.5" customHeight="1">
      <c r="E758" s="51"/>
      <c r="F758" s="12"/>
      <c r="K758" s="51"/>
    </row>
    <row r="759" ht="13.5" customHeight="1">
      <c r="E759" s="51"/>
      <c r="F759" s="12"/>
      <c r="K759" s="51"/>
    </row>
    <row r="760" ht="13.5" customHeight="1">
      <c r="E760" s="51"/>
      <c r="F760" s="12"/>
      <c r="K760" s="51"/>
    </row>
    <row r="761" ht="13.5" customHeight="1">
      <c r="E761" s="51"/>
      <c r="F761" s="12"/>
      <c r="K761" s="51"/>
    </row>
    <row r="762" ht="13.5" customHeight="1">
      <c r="E762" s="51"/>
      <c r="F762" s="12"/>
      <c r="K762" s="51"/>
    </row>
    <row r="763" ht="13.5" customHeight="1">
      <c r="E763" s="51"/>
      <c r="F763" s="12"/>
      <c r="K763" s="51"/>
    </row>
    <row r="764" ht="13.5" customHeight="1">
      <c r="E764" s="51"/>
      <c r="F764" s="12"/>
      <c r="K764" s="51"/>
    </row>
    <row r="765" ht="13.5" customHeight="1">
      <c r="E765" s="51"/>
      <c r="F765" s="12"/>
      <c r="K765" s="51"/>
    </row>
    <row r="766" ht="13.5" customHeight="1">
      <c r="E766" s="51"/>
      <c r="F766" s="12"/>
      <c r="K766" s="51"/>
    </row>
    <row r="767" ht="13.5" customHeight="1">
      <c r="E767" s="51"/>
      <c r="F767" s="12"/>
      <c r="K767" s="51"/>
    </row>
    <row r="768" ht="13.5" customHeight="1">
      <c r="E768" s="51"/>
      <c r="F768" s="12"/>
      <c r="K768" s="51"/>
    </row>
    <row r="769" ht="13.5" customHeight="1">
      <c r="E769" s="51"/>
      <c r="F769" s="12"/>
      <c r="K769" s="51"/>
    </row>
    <row r="770" ht="13.5" customHeight="1">
      <c r="E770" s="51"/>
      <c r="F770" s="12"/>
      <c r="K770" s="51"/>
    </row>
    <row r="771" ht="13.5" customHeight="1">
      <c r="E771" s="51"/>
      <c r="F771" s="12"/>
      <c r="K771" s="51"/>
    </row>
    <row r="772" ht="13.5" customHeight="1">
      <c r="E772" s="51"/>
      <c r="F772" s="12"/>
      <c r="K772" s="51"/>
    </row>
    <row r="773" ht="13.5" customHeight="1">
      <c r="E773" s="51"/>
      <c r="F773" s="12"/>
      <c r="K773" s="51"/>
    </row>
    <row r="774" ht="13.5" customHeight="1">
      <c r="E774" s="51"/>
      <c r="F774" s="12"/>
      <c r="K774" s="51"/>
    </row>
    <row r="775" ht="13.5" customHeight="1">
      <c r="E775" s="51"/>
      <c r="F775" s="12"/>
      <c r="K775" s="51"/>
    </row>
    <row r="776" ht="13.5" customHeight="1">
      <c r="E776" s="51"/>
      <c r="F776" s="12"/>
      <c r="K776" s="51"/>
    </row>
    <row r="777" ht="13.5" customHeight="1">
      <c r="E777" s="51"/>
      <c r="F777" s="12"/>
      <c r="K777" s="51"/>
    </row>
    <row r="778" ht="13.5" customHeight="1">
      <c r="E778" s="51"/>
      <c r="F778" s="12"/>
      <c r="K778" s="51"/>
    </row>
    <row r="779" ht="13.5" customHeight="1">
      <c r="E779" s="51"/>
      <c r="F779" s="12"/>
      <c r="K779" s="51"/>
    </row>
    <row r="780" ht="13.5" customHeight="1">
      <c r="E780" s="51"/>
      <c r="F780" s="12"/>
      <c r="K780" s="51"/>
    </row>
    <row r="781" ht="13.5" customHeight="1">
      <c r="E781" s="51"/>
      <c r="F781" s="12"/>
      <c r="K781" s="51"/>
    </row>
    <row r="782" ht="13.5" customHeight="1">
      <c r="E782" s="51"/>
      <c r="F782" s="12"/>
      <c r="K782" s="51"/>
    </row>
    <row r="783" ht="13.5" customHeight="1">
      <c r="E783" s="51"/>
      <c r="F783" s="12"/>
      <c r="K783" s="51"/>
    </row>
    <row r="784" ht="13.5" customHeight="1">
      <c r="E784" s="51"/>
      <c r="F784" s="12"/>
      <c r="K784" s="51"/>
    </row>
    <row r="785" ht="13.5" customHeight="1">
      <c r="E785" s="51"/>
      <c r="F785" s="12"/>
      <c r="K785" s="51"/>
    </row>
    <row r="786" ht="13.5" customHeight="1">
      <c r="E786" s="51"/>
      <c r="F786" s="12"/>
      <c r="K786" s="51"/>
    </row>
    <row r="787" ht="13.5" customHeight="1">
      <c r="E787" s="51"/>
      <c r="F787" s="12"/>
      <c r="K787" s="51"/>
    </row>
    <row r="788" ht="13.5" customHeight="1">
      <c r="E788" s="51"/>
      <c r="F788" s="12"/>
      <c r="K788" s="51"/>
    </row>
    <row r="789" ht="13.5" customHeight="1">
      <c r="E789" s="51"/>
      <c r="F789" s="12"/>
      <c r="K789" s="51"/>
    </row>
    <row r="790" ht="13.5" customHeight="1">
      <c r="E790" s="51"/>
      <c r="F790" s="12"/>
      <c r="K790" s="51"/>
    </row>
    <row r="791" ht="13.5" customHeight="1">
      <c r="E791" s="51"/>
      <c r="F791" s="12"/>
      <c r="K791" s="51"/>
    </row>
    <row r="792" ht="13.5" customHeight="1">
      <c r="E792" s="51"/>
      <c r="F792" s="12"/>
      <c r="K792" s="51"/>
    </row>
    <row r="793" ht="13.5" customHeight="1">
      <c r="E793" s="51"/>
      <c r="F793" s="12"/>
      <c r="K793" s="51"/>
    </row>
    <row r="794" ht="13.5" customHeight="1">
      <c r="E794" s="51"/>
      <c r="F794" s="12"/>
      <c r="K794" s="51"/>
    </row>
    <row r="795" ht="13.5" customHeight="1">
      <c r="E795" s="51"/>
      <c r="F795" s="12"/>
      <c r="K795" s="51"/>
    </row>
    <row r="796" ht="13.5" customHeight="1">
      <c r="E796" s="51"/>
      <c r="F796" s="12"/>
      <c r="K796" s="51"/>
    </row>
    <row r="797" ht="13.5" customHeight="1">
      <c r="E797" s="51"/>
      <c r="F797" s="12"/>
      <c r="K797" s="51"/>
    </row>
    <row r="798" ht="13.5" customHeight="1">
      <c r="E798" s="51"/>
      <c r="F798" s="12"/>
      <c r="K798" s="51"/>
    </row>
    <row r="799" ht="13.5" customHeight="1">
      <c r="E799" s="51"/>
      <c r="F799" s="12"/>
      <c r="K799" s="51"/>
    </row>
    <row r="800" ht="13.5" customHeight="1">
      <c r="E800" s="51"/>
      <c r="F800" s="12"/>
      <c r="K800" s="51"/>
    </row>
    <row r="801" ht="13.5" customHeight="1">
      <c r="E801" s="51"/>
      <c r="F801" s="12"/>
      <c r="K801" s="51"/>
    </row>
    <row r="802" ht="13.5" customHeight="1">
      <c r="E802" s="51"/>
      <c r="F802" s="12"/>
      <c r="K802" s="51"/>
    </row>
    <row r="803" ht="13.5" customHeight="1">
      <c r="E803" s="51"/>
      <c r="F803" s="12"/>
      <c r="K803" s="51"/>
    </row>
    <row r="804" ht="13.5" customHeight="1">
      <c r="E804" s="51"/>
      <c r="F804" s="12"/>
      <c r="K804" s="51"/>
    </row>
    <row r="805" ht="13.5" customHeight="1">
      <c r="E805" s="51"/>
      <c r="F805" s="12"/>
      <c r="K805" s="51"/>
    </row>
    <row r="806" ht="13.5" customHeight="1">
      <c r="E806" s="51"/>
      <c r="F806" s="12"/>
      <c r="K806" s="51"/>
    </row>
    <row r="807" ht="13.5" customHeight="1">
      <c r="E807" s="51"/>
      <c r="F807" s="12"/>
      <c r="K807" s="51"/>
    </row>
    <row r="808" ht="13.5" customHeight="1">
      <c r="E808" s="51"/>
      <c r="F808" s="12"/>
      <c r="K808" s="51"/>
    </row>
    <row r="809" ht="13.5" customHeight="1">
      <c r="E809" s="51"/>
      <c r="F809" s="12"/>
      <c r="K809" s="51"/>
    </row>
    <row r="810" ht="13.5" customHeight="1">
      <c r="E810" s="51"/>
      <c r="F810" s="12"/>
      <c r="K810" s="51"/>
    </row>
    <row r="811" ht="13.5" customHeight="1">
      <c r="E811" s="51"/>
      <c r="F811" s="12"/>
      <c r="K811" s="51"/>
    </row>
    <row r="812" ht="13.5" customHeight="1">
      <c r="E812" s="51"/>
      <c r="F812" s="12"/>
      <c r="K812" s="51"/>
    </row>
    <row r="813" ht="13.5" customHeight="1">
      <c r="E813" s="51"/>
      <c r="F813" s="12"/>
      <c r="K813" s="51"/>
    </row>
    <row r="814" ht="13.5" customHeight="1">
      <c r="E814" s="51"/>
      <c r="F814" s="12"/>
      <c r="K814" s="51"/>
    </row>
    <row r="815" ht="13.5" customHeight="1">
      <c r="E815" s="51"/>
      <c r="F815" s="12"/>
      <c r="K815" s="51"/>
    </row>
    <row r="816" ht="13.5" customHeight="1">
      <c r="E816" s="51"/>
      <c r="F816" s="12"/>
      <c r="K816" s="51"/>
    </row>
    <row r="817" ht="13.5" customHeight="1">
      <c r="E817" s="51"/>
      <c r="F817" s="12"/>
      <c r="K817" s="51"/>
    </row>
    <row r="818" ht="13.5" customHeight="1">
      <c r="E818" s="51"/>
      <c r="F818" s="12"/>
      <c r="K818" s="51"/>
    </row>
    <row r="819" ht="13.5" customHeight="1">
      <c r="E819" s="51"/>
      <c r="F819" s="12"/>
      <c r="K819" s="51"/>
    </row>
    <row r="820" ht="13.5" customHeight="1">
      <c r="E820" s="51"/>
      <c r="F820" s="12"/>
      <c r="K820" s="51"/>
    </row>
    <row r="821" ht="13.5" customHeight="1">
      <c r="E821" s="51"/>
      <c r="F821" s="12"/>
      <c r="K821" s="51"/>
    </row>
    <row r="822" ht="13.5" customHeight="1">
      <c r="E822" s="51"/>
      <c r="F822" s="12"/>
      <c r="K822" s="51"/>
    </row>
    <row r="823" ht="13.5" customHeight="1">
      <c r="E823" s="51"/>
      <c r="F823" s="12"/>
      <c r="K823" s="51"/>
    </row>
    <row r="824" ht="13.5" customHeight="1">
      <c r="E824" s="51"/>
      <c r="F824" s="12"/>
      <c r="K824" s="51"/>
    </row>
    <row r="825" ht="13.5" customHeight="1">
      <c r="E825" s="51"/>
      <c r="F825" s="12"/>
      <c r="K825" s="51"/>
    </row>
    <row r="826" ht="13.5" customHeight="1">
      <c r="E826" s="51"/>
      <c r="F826" s="12"/>
      <c r="K826" s="51"/>
    </row>
    <row r="827" ht="13.5" customHeight="1">
      <c r="E827" s="51"/>
      <c r="F827" s="12"/>
      <c r="K827" s="51"/>
    </row>
    <row r="828" ht="13.5" customHeight="1">
      <c r="E828" s="51"/>
      <c r="F828" s="12"/>
      <c r="K828" s="51"/>
    </row>
    <row r="829" ht="13.5" customHeight="1">
      <c r="E829" s="51"/>
      <c r="F829" s="12"/>
      <c r="K829" s="51"/>
    </row>
    <row r="830" ht="13.5" customHeight="1">
      <c r="E830" s="51"/>
      <c r="F830" s="12"/>
      <c r="K830" s="51"/>
    </row>
    <row r="831" ht="13.5" customHeight="1">
      <c r="E831" s="51"/>
      <c r="F831" s="12"/>
      <c r="K831" s="51"/>
    </row>
    <row r="832" ht="13.5" customHeight="1">
      <c r="E832" s="51"/>
      <c r="F832" s="12"/>
      <c r="K832" s="51"/>
    </row>
    <row r="833" ht="13.5" customHeight="1">
      <c r="E833" s="51"/>
      <c r="F833" s="12"/>
      <c r="K833" s="51"/>
    </row>
    <row r="834" ht="13.5" customHeight="1">
      <c r="E834" s="51"/>
      <c r="F834" s="12"/>
      <c r="K834" s="51"/>
    </row>
    <row r="835" ht="13.5" customHeight="1">
      <c r="E835" s="51"/>
      <c r="F835" s="12"/>
      <c r="K835" s="51"/>
    </row>
    <row r="836" ht="13.5" customHeight="1">
      <c r="E836" s="51"/>
      <c r="F836" s="12"/>
      <c r="K836" s="51"/>
    </row>
    <row r="837" ht="13.5" customHeight="1">
      <c r="E837" s="51"/>
      <c r="F837" s="12"/>
      <c r="K837" s="51"/>
    </row>
    <row r="838" ht="13.5" customHeight="1">
      <c r="E838" s="51"/>
      <c r="F838" s="12"/>
      <c r="K838" s="51"/>
    </row>
    <row r="839" ht="13.5" customHeight="1">
      <c r="E839" s="51"/>
      <c r="F839" s="12"/>
      <c r="K839" s="51"/>
    </row>
    <row r="840" ht="13.5" customHeight="1">
      <c r="E840" s="51"/>
      <c r="F840" s="12"/>
      <c r="K840" s="51"/>
    </row>
    <row r="841" ht="13.5" customHeight="1">
      <c r="E841" s="51"/>
      <c r="F841" s="12"/>
      <c r="K841" s="51"/>
    </row>
    <row r="842" ht="13.5" customHeight="1">
      <c r="E842" s="51"/>
      <c r="F842" s="12"/>
      <c r="K842" s="51"/>
    </row>
    <row r="843" ht="13.5" customHeight="1">
      <c r="E843" s="51"/>
      <c r="F843" s="12"/>
      <c r="K843" s="51"/>
    </row>
    <row r="844" ht="13.5" customHeight="1">
      <c r="E844" s="51"/>
      <c r="F844" s="12"/>
      <c r="K844" s="51"/>
    </row>
    <row r="845" ht="13.5" customHeight="1">
      <c r="E845" s="51"/>
      <c r="F845" s="12"/>
      <c r="K845" s="51"/>
    </row>
    <row r="846" ht="13.5" customHeight="1">
      <c r="E846" s="51"/>
      <c r="F846" s="12"/>
      <c r="K846" s="51"/>
    </row>
    <row r="847" ht="13.5" customHeight="1">
      <c r="E847" s="51"/>
      <c r="F847" s="12"/>
      <c r="K847" s="51"/>
    </row>
    <row r="848" ht="13.5" customHeight="1">
      <c r="E848" s="51"/>
      <c r="F848" s="12"/>
      <c r="K848" s="51"/>
    </row>
    <row r="849" ht="13.5" customHeight="1">
      <c r="E849" s="51"/>
      <c r="F849" s="12"/>
      <c r="K849" s="51"/>
    </row>
    <row r="850" ht="13.5" customHeight="1">
      <c r="E850" s="51"/>
      <c r="F850" s="12"/>
      <c r="K850" s="51"/>
    </row>
    <row r="851" ht="13.5" customHeight="1">
      <c r="E851" s="51"/>
      <c r="F851" s="12"/>
      <c r="K851" s="51"/>
    </row>
    <row r="852" ht="13.5" customHeight="1">
      <c r="E852" s="51"/>
      <c r="F852" s="12"/>
      <c r="K852" s="51"/>
    </row>
    <row r="853" ht="13.5" customHeight="1">
      <c r="E853" s="51"/>
      <c r="F853" s="12"/>
      <c r="K853" s="51"/>
    </row>
    <row r="854" ht="13.5" customHeight="1">
      <c r="E854" s="51"/>
      <c r="F854" s="12"/>
      <c r="K854" s="51"/>
    </row>
    <row r="855" ht="13.5" customHeight="1">
      <c r="E855" s="51"/>
      <c r="F855" s="12"/>
      <c r="K855" s="51"/>
    </row>
    <row r="856" ht="13.5" customHeight="1">
      <c r="E856" s="51"/>
      <c r="F856" s="12"/>
      <c r="K856" s="51"/>
    </row>
    <row r="857" ht="13.5" customHeight="1">
      <c r="E857" s="51"/>
      <c r="F857" s="12"/>
      <c r="K857" s="51"/>
    </row>
    <row r="858" ht="13.5" customHeight="1">
      <c r="E858" s="51"/>
      <c r="F858" s="12"/>
      <c r="K858" s="51"/>
    </row>
    <row r="859" ht="13.5" customHeight="1">
      <c r="E859" s="51"/>
      <c r="F859" s="12"/>
      <c r="K859" s="51"/>
    </row>
    <row r="860" ht="13.5" customHeight="1">
      <c r="E860" s="51"/>
      <c r="F860" s="12"/>
      <c r="K860" s="51"/>
    </row>
    <row r="861" ht="13.5" customHeight="1">
      <c r="E861" s="51"/>
      <c r="F861" s="12"/>
      <c r="K861" s="51"/>
    </row>
    <row r="862" ht="13.5" customHeight="1">
      <c r="E862" s="51"/>
      <c r="F862" s="12"/>
      <c r="K862" s="51"/>
    </row>
    <row r="863" ht="13.5" customHeight="1">
      <c r="E863" s="51"/>
      <c r="F863" s="12"/>
      <c r="K863" s="51"/>
    </row>
    <row r="864" ht="13.5" customHeight="1">
      <c r="E864" s="51"/>
      <c r="F864" s="12"/>
      <c r="K864" s="51"/>
    </row>
    <row r="865" ht="13.5" customHeight="1">
      <c r="E865" s="51"/>
      <c r="F865" s="12"/>
      <c r="K865" s="51"/>
    </row>
    <row r="866" ht="13.5" customHeight="1">
      <c r="E866" s="51"/>
      <c r="F866" s="12"/>
      <c r="K866" s="51"/>
    </row>
    <row r="867" ht="13.5" customHeight="1">
      <c r="E867" s="51"/>
      <c r="F867" s="12"/>
      <c r="K867" s="51"/>
    </row>
    <row r="868" ht="13.5" customHeight="1">
      <c r="E868" s="51"/>
      <c r="F868" s="12"/>
      <c r="K868" s="51"/>
    </row>
    <row r="869" ht="13.5" customHeight="1">
      <c r="E869" s="51"/>
      <c r="F869" s="12"/>
      <c r="K869" s="51"/>
    </row>
    <row r="870" ht="13.5" customHeight="1">
      <c r="E870" s="51"/>
      <c r="F870" s="12"/>
      <c r="K870" s="51"/>
    </row>
    <row r="871" ht="13.5" customHeight="1">
      <c r="E871" s="51"/>
      <c r="F871" s="12"/>
      <c r="K871" s="51"/>
    </row>
    <row r="872" ht="13.5" customHeight="1">
      <c r="E872" s="51"/>
      <c r="F872" s="12"/>
      <c r="K872" s="51"/>
    </row>
    <row r="873" ht="13.5" customHeight="1">
      <c r="E873" s="51"/>
      <c r="F873" s="12"/>
      <c r="K873" s="51"/>
    </row>
    <row r="874" ht="13.5" customHeight="1">
      <c r="E874" s="51"/>
      <c r="F874" s="12"/>
      <c r="K874" s="51"/>
    </row>
    <row r="875" ht="13.5" customHeight="1">
      <c r="E875" s="51"/>
      <c r="F875" s="12"/>
      <c r="K875" s="51"/>
    </row>
    <row r="876" ht="13.5" customHeight="1">
      <c r="E876" s="51"/>
      <c r="F876" s="12"/>
      <c r="K876" s="51"/>
    </row>
    <row r="877" ht="13.5" customHeight="1">
      <c r="E877" s="51"/>
      <c r="F877" s="12"/>
      <c r="K877" s="51"/>
    </row>
    <row r="878" ht="13.5" customHeight="1">
      <c r="E878" s="51"/>
      <c r="F878" s="12"/>
      <c r="K878" s="51"/>
    </row>
    <row r="879" ht="13.5" customHeight="1">
      <c r="E879" s="51"/>
      <c r="F879" s="12"/>
      <c r="K879" s="51"/>
    </row>
    <row r="880" ht="13.5" customHeight="1">
      <c r="E880" s="51"/>
      <c r="F880" s="12"/>
      <c r="K880" s="51"/>
    </row>
    <row r="881" ht="13.5" customHeight="1">
      <c r="E881" s="51"/>
      <c r="F881" s="12"/>
      <c r="K881" s="51"/>
    </row>
    <row r="882" ht="13.5" customHeight="1">
      <c r="E882" s="51"/>
      <c r="F882" s="12"/>
      <c r="K882" s="51"/>
    </row>
    <row r="883" ht="13.5" customHeight="1">
      <c r="E883" s="51"/>
      <c r="F883" s="12"/>
      <c r="K883" s="51"/>
    </row>
    <row r="884" ht="13.5" customHeight="1">
      <c r="E884" s="51"/>
      <c r="F884" s="12"/>
      <c r="K884" s="51"/>
    </row>
    <row r="885" ht="13.5" customHeight="1">
      <c r="E885" s="51"/>
      <c r="F885" s="12"/>
      <c r="K885" s="51"/>
    </row>
    <row r="886" ht="13.5" customHeight="1">
      <c r="E886" s="51"/>
      <c r="F886" s="12"/>
      <c r="K886" s="51"/>
    </row>
    <row r="887" ht="13.5" customHeight="1">
      <c r="E887" s="51"/>
      <c r="F887" s="12"/>
      <c r="K887" s="51"/>
    </row>
    <row r="888" ht="13.5" customHeight="1">
      <c r="E888" s="51"/>
      <c r="F888" s="12"/>
      <c r="K888" s="51"/>
    </row>
    <row r="889" ht="13.5" customHeight="1">
      <c r="E889" s="51"/>
      <c r="F889" s="12"/>
      <c r="K889" s="51"/>
    </row>
    <row r="890" ht="13.5" customHeight="1">
      <c r="E890" s="51"/>
      <c r="F890" s="12"/>
      <c r="K890" s="51"/>
    </row>
    <row r="891" ht="13.5" customHeight="1">
      <c r="E891" s="51"/>
      <c r="F891" s="12"/>
      <c r="K891" s="51"/>
    </row>
    <row r="892" ht="13.5" customHeight="1">
      <c r="E892" s="51"/>
      <c r="F892" s="12"/>
      <c r="K892" s="51"/>
    </row>
    <row r="893" ht="13.5" customHeight="1">
      <c r="E893" s="51"/>
      <c r="F893" s="12"/>
      <c r="K893" s="51"/>
    </row>
    <row r="894" ht="13.5" customHeight="1">
      <c r="E894" s="51"/>
      <c r="F894" s="12"/>
      <c r="K894" s="51"/>
    </row>
    <row r="895" ht="13.5" customHeight="1">
      <c r="E895" s="51"/>
      <c r="F895" s="12"/>
      <c r="K895" s="51"/>
    </row>
    <row r="896" ht="13.5" customHeight="1">
      <c r="E896" s="51"/>
      <c r="F896" s="12"/>
      <c r="K896" s="51"/>
    </row>
    <row r="897" ht="13.5" customHeight="1">
      <c r="E897" s="51"/>
      <c r="F897" s="12"/>
      <c r="K897" s="51"/>
    </row>
    <row r="898" ht="13.5" customHeight="1">
      <c r="E898" s="51"/>
      <c r="F898" s="12"/>
      <c r="K898" s="51"/>
    </row>
    <row r="899" ht="13.5" customHeight="1">
      <c r="E899" s="51"/>
      <c r="F899" s="12"/>
      <c r="K899" s="51"/>
    </row>
    <row r="900" ht="13.5" customHeight="1">
      <c r="E900" s="51"/>
      <c r="F900" s="12"/>
      <c r="K900" s="51"/>
    </row>
    <row r="901" ht="13.5" customHeight="1">
      <c r="E901" s="51"/>
      <c r="F901" s="12"/>
      <c r="K901" s="51"/>
    </row>
    <row r="902" ht="13.5" customHeight="1">
      <c r="E902" s="51"/>
      <c r="F902" s="12"/>
      <c r="K902" s="51"/>
    </row>
    <row r="903" ht="13.5" customHeight="1">
      <c r="E903" s="51"/>
      <c r="F903" s="12"/>
      <c r="K903" s="51"/>
    </row>
    <row r="904" ht="13.5" customHeight="1">
      <c r="E904" s="51"/>
      <c r="F904" s="12"/>
      <c r="K904" s="51"/>
    </row>
    <row r="905" ht="13.5" customHeight="1">
      <c r="E905" s="51"/>
      <c r="F905" s="12"/>
      <c r="K905" s="51"/>
    </row>
    <row r="906" ht="13.5" customHeight="1">
      <c r="E906" s="51"/>
      <c r="F906" s="12"/>
      <c r="K906" s="51"/>
    </row>
    <row r="907" ht="13.5" customHeight="1">
      <c r="E907" s="51"/>
      <c r="F907" s="12"/>
      <c r="K907" s="51"/>
    </row>
    <row r="908" ht="13.5" customHeight="1">
      <c r="E908" s="51"/>
      <c r="F908" s="12"/>
      <c r="K908" s="51"/>
    </row>
    <row r="909" ht="13.5" customHeight="1">
      <c r="E909" s="51"/>
      <c r="F909" s="12"/>
      <c r="K909" s="51"/>
    </row>
    <row r="910" ht="13.5" customHeight="1">
      <c r="E910" s="51"/>
      <c r="F910" s="12"/>
      <c r="K910" s="51"/>
    </row>
    <row r="911" ht="13.5" customHeight="1">
      <c r="E911" s="51"/>
      <c r="F911" s="12"/>
      <c r="K911" s="51"/>
    </row>
    <row r="912" ht="13.5" customHeight="1">
      <c r="E912" s="51"/>
      <c r="F912" s="12"/>
      <c r="K912" s="51"/>
    </row>
    <row r="913" ht="13.5" customHeight="1">
      <c r="E913" s="51"/>
      <c r="F913" s="12"/>
      <c r="K913" s="51"/>
    </row>
    <row r="914" ht="13.5" customHeight="1">
      <c r="E914" s="51"/>
      <c r="F914" s="12"/>
      <c r="K914" s="51"/>
    </row>
    <row r="915" ht="13.5" customHeight="1">
      <c r="E915" s="51"/>
      <c r="F915" s="12"/>
      <c r="K915" s="51"/>
    </row>
    <row r="916" ht="13.5" customHeight="1">
      <c r="E916" s="51"/>
      <c r="F916" s="12"/>
      <c r="K916" s="51"/>
    </row>
    <row r="917" ht="13.5" customHeight="1">
      <c r="E917" s="51"/>
      <c r="F917" s="12"/>
      <c r="K917" s="51"/>
    </row>
    <row r="918" ht="13.5" customHeight="1">
      <c r="E918" s="51"/>
      <c r="F918" s="12"/>
      <c r="K918" s="51"/>
    </row>
    <row r="919" ht="13.5" customHeight="1">
      <c r="E919" s="51"/>
      <c r="F919" s="12"/>
      <c r="K919" s="51"/>
    </row>
    <row r="920" ht="13.5" customHeight="1">
      <c r="E920" s="51"/>
      <c r="F920" s="12"/>
      <c r="K920" s="51"/>
    </row>
    <row r="921" ht="13.5" customHeight="1">
      <c r="E921" s="51"/>
      <c r="F921" s="12"/>
      <c r="K921" s="51"/>
    </row>
    <row r="922" ht="13.5" customHeight="1">
      <c r="E922" s="51"/>
      <c r="F922" s="12"/>
      <c r="K922" s="51"/>
    </row>
    <row r="923" ht="13.5" customHeight="1">
      <c r="E923" s="51"/>
      <c r="F923" s="12"/>
      <c r="K923" s="51"/>
    </row>
    <row r="924" ht="13.5" customHeight="1">
      <c r="E924" s="51"/>
      <c r="F924" s="12"/>
      <c r="K924" s="51"/>
    </row>
    <row r="925" ht="13.5" customHeight="1">
      <c r="E925" s="51"/>
      <c r="F925" s="12"/>
      <c r="K925" s="51"/>
    </row>
    <row r="926" ht="13.5" customHeight="1">
      <c r="E926" s="51"/>
      <c r="F926" s="12"/>
      <c r="K926" s="51"/>
    </row>
    <row r="927" ht="13.5" customHeight="1">
      <c r="E927" s="51"/>
      <c r="F927" s="12"/>
      <c r="K927" s="51"/>
    </row>
    <row r="928" ht="13.5" customHeight="1">
      <c r="E928" s="51"/>
      <c r="F928" s="12"/>
      <c r="K928" s="51"/>
    </row>
    <row r="929" ht="13.5" customHeight="1">
      <c r="E929" s="51"/>
      <c r="F929" s="12"/>
      <c r="K929" s="51"/>
    </row>
    <row r="930" ht="13.5" customHeight="1">
      <c r="E930" s="51"/>
      <c r="F930" s="12"/>
      <c r="K930" s="51"/>
    </row>
    <row r="931" ht="13.5" customHeight="1">
      <c r="E931" s="51"/>
      <c r="F931" s="12"/>
      <c r="K931" s="51"/>
    </row>
    <row r="932" ht="13.5" customHeight="1">
      <c r="E932" s="51"/>
      <c r="F932" s="12"/>
      <c r="K932" s="51"/>
    </row>
    <row r="933" ht="13.5" customHeight="1">
      <c r="E933" s="51"/>
      <c r="F933" s="12"/>
      <c r="K933" s="51"/>
    </row>
    <row r="934" ht="13.5" customHeight="1">
      <c r="E934" s="51"/>
      <c r="F934" s="12"/>
      <c r="K934" s="51"/>
    </row>
    <row r="935" ht="13.5" customHeight="1">
      <c r="E935" s="51"/>
      <c r="F935" s="12"/>
      <c r="K935" s="51"/>
    </row>
    <row r="936" ht="13.5" customHeight="1">
      <c r="E936" s="51"/>
      <c r="F936" s="12"/>
      <c r="K936" s="51"/>
    </row>
    <row r="937" ht="13.5" customHeight="1">
      <c r="E937" s="51"/>
      <c r="F937" s="12"/>
      <c r="K937" s="51"/>
    </row>
    <row r="938" ht="13.5" customHeight="1">
      <c r="E938" s="51"/>
      <c r="F938" s="12"/>
      <c r="K938" s="51"/>
    </row>
    <row r="939" ht="13.5" customHeight="1">
      <c r="E939" s="51"/>
      <c r="F939" s="12"/>
      <c r="K939" s="51"/>
    </row>
    <row r="940" ht="13.5" customHeight="1">
      <c r="E940" s="51"/>
      <c r="F940" s="12"/>
      <c r="K940" s="51"/>
    </row>
    <row r="941" ht="13.5" customHeight="1">
      <c r="E941" s="51"/>
      <c r="F941" s="12"/>
      <c r="K941" s="51"/>
    </row>
    <row r="942" ht="13.5" customHeight="1">
      <c r="E942" s="51"/>
      <c r="F942" s="12"/>
      <c r="K942" s="51"/>
    </row>
    <row r="943" ht="13.5" customHeight="1">
      <c r="E943" s="51"/>
      <c r="F943" s="12"/>
      <c r="K943" s="51"/>
    </row>
    <row r="944" ht="13.5" customHeight="1">
      <c r="E944" s="51"/>
      <c r="F944" s="12"/>
      <c r="K944" s="51"/>
    </row>
    <row r="945" ht="13.5" customHeight="1">
      <c r="E945" s="51"/>
      <c r="F945" s="12"/>
      <c r="K945" s="51"/>
    </row>
    <row r="946" ht="13.5" customHeight="1">
      <c r="E946" s="51"/>
      <c r="F946" s="12"/>
      <c r="K946" s="51"/>
    </row>
    <row r="947" ht="13.5" customHeight="1">
      <c r="E947" s="51"/>
      <c r="F947" s="12"/>
      <c r="K947" s="51"/>
    </row>
    <row r="948" ht="13.5" customHeight="1">
      <c r="E948" s="51"/>
      <c r="F948" s="12"/>
      <c r="K948" s="51"/>
    </row>
    <row r="949" ht="13.5" customHeight="1">
      <c r="E949" s="51"/>
      <c r="F949" s="12"/>
      <c r="K949" s="51"/>
    </row>
    <row r="950" ht="13.5" customHeight="1">
      <c r="E950" s="51"/>
      <c r="F950" s="12"/>
      <c r="K950" s="51"/>
    </row>
    <row r="951" ht="13.5" customHeight="1">
      <c r="E951" s="51"/>
      <c r="F951" s="12"/>
      <c r="K951" s="51"/>
    </row>
    <row r="952" ht="13.5" customHeight="1">
      <c r="E952" s="51"/>
      <c r="F952" s="12"/>
      <c r="K952" s="51"/>
    </row>
    <row r="953" ht="13.5" customHeight="1">
      <c r="E953" s="51"/>
      <c r="F953" s="12"/>
      <c r="K953" s="51"/>
    </row>
    <row r="954" ht="13.5" customHeight="1">
      <c r="E954" s="51"/>
      <c r="F954" s="12"/>
      <c r="K954" s="51"/>
    </row>
    <row r="955" ht="13.5" customHeight="1">
      <c r="E955" s="51"/>
      <c r="F955" s="12"/>
      <c r="K955" s="51"/>
    </row>
    <row r="956" ht="13.5" customHeight="1">
      <c r="E956" s="51"/>
      <c r="F956" s="12"/>
      <c r="K956" s="51"/>
    </row>
    <row r="957" ht="13.5" customHeight="1">
      <c r="E957" s="51"/>
      <c r="F957" s="12"/>
      <c r="K957" s="51"/>
    </row>
    <row r="958" ht="13.5" customHeight="1">
      <c r="E958" s="51"/>
      <c r="F958" s="12"/>
      <c r="K958" s="51"/>
    </row>
    <row r="959" ht="13.5" customHeight="1">
      <c r="E959" s="51"/>
      <c r="F959" s="12"/>
      <c r="K959" s="51"/>
    </row>
    <row r="960" ht="13.5" customHeight="1">
      <c r="E960" s="51"/>
      <c r="F960" s="12"/>
      <c r="K960" s="51"/>
    </row>
    <row r="961" ht="13.5" customHeight="1">
      <c r="E961" s="51"/>
      <c r="F961" s="12"/>
      <c r="K961" s="51"/>
    </row>
    <row r="962" ht="13.5" customHeight="1">
      <c r="E962" s="51"/>
      <c r="F962" s="12"/>
      <c r="K962" s="51"/>
    </row>
    <row r="963" ht="13.5" customHeight="1">
      <c r="E963" s="51"/>
      <c r="F963" s="12"/>
      <c r="K963" s="51"/>
    </row>
    <row r="964" ht="13.5" customHeight="1">
      <c r="E964" s="51"/>
      <c r="F964" s="12"/>
      <c r="K964" s="51"/>
    </row>
    <row r="965" ht="13.5" customHeight="1">
      <c r="E965" s="51"/>
      <c r="F965" s="12"/>
      <c r="K965" s="51"/>
    </row>
    <row r="966" ht="13.5" customHeight="1">
      <c r="E966" s="51"/>
      <c r="F966" s="12"/>
      <c r="K966" s="51"/>
    </row>
    <row r="967" ht="13.5" customHeight="1">
      <c r="E967" s="51"/>
      <c r="F967" s="12"/>
      <c r="K967" s="51"/>
    </row>
    <row r="968" ht="13.5" customHeight="1">
      <c r="E968" s="51"/>
      <c r="F968" s="12"/>
      <c r="K968" s="51"/>
    </row>
    <row r="969" ht="13.5" customHeight="1">
      <c r="E969" s="51"/>
      <c r="F969" s="12"/>
      <c r="K969" s="51"/>
    </row>
    <row r="970" ht="13.5" customHeight="1">
      <c r="E970" s="51"/>
      <c r="F970" s="12"/>
      <c r="K970" s="51"/>
    </row>
    <row r="971" ht="13.5" customHeight="1">
      <c r="E971" s="51"/>
      <c r="F971" s="12"/>
      <c r="K971" s="51"/>
    </row>
    <row r="972" ht="13.5" customHeight="1">
      <c r="E972" s="51"/>
      <c r="F972" s="12"/>
      <c r="K972" s="51"/>
    </row>
    <row r="973" ht="13.5" customHeight="1">
      <c r="E973" s="51"/>
      <c r="F973" s="12"/>
      <c r="K973" s="51"/>
    </row>
    <row r="974" ht="13.5" customHeight="1">
      <c r="E974" s="51"/>
      <c r="F974" s="12"/>
      <c r="K974" s="51"/>
    </row>
    <row r="975" ht="13.5" customHeight="1">
      <c r="E975" s="51"/>
      <c r="F975" s="12"/>
      <c r="K975" s="51"/>
    </row>
    <row r="976" ht="13.5" customHeight="1">
      <c r="E976" s="51"/>
      <c r="F976" s="12"/>
      <c r="K976" s="51"/>
    </row>
    <row r="977" ht="13.5" customHeight="1">
      <c r="E977" s="51"/>
      <c r="F977" s="12"/>
      <c r="K977" s="51"/>
    </row>
    <row r="978" ht="13.5" customHeight="1">
      <c r="E978" s="51"/>
      <c r="F978" s="12"/>
      <c r="K978" s="51"/>
    </row>
    <row r="979" ht="13.5" customHeight="1">
      <c r="E979" s="51"/>
      <c r="F979" s="12"/>
      <c r="K979" s="51"/>
    </row>
    <row r="980" ht="13.5" customHeight="1">
      <c r="E980" s="51"/>
      <c r="F980" s="12"/>
      <c r="K980" s="51"/>
    </row>
    <row r="981" ht="13.5" customHeight="1">
      <c r="E981" s="51"/>
      <c r="F981" s="12"/>
      <c r="K981" s="51"/>
    </row>
    <row r="982" ht="13.5" customHeight="1">
      <c r="E982" s="51"/>
      <c r="F982" s="12"/>
      <c r="K982" s="51"/>
    </row>
    <row r="983" ht="13.5" customHeight="1">
      <c r="E983" s="51"/>
      <c r="F983" s="12"/>
      <c r="K983" s="51"/>
    </row>
    <row r="984" ht="13.5" customHeight="1">
      <c r="E984" s="51"/>
      <c r="F984" s="12"/>
      <c r="K984" s="51"/>
    </row>
    <row r="985" ht="13.5" customHeight="1">
      <c r="E985" s="51"/>
      <c r="F985" s="12"/>
      <c r="K985" s="51"/>
    </row>
    <row r="986" ht="13.5" customHeight="1">
      <c r="E986" s="51"/>
      <c r="F986" s="12"/>
      <c r="K986" s="51"/>
    </row>
    <row r="987" ht="13.5" customHeight="1">
      <c r="E987" s="51"/>
      <c r="F987" s="12"/>
      <c r="K987" s="51"/>
    </row>
    <row r="988" ht="13.5" customHeight="1">
      <c r="E988" s="51"/>
      <c r="F988" s="12"/>
      <c r="K988" s="51"/>
    </row>
    <row r="989" ht="13.5" customHeight="1">
      <c r="E989" s="51"/>
      <c r="F989" s="12"/>
      <c r="K989" s="51"/>
    </row>
    <row r="990" ht="13.5" customHeight="1">
      <c r="E990" s="51"/>
      <c r="F990" s="12"/>
      <c r="K990" s="51"/>
    </row>
    <row r="991" ht="13.5" customHeight="1">
      <c r="E991" s="51"/>
      <c r="F991" s="12"/>
      <c r="K991" s="51"/>
    </row>
    <row r="992" ht="13.5" customHeight="1">
      <c r="E992" s="51"/>
      <c r="F992" s="12"/>
      <c r="K992" s="51"/>
    </row>
    <row r="993" ht="13.5" customHeight="1">
      <c r="E993" s="51"/>
      <c r="F993" s="12"/>
      <c r="K993" s="51"/>
    </row>
    <row r="994" ht="13.5" customHeight="1">
      <c r="E994" s="51"/>
      <c r="F994" s="12"/>
      <c r="K994" s="51"/>
    </row>
    <row r="995" ht="13.5" customHeight="1">
      <c r="E995" s="51"/>
      <c r="F995" s="12"/>
      <c r="K995" s="51"/>
    </row>
    <row r="996" ht="13.5" customHeight="1">
      <c r="E996" s="51"/>
      <c r="F996" s="12"/>
      <c r="K996" s="51"/>
    </row>
    <row r="997" ht="13.5" customHeight="1">
      <c r="E997" s="51"/>
      <c r="F997" s="12"/>
      <c r="K997" s="51"/>
    </row>
    <row r="998" ht="13.5" customHeight="1">
      <c r="E998" s="51"/>
      <c r="F998" s="12"/>
      <c r="K998" s="51"/>
    </row>
    <row r="999" ht="13.5" customHeight="1">
      <c r="E999" s="51"/>
      <c r="F999" s="12"/>
      <c r="K999" s="51"/>
    </row>
    <row r="1000" ht="13.5" customHeight="1">
      <c r="E1000" s="51"/>
      <c r="F1000" s="12"/>
      <c r="K1000" s="51"/>
    </row>
  </sheetData>
  <autoFilter ref="$A$1:$C$64"/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8.0"/>
    <col customWidth="1" min="8" max="9" width="18.25"/>
    <col customWidth="1" min="10" max="26" width="8.63"/>
  </cols>
  <sheetData>
    <row r="1" ht="13.5" customHeight="1">
      <c r="A1" s="50" t="s">
        <v>0</v>
      </c>
      <c r="B1" s="50" t="s">
        <v>1</v>
      </c>
      <c r="C1" s="50" t="s">
        <v>2</v>
      </c>
      <c r="D1" s="50" t="s">
        <v>158</v>
      </c>
      <c r="E1" s="50" t="s">
        <v>82</v>
      </c>
      <c r="F1" s="50" t="s">
        <v>743</v>
      </c>
      <c r="G1" s="50" t="s">
        <v>83</v>
      </c>
      <c r="H1" s="50" t="s">
        <v>744</v>
      </c>
      <c r="J1" s="50" t="s">
        <v>745</v>
      </c>
      <c r="K1" s="50" t="s">
        <v>5</v>
      </c>
      <c r="L1" s="50" t="s">
        <v>746</v>
      </c>
    </row>
    <row r="2" ht="13.5" customHeight="1">
      <c r="A2" s="50">
        <v>44.0</v>
      </c>
      <c r="B2" s="50" t="s">
        <v>20</v>
      </c>
      <c r="C2" s="50">
        <v>1040109.0</v>
      </c>
      <c r="D2" s="50">
        <v>9.1003684E8</v>
      </c>
      <c r="E2" s="241">
        <v>45672.0</v>
      </c>
      <c r="F2" s="241">
        <v>45672.0</v>
      </c>
      <c r="G2" s="50">
        <v>297.44</v>
      </c>
      <c r="H2" s="259">
        <v>297.44</v>
      </c>
      <c r="K2" s="50" t="s">
        <v>747</v>
      </c>
      <c r="L2" s="50" t="s">
        <v>748</v>
      </c>
    </row>
    <row r="3" ht="13.5" customHeight="1">
      <c r="A3" s="50">
        <v>45.0</v>
      </c>
      <c r="B3" s="50" t="s">
        <v>20</v>
      </c>
      <c r="C3" s="50">
        <v>1040109.0</v>
      </c>
      <c r="D3" s="50">
        <v>9.10036841E8</v>
      </c>
      <c r="E3" s="241">
        <v>45672.0</v>
      </c>
      <c r="F3" s="241">
        <v>45672.0</v>
      </c>
      <c r="G3" s="50">
        <v>297.44</v>
      </c>
      <c r="H3" s="259">
        <v>297.44</v>
      </c>
      <c r="K3" s="50" t="s">
        <v>747</v>
      </c>
      <c r="L3" s="50" t="s">
        <v>748</v>
      </c>
    </row>
    <row r="4" ht="13.5" customHeight="1">
      <c r="A4" s="50">
        <v>48.0</v>
      </c>
      <c r="B4" s="50" t="s">
        <v>20</v>
      </c>
      <c r="C4" s="50">
        <v>1040109.0</v>
      </c>
      <c r="D4" s="50">
        <v>9.10036817E8</v>
      </c>
      <c r="E4" s="241">
        <v>45672.0</v>
      </c>
      <c r="F4" s="241">
        <v>45672.0</v>
      </c>
      <c r="G4" s="50">
        <v>297.44</v>
      </c>
      <c r="H4" s="259">
        <v>297.44</v>
      </c>
      <c r="K4" s="50" t="s">
        <v>747</v>
      </c>
      <c r="L4" s="50" t="s">
        <v>748</v>
      </c>
    </row>
    <row r="5" ht="13.5" customHeight="1">
      <c r="A5" s="50">
        <v>49.0</v>
      </c>
      <c r="B5" s="50" t="s">
        <v>20</v>
      </c>
      <c r="C5" s="50">
        <v>1040109.0</v>
      </c>
      <c r="D5" s="50">
        <v>9.10036816E8</v>
      </c>
      <c r="E5" s="241">
        <v>45672.0</v>
      </c>
      <c r="F5" s="241">
        <v>45672.0</v>
      </c>
      <c r="G5" s="50">
        <v>297.44</v>
      </c>
      <c r="H5" s="50">
        <v>297.44</v>
      </c>
      <c r="K5" s="50" t="s">
        <v>747</v>
      </c>
      <c r="L5" s="50" t="s">
        <v>748</v>
      </c>
    </row>
    <row r="6" ht="13.5" customHeight="1">
      <c r="A6" s="50">
        <v>50.0</v>
      </c>
      <c r="B6" s="50" t="s">
        <v>20</v>
      </c>
      <c r="C6" s="50">
        <v>1040109.0</v>
      </c>
      <c r="D6" s="50">
        <v>9.10036818E8</v>
      </c>
      <c r="E6" s="241">
        <v>45672.0</v>
      </c>
      <c r="F6" s="241">
        <v>45672.0</v>
      </c>
      <c r="G6" s="50">
        <v>297.44</v>
      </c>
      <c r="H6" s="50">
        <v>297.44</v>
      </c>
      <c r="K6" s="50" t="s">
        <v>747</v>
      </c>
      <c r="L6" s="50" t="s">
        <v>748</v>
      </c>
    </row>
    <row r="7" ht="13.5" customHeight="1">
      <c r="A7" s="50">
        <v>52.0</v>
      </c>
      <c r="B7" s="50" t="s">
        <v>20</v>
      </c>
      <c r="C7" s="50">
        <v>1040109.0</v>
      </c>
      <c r="D7" s="50">
        <v>3.30418801E8</v>
      </c>
      <c r="E7" s="241">
        <v>45672.0</v>
      </c>
      <c r="F7" s="241">
        <v>45672.0</v>
      </c>
      <c r="G7" s="50">
        <v>297.44</v>
      </c>
      <c r="H7" s="50">
        <v>1189.75</v>
      </c>
      <c r="K7" s="50" t="s">
        <v>747</v>
      </c>
      <c r="L7" s="50" t="s">
        <v>748</v>
      </c>
    </row>
    <row r="8" ht="13.5" customHeight="1">
      <c r="A8" s="50">
        <v>89.0</v>
      </c>
      <c r="B8" s="50" t="s">
        <v>20</v>
      </c>
      <c r="C8" s="50">
        <v>1040109.0</v>
      </c>
      <c r="D8" s="50">
        <v>1.210000017E9</v>
      </c>
      <c r="E8" s="241">
        <v>45672.0</v>
      </c>
      <c r="F8" s="241">
        <v>45672.0</v>
      </c>
      <c r="G8" s="50">
        <v>297.44</v>
      </c>
      <c r="H8" s="50">
        <v>297.44</v>
      </c>
      <c r="K8" s="50" t="s">
        <v>747</v>
      </c>
      <c r="L8" s="50" t="s">
        <v>748</v>
      </c>
    </row>
    <row r="9" ht="13.5" customHeight="1">
      <c r="A9" s="50">
        <v>90.0</v>
      </c>
      <c r="B9" s="50" t="s">
        <v>20</v>
      </c>
      <c r="C9" s="50">
        <v>1040109.0</v>
      </c>
      <c r="D9" s="50">
        <v>9.1003679E8</v>
      </c>
      <c r="E9" s="241">
        <v>45672.0</v>
      </c>
      <c r="F9" s="241">
        <v>45672.0</v>
      </c>
      <c r="G9" s="50">
        <v>297.44</v>
      </c>
      <c r="K9" s="50" t="s">
        <v>749</v>
      </c>
      <c r="L9" s="50" t="s">
        <v>748</v>
      </c>
    </row>
    <row r="10" ht="13.5" customHeight="1">
      <c r="A10" s="50">
        <v>47.0</v>
      </c>
      <c r="B10" s="50" t="s">
        <v>20</v>
      </c>
      <c r="C10" s="50">
        <v>1040109.0</v>
      </c>
      <c r="D10" s="50">
        <v>9.10036839E8</v>
      </c>
      <c r="E10" s="241">
        <v>45672.0</v>
      </c>
      <c r="F10" s="241">
        <v>45672.0</v>
      </c>
      <c r="G10" s="50">
        <v>297.43</v>
      </c>
      <c r="H10" s="259">
        <v>297.43</v>
      </c>
      <c r="K10" s="50" t="s">
        <v>747</v>
      </c>
    </row>
    <row r="11" ht="13.5" customHeight="1">
      <c r="G11" s="50">
        <f t="shared" ref="G11:H11" si="1">SUM(G2:G10)</f>
        <v>2676.95</v>
      </c>
      <c r="H11" s="50">
        <f t="shared" si="1"/>
        <v>3271.82</v>
      </c>
      <c r="I11" s="50">
        <f>H11-G11</f>
        <v>594.87</v>
      </c>
      <c r="L11" s="50" t="s">
        <v>748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15.88"/>
    <col customWidth="1" min="3" max="3" width="8.0"/>
    <col customWidth="1" min="4" max="4" width="17.25"/>
    <col customWidth="1" min="5" max="5" width="16.63"/>
    <col customWidth="1" min="6" max="6" width="26.75"/>
    <col customWidth="1" min="7" max="7" width="22.75"/>
    <col customWidth="1" min="8" max="8" width="30.13"/>
    <col customWidth="1" min="9" max="9" width="28.25"/>
    <col customWidth="1" min="10" max="10" width="16.63"/>
    <col customWidth="1" min="11" max="11" width="12.88"/>
    <col customWidth="1" min="12" max="26" width="8.63"/>
  </cols>
  <sheetData>
    <row r="1" ht="24.75" customHeight="1">
      <c r="A1" s="110" t="s">
        <v>0</v>
      </c>
      <c r="B1" s="111" t="s">
        <v>1</v>
      </c>
      <c r="C1" s="111" t="s">
        <v>2</v>
      </c>
      <c r="D1" s="111" t="s">
        <v>82</v>
      </c>
      <c r="E1" s="112" t="s">
        <v>83</v>
      </c>
      <c r="F1" s="111" t="s">
        <v>84</v>
      </c>
      <c r="G1" s="111" t="s">
        <v>5</v>
      </c>
      <c r="H1" s="114" t="s">
        <v>6</v>
      </c>
      <c r="I1" s="115" t="s">
        <v>7</v>
      </c>
      <c r="J1" s="116" t="s">
        <v>54</v>
      </c>
      <c r="K1" s="260"/>
      <c r="L1" s="260"/>
      <c r="M1" s="260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3.5" customHeight="1">
      <c r="A2" s="261">
        <v>1.0</v>
      </c>
      <c r="B2" s="50" t="s">
        <v>9</v>
      </c>
      <c r="C2" s="50">
        <v>2130870.0</v>
      </c>
      <c r="D2" s="117">
        <v>45523.0</v>
      </c>
      <c r="E2" s="51">
        <v>12932.32</v>
      </c>
      <c r="F2" s="262" t="s">
        <v>750</v>
      </c>
      <c r="G2" s="262" t="s">
        <v>11</v>
      </c>
      <c r="H2" s="263"/>
      <c r="I2" s="264">
        <v>163702.0</v>
      </c>
      <c r="J2" s="265">
        <v>26497.649999999998</v>
      </c>
    </row>
    <row r="3" ht="14.25" customHeight="1">
      <c r="A3" s="266">
        <v>4.0</v>
      </c>
      <c r="B3" s="255" t="s">
        <v>9</v>
      </c>
      <c r="C3" s="255">
        <v>2130870.0</v>
      </c>
      <c r="D3" s="267">
        <v>45523.0</v>
      </c>
      <c r="E3" s="257">
        <v>8465728.77</v>
      </c>
      <c r="F3" s="268" t="s">
        <v>751</v>
      </c>
      <c r="G3" s="268" t="s">
        <v>11</v>
      </c>
      <c r="H3" s="269"/>
      <c r="I3" s="270">
        <v>163703.0</v>
      </c>
      <c r="J3" s="271">
        <v>866514.27</v>
      </c>
      <c r="K3" s="272" t="str">
        <f>J3+#REF!-E8-E9</f>
        <v>#REF!</v>
      </c>
    </row>
    <row r="4" ht="13.5" customHeight="1">
      <c r="A4" s="273">
        <v>12.0</v>
      </c>
      <c r="B4" s="273" t="s">
        <v>20</v>
      </c>
      <c r="C4" s="273">
        <v>1170470.0</v>
      </c>
      <c r="D4" s="274">
        <v>45523.0</v>
      </c>
      <c r="E4" s="275">
        <v>104.0</v>
      </c>
      <c r="F4" s="276" t="s">
        <v>752</v>
      </c>
      <c r="G4" s="276" t="s">
        <v>11</v>
      </c>
      <c r="H4" s="262"/>
      <c r="I4" s="277">
        <v>163704.0</v>
      </c>
      <c r="J4" s="278">
        <v>1342.44</v>
      </c>
    </row>
    <row r="5" ht="13.5" customHeight="1">
      <c r="A5" s="279">
        <v>16.0</v>
      </c>
      <c r="B5" s="279" t="s">
        <v>20</v>
      </c>
      <c r="C5" s="279">
        <v>1200393.0</v>
      </c>
      <c r="D5" s="280">
        <v>45523.0</v>
      </c>
      <c r="E5" s="281">
        <v>1151.52</v>
      </c>
      <c r="F5" s="282"/>
      <c r="G5" s="282" t="s">
        <v>11</v>
      </c>
      <c r="H5" s="262"/>
      <c r="I5" s="283">
        <v>163706.0</v>
      </c>
      <c r="J5" s="281">
        <v>33260.880000000005</v>
      </c>
    </row>
    <row r="6" ht="13.5" customHeight="1">
      <c r="A6" s="284">
        <v>18.0</v>
      </c>
      <c r="B6" s="284" t="s">
        <v>20</v>
      </c>
      <c r="C6" s="284">
        <v>1200393.0</v>
      </c>
      <c r="D6" s="285">
        <v>45523.0</v>
      </c>
      <c r="E6" s="265">
        <v>1888.83</v>
      </c>
      <c r="F6" s="286"/>
      <c r="G6" s="286" t="s">
        <v>11</v>
      </c>
      <c r="H6" s="262"/>
      <c r="I6" s="287">
        <v>163724.0</v>
      </c>
      <c r="J6" s="148">
        <v>1177.5</v>
      </c>
    </row>
    <row r="7" ht="13.5" customHeight="1">
      <c r="A7" s="284">
        <v>20.0</v>
      </c>
      <c r="B7" s="284" t="s">
        <v>20</v>
      </c>
      <c r="C7" s="284">
        <v>1040211.0</v>
      </c>
      <c r="D7" s="285">
        <v>45523.0</v>
      </c>
      <c r="E7" s="265">
        <v>24608.82</v>
      </c>
      <c r="F7" s="286"/>
      <c r="G7" s="286" t="s">
        <v>11</v>
      </c>
      <c r="H7" s="262"/>
      <c r="I7" s="288">
        <v>163725.0</v>
      </c>
      <c r="J7" s="289">
        <v>95316.83</v>
      </c>
      <c r="K7" s="51"/>
    </row>
    <row r="8" ht="13.5" customHeight="1">
      <c r="A8" s="290">
        <v>21.0</v>
      </c>
      <c r="B8" s="290" t="s">
        <v>20</v>
      </c>
      <c r="C8" s="290">
        <v>1200393.0</v>
      </c>
      <c r="D8" s="291">
        <v>45523.0</v>
      </c>
      <c r="E8" s="271">
        <v>3598.34</v>
      </c>
      <c r="F8" s="292" t="s">
        <v>752</v>
      </c>
      <c r="G8" s="292" t="s">
        <v>11</v>
      </c>
      <c r="H8" s="262"/>
      <c r="I8" s="293">
        <v>163742.0</v>
      </c>
      <c r="J8" s="119">
        <v>23356.07</v>
      </c>
    </row>
    <row r="9" ht="13.5" customHeight="1">
      <c r="A9" s="290">
        <v>22.0</v>
      </c>
      <c r="B9" s="290" t="s">
        <v>20</v>
      </c>
      <c r="C9" s="290">
        <v>1040211.0</v>
      </c>
      <c r="D9" s="291">
        <v>45523.0</v>
      </c>
      <c r="E9" s="271">
        <v>939579.43</v>
      </c>
      <c r="F9" s="292" t="s">
        <v>752</v>
      </c>
      <c r="G9" s="292" t="s">
        <v>11</v>
      </c>
      <c r="H9" s="294" t="s">
        <v>753</v>
      </c>
      <c r="I9" s="295">
        <v>163803.0</v>
      </c>
      <c r="J9" s="121">
        <v>135.12</v>
      </c>
    </row>
    <row r="10" ht="13.5" customHeight="1">
      <c r="A10" s="296">
        <v>23.0</v>
      </c>
      <c r="B10" s="296" t="s">
        <v>20</v>
      </c>
      <c r="C10" s="296">
        <v>1040211.0</v>
      </c>
      <c r="D10" s="297">
        <v>45523.0</v>
      </c>
      <c r="E10" s="278">
        <v>1342.44</v>
      </c>
      <c r="F10" s="298"/>
      <c r="G10" s="298" t="s">
        <v>11</v>
      </c>
      <c r="H10" s="262"/>
      <c r="I10" s="299">
        <v>163808.0</v>
      </c>
      <c r="J10" s="300">
        <v>178.41</v>
      </c>
    </row>
    <row r="11" ht="13.5" customHeight="1">
      <c r="A11" s="198">
        <v>64.0</v>
      </c>
      <c r="B11" s="198" t="s">
        <v>20</v>
      </c>
      <c r="C11" s="198">
        <v>1040375.0</v>
      </c>
      <c r="D11" s="199">
        <v>45523.0</v>
      </c>
      <c r="E11" s="139">
        <v>45.83</v>
      </c>
      <c r="F11" s="301"/>
      <c r="G11" s="301" t="s">
        <v>11</v>
      </c>
      <c r="H11" s="262"/>
      <c r="I11" s="74"/>
      <c r="J11" s="51"/>
    </row>
    <row r="12" ht="13.5" customHeight="1">
      <c r="A12" s="50">
        <v>66.0</v>
      </c>
      <c r="B12" s="50" t="s">
        <v>47</v>
      </c>
      <c r="C12" s="50">
        <v>1040500.0</v>
      </c>
      <c r="D12" s="117">
        <v>45523.0</v>
      </c>
      <c r="E12" s="51">
        <v>1042788.14</v>
      </c>
      <c r="F12" s="302" t="s">
        <v>754</v>
      </c>
      <c r="G12" s="302" t="s">
        <v>11</v>
      </c>
      <c r="H12" s="260" t="s">
        <v>755</v>
      </c>
      <c r="I12" s="74"/>
      <c r="J12" s="51"/>
    </row>
    <row r="13" ht="13.5" customHeight="1">
      <c r="E13" s="51"/>
      <c r="F13" s="262"/>
      <c r="G13" s="262"/>
      <c r="H13" s="262"/>
      <c r="I13" s="74"/>
      <c r="J13" s="51"/>
    </row>
    <row r="14" ht="13.5" customHeight="1">
      <c r="E14" s="51"/>
      <c r="F14" s="262"/>
      <c r="G14" s="262"/>
      <c r="H14" s="262"/>
      <c r="I14" s="74"/>
      <c r="J14" s="51"/>
    </row>
    <row r="15" ht="13.5" customHeight="1">
      <c r="E15" s="51"/>
      <c r="F15" s="262"/>
      <c r="G15" s="262"/>
      <c r="H15" s="262"/>
      <c r="I15" s="74"/>
      <c r="J15" s="51"/>
    </row>
    <row r="16" ht="13.5" customHeight="1">
      <c r="E16" s="51"/>
      <c r="F16" s="262"/>
      <c r="G16" s="262"/>
      <c r="H16" s="262"/>
      <c r="I16" s="74"/>
      <c r="J16" s="51"/>
    </row>
    <row r="17" ht="13.5" customHeight="1">
      <c r="E17" s="51"/>
      <c r="F17" s="262"/>
      <c r="G17" s="262"/>
      <c r="H17" s="262"/>
      <c r="I17" s="74"/>
      <c r="J17" s="51"/>
    </row>
    <row r="18" ht="13.5" customHeight="1">
      <c r="E18" s="51"/>
      <c r="F18" s="262"/>
      <c r="G18" s="262"/>
      <c r="H18" s="262"/>
      <c r="I18" s="74"/>
      <c r="J18" s="51"/>
    </row>
    <row r="19" ht="13.5" customHeight="1">
      <c r="E19" s="51"/>
      <c r="F19" s="262"/>
      <c r="G19" s="262"/>
      <c r="H19" s="262"/>
      <c r="I19" s="74"/>
      <c r="J19" s="51"/>
    </row>
    <row r="20" ht="13.5" customHeight="1">
      <c r="E20" s="51"/>
      <c r="F20" s="262"/>
      <c r="G20" s="262"/>
      <c r="H20" s="262"/>
      <c r="I20" s="74"/>
      <c r="J20" s="51"/>
    </row>
    <row r="21" ht="13.5" customHeight="1">
      <c r="E21" s="51"/>
      <c r="F21" s="262"/>
      <c r="G21" s="262"/>
      <c r="H21" s="262"/>
      <c r="I21" s="74"/>
      <c r="J21" s="51"/>
    </row>
    <row r="22" ht="13.5" customHeight="1">
      <c r="E22" s="51"/>
      <c r="F22" s="262"/>
      <c r="G22" s="262"/>
      <c r="H22" s="262"/>
      <c r="I22" s="74"/>
      <c r="J22" s="51"/>
    </row>
    <row r="23" ht="13.5" customHeight="1">
      <c r="E23" s="51"/>
      <c r="F23" s="262"/>
      <c r="G23" s="262"/>
      <c r="H23" s="262"/>
      <c r="I23" s="74"/>
      <c r="J23" s="51"/>
    </row>
    <row r="24" ht="13.5" customHeight="1">
      <c r="E24" s="51"/>
      <c r="F24" s="262"/>
      <c r="G24" s="262"/>
      <c r="H24" s="262"/>
      <c r="I24" s="74"/>
      <c r="J24" s="51"/>
    </row>
    <row r="25" ht="13.5" customHeight="1">
      <c r="E25" s="51"/>
      <c r="F25" s="262"/>
      <c r="G25" s="262"/>
      <c r="H25" s="262"/>
      <c r="I25" s="74"/>
      <c r="J25" s="51"/>
    </row>
    <row r="26" ht="13.5" customHeight="1">
      <c r="E26" s="51"/>
      <c r="F26" s="262"/>
      <c r="G26" s="262"/>
      <c r="H26" s="262"/>
      <c r="I26" s="74"/>
      <c r="J26" s="51"/>
    </row>
    <row r="27" ht="13.5" customHeight="1">
      <c r="E27" s="51"/>
      <c r="F27" s="262"/>
      <c r="G27" s="262"/>
      <c r="H27" s="262"/>
      <c r="I27" s="74"/>
      <c r="J27" s="51"/>
    </row>
    <row r="28" ht="13.5" customHeight="1">
      <c r="E28" s="51"/>
      <c r="F28" s="262"/>
      <c r="G28" s="262"/>
      <c r="H28" s="262"/>
      <c r="I28" s="74"/>
      <c r="J28" s="51"/>
    </row>
    <row r="29" ht="13.5" customHeight="1">
      <c r="E29" s="51"/>
      <c r="F29" s="262"/>
      <c r="G29" s="262"/>
      <c r="H29" s="262"/>
      <c r="I29" s="74"/>
      <c r="J29" s="51"/>
    </row>
    <row r="30" ht="13.5" customHeight="1">
      <c r="E30" s="51"/>
      <c r="F30" s="262"/>
      <c r="G30" s="262"/>
      <c r="H30" s="262"/>
      <c r="I30" s="74"/>
      <c r="J30" s="51"/>
    </row>
    <row r="31" ht="13.5" customHeight="1">
      <c r="E31" s="51"/>
      <c r="F31" s="262"/>
      <c r="G31" s="262"/>
      <c r="H31" s="262"/>
      <c r="I31" s="74"/>
      <c r="J31" s="51"/>
    </row>
    <row r="32" ht="13.5" customHeight="1">
      <c r="E32" s="51"/>
      <c r="F32" s="262"/>
      <c r="G32" s="262"/>
      <c r="H32" s="262"/>
      <c r="I32" s="74"/>
      <c r="J32" s="51"/>
    </row>
    <row r="33" ht="13.5" customHeight="1">
      <c r="E33" s="51"/>
      <c r="F33" s="262"/>
      <c r="G33" s="262"/>
      <c r="H33" s="262"/>
      <c r="I33" s="74"/>
      <c r="J33" s="51"/>
    </row>
    <row r="34" ht="13.5" customHeight="1">
      <c r="E34" s="51"/>
      <c r="F34" s="262"/>
      <c r="G34" s="262"/>
      <c r="H34" s="262"/>
      <c r="I34" s="74"/>
      <c r="J34" s="51"/>
    </row>
    <row r="35" ht="13.5" customHeight="1">
      <c r="E35" s="51"/>
      <c r="F35" s="262"/>
      <c r="G35" s="262"/>
      <c r="H35" s="262"/>
      <c r="I35" s="74"/>
      <c r="J35" s="51"/>
    </row>
    <row r="36" ht="13.5" customHeight="1">
      <c r="E36" s="51"/>
      <c r="F36" s="262"/>
      <c r="G36" s="262"/>
      <c r="H36" s="262"/>
      <c r="I36" s="74"/>
      <c r="J36" s="51"/>
    </row>
    <row r="37" ht="13.5" customHeight="1">
      <c r="E37" s="51"/>
      <c r="F37" s="262"/>
      <c r="G37" s="262"/>
      <c r="H37" s="262"/>
      <c r="I37" s="74"/>
      <c r="J37" s="51"/>
    </row>
    <row r="38" ht="13.5" customHeight="1">
      <c r="E38" s="51"/>
      <c r="F38" s="262"/>
      <c r="G38" s="262"/>
      <c r="H38" s="262"/>
      <c r="I38" s="74"/>
      <c r="J38" s="51"/>
    </row>
    <row r="39" ht="13.5" customHeight="1">
      <c r="E39" s="51"/>
      <c r="F39" s="262"/>
      <c r="G39" s="262"/>
      <c r="H39" s="262"/>
      <c r="I39" s="74"/>
      <c r="J39" s="51"/>
    </row>
    <row r="40" ht="13.5" customHeight="1">
      <c r="E40" s="51"/>
      <c r="F40" s="262"/>
      <c r="G40" s="262"/>
      <c r="H40" s="262"/>
      <c r="I40" s="74"/>
      <c r="J40" s="51"/>
    </row>
    <row r="41" ht="13.5" customHeight="1">
      <c r="E41" s="51"/>
      <c r="F41" s="262"/>
      <c r="G41" s="262"/>
      <c r="H41" s="262"/>
      <c r="I41" s="74"/>
      <c r="J41" s="51"/>
    </row>
    <row r="42" ht="13.5" customHeight="1">
      <c r="E42" s="51"/>
      <c r="F42" s="262"/>
      <c r="G42" s="262"/>
      <c r="H42" s="262"/>
      <c r="I42" s="74"/>
      <c r="J42" s="51"/>
    </row>
    <row r="43" ht="13.5" customHeight="1">
      <c r="E43" s="51"/>
      <c r="F43" s="262"/>
      <c r="G43" s="262"/>
      <c r="H43" s="262"/>
      <c r="I43" s="74"/>
      <c r="J43" s="51"/>
    </row>
    <row r="44" ht="13.5" customHeight="1">
      <c r="E44" s="51"/>
      <c r="F44" s="262"/>
      <c r="G44" s="262"/>
      <c r="H44" s="262"/>
      <c r="I44" s="74"/>
      <c r="J44" s="51"/>
    </row>
    <row r="45" ht="13.5" customHeight="1">
      <c r="E45" s="51"/>
      <c r="F45" s="262"/>
      <c r="G45" s="262"/>
      <c r="H45" s="262"/>
      <c r="I45" s="74"/>
      <c r="J45" s="51"/>
    </row>
    <row r="46" ht="13.5" customHeight="1">
      <c r="E46" s="51"/>
      <c r="F46" s="262"/>
      <c r="G46" s="262"/>
      <c r="H46" s="262"/>
      <c r="I46" s="74"/>
      <c r="J46" s="51"/>
    </row>
    <row r="47" ht="13.5" customHeight="1">
      <c r="E47" s="51"/>
      <c r="F47" s="262"/>
      <c r="G47" s="262"/>
      <c r="H47" s="262"/>
      <c r="I47" s="74"/>
      <c r="J47" s="51"/>
    </row>
    <row r="48" ht="13.5" customHeight="1">
      <c r="E48" s="51"/>
      <c r="F48" s="262"/>
      <c r="G48" s="262"/>
      <c r="H48" s="262"/>
      <c r="I48" s="74"/>
      <c r="J48" s="51"/>
    </row>
    <row r="49" ht="13.5" customHeight="1">
      <c r="E49" s="51"/>
      <c r="F49" s="262"/>
      <c r="G49" s="262"/>
      <c r="H49" s="262"/>
      <c r="I49" s="74"/>
      <c r="J49" s="51"/>
    </row>
    <row r="50" ht="13.5" customHeight="1">
      <c r="E50" s="51"/>
      <c r="F50" s="262"/>
      <c r="G50" s="262"/>
      <c r="H50" s="262"/>
      <c r="I50" s="74"/>
      <c r="J50" s="51"/>
    </row>
    <row r="51" ht="13.5" customHeight="1">
      <c r="E51" s="51"/>
      <c r="F51" s="262"/>
      <c r="G51" s="262"/>
      <c r="H51" s="262"/>
      <c r="I51" s="74"/>
      <c r="J51" s="51"/>
    </row>
    <row r="52" ht="13.5" customHeight="1">
      <c r="E52" s="51"/>
      <c r="F52" s="262"/>
      <c r="G52" s="262"/>
      <c r="H52" s="262"/>
      <c r="I52" s="74"/>
      <c r="J52" s="51"/>
    </row>
    <row r="53" ht="13.5" customHeight="1">
      <c r="E53" s="51"/>
      <c r="F53" s="262"/>
      <c r="G53" s="262"/>
      <c r="H53" s="262"/>
      <c r="I53" s="74"/>
      <c r="J53" s="51"/>
    </row>
    <row r="54" ht="13.5" customHeight="1">
      <c r="E54" s="51"/>
      <c r="F54" s="262"/>
      <c r="G54" s="262"/>
      <c r="H54" s="262"/>
      <c r="I54" s="74"/>
      <c r="J54" s="51"/>
    </row>
    <row r="55" ht="13.5" customHeight="1">
      <c r="E55" s="51"/>
      <c r="F55" s="262"/>
      <c r="G55" s="262"/>
      <c r="H55" s="262"/>
      <c r="I55" s="74"/>
      <c r="J55" s="51"/>
    </row>
    <row r="56" ht="13.5" customHeight="1">
      <c r="E56" s="51"/>
      <c r="F56" s="262"/>
      <c r="G56" s="262"/>
      <c r="H56" s="262"/>
      <c r="I56" s="74"/>
      <c r="J56" s="51"/>
    </row>
    <row r="57" ht="13.5" customHeight="1">
      <c r="E57" s="51"/>
      <c r="F57" s="262"/>
      <c r="G57" s="262"/>
      <c r="H57" s="262"/>
      <c r="I57" s="74"/>
      <c r="J57" s="51"/>
    </row>
    <row r="58" ht="13.5" customHeight="1">
      <c r="E58" s="51"/>
      <c r="F58" s="262"/>
      <c r="G58" s="262"/>
      <c r="H58" s="262"/>
      <c r="I58" s="74"/>
      <c r="J58" s="51"/>
    </row>
    <row r="59" ht="13.5" customHeight="1">
      <c r="E59" s="51"/>
      <c r="F59" s="262"/>
      <c r="G59" s="262"/>
      <c r="H59" s="262"/>
      <c r="I59" s="74"/>
      <c r="J59" s="51"/>
    </row>
    <row r="60" ht="13.5" customHeight="1">
      <c r="E60" s="51"/>
      <c r="F60" s="262"/>
      <c r="G60" s="262"/>
      <c r="H60" s="262"/>
      <c r="I60" s="74"/>
      <c r="J60" s="51"/>
    </row>
    <row r="61" ht="13.5" customHeight="1">
      <c r="E61" s="51"/>
      <c r="F61" s="262"/>
      <c r="G61" s="262"/>
      <c r="H61" s="262"/>
      <c r="I61" s="74"/>
      <c r="J61" s="51"/>
    </row>
    <row r="62" ht="13.5" customHeight="1">
      <c r="E62" s="51"/>
      <c r="F62" s="262"/>
      <c r="G62" s="262"/>
      <c r="H62" s="262"/>
      <c r="I62" s="74"/>
      <c r="J62" s="51"/>
    </row>
    <row r="63" ht="13.5" customHeight="1">
      <c r="E63" s="51"/>
      <c r="F63" s="262"/>
      <c r="G63" s="262"/>
      <c r="H63" s="262"/>
      <c r="I63" s="74"/>
      <c r="J63" s="51"/>
    </row>
    <row r="64" ht="13.5" customHeight="1">
      <c r="E64" s="51"/>
      <c r="F64" s="262"/>
      <c r="G64" s="262"/>
      <c r="H64" s="262"/>
      <c r="I64" s="74"/>
      <c r="J64" s="51"/>
    </row>
    <row r="65" ht="13.5" customHeight="1">
      <c r="E65" s="51"/>
      <c r="F65" s="262"/>
      <c r="G65" s="262"/>
      <c r="H65" s="262"/>
      <c r="I65" s="74"/>
      <c r="J65" s="51"/>
    </row>
    <row r="66" ht="13.5" customHeight="1">
      <c r="E66" s="51"/>
      <c r="F66" s="262"/>
      <c r="G66" s="262"/>
      <c r="H66" s="262"/>
      <c r="I66" s="74"/>
      <c r="J66" s="51"/>
    </row>
    <row r="67" ht="13.5" customHeight="1">
      <c r="E67" s="51"/>
      <c r="F67" s="262"/>
      <c r="G67" s="262"/>
      <c r="H67" s="262"/>
      <c r="I67" s="74"/>
      <c r="J67" s="51"/>
    </row>
    <row r="68" ht="13.5" customHeight="1">
      <c r="E68" s="51"/>
      <c r="F68" s="262"/>
      <c r="G68" s="262"/>
      <c r="H68" s="262"/>
      <c r="I68" s="74"/>
      <c r="J68" s="51"/>
    </row>
    <row r="69" ht="13.5" customHeight="1">
      <c r="E69" s="51"/>
      <c r="F69" s="262"/>
      <c r="G69" s="262"/>
      <c r="H69" s="262"/>
      <c r="I69" s="74"/>
      <c r="J69" s="51"/>
    </row>
    <row r="70" ht="13.5" customHeight="1">
      <c r="E70" s="51"/>
      <c r="F70" s="262"/>
      <c r="G70" s="262"/>
      <c r="H70" s="262"/>
      <c r="I70" s="74"/>
      <c r="J70" s="51"/>
    </row>
    <row r="71" ht="13.5" customHeight="1">
      <c r="E71" s="51"/>
      <c r="F71" s="262"/>
      <c r="G71" s="262"/>
      <c r="H71" s="262"/>
      <c r="I71" s="74"/>
      <c r="J71" s="51"/>
    </row>
    <row r="72" ht="13.5" customHeight="1">
      <c r="E72" s="51"/>
      <c r="F72" s="262"/>
      <c r="G72" s="262"/>
      <c r="H72" s="262"/>
      <c r="I72" s="74"/>
      <c r="J72" s="51"/>
    </row>
    <row r="73" ht="13.5" customHeight="1">
      <c r="E73" s="51"/>
      <c r="F73" s="262"/>
      <c r="G73" s="262"/>
      <c r="H73" s="262"/>
      <c r="I73" s="74"/>
      <c r="J73" s="51"/>
    </row>
    <row r="74" ht="13.5" customHeight="1">
      <c r="E74" s="51"/>
      <c r="F74" s="262"/>
      <c r="G74" s="262"/>
      <c r="H74" s="262"/>
      <c r="I74" s="74"/>
      <c r="J74" s="51"/>
    </row>
    <row r="75" ht="13.5" customHeight="1">
      <c r="E75" s="51"/>
      <c r="F75" s="262"/>
      <c r="G75" s="262"/>
      <c r="H75" s="262"/>
      <c r="I75" s="74"/>
      <c r="J75" s="51"/>
    </row>
    <row r="76" ht="13.5" customHeight="1">
      <c r="E76" s="51"/>
      <c r="F76" s="262"/>
      <c r="G76" s="262"/>
      <c r="H76" s="262"/>
      <c r="I76" s="74"/>
      <c r="J76" s="51"/>
    </row>
    <row r="77" ht="13.5" customHeight="1">
      <c r="E77" s="51"/>
      <c r="F77" s="262"/>
      <c r="G77" s="262"/>
      <c r="H77" s="262"/>
      <c r="I77" s="74"/>
      <c r="J77" s="51"/>
    </row>
    <row r="78" ht="13.5" customHeight="1">
      <c r="E78" s="51"/>
      <c r="F78" s="262"/>
      <c r="G78" s="262"/>
      <c r="H78" s="262"/>
      <c r="I78" s="74"/>
      <c r="J78" s="51"/>
    </row>
    <row r="79" ht="13.5" customHeight="1">
      <c r="E79" s="51"/>
      <c r="F79" s="262"/>
      <c r="G79" s="262"/>
      <c r="H79" s="262"/>
      <c r="I79" s="74"/>
      <c r="J79" s="51"/>
    </row>
    <row r="80" ht="13.5" customHeight="1">
      <c r="E80" s="51"/>
      <c r="F80" s="262"/>
      <c r="G80" s="262"/>
      <c r="H80" s="262"/>
      <c r="I80" s="74"/>
      <c r="J80" s="51"/>
    </row>
    <row r="81" ht="13.5" customHeight="1">
      <c r="E81" s="51"/>
      <c r="F81" s="262"/>
      <c r="G81" s="262"/>
      <c r="H81" s="262"/>
      <c r="I81" s="74"/>
      <c r="J81" s="51"/>
    </row>
    <row r="82" ht="13.5" customHeight="1">
      <c r="E82" s="51"/>
      <c r="F82" s="262"/>
      <c r="G82" s="262"/>
      <c r="H82" s="262"/>
      <c r="I82" s="74"/>
      <c r="J82" s="51"/>
    </row>
    <row r="83" ht="13.5" customHeight="1">
      <c r="E83" s="51"/>
      <c r="F83" s="262"/>
      <c r="G83" s="262"/>
      <c r="H83" s="262"/>
      <c r="I83" s="74"/>
      <c r="J83" s="51"/>
    </row>
    <row r="84" ht="13.5" customHeight="1">
      <c r="E84" s="51"/>
      <c r="F84" s="262"/>
      <c r="G84" s="262"/>
      <c r="H84" s="262"/>
      <c r="I84" s="74"/>
      <c r="J84" s="51"/>
    </row>
    <row r="85" ht="13.5" customHeight="1">
      <c r="E85" s="51"/>
      <c r="F85" s="262"/>
      <c r="G85" s="262"/>
      <c r="H85" s="262"/>
      <c r="I85" s="74"/>
      <c r="J85" s="51"/>
    </row>
    <row r="86" ht="13.5" customHeight="1">
      <c r="E86" s="51"/>
      <c r="F86" s="262"/>
      <c r="G86" s="262"/>
      <c r="H86" s="262"/>
      <c r="I86" s="74"/>
      <c r="J86" s="51"/>
    </row>
    <row r="87" ht="13.5" customHeight="1">
      <c r="E87" s="51"/>
      <c r="F87" s="262"/>
      <c r="G87" s="262"/>
      <c r="H87" s="262"/>
      <c r="I87" s="74"/>
      <c r="J87" s="51"/>
    </row>
    <row r="88" ht="13.5" customHeight="1">
      <c r="E88" s="51"/>
      <c r="F88" s="262"/>
      <c r="G88" s="262"/>
      <c r="H88" s="262"/>
      <c r="I88" s="74"/>
      <c r="J88" s="51"/>
    </row>
    <row r="89" ht="13.5" customHeight="1">
      <c r="E89" s="51"/>
      <c r="F89" s="262"/>
      <c r="G89" s="262"/>
      <c r="H89" s="262"/>
      <c r="I89" s="74"/>
      <c r="J89" s="51"/>
    </row>
    <row r="90" ht="13.5" customHeight="1">
      <c r="E90" s="51"/>
      <c r="F90" s="262"/>
      <c r="G90" s="262"/>
      <c r="H90" s="262"/>
      <c r="I90" s="74"/>
      <c r="J90" s="51"/>
    </row>
    <row r="91" ht="13.5" customHeight="1">
      <c r="E91" s="51"/>
      <c r="F91" s="262"/>
      <c r="G91" s="262"/>
      <c r="H91" s="262"/>
      <c r="I91" s="74"/>
      <c r="J91" s="51"/>
    </row>
    <row r="92" ht="13.5" customHeight="1">
      <c r="E92" s="51"/>
      <c r="F92" s="262"/>
      <c r="G92" s="262"/>
      <c r="H92" s="262"/>
      <c r="I92" s="74"/>
      <c r="J92" s="51"/>
    </row>
    <row r="93" ht="13.5" customHeight="1">
      <c r="E93" s="51"/>
      <c r="F93" s="262"/>
      <c r="G93" s="262"/>
      <c r="H93" s="262"/>
      <c r="I93" s="74"/>
      <c r="J93" s="51"/>
    </row>
    <row r="94" ht="13.5" customHeight="1">
      <c r="E94" s="51"/>
      <c r="F94" s="262"/>
      <c r="G94" s="262"/>
      <c r="H94" s="262"/>
      <c r="I94" s="74"/>
      <c r="J94" s="51"/>
    </row>
    <row r="95" ht="13.5" customHeight="1">
      <c r="E95" s="51"/>
      <c r="F95" s="262"/>
      <c r="G95" s="262"/>
      <c r="H95" s="262"/>
      <c r="I95" s="74"/>
      <c r="J95" s="51"/>
    </row>
    <row r="96" ht="13.5" customHeight="1">
      <c r="E96" s="51"/>
      <c r="F96" s="262"/>
      <c r="G96" s="262"/>
      <c r="H96" s="262"/>
      <c r="I96" s="74"/>
      <c r="J96" s="51"/>
    </row>
    <row r="97" ht="13.5" customHeight="1">
      <c r="E97" s="51"/>
      <c r="F97" s="262"/>
      <c r="G97" s="262"/>
      <c r="H97" s="262"/>
      <c r="I97" s="74"/>
      <c r="J97" s="51"/>
    </row>
    <row r="98" ht="13.5" customHeight="1">
      <c r="E98" s="51"/>
      <c r="F98" s="262"/>
      <c r="G98" s="262"/>
      <c r="H98" s="262"/>
      <c r="I98" s="74"/>
      <c r="J98" s="51"/>
    </row>
    <row r="99" ht="13.5" customHeight="1">
      <c r="E99" s="51"/>
      <c r="F99" s="262"/>
      <c r="G99" s="262"/>
      <c r="H99" s="262"/>
      <c r="I99" s="74"/>
      <c r="J99" s="51"/>
    </row>
    <row r="100" ht="13.5" customHeight="1">
      <c r="E100" s="51"/>
      <c r="F100" s="262"/>
      <c r="G100" s="262"/>
      <c r="H100" s="262"/>
      <c r="I100" s="74"/>
      <c r="J100" s="51"/>
    </row>
    <row r="101" ht="13.5" customHeight="1">
      <c r="E101" s="51"/>
      <c r="F101" s="262"/>
      <c r="G101" s="262"/>
      <c r="H101" s="262"/>
      <c r="I101" s="74"/>
      <c r="J101" s="51"/>
    </row>
    <row r="102" ht="13.5" customHeight="1">
      <c r="E102" s="51"/>
      <c r="F102" s="262"/>
      <c r="G102" s="262"/>
      <c r="H102" s="262"/>
      <c r="I102" s="74"/>
      <c r="J102" s="51"/>
    </row>
    <row r="103" ht="13.5" customHeight="1">
      <c r="E103" s="51"/>
      <c r="F103" s="262"/>
      <c r="G103" s="262"/>
      <c r="H103" s="262"/>
      <c r="I103" s="74"/>
      <c r="J103" s="51"/>
    </row>
    <row r="104" ht="13.5" customHeight="1">
      <c r="E104" s="51"/>
      <c r="F104" s="262"/>
      <c r="G104" s="262"/>
      <c r="H104" s="262"/>
      <c r="I104" s="74"/>
      <c r="J104" s="51"/>
    </row>
    <row r="105" ht="13.5" customHeight="1">
      <c r="E105" s="51"/>
      <c r="F105" s="262"/>
      <c r="G105" s="262"/>
      <c r="H105" s="262"/>
      <c r="I105" s="74"/>
      <c r="J105" s="51"/>
    </row>
    <row r="106" ht="13.5" customHeight="1">
      <c r="E106" s="51"/>
      <c r="F106" s="262"/>
      <c r="G106" s="262"/>
      <c r="H106" s="262"/>
      <c r="I106" s="74"/>
      <c r="J106" s="51"/>
    </row>
    <row r="107" ht="13.5" customHeight="1">
      <c r="E107" s="51"/>
      <c r="F107" s="262"/>
      <c r="G107" s="262"/>
      <c r="H107" s="262"/>
      <c r="I107" s="74"/>
      <c r="J107" s="51"/>
    </row>
    <row r="108" ht="13.5" customHeight="1">
      <c r="E108" s="51"/>
      <c r="F108" s="262"/>
      <c r="G108" s="262"/>
      <c r="H108" s="262"/>
      <c r="I108" s="74"/>
      <c r="J108" s="51"/>
    </row>
    <row r="109" ht="13.5" customHeight="1">
      <c r="E109" s="51"/>
      <c r="F109" s="262"/>
      <c r="G109" s="262"/>
      <c r="H109" s="262"/>
      <c r="I109" s="74"/>
      <c r="J109" s="51"/>
    </row>
    <row r="110" ht="13.5" customHeight="1">
      <c r="E110" s="51"/>
      <c r="F110" s="262"/>
      <c r="G110" s="262"/>
      <c r="H110" s="262"/>
      <c r="I110" s="74"/>
      <c r="J110" s="51"/>
    </row>
    <row r="111" ht="13.5" customHeight="1">
      <c r="E111" s="51"/>
      <c r="F111" s="262"/>
      <c r="G111" s="262"/>
      <c r="H111" s="262"/>
      <c r="I111" s="74"/>
      <c r="J111" s="51"/>
    </row>
    <row r="112" ht="13.5" customHeight="1">
      <c r="E112" s="51"/>
      <c r="F112" s="262"/>
      <c r="G112" s="262"/>
      <c r="H112" s="262"/>
      <c r="I112" s="74"/>
      <c r="J112" s="51"/>
    </row>
    <row r="113" ht="13.5" customHeight="1">
      <c r="E113" s="51"/>
      <c r="F113" s="262"/>
      <c r="G113" s="262"/>
      <c r="H113" s="262"/>
      <c r="I113" s="74"/>
      <c r="J113" s="51"/>
    </row>
    <row r="114" ht="13.5" customHeight="1">
      <c r="E114" s="51"/>
      <c r="F114" s="262"/>
      <c r="G114" s="262"/>
      <c r="H114" s="262"/>
      <c r="I114" s="74"/>
      <c r="J114" s="51"/>
    </row>
    <row r="115" ht="13.5" customHeight="1">
      <c r="E115" s="51"/>
      <c r="F115" s="262"/>
      <c r="G115" s="262"/>
      <c r="H115" s="262"/>
      <c r="I115" s="74"/>
      <c r="J115" s="51"/>
    </row>
    <row r="116" ht="13.5" customHeight="1">
      <c r="E116" s="51"/>
      <c r="F116" s="262"/>
      <c r="G116" s="262"/>
      <c r="H116" s="262"/>
      <c r="I116" s="74"/>
      <c r="J116" s="51"/>
    </row>
    <row r="117" ht="13.5" customHeight="1">
      <c r="E117" s="51"/>
      <c r="F117" s="262"/>
      <c r="G117" s="262"/>
      <c r="H117" s="262"/>
      <c r="I117" s="74"/>
      <c r="J117" s="51"/>
    </row>
    <row r="118" ht="13.5" customHeight="1">
      <c r="E118" s="51"/>
      <c r="F118" s="262"/>
      <c r="G118" s="262"/>
      <c r="H118" s="262"/>
      <c r="I118" s="74"/>
      <c r="J118" s="51"/>
    </row>
    <row r="119" ht="13.5" customHeight="1">
      <c r="E119" s="51"/>
      <c r="F119" s="262"/>
      <c r="G119" s="262"/>
      <c r="H119" s="262"/>
      <c r="I119" s="74"/>
      <c r="J119" s="51"/>
    </row>
    <row r="120" ht="13.5" customHeight="1">
      <c r="E120" s="51"/>
      <c r="F120" s="262"/>
      <c r="G120" s="262"/>
      <c r="H120" s="262"/>
      <c r="I120" s="74"/>
      <c r="J120" s="51"/>
    </row>
    <row r="121" ht="13.5" customHeight="1">
      <c r="E121" s="51"/>
      <c r="F121" s="262"/>
      <c r="G121" s="262"/>
      <c r="H121" s="262"/>
      <c r="I121" s="74"/>
      <c r="J121" s="51"/>
    </row>
    <row r="122" ht="13.5" customHeight="1">
      <c r="E122" s="51"/>
      <c r="F122" s="262"/>
      <c r="G122" s="262"/>
      <c r="H122" s="262"/>
      <c r="I122" s="74"/>
      <c r="J122" s="51"/>
    </row>
    <row r="123" ht="13.5" customHeight="1">
      <c r="E123" s="51"/>
      <c r="F123" s="262"/>
      <c r="G123" s="262"/>
      <c r="H123" s="262"/>
      <c r="I123" s="74"/>
      <c r="J123" s="51"/>
    </row>
    <row r="124" ht="13.5" customHeight="1">
      <c r="E124" s="51"/>
      <c r="F124" s="262"/>
      <c r="G124" s="262"/>
      <c r="H124" s="262"/>
      <c r="I124" s="74"/>
      <c r="J124" s="51"/>
    </row>
    <row r="125" ht="13.5" customHeight="1">
      <c r="E125" s="51"/>
      <c r="F125" s="262"/>
      <c r="G125" s="262"/>
      <c r="H125" s="262"/>
      <c r="I125" s="74"/>
      <c r="J125" s="51"/>
    </row>
    <row r="126" ht="13.5" customHeight="1">
      <c r="E126" s="51"/>
      <c r="F126" s="262"/>
      <c r="G126" s="262"/>
      <c r="H126" s="262"/>
      <c r="I126" s="74"/>
      <c r="J126" s="51"/>
    </row>
    <row r="127" ht="13.5" customHeight="1">
      <c r="E127" s="51"/>
      <c r="F127" s="262"/>
      <c r="G127" s="262"/>
      <c r="H127" s="262"/>
      <c r="I127" s="74"/>
      <c r="J127" s="51"/>
    </row>
    <row r="128" ht="13.5" customHeight="1">
      <c r="E128" s="51"/>
      <c r="F128" s="262"/>
      <c r="G128" s="262"/>
      <c r="H128" s="262"/>
      <c r="I128" s="74"/>
      <c r="J128" s="51"/>
    </row>
    <row r="129" ht="13.5" customHeight="1">
      <c r="E129" s="51"/>
      <c r="F129" s="262"/>
      <c r="G129" s="262"/>
      <c r="H129" s="262"/>
      <c r="I129" s="74"/>
      <c r="J129" s="51"/>
    </row>
    <row r="130" ht="13.5" customHeight="1">
      <c r="E130" s="51"/>
      <c r="F130" s="262"/>
      <c r="G130" s="262"/>
      <c r="H130" s="262"/>
      <c r="I130" s="74"/>
      <c r="J130" s="51"/>
    </row>
    <row r="131" ht="13.5" customHeight="1">
      <c r="E131" s="51"/>
      <c r="F131" s="262"/>
      <c r="G131" s="262"/>
      <c r="H131" s="262"/>
      <c r="I131" s="74"/>
      <c r="J131" s="51"/>
    </row>
    <row r="132" ht="13.5" customHeight="1">
      <c r="E132" s="51"/>
      <c r="F132" s="262"/>
      <c r="G132" s="262"/>
      <c r="H132" s="262"/>
      <c r="I132" s="74"/>
      <c r="J132" s="51"/>
    </row>
    <row r="133" ht="13.5" customHeight="1">
      <c r="E133" s="51"/>
      <c r="F133" s="262"/>
      <c r="G133" s="262"/>
      <c r="H133" s="262"/>
      <c r="I133" s="74"/>
      <c r="J133" s="51"/>
    </row>
    <row r="134" ht="13.5" customHeight="1">
      <c r="E134" s="51"/>
      <c r="F134" s="262"/>
      <c r="G134" s="262"/>
      <c r="H134" s="262"/>
      <c r="I134" s="74"/>
      <c r="J134" s="51"/>
    </row>
    <row r="135" ht="13.5" customHeight="1">
      <c r="E135" s="51"/>
      <c r="F135" s="262"/>
      <c r="G135" s="262"/>
      <c r="H135" s="262"/>
      <c r="I135" s="74"/>
      <c r="J135" s="51"/>
    </row>
    <row r="136" ht="13.5" customHeight="1">
      <c r="E136" s="51"/>
      <c r="F136" s="262"/>
      <c r="G136" s="262"/>
      <c r="H136" s="262"/>
      <c r="I136" s="74"/>
      <c r="J136" s="51"/>
    </row>
    <row r="137" ht="13.5" customHeight="1">
      <c r="E137" s="51"/>
      <c r="F137" s="262"/>
      <c r="G137" s="262"/>
      <c r="H137" s="262"/>
      <c r="I137" s="74"/>
      <c r="J137" s="51"/>
    </row>
    <row r="138" ht="13.5" customHeight="1">
      <c r="E138" s="51"/>
      <c r="F138" s="262"/>
      <c r="G138" s="262"/>
      <c r="H138" s="262"/>
      <c r="I138" s="74"/>
      <c r="J138" s="51"/>
    </row>
    <row r="139" ht="13.5" customHeight="1">
      <c r="E139" s="51"/>
      <c r="F139" s="262"/>
      <c r="G139" s="262"/>
      <c r="H139" s="262"/>
      <c r="I139" s="74"/>
      <c r="J139" s="51"/>
    </row>
    <row r="140" ht="13.5" customHeight="1">
      <c r="E140" s="51"/>
      <c r="F140" s="262"/>
      <c r="G140" s="262"/>
      <c r="H140" s="262"/>
      <c r="I140" s="74"/>
      <c r="J140" s="51"/>
    </row>
    <row r="141" ht="13.5" customHeight="1">
      <c r="E141" s="51"/>
      <c r="F141" s="262"/>
      <c r="G141" s="262"/>
      <c r="H141" s="262"/>
      <c r="I141" s="74"/>
      <c r="J141" s="51"/>
    </row>
    <row r="142" ht="13.5" customHeight="1">
      <c r="E142" s="51"/>
      <c r="F142" s="262"/>
      <c r="G142" s="262"/>
      <c r="H142" s="262"/>
      <c r="I142" s="74"/>
      <c r="J142" s="51"/>
    </row>
    <row r="143" ht="13.5" customHeight="1">
      <c r="E143" s="51"/>
      <c r="F143" s="262"/>
      <c r="G143" s="262"/>
      <c r="H143" s="262"/>
      <c r="I143" s="74"/>
      <c r="J143" s="51"/>
    </row>
    <row r="144" ht="13.5" customHeight="1">
      <c r="E144" s="51"/>
      <c r="F144" s="262"/>
      <c r="G144" s="262"/>
      <c r="H144" s="262"/>
      <c r="I144" s="74"/>
      <c r="J144" s="51"/>
    </row>
    <row r="145" ht="13.5" customHeight="1">
      <c r="E145" s="51"/>
      <c r="F145" s="262"/>
      <c r="G145" s="262"/>
      <c r="H145" s="262"/>
      <c r="I145" s="74"/>
      <c r="J145" s="51"/>
    </row>
    <row r="146" ht="13.5" customHeight="1">
      <c r="E146" s="51"/>
      <c r="F146" s="262"/>
      <c r="G146" s="262"/>
      <c r="H146" s="262"/>
      <c r="I146" s="74"/>
      <c r="J146" s="51"/>
    </row>
    <row r="147" ht="13.5" customHeight="1">
      <c r="E147" s="51"/>
      <c r="F147" s="262"/>
      <c r="G147" s="262"/>
      <c r="H147" s="262"/>
      <c r="I147" s="74"/>
      <c r="J147" s="51"/>
    </row>
    <row r="148" ht="13.5" customHeight="1">
      <c r="E148" s="51"/>
      <c r="F148" s="262"/>
      <c r="G148" s="262"/>
      <c r="H148" s="262"/>
      <c r="I148" s="74"/>
      <c r="J148" s="51"/>
    </row>
    <row r="149" ht="13.5" customHeight="1">
      <c r="E149" s="51"/>
      <c r="F149" s="262"/>
      <c r="G149" s="262"/>
      <c r="H149" s="262"/>
      <c r="I149" s="74"/>
      <c r="J149" s="51"/>
    </row>
    <row r="150" ht="13.5" customHeight="1">
      <c r="E150" s="51"/>
      <c r="F150" s="262"/>
      <c r="G150" s="262"/>
      <c r="H150" s="262"/>
      <c r="I150" s="74"/>
      <c r="J150" s="51"/>
    </row>
    <row r="151" ht="13.5" customHeight="1">
      <c r="E151" s="51"/>
      <c r="F151" s="262"/>
      <c r="G151" s="262"/>
      <c r="H151" s="262"/>
      <c r="I151" s="74"/>
      <c r="J151" s="51"/>
    </row>
    <row r="152" ht="13.5" customHeight="1">
      <c r="E152" s="51"/>
      <c r="F152" s="262"/>
      <c r="G152" s="262"/>
      <c r="H152" s="262"/>
      <c r="I152" s="74"/>
      <c r="J152" s="51"/>
    </row>
    <row r="153" ht="13.5" customHeight="1">
      <c r="E153" s="51"/>
      <c r="F153" s="262"/>
      <c r="G153" s="262"/>
      <c r="H153" s="262"/>
      <c r="I153" s="74"/>
      <c r="J153" s="51"/>
    </row>
    <row r="154" ht="13.5" customHeight="1">
      <c r="E154" s="51"/>
      <c r="F154" s="262"/>
      <c r="G154" s="262"/>
      <c r="H154" s="262"/>
      <c r="I154" s="74"/>
      <c r="J154" s="51"/>
    </row>
    <row r="155" ht="13.5" customHeight="1">
      <c r="E155" s="51"/>
      <c r="F155" s="262"/>
      <c r="G155" s="262"/>
      <c r="H155" s="262"/>
      <c r="I155" s="74"/>
      <c r="J155" s="51"/>
    </row>
    <row r="156" ht="13.5" customHeight="1">
      <c r="E156" s="51"/>
      <c r="F156" s="262"/>
      <c r="G156" s="262"/>
      <c r="H156" s="262"/>
      <c r="I156" s="74"/>
      <c r="J156" s="51"/>
    </row>
    <row r="157" ht="13.5" customHeight="1">
      <c r="E157" s="51"/>
      <c r="F157" s="262"/>
      <c r="G157" s="262"/>
      <c r="H157" s="262"/>
      <c r="I157" s="74"/>
      <c r="J157" s="51"/>
    </row>
    <row r="158" ht="13.5" customHeight="1">
      <c r="E158" s="51"/>
      <c r="F158" s="262"/>
      <c r="G158" s="262"/>
      <c r="H158" s="262"/>
      <c r="I158" s="74"/>
      <c r="J158" s="51"/>
    </row>
    <row r="159" ht="13.5" customHeight="1">
      <c r="E159" s="51"/>
      <c r="F159" s="262"/>
      <c r="G159" s="262"/>
      <c r="H159" s="262"/>
      <c r="I159" s="74"/>
      <c r="J159" s="51"/>
    </row>
    <row r="160" ht="13.5" customHeight="1">
      <c r="E160" s="51"/>
      <c r="F160" s="262"/>
      <c r="G160" s="262"/>
      <c r="H160" s="262"/>
      <c r="I160" s="74"/>
      <c r="J160" s="51"/>
    </row>
    <row r="161" ht="13.5" customHeight="1">
      <c r="E161" s="51"/>
      <c r="F161" s="262"/>
      <c r="G161" s="262"/>
      <c r="H161" s="262"/>
      <c r="I161" s="74"/>
      <c r="J161" s="51"/>
    </row>
    <row r="162" ht="13.5" customHeight="1">
      <c r="E162" s="51"/>
      <c r="F162" s="262"/>
      <c r="G162" s="262"/>
      <c r="H162" s="262"/>
      <c r="I162" s="74"/>
      <c r="J162" s="51"/>
    </row>
    <row r="163" ht="13.5" customHeight="1">
      <c r="E163" s="51"/>
      <c r="F163" s="262"/>
      <c r="G163" s="262"/>
      <c r="H163" s="262"/>
      <c r="I163" s="74"/>
      <c r="J163" s="51"/>
    </row>
    <row r="164" ht="13.5" customHeight="1">
      <c r="E164" s="51"/>
      <c r="F164" s="262"/>
      <c r="G164" s="262"/>
      <c r="H164" s="262"/>
      <c r="I164" s="74"/>
      <c r="J164" s="51"/>
    </row>
    <row r="165" ht="13.5" customHeight="1">
      <c r="E165" s="51"/>
      <c r="F165" s="262"/>
      <c r="G165" s="262"/>
      <c r="H165" s="262"/>
      <c r="I165" s="74"/>
      <c r="J165" s="51"/>
    </row>
    <row r="166" ht="13.5" customHeight="1">
      <c r="E166" s="51"/>
      <c r="F166" s="262"/>
      <c r="G166" s="262"/>
      <c r="H166" s="262"/>
      <c r="I166" s="74"/>
      <c r="J166" s="51"/>
    </row>
    <row r="167" ht="13.5" customHeight="1">
      <c r="E167" s="51"/>
      <c r="F167" s="262"/>
      <c r="G167" s="262"/>
      <c r="H167" s="262"/>
      <c r="I167" s="74"/>
      <c r="J167" s="51"/>
    </row>
    <row r="168" ht="13.5" customHeight="1">
      <c r="E168" s="51"/>
      <c r="F168" s="262"/>
      <c r="G168" s="262"/>
      <c r="H168" s="262"/>
      <c r="I168" s="74"/>
      <c r="J168" s="51"/>
    </row>
    <row r="169" ht="13.5" customHeight="1">
      <c r="E169" s="51"/>
      <c r="F169" s="262"/>
      <c r="G169" s="262"/>
      <c r="H169" s="262"/>
      <c r="I169" s="74"/>
      <c r="J169" s="51"/>
    </row>
    <row r="170" ht="13.5" customHeight="1">
      <c r="E170" s="51"/>
      <c r="F170" s="262"/>
      <c r="G170" s="262"/>
      <c r="H170" s="262"/>
      <c r="I170" s="74"/>
      <c r="J170" s="51"/>
    </row>
    <row r="171" ht="13.5" customHeight="1">
      <c r="E171" s="51"/>
      <c r="F171" s="262"/>
      <c r="G171" s="262"/>
      <c r="H171" s="262"/>
      <c r="I171" s="74"/>
      <c r="J171" s="51"/>
    </row>
    <row r="172" ht="13.5" customHeight="1">
      <c r="E172" s="51"/>
      <c r="F172" s="262"/>
      <c r="G172" s="262"/>
      <c r="H172" s="262"/>
      <c r="I172" s="74"/>
      <c r="J172" s="51"/>
    </row>
    <row r="173" ht="13.5" customHeight="1">
      <c r="E173" s="51"/>
      <c r="F173" s="262"/>
      <c r="G173" s="262"/>
      <c r="H173" s="262"/>
      <c r="I173" s="74"/>
      <c r="J173" s="51"/>
    </row>
    <row r="174" ht="13.5" customHeight="1">
      <c r="E174" s="51"/>
      <c r="F174" s="262"/>
      <c r="G174" s="262"/>
      <c r="H174" s="262"/>
      <c r="I174" s="74"/>
      <c r="J174" s="51"/>
    </row>
    <row r="175" ht="13.5" customHeight="1">
      <c r="E175" s="51"/>
      <c r="F175" s="262"/>
      <c r="G175" s="262"/>
      <c r="H175" s="262"/>
      <c r="I175" s="74"/>
      <c r="J175" s="51"/>
    </row>
    <row r="176" ht="13.5" customHeight="1">
      <c r="E176" s="51"/>
      <c r="F176" s="262"/>
      <c r="G176" s="262"/>
      <c r="H176" s="262"/>
      <c r="I176" s="74"/>
      <c r="J176" s="51"/>
    </row>
    <row r="177" ht="13.5" customHeight="1">
      <c r="E177" s="51"/>
      <c r="F177" s="262"/>
      <c r="G177" s="262"/>
      <c r="H177" s="262"/>
      <c r="I177" s="74"/>
      <c r="J177" s="51"/>
    </row>
    <row r="178" ht="13.5" customHeight="1">
      <c r="E178" s="51"/>
      <c r="F178" s="262"/>
      <c r="G178" s="262"/>
      <c r="H178" s="262"/>
      <c r="I178" s="74"/>
      <c r="J178" s="51"/>
    </row>
    <row r="179" ht="13.5" customHeight="1">
      <c r="E179" s="51"/>
      <c r="F179" s="262"/>
      <c r="G179" s="262"/>
      <c r="H179" s="262"/>
      <c r="I179" s="74"/>
      <c r="J179" s="51"/>
    </row>
    <row r="180" ht="13.5" customHeight="1">
      <c r="E180" s="51"/>
      <c r="F180" s="262"/>
      <c r="G180" s="262"/>
      <c r="H180" s="262"/>
      <c r="I180" s="74"/>
      <c r="J180" s="51"/>
    </row>
    <row r="181" ht="13.5" customHeight="1">
      <c r="E181" s="51"/>
      <c r="F181" s="262"/>
      <c r="G181" s="262"/>
      <c r="H181" s="262"/>
      <c r="I181" s="74"/>
      <c r="J181" s="51"/>
    </row>
    <row r="182" ht="13.5" customHeight="1">
      <c r="E182" s="51"/>
      <c r="F182" s="262"/>
      <c r="G182" s="262"/>
      <c r="H182" s="262"/>
      <c r="I182" s="74"/>
      <c r="J182" s="51"/>
    </row>
    <row r="183" ht="13.5" customHeight="1">
      <c r="E183" s="51"/>
      <c r="F183" s="262"/>
      <c r="G183" s="262"/>
      <c r="H183" s="262"/>
      <c r="I183" s="74"/>
      <c r="J183" s="51"/>
    </row>
    <row r="184" ht="13.5" customHeight="1">
      <c r="E184" s="51"/>
      <c r="F184" s="262"/>
      <c r="G184" s="262"/>
      <c r="H184" s="262"/>
      <c r="I184" s="74"/>
      <c r="J184" s="51"/>
    </row>
    <row r="185" ht="13.5" customHeight="1">
      <c r="E185" s="51"/>
      <c r="F185" s="262"/>
      <c r="G185" s="262"/>
      <c r="H185" s="262"/>
      <c r="I185" s="74"/>
      <c r="J185" s="51"/>
    </row>
    <row r="186" ht="13.5" customHeight="1">
      <c r="E186" s="51"/>
      <c r="F186" s="262"/>
      <c r="G186" s="262"/>
      <c r="H186" s="262"/>
      <c r="I186" s="74"/>
      <c r="J186" s="51"/>
    </row>
    <row r="187" ht="13.5" customHeight="1">
      <c r="E187" s="51"/>
      <c r="F187" s="262"/>
      <c r="G187" s="262"/>
      <c r="H187" s="262"/>
      <c r="I187" s="74"/>
      <c r="J187" s="51"/>
    </row>
    <row r="188" ht="13.5" customHeight="1">
      <c r="E188" s="51"/>
      <c r="F188" s="262"/>
      <c r="G188" s="262"/>
      <c r="H188" s="262"/>
      <c r="I188" s="74"/>
      <c r="J188" s="51"/>
    </row>
    <row r="189" ht="13.5" customHeight="1">
      <c r="E189" s="51"/>
      <c r="F189" s="262"/>
      <c r="G189" s="262"/>
      <c r="H189" s="262"/>
      <c r="I189" s="74"/>
      <c r="J189" s="51"/>
    </row>
    <row r="190" ht="13.5" customHeight="1">
      <c r="E190" s="51"/>
      <c r="F190" s="262"/>
      <c r="G190" s="262"/>
      <c r="H190" s="262"/>
      <c r="I190" s="74"/>
      <c r="J190" s="51"/>
    </row>
    <row r="191" ht="13.5" customHeight="1">
      <c r="E191" s="51"/>
      <c r="F191" s="262"/>
      <c r="G191" s="262"/>
      <c r="H191" s="262"/>
      <c r="I191" s="74"/>
      <c r="J191" s="51"/>
    </row>
    <row r="192" ht="13.5" customHeight="1">
      <c r="E192" s="51"/>
      <c r="F192" s="262"/>
      <c r="G192" s="262"/>
      <c r="H192" s="262"/>
      <c r="I192" s="74"/>
      <c r="J192" s="51"/>
    </row>
    <row r="193" ht="13.5" customHeight="1">
      <c r="E193" s="51"/>
      <c r="F193" s="262"/>
      <c r="G193" s="262"/>
      <c r="H193" s="262"/>
      <c r="I193" s="74"/>
      <c r="J193" s="51"/>
    </row>
    <row r="194" ht="13.5" customHeight="1">
      <c r="E194" s="51"/>
      <c r="F194" s="262"/>
      <c r="G194" s="262"/>
      <c r="H194" s="262"/>
      <c r="I194" s="74"/>
      <c r="J194" s="51"/>
    </row>
    <row r="195" ht="13.5" customHeight="1">
      <c r="E195" s="51"/>
      <c r="F195" s="262"/>
      <c r="G195" s="262"/>
      <c r="H195" s="262"/>
      <c r="I195" s="74"/>
      <c r="J195" s="51"/>
    </row>
    <row r="196" ht="13.5" customHeight="1">
      <c r="E196" s="51"/>
      <c r="F196" s="262"/>
      <c r="G196" s="262"/>
      <c r="H196" s="262"/>
      <c r="I196" s="74"/>
      <c r="J196" s="51"/>
    </row>
    <row r="197" ht="13.5" customHeight="1">
      <c r="E197" s="51"/>
      <c r="F197" s="262"/>
      <c r="G197" s="262"/>
      <c r="H197" s="262"/>
      <c r="I197" s="74"/>
      <c r="J197" s="51"/>
    </row>
    <row r="198" ht="13.5" customHeight="1">
      <c r="E198" s="51"/>
      <c r="F198" s="262"/>
      <c r="G198" s="262"/>
      <c r="H198" s="262"/>
      <c r="I198" s="74"/>
      <c r="J198" s="51"/>
    </row>
    <row r="199" ht="13.5" customHeight="1">
      <c r="E199" s="51"/>
      <c r="F199" s="262"/>
      <c r="G199" s="262"/>
      <c r="H199" s="262"/>
      <c r="I199" s="74"/>
      <c r="J199" s="51"/>
    </row>
    <row r="200" ht="13.5" customHeight="1">
      <c r="E200" s="51"/>
      <c r="F200" s="262"/>
      <c r="G200" s="262"/>
      <c r="H200" s="262"/>
      <c r="I200" s="74"/>
      <c r="J200" s="51"/>
    </row>
    <row r="201" ht="13.5" customHeight="1">
      <c r="E201" s="51"/>
      <c r="F201" s="262"/>
      <c r="G201" s="262"/>
      <c r="H201" s="262"/>
      <c r="I201" s="74"/>
      <c r="J201" s="51"/>
    </row>
    <row r="202" ht="13.5" customHeight="1">
      <c r="E202" s="51"/>
      <c r="F202" s="262"/>
      <c r="G202" s="262"/>
      <c r="H202" s="262"/>
      <c r="I202" s="74"/>
      <c r="J202" s="51"/>
    </row>
    <row r="203" ht="13.5" customHeight="1">
      <c r="E203" s="51"/>
      <c r="F203" s="262"/>
      <c r="G203" s="262"/>
      <c r="H203" s="262"/>
      <c r="I203" s="74"/>
      <c r="J203" s="51"/>
    </row>
    <row r="204" ht="13.5" customHeight="1">
      <c r="E204" s="51"/>
      <c r="F204" s="262"/>
      <c r="G204" s="262"/>
      <c r="H204" s="262"/>
      <c r="I204" s="74"/>
      <c r="J204" s="51"/>
    </row>
    <row r="205" ht="13.5" customHeight="1">
      <c r="E205" s="51"/>
      <c r="F205" s="262"/>
      <c r="G205" s="262"/>
      <c r="H205" s="262"/>
      <c r="I205" s="74"/>
      <c r="J205" s="51"/>
    </row>
    <row r="206" ht="13.5" customHeight="1">
      <c r="E206" s="51"/>
      <c r="F206" s="262"/>
      <c r="G206" s="262"/>
      <c r="H206" s="262"/>
      <c r="I206" s="74"/>
      <c r="J206" s="51"/>
    </row>
    <row r="207" ht="13.5" customHeight="1">
      <c r="E207" s="51"/>
      <c r="F207" s="262"/>
      <c r="G207" s="262"/>
      <c r="H207" s="262"/>
      <c r="I207" s="74"/>
      <c r="J207" s="51"/>
    </row>
    <row r="208" ht="13.5" customHeight="1">
      <c r="E208" s="51"/>
      <c r="F208" s="262"/>
      <c r="G208" s="262"/>
      <c r="H208" s="262"/>
      <c r="I208" s="74"/>
      <c r="J208" s="51"/>
    </row>
    <row r="209" ht="13.5" customHeight="1">
      <c r="E209" s="51"/>
      <c r="F209" s="262"/>
      <c r="G209" s="262"/>
      <c r="H209" s="262"/>
      <c r="I209" s="74"/>
      <c r="J209" s="51"/>
    </row>
    <row r="210" ht="13.5" customHeight="1">
      <c r="E210" s="51"/>
      <c r="F210" s="262"/>
      <c r="G210" s="262"/>
      <c r="H210" s="262"/>
      <c r="I210" s="74"/>
      <c r="J210" s="51"/>
    </row>
    <row r="211" ht="13.5" customHeight="1">
      <c r="E211" s="51"/>
      <c r="F211" s="262"/>
      <c r="G211" s="262"/>
      <c r="H211" s="262"/>
      <c r="I211" s="74"/>
      <c r="J211" s="51"/>
    </row>
    <row r="212" ht="13.5" customHeight="1">
      <c r="E212" s="51"/>
      <c r="F212" s="262"/>
      <c r="G212" s="262"/>
      <c r="H212" s="262"/>
      <c r="I212" s="74"/>
      <c r="J212" s="51"/>
    </row>
    <row r="213" ht="13.5" customHeight="1">
      <c r="E213" s="51"/>
      <c r="F213" s="262"/>
      <c r="G213" s="262"/>
      <c r="H213" s="262"/>
      <c r="I213" s="74"/>
      <c r="J213" s="51"/>
    </row>
    <row r="214" ht="13.5" customHeight="1">
      <c r="E214" s="51"/>
      <c r="F214" s="262"/>
      <c r="G214" s="262"/>
      <c r="H214" s="262"/>
      <c r="I214" s="74"/>
      <c r="J214" s="51"/>
    </row>
    <row r="215" ht="13.5" customHeight="1">
      <c r="E215" s="51"/>
      <c r="F215" s="262"/>
      <c r="G215" s="262"/>
      <c r="H215" s="262"/>
      <c r="I215" s="74"/>
      <c r="J215" s="51"/>
    </row>
    <row r="216" ht="13.5" customHeight="1">
      <c r="E216" s="51"/>
      <c r="F216" s="262"/>
      <c r="G216" s="262"/>
      <c r="H216" s="262"/>
      <c r="I216" s="74"/>
      <c r="J216" s="51"/>
    </row>
    <row r="217" ht="13.5" customHeight="1">
      <c r="E217" s="51"/>
      <c r="F217" s="262"/>
      <c r="G217" s="262"/>
      <c r="H217" s="262"/>
      <c r="I217" s="74"/>
      <c r="J217" s="51"/>
    </row>
    <row r="218" ht="13.5" customHeight="1">
      <c r="E218" s="51"/>
      <c r="F218" s="262"/>
      <c r="G218" s="262"/>
      <c r="H218" s="262"/>
      <c r="I218" s="74"/>
      <c r="J218" s="51"/>
    </row>
    <row r="219" ht="13.5" customHeight="1">
      <c r="E219" s="51"/>
      <c r="F219" s="262"/>
      <c r="G219" s="262"/>
      <c r="H219" s="262"/>
      <c r="I219" s="74"/>
      <c r="J219" s="51"/>
    </row>
    <row r="220" ht="13.5" customHeight="1">
      <c r="E220" s="51"/>
      <c r="F220" s="262"/>
      <c r="G220" s="262"/>
      <c r="H220" s="262"/>
      <c r="I220" s="74"/>
      <c r="J220" s="51"/>
    </row>
    <row r="221" ht="13.5" customHeight="1">
      <c r="E221" s="51"/>
      <c r="F221" s="262"/>
      <c r="G221" s="262"/>
      <c r="H221" s="262"/>
      <c r="I221" s="74"/>
      <c r="J221" s="51"/>
    </row>
    <row r="222" ht="13.5" customHeight="1">
      <c r="E222" s="51"/>
      <c r="F222" s="262"/>
      <c r="G222" s="262"/>
      <c r="H222" s="262"/>
      <c r="I222" s="74"/>
      <c r="J222" s="51"/>
    </row>
    <row r="223" ht="13.5" customHeight="1">
      <c r="E223" s="51"/>
      <c r="F223" s="262"/>
      <c r="G223" s="262"/>
      <c r="H223" s="262"/>
      <c r="I223" s="74"/>
      <c r="J223" s="51"/>
    </row>
    <row r="224" ht="13.5" customHeight="1">
      <c r="E224" s="51"/>
      <c r="F224" s="262"/>
      <c r="G224" s="262"/>
      <c r="H224" s="262"/>
      <c r="I224" s="74"/>
      <c r="J224" s="51"/>
    </row>
    <row r="225" ht="13.5" customHeight="1">
      <c r="E225" s="51"/>
      <c r="F225" s="262"/>
      <c r="G225" s="262"/>
      <c r="H225" s="262"/>
      <c r="I225" s="74"/>
      <c r="J225" s="51"/>
    </row>
    <row r="226" ht="13.5" customHeight="1">
      <c r="E226" s="51"/>
      <c r="F226" s="262"/>
      <c r="G226" s="262"/>
      <c r="H226" s="262"/>
      <c r="I226" s="74"/>
      <c r="J226" s="51"/>
    </row>
    <row r="227" ht="13.5" customHeight="1">
      <c r="E227" s="51"/>
      <c r="F227" s="262"/>
      <c r="G227" s="262"/>
      <c r="H227" s="262"/>
      <c r="I227" s="74"/>
      <c r="J227" s="51"/>
    </row>
    <row r="228" ht="13.5" customHeight="1">
      <c r="E228" s="51"/>
      <c r="F228" s="262"/>
      <c r="G228" s="262"/>
      <c r="H228" s="262"/>
      <c r="I228" s="74"/>
      <c r="J228" s="51"/>
    </row>
    <row r="229" ht="13.5" customHeight="1">
      <c r="E229" s="51"/>
      <c r="F229" s="262"/>
      <c r="G229" s="262"/>
      <c r="H229" s="262"/>
      <c r="I229" s="74"/>
      <c r="J229" s="51"/>
    </row>
    <row r="230" ht="13.5" customHeight="1">
      <c r="E230" s="51"/>
      <c r="F230" s="262"/>
      <c r="G230" s="262"/>
      <c r="H230" s="262"/>
      <c r="I230" s="74"/>
      <c r="J230" s="51"/>
    </row>
    <row r="231" ht="13.5" customHeight="1">
      <c r="E231" s="51"/>
      <c r="F231" s="262"/>
      <c r="G231" s="262"/>
      <c r="H231" s="262"/>
      <c r="I231" s="74"/>
      <c r="J231" s="51"/>
    </row>
    <row r="232" ht="13.5" customHeight="1">
      <c r="E232" s="51"/>
      <c r="F232" s="262"/>
      <c r="G232" s="262"/>
      <c r="H232" s="262"/>
      <c r="I232" s="74"/>
      <c r="J232" s="51"/>
    </row>
    <row r="233" ht="13.5" customHeight="1">
      <c r="E233" s="51"/>
      <c r="F233" s="262"/>
      <c r="G233" s="262"/>
      <c r="H233" s="262"/>
      <c r="I233" s="74"/>
      <c r="J233" s="51"/>
    </row>
    <row r="234" ht="13.5" customHeight="1">
      <c r="E234" s="51"/>
      <c r="F234" s="262"/>
      <c r="G234" s="262"/>
      <c r="H234" s="262"/>
      <c r="I234" s="74"/>
      <c r="J234" s="51"/>
    </row>
    <row r="235" ht="13.5" customHeight="1">
      <c r="E235" s="51"/>
      <c r="F235" s="262"/>
      <c r="G235" s="262"/>
      <c r="H235" s="262"/>
      <c r="I235" s="74"/>
      <c r="J235" s="51"/>
    </row>
    <row r="236" ht="13.5" customHeight="1">
      <c r="E236" s="51"/>
      <c r="F236" s="262"/>
      <c r="G236" s="262"/>
      <c r="H236" s="262"/>
      <c r="I236" s="74"/>
      <c r="J236" s="51"/>
    </row>
    <row r="237" ht="13.5" customHeight="1">
      <c r="E237" s="51"/>
      <c r="F237" s="262"/>
      <c r="G237" s="262"/>
      <c r="H237" s="262"/>
      <c r="I237" s="74"/>
      <c r="J237" s="51"/>
    </row>
    <row r="238" ht="13.5" customHeight="1">
      <c r="E238" s="51"/>
      <c r="F238" s="262"/>
      <c r="G238" s="262"/>
      <c r="H238" s="262"/>
      <c r="I238" s="74"/>
      <c r="J238" s="51"/>
    </row>
    <row r="239" ht="13.5" customHeight="1">
      <c r="E239" s="51"/>
      <c r="F239" s="262"/>
      <c r="G239" s="262"/>
      <c r="H239" s="262"/>
      <c r="I239" s="74"/>
      <c r="J239" s="51"/>
    </row>
    <row r="240" ht="13.5" customHeight="1">
      <c r="E240" s="51"/>
      <c r="F240" s="262"/>
      <c r="G240" s="262"/>
      <c r="H240" s="262"/>
      <c r="I240" s="74"/>
      <c r="J240" s="51"/>
    </row>
    <row r="241" ht="13.5" customHeight="1">
      <c r="E241" s="51"/>
      <c r="F241" s="262"/>
      <c r="G241" s="262"/>
      <c r="H241" s="262"/>
      <c r="I241" s="74"/>
      <c r="J241" s="51"/>
    </row>
    <row r="242" ht="13.5" customHeight="1">
      <c r="E242" s="51"/>
      <c r="F242" s="262"/>
      <c r="G242" s="262"/>
      <c r="H242" s="262"/>
      <c r="I242" s="74"/>
      <c r="J242" s="51"/>
    </row>
    <row r="243" ht="13.5" customHeight="1">
      <c r="E243" s="51"/>
      <c r="F243" s="262"/>
      <c r="G243" s="262"/>
      <c r="H243" s="262"/>
      <c r="I243" s="74"/>
      <c r="J243" s="51"/>
    </row>
    <row r="244" ht="13.5" customHeight="1">
      <c r="E244" s="51"/>
      <c r="F244" s="262"/>
      <c r="G244" s="262"/>
      <c r="H244" s="262"/>
      <c r="I244" s="74"/>
      <c r="J244" s="51"/>
    </row>
    <row r="245" ht="13.5" customHeight="1">
      <c r="E245" s="51"/>
      <c r="F245" s="262"/>
      <c r="G245" s="262"/>
      <c r="H245" s="262"/>
      <c r="I245" s="74"/>
      <c r="J245" s="51"/>
    </row>
    <row r="246" ht="13.5" customHeight="1">
      <c r="E246" s="51"/>
      <c r="F246" s="262"/>
      <c r="G246" s="262"/>
      <c r="H246" s="262"/>
      <c r="I246" s="74"/>
      <c r="J246" s="51"/>
    </row>
    <row r="247" ht="13.5" customHeight="1">
      <c r="E247" s="51"/>
      <c r="F247" s="262"/>
      <c r="G247" s="262"/>
      <c r="H247" s="262"/>
      <c r="I247" s="74"/>
      <c r="J247" s="51"/>
    </row>
    <row r="248" ht="13.5" customHeight="1">
      <c r="E248" s="51"/>
      <c r="F248" s="262"/>
      <c r="G248" s="262"/>
      <c r="H248" s="262"/>
      <c r="I248" s="74"/>
      <c r="J248" s="51"/>
    </row>
    <row r="249" ht="13.5" customHeight="1">
      <c r="E249" s="51"/>
      <c r="F249" s="262"/>
      <c r="G249" s="262"/>
      <c r="H249" s="262"/>
      <c r="I249" s="74"/>
      <c r="J249" s="51"/>
    </row>
    <row r="250" ht="13.5" customHeight="1">
      <c r="E250" s="51"/>
      <c r="F250" s="262"/>
      <c r="G250" s="262"/>
      <c r="H250" s="262"/>
      <c r="I250" s="74"/>
      <c r="J250" s="51"/>
    </row>
    <row r="251" ht="13.5" customHeight="1">
      <c r="E251" s="51"/>
      <c r="F251" s="262"/>
      <c r="G251" s="262"/>
      <c r="H251" s="262"/>
      <c r="I251" s="74"/>
      <c r="J251" s="51"/>
    </row>
    <row r="252" ht="13.5" customHeight="1">
      <c r="E252" s="51"/>
      <c r="F252" s="262"/>
      <c r="G252" s="262"/>
      <c r="H252" s="262"/>
      <c r="I252" s="74"/>
      <c r="J252" s="51"/>
    </row>
    <row r="253" ht="13.5" customHeight="1">
      <c r="E253" s="51"/>
      <c r="F253" s="262"/>
      <c r="G253" s="262"/>
      <c r="H253" s="262"/>
      <c r="I253" s="74"/>
      <c r="J253" s="51"/>
    </row>
    <row r="254" ht="13.5" customHeight="1">
      <c r="E254" s="51"/>
      <c r="F254" s="262"/>
      <c r="G254" s="262"/>
      <c r="H254" s="262"/>
      <c r="I254" s="74"/>
      <c r="J254" s="51"/>
    </row>
    <row r="255" ht="13.5" customHeight="1">
      <c r="E255" s="51"/>
      <c r="F255" s="262"/>
      <c r="G255" s="262"/>
      <c r="H255" s="262"/>
      <c r="I255" s="74"/>
      <c r="J255" s="51"/>
    </row>
    <row r="256" ht="13.5" customHeight="1">
      <c r="E256" s="51"/>
      <c r="F256" s="262"/>
      <c r="G256" s="262"/>
      <c r="H256" s="262"/>
      <c r="I256" s="74"/>
      <c r="J256" s="51"/>
    </row>
    <row r="257" ht="13.5" customHeight="1">
      <c r="E257" s="51"/>
      <c r="F257" s="262"/>
      <c r="G257" s="262"/>
      <c r="H257" s="262"/>
      <c r="I257" s="74"/>
      <c r="J257" s="51"/>
    </row>
    <row r="258" ht="13.5" customHeight="1">
      <c r="E258" s="51"/>
      <c r="F258" s="262"/>
      <c r="G258" s="262"/>
      <c r="H258" s="262"/>
      <c r="I258" s="74"/>
      <c r="J258" s="51"/>
    </row>
    <row r="259" ht="13.5" customHeight="1">
      <c r="E259" s="51"/>
      <c r="F259" s="262"/>
      <c r="G259" s="262"/>
      <c r="H259" s="262"/>
      <c r="I259" s="74"/>
      <c r="J259" s="51"/>
    </row>
    <row r="260" ht="13.5" customHeight="1">
      <c r="E260" s="51"/>
      <c r="F260" s="262"/>
      <c r="G260" s="262"/>
      <c r="H260" s="262"/>
      <c r="I260" s="74"/>
      <c r="J260" s="51"/>
    </row>
    <row r="261" ht="13.5" customHeight="1">
      <c r="E261" s="51"/>
      <c r="F261" s="262"/>
      <c r="G261" s="262"/>
      <c r="H261" s="262"/>
      <c r="I261" s="74"/>
      <c r="J261" s="51"/>
    </row>
    <row r="262" ht="13.5" customHeight="1">
      <c r="E262" s="51"/>
      <c r="F262" s="262"/>
      <c r="G262" s="262"/>
      <c r="H262" s="262"/>
      <c r="I262" s="74"/>
      <c r="J262" s="51"/>
    </row>
    <row r="263" ht="13.5" customHeight="1">
      <c r="E263" s="51"/>
      <c r="F263" s="262"/>
      <c r="G263" s="262"/>
      <c r="H263" s="262"/>
      <c r="I263" s="74"/>
      <c r="J263" s="51"/>
    </row>
    <row r="264" ht="13.5" customHeight="1">
      <c r="E264" s="51"/>
      <c r="F264" s="262"/>
      <c r="G264" s="262"/>
      <c r="H264" s="262"/>
      <c r="I264" s="74"/>
      <c r="J264" s="51"/>
    </row>
    <row r="265" ht="13.5" customHeight="1">
      <c r="E265" s="51"/>
      <c r="F265" s="262"/>
      <c r="G265" s="262"/>
      <c r="H265" s="262"/>
      <c r="I265" s="74"/>
      <c r="J265" s="51"/>
    </row>
    <row r="266" ht="13.5" customHeight="1">
      <c r="E266" s="51"/>
      <c r="F266" s="262"/>
      <c r="G266" s="262"/>
      <c r="H266" s="262"/>
      <c r="I266" s="74"/>
      <c r="J266" s="51"/>
    </row>
    <row r="267" ht="13.5" customHeight="1">
      <c r="E267" s="51"/>
      <c r="F267" s="262"/>
      <c r="G267" s="262"/>
      <c r="H267" s="262"/>
      <c r="I267" s="74"/>
      <c r="J267" s="51"/>
    </row>
    <row r="268" ht="13.5" customHeight="1">
      <c r="E268" s="51"/>
      <c r="F268" s="262"/>
      <c r="G268" s="262"/>
      <c r="H268" s="262"/>
      <c r="I268" s="74"/>
      <c r="J268" s="51"/>
    </row>
    <row r="269" ht="13.5" customHeight="1">
      <c r="E269" s="51"/>
      <c r="F269" s="262"/>
      <c r="G269" s="262"/>
      <c r="H269" s="262"/>
      <c r="I269" s="74"/>
      <c r="J269" s="51"/>
    </row>
    <row r="270" ht="13.5" customHeight="1">
      <c r="E270" s="51"/>
      <c r="F270" s="262"/>
      <c r="G270" s="262"/>
      <c r="H270" s="262"/>
      <c r="I270" s="74"/>
      <c r="J270" s="51"/>
    </row>
    <row r="271" ht="13.5" customHeight="1">
      <c r="E271" s="51"/>
      <c r="F271" s="262"/>
      <c r="G271" s="262"/>
      <c r="H271" s="262"/>
      <c r="I271" s="74"/>
      <c r="J271" s="51"/>
    </row>
    <row r="272" ht="13.5" customHeight="1">
      <c r="E272" s="51"/>
      <c r="F272" s="262"/>
      <c r="G272" s="262"/>
      <c r="H272" s="262"/>
      <c r="I272" s="74"/>
      <c r="J272" s="51"/>
    </row>
    <row r="273" ht="13.5" customHeight="1">
      <c r="E273" s="51"/>
      <c r="F273" s="262"/>
      <c r="G273" s="262"/>
      <c r="H273" s="262"/>
      <c r="I273" s="74"/>
      <c r="J273" s="51"/>
    </row>
    <row r="274" ht="13.5" customHeight="1">
      <c r="E274" s="51"/>
      <c r="F274" s="262"/>
      <c r="G274" s="262"/>
      <c r="H274" s="262"/>
      <c r="I274" s="74"/>
      <c r="J274" s="51"/>
    </row>
    <row r="275" ht="13.5" customHeight="1">
      <c r="E275" s="51"/>
      <c r="F275" s="262"/>
      <c r="G275" s="262"/>
      <c r="H275" s="262"/>
      <c r="I275" s="74"/>
      <c r="J275" s="51"/>
    </row>
    <row r="276" ht="13.5" customHeight="1">
      <c r="E276" s="51"/>
      <c r="F276" s="262"/>
      <c r="G276" s="262"/>
      <c r="H276" s="262"/>
      <c r="I276" s="74"/>
      <c r="J276" s="51"/>
    </row>
    <row r="277" ht="13.5" customHeight="1">
      <c r="E277" s="51"/>
      <c r="F277" s="262"/>
      <c r="G277" s="262"/>
      <c r="H277" s="262"/>
      <c r="I277" s="74"/>
      <c r="J277" s="51"/>
    </row>
    <row r="278" ht="13.5" customHeight="1">
      <c r="E278" s="51"/>
      <c r="F278" s="262"/>
      <c r="G278" s="262"/>
      <c r="H278" s="262"/>
      <c r="I278" s="74"/>
      <c r="J278" s="51"/>
    </row>
    <row r="279" ht="13.5" customHeight="1">
      <c r="E279" s="51"/>
      <c r="F279" s="262"/>
      <c r="G279" s="262"/>
      <c r="H279" s="262"/>
      <c r="I279" s="74"/>
      <c r="J279" s="51"/>
    </row>
    <row r="280" ht="13.5" customHeight="1">
      <c r="E280" s="51"/>
      <c r="F280" s="262"/>
      <c r="G280" s="262"/>
      <c r="H280" s="262"/>
      <c r="I280" s="74"/>
      <c r="J280" s="51"/>
    </row>
    <row r="281" ht="13.5" customHeight="1">
      <c r="E281" s="51"/>
      <c r="F281" s="262"/>
      <c r="G281" s="262"/>
      <c r="H281" s="262"/>
      <c r="I281" s="74"/>
      <c r="J281" s="51"/>
    </row>
    <row r="282" ht="13.5" customHeight="1">
      <c r="E282" s="51"/>
      <c r="F282" s="262"/>
      <c r="G282" s="262"/>
      <c r="H282" s="262"/>
      <c r="I282" s="74"/>
      <c r="J282" s="51"/>
    </row>
    <row r="283" ht="13.5" customHeight="1">
      <c r="E283" s="51"/>
      <c r="F283" s="262"/>
      <c r="G283" s="262"/>
      <c r="H283" s="262"/>
      <c r="I283" s="74"/>
      <c r="J283" s="51"/>
    </row>
    <row r="284" ht="13.5" customHeight="1">
      <c r="E284" s="51"/>
      <c r="F284" s="262"/>
      <c r="G284" s="262"/>
      <c r="H284" s="262"/>
      <c r="I284" s="74"/>
      <c r="J284" s="51"/>
    </row>
    <row r="285" ht="13.5" customHeight="1">
      <c r="E285" s="51"/>
      <c r="F285" s="262"/>
      <c r="G285" s="262"/>
      <c r="H285" s="262"/>
      <c r="I285" s="74"/>
      <c r="J285" s="51"/>
    </row>
    <row r="286" ht="13.5" customHeight="1">
      <c r="E286" s="51"/>
      <c r="F286" s="262"/>
      <c r="G286" s="262"/>
      <c r="H286" s="262"/>
      <c r="I286" s="74"/>
      <c r="J286" s="51"/>
    </row>
    <row r="287" ht="13.5" customHeight="1">
      <c r="E287" s="51"/>
      <c r="F287" s="262"/>
      <c r="G287" s="262"/>
      <c r="H287" s="262"/>
      <c r="I287" s="74"/>
      <c r="J287" s="51"/>
    </row>
    <row r="288" ht="13.5" customHeight="1">
      <c r="E288" s="51"/>
      <c r="F288" s="262"/>
      <c r="G288" s="262"/>
      <c r="H288" s="262"/>
      <c r="I288" s="74"/>
      <c r="J288" s="51"/>
    </row>
    <row r="289" ht="13.5" customHeight="1">
      <c r="E289" s="51"/>
      <c r="F289" s="262"/>
      <c r="G289" s="262"/>
      <c r="H289" s="262"/>
      <c r="I289" s="74"/>
      <c r="J289" s="51"/>
    </row>
    <row r="290" ht="13.5" customHeight="1">
      <c r="E290" s="51"/>
      <c r="F290" s="262"/>
      <c r="G290" s="262"/>
      <c r="H290" s="262"/>
      <c r="I290" s="74"/>
      <c r="J290" s="51"/>
    </row>
    <row r="291" ht="13.5" customHeight="1">
      <c r="E291" s="51"/>
      <c r="F291" s="262"/>
      <c r="G291" s="262"/>
      <c r="H291" s="262"/>
      <c r="I291" s="74"/>
      <c r="J291" s="51"/>
    </row>
    <row r="292" ht="13.5" customHeight="1">
      <c r="E292" s="51"/>
      <c r="F292" s="262"/>
      <c r="G292" s="262"/>
      <c r="H292" s="262"/>
      <c r="I292" s="74"/>
      <c r="J292" s="51"/>
    </row>
    <row r="293" ht="13.5" customHeight="1">
      <c r="E293" s="51"/>
      <c r="F293" s="262"/>
      <c r="G293" s="262"/>
      <c r="H293" s="262"/>
      <c r="I293" s="74"/>
      <c r="J293" s="51"/>
    </row>
    <row r="294" ht="13.5" customHeight="1">
      <c r="E294" s="51"/>
      <c r="F294" s="262"/>
      <c r="G294" s="262"/>
      <c r="H294" s="262"/>
      <c r="I294" s="74"/>
      <c r="J294" s="51"/>
    </row>
    <row r="295" ht="13.5" customHeight="1">
      <c r="E295" s="51"/>
      <c r="F295" s="262"/>
      <c r="G295" s="262"/>
      <c r="H295" s="262"/>
      <c r="I295" s="74"/>
      <c r="J295" s="51"/>
    </row>
    <row r="296" ht="13.5" customHeight="1">
      <c r="E296" s="51"/>
      <c r="F296" s="262"/>
      <c r="G296" s="262"/>
      <c r="H296" s="262"/>
      <c r="I296" s="74"/>
      <c r="J296" s="51"/>
    </row>
    <row r="297" ht="13.5" customHeight="1">
      <c r="E297" s="51"/>
      <c r="F297" s="262"/>
      <c r="G297" s="262"/>
      <c r="H297" s="262"/>
      <c r="I297" s="74"/>
      <c r="J297" s="51"/>
    </row>
    <row r="298" ht="13.5" customHeight="1">
      <c r="E298" s="51"/>
      <c r="F298" s="262"/>
      <c r="G298" s="262"/>
      <c r="H298" s="262"/>
      <c r="I298" s="74"/>
      <c r="J298" s="51"/>
    </row>
    <row r="299" ht="13.5" customHeight="1">
      <c r="E299" s="51"/>
      <c r="F299" s="262"/>
      <c r="G299" s="262"/>
      <c r="H299" s="262"/>
      <c r="I299" s="74"/>
      <c r="J299" s="51"/>
    </row>
    <row r="300" ht="13.5" customHeight="1">
      <c r="E300" s="51"/>
      <c r="F300" s="262"/>
      <c r="G300" s="262"/>
      <c r="H300" s="262"/>
      <c r="I300" s="74"/>
      <c r="J300" s="51"/>
    </row>
    <row r="301" ht="13.5" customHeight="1">
      <c r="E301" s="51"/>
      <c r="F301" s="262"/>
      <c r="G301" s="262"/>
      <c r="H301" s="262"/>
      <c r="I301" s="74"/>
      <c r="J301" s="51"/>
    </row>
    <row r="302" ht="13.5" customHeight="1">
      <c r="E302" s="51"/>
      <c r="F302" s="262"/>
      <c r="G302" s="262"/>
      <c r="H302" s="262"/>
      <c r="I302" s="74"/>
      <c r="J302" s="51"/>
    </row>
    <row r="303" ht="13.5" customHeight="1">
      <c r="E303" s="51"/>
      <c r="F303" s="262"/>
      <c r="G303" s="262"/>
      <c r="H303" s="262"/>
      <c r="I303" s="74"/>
      <c r="J303" s="51"/>
    </row>
    <row r="304" ht="13.5" customHeight="1">
      <c r="E304" s="51"/>
      <c r="F304" s="262"/>
      <c r="G304" s="262"/>
      <c r="H304" s="262"/>
      <c r="I304" s="74"/>
      <c r="J304" s="51"/>
    </row>
    <row r="305" ht="13.5" customHeight="1">
      <c r="E305" s="51"/>
      <c r="F305" s="262"/>
      <c r="G305" s="262"/>
      <c r="H305" s="262"/>
      <c r="I305" s="74"/>
      <c r="J305" s="51"/>
    </row>
    <row r="306" ht="13.5" customHeight="1">
      <c r="E306" s="51"/>
      <c r="F306" s="262"/>
      <c r="G306" s="262"/>
      <c r="H306" s="262"/>
      <c r="I306" s="74"/>
      <c r="J306" s="51"/>
    </row>
    <row r="307" ht="13.5" customHeight="1">
      <c r="E307" s="51"/>
      <c r="F307" s="262"/>
      <c r="G307" s="262"/>
      <c r="H307" s="262"/>
      <c r="I307" s="74"/>
      <c r="J307" s="51"/>
    </row>
    <row r="308" ht="13.5" customHeight="1">
      <c r="E308" s="51"/>
      <c r="F308" s="262"/>
      <c r="G308" s="262"/>
      <c r="H308" s="262"/>
      <c r="I308" s="74"/>
      <c r="J308" s="51"/>
    </row>
    <row r="309" ht="13.5" customHeight="1">
      <c r="E309" s="51"/>
      <c r="F309" s="262"/>
      <c r="G309" s="262"/>
      <c r="H309" s="262"/>
      <c r="I309" s="74"/>
      <c r="J309" s="51"/>
    </row>
    <row r="310" ht="13.5" customHeight="1">
      <c r="E310" s="51"/>
      <c r="F310" s="262"/>
      <c r="G310" s="262"/>
      <c r="H310" s="262"/>
      <c r="I310" s="74"/>
      <c r="J310" s="51"/>
    </row>
    <row r="311" ht="13.5" customHeight="1">
      <c r="E311" s="51"/>
      <c r="F311" s="262"/>
      <c r="G311" s="262"/>
      <c r="H311" s="262"/>
      <c r="I311" s="74"/>
      <c r="J311" s="51"/>
    </row>
    <row r="312" ht="13.5" customHeight="1">
      <c r="E312" s="51"/>
      <c r="F312" s="262"/>
      <c r="G312" s="262"/>
      <c r="H312" s="262"/>
      <c r="I312" s="74"/>
      <c r="J312" s="51"/>
    </row>
    <row r="313" ht="13.5" customHeight="1">
      <c r="E313" s="51"/>
      <c r="F313" s="262"/>
      <c r="G313" s="262"/>
      <c r="H313" s="262"/>
      <c r="I313" s="74"/>
      <c r="J313" s="51"/>
    </row>
    <row r="314" ht="13.5" customHeight="1">
      <c r="E314" s="51"/>
      <c r="F314" s="262"/>
      <c r="G314" s="262"/>
      <c r="H314" s="262"/>
      <c r="I314" s="74"/>
      <c r="J314" s="51"/>
    </row>
    <row r="315" ht="13.5" customHeight="1">
      <c r="E315" s="51"/>
      <c r="F315" s="262"/>
      <c r="G315" s="262"/>
      <c r="H315" s="262"/>
      <c r="I315" s="74"/>
      <c r="J315" s="51"/>
    </row>
    <row r="316" ht="13.5" customHeight="1">
      <c r="E316" s="51"/>
      <c r="F316" s="262"/>
      <c r="G316" s="262"/>
      <c r="H316" s="262"/>
      <c r="I316" s="74"/>
      <c r="J316" s="51"/>
    </row>
    <row r="317" ht="13.5" customHeight="1">
      <c r="E317" s="51"/>
      <c r="F317" s="262"/>
      <c r="G317" s="262"/>
      <c r="H317" s="262"/>
      <c r="I317" s="74"/>
      <c r="J317" s="51"/>
    </row>
    <row r="318" ht="13.5" customHeight="1">
      <c r="E318" s="51"/>
      <c r="F318" s="262"/>
      <c r="G318" s="262"/>
      <c r="H318" s="262"/>
      <c r="I318" s="74"/>
      <c r="J318" s="51"/>
    </row>
    <row r="319" ht="13.5" customHeight="1">
      <c r="E319" s="51"/>
      <c r="F319" s="262"/>
      <c r="G319" s="262"/>
      <c r="H319" s="262"/>
      <c r="I319" s="74"/>
      <c r="J319" s="51"/>
    </row>
    <row r="320" ht="13.5" customHeight="1">
      <c r="E320" s="51"/>
      <c r="F320" s="262"/>
      <c r="G320" s="262"/>
      <c r="H320" s="262"/>
      <c r="I320" s="74"/>
      <c r="J320" s="51"/>
    </row>
    <row r="321" ht="13.5" customHeight="1">
      <c r="E321" s="51"/>
      <c r="F321" s="262"/>
      <c r="G321" s="262"/>
      <c r="H321" s="262"/>
      <c r="I321" s="74"/>
      <c r="J321" s="51"/>
    </row>
    <row r="322" ht="13.5" customHeight="1">
      <c r="E322" s="51"/>
      <c r="F322" s="262"/>
      <c r="G322" s="262"/>
      <c r="H322" s="262"/>
      <c r="I322" s="74"/>
      <c r="J322" s="51"/>
    </row>
    <row r="323" ht="13.5" customHeight="1">
      <c r="E323" s="51"/>
      <c r="F323" s="262"/>
      <c r="G323" s="262"/>
      <c r="H323" s="262"/>
      <c r="I323" s="74"/>
      <c r="J323" s="51"/>
    </row>
    <row r="324" ht="13.5" customHeight="1">
      <c r="E324" s="51"/>
      <c r="F324" s="262"/>
      <c r="G324" s="262"/>
      <c r="H324" s="262"/>
      <c r="I324" s="74"/>
      <c r="J324" s="51"/>
    </row>
    <row r="325" ht="13.5" customHeight="1">
      <c r="E325" s="51"/>
      <c r="F325" s="262"/>
      <c r="G325" s="262"/>
      <c r="H325" s="262"/>
      <c r="I325" s="74"/>
      <c r="J325" s="51"/>
    </row>
    <row r="326" ht="13.5" customHeight="1">
      <c r="E326" s="51"/>
      <c r="F326" s="262"/>
      <c r="G326" s="262"/>
      <c r="H326" s="262"/>
      <c r="I326" s="74"/>
      <c r="J326" s="51"/>
    </row>
    <row r="327" ht="13.5" customHeight="1">
      <c r="E327" s="51"/>
      <c r="F327" s="262"/>
      <c r="G327" s="262"/>
      <c r="H327" s="262"/>
      <c r="I327" s="74"/>
      <c r="J327" s="51"/>
    </row>
    <row r="328" ht="13.5" customHeight="1">
      <c r="E328" s="51"/>
      <c r="F328" s="262"/>
      <c r="G328" s="262"/>
      <c r="H328" s="262"/>
      <c r="I328" s="74"/>
      <c r="J328" s="51"/>
    </row>
    <row r="329" ht="13.5" customHeight="1">
      <c r="E329" s="51"/>
      <c r="F329" s="262"/>
      <c r="G329" s="262"/>
      <c r="H329" s="262"/>
      <c r="I329" s="74"/>
      <c r="J329" s="51"/>
    </row>
    <row r="330" ht="13.5" customHeight="1">
      <c r="E330" s="51"/>
      <c r="F330" s="262"/>
      <c r="G330" s="262"/>
      <c r="H330" s="262"/>
      <c r="I330" s="74"/>
      <c r="J330" s="51"/>
    </row>
    <row r="331" ht="13.5" customHeight="1">
      <c r="E331" s="51"/>
      <c r="F331" s="262"/>
      <c r="G331" s="262"/>
      <c r="H331" s="262"/>
      <c r="I331" s="74"/>
      <c r="J331" s="51"/>
    </row>
    <row r="332" ht="13.5" customHeight="1">
      <c r="E332" s="51"/>
      <c r="F332" s="262"/>
      <c r="G332" s="262"/>
      <c r="H332" s="262"/>
      <c r="I332" s="74"/>
      <c r="J332" s="51"/>
    </row>
    <row r="333" ht="13.5" customHeight="1">
      <c r="E333" s="51"/>
      <c r="F333" s="262"/>
      <c r="G333" s="262"/>
      <c r="H333" s="262"/>
      <c r="I333" s="74"/>
      <c r="J333" s="51"/>
    </row>
    <row r="334" ht="13.5" customHeight="1">
      <c r="E334" s="51"/>
      <c r="F334" s="262"/>
      <c r="G334" s="262"/>
      <c r="H334" s="262"/>
      <c r="I334" s="74"/>
      <c r="J334" s="51"/>
    </row>
    <row r="335" ht="13.5" customHeight="1">
      <c r="E335" s="51"/>
      <c r="F335" s="262"/>
      <c r="G335" s="262"/>
      <c r="H335" s="262"/>
      <c r="I335" s="74"/>
      <c r="J335" s="51"/>
    </row>
    <row r="336" ht="13.5" customHeight="1">
      <c r="E336" s="51"/>
      <c r="F336" s="262"/>
      <c r="G336" s="262"/>
      <c r="H336" s="262"/>
      <c r="I336" s="74"/>
      <c r="J336" s="51"/>
    </row>
    <row r="337" ht="13.5" customHeight="1">
      <c r="E337" s="51"/>
      <c r="F337" s="262"/>
      <c r="G337" s="262"/>
      <c r="H337" s="262"/>
      <c r="I337" s="74"/>
      <c r="J337" s="51"/>
    </row>
    <row r="338" ht="13.5" customHeight="1">
      <c r="E338" s="51"/>
      <c r="F338" s="262"/>
      <c r="G338" s="262"/>
      <c r="H338" s="262"/>
      <c r="I338" s="74"/>
      <c r="J338" s="51"/>
    </row>
    <row r="339" ht="13.5" customHeight="1">
      <c r="E339" s="51"/>
      <c r="F339" s="262"/>
      <c r="G339" s="262"/>
      <c r="H339" s="262"/>
      <c r="I339" s="74"/>
      <c r="J339" s="51"/>
    </row>
    <row r="340" ht="13.5" customHeight="1">
      <c r="E340" s="51"/>
      <c r="F340" s="262"/>
      <c r="G340" s="262"/>
      <c r="H340" s="262"/>
      <c r="I340" s="74"/>
      <c r="J340" s="51"/>
    </row>
    <row r="341" ht="13.5" customHeight="1">
      <c r="E341" s="51"/>
      <c r="F341" s="262"/>
      <c r="G341" s="262"/>
      <c r="H341" s="262"/>
      <c r="I341" s="74"/>
      <c r="J341" s="51"/>
    </row>
    <row r="342" ht="13.5" customHeight="1">
      <c r="E342" s="51"/>
      <c r="F342" s="262"/>
      <c r="G342" s="262"/>
      <c r="H342" s="262"/>
      <c r="I342" s="74"/>
      <c r="J342" s="51"/>
    </row>
    <row r="343" ht="13.5" customHeight="1">
      <c r="E343" s="51"/>
      <c r="F343" s="262"/>
      <c r="G343" s="262"/>
      <c r="H343" s="262"/>
      <c r="I343" s="74"/>
      <c r="J343" s="51"/>
    </row>
    <row r="344" ht="13.5" customHeight="1">
      <c r="E344" s="51"/>
      <c r="F344" s="262"/>
      <c r="G344" s="262"/>
      <c r="H344" s="262"/>
      <c r="I344" s="74"/>
      <c r="J344" s="51"/>
    </row>
    <row r="345" ht="13.5" customHeight="1">
      <c r="E345" s="51"/>
      <c r="F345" s="262"/>
      <c r="G345" s="262"/>
      <c r="H345" s="262"/>
      <c r="I345" s="74"/>
      <c r="J345" s="51"/>
    </row>
    <row r="346" ht="13.5" customHeight="1">
      <c r="E346" s="51"/>
      <c r="F346" s="262"/>
      <c r="G346" s="262"/>
      <c r="H346" s="262"/>
      <c r="I346" s="74"/>
      <c r="J346" s="51"/>
    </row>
    <row r="347" ht="13.5" customHeight="1">
      <c r="E347" s="51"/>
      <c r="F347" s="262"/>
      <c r="G347" s="262"/>
      <c r="H347" s="262"/>
      <c r="I347" s="74"/>
      <c r="J347" s="51"/>
    </row>
    <row r="348" ht="13.5" customHeight="1">
      <c r="E348" s="51"/>
      <c r="F348" s="262"/>
      <c r="G348" s="262"/>
      <c r="H348" s="262"/>
      <c r="I348" s="74"/>
      <c r="J348" s="51"/>
    </row>
    <row r="349" ht="13.5" customHeight="1">
      <c r="E349" s="51"/>
      <c r="F349" s="262"/>
      <c r="G349" s="262"/>
      <c r="H349" s="262"/>
      <c r="I349" s="74"/>
      <c r="J349" s="51"/>
    </row>
    <row r="350" ht="13.5" customHeight="1">
      <c r="E350" s="51"/>
      <c r="F350" s="262"/>
      <c r="G350" s="262"/>
      <c r="H350" s="262"/>
      <c r="I350" s="74"/>
      <c r="J350" s="51"/>
    </row>
    <row r="351" ht="13.5" customHeight="1">
      <c r="E351" s="51"/>
      <c r="F351" s="262"/>
      <c r="G351" s="262"/>
      <c r="H351" s="262"/>
      <c r="I351" s="74"/>
      <c r="J351" s="51"/>
    </row>
    <row r="352" ht="13.5" customHeight="1">
      <c r="E352" s="51"/>
      <c r="F352" s="262"/>
      <c r="G352" s="262"/>
      <c r="H352" s="262"/>
      <c r="I352" s="74"/>
      <c r="J352" s="51"/>
    </row>
    <row r="353" ht="13.5" customHeight="1">
      <c r="E353" s="51"/>
      <c r="F353" s="262"/>
      <c r="G353" s="262"/>
      <c r="H353" s="262"/>
      <c r="I353" s="74"/>
      <c r="J353" s="51"/>
    </row>
    <row r="354" ht="13.5" customHeight="1">
      <c r="E354" s="51"/>
      <c r="F354" s="262"/>
      <c r="G354" s="262"/>
      <c r="H354" s="262"/>
      <c r="I354" s="74"/>
      <c r="J354" s="51"/>
    </row>
    <row r="355" ht="13.5" customHeight="1">
      <c r="E355" s="51"/>
      <c r="F355" s="262"/>
      <c r="G355" s="262"/>
      <c r="H355" s="262"/>
      <c r="I355" s="74"/>
      <c r="J355" s="51"/>
    </row>
    <row r="356" ht="13.5" customHeight="1">
      <c r="E356" s="51"/>
      <c r="F356" s="262"/>
      <c r="G356" s="262"/>
      <c r="H356" s="262"/>
      <c r="I356" s="74"/>
      <c r="J356" s="51"/>
    </row>
    <row r="357" ht="13.5" customHeight="1">
      <c r="E357" s="51"/>
      <c r="F357" s="262"/>
      <c r="G357" s="262"/>
      <c r="H357" s="262"/>
      <c r="I357" s="74"/>
      <c r="J357" s="51"/>
    </row>
    <row r="358" ht="13.5" customHeight="1">
      <c r="E358" s="51"/>
      <c r="F358" s="262"/>
      <c r="G358" s="262"/>
      <c r="H358" s="262"/>
      <c r="I358" s="74"/>
      <c r="J358" s="51"/>
    </row>
    <row r="359" ht="13.5" customHeight="1">
      <c r="E359" s="51"/>
      <c r="F359" s="262"/>
      <c r="G359" s="262"/>
      <c r="H359" s="262"/>
      <c r="I359" s="74"/>
      <c r="J359" s="51"/>
    </row>
    <row r="360" ht="13.5" customHeight="1">
      <c r="E360" s="51"/>
      <c r="F360" s="262"/>
      <c r="G360" s="262"/>
      <c r="H360" s="262"/>
      <c r="I360" s="74"/>
      <c r="J360" s="51"/>
    </row>
    <row r="361" ht="13.5" customHeight="1">
      <c r="E361" s="51"/>
      <c r="F361" s="262"/>
      <c r="G361" s="262"/>
      <c r="H361" s="262"/>
      <c r="I361" s="74"/>
      <c r="J361" s="51"/>
    </row>
    <row r="362" ht="13.5" customHeight="1">
      <c r="E362" s="51"/>
      <c r="F362" s="262"/>
      <c r="G362" s="262"/>
      <c r="H362" s="262"/>
      <c r="I362" s="74"/>
      <c r="J362" s="51"/>
    </row>
    <row r="363" ht="13.5" customHeight="1">
      <c r="E363" s="51"/>
      <c r="F363" s="262"/>
      <c r="G363" s="262"/>
      <c r="H363" s="262"/>
      <c r="I363" s="74"/>
      <c r="J363" s="51"/>
    </row>
    <row r="364" ht="13.5" customHeight="1">
      <c r="E364" s="51"/>
      <c r="F364" s="262"/>
      <c r="G364" s="262"/>
      <c r="H364" s="262"/>
      <c r="I364" s="74"/>
      <c r="J364" s="51"/>
    </row>
    <row r="365" ht="13.5" customHeight="1">
      <c r="E365" s="51"/>
      <c r="F365" s="262"/>
      <c r="G365" s="262"/>
      <c r="H365" s="262"/>
      <c r="I365" s="74"/>
      <c r="J365" s="51"/>
    </row>
    <row r="366" ht="13.5" customHeight="1">
      <c r="E366" s="51"/>
      <c r="F366" s="262"/>
      <c r="G366" s="262"/>
      <c r="H366" s="262"/>
      <c r="I366" s="74"/>
      <c r="J366" s="51"/>
    </row>
    <row r="367" ht="13.5" customHeight="1">
      <c r="E367" s="51"/>
      <c r="F367" s="262"/>
      <c r="G367" s="262"/>
      <c r="H367" s="262"/>
      <c r="I367" s="74"/>
      <c r="J367" s="51"/>
    </row>
    <row r="368" ht="13.5" customHeight="1">
      <c r="E368" s="51"/>
      <c r="F368" s="262"/>
      <c r="G368" s="262"/>
      <c r="H368" s="262"/>
      <c r="I368" s="74"/>
      <c r="J368" s="51"/>
    </row>
    <row r="369" ht="13.5" customHeight="1">
      <c r="E369" s="51"/>
      <c r="F369" s="262"/>
      <c r="G369" s="262"/>
      <c r="H369" s="262"/>
      <c r="I369" s="74"/>
      <c r="J369" s="51"/>
    </row>
    <row r="370" ht="13.5" customHeight="1">
      <c r="E370" s="51"/>
      <c r="F370" s="262"/>
      <c r="G370" s="262"/>
      <c r="H370" s="262"/>
      <c r="I370" s="74"/>
      <c r="J370" s="51"/>
    </row>
    <row r="371" ht="13.5" customHeight="1">
      <c r="E371" s="51"/>
      <c r="F371" s="262"/>
      <c r="G371" s="262"/>
      <c r="H371" s="262"/>
      <c r="I371" s="74"/>
      <c r="J371" s="51"/>
    </row>
    <row r="372" ht="13.5" customHeight="1">
      <c r="E372" s="51"/>
      <c r="F372" s="262"/>
      <c r="G372" s="262"/>
      <c r="H372" s="262"/>
      <c r="I372" s="74"/>
      <c r="J372" s="51"/>
    </row>
    <row r="373" ht="13.5" customHeight="1">
      <c r="E373" s="51"/>
      <c r="F373" s="262"/>
      <c r="G373" s="262"/>
      <c r="H373" s="262"/>
      <c r="I373" s="74"/>
      <c r="J373" s="51"/>
    </row>
    <row r="374" ht="13.5" customHeight="1">
      <c r="E374" s="51"/>
      <c r="F374" s="262"/>
      <c r="G374" s="262"/>
      <c r="H374" s="262"/>
      <c r="I374" s="74"/>
      <c r="J374" s="51"/>
    </row>
    <row r="375" ht="13.5" customHeight="1">
      <c r="E375" s="51"/>
      <c r="F375" s="262"/>
      <c r="G375" s="262"/>
      <c r="H375" s="262"/>
      <c r="I375" s="74"/>
      <c r="J375" s="51"/>
    </row>
    <row r="376" ht="13.5" customHeight="1">
      <c r="E376" s="51"/>
      <c r="F376" s="262"/>
      <c r="G376" s="262"/>
      <c r="H376" s="262"/>
      <c r="I376" s="74"/>
      <c r="J376" s="51"/>
    </row>
    <row r="377" ht="13.5" customHeight="1">
      <c r="E377" s="51"/>
      <c r="F377" s="262"/>
      <c r="G377" s="262"/>
      <c r="H377" s="262"/>
      <c r="I377" s="74"/>
      <c r="J377" s="51"/>
    </row>
    <row r="378" ht="13.5" customHeight="1">
      <c r="E378" s="51"/>
      <c r="F378" s="262"/>
      <c r="G378" s="262"/>
      <c r="H378" s="262"/>
      <c r="I378" s="74"/>
      <c r="J378" s="51"/>
    </row>
    <row r="379" ht="13.5" customHeight="1">
      <c r="E379" s="51"/>
      <c r="F379" s="262"/>
      <c r="G379" s="262"/>
      <c r="H379" s="262"/>
      <c r="I379" s="74"/>
      <c r="J379" s="51"/>
    </row>
    <row r="380" ht="13.5" customHeight="1">
      <c r="E380" s="51"/>
      <c r="F380" s="262"/>
      <c r="G380" s="262"/>
      <c r="H380" s="262"/>
      <c r="I380" s="74"/>
      <c r="J380" s="51"/>
    </row>
    <row r="381" ht="13.5" customHeight="1">
      <c r="E381" s="51"/>
      <c r="F381" s="262"/>
      <c r="G381" s="262"/>
      <c r="H381" s="262"/>
      <c r="I381" s="74"/>
      <c r="J381" s="51"/>
    </row>
    <row r="382" ht="13.5" customHeight="1">
      <c r="E382" s="51"/>
      <c r="F382" s="262"/>
      <c r="G382" s="262"/>
      <c r="H382" s="262"/>
      <c r="I382" s="74"/>
      <c r="J382" s="51"/>
    </row>
    <row r="383" ht="13.5" customHeight="1">
      <c r="E383" s="51"/>
      <c r="F383" s="262"/>
      <c r="G383" s="262"/>
      <c r="H383" s="262"/>
      <c r="I383" s="74"/>
      <c r="J383" s="51"/>
    </row>
    <row r="384" ht="13.5" customHeight="1">
      <c r="E384" s="51"/>
      <c r="F384" s="262"/>
      <c r="G384" s="262"/>
      <c r="H384" s="262"/>
      <c r="I384" s="74"/>
      <c r="J384" s="51"/>
    </row>
    <row r="385" ht="13.5" customHeight="1">
      <c r="E385" s="51"/>
      <c r="F385" s="262"/>
      <c r="G385" s="262"/>
      <c r="H385" s="262"/>
      <c r="I385" s="74"/>
      <c r="J385" s="51"/>
    </row>
    <row r="386" ht="13.5" customHeight="1">
      <c r="E386" s="51"/>
      <c r="F386" s="262"/>
      <c r="G386" s="262"/>
      <c r="H386" s="262"/>
      <c r="I386" s="74"/>
      <c r="J386" s="51"/>
    </row>
    <row r="387" ht="13.5" customHeight="1">
      <c r="E387" s="51"/>
      <c r="F387" s="262"/>
      <c r="G387" s="262"/>
      <c r="H387" s="262"/>
      <c r="I387" s="74"/>
      <c r="J387" s="51"/>
    </row>
    <row r="388" ht="13.5" customHeight="1">
      <c r="E388" s="51"/>
      <c r="F388" s="262"/>
      <c r="G388" s="262"/>
      <c r="H388" s="262"/>
      <c r="I388" s="74"/>
      <c r="J388" s="51"/>
    </row>
    <row r="389" ht="13.5" customHeight="1">
      <c r="E389" s="51"/>
      <c r="F389" s="262"/>
      <c r="G389" s="262"/>
      <c r="H389" s="262"/>
      <c r="I389" s="74"/>
      <c r="J389" s="51"/>
    </row>
    <row r="390" ht="13.5" customHeight="1">
      <c r="E390" s="51"/>
      <c r="F390" s="262"/>
      <c r="G390" s="262"/>
      <c r="H390" s="262"/>
      <c r="I390" s="74"/>
      <c r="J390" s="51"/>
    </row>
    <row r="391" ht="13.5" customHeight="1">
      <c r="E391" s="51"/>
      <c r="F391" s="262"/>
      <c r="G391" s="262"/>
      <c r="H391" s="262"/>
      <c r="I391" s="74"/>
      <c r="J391" s="51"/>
    </row>
    <row r="392" ht="13.5" customHeight="1">
      <c r="E392" s="51"/>
      <c r="F392" s="262"/>
      <c r="G392" s="262"/>
      <c r="H392" s="262"/>
      <c r="I392" s="74"/>
      <c r="J392" s="51"/>
    </row>
    <row r="393" ht="13.5" customHeight="1">
      <c r="E393" s="51"/>
      <c r="F393" s="262"/>
      <c r="G393" s="262"/>
      <c r="H393" s="262"/>
      <c r="I393" s="74"/>
      <c r="J393" s="51"/>
    </row>
    <row r="394" ht="13.5" customHeight="1">
      <c r="E394" s="51"/>
      <c r="F394" s="262"/>
      <c r="G394" s="262"/>
      <c r="H394" s="262"/>
      <c r="I394" s="74"/>
      <c r="J394" s="51"/>
    </row>
    <row r="395" ht="13.5" customHeight="1">
      <c r="E395" s="51"/>
      <c r="F395" s="262"/>
      <c r="G395" s="262"/>
      <c r="H395" s="262"/>
      <c r="I395" s="74"/>
      <c r="J395" s="51"/>
    </row>
    <row r="396" ht="13.5" customHeight="1">
      <c r="E396" s="51"/>
      <c r="F396" s="262"/>
      <c r="G396" s="262"/>
      <c r="H396" s="262"/>
      <c r="I396" s="74"/>
      <c r="J396" s="51"/>
    </row>
    <row r="397" ht="13.5" customHeight="1">
      <c r="E397" s="51"/>
      <c r="F397" s="262"/>
      <c r="G397" s="262"/>
      <c r="H397" s="262"/>
      <c r="I397" s="74"/>
      <c r="J397" s="51"/>
    </row>
    <row r="398" ht="13.5" customHeight="1">
      <c r="E398" s="51"/>
      <c r="F398" s="262"/>
      <c r="G398" s="262"/>
      <c r="H398" s="262"/>
      <c r="I398" s="74"/>
      <c r="J398" s="51"/>
    </row>
    <row r="399" ht="13.5" customHeight="1">
      <c r="E399" s="51"/>
      <c r="F399" s="262"/>
      <c r="G399" s="262"/>
      <c r="H399" s="262"/>
      <c r="I399" s="74"/>
      <c r="J399" s="51"/>
    </row>
    <row r="400" ht="13.5" customHeight="1">
      <c r="E400" s="51"/>
      <c r="F400" s="262"/>
      <c r="G400" s="262"/>
      <c r="H400" s="262"/>
      <c r="I400" s="74"/>
      <c r="J400" s="51"/>
    </row>
    <row r="401" ht="13.5" customHeight="1">
      <c r="E401" s="51"/>
      <c r="F401" s="262"/>
      <c r="G401" s="262"/>
      <c r="H401" s="262"/>
      <c r="I401" s="74"/>
      <c r="J401" s="51"/>
    </row>
    <row r="402" ht="13.5" customHeight="1">
      <c r="E402" s="51"/>
      <c r="F402" s="262"/>
      <c r="G402" s="262"/>
      <c r="H402" s="262"/>
      <c r="I402" s="74"/>
      <c r="J402" s="51"/>
    </row>
    <row r="403" ht="13.5" customHeight="1">
      <c r="E403" s="51"/>
      <c r="F403" s="262"/>
      <c r="G403" s="262"/>
      <c r="H403" s="262"/>
      <c r="I403" s="74"/>
      <c r="J403" s="51"/>
    </row>
    <row r="404" ht="13.5" customHeight="1">
      <c r="E404" s="51"/>
      <c r="F404" s="262"/>
      <c r="G404" s="262"/>
      <c r="H404" s="262"/>
      <c r="I404" s="74"/>
      <c r="J404" s="51"/>
    </row>
    <row r="405" ht="13.5" customHeight="1">
      <c r="E405" s="51"/>
      <c r="F405" s="262"/>
      <c r="G405" s="262"/>
      <c r="H405" s="262"/>
      <c r="I405" s="74"/>
      <c r="J405" s="51"/>
    </row>
    <row r="406" ht="13.5" customHeight="1">
      <c r="E406" s="51"/>
      <c r="F406" s="262"/>
      <c r="G406" s="262"/>
      <c r="H406" s="262"/>
      <c r="I406" s="74"/>
      <c r="J406" s="51"/>
    </row>
    <row r="407" ht="13.5" customHeight="1">
      <c r="E407" s="51"/>
      <c r="F407" s="262"/>
      <c r="G407" s="262"/>
      <c r="H407" s="262"/>
      <c r="I407" s="74"/>
      <c r="J407" s="51"/>
    </row>
    <row r="408" ht="13.5" customHeight="1">
      <c r="E408" s="51"/>
      <c r="F408" s="262"/>
      <c r="G408" s="262"/>
      <c r="H408" s="262"/>
      <c r="I408" s="74"/>
      <c r="J408" s="51"/>
    </row>
    <row r="409" ht="13.5" customHeight="1">
      <c r="E409" s="51"/>
      <c r="F409" s="262"/>
      <c r="G409" s="262"/>
      <c r="H409" s="262"/>
      <c r="I409" s="74"/>
      <c r="J409" s="51"/>
    </row>
    <row r="410" ht="13.5" customHeight="1">
      <c r="E410" s="51"/>
      <c r="F410" s="262"/>
      <c r="G410" s="262"/>
      <c r="H410" s="262"/>
      <c r="I410" s="74"/>
      <c r="J410" s="51"/>
    </row>
    <row r="411" ht="13.5" customHeight="1">
      <c r="E411" s="51"/>
      <c r="F411" s="262"/>
      <c r="G411" s="262"/>
      <c r="H411" s="262"/>
      <c r="I411" s="74"/>
      <c r="J411" s="51"/>
    </row>
    <row r="412" ht="13.5" customHeight="1">
      <c r="E412" s="51"/>
      <c r="F412" s="262"/>
      <c r="G412" s="262"/>
      <c r="H412" s="262"/>
      <c r="I412" s="74"/>
      <c r="J412" s="51"/>
    </row>
    <row r="413" ht="13.5" customHeight="1">
      <c r="E413" s="51"/>
      <c r="F413" s="262"/>
      <c r="G413" s="262"/>
      <c r="H413" s="262"/>
      <c r="I413" s="74"/>
      <c r="J413" s="51"/>
    </row>
    <row r="414" ht="13.5" customHeight="1">
      <c r="E414" s="51"/>
      <c r="F414" s="262"/>
      <c r="G414" s="262"/>
      <c r="H414" s="262"/>
      <c r="I414" s="74"/>
      <c r="J414" s="51"/>
    </row>
    <row r="415" ht="13.5" customHeight="1">
      <c r="E415" s="51"/>
      <c r="F415" s="262"/>
      <c r="G415" s="262"/>
      <c r="H415" s="262"/>
      <c r="I415" s="74"/>
      <c r="J415" s="51"/>
    </row>
    <row r="416" ht="13.5" customHeight="1">
      <c r="E416" s="51"/>
      <c r="F416" s="262"/>
      <c r="G416" s="262"/>
      <c r="H416" s="262"/>
      <c r="I416" s="74"/>
      <c r="J416" s="51"/>
    </row>
    <row r="417" ht="13.5" customHeight="1">
      <c r="E417" s="51"/>
      <c r="F417" s="262"/>
      <c r="G417" s="262"/>
      <c r="H417" s="262"/>
      <c r="I417" s="74"/>
      <c r="J417" s="51"/>
    </row>
    <row r="418" ht="13.5" customHeight="1">
      <c r="E418" s="51"/>
      <c r="F418" s="262"/>
      <c r="G418" s="262"/>
      <c r="H418" s="262"/>
      <c r="I418" s="74"/>
      <c r="J418" s="51"/>
    </row>
    <row r="419" ht="13.5" customHeight="1">
      <c r="E419" s="51"/>
      <c r="F419" s="262"/>
      <c r="G419" s="262"/>
      <c r="H419" s="262"/>
      <c r="I419" s="74"/>
      <c r="J419" s="51"/>
    </row>
    <row r="420" ht="13.5" customHeight="1">
      <c r="E420" s="51"/>
      <c r="F420" s="262"/>
      <c r="G420" s="262"/>
      <c r="H420" s="262"/>
      <c r="I420" s="74"/>
      <c r="J420" s="51"/>
    </row>
    <row r="421" ht="13.5" customHeight="1">
      <c r="E421" s="51"/>
      <c r="F421" s="262"/>
      <c r="G421" s="262"/>
      <c r="H421" s="262"/>
      <c r="I421" s="74"/>
      <c r="J421" s="51"/>
    </row>
    <row r="422" ht="13.5" customHeight="1">
      <c r="E422" s="51"/>
      <c r="F422" s="262"/>
      <c r="G422" s="262"/>
      <c r="H422" s="262"/>
      <c r="I422" s="74"/>
      <c r="J422" s="51"/>
    </row>
    <row r="423" ht="13.5" customHeight="1">
      <c r="E423" s="51"/>
      <c r="F423" s="262"/>
      <c r="G423" s="262"/>
      <c r="H423" s="262"/>
      <c r="I423" s="74"/>
      <c r="J423" s="51"/>
    </row>
    <row r="424" ht="13.5" customHeight="1">
      <c r="E424" s="51"/>
      <c r="F424" s="262"/>
      <c r="G424" s="262"/>
      <c r="H424" s="262"/>
      <c r="I424" s="74"/>
      <c r="J424" s="51"/>
    </row>
    <row r="425" ht="13.5" customHeight="1">
      <c r="E425" s="51"/>
      <c r="F425" s="262"/>
      <c r="G425" s="262"/>
      <c r="H425" s="262"/>
      <c r="I425" s="74"/>
      <c r="J425" s="51"/>
    </row>
    <row r="426" ht="13.5" customHeight="1">
      <c r="E426" s="51"/>
      <c r="F426" s="262"/>
      <c r="G426" s="262"/>
      <c r="H426" s="262"/>
      <c r="I426" s="74"/>
      <c r="J426" s="51"/>
    </row>
    <row r="427" ht="13.5" customHeight="1">
      <c r="E427" s="51"/>
      <c r="F427" s="262"/>
      <c r="G427" s="262"/>
      <c r="H427" s="262"/>
      <c r="I427" s="74"/>
      <c r="J427" s="51"/>
    </row>
    <row r="428" ht="13.5" customHeight="1">
      <c r="E428" s="51"/>
      <c r="F428" s="262"/>
      <c r="G428" s="262"/>
      <c r="H428" s="262"/>
      <c r="I428" s="74"/>
      <c r="J428" s="51"/>
    </row>
    <row r="429" ht="13.5" customHeight="1">
      <c r="E429" s="51"/>
      <c r="F429" s="262"/>
      <c r="G429" s="262"/>
      <c r="H429" s="262"/>
      <c r="I429" s="74"/>
      <c r="J429" s="51"/>
    </row>
    <row r="430" ht="13.5" customHeight="1">
      <c r="E430" s="51"/>
      <c r="F430" s="262"/>
      <c r="G430" s="262"/>
      <c r="H430" s="262"/>
      <c r="I430" s="74"/>
      <c r="J430" s="51"/>
    </row>
    <row r="431" ht="13.5" customHeight="1">
      <c r="E431" s="51"/>
      <c r="F431" s="262"/>
      <c r="G431" s="262"/>
      <c r="H431" s="262"/>
      <c r="I431" s="74"/>
      <c r="J431" s="51"/>
    </row>
    <row r="432" ht="13.5" customHeight="1">
      <c r="E432" s="51"/>
      <c r="F432" s="262"/>
      <c r="G432" s="262"/>
      <c r="H432" s="262"/>
      <c r="I432" s="74"/>
      <c r="J432" s="51"/>
    </row>
    <row r="433" ht="13.5" customHeight="1">
      <c r="E433" s="51"/>
      <c r="F433" s="262"/>
      <c r="G433" s="262"/>
      <c r="H433" s="262"/>
      <c r="I433" s="74"/>
      <c r="J433" s="51"/>
    </row>
    <row r="434" ht="13.5" customHeight="1">
      <c r="E434" s="51"/>
      <c r="F434" s="262"/>
      <c r="G434" s="262"/>
      <c r="H434" s="262"/>
      <c r="I434" s="74"/>
      <c r="J434" s="51"/>
    </row>
    <row r="435" ht="13.5" customHeight="1">
      <c r="E435" s="51"/>
      <c r="F435" s="262"/>
      <c r="G435" s="262"/>
      <c r="H435" s="262"/>
      <c r="I435" s="74"/>
      <c r="J435" s="51"/>
    </row>
    <row r="436" ht="13.5" customHeight="1">
      <c r="E436" s="51"/>
      <c r="F436" s="262"/>
      <c r="G436" s="262"/>
      <c r="H436" s="262"/>
      <c r="I436" s="74"/>
      <c r="J436" s="51"/>
    </row>
    <row r="437" ht="13.5" customHeight="1">
      <c r="E437" s="51"/>
      <c r="F437" s="262"/>
      <c r="G437" s="262"/>
      <c r="H437" s="262"/>
      <c r="I437" s="74"/>
      <c r="J437" s="51"/>
    </row>
    <row r="438" ht="13.5" customHeight="1">
      <c r="E438" s="51"/>
      <c r="F438" s="262"/>
      <c r="G438" s="262"/>
      <c r="H438" s="262"/>
      <c r="I438" s="74"/>
      <c r="J438" s="51"/>
    </row>
    <row r="439" ht="13.5" customHeight="1">
      <c r="E439" s="51"/>
      <c r="F439" s="262"/>
      <c r="G439" s="262"/>
      <c r="H439" s="262"/>
      <c r="I439" s="74"/>
      <c r="J439" s="51"/>
    </row>
    <row r="440" ht="13.5" customHeight="1">
      <c r="E440" s="51"/>
      <c r="F440" s="262"/>
      <c r="G440" s="262"/>
      <c r="H440" s="262"/>
      <c r="I440" s="74"/>
      <c r="J440" s="51"/>
    </row>
    <row r="441" ht="13.5" customHeight="1">
      <c r="E441" s="51"/>
      <c r="F441" s="262"/>
      <c r="G441" s="262"/>
      <c r="H441" s="262"/>
      <c r="I441" s="74"/>
      <c r="J441" s="51"/>
    </row>
    <row r="442" ht="13.5" customHeight="1">
      <c r="E442" s="51"/>
      <c r="F442" s="262"/>
      <c r="G442" s="262"/>
      <c r="H442" s="262"/>
      <c r="I442" s="74"/>
      <c r="J442" s="51"/>
    </row>
    <row r="443" ht="13.5" customHeight="1">
      <c r="E443" s="51"/>
      <c r="F443" s="262"/>
      <c r="G443" s="262"/>
      <c r="H443" s="262"/>
      <c r="I443" s="74"/>
      <c r="J443" s="51"/>
    </row>
    <row r="444" ht="13.5" customHeight="1">
      <c r="E444" s="51"/>
      <c r="F444" s="262"/>
      <c r="G444" s="262"/>
      <c r="H444" s="262"/>
      <c r="I444" s="74"/>
      <c r="J444" s="51"/>
    </row>
    <row r="445" ht="13.5" customHeight="1">
      <c r="E445" s="51"/>
      <c r="F445" s="262"/>
      <c r="G445" s="262"/>
      <c r="H445" s="262"/>
      <c r="I445" s="74"/>
      <c r="J445" s="51"/>
    </row>
    <row r="446" ht="13.5" customHeight="1">
      <c r="E446" s="51"/>
      <c r="F446" s="262"/>
      <c r="G446" s="262"/>
      <c r="H446" s="262"/>
      <c r="I446" s="74"/>
      <c r="J446" s="51"/>
    </row>
    <row r="447" ht="13.5" customHeight="1">
      <c r="E447" s="51"/>
      <c r="F447" s="262"/>
      <c r="G447" s="262"/>
      <c r="H447" s="262"/>
      <c r="I447" s="74"/>
      <c r="J447" s="51"/>
    </row>
    <row r="448" ht="13.5" customHeight="1">
      <c r="E448" s="51"/>
      <c r="F448" s="262"/>
      <c r="G448" s="262"/>
      <c r="H448" s="262"/>
      <c r="I448" s="74"/>
      <c r="J448" s="51"/>
    </row>
    <row r="449" ht="13.5" customHeight="1">
      <c r="E449" s="51"/>
      <c r="F449" s="262"/>
      <c r="G449" s="262"/>
      <c r="H449" s="262"/>
      <c r="I449" s="74"/>
      <c r="J449" s="51"/>
    </row>
    <row r="450" ht="13.5" customHeight="1">
      <c r="E450" s="51"/>
      <c r="F450" s="262"/>
      <c r="G450" s="262"/>
      <c r="H450" s="262"/>
      <c r="I450" s="74"/>
      <c r="J450" s="51"/>
    </row>
    <row r="451" ht="13.5" customHeight="1">
      <c r="E451" s="51"/>
      <c r="F451" s="262"/>
      <c r="G451" s="262"/>
      <c r="H451" s="262"/>
      <c r="I451" s="74"/>
      <c r="J451" s="51"/>
    </row>
    <row r="452" ht="13.5" customHeight="1">
      <c r="E452" s="51"/>
      <c r="F452" s="262"/>
      <c r="G452" s="262"/>
      <c r="H452" s="262"/>
      <c r="I452" s="74"/>
      <c r="J452" s="51"/>
    </row>
    <row r="453" ht="13.5" customHeight="1">
      <c r="E453" s="51"/>
      <c r="F453" s="262"/>
      <c r="G453" s="262"/>
      <c r="H453" s="262"/>
      <c r="I453" s="74"/>
      <c r="J453" s="51"/>
    </row>
    <row r="454" ht="13.5" customHeight="1">
      <c r="E454" s="51"/>
      <c r="F454" s="262"/>
      <c r="G454" s="262"/>
      <c r="H454" s="262"/>
      <c r="I454" s="74"/>
      <c r="J454" s="51"/>
    </row>
    <row r="455" ht="13.5" customHeight="1">
      <c r="E455" s="51"/>
      <c r="F455" s="262"/>
      <c r="G455" s="262"/>
      <c r="H455" s="262"/>
      <c r="I455" s="74"/>
      <c r="J455" s="51"/>
    </row>
    <row r="456" ht="13.5" customHeight="1">
      <c r="E456" s="51"/>
      <c r="F456" s="262"/>
      <c r="G456" s="262"/>
      <c r="H456" s="262"/>
      <c r="I456" s="74"/>
      <c r="J456" s="51"/>
    </row>
    <row r="457" ht="13.5" customHeight="1">
      <c r="E457" s="51"/>
      <c r="F457" s="262"/>
      <c r="G457" s="262"/>
      <c r="H457" s="262"/>
      <c r="I457" s="74"/>
      <c r="J457" s="51"/>
    </row>
    <row r="458" ht="13.5" customHeight="1">
      <c r="E458" s="51"/>
      <c r="F458" s="262"/>
      <c r="G458" s="262"/>
      <c r="H458" s="262"/>
      <c r="I458" s="74"/>
      <c r="J458" s="51"/>
    </row>
    <row r="459" ht="13.5" customHeight="1">
      <c r="E459" s="51"/>
      <c r="F459" s="262"/>
      <c r="G459" s="262"/>
      <c r="H459" s="262"/>
      <c r="I459" s="74"/>
      <c r="J459" s="51"/>
    </row>
    <row r="460" ht="13.5" customHeight="1">
      <c r="E460" s="51"/>
      <c r="F460" s="262"/>
      <c r="G460" s="262"/>
      <c r="H460" s="262"/>
      <c r="I460" s="74"/>
      <c r="J460" s="51"/>
    </row>
    <row r="461" ht="13.5" customHeight="1">
      <c r="E461" s="51"/>
      <c r="F461" s="262"/>
      <c r="G461" s="262"/>
      <c r="H461" s="262"/>
      <c r="I461" s="74"/>
      <c r="J461" s="51"/>
    </row>
    <row r="462" ht="13.5" customHeight="1">
      <c r="E462" s="51"/>
      <c r="F462" s="262"/>
      <c r="G462" s="262"/>
      <c r="H462" s="262"/>
      <c r="I462" s="74"/>
      <c r="J462" s="51"/>
    </row>
    <row r="463" ht="13.5" customHeight="1">
      <c r="E463" s="51"/>
      <c r="F463" s="262"/>
      <c r="G463" s="262"/>
      <c r="H463" s="262"/>
      <c r="I463" s="74"/>
      <c r="J463" s="51"/>
    </row>
    <row r="464" ht="13.5" customHeight="1">
      <c r="E464" s="51"/>
      <c r="F464" s="262"/>
      <c r="G464" s="262"/>
      <c r="H464" s="262"/>
      <c r="I464" s="74"/>
      <c r="J464" s="51"/>
    </row>
    <row r="465" ht="13.5" customHeight="1">
      <c r="E465" s="51"/>
      <c r="F465" s="262"/>
      <c r="G465" s="262"/>
      <c r="H465" s="262"/>
      <c r="I465" s="74"/>
      <c r="J465" s="51"/>
    </row>
    <row r="466" ht="13.5" customHeight="1">
      <c r="E466" s="51"/>
      <c r="F466" s="262"/>
      <c r="G466" s="262"/>
      <c r="H466" s="262"/>
      <c r="I466" s="74"/>
      <c r="J466" s="51"/>
    </row>
    <row r="467" ht="13.5" customHeight="1">
      <c r="E467" s="51"/>
      <c r="F467" s="262"/>
      <c r="G467" s="262"/>
      <c r="H467" s="262"/>
      <c r="I467" s="74"/>
      <c r="J467" s="51"/>
    </row>
    <row r="468" ht="13.5" customHeight="1">
      <c r="E468" s="51"/>
      <c r="F468" s="262"/>
      <c r="G468" s="262"/>
      <c r="H468" s="262"/>
      <c r="I468" s="74"/>
      <c r="J468" s="51"/>
    </row>
    <row r="469" ht="13.5" customHeight="1">
      <c r="E469" s="51"/>
      <c r="F469" s="262"/>
      <c r="G469" s="262"/>
      <c r="H469" s="262"/>
      <c r="I469" s="74"/>
      <c r="J469" s="51"/>
    </row>
    <row r="470" ht="13.5" customHeight="1">
      <c r="E470" s="51"/>
      <c r="F470" s="262"/>
      <c r="G470" s="262"/>
      <c r="H470" s="262"/>
      <c r="I470" s="74"/>
      <c r="J470" s="51"/>
    </row>
    <row r="471" ht="13.5" customHeight="1">
      <c r="E471" s="51"/>
      <c r="F471" s="262"/>
      <c r="G471" s="262"/>
      <c r="H471" s="262"/>
      <c r="I471" s="74"/>
      <c r="J471" s="51"/>
    </row>
    <row r="472" ht="13.5" customHeight="1">
      <c r="E472" s="51"/>
      <c r="F472" s="262"/>
      <c r="G472" s="262"/>
      <c r="H472" s="262"/>
      <c r="I472" s="74"/>
      <c r="J472" s="51"/>
    </row>
    <row r="473" ht="13.5" customHeight="1">
      <c r="E473" s="51"/>
      <c r="F473" s="262"/>
      <c r="G473" s="262"/>
      <c r="H473" s="262"/>
      <c r="I473" s="74"/>
      <c r="J473" s="51"/>
    </row>
    <row r="474" ht="13.5" customHeight="1">
      <c r="E474" s="51"/>
      <c r="F474" s="262"/>
      <c r="G474" s="262"/>
      <c r="H474" s="262"/>
      <c r="I474" s="74"/>
      <c r="J474" s="51"/>
    </row>
    <row r="475" ht="13.5" customHeight="1">
      <c r="E475" s="51"/>
      <c r="F475" s="262"/>
      <c r="G475" s="262"/>
      <c r="H475" s="262"/>
      <c r="I475" s="74"/>
      <c r="J475" s="51"/>
    </row>
    <row r="476" ht="13.5" customHeight="1">
      <c r="E476" s="51"/>
      <c r="F476" s="262"/>
      <c r="G476" s="262"/>
      <c r="H476" s="262"/>
      <c r="I476" s="74"/>
      <c r="J476" s="51"/>
    </row>
    <row r="477" ht="13.5" customHeight="1">
      <c r="E477" s="51"/>
      <c r="F477" s="262"/>
      <c r="G477" s="262"/>
      <c r="H477" s="262"/>
      <c r="I477" s="74"/>
      <c r="J477" s="51"/>
    </row>
    <row r="478" ht="13.5" customHeight="1">
      <c r="E478" s="51"/>
      <c r="F478" s="262"/>
      <c r="G478" s="262"/>
      <c r="H478" s="262"/>
      <c r="I478" s="74"/>
      <c r="J478" s="51"/>
    </row>
    <row r="479" ht="13.5" customHeight="1">
      <c r="E479" s="51"/>
      <c r="F479" s="262"/>
      <c r="G479" s="262"/>
      <c r="H479" s="262"/>
      <c r="I479" s="74"/>
      <c r="J479" s="51"/>
    </row>
    <row r="480" ht="13.5" customHeight="1">
      <c r="E480" s="51"/>
      <c r="F480" s="262"/>
      <c r="G480" s="262"/>
      <c r="H480" s="262"/>
      <c r="I480" s="74"/>
      <c r="J480" s="51"/>
    </row>
    <row r="481" ht="13.5" customHeight="1">
      <c r="E481" s="51"/>
      <c r="F481" s="262"/>
      <c r="G481" s="262"/>
      <c r="H481" s="262"/>
      <c r="I481" s="74"/>
      <c r="J481" s="51"/>
    </row>
    <row r="482" ht="13.5" customHeight="1">
      <c r="E482" s="51"/>
      <c r="F482" s="262"/>
      <c r="G482" s="262"/>
      <c r="H482" s="262"/>
      <c r="I482" s="74"/>
      <c r="J482" s="51"/>
    </row>
    <row r="483" ht="13.5" customHeight="1">
      <c r="E483" s="51"/>
      <c r="F483" s="262"/>
      <c r="G483" s="262"/>
      <c r="H483" s="262"/>
      <c r="I483" s="74"/>
      <c r="J483" s="51"/>
    </row>
    <row r="484" ht="13.5" customHeight="1">
      <c r="E484" s="51"/>
      <c r="F484" s="262"/>
      <c r="G484" s="262"/>
      <c r="H484" s="262"/>
      <c r="I484" s="74"/>
      <c r="J484" s="51"/>
    </row>
    <row r="485" ht="13.5" customHeight="1">
      <c r="E485" s="51"/>
      <c r="F485" s="262"/>
      <c r="G485" s="262"/>
      <c r="H485" s="262"/>
      <c r="I485" s="74"/>
      <c r="J485" s="51"/>
    </row>
    <row r="486" ht="13.5" customHeight="1">
      <c r="E486" s="51"/>
      <c r="F486" s="262"/>
      <c r="G486" s="262"/>
      <c r="H486" s="262"/>
      <c r="I486" s="74"/>
      <c r="J486" s="51"/>
    </row>
    <row r="487" ht="13.5" customHeight="1">
      <c r="E487" s="51"/>
      <c r="F487" s="262"/>
      <c r="G487" s="262"/>
      <c r="H487" s="262"/>
      <c r="I487" s="74"/>
      <c r="J487" s="51"/>
    </row>
    <row r="488" ht="13.5" customHeight="1">
      <c r="E488" s="51"/>
      <c r="F488" s="262"/>
      <c r="G488" s="262"/>
      <c r="H488" s="262"/>
      <c r="I488" s="74"/>
      <c r="J488" s="51"/>
    </row>
    <row r="489" ht="13.5" customHeight="1">
      <c r="E489" s="51"/>
      <c r="F489" s="262"/>
      <c r="G489" s="262"/>
      <c r="H489" s="262"/>
      <c r="I489" s="74"/>
      <c r="J489" s="51"/>
    </row>
    <row r="490" ht="13.5" customHeight="1">
      <c r="E490" s="51"/>
      <c r="F490" s="262"/>
      <c r="G490" s="262"/>
      <c r="H490" s="262"/>
      <c r="I490" s="74"/>
      <c r="J490" s="51"/>
    </row>
    <row r="491" ht="13.5" customHeight="1">
      <c r="E491" s="51"/>
      <c r="F491" s="262"/>
      <c r="G491" s="262"/>
      <c r="H491" s="262"/>
      <c r="I491" s="74"/>
      <c r="J491" s="51"/>
    </row>
    <row r="492" ht="13.5" customHeight="1">
      <c r="E492" s="51"/>
      <c r="F492" s="262"/>
      <c r="G492" s="262"/>
      <c r="H492" s="262"/>
      <c r="I492" s="74"/>
      <c r="J492" s="51"/>
    </row>
    <row r="493" ht="13.5" customHeight="1">
      <c r="E493" s="51"/>
      <c r="F493" s="262"/>
      <c r="G493" s="262"/>
      <c r="H493" s="262"/>
      <c r="I493" s="74"/>
      <c r="J493" s="51"/>
    </row>
    <row r="494" ht="13.5" customHeight="1">
      <c r="E494" s="51"/>
      <c r="F494" s="262"/>
      <c r="G494" s="262"/>
      <c r="H494" s="262"/>
      <c r="I494" s="74"/>
      <c r="J494" s="51"/>
    </row>
    <row r="495" ht="13.5" customHeight="1">
      <c r="E495" s="51"/>
      <c r="F495" s="262"/>
      <c r="G495" s="262"/>
      <c r="H495" s="262"/>
      <c r="I495" s="74"/>
      <c r="J495" s="51"/>
    </row>
    <row r="496" ht="13.5" customHeight="1">
      <c r="E496" s="51"/>
      <c r="F496" s="262"/>
      <c r="G496" s="262"/>
      <c r="H496" s="262"/>
      <c r="I496" s="74"/>
      <c r="J496" s="51"/>
    </row>
    <row r="497" ht="13.5" customHeight="1">
      <c r="E497" s="51"/>
      <c r="F497" s="262"/>
      <c r="G497" s="262"/>
      <c r="H497" s="262"/>
      <c r="I497" s="74"/>
      <c r="J497" s="51"/>
    </row>
    <row r="498" ht="13.5" customHeight="1">
      <c r="E498" s="51"/>
      <c r="F498" s="262"/>
      <c r="G498" s="262"/>
      <c r="H498" s="262"/>
      <c r="I498" s="74"/>
      <c r="J498" s="51"/>
    </row>
    <row r="499" ht="13.5" customHeight="1">
      <c r="E499" s="51"/>
      <c r="F499" s="262"/>
      <c r="G499" s="262"/>
      <c r="H499" s="262"/>
      <c r="I499" s="74"/>
      <c r="J499" s="51"/>
    </row>
    <row r="500" ht="13.5" customHeight="1">
      <c r="E500" s="51"/>
      <c r="F500" s="262"/>
      <c r="G500" s="262"/>
      <c r="H500" s="262"/>
      <c r="I500" s="74"/>
      <c r="J500" s="51"/>
    </row>
    <row r="501" ht="13.5" customHeight="1">
      <c r="E501" s="51"/>
      <c r="F501" s="262"/>
      <c r="G501" s="262"/>
      <c r="H501" s="262"/>
      <c r="I501" s="74"/>
      <c r="J501" s="51"/>
    </row>
    <row r="502" ht="13.5" customHeight="1">
      <c r="E502" s="51"/>
      <c r="F502" s="262"/>
      <c r="G502" s="262"/>
      <c r="H502" s="262"/>
      <c r="I502" s="74"/>
      <c r="J502" s="51"/>
    </row>
    <row r="503" ht="13.5" customHeight="1">
      <c r="E503" s="51"/>
      <c r="F503" s="262"/>
      <c r="G503" s="262"/>
      <c r="H503" s="262"/>
      <c r="I503" s="74"/>
      <c r="J503" s="51"/>
    </row>
    <row r="504" ht="13.5" customHeight="1">
      <c r="E504" s="51"/>
      <c r="F504" s="262"/>
      <c r="G504" s="262"/>
      <c r="H504" s="262"/>
      <c r="I504" s="74"/>
      <c r="J504" s="51"/>
    </row>
    <row r="505" ht="13.5" customHeight="1">
      <c r="E505" s="51"/>
      <c r="F505" s="262"/>
      <c r="G505" s="262"/>
      <c r="H505" s="262"/>
      <c r="I505" s="74"/>
      <c r="J505" s="51"/>
    </row>
    <row r="506" ht="13.5" customHeight="1">
      <c r="E506" s="51"/>
      <c r="F506" s="262"/>
      <c r="G506" s="262"/>
      <c r="H506" s="262"/>
      <c r="I506" s="74"/>
      <c r="J506" s="51"/>
    </row>
    <row r="507" ht="13.5" customHeight="1">
      <c r="E507" s="51"/>
      <c r="F507" s="262"/>
      <c r="G507" s="262"/>
      <c r="H507" s="262"/>
      <c r="I507" s="74"/>
      <c r="J507" s="51"/>
    </row>
    <row r="508" ht="13.5" customHeight="1">
      <c r="E508" s="51"/>
      <c r="F508" s="262"/>
      <c r="G508" s="262"/>
      <c r="H508" s="262"/>
      <c r="I508" s="74"/>
      <c r="J508" s="51"/>
    </row>
    <row r="509" ht="13.5" customHeight="1">
      <c r="E509" s="51"/>
      <c r="F509" s="262"/>
      <c r="G509" s="262"/>
      <c r="H509" s="262"/>
      <c r="I509" s="74"/>
      <c r="J509" s="51"/>
    </row>
    <row r="510" ht="13.5" customHeight="1">
      <c r="E510" s="51"/>
      <c r="F510" s="262"/>
      <c r="G510" s="262"/>
      <c r="H510" s="262"/>
      <c r="I510" s="74"/>
      <c r="J510" s="51"/>
    </row>
    <row r="511" ht="13.5" customHeight="1">
      <c r="E511" s="51"/>
      <c r="F511" s="262"/>
      <c r="G511" s="262"/>
      <c r="H511" s="262"/>
      <c r="I511" s="74"/>
      <c r="J511" s="51"/>
    </row>
    <row r="512" ht="13.5" customHeight="1">
      <c r="E512" s="51"/>
      <c r="F512" s="262"/>
      <c r="G512" s="262"/>
      <c r="H512" s="262"/>
      <c r="I512" s="74"/>
      <c r="J512" s="51"/>
    </row>
    <row r="513" ht="13.5" customHeight="1">
      <c r="E513" s="51"/>
      <c r="F513" s="262"/>
      <c r="G513" s="262"/>
      <c r="H513" s="262"/>
      <c r="I513" s="74"/>
      <c r="J513" s="51"/>
    </row>
    <row r="514" ht="13.5" customHeight="1">
      <c r="E514" s="51"/>
      <c r="F514" s="262"/>
      <c r="G514" s="262"/>
      <c r="H514" s="262"/>
      <c r="I514" s="74"/>
      <c r="J514" s="51"/>
    </row>
    <row r="515" ht="13.5" customHeight="1">
      <c r="E515" s="51"/>
      <c r="F515" s="262"/>
      <c r="G515" s="262"/>
      <c r="H515" s="262"/>
      <c r="I515" s="74"/>
      <c r="J515" s="51"/>
    </row>
    <row r="516" ht="13.5" customHeight="1">
      <c r="E516" s="51"/>
      <c r="F516" s="262"/>
      <c r="G516" s="262"/>
      <c r="H516" s="262"/>
      <c r="I516" s="74"/>
      <c r="J516" s="51"/>
    </row>
    <row r="517" ht="13.5" customHeight="1">
      <c r="E517" s="51"/>
      <c r="F517" s="262"/>
      <c r="G517" s="262"/>
      <c r="H517" s="262"/>
      <c r="I517" s="74"/>
      <c r="J517" s="51"/>
    </row>
    <row r="518" ht="13.5" customHeight="1">
      <c r="E518" s="51"/>
      <c r="F518" s="262"/>
      <c r="G518" s="262"/>
      <c r="H518" s="262"/>
      <c r="I518" s="74"/>
      <c r="J518" s="51"/>
    </row>
    <row r="519" ht="13.5" customHeight="1">
      <c r="E519" s="51"/>
      <c r="F519" s="262"/>
      <c r="G519" s="262"/>
      <c r="H519" s="262"/>
      <c r="I519" s="74"/>
      <c r="J519" s="51"/>
    </row>
    <row r="520" ht="13.5" customHeight="1">
      <c r="E520" s="51"/>
      <c r="F520" s="262"/>
      <c r="G520" s="262"/>
      <c r="H520" s="262"/>
      <c r="I520" s="74"/>
      <c r="J520" s="51"/>
    </row>
    <row r="521" ht="13.5" customHeight="1">
      <c r="E521" s="51"/>
      <c r="F521" s="262"/>
      <c r="G521" s="262"/>
      <c r="H521" s="262"/>
      <c r="I521" s="74"/>
      <c r="J521" s="51"/>
    </row>
    <row r="522" ht="13.5" customHeight="1">
      <c r="E522" s="51"/>
      <c r="F522" s="262"/>
      <c r="G522" s="262"/>
      <c r="H522" s="262"/>
      <c r="I522" s="74"/>
      <c r="J522" s="51"/>
    </row>
    <row r="523" ht="13.5" customHeight="1">
      <c r="E523" s="51"/>
      <c r="F523" s="262"/>
      <c r="G523" s="262"/>
      <c r="H523" s="262"/>
      <c r="I523" s="74"/>
      <c r="J523" s="51"/>
    </row>
    <row r="524" ht="13.5" customHeight="1">
      <c r="E524" s="51"/>
      <c r="F524" s="262"/>
      <c r="G524" s="262"/>
      <c r="H524" s="262"/>
      <c r="I524" s="74"/>
      <c r="J524" s="51"/>
    </row>
    <row r="525" ht="13.5" customHeight="1">
      <c r="E525" s="51"/>
      <c r="F525" s="262"/>
      <c r="G525" s="262"/>
      <c r="H525" s="262"/>
      <c r="I525" s="74"/>
      <c r="J525" s="51"/>
    </row>
    <row r="526" ht="13.5" customHeight="1">
      <c r="E526" s="51"/>
      <c r="F526" s="262"/>
      <c r="G526" s="262"/>
      <c r="H526" s="262"/>
      <c r="I526" s="74"/>
      <c r="J526" s="51"/>
    </row>
    <row r="527" ht="13.5" customHeight="1">
      <c r="E527" s="51"/>
      <c r="F527" s="262"/>
      <c r="G527" s="262"/>
      <c r="H527" s="262"/>
      <c r="I527" s="74"/>
      <c r="J527" s="51"/>
    </row>
    <row r="528" ht="13.5" customHeight="1">
      <c r="E528" s="51"/>
      <c r="F528" s="262"/>
      <c r="G528" s="262"/>
      <c r="H528" s="262"/>
      <c r="I528" s="74"/>
      <c r="J528" s="51"/>
    </row>
    <row r="529" ht="13.5" customHeight="1">
      <c r="E529" s="51"/>
      <c r="F529" s="262"/>
      <c r="G529" s="262"/>
      <c r="H529" s="262"/>
      <c r="I529" s="74"/>
      <c r="J529" s="51"/>
    </row>
    <row r="530" ht="13.5" customHeight="1">
      <c r="E530" s="51"/>
      <c r="F530" s="262"/>
      <c r="G530" s="262"/>
      <c r="H530" s="262"/>
      <c r="I530" s="74"/>
      <c r="J530" s="51"/>
    </row>
    <row r="531" ht="13.5" customHeight="1">
      <c r="E531" s="51"/>
      <c r="F531" s="262"/>
      <c r="G531" s="262"/>
      <c r="H531" s="262"/>
      <c r="I531" s="74"/>
      <c r="J531" s="51"/>
    </row>
    <row r="532" ht="13.5" customHeight="1">
      <c r="E532" s="51"/>
      <c r="F532" s="262"/>
      <c r="G532" s="262"/>
      <c r="H532" s="262"/>
      <c r="I532" s="74"/>
      <c r="J532" s="51"/>
    </row>
    <row r="533" ht="13.5" customHeight="1">
      <c r="E533" s="51"/>
      <c r="F533" s="262"/>
      <c r="G533" s="262"/>
      <c r="H533" s="262"/>
      <c r="I533" s="74"/>
      <c r="J533" s="51"/>
    </row>
    <row r="534" ht="13.5" customHeight="1">
      <c r="E534" s="51"/>
      <c r="F534" s="262"/>
      <c r="G534" s="262"/>
      <c r="H534" s="262"/>
      <c r="I534" s="74"/>
      <c r="J534" s="51"/>
    </row>
    <row r="535" ht="13.5" customHeight="1">
      <c r="E535" s="51"/>
      <c r="F535" s="262"/>
      <c r="G535" s="262"/>
      <c r="H535" s="262"/>
      <c r="I535" s="74"/>
      <c r="J535" s="51"/>
    </row>
    <row r="536" ht="13.5" customHeight="1">
      <c r="E536" s="51"/>
      <c r="F536" s="262"/>
      <c r="G536" s="262"/>
      <c r="H536" s="262"/>
      <c r="I536" s="74"/>
      <c r="J536" s="51"/>
    </row>
    <row r="537" ht="13.5" customHeight="1">
      <c r="E537" s="51"/>
      <c r="F537" s="262"/>
      <c r="G537" s="262"/>
      <c r="H537" s="262"/>
      <c r="I537" s="74"/>
      <c r="J537" s="51"/>
    </row>
    <row r="538" ht="13.5" customHeight="1">
      <c r="E538" s="51"/>
      <c r="F538" s="262"/>
      <c r="G538" s="262"/>
      <c r="H538" s="262"/>
      <c r="I538" s="74"/>
      <c r="J538" s="51"/>
    </row>
    <row r="539" ht="13.5" customHeight="1">
      <c r="E539" s="51"/>
      <c r="F539" s="262"/>
      <c r="G539" s="262"/>
      <c r="H539" s="262"/>
      <c r="I539" s="74"/>
      <c r="J539" s="51"/>
    </row>
    <row r="540" ht="13.5" customHeight="1">
      <c r="E540" s="51"/>
      <c r="F540" s="262"/>
      <c r="G540" s="262"/>
      <c r="H540" s="262"/>
      <c r="I540" s="74"/>
      <c r="J540" s="51"/>
    </row>
    <row r="541" ht="13.5" customHeight="1">
      <c r="E541" s="51"/>
      <c r="F541" s="262"/>
      <c r="G541" s="262"/>
      <c r="H541" s="262"/>
      <c r="I541" s="74"/>
      <c r="J541" s="51"/>
    </row>
    <row r="542" ht="13.5" customHeight="1">
      <c r="E542" s="51"/>
      <c r="F542" s="262"/>
      <c r="G542" s="262"/>
      <c r="H542" s="262"/>
      <c r="I542" s="74"/>
      <c r="J542" s="51"/>
    </row>
    <row r="543" ht="13.5" customHeight="1">
      <c r="E543" s="51"/>
      <c r="F543" s="262"/>
      <c r="G543" s="262"/>
      <c r="H543" s="262"/>
      <c r="I543" s="74"/>
      <c r="J543" s="51"/>
    </row>
    <row r="544" ht="13.5" customHeight="1">
      <c r="E544" s="51"/>
      <c r="F544" s="262"/>
      <c r="G544" s="262"/>
      <c r="H544" s="262"/>
      <c r="I544" s="74"/>
      <c r="J544" s="51"/>
    </row>
    <row r="545" ht="13.5" customHeight="1">
      <c r="E545" s="51"/>
      <c r="F545" s="262"/>
      <c r="G545" s="262"/>
      <c r="H545" s="262"/>
      <c r="I545" s="74"/>
      <c r="J545" s="51"/>
    </row>
    <row r="546" ht="13.5" customHeight="1">
      <c r="E546" s="51"/>
      <c r="F546" s="262"/>
      <c r="G546" s="262"/>
      <c r="H546" s="262"/>
      <c r="I546" s="74"/>
      <c r="J546" s="51"/>
    </row>
    <row r="547" ht="13.5" customHeight="1">
      <c r="E547" s="51"/>
      <c r="F547" s="262"/>
      <c r="G547" s="262"/>
      <c r="H547" s="262"/>
      <c r="I547" s="74"/>
      <c r="J547" s="51"/>
    </row>
    <row r="548" ht="13.5" customHeight="1">
      <c r="E548" s="51"/>
      <c r="F548" s="262"/>
      <c r="G548" s="262"/>
      <c r="H548" s="262"/>
      <c r="I548" s="74"/>
      <c r="J548" s="51"/>
    </row>
    <row r="549" ht="13.5" customHeight="1">
      <c r="E549" s="51"/>
      <c r="F549" s="262"/>
      <c r="G549" s="262"/>
      <c r="H549" s="262"/>
      <c r="I549" s="74"/>
      <c r="J549" s="51"/>
    </row>
    <row r="550" ht="13.5" customHeight="1">
      <c r="E550" s="51"/>
      <c r="F550" s="262"/>
      <c r="G550" s="262"/>
      <c r="H550" s="262"/>
      <c r="I550" s="74"/>
      <c r="J550" s="51"/>
    </row>
    <row r="551" ht="13.5" customHeight="1">
      <c r="E551" s="51"/>
      <c r="F551" s="262"/>
      <c r="G551" s="262"/>
      <c r="H551" s="262"/>
      <c r="I551" s="74"/>
      <c r="J551" s="51"/>
    </row>
    <row r="552" ht="13.5" customHeight="1">
      <c r="E552" s="51"/>
      <c r="F552" s="262"/>
      <c r="G552" s="262"/>
      <c r="H552" s="262"/>
      <c r="I552" s="74"/>
      <c r="J552" s="51"/>
    </row>
    <row r="553" ht="13.5" customHeight="1">
      <c r="E553" s="51"/>
      <c r="F553" s="262"/>
      <c r="G553" s="262"/>
      <c r="H553" s="262"/>
      <c r="I553" s="74"/>
      <c r="J553" s="51"/>
    </row>
    <row r="554" ht="13.5" customHeight="1">
      <c r="E554" s="51"/>
      <c r="F554" s="262"/>
      <c r="G554" s="262"/>
      <c r="H554" s="262"/>
      <c r="I554" s="74"/>
      <c r="J554" s="51"/>
    </row>
    <row r="555" ht="13.5" customHeight="1">
      <c r="E555" s="51"/>
      <c r="F555" s="262"/>
      <c r="G555" s="262"/>
      <c r="H555" s="262"/>
      <c r="I555" s="74"/>
      <c r="J555" s="51"/>
    </row>
    <row r="556" ht="13.5" customHeight="1">
      <c r="E556" s="51"/>
      <c r="F556" s="262"/>
      <c r="G556" s="262"/>
      <c r="H556" s="262"/>
      <c r="I556" s="74"/>
      <c r="J556" s="51"/>
    </row>
    <row r="557" ht="13.5" customHeight="1">
      <c r="E557" s="51"/>
      <c r="F557" s="262"/>
      <c r="G557" s="262"/>
      <c r="H557" s="262"/>
      <c r="I557" s="74"/>
      <c r="J557" s="51"/>
    </row>
    <row r="558" ht="13.5" customHeight="1">
      <c r="E558" s="51"/>
      <c r="F558" s="262"/>
      <c r="G558" s="262"/>
      <c r="H558" s="262"/>
      <c r="I558" s="74"/>
      <c r="J558" s="51"/>
    </row>
    <row r="559" ht="13.5" customHeight="1">
      <c r="E559" s="51"/>
      <c r="F559" s="262"/>
      <c r="G559" s="262"/>
      <c r="H559" s="262"/>
      <c r="I559" s="74"/>
      <c r="J559" s="51"/>
    </row>
    <row r="560" ht="13.5" customHeight="1">
      <c r="E560" s="51"/>
      <c r="F560" s="262"/>
      <c r="G560" s="262"/>
      <c r="H560" s="262"/>
      <c r="I560" s="74"/>
      <c r="J560" s="51"/>
    </row>
    <row r="561" ht="13.5" customHeight="1">
      <c r="E561" s="51"/>
      <c r="F561" s="262"/>
      <c r="G561" s="262"/>
      <c r="H561" s="262"/>
      <c r="I561" s="74"/>
      <c r="J561" s="51"/>
    </row>
    <row r="562" ht="13.5" customHeight="1">
      <c r="E562" s="51"/>
      <c r="F562" s="262"/>
      <c r="G562" s="262"/>
      <c r="H562" s="262"/>
      <c r="I562" s="74"/>
      <c r="J562" s="51"/>
    </row>
    <row r="563" ht="13.5" customHeight="1">
      <c r="E563" s="51"/>
      <c r="F563" s="262"/>
      <c r="G563" s="262"/>
      <c r="H563" s="262"/>
      <c r="I563" s="74"/>
      <c r="J563" s="51"/>
    </row>
    <row r="564" ht="13.5" customHeight="1">
      <c r="E564" s="51"/>
      <c r="F564" s="262"/>
      <c r="G564" s="262"/>
      <c r="H564" s="262"/>
      <c r="I564" s="74"/>
      <c r="J564" s="51"/>
    </row>
    <row r="565" ht="13.5" customHeight="1">
      <c r="E565" s="51"/>
      <c r="F565" s="262"/>
      <c r="G565" s="262"/>
      <c r="H565" s="262"/>
      <c r="I565" s="74"/>
      <c r="J565" s="51"/>
    </row>
    <row r="566" ht="13.5" customHeight="1">
      <c r="E566" s="51"/>
      <c r="F566" s="262"/>
      <c r="G566" s="262"/>
      <c r="H566" s="262"/>
      <c r="I566" s="74"/>
      <c r="J566" s="51"/>
    </row>
    <row r="567" ht="13.5" customHeight="1">
      <c r="E567" s="51"/>
      <c r="F567" s="262"/>
      <c r="G567" s="262"/>
      <c r="H567" s="262"/>
      <c r="I567" s="74"/>
      <c r="J567" s="51"/>
    </row>
    <row r="568" ht="13.5" customHeight="1">
      <c r="E568" s="51"/>
      <c r="F568" s="262"/>
      <c r="G568" s="262"/>
      <c r="H568" s="262"/>
      <c r="I568" s="74"/>
      <c r="J568" s="51"/>
    </row>
    <row r="569" ht="13.5" customHeight="1">
      <c r="E569" s="51"/>
      <c r="F569" s="262"/>
      <c r="G569" s="262"/>
      <c r="H569" s="262"/>
      <c r="I569" s="74"/>
      <c r="J569" s="51"/>
    </row>
    <row r="570" ht="13.5" customHeight="1">
      <c r="E570" s="51"/>
      <c r="F570" s="262"/>
      <c r="G570" s="262"/>
      <c r="H570" s="262"/>
      <c r="I570" s="74"/>
      <c r="J570" s="51"/>
    </row>
    <row r="571" ht="13.5" customHeight="1">
      <c r="E571" s="51"/>
      <c r="F571" s="262"/>
      <c r="G571" s="262"/>
      <c r="H571" s="262"/>
      <c r="I571" s="74"/>
      <c r="J571" s="51"/>
    </row>
    <row r="572" ht="13.5" customHeight="1">
      <c r="E572" s="51"/>
      <c r="F572" s="262"/>
      <c r="G572" s="262"/>
      <c r="H572" s="262"/>
      <c r="I572" s="74"/>
      <c r="J572" s="51"/>
    </row>
    <row r="573" ht="13.5" customHeight="1">
      <c r="E573" s="51"/>
      <c r="F573" s="262"/>
      <c r="G573" s="262"/>
      <c r="H573" s="262"/>
      <c r="I573" s="74"/>
      <c r="J573" s="51"/>
    </row>
    <row r="574" ht="13.5" customHeight="1">
      <c r="E574" s="51"/>
      <c r="F574" s="262"/>
      <c r="G574" s="262"/>
      <c r="H574" s="262"/>
      <c r="I574" s="74"/>
      <c r="J574" s="51"/>
    </row>
    <row r="575" ht="13.5" customHeight="1">
      <c r="E575" s="51"/>
      <c r="F575" s="262"/>
      <c r="G575" s="262"/>
      <c r="H575" s="262"/>
      <c r="I575" s="74"/>
      <c r="J575" s="51"/>
    </row>
    <row r="576" ht="13.5" customHeight="1">
      <c r="E576" s="51"/>
      <c r="F576" s="262"/>
      <c r="G576" s="262"/>
      <c r="H576" s="262"/>
      <c r="I576" s="74"/>
      <c r="J576" s="51"/>
    </row>
    <row r="577" ht="13.5" customHeight="1">
      <c r="E577" s="51"/>
      <c r="F577" s="262"/>
      <c r="G577" s="262"/>
      <c r="H577" s="262"/>
      <c r="I577" s="74"/>
      <c r="J577" s="51"/>
    </row>
    <row r="578" ht="13.5" customHeight="1">
      <c r="E578" s="51"/>
      <c r="F578" s="262"/>
      <c r="G578" s="262"/>
      <c r="H578" s="262"/>
      <c r="I578" s="74"/>
      <c r="J578" s="51"/>
    </row>
    <row r="579" ht="13.5" customHeight="1">
      <c r="E579" s="51"/>
      <c r="F579" s="262"/>
      <c r="G579" s="262"/>
      <c r="H579" s="262"/>
      <c r="I579" s="74"/>
      <c r="J579" s="51"/>
    </row>
    <row r="580" ht="13.5" customHeight="1">
      <c r="E580" s="51"/>
      <c r="F580" s="262"/>
      <c r="G580" s="262"/>
      <c r="H580" s="262"/>
      <c r="I580" s="74"/>
      <c r="J580" s="51"/>
    </row>
    <row r="581" ht="13.5" customHeight="1">
      <c r="E581" s="51"/>
      <c r="F581" s="262"/>
      <c r="G581" s="262"/>
      <c r="H581" s="262"/>
      <c r="I581" s="74"/>
      <c r="J581" s="51"/>
    </row>
    <row r="582" ht="13.5" customHeight="1">
      <c r="E582" s="51"/>
      <c r="F582" s="262"/>
      <c r="G582" s="262"/>
      <c r="H582" s="262"/>
      <c r="I582" s="74"/>
      <c r="J582" s="51"/>
    </row>
    <row r="583" ht="13.5" customHeight="1">
      <c r="E583" s="51"/>
      <c r="F583" s="262"/>
      <c r="G583" s="262"/>
      <c r="H583" s="262"/>
      <c r="I583" s="74"/>
      <c r="J583" s="51"/>
    </row>
    <row r="584" ht="13.5" customHeight="1">
      <c r="E584" s="51"/>
      <c r="F584" s="262"/>
      <c r="G584" s="262"/>
      <c r="H584" s="262"/>
      <c r="I584" s="74"/>
      <c r="J584" s="51"/>
    </row>
    <row r="585" ht="13.5" customHeight="1">
      <c r="E585" s="51"/>
      <c r="F585" s="262"/>
      <c r="G585" s="262"/>
      <c r="H585" s="262"/>
      <c r="I585" s="74"/>
      <c r="J585" s="51"/>
    </row>
    <row r="586" ht="13.5" customHeight="1">
      <c r="E586" s="51"/>
      <c r="F586" s="262"/>
      <c r="G586" s="262"/>
      <c r="H586" s="262"/>
      <c r="I586" s="74"/>
      <c r="J586" s="51"/>
    </row>
    <row r="587" ht="13.5" customHeight="1">
      <c r="E587" s="51"/>
      <c r="F587" s="262"/>
      <c r="G587" s="262"/>
      <c r="H587" s="262"/>
      <c r="I587" s="74"/>
      <c r="J587" s="51"/>
    </row>
    <row r="588" ht="13.5" customHeight="1">
      <c r="E588" s="51"/>
      <c r="F588" s="262"/>
      <c r="G588" s="262"/>
      <c r="H588" s="262"/>
      <c r="I588" s="74"/>
      <c r="J588" s="51"/>
    </row>
    <row r="589" ht="13.5" customHeight="1">
      <c r="E589" s="51"/>
      <c r="F589" s="262"/>
      <c r="G589" s="262"/>
      <c r="H589" s="262"/>
      <c r="I589" s="74"/>
      <c r="J589" s="51"/>
    </row>
    <row r="590" ht="13.5" customHeight="1">
      <c r="E590" s="51"/>
      <c r="F590" s="262"/>
      <c r="G590" s="262"/>
      <c r="H590" s="262"/>
      <c r="I590" s="74"/>
      <c r="J590" s="51"/>
    </row>
    <row r="591" ht="13.5" customHeight="1">
      <c r="E591" s="51"/>
      <c r="F591" s="262"/>
      <c r="G591" s="262"/>
      <c r="H591" s="262"/>
      <c r="I591" s="74"/>
      <c r="J591" s="51"/>
    </row>
    <row r="592" ht="13.5" customHeight="1">
      <c r="E592" s="51"/>
      <c r="F592" s="262"/>
      <c r="G592" s="262"/>
      <c r="H592" s="262"/>
      <c r="I592" s="74"/>
      <c r="J592" s="51"/>
    </row>
    <row r="593" ht="13.5" customHeight="1">
      <c r="E593" s="51"/>
      <c r="F593" s="262"/>
      <c r="G593" s="262"/>
      <c r="H593" s="262"/>
      <c r="I593" s="74"/>
      <c r="J593" s="51"/>
    </row>
    <row r="594" ht="13.5" customHeight="1">
      <c r="E594" s="51"/>
      <c r="F594" s="262"/>
      <c r="G594" s="262"/>
      <c r="H594" s="262"/>
      <c r="I594" s="74"/>
      <c r="J594" s="51"/>
    </row>
    <row r="595" ht="13.5" customHeight="1">
      <c r="E595" s="51"/>
      <c r="F595" s="262"/>
      <c r="G595" s="262"/>
      <c r="H595" s="262"/>
      <c r="I595" s="74"/>
      <c r="J595" s="51"/>
    </row>
    <row r="596" ht="13.5" customHeight="1">
      <c r="E596" s="51"/>
      <c r="F596" s="262"/>
      <c r="G596" s="262"/>
      <c r="H596" s="262"/>
      <c r="I596" s="74"/>
      <c r="J596" s="51"/>
    </row>
    <row r="597" ht="13.5" customHeight="1">
      <c r="E597" s="51"/>
      <c r="F597" s="262"/>
      <c r="G597" s="262"/>
      <c r="H597" s="262"/>
      <c r="I597" s="74"/>
      <c r="J597" s="51"/>
    </row>
    <row r="598" ht="13.5" customHeight="1">
      <c r="E598" s="51"/>
      <c r="F598" s="262"/>
      <c r="G598" s="262"/>
      <c r="H598" s="262"/>
      <c r="I598" s="74"/>
      <c r="J598" s="51"/>
    </row>
    <row r="599" ht="13.5" customHeight="1">
      <c r="E599" s="51"/>
      <c r="F599" s="262"/>
      <c r="G599" s="262"/>
      <c r="H599" s="262"/>
      <c r="I599" s="74"/>
      <c r="J599" s="51"/>
    </row>
    <row r="600" ht="13.5" customHeight="1">
      <c r="E600" s="51"/>
      <c r="F600" s="262"/>
      <c r="G600" s="262"/>
      <c r="H600" s="262"/>
      <c r="I600" s="74"/>
      <c r="J600" s="51"/>
    </row>
    <row r="601" ht="13.5" customHeight="1">
      <c r="E601" s="51"/>
      <c r="F601" s="262"/>
      <c r="G601" s="262"/>
      <c r="H601" s="262"/>
      <c r="I601" s="74"/>
      <c r="J601" s="51"/>
    </row>
    <row r="602" ht="13.5" customHeight="1">
      <c r="E602" s="51"/>
      <c r="F602" s="262"/>
      <c r="G602" s="262"/>
      <c r="H602" s="262"/>
      <c r="I602" s="74"/>
      <c r="J602" s="51"/>
    </row>
    <row r="603" ht="13.5" customHeight="1">
      <c r="E603" s="51"/>
      <c r="F603" s="262"/>
      <c r="G603" s="262"/>
      <c r="H603" s="262"/>
      <c r="I603" s="74"/>
      <c r="J603" s="51"/>
    </row>
    <row r="604" ht="13.5" customHeight="1">
      <c r="E604" s="51"/>
      <c r="F604" s="262"/>
      <c r="G604" s="262"/>
      <c r="H604" s="262"/>
      <c r="I604" s="74"/>
      <c r="J604" s="51"/>
    </row>
    <row r="605" ht="13.5" customHeight="1">
      <c r="E605" s="51"/>
      <c r="F605" s="262"/>
      <c r="G605" s="262"/>
      <c r="H605" s="262"/>
      <c r="I605" s="74"/>
      <c r="J605" s="51"/>
    </row>
    <row r="606" ht="13.5" customHeight="1">
      <c r="E606" s="51"/>
      <c r="F606" s="262"/>
      <c r="G606" s="262"/>
      <c r="H606" s="262"/>
      <c r="I606" s="74"/>
      <c r="J606" s="51"/>
    </row>
    <row r="607" ht="13.5" customHeight="1">
      <c r="E607" s="51"/>
      <c r="F607" s="262"/>
      <c r="G607" s="262"/>
      <c r="H607" s="262"/>
      <c r="I607" s="74"/>
      <c r="J607" s="51"/>
    </row>
    <row r="608" ht="13.5" customHeight="1">
      <c r="E608" s="51"/>
      <c r="F608" s="262"/>
      <c r="G608" s="262"/>
      <c r="H608" s="262"/>
      <c r="I608" s="74"/>
      <c r="J608" s="51"/>
    </row>
    <row r="609" ht="13.5" customHeight="1">
      <c r="E609" s="51"/>
      <c r="F609" s="262"/>
      <c r="G609" s="262"/>
      <c r="H609" s="262"/>
      <c r="I609" s="74"/>
      <c r="J609" s="51"/>
    </row>
    <row r="610" ht="13.5" customHeight="1">
      <c r="E610" s="51"/>
      <c r="F610" s="262"/>
      <c r="G610" s="262"/>
      <c r="H610" s="262"/>
      <c r="I610" s="74"/>
      <c r="J610" s="51"/>
    </row>
    <row r="611" ht="13.5" customHeight="1">
      <c r="E611" s="51"/>
      <c r="F611" s="262"/>
      <c r="G611" s="262"/>
      <c r="H611" s="262"/>
      <c r="I611" s="74"/>
      <c r="J611" s="51"/>
    </row>
    <row r="612" ht="13.5" customHeight="1">
      <c r="E612" s="51"/>
      <c r="F612" s="262"/>
      <c r="G612" s="262"/>
      <c r="H612" s="262"/>
      <c r="I612" s="74"/>
      <c r="J612" s="51"/>
    </row>
    <row r="613" ht="13.5" customHeight="1">
      <c r="E613" s="51"/>
      <c r="F613" s="262"/>
      <c r="G613" s="262"/>
      <c r="H613" s="262"/>
      <c r="I613" s="74"/>
      <c r="J613" s="51"/>
    </row>
    <row r="614" ht="13.5" customHeight="1">
      <c r="E614" s="51"/>
      <c r="F614" s="262"/>
      <c r="G614" s="262"/>
      <c r="H614" s="262"/>
      <c r="I614" s="74"/>
      <c r="J614" s="51"/>
    </row>
    <row r="615" ht="13.5" customHeight="1">
      <c r="E615" s="51"/>
      <c r="F615" s="262"/>
      <c r="G615" s="262"/>
      <c r="H615" s="262"/>
      <c r="I615" s="74"/>
      <c r="J615" s="51"/>
    </row>
    <row r="616" ht="13.5" customHeight="1">
      <c r="E616" s="51"/>
      <c r="F616" s="262"/>
      <c r="G616" s="262"/>
      <c r="H616" s="262"/>
      <c r="I616" s="74"/>
      <c r="J616" s="51"/>
    </row>
    <row r="617" ht="13.5" customHeight="1">
      <c r="E617" s="51"/>
      <c r="F617" s="262"/>
      <c r="G617" s="262"/>
      <c r="H617" s="262"/>
      <c r="I617" s="74"/>
      <c r="J617" s="51"/>
    </row>
    <row r="618" ht="13.5" customHeight="1">
      <c r="E618" s="51"/>
      <c r="F618" s="262"/>
      <c r="G618" s="262"/>
      <c r="H618" s="262"/>
      <c r="I618" s="74"/>
      <c r="J618" s="51"/>
    </row>
    <row r="619" ht="13.5" customHeight="1">
      <c r="E619" s="51"/>
      <c r="F619" s="262"/>
      <c r="G619" s="262"/>
      <c r="H619" s="262"/>
      <c r="I619" s="74"/>
      <c r="J619" s="51"/>
    </row>
    <row r="620" ht="13.5" customHeight="1">
      <c r="E620" s="51"/>
      <c r="F620" s="262"/>
      <c r="G620" s="262"/>
      <c r="H620" s="262"/>
      <c r="I620" s="74"/>
      <c r="J620" s="51"/>
    </row>
    <row r="621" ht="13.5" customHeight="1">
      <c r="E621" s="51"/>
      <c r="F621" s="262"/>
      <c r="G621" s="262"/>
      <c r="H621" s="262"/>
      <c r="I621" s="74"/>
      <c r="J621" s="51"/>
    </row>
    <row r="622" ht="13.5" customHeight="1">
      <c r="E622" s="51"/>
      <c r="F622" s="262"/>
      <c r="G622" s="262"/>
      <c r="H622" s="262"/>
      <c r="I622" s="74"/>
      <c r="J622" s="51"/>
    </row>
    <row r="623" ht="13.5" customHeight="1">
      <c r="E623" s="51"/>
      <c r="F623" s="262"/>
      <c r="G623" s="262"/>
      <c r="H623" s="262"/>
      <c r="I623" s="74"/>
      <c r="J623" s="51"/>
    </row>
    <row r="624" ht="13.5" customHeight="1">
      <c r="E624" s="51"/>
      <c r="F624" s="262"/>
      <c r="G624" s="262"/>
      <c r="H624" s="262"/>
      <c r="I624" s="74"/>
      <c r="J624" s="51"/>
    </row>
    <row r="625" ht="13.5" customHeight="1">
      <c r="E625" s="51"/>
      <c r="F625" s="262"/>
      <c r="G625" s="262"/>
      <c r="H625" s="262"/>
      <c r="I625" s="74"/>
      <c r="J625" s="51"/>
    </row>
    <row r="626" ht="13.5" customHeight="1">
      <c r="E626" s="51"/>
      <c r="F626" s="262"/>
      <c r="G626" s="262"/>
      <c r="H626" s="262"/>
      <c r="I626" s="74"/>
      <c r="J626" s="51"/>
    </row>
    <row r="627" ht="13.5" customHeight="1">
      <c r="E627" s="51"/>
      <c r="F627" s="262"/>
      <c r="G627" s="262"/>
      <c r="H627" s="262"/>
      <c r="I627" s="74"/>
      <c r="J627" s="51"/>
    </row>
    <row r="628" ht="13.5" customHeight="1">
      <c r="E628" s="51"/>
      <c r="F628" s="262"/>
      <c r="G628" s="262"/>
      <c r="H628" s="262"/>
      <c r="I628" s="74"/>
      <c r="J628" s="51"/>
    </row>
    <row r="629" ht="13.5" customHeight="1">
      <c r="E629" s="51"/>
      <c r="F629" s="262"/>
      <c r="G629" s="262"/>
      <c r="H629" s="262"/>
      <c r="I629" s="74"/>
      <c r="J629" s="51"/>
    </row>
    <row r="630" ht="13.5" customHeight="1">
      <c r="E630" s="51"/>
      <c r="F630" s="262"/>
      <c r="G630" s="262"/>
      <c r="H630" s="262"/>
      <c r="I630" s="74"/>
      <c r="J630" s="51"/>
    </row>
    <row r="631" ht="13.5" customHeight="1">
      <c r="E631" s="51"/>
      <c r="F631" s="262"/>
      <c r="G631" s="262"/>
      <c r="H631" s="262"/>
      <c r="I631" s="74"/>
      <c r="J631" s="51"/>
    </row>
    <row r="632" ht="13.5" customHeight="1">
      <c r="E632" s="51"/>
      <c r="F632" s="262"/>
      <c r="G632" s="262"/>
      <c r="H632" s="262"/>
      <c r="I632" s="74"/>
      <c r="J632" s="51"/>
    </row>
    <row r="633" ht="13.5" customHeight="1">
      <c r="E633" s="51"/>
      <c r="F633" s="262"/>
      <c r="G633" s="262"/>
      <c r="H633" s="262"/>
      <c r="I633" s="74"/>
      <c r="J633" s="51"/>
    </row>
    <row r="634" ht="13.5" customHeight="1">
      <c r="E634" s="51"/>
      <c r="F634" s="262"/>
      <c r="G634" s="262"/>
      <c r="H634" s="262"/>
      <c r="I634" s="74"/>
      <c r="J634" s="51"/>
    </row>
    <row r="635" ht="13.5" customHeight="1">
      <c r="E635" s="51"/>
      <c r="F635" s="262"/>
      <c r="G635" s="262"/>
      <c r="H635" s="262"/>
      <c r="I635" s="74"/>
      <c r="J635" s="51"/>
    </row>
    <row r="636" ht="13.5" customHeight="1">
      <c r="E636" s="51"/>
      <c r="F636" s="262"/>
      <c r="G636" s="262"/>
      <c r="H636" s="262"/>
      <c r="I636" s="74"/>
      <c r="J636" s="51"/>
    </row>
    <row r="637" ht="13.5" customHeight="1">
      <c r="E637" s="51"/>
      <c r="F637" s="262"/>
      <c r="G637" s="262"/>
      <c r="H637" s="262"/>
      <c r="I637" s="74"/>
      <c r="J637" s="51"/>
    </row>
    <row r="638" ht="13.5" customHeight="1">
      <c r="E638" s="51"/>
      <c r="F638" s="262"/>
      <c r="G638" s="262"/>
      <c r="H638" s="262"/>
      <c r="I638" s="74"/>
      <c r="J638" s="51"/>
    </row>
    <row r="639" ht="13.5" customHeight="1">
      <c r="E639" s="51"/>
      <c r="F639" s="262"/>
      <c r="G639" s="262"/>
      <c r="H639" s="262"/>
      <c r="I639" s="74"/>
      <c r="J639" s="51"/>
    </row>
    <row r="640" ht="13.5" customHeight="1">
      <c r="E640" s="51"/>
      <c r="F640" s="262"/>
      <c r="G640" s="262"/>
      <c r="H640" s="262"/>
      <c r="I640" s="74"/>
      <c r="J640" s="51"/>
    </row>
    <row r="641" ht="13.5" customHeight="1">
      <c r="E641" s="51"/>
      <c r="F641" s="262"/>
      <c r="G641" s="262"/>
      <c r="H641" s="262"/>
      <c r="I641" s="74"/>
      <c r="J641" s="51"/>
    </row>
    <row r="642" ht="13.5" customHeight="1">
      <c r="E642" s="51"/>
      <c r="F642" s="262"/>
      <c r="G642" s="262"/>
      <c r="H642" s="262"/>
      <c r="I642" s="74"/>
      <c r="J642" s="51"/>
    </row>
    <row r="643" ht="13.5" customHeight="1">
      <c r="E643" s="51"/>
      <c r="F643" s="262"/>
      <c r="G643" s="262"/>
      <c r="H643" s="262"/>
      <c r="I643" s="74"/>
      <c r="J643" s="51"/>
    </row>
    <row r="644" ht="13.5" customHeight="1">
      <c r="E644" s="51"/>
      <c r="F644" s="262"/>
      <c r="G644" s="262"/>
      <c r="H644" s="262"/>
      <c r="I644" s="74"/>
      <c r="J644" s="51"/>
    </row>
    <row r="645" ht="13.5" customHeight="1">
      <c r="E645" s="51"/>
      <c r="F645" s="262"/>
      <c r="G645" s="262"/>
      <c r="H645" s="262"/>
      <c r="I645" s="74"/>
      <c r="J645" s="51"/>
    </row>
    <row r="646" ht="13.5" customHeight="1">
      <c r="E646" s="51"/>
      <c r="F646" s="262"/>
      <c r="G646" s="262"/>
      <c r="H646" s="262"/>
      <c r="I646" s="74"/>
      <c r="J646" s="51"/>
    </row>
    <row r="647" ht="13.5" customHeight="1">
      <c r="E647" s="51"/>
      <c r="F647" s="262"/>
      <c r="G647" s="262"/>
      <c r="H647" s="262"/>
      <c r="I647" s="74"/>
      <c r="J647" s="51"/>
    </row>
    <row r="648" ht="13.5" customHeight="1">
      <c r="E648" s="51"/>
      <c r="F648" s="262"/>
      <c r="G648" s="262"/>
      <c r="H648" s="262"/>
      <c r="I648" s="74"/>
      <c r="J648" s="51"/>
    </row>
    <row r="649" ht="13.5" customHeight="1">
      <c r="E649" s="51"/>
      <c r="F649" s="262"/>
      <c r="G649" s="262"/>
      <c r="H649" s="262"/>
      <c r="I649" s="74"/>
      <c r="J649" s="51"/>
    </row>
    <row r="650" ht="13.5" customHeight="1">
      <c r="E650" s="51"/>
      <c r="F650" s="262"/>
      <c r="G650" s="262"/>
      <c r="H650" s="262"/>
      <c r="I650" s="74"/>
      <c r="J650" s="51"/>
    </row>
    <row r="651" ht="13.5" customHeight="1">
      <c r="E651" s="51"/>
      <c r="F651" s="262"/>
      <c r="G651" s="262"/>
      <c r="H651" s="262"/>
      <c r="I651" s="74"/>
      <c r="J651" s="51"/>
    </row>
    <row r="652" ht="13.5" customHeight="1">
      <c r="E652" s="51"/>
      <c r="F652" s="262"/>
      <c r="G652" s="262"/>
      <c r="H652" s="262"/>
      <c r="I652" s="74"/>
      <c r="J652" s="51"/>
    </row>
    <row r="653" ht="13.5" customHeight="1">
      <c r="E653" s="51"/>
      <c r="F653" s="262"/>
      <c r="G653" s="262"/>
      <c r="H653" s="262"/>
      <c r="I653" s="74"/>
      <c r="J653" s="51"/>
    </row>
    <row r="654" ht="13.5" customHeight="1">
      <c r="E654" s="51"/>
      <c r="F654" s="262"/>
      <c r="G654" s="262"/>
      <c r="H654" s="262"/>
      <c r="I654" s="74"/>
      <c r="J654" s="51"/>
    </row>
    <row r="655" ht="13.5" customHeight="1">
      <c r="E655" s="51"/>
      <c r="F655" s="262"/>
      <c r="G655" s="262"/>
      <c r="H655" s="262"/>
      <c r="I655" s="74"/>
      <c r="J655" s="51"/>
    </row>
    <row r="656" ht="13.5" customHeight="1">
      <c r="E656" s="51"/>
      <c r="F656" s="262"/>
      <c r="G656" s="262"/>
      <c r="H656" s="262"/>
      <c r="I656" s="74"/>
      <c r="J656" s="51"/>
    </row>
    <row r="657" ht="13.5" customHeight="1">
      <c r="E657" s="51"/>
      <c r="F657" s="262"/>
      <c r="G657" s="262"/>
      <c r="H657" s="262"/>
      <c r="I657" s="74"/>
      <c r="J657" s="51"/>
    </row>
    <row r="658" ht="13.5" customHeight="1">
      <c r="E658" s="51"/>
      <c r="F658" s="262"/>
      <c r="G658" s="262"/>
      <c r="H658" s="262"/>
      <c r="I658" s="74"/>
      <c r="J658" s="51"/>
    </row>
    <row r="659" ht="13.5" customHeight="1">
      <c r="E659" s="51"/>
      <c r="F659" s="262"/>
      <c r="G659" s="262"/>
      <c r="H659" s="262"/>
      <c r="I659" s="74"/>
      <c r="J659" s="51"/>
    </row>
    <row r="660" ht="13.5" customHeight="1">
      <c r="E660" s="51"/>
      <c r="F660" s="262"/>
      <c r="G660" s="262"/>
      <c r="H660" s="262"/>
      <c r="I660" s="74"/>
      <c r="J660" s="51"/>
    </row>
    <row r="661" ht="13.5" customHeight="1">
      <c r="E661" s="51"/>
      <c r="F661" s="262"/>
      <c r="G661" s="262"/>
      <c r="H661" s="262"/>
      <c r="I661" s="74"/>
      <c r="J661" s="51"/>
    </row>
    <row r="662" ht="13.5" customHeight="1">
      <c r="E662" s="51"/>
      <c r="F662" s="262"/>
      <c r="G662" s="262"/>
      <c r="H662" s="262"/>
      <c r="I662" s="74"/>
      <c r="J662" s="51"/>
    </row>
    <row r="663" ht="13.5" customHeight="1">
      <c r="E663" s="51"/>
      <c r="F663" s="262"/>
      <c r="G663" s="262"/>
      <c r="H663" s="262"/>
      <c r="I663" s="74"/>
      <c r="J663" s="51"/>
    </row>
    <row r="664" ht="13.5" customHeight="1">
      <c r="E664" s="51"/>
      <c r="F664" s="262"/>
      <c r="G664" s="262"/>
      <c r="H664" s="262"/>
      <c r="I664" s="74"/>
      <c r="J664" s="51"/>
    </row>
    <row r="665" ht="13.5" customHeight="1">
      <c r="E665" s="51"/>
      <c r="F665" s="262"/>
      <c r="G665" s="262"/>
      <c r="H665" s="262"/>
      <c r="I665" s="74"/>
      <c r="J665" s="51"/>
    </row>
    <row r="666" ht="13.5" customHeight="1">
      <c r="E666" s="51"/>
      <c r="F666" s="262"/>
      <c r="G666" s="262"/>
      <c r="H666" s="262"/>
      <c r="I666" s="74"/>
      <c r="J666" s="51"/>
    </row>
    <row r="667" ht="13.5" customHeight="1">
      <c r="E667" s="51"/>
      <c r="F667" s="262"/>
      <c r="G667" s="262"/>
      <c r="H667" s="262"/>
      <c r="I667" s="74"/>
      <c r="J667" s="51"/>
    </row>
    <row r="668" ht="13.5" customHeight="1">
      <c r="E668" s="51"/>
      <c r="F668" s="262"/>
      <c r="G668" s="262"/>
      <c r="H668" s="262"/>
      <c r="I668" s="74"/>
      <c r="J668" s="51"/>
    </row>
    <row r="669" ht="13.5" customHeight="1">
      <c r="E669" s="51"/>
      <c r="F669" s="262"/>
      <c r="G669" s="262"/>
      <c r="H669" s="262"/>
      <c r="I669" s="74"/>
      <c r="J669" s="51"/>
    </row>
    <row r="670" ht="13.5" customHeight="1">
      <c r="E670" s="51"/>
      <c r="F670" s="262"/>
      <c r="G670" s="262"/>
      <c r="H670" s="262"/>
      <c r="I670" s="74"/>
      <c r="J670" s="51"/>
    </row>
    <row r="671" ht="13.5" customHeight="1">
      <c r="E671" s="51"/>
      <c r="F671" s="262"/>
      <c r="G671" s="262"/>
      <c r="H671" s="262"/>
      <c r="I671" s="74"/>
      <c r="J671" s="51"/>
    </row>
    <row r="672" ht="13.5" customHeight="1">
      <c r="E672" s="51"/>
      <c r="F672" s="262"/>
      <c r="G672" s="262"/>
      <c r="H672" s="262"/>
      <c r="I672" s="74"/>
      <c r="J672" s="51"/>
    </row>
    <row r="673" ht="13.5" customHeight="1">
      <c r="E673" s="51"/>
      <c r="F673" s="262"/>
      <c r="G673" s="262"/>
      <c r="H673" s="262"/>
      <c r="I673" s="74"/>
      <c r="J673" s="51"/>
    </row>
    <row r="674" ht="13.5" customHeight="1">
      <c r="E674" s="51"/>
      <c r="F674" s="262"/>
      <c r="G674" s="262"/>
      <c r="H674" s="262"/>
      <c r="I674" s="74"/>
      <c r="J674" s="51"/>
    </row>
    <row r="675" ht="13.5" customHeight="1">
      <c r="E675" s="51"/>
      <c r="F675" s="262"/>
      <c r="G675" s="262"/>
      <c r="H675" s="262"/>
      <c r="I675" s="74"/>
      <c r="J675" s="51"/>
    </row>
    <row r="676" ht="13.5" customHeight="1">
      <c r="E676" s="51"/>
      <c r="F676" s="262"/>
      <c r="G676" s="262"/>
      <c r="H676" s="262"/>
      <c r="I676" s="74"/>
      <c r="J676" s="51"/>
    </row>
    <row r="677" ht="13.5" customHeight="1">
      <c r="E677" s="51"/>
      <c r="F677" s="262"/>
      <c r="G677" s="262"/>
      <c r="H677" s="262"/>
      <c r="I677" s="74"/>
      <c r="J677" s="51"/>
    </row>
    <row r="678" ht="13.5" customHeight="1">
      <c r="E678" s="51"/>
      <c r="F678" s="262"/>
      <c r="G678" s="262"/>
      <c r="H678" s="262"/>
      <c r="I678" s="74"/>
      <c r="J678" s="51"/>
    </row>
    <row r="679" ht="13.5" customHeight="1">
      <c r="E679" s="51"/>
      <c r="F679" s="262"/>
      <c r="G679" s="262"/>
      <c r="H679" s="262"/>
      <c r="I679" s="74"/>
      <c r="J679" s="51"/>
    </row>
    <row r="680" ht="13.5" customHeight="1">
      <c r="E680" s="51"/>
      <c r="F680" s="262"/>
      <c r="G680" s="262"/>
      <c r="H680" s="262"/>
      <c r="I680" s="74"/>
      <c r="J680" s="51"/>
    </row>
    <row r="681" ht="13.5" customHeight="1">
      <c r="E681" s="51"/>
      <c r="F681" s="262"/>
      <c r="G681" s="262"/>
      <c r="H681" s="262"/>
      <c r="I681" s="74"/>
      <c r="J681" s="51"/>
    </row>
    <row r="682" ht="13.5" customHeight="1">
      <c r="E682" s="51"/>
      <c r="F682" s="262"/>
      <c r="G682" s="262"/>
      <c r="H682" s="262"/>
      <c r="I682" s="74"/>
      <c r="J682" s="51"/>
    </row>
    <row r="683" ht="13.5" customHeight="1">
      <c r="E683" s="51"/>
      <c r="F683" s="262"/>
      <c r="G683" s="262"/>
      <c r="H683" s="262"/>
      <c r="I683" s="74"/>
      <c r="J683" s="51"/>
    </row>
    <row r="684" ht="13.5" customHeight="1">
      <c r="E684" s="51"/>
      <c r="F684" s="262"/>
      <c r="G684" s="262"/>
      <c r="H684" s="262"/>
      <c r="I684" s="74"/>
      <c r="J684" s="51"/>
    </row>
    <row r="685" ht="13.5" customHeight="1">
      <c r="E685" s="51"/>
      <c r="F685" s="262"/>
      <c r="G685" s="262"/>
      <c r="H685" s="262"/>
      <c r="I685" s="74"/>
      <c r="J685" s="51"/>
    </row>
    <row r="686" ht="13.5" customHeight="1">
      <c r="E686" s="51"/>
      <c r="F686" s="262"/>
      <c r="G686" s="262"/>
      <c r="H686" s="262"/>
      <c r="I686" s="74"/>
      <c r="J686" s="51"/>
    </row>
    <row r="687" ht="13.5" customHeight="1">
      <c r="E687" s="51"/>
      <c r="F687" s="262"/>
      <c r="G687" s="262"/>
      <c r="H687" s="262"/>
      <c r="I687" s="74"/>
      <c r="J687" s="51"/>
    </row>
    <row r="688" ht="13.5" customHeight="1">
      <c r="E688" s="51"/>
      <c r="F688" s="262"/>
      <c r="G688" s="262"/>
      <c r="H688" s="262"/>
      <c r="I688" s="74"/>
      <c r="J688" s="51"/>
    </row>
    <row r="689" ht="13.5" customHeight="1">
      <c r="E689" s="51"/>
      <c r="F689" s="262"/>
      <c r="G689" s="262"/>
      <c r="H689" s="262"/>
      <c r="I689" s="74"/>
      <c r="J689" s="51"/>
    </row>
    <row r="690" ht="13.5" customHeight="1">
      <c r="E690" s="51"/>
      <c r="F690" s="262"/>
      <c r="G690" s="262"/>
      <c r="H690" s="262"/>
      <c r="I690" s="74"/>
      <c r="J690" s="51"/>
    </row>
    <row r="691" ht="13.5" customHeight="1">
      <c r="E691" s="51"/>
      <c r="F691" s="262"/>
      <c r="G691" s="262"/>
      <c r="H691" s="262"/>
      <c r="I691" s="74"/>
      <c r="J691" s="51"/>
    </row>
    <row r="692" ht="13.5" customHeight="1">
      <c r="E692" s="51"/>
      <c r="F692" s="262"/>
      <c r="G692" s="262"/>
      <c r="H692" s="262"/>
      <c r="I692" s="74"/>
      <c r="J692" s="51"/>
    </row>
    <row r="693" ht="13.5" customHeight="1">
      <c r="E693" s="51"/>
      <c r="F693" s="262"/>
      <c r="G693" s="262"/>
      <c r="H693" s="262"/>
      <c r="I693" s="74"/>
      <c r="J693" s="51"/>
    </row>
    <row r="694" ht="13.5" customHeight="1">
      <c r="E694" s="51"/>
      <c r="F694" s="262"/>
      <c r="G694" s="262"/>
      <c r="H694" s="262"/>
      <c r="I694" s="74"/>
      <c r="J694" s="51"/>
    </row>
    <row r="695" ht="13.5" customHeight="1">
      <c r="E695" s="51"/>
      <c r="F695" s="262"/>
      <c r="G695" s="262"/>
      <c r="H695" s="262"/>
      <c r="I695" s="74"/>
      <c r="J695" s="51"/>
    </row>
    <row r="696" ht="13.5" customHeight="1">
      <c r="E696" s="51"/>
      <c r="F696" s="262"/>
      <c r="G696" s="262"/>
      <c r="H696" s="262"/>
      <c r="I696" s="74"/>
      <c r="J696" s="51"/>
    </row>
    <row r="697" ht="13.5" customHeight="1">
      <c r="E697" s="51"/>
      <c r="F697" s="262"/>
      <c r="G697" s="262"/>
      <c r="H697" s="262"/>
      <c r="I697" s="74"/>
      <c r="J697" s="51"/>
    </row>
    <row r="698" ht="13.5" customHeight="1">
      <c r="E698" s="51"/>
      <c r="F698" s="262"/>
      <c r="G698" s="262"/>
      <c r="H698" s="262"/>
      <c r="I698" s="74"/>
      <c r="J698" s="51"/>
    </row>
    <row r="699" ht="13.5" customHeight="1">
      <c r="E699" s="51"/>
      <c r="F699" s="262"/>
      <c r="G699" s="262"/>
      <c r="H699" s="262"/>
      <c r="I699" s="74"/>
      <c r="J699" s="51"/>
    </row>
    <row r="700" ht="13.5" customHeight="1">
      <c r="E700" s="51"/>
      <c r="F700" s="262"/>
      <c r="G700" s="262"/>
      <c r="H700" s="262"/>
      <c r="I700" s="74"/>
      <c r="J700" s="51"/>
    </row>
    <row r="701" ht="13.5" customHeight="1">
      <c r="E701" s="51"/>
      <c r="F701" s="262"/>
      <c r="G701" s="262"/>
      <c r="H701" s="262"/>
      <c r="I701" s="74"/>
      <c r="J701" s="51"/>
    </row>
    <row r="702" ht="13.5" customHeight="1">
      <c r="E702" s="51"/>
      <c r="F702" s="262"/>
      <c r="G702" s="262"/>
      <c r="H702" s="262"/>
      <c r="I702" s="74"/>
      <c r="J702" s="51"/>
    </row>
    <row r="703" ht="13.5" customHeight="1">
      <c r="E703" s="51"/>
      <c r="F703" s="262"/>
      <c r="G703" s="262"/>
      <c r="H703" s="262"/>
      <c r="I703" s="74"/>
      <c r="J703" s="51"/>
    </row>
    <row r="704" ht="13.5" customHeight="1">
      <c r="E704" s="51"/>
      <c r="F704" s="262"/>
      <c r="G704" s="262"/>
      <c r="H704" s="262"/>
      <c r="I704" s="74"/>
      <c r="J704" s="51"/>
    </row>
    <row r="705" ht="13.5" customHeight="1">
      <c r="E705" s="51"/>
      <c r="F705" s="262"/>
      <c r="G705" s="262"/>
      <c r="H705" s="262"/>
      <c r="I705" s="74"/>
      <c r="J705" s="51"/>
    </row>
    <row r="706" ht="13.5" customHeight="1">
      <c r="E706" s="51"/>
      <c r="F706" s="262"/>
      <c r="G706" s="262"/>
      <c r="H706" s="262"/>
      <c r="I706" s="74"/>
      <c r="J706" s="51"/>
    </row>
    <row r="707" ht="13.5" customHeight="1">
      <c r="E707" s="51"/>
      <c r="F707" s="262"/>
      <c r="G707" s="262"/>
      <c r="H707" s="262"/>
      <c r="I707" s="74"/>
      <c r="J707" s="51"/>
    </row>
    <row r="708" ht="13.5" customHeight="1">
      <c r="E708" s="51"/>
      <c r="F708" s="262"/>
      <c r="G708" s="262"/>
      <c r="H708" s="262"/>
      <c r="I708" s="74"/>
      <c r="J708" s="51"/>
    </row>
    <row r="709" ht="13.5" customHeight="1">
      <c r="E709" s="51"/>
      <c r="F709" s="262"/>
      <c r="G709" s="262"/>
      <c r="H709" s="262"/>
      <c r="I709" s="74"/>
      <c r="J709" s="51"/>
    </row>
    <row r="710" ht="13.5" customHeight="1">
      <c r="E710" s="51"/>
      <c r="F710" s="262"/>
      <c r="G710" s="262"/>
      <c r="H710" s="262"/>
      <c r="I710" s="74"/>
      <c r="J710" s="51"/>
    </row>
    <row r="711" ht="13.5" customHeight="1">
      <c r="E711" s="51"/>
      <c r="F711" s="262"/>
      <c r="G711" s="262"/>
      <c r="H711" s="262"/>
      <c r="I711" s="74"/>
      <c r="J711" s="51"/>
    </row>
    <row r="712" ht="13.5" customHeight="1">
      <c r="E712" s="51"/>
      <c r="F712" s="262"/>
      <c r="G712" s="262"/>
      <c r="H712" s="262"/>
      <c r="I712" s="74"/>
      <c r="J712" s="51"/>
    </row>
    <row r="713" ht="13.5" customHeight="1">
      <c r="E713" s="51"/>
      <c r="F713" s="262"/>
      <c r="G713" s="262"/>
      <c r="H713" s="262"/>
      <c r="I713" s="74"/>
      <c r="J713" s="51"/>
    </row>
    <row r="714" ht="13.5" customHeight="1">
      <c r="E714" s="51"/>
      <c r="F714" s="262"/>
      <c r="G714" s="262"/>
      <c r="H714" s="262"/>
      <c r="I714" s="74"/>
      <c r="J714" s="51"/>
    </row>
    <row r="715" ht="13.5" customHeight="1">
      <c r="E715" s="51"/>
      <c r="F715" s="262"/>
      <c r="G715" s="262"/>
      <c r="H715" s="262"/>
      <c r="I715" s="74"/>
      <c r="J715" s="51"/>
    </row>
    <row r="716" ht="13.5" customHeight="1">
      <c r="E716" s="51"/>
      <c r="F716" s="262"/>
      <c r="G716" s="262"/>
      <c r="H716" s="262"/>
      <c r="I716" s="74"/>
      <c r="J716" s="51"/>
    </row>
    <row r="717" ht="13.5" customHeight="1">
      <c r="E717" s="51"/>
      <c r="F717" s="262"/>
      <c r="G717" s="262"/>
      <c r="H717" s="262"/>
      <c r="I717" s="74"/>
      <c r="J717" s="51"/>
    </row>
    <row r="718" ht="13.5" customHeight="1">
      <c r="E718" s="51"/>
      <c r="F718" s="262"/>
      <c r="G718" s="262"/>
      <c r="H718" s="262"/>
      <c r="I718" s="74"/>
      <c r="J718" s="51"/>
    </row>
    <row r="719" ht="13.5" customHeight="1">
      <c r="E719" s="51"/>
      <c r="F719" s="262"/>
      <c r="G719" s="262"/>
      <c r="H719" s="262"/>
      <c r="I719" s="74"/>
      <c r="J719" s="51"/>
    </row>
    <row r="720" ht="13.5" customHeight="1">
      <c r="E720" s="51"/>
      <c r="F720" s="262"/>
      <c r="G720" s="262"/>
      <c r="H720" s="262"/>
      <c r="I720" s="74"/>
      <c r="J720" s="51"/>
    </row>
    <row r="721" ht="13.5" customHeight="1">
      <c r="E721" s="51"/>
      <c r="F721" s="262"/>
      <c r="G721" s="262"/>
      <c r="H721" s="262"/>
      <c r="I721" s="74"/>
      <c r="J721" s="51"/>
    </row>
    <row r="722" ht="13.5" customHeight="1">
      <c r="E722" s="51"/>
      <c r="F722" s="262"/>
      <c r="G722" s="262"/>
      <c r="H722" s="262"/>
      <c r="I722" s="74"/>
      <c r="J722" s="51"/>
    </row>
    <row r="723" ht="13.5" customHeight="1">
      <c r="E723" s="51"/>
      <c r="F723" s="262"/>
      <c r="G723" s="262"/>
      <c r="H723" s="262"/>
      <c r="I723" s="74"/>
      <c r="J723" s="51"/>
    </row>
    <row r="724" ht="13.5" customHeight="1">
      <c r="E724" s="51"/>
      <c r="F724" s="262"/>
      <c r="G724" s="262"/>
      <c r="H724" s="262"/>
      <c r="I724" s="74"/>
      <c r="J724" s="51"/>
    </row>
    <row r="725" ht="13.5" customHeight="1">
      <c r="E725" s="51"/>
      <c r="F725" s="262"/>
      <c r="G725" s="262"/>
      <c r="H725" s="262"/>
      <c r="I725" s="74"/>
      <c r="J725" s="51"/>
    </row>
    <row r="726" ht="13.5" customHeight="1">
      <c r="E726" s="51"/>
      <c r="F726" s="262"/>
      <c r="G726" s="262"/>
      <c r="H726" s="262"/>
      <c r="I726" s="74"/>
      <c r="J726" s="51"/>
    </row>
    <row r="727" ht="13.5" customHeight="1">
      <c r="E727" s="51"/>
      <c r="F727" s="262"/>
      <c r="G727" s="262"/>
      <c r="H727" s="262"/>
      <c r="I727" s="74"/>
      <c r="J727" s="51"/>
    </row>
    <row r="728" ht="13.5" customHeight="1">
      <c r="E728" s="51"/>
      <c r="F728" s="262"/>
      <c r="G728" s="262"/>
      <c r="H728" s="262"/>
      <c r="I728" s="74"/>
      <c r="J728" s="51"/>
    </row>
    <row r="729" ht="13.5" customHeight="1">
      <c r="E729" s="51"/>
      <c r="F729" s="262"/>
      <c r="G729" s="262"/>
      <c r="H729" s="262"/>
      <c r="I729" s="74"/>
      <c r="J729" s="51"/>
    </row>
    <row r="730" ht="13.5" customHeight="1">
      <c r="E730" s="51"/>
      <c r="F730" s="262"/>
      <c r="G730" s="262"/>
      <c r="H730" s="262"/>
      <c r="I730" s="74"/>
      <c r="J730" s="51"/>
    </row>
    <row r="731" ht="13.5" customHeight="1">
      <c r="E731" s="51"/>
      <c r="F731" s="262"/>
      <c r="G731" s="262"/>
      <c r="H731" s="262"/>
      <c r="I731" s="74"/>
      <c r="J731" s="51"/>
    </row>
    <row r="732" ht="13.5" customHeight="1">
      <c r="E732" s="51"/>
      <c r="F732" s="262"/>
      <c r="G732" s="262"/>
      <c r="H732" s="262"/>
      <c r="I732" s="74"/>
      <c r="J732" s="51"/>
    </row>
    <row r="733" ht="13.5" customHeight="1">
      <c r="E733" s="51"/>
      <c r="F733" s="262"/>
      <c r="G733" s="262"/>
      <c r="H733" s="262"/>
      <c r="I733" s="74"/>
      <c r="J733" s="51"/>
    </row>
    <row r="734" ht="13.5" customHeight="1">
      <c r="E734" s="51"/>
      <c r="F734" s="262"/>
      <c r="G734" s="262"/>
      <c r="H734" s="262"/>
      <c r="I734" s="74"/>
      <c r="J734" s="51"/>
    </row>
    <row r="735" ht="13.5" customHeight="1">
      <c r="E735" s="51"/>
      <c r="F735" s="262"/>
      <c r="G735" s="262"/>
      <c r="H735" s="262"/>
      <c r="I735" s="74"/>
      <c r="J735" s="51"/>
    </row>
    <row r="736" ht="13.5" customHeight="1">
      <c r="E736" s="51"/>
      <c r="F736" s="262"/>
      <c r="G736" s="262"/>
      <c r="H736" s="262"/>
      <c r="I736" s="74"/>
      <c r="J736" s="51"/>
    </row>
    <row r="737" ht="13.5" customHeight="1">
      <c r="E737" s="51"/>
      <c r="F737" s="262"/>
      <c r="G737" s="262"/>
      <c r="H737" s="262"/>
      <c r="I737" s="74"/>
      <c r="J737" s="51"/>
    </row>
    <row r="738" ht="13.5" customHeight="1">
      <c r="E738" s="51"/>
      <c r="F738" s="262"/>
      <c r="G738" s="262"/>
      <c r="H738" s="262"/>
      <c r="I738" s="74"/>
      <c r="J738" s="51"/>
    </row>
    <row r="739" ht="13.5" customHeight="1">
      <c r="E739" s="51"/>
      <c r="F739" s="262"/>
      <c r="G739" s="262"/>
      <c r="H739" s="262"/>
      <c r="I739" s="74"/>
      <c r="J739" s="51"/>
    </row>
    <row r="740" ht="13.5" customHeight="1">
      <c r="E740" s="51"/>
      <c r="F740" s="262"/>
      <c r="G740" s="262"/>
      <c r="H740" s="262"/>
      <c r="I740" s="74"/>
      <c r="J740" s="51"/>
    </row>
    <row r="741" ht="13.5" customHeight="1">
      <c r="E741" s="51"/>
      <c r="F741" s="262"/>
      <c r="G741" s="262"/>
      <c r="H741" s="262"/>
      <c r="I741" s="74"/>
      <c r="J741" s="51"/>
    </row>
    <row r="742" ht="13.5" customHeight="1">
      <c r="E742" s="51"/>
      <c r="F742" s="262"/>
      <c r="G742" s="262"/>
      <c r="H742" s="262"/>
      <c r="I742" s="74"/>
      <c r="J742" s="51"/>
    </row>
    <row r="743" ht="13.5" customHeight="1">
      <c r="E743" s="51"/>
      <c r="F743" s="262"/>
      <c r="G743" s="262"/>
      <c r="H743" s="262"/>
      <c r="I743" s="74"/>
      <c r="J743" s="51"/>
    </row>
    <row r="744" ht="13.5" customHeight="1">
      <c r="E744" s="51"/>
      <c r="F744" s="262"/>
      <c r="G744" s="262"/>
      <c r="H744" s="262"/>
      <c r="I744" s="74"/>
      <c r="J744" s="51"/>
    </row>
    <row r="745" ht="13.5" customHeight="1">
      <c r="E745" s="51"/>
      <c r="F745" s="262"/>
      <c r="G745" s="262"/>
      <c r="H745" s="262"/>
      <c r="I745" s="74"/>
      <c r="J745" s="51"/>
    </row>
    <row r="746" ht="13.5" customHeight="1">
      <c r="E746" s="51"/>
      <c r="F746" s="262"/>
      <c r="G746" s="262"/>
      <c r="H746" s="262"/>
      <c r="I746" s="74"/>
      <c r="J746" s="51"/>
    </row>
    <row r="747" ht="13.5" customHeight="1">
      <c r="E747" s="51"/>
      <c r="F747" s="262"/>
      <c r="G747" s="262"/>
      <c r="H747" s="262"/>
      <c r="I747" s="74"/>
      <c r="J747" s="51"/>
    </row>
    <row r="748" ht="13.5" customHeight="1">
      <c r="E748" s="51"/>
      <c r="F748" s="262"/>
      <c r="G748" s="262"/>
      <c r="H748" s="262"/>
      <c r="I748" s="74"/>
      <c r="J748" s="51"/>
    </row>
    <row r="749" ht="13.5" customHeight="1">
      <c r="E749" s="51"/>
      <c r="F749" s="262"/>
      <c r="G749" s="262"/>
      <c r="H749" s="262"/>
      <c r="I749" s="74"/>
      <c r="J749" s="51"/>
    </row>
    <row r="750" ht="13.5" customHeight="1">
      <c r="E750" s="51"/>
      <c r="F750" s="262"/>
      <c r="G750" s="262"/>
      <c r="H750" s="262"/>
      <c r="I750" s="74"/>
      <c r="J750" s="51"/>
    </row>
    <row r="751" ht="13.5" customHeight="1">
      <c r="E751" s="51"/>
      <c r="F751" s="262"/>
      <c r="G751" s="262"/>
      <c r="H751" s="262"/>
      <c r="I751" s="74"/>
      <c r="J751" s="51"/>
    </row>
    <row r="752" ht="13.5" customHeight="1">
      <c r="E752" s="51"/>
      <c r="F752" s="262"/>
      <c r="G752" s="262"/>
      <c r="H752" s="262"/>
      <c r="I752" s="74"/>
      <c r="J752" s="51"/>
    </row>
    <row r="753" ht="13.5" customHeight="1">
      <c r="E753" s="51"/>
      <c r="F753" s="262"/>
      <c r="G753" s="262"/>
      <c r="H753" s="262"/>
      <c r="I753" s="74"/>
      <c r="J753" s="51"/>
    </row>
    <row r="754" ht="13.5" customHeight="1">
      <c r="E754" s="51"/>
      <c r="F754" s="262"/>
      <c r="G754" s="262"/>
      <c r="H754" s="262"/>
      <c r="I754" s="74"/>
      <c r="J754" s="51"/>
    </row>
    <row r="755" ht="13.5" customHeight="1">
      <c r="E755" s="51"/>
      <c r="F755" s="262"/>
      <c r="G755" s="262"/>
      <c r="H755" s="262"/>
      <c r="I755" s="74"/>
      <c r="J755" s="51"/>
    </row>
    <row r="756" ht="13.5" customHeight="1">
      <c r="E756" s="51"/>
      <c r="F756" s="262"/>
      <c r="G756" s="262"/>
      <c r="H756" s="262"/>
      <c r="I756" s="74"/>
      <c r="J756" s="51"/>
    </row>
    <row r="757" ht="13.5" customHeight="1">
      <c r="E757" s="51"/>
      <c r="F757" s="262"/>
      <c r="G757" s="262"/>
      <c r="H757" s="262"/>
      <c r="I757" s="74"/>
      <c r="J757" s="51"/>
    </row>
    <row r="758" ht="13.5" customHeight="1">
      <c r="E758" s="51"/>
      <c r="F758" s="262"/>
      <c r="G758" s="262"/>
      <c r="H758" s="262"/>
      <c r="I758" s="74"/>
      <c r="J758" s="51"/>
    </row>
    <row r="759" ht="13.5" customHeight="1">
      <c r="E759" s="51"/>
      <c r="F759" s="262"/>
      <c r="G759" s="262"/>
      <c r="H759" s="262"/>
      <c r="I759" s="74"/>
      <c r="J759" s="51"/>
    </row>
    <row r="760" ht="13.5" customHeight="1">
      <c r="E760" s="51"/>
      <c r="F760" s="262"/>
      <c r="G760" s="262"/>
      <c r="H760" s="262"/>
      <c r="I760" s="74"/>
      <c r="J760" s="51"/>
    </row>
    <row r="761" ht="13.5" customHeight="1">
      <c r="E761" s="51"/>
      <c r="F761" s="262"/>
      <c r="G761" s="262"/>
      <c r="H761" s="262"/>
      <c r="I761" s="74"/>
      <c r="J761" s="51"/>
    </row>
    <row r="762" ht="13.5" customHeight="1">
      <c r="E762" s="51"/>
      <c r="F762" s="262"/>
      <c r="G762" s="262"/>
      <c r="H762" s="262"/>
      <c r="I762" s="74"/>
      <c r="J762" s="51"/>
    </row>
    <row r="763" ht="13.5" customHeight="1">
      <c r="E763" s="51"/>
      <c r="F763" s="262"/>
      <c r="G763" s="262"/>
      <c r="H763" s="262"/>
      <c r="I763" s="74"/>
      <c r="J763" s="51"/>
    </row>
    <row r="764" ht="13.5" customHeight="1">
      <c r="E764" s="51"/>
      <c r="F764" s="262"/>
      <c r="G764" s="262"/>
      <c r="H764" s="262"/>
      <c r="I764" s="74"/>
      <c r="J764" s="51"/>
    </row>
    <row r="765" ht="13.5" customHeight="1">
      <c r="E765" s="51"/>
      <c r="F765" s="262"/>
      <c r="G765" s="262"/>
      <c r="H765" s="262"/>
      <c r="I765" s="74"/>
      <c r="J765" s="51"/>
    </row>
    <row r="766" ht="13.5" customHeight="1">
      <c r="E766" s="51"/>
      <c r="F766" s="262"/>
      <c r="G766" s="262"/>
      <c r="H766" s="262"/>
      <c r="I766" s="74"/>
      <c r="J766" s="51"/>
    </row>
    <row r="767" ht="13.5" customHeight="1">
      <c r="E767" s="51"/>
      <c r="F767" s="262"/>
      <c r="G767" s="262"/>
      <c r="H767" s="262"/>
      <c r="I767" s="74"/>
      <c r="J767" s="51"/>
    </row>
    <row r="768" ht="13.5" customHeight="1">
      <c r="E768" s="51"/>
      <c r="F768" s="262"/>
      <c r="G768" s="262"/>
      <c r="H768" s="262"/>
      <c r="I768" s="74"/>
      <c r="J768" s="51"/>
    </row>
    <row r="769" ht="13.5" customHeight="1">
      <c r="E769" s="51"/>
      <c r="F769" s="262"/>
      <c r="G769" s="262"/>
      <c r="H769" s="262"/>
      <c r="I769" s="74"/>
      <c r="J769" s="51"/>
    </row>
    <row r="770" ht="13.5" customHeight="1">
      <c r="E770" s="51"/>
      <c r="F770" s="262"/>
      <c r="G770" s="262"/>
      <c r="H770" s="262"/>
      <c r="I770" s="74"/>
      <c r="J770" s="51"/>
    </row>
    <row r="771" ht="13.5" customHeight="1">
      <c r="E771" s="51"/>
      <c r="F771" s="262"/>
      <c r="G771" s="262"/>
      <c r="H771" s="262"/>
      <c r="I771" s="74"/>
      <c r="J771" s="51"/>
    </row>
    <row r="772" ht="13.5" customHeight="1">
      <c r="E772" s="51"/>
      <c r="F772" s="262"/>
      <c r="G772" s="262"/>
      <c r="H772" s="262"/>
      <c r="I772" s="74"/>
      <c r="J772" s="51"/>
    </row>
    <row r="773" ht="13.5" customHeight="1">
      <c r="E773" s="51"/>
      <c r="F773" s="262"/>
      <c r="G773" s="262"/>
      <c r="H773" s="262"/>
      <c r="I773" s="74"/>
      <c r="J773" s="51"/>
    </row>
    <row r="774" ht="13.5" customHeight="1">
      <c r="E774" s="51"/>
      <c r="F774" s="262"/>
      <c r="G774" s="262"/>
      <c r="H774" s="262"/>
      <c r="I774" s="74"/>
      <c r="J774" s="51"/>
    </row>
    <row r="775" ht="13.5" customHeight="1">
      <c r="E775" s="51"/>
      <c r="F775" s="262"/>
      <c r="G775" s="262"/>
      <c r="H775" s="262"/>
      <c r="I775" s="74"/>
      <c r="J775" s="51"/>
    </row>
    <row r="776" ht="13.5" customHeight="1">
      <c r="E776" s="51"/>
      <c r="F776" s="262"/>
      <c r="G776" s="262"/>
      <c r="H776" s="262"/>
      <c r="I776" s="74"/>
      <c r="J776" s="51"/>
    </row>
    <row r="777" ht="13.5" customHeight="1">
      <c r="E777" s="51"/>
      <c r="F777" s="262"/>
      <c r="G777" s="262"/>
      <c r="H777" s="262"/>
      <c r="I777" s="74"/>
      <c r="J777" s="51"/>
    </row>
    <row r="778" ht="13.5" customHeight="1">
      <c r="E778" s="51"/>
      <c r="F778" s="262"/>
      <c r="G778" s="262"/>
      <c r="H778" s="262"/>
      <c r="I778" s="74"/>
      <c r="J778" s="51"/>
    </row>
    <row r="779" ht="13.5" customHeight="1">
      <c r="E779" s="51"/>
      <c r="F779" s="262"/>
      <c r="G779" s="262"/>
      <c r="H779" s="262"/>
      <c r="I779" s="74"/>
      <c r="J779" s="51"/>
    </row>
    <row r="780" ht="13.5" customHeight="1">
      <c r="E780" s="51"/>
      <c r="F780" s="262"/>
      <c r="G780" s="262"/>
      <c r="H780" s="262"/>
      <c r="I780" s="74"/>
      <c r="J780" s="51"/>
    </row>
    <row r="781" ht="13.5" customHeight="1">
      <c r="E781" s="51"/>
      <c r="F781" s="262"/>
      <c r="G781" s="262"/>
      <c r="H781" s="262"/>
      <c r="I781" s="74"/>
      <c r="J781" s="51"/>
    </row>
    <row r="782" ht="13.5" customHeight="1">
      <c r="E782" s="51"/>
      <c r="F782" s="262"/>
      <c r="G782" s="262"/>
      <c r="H782" s="262"/>
      <c r="I782" s="74"/>
      <c r="J782" s="51"/>
    </row>
    <row r="783" ht="13.5" customHeight="1">
      <c r="E783" s="51"/>
      <c r="F783" s="262"/>
      <c r="G783" s="262"/>
      <c r="H783" s="262"/>
      <c r="I783" s="74"/>
      <c r="J783" s="51"/>
    </row>
    <row r="784" ht="13.5" customHeight="1">
      <c r="E784" s="51"/>
      <c r="F784" s="262"/>
      <c r="G784" s="262"/>
      <c r="H784" s="262"/>
      <c r="I784" s="74"/>
      <c r="J784" s="51"/>
    </row>
    <row r="785" ht="13.5" customHeight="1">
      <c r="E785" s="51"/>
      <c r="F785" s="262"/>
      <c r="G785" s="262"/>
      <c r="H785" s="262"/>
      <c r="I785" s="74"/>
      <c r="J785" s="51"/>
    </row>
    <row r="786" ht="13.5" customHeight="1">
      <c r="E786" s="51"/>
      <c r="F786" s="262"/>
      <c r="G786" s="262"/>
      <c r="H786" s="262"/>
      <c r="I786" s="74"/>
      <c r="J786" s="51"/>
    </row>
    <row r="787" ht="13.5" customHeight="1">
      <c r="E787" s="51"/>
      <c r="F787" s="262"/>
      <c r="G787" s="262"/>
      <c r="H787" s="262"/>
      <c r="I787" s="74"/>
      <c r="J787" s="51"/>
    </row>
    <row r="788" ht="13.5" customHeight="1">
      <c r="E788" s="51"/>
      <c r="F788" s="262"/>
      <c r="G788" s="262"/>
      <c r="H788" s="262"/>
      <c r="I788" s="74"/>
      <c r="J788" s="51"/>
    </row>
    <row r="789" ht="13.5" customHeight="1">
      <c r="E789" s="51"/>
      <c r="F789" s="262"/>
      <c r="G789" s="262"/>
      <c r="H789" s="262"/>
      <c r="I789" s="74"/>
      <c r="J789" s="51"/>
    </row>
    <row r="790" ht="13.5" customHeight="1">
      <c r="E790" s="51"/>
      <c r="F790" s="262"/>
      <c r="G790" s="262"/>
      <c r="H790" s="262"/>
      <c r="I790" s="74"/>
      <c r="J790" s="51"/>
    </row>
    <row r="791" ht="13.5" customHeight="1">
      <c r="E791" s="51"/>
      <c r="F791" s="262"/>
      <c r="G791" s="262"/>
      <c r="H791" s="262"/>
      <c r="I791" s="74"/>
      <c r="J791" s="51"/>
    </row>
    <row r="792" ht="13.5" customHeight="1">
      <c r="E792" s="51"/>
      <c r="F792" s="262"/>
      <c r="G792" s="262"/>
      <c r="H792" s="262"/>
      <c r="I792" s="74"/>
      <c r="J792" s="51"/>
    </row>
    <row r="793" ht="13.5" customHeight="1">
      <c r="E793" s="51"/>
      <c r="F793" s="262"/>
      <c r="G793" s="262"/>
      <c r="H793" s="262"/>
      <c r="I793" s="74"/>
      <c r="J793" s="51"/>
    </row>
    <row r="794" ht="13.5" customHeight="1">
      <c r="E794" s="51"/>
      <c r="F794" s="262"/>
      <c r="G794" s="262"/>
      <c r="H794" s="262"/>
      <c r="I794" s="74"/>
      <c r="J794" s="51"/>
    </row>
    <row r="795" ht="13.5" customHeight="1">
      <c r="E795" s="51"/>
      <c r="F795" s="262"/>
      <c r="G795" s="262"/>
      <c r="H795" s="262"/>
      <c r="I795" s="74"/>
      <c r="J795" s="51"/>
    </row>
    <row r="796" ht="13.5" customHeight="1">
      <c r="E796" s="51"/>
      <c r="F796" s="262"/>
      <c r="G796" s="262"/>
      <c r="H796" s="262"/>
      <c r="I796" s="74"/>
      <c r="J796" s="51"/>
    </row>
    <row r="797" ht="13.5" customHeight="1">
      <c r="E797" s="51"/>
      <c r="F797" s="262"/>
      <c r="G797" s="262"/>
      <c r="H797" s="262"/>
      <c r="I797" s="74"/>
      <c r="J797" s="51"/>
    </row>
    <row r="798" ht="13.5" customHeight="1">
      <c r="E798" s="51"/>
      <c r="F798" s="262"/>
      <c r="G798" s="262"/>
      <c r="H798" s="262"/>
      <c r="I798" s="74"/>
      <c r="J798" s="51"/>
    </row>
    <row r="799" ht="13.5" customHeight="1">
      <c r="E799" s="51"/>
      <c r="F799" s="262"/>
      <c r="G799" s="262"/>
      <c r="H799" s="262"/>
      <c r="I799" s="74"/>
      <c r="J799" s="51"/>
    </row>
    <row r="800" ht="13.5" customHeight="1">
      <c r="E800" s="51"/>
      <c r="F800" s="262"/>
      <c r="G800" s="262"/>
      <c r="H800" s="262"/>
      <c r="I800" s="74"/>
      <c r="J800" s="51"/>
    </row>
    <row r="801" ht="13.5" customHeight="1">
      <c r="E801" s="51"/>
      <c r="F801" s="262"/>
      <c r="G801" s="262"/>
      <c r="H801" s="262"/>
      <c r="I801" s="74"/>
      <c r="J801" s="51"/>
    </row>
    <row r="802" ht="13.5" customHeight="1">
      <c r="E802" s="51"/>
      <c r="F802" s="262"/>
      <c r="G802" s="262"/>
      <c r="H802" s="262"/>
      <c r="I802" s="74"/>
      <c r="J802" s="51"/>
    </row>
    <row r="803" ht="13.5" customHeight="1">
      <c r="E803" s="51"/>
      <c r="F803" s="262"/>
      <c r="G803" s="262"/>
      <c r="H803" s="262"/>
      <c r="I803" s="74"/>
      <c r="J803" s="51"/>
    </row>
    <row r="804" ht="13.5" customHeight="1">
      <c r="E804" s="51"/>
      <c r="F804" s="262"/>
      <c r="G804" s="262"/>
      <c r="H804" s="262"/>
      <c r="I804" s="74"/>
      <c r="J804" s="51"/>
    </row>
    <row r="805" ht="13.5" customHeight="1">
      <c r="E805" s="51"/>
      <c r="F805" s="262"/>
      <c r="G805" s="262"/>
      <c r="H805" s="262"/>
      <c r="I805" s="74"/>
      <c r="J805" s="51"/>
    </row>
    <row r="806" ht="13.5" customHeight="1">
      <c r="E806" s="51"/>
      <c r="F806" s="262"/>
      <c r="G806" s="262"/>
      <c r="H806" s="262"/>
      <c r="I806" s="74"/>
      <c r="J806" s="51"/>
    </row>
    <row r="807" ht="13.5" customHeight="1">
      <c r="E807" s="51"/>
      <c r="F807" s="262"/>
      <c r="G807" s="262"/>
      <c r="H807" s="262"/>
      <c r="I807" s="74"/>
      <c r="J807" s="51"/>
    </row>
    <row r="808" ht="13.5" customHeight="1">
      <c r="E808" s="51"/>
      <c r="F808" s="262"/>
      <c r="G808" s="262"/>
      <c r="H808" s="262"/>
      <c r="I808" s="74"/>
      <c r="J808" s="51"/>
    </row>
    <row r="809" ht="13.5" customHeight="1">
      <c r="E809" s="51"/>
      <c r="F809" s="262"/>
      <c r="G809" s="262"/>
      <c r="H809" s="262"/>
      <c r="I809" s="74"/>
      <c r="J809" s="51"/>
    </row>
    <row r="810" ht="13.5" customHeight="1">
      <c r="E810" s="51"/>
      <c r="F810" s="262"/>
      <c r="G810" s="262"/>
      <c r="H810" s="262"/>
      <c r="I810" s="74"/>
      <c r="J810" s="51"/>
    </row>
    <row r="811" ht="13.5" customHeight="1">
      <c r="E811" s="51"/>
      <c r="F811" s="262"/>
      <c r="G811" s="262"/>
      <c r="H811" s="262"/>
      <c r="I811" s="74"/>
      <c r="J811" s="51"/>
    </row>
    <row r="812" ht="13.5" customHeight="1">
      <c r="E812" s="51"/>
      <c r="F812" s="262"/>
      <c r="G812" s="262"/>
      <c r="H812" s="262"/>
      <c r="I812" s="74"/>
      <c r="J812" s="51"/>
    </row>
    <row r="813" ht="13.5" customHeight="1">
      <c r="E813" s="51"/>
      <c r="F813" s="262"/>
      <c r="G813" s="262"/>
      <c r="H813" s="262"/>
      <c r="I813" s="74"/>
      <c r="J813" s="51"/>
    </row>
    <row r="814" ht="13.5" customHeight="1">
      <c r="E814" s="51"/>
      <c r="F814" s="262"/>
      <c r="G814" s="262"/>
      <c r="H814" s="262"/>
      <c r="I814" s="74"/>
      <c r="J814" s="51"/>
    </row>
    <row r="815" ht="13.5" customHeight="1">
      <c r="E815" s="51"/>
      <c r="F815" s="262"/>
      <c r="G815" s="262"/>
      <c r="H815" s="262"/>
      <c r="I815" s="74"/>
      <c r="J815" s="51"/>
    </row>
    <row r="816" ht="13.5" customHeight="1">
      <c r="E816" s="51"/>
      <c r="F816" s="262"/>
      <c r="G816" s="262"/>
      <c r="H816" s="262"/>
      <c r="I816" s="74"/>
      <c r="J816" s="51"/>
    </row>
    <row r="817" ht="13.5" customHeight="1">
      <c r="E817" s="51"/>
      <c r="F817" s="262"/>
      <c r="G817" s="262"/>
      <c r="H817" s="262"/>
      <c r="I817" s="74"/>
      <c r="J817" s="51"/>
    </row>
    <row r="818" ht="13.5" customHeight="1">
      <c r="E818" s="51"/>
      <c r="F818" s="262"/>
      <c r="G818" s="262"/>
      <c r="H818" s="262"/>
      <c r="I818" s="74"/>
      <c r="J818" s="51"/>
    </row>
    <row r="819" ht="13.5" customHeight="1">
      <c r="E819" s="51"/>
      <c r="F819" s="262"/>
      <c r="G819" s="262"/>
      <c r="H819" s="262"/>
      <c r="I819" s="74"/>
      <c r="J819" s="51"/>
    </row>
    <row r="820" ht="13.5" customHeight="1">
      <c r="E820" s="51"/>
      <c r="F820" s="262"/>
      <c r="G820" s="262"/>
      <c r="H820" s="262"/>
      <c r="I820" s="74"/>
      <c r="J820" s="51"/>
    </row>
    <row r="821" ht="13.5" customHeight="1">
      <c r="E821" s="51"/>
      <c r="F821" s="262"/>
      <c r="G821" s="262"/>
      <c r="H821" s="262"/>
      <c r="I821" s="74"/>
      <c r="J821" s="51"/>
    </row>
    <row r="822" ht="13.5" customHeight="1">
      <c r="E822" s="51"/>
      <c r="F822" s="262"/>
      <c r="G822" s="262"/>
      <c r="H822" s="262"/>
      <c r="I822" s="74"/>
      <c r="J822" s="51"/>
    </row>
    <row r="823" ht="13.5" customHeight="1">
      <c r="E823" s="51"/>
      <c r="F823" s="262"/>
      <c r="G823" s="262"/>
      <c r="H823" s="262"/>
      <c r="I823" s="74"/>
      <c r="J823" s="51"/>
    </row>
    <row r="824" ht="13.5" customHeight="1">
      <c r="E824" s="51"/>
      <c r="F824" s="262"/>
      <c r="G824" s="262"/>
      <c r="H824" s="262"/>
      <c r="I824" s="74"/>
      <c r="J824" s="51"/>
    </row>
    <row r="825" ht="13.5" customHeight="1">
      <c r="E825" s="51"/>
      <c r="F825" s="262"/>
      <c r="G825" s="262"/>
      <c r="H825" s="262"/>
      <c r="I825" s="74"/>
      <c r="J825" s="51"/>
    </row>
    <row r="826" ht="13.5" customHeight="1">
      <c r="E826" s="51"/>
      <c r="F826" s="262"/>
      <c r="G826" s="262"/>
      <c r="H826" s="262"/>
      <c r="I826" s="74"/>
      <c r="J826" s="51"/>
    </row>
    <row r="827" ht="13.5" customHeight="1">
      <c r="E827" s="51"/>
      <c r="F827" s="262"/>
      <c r="G827" s="262"/>
      <c r="H827" s="262"/>
      <c r="I827" s="74"/>
      <c r="J827" s="51"/>
    </row>
    <row r="828" ht="13.5" customHeight="1">
      <c r="E828" s="51"/>
      <c r="F828" s="262"/>
      <c r="G828" s="262"/>
      <c r="H828" s="262"/>
      <c r="I828" s="74"/>
      <c r="J828" s="51"/>
    </row>
    <row r="829" ht="13.5" customHeight="1">
      <c r="E829" s="51"/>
      <c r="F829" s="262"/>
      <c r="G829" s="262"/>
      <c r="H829" s="262"/>
      <c r="I829" s="74"/>
      <c r="J829" s="51"/>
    </row>
    <row r="830" ht="13.5" customHeight="1">
      <c r="E830" s="51"/>
      <c r="F830" s="262"/>
      <c r="G830" s="262"/>
      <c r="H830" s="262"/>
      <c r="I830" s="74"/>
      <c r="J830" s="51"/>
    </row>
    <row r="831" ht="13.5" customHeight="1">
      <c r="E831" s="51"/>
      <c r="F831" s="262"/>
      <c r="G831" s="262"/>
      <c r="H831" s="262"/>
      <c r="I831" s="74"/>
      <c r="J831" s="51"/>
    </row>
    <row r="832" ht="13.5" customHeight="1">
      <c r="E832" s="51"/>
      <c r="F832" s="262"/>
      <c r="G832" s="262"/>
      <c r="H832" s="262"/>
      <c r="I832" s="74"/>
      <c r="J832" s="51"/>
    </row>
    <row r="833" ht="13.5" customHeight="1">
      <c r="E833" s="51"/>
      <c r="F833" s="262"/>
      <c r="G833" s="262"/>
      <c r="H833" s="262"/>
      <c r="I833" s="74"/>
      <c r="J833" s="51"/>
    </row>
    <row r="834" ht="13.5" customHeight="1">
      <c r="E834" s="51"/>
      <c r="F834" s="262"/>
      <c r="G834" s="262"/>
      <c r="H834" s="262"/>
      <c r="I834" s="74"/>
      <c r="J834" s="51"/>
    </row>
    <row r="835" ht="13.5" customHeight="1">
      <c r="E835" s="51"/>
      <c r="F835" s="262"/>
      <c r="G835" s="262"/>
      <c r="H835" s="262"/>
      <c r="I835" s="74"/>
      <c r="J835" s="51"/>
    </row>
    <row r="836" ht="13.5" customHeight="1">
      <c r="E836" s="51"/>
      <c r="F836" s="262"/>
      <c r="G836" s="262"/>
      <c r="H836" s="262"/>
      <c r="I836" s="74"/>
      <c r="J836" s="51"/>
    </row>
    <row r="837" ht="13.5" customHeight="1">
      <c r="E837" s="51"/>
      <c r="F837" s="262"/>
      <c r="G837" s="262"/>
      <c r="H837" s="262"/>
      <c r="I837" s="74"/>
      <c r="J837" s="51"/>
    </row>
    <row r="838" ht="13.5" customHeight="1">
      <c r="E838" s="51"/>
      <c r="F838" s="262"/>
      <c r="G838" s="262"/>
      <c r="H838" s="262"/>
      <c r="I838" s="74"/>
      <c r="J838" s="51"/>
    </row>
    <row r="839" ht="13.5" customHeight="1">
      <c r="E839" s="51"/>
      <c r="F839" s="262"/>
      <c r="G839" s="262"/>
      <c r="H839" s="262"/>
      <c r="I839" s="74"/>
      <c r="J839" s="51"/>
    </row>
    <row r="840" ht="13.5" customHeight="1">
      <c r="E840" s="51"/>
      <c r="F840" s="262"/>
      <c r="G840" s="262"/>
      <c r="H840" s="262"/>
      <c r="I840" s="74"/>
      <c r="J840" s="51"/>
    </row>
    <row r="841" ht="13.5" customHeight="1">
      <c r="E841" s="51"/>
      <c r="F841" s="262"/>
      <c r="G841" s="262"/>
      <c r="H841" s="262"/>
      <c r="I841" s="74"/>
      <c r="J841" s="51"/>
    </row>
    <row r="842" ht="13.5" customHeight="1">
      <c r="E842" s="51"/>
      <c r="F842" s="262"/>
      <c r="G842" s="262"/>
      <c r="H842" s="262"/>
      <c r="I842" s="74"/>
      <c r="J842" s="51"/>
    </row>
    <row r="843" ht="13.5" customHeight="1">
      <c r="E843" s="51"/>
      <c r="F843" s="262"/>
      <c r="G843" s="262"/>
      <c r="H843" s="262"/>
      <c r="I843" s="74"/>
      <c r="J843" s="51"/>
    </row>
    <row r="844" ht="13.5" customHeight="1">
      <c r="E844" s="51"/>
      <c r="F844" s="262"/>
      <c r="G844" s="262"/>
      <c r="H844" s="262"/>
      <c r="I844" s="74"/>
      <c r="J844" s="51"/>
    </row>
    <row r="845" ht="13.5" customHeight="1">
      <c r="E845" s="51"/>
      <c r="F845" s="262"/>
      <c r="G845" s="262"/>
      <c r="H845" s="262"/>
      <c r="I845" s="74"/>
      <c r="J845" s="51"/>
    </row>
    <row r="846" ht="13.5" customHeight="1">
      <c r="E846" s="51"/>
      <c r="F846" s="262"/>
      <c r="G846" s="262"/>
      <c r="H846" s="262"/>
      <c r="I846" s="74"/>
      <c r="J846" s="51"/>
    </row>
    <row r="847" ht="13.5" customHeight="1">
      <c r="E847" s="51"/>
      <c r="F847" s="262"/>
      <c r="G847" s="262"/>
      <c r="H847" s="262"/>
      <c r="I847" s="74"/>
      <c r="J847" s="51"/>
    </row>
    <row r="848" ht="13.5" customHeight="1">
      <c r="E848" s="51"/>
      <c r="F848" s="262"/>
      <c r="G848" s="262"/>
      <c r="H848" s="262"/>
      <c r="I848" s="74"/>
      <c r="J848" s="51"/>
    </row>
    <row r="849" ht="13.5" customHeight="1">
      <c r="E849" s="51"/>
      <c r="F849" s="262"/>
      <c r="G849" s="262"/>
      <c r="H849" s="262"/>
      <c r="I849" s="74"/>
      <c r="J849" s="51"/>
    </row>
    <row r="850" ht="13.5" customHeight="1">
      <c r="E850" s="51"/>
      <c r="F850" s="262"/>
      <c r="G850" s="262"/>
      <c r="H850" s="262"/>
      <c r="I850" s="74"/>
      <c r="J850" s="51"/>
    </row>
    <row r="851" ht="13.5" customHeight="1">
      <c r="E851" s="51"/>
      <c r="F851" s="262"/>
      <c r="G851" s="262"/>
      <c r="H851" s="262"/>
      <c r="I851" s="74"/>
      <c r="J851" s="51"/>
    </row>
    <row r="852" ht="13.5" customHeight="1">
      <c r="E852" s="51"/>
      <c r="F852" s="262"/>
      <c r="G852" s="262"/>
      <c r="H852" s="262"/>
      <c r="I852" s="74"/>
      <c r="J852" s="51"/>
    </row>
    <row r="853" ht="13.5" customHeight="1">
      <c r="E853" s="51"/>
      <c r="F853" s="262"/>
      <c r="G853" s="262"/>
      <c r="H853" s="262"/>
      <c r="I853" s="74"/>
      <c r="J853" s="51"/>
    </row>
    <row r="854" ht="13.5" customHeight="1">
      <c r="E854" s="51"/>
      <c r="F854" s="262"/>
      <c r="G854" s="262"/>
      <c r="H854" s="262"/>
      <c r="I854" s="74"/>
      <c r="J854" s="51"/>
    </row>
    <row r="855" ht="13.5" customHeight="1">
      <c r="E855" s="51"/>
      <c r="F855" s="262"/>
      <c r="G855" s="262"/>
      <c r="H855" s="262"/>
      <c r="I855" s="74"/>
      <c r="J855" s="51"/>
    </row>
    <row r="856" ht="13.5" customHeight="1">
      <c r="E856" s="51"/>
      <c r="F856" s="262"/>
      <c r="G856" s="262"/>
      <c r="H856" s="262"/>
      <c r="I856" s="74"/>
      <c r="J856" s="51"/>
    </row>
    <row r="857" ht="13.5" customHeight="1">
      <c r="E857" s="51"/>
      <c r="F857" s="262"/>
      <c r="G857" s="262"/>
      <c r="H857" s="262"/>
      <c r="I857" s="74"/>
      <c r="J857" s="51"/>
    </row>
    <row r="858" ht="13.5" customHeight="1">
      <c r="E858" s="51"/>
      <c r="F858" s="262"/>
      <c r="G858" s="262"/>
      <c r="H858" s="262"/>
      <c r="I858" s="74"/>
      <c r="J858" s="51"/>
    </row>
    <row r="859" ht="13.5" customHeight="1">
      <c r="E859" s="51"/>
      <c r="F859" s="262"/>
      <c r="G859" s="262"/>
      <c r="H859" s="262"/>
      <c r="I859" s="74"/>
      <c r="J859" s="51"/>
    </row>
    <row r="860" ht="13.5" customHeight="1">
      <c r="E860" s="51"/>
      <c r="F860" s="262"/>
      <c r="G860" s="262"/>
      <c r="H860" s="262"/>
      <c r="I860" s="74"/>
      <c r="J860" s="51"/>
    </row>
    <row r="861" ht="13.5" customHeight="1">
      <c r="E861" s="51"/>
      <c r="F861" s="262"/>
      <c r="G861" s="262"/>
      <c r="H861" s="262"/>
      <c r="I861" s="74"/>
      <c r="J861" s="51"/>
    </row>
    <row r="862" ht="13.5" customHeight="1">
      <c r="E862" s="51"/>
      <c r="F862" s="262"/>
      <c r="G862" s="262"/>
      <c r="H862" s="262"/>
      <c r="I862" s="74"/>
      <c r="J862" s="51"/>
    </row>
    <row r="863" ht="13.5" customHeight="1">
      <c r="E863" s="51"/>
      <c r="F863" s="262"/>
      <c r="G863" s="262"/>
      <c r="H863" s="262"/>
      <c r="I863" s="74"/>
      <c r="J863" s="51"/>
    </row>
    <row r="864" ht="13.5" customHeight="1">
      <c r="E864" s="51"/>
      <c r="F864" s="262"/>
      <c r="G864" s="262"/>
      <c r="H864" s="262"/>
      <c r="I864" s="74"/>
      <c r="J864" s="51"/>
    </row>
    <row r="865" ht="13.5" customHeight="1">
      <c r="E865" s="51"/>
      <c r="F865" s="262"/>
      <c r="G865" s="262"/>
      <c r="H865" s="262"/>
      <c r="I865" s="74"/>
      <c r="J865" s="51"/>
    </row>
    <row r="866" ht="13.5" customHeight="1">
      <c r="E866" s="51"/>
      <c r="F866" s="262"/>
      <c r="G866" s="262"/>
      <c r="H866" s="262"/>
      <c r="I866" s="74"/>
      <c r="J866" s="51"/>
    </row>
    <row r="867" ht="13.5" customHeight="1">
      <c r="E867" s="51"/>
      <c r="F867" s="262"/>
      <c r="G867" s="262"/>
      <c r="H867" s="262"/>
      <c r="I867" s="74"/>
      <c r="J867" s="51"/>
    </row>
    <row r="868" ht="13.5" customHeight="1">
      <c r="E868" s="51"/>
      <c r="F868" s="262"/>
      <c r="G868" s="262"/>
      <c r="H868" s="262"/>
      <c r="I868" s="74"/>
      <c r="J868" s="51"/>
    </row>
    <row r="869" ht="13.5" customHeight="1">
      <c r="E869" s="51"/>
      <c r="F869" s="262"/>
      <c r="G869" s="262"/>
      <c r="H869" s="262"/>
      <c r="I869" s="74"/>
      <c r="J869" s="51"/>
    </row>
    <row r="870" ht="13.5" customHeight="1">
      <c r="E870" s="51"/>
      <c r="F870" s="262"/>
      <c r="G870" s="262"/>
      <c r="H870" s="262"/>
      <c r="I870" s="74"/>
      <c r="J870" s="51"/>
    </row>
    <row r="871" ht="13.5" customHeight="1">
      <c r="E871" s="51"/>
      <c r="F871" s="262"/>
      <c r="G871" s="262"/>
      <c r="H871" s="262"/>
      <c r="I871" s="74"/>
      <c r="J871" s="51"/>
    </row>
    <row r="872" ht="13.5" customHeight="1">
      <c r="E872" s="51"/>
      <c r="F872" s="262"/>
      <c r="G872" s="262"/>
      <c r="H872" s="262"/>
      <c r="I872" s="74"/>
      <c r="J872" s="51"/>
    </row>
    <row r="873" ht="13.5" customHeight="1">
      <c r="E873" s="51"/>
      <c r="F873" s="262"/>
      <c r="G873" s="262"/>
      <c r="H873" s="262"/>
      <c r="I873" s="74"/>
      <c r="J873" s="51"/>
    </row>
    <row r="874" ht="13.5" customHeight="1">
      <c r="E874" s="51"/>
      <c r="F874" s="262"/>
      <c r="G874" s="262"/>
      <c r="H874" s="262"/>
      <c r="I874" s="74"/>
      <c r="J874" s="51"/>
    </row>
    <row r="875" ht="13.5" customHeight="1">
      <c r="E875" s="51"/>
      <c r="F875" s="262"/>
      <c r="G875" s="262"/>
      <c r="H875" s="262"/>
      <c r="I875" s="74"/>
      <c r="J875" s="51"/>
    </row>
    <row r="876" ht="13.5" customHeight="1">
      <c r="E876" s="51"/>
      <c r="F876" s="262"/>
      <c r="G876" s="262"/>
      <c r="H876" s="262"/>
      <c r="I876" s="74"/>
      <c r="J876" s="51"/>
    </row>
    <row r="877" ht="13.5" customHeight="1">
      <c r="E877" s="51"/>
      <c r="F877" s="262"/>
      <c r="G877" s="262"/>
      <c r="H877" s="262"/>
      <c r="I877" s="74"/>
      <c r="J877" s="51"/>
    </row>
    <row r="878" ht="13.5" customHeight="1">
      <c r="E878" s="51"/>
      <c r="F878" s="262"/>
      <c r="G878" s="262"/>
      <c r="H878" s="262"/>
      <c r="I878" s="74"/>
      <c r="J878" s="51"/>
    </row>
    <row r="879" ht="13.5" customHeight="1">
      <c r="E879" s="51"/>
      <c r="F879" s="262"/>
      <c r="G879" s="262"/>
      <c r="H879" s="262"/>
      <c r="I879" s="74"/>
      <c r="J879" s="51"/>
    </row>
    <row r="880" ht="13.5" customHeight="1">
      <c r="E880" s="51"/>
      <c r="F880" s="262"/>
      <c r="G880" s="262"/>
      <c r="H880" s="262"/>
      <c r="I880" s="74"/>
      <c r="J880" s="51"/>
    </row>
    <row r="881" ht="13.5" customHeight="1">
      <c r="E881" s="51"/>
      <c r="F881" s="262"/>
      <c r="G881" s="262"/>
      <c r="H881" s="262"/>
      <c r="I881" s="74"/>
      <c r="J881" s="51"/>
    </row>
    <row r="882" ht="13.5" customHeight="1">
      <c r="E882" s="51"/>
      <c r="F882" s="262"/>
      <c r="G882" s="262"/>
      <c r="H882" s="262"/>
      <c r="I882" s="74"/>
      <c r="J882" s="51"/>
    </row>
    <row r="883" ht="13.5" customHeight="1">
      <c r="E883" s="51"/>
      <c r="F883" s="262"/>
      <c r="G883" s="262"/>
      <c r="H883" s="262"/>
      <c r="I883" s="74"/>
      <c r="J883" s="51"/>
    </row>
    <row r="884" ht="13.5" customHeight="1">
      <c r="E884" s="51"/>
      <c r="F884" s="262"/>
      <c r="G884" s="262"/>
      <c r="H884" s="262"/>
      <c r="I884" s="74"/>
      <c r="J884" s="51"/>
    </row>
    <row r="885" ht="13.5" customHeight="1">
      <c r="E885" s="51"/>
      <c r="F885" s="262"/>
      <c r="G885" s="262"/>
      <c r="H885" s="262"/>
      <c r="I885" s="74"/>
      <c r="J885" s="51"/>
    </row>
    <row r="886" ht="13.5" customHeight="1">
      <c r="E886" s="51"/>
      <c r="F886" s="262"/>
      <c r="G886" s="262"/>
      <c r="H886" s="262"/>
      <c r="I886" s="74"/>
      <c r="J886" s="51"/>
    </row>
    <row r="887" ht="13.5" customHeight="1">
      <c r="E887" s="51"/>
      <c r="F887" s="262"/>
      <c r="G887" s="262"/>
      <c r="H887" s="262"/>
      <c r="I887" s="74"/>
      <c r="J887" s="51"/>
    </row>
    <row r="888" ht="13.5" customHeight="1">
      <c r="E888" s="51"/>
      <c r="F888" s="262"/>
      <c r="G888" s="262"/>
      <c r="H888" s="262"/>
      <c r="I888" s="74"/>
      <c r="J888" s="51"/>
    </row>
    <row r="889" ht="13.5" customHeight="1">
      <c r="E889" s="51"/>
      <c r="F889" s="262"/>
      <c r="G889" s="262"/>
      <c r="H889" s="262"/>
      <c r="I889" s="74"/>
      <c r="J889" s="51"/>
    </row>
    <row r="890" ht="13.5" customHeight="1">
      <c r="E890" s="51"/>
      <c r="F890" s="262"/>
      <c r="G890" s="262"/>
      <c r="H890" s="262"/>
      <c r="I890" s="74"/>
      <c r="J890" s="51"/>
    </row>
    <row r="891" ht="13.5" customHeight="1">
      <c r="E891" s="51"/>
      <c r="F891" s="262"/>
      <c r="G891" s="262"/>
      <c r="H891" s="262"/>
      <c r="I891" s="74"/>
      <c r="J891" s="51"/>
    </row>
    <row r="892" ht="13.5" customHeight="1">
      <c r="E892" s="51"/>
      <c r="F892" s="262"/>
      <c r="G892" s="262"/>
      <c r="H892" s="262"/>
      <c r="I892" s="74"/>
      <c r="J892" s="51"/>
    </row>
    <row r="893" ht="13.5" customHeight="1">
      <c r="E893" s="51"/>
      <c r="F893" s="262"/>
      <c r="G893" s="262"/>
      <c r="H893" s="262"/>
      <c r="I893" s="74"/>
      <c r="J893" s="51"/>
    </row>
    <row r="894" ht="13.5" customHeight="1">
      <c r="E894" s="51"/>
      <c r="F894" s="262"/>
      <c r="G894" s="262"/>
      <c r="H894" s="262"/>
      <c r="I894" s="74"/>
      <c r="J894" s="51"/>
    </row>
    <row r="895" ht="13.5" customHeight="1">
      <c r="E895" s="51"/>
      <c r="F895" s="262"/>
      <c r="G895" s="262"/>
      <c r="H895" s="262"/>
      <c r="I895" s="74"/>
      <c r="J895" s="51"/>
    </row>
    <row r="896" ht="13.5" customHeight="1">
      <c r="E896" s="51"/>
      <c r="F896" s="262"/>
      <c r="G896" s="262"/>
      <c r="H896" s="262"/>
      <c r="I896" s="74"/>
      <c r="J896" s="51"/>
    </row>
    <row r="897" ht="13.5" customHeight="1">
      <c r="E897" s="51"/>
      <c r="F897" s="262"/>
      <c r="G897" s="262"/>
      <c r="H897" s="262"/>
      <c r="I897" s="74"/>
      <c r="J897" s="51"/>
    </row>
    <row r="898" ht="13.5" customHeight="1">
      <c r="E898" s="51"/>
      <c r="F898" s="262"/>
      <c r="G898" s="262"/>
      <c r="H898" s="262"/>
      <c r="I898" s="74"/>
      <c r="J898" s="51"/>
    </row>
    <row r="899" ht="13.5" customHeight="1">
      <c r="E899" s="51"/>
      <c r="F899" s="262"/>
      <c r="G899" s="262"/>
      <c r="H899" s="262"/>
      <c r="I899" s="74"/>
      <c r="J899" s="51"/>
    </row>
    <row r="900" ht="13.5" customHeight="1">
      <c r="E900" s="51"/>
      <c r="F900" s="262"/>
      <c r="G900" s="262"/>
      <c r="H900" s="262"/>
      <c r="I900" s="74"/>
      <c r="J900" s="51"/>
    </row>
    <row r="901" ht="13.5" customHeight="1">
      <c r="E901" s="51"/>
      <c r="F901" s="262"/>
      <c r="G901" s="262"/>
      <c r="H901" s="262"/>
      <c r="I901" s="74"/>
      <c r="J901" s="51"/>
    </row>
    <row r="902" ht="13.5" customHeight="1">
      <c r="E902" s="51"/>
      <c r="F902" s="262"/>
      <c r="G902" s="262"/>
      <c r="H902" s="262"/>
      <c r="I902" s="74"/>
      <c r="J902" s="51"/>
    </row>
    <row r="903" ht="13.5" customHeight="1">
      <c r="E903" s="51"/>
      <c r="F903" s="262"/>
      <c r="G903" s="262"/>
      <c r="H903" s="262"/>
      <c r="I903" s="74"/>
      <c r="J903" s="51"/>
    </row>
    <row r="904" ht="13.5" customHeight="1">
      <c r="E904" s="51"/>
      <c r="F904" s="262"/>
      <c r="G904" s="262"/>
      <c r="H904" s="262"/>
      <c r="I904" s="74"/>
      <c r="J904" s="51"/>
    </row>
    <row r="905" ht="13.5" customHeight="1">
      <c r="E905" s="51"/>
      <c r="F905" s="262"/>
      <c r="G905" s="262"/>
      <c r="H905" s="262"/>
      <c r="I905" s="74"/>
      <c r="J905" s="51"/>
    </row>
    <row r="906" ht="13.5" customHeight="1">
      <c r="E906" s="51"/>
      <c r="F906" s="262"/>
      <c r="G906" s="262"/>
      <c r="H906" s="262"/>
      <c r="I906" s="74"/>
      <c r="J906" s="51"/>
    </row>
    <row r="907" ht="13.5" customHeight="1">
      <c r="E907" s="51"/>
      <c r="F907" s="262"/>
      <c r="G907" s="262"/>
      <c r="H907" s="262"/>
      <c r="I907" s="74"/>
      <c r="J907" s="51"/>
    </row>
    <row r="908" ht="13.5" customHeight="1">
      <c r="E908" s="51"/>
      <c r="F908" s="262"/>
      <c r="G908" s="262"/>
      <c r="H908" s="262"/>
      <c r="I908" s="74"/>
      <c r="J908" s="51"/>
    </row>
    <row r="909" ht="13.5" customHeight="1">
      <c r="E909" s="51"/>
      <c r="F909" s="262"/>
      <c r="G909" s="262"/>
      <c r="H909" s="262"/>
      <c r="I909" s="74"/>
      <c r="J909" s="51"/>
    </row>
    <row r="910" ht="13.5" customHeight="1">
      <c r="E910" s="51"/>
      <c r="F910" s="262"/>
      <c r="G910" s="262"/>
      <c r="H910" s="262"/>
      <c r="I910" s="74"/>
      <c r="J910" s="51"/>
    </row>
    <row r="911" ht="13.5" customHeight="1">
      <c r="E911" s="51"/>
      <c r="F911" s="262"/>
      <c r="G911" s="262"/>
      <c r="H911" s="262"/>
      <c r="I911" s="74"/>
      <c r="J911" s="51"/>
    </row>
    <row r="912" ht="13.5" customHeight="1">
      <c r="E912" s="51"/>
      <c r="F912" s="262"/>
      <c r="G912" s="262"/>
      <c r="H912" s="262"/>
      <c r="I912" s="74"/>
      <c r="J912" s="51"/>
    </row>
    <row r="913" ht="13.5" customHeight="1">
      <c r="E913" s="51"/>
      <c r="F913" s="262"/>
      <c r="G913" s="262"/>
      <c r="H913" s="262"/>
      <c r="I913" s="74"/>
      <c r="J913" s="51"/>
    </row>
    <row r="914" ht="13.5" customHeight="1">
      <c r="E914" s="51"/>
      <c r="F914" s="262"/>
      <c r="G914" s="262"/>
      <c r="H914" s="262"/>
      <c r="I914" s="74"/>
      <c r="J914" s="51"/>
    </row>
    <row r="915" ht="13.5" customHeight="1">
      <c r="E915" s="51"/>
      <c r="F915" s="262"/>
      <c r="G915" s="262"/>
      <c r="H915" s="262"/>
      <c r="I915" s="74"/>
      <c r="J915" s="51"/>
    </row>
    <row r="916" ht="13.5" customHeight="1">
      <c r="E916" s="51"/>
      <c r="F916" s="262"/>
      <c r="G916" s="262"/>
      <c r="H916" s="262"/>
      <c r="I916" s="74"/>
      <c r="J916" s="51"/>
    </row>
    <row r="917" ht="13.5" customHeight="1">
      <c r="E917" s="51"/>
      <c r="F917" s="262"/>
      <c r="G917" s="262"/>
      <c r="H917" s="262"/>
      <c r="I917" s="74"/>
      <c r="J917" s="51"/>
    </row>
    <row r="918" ht="13.5" customHeight="1">
      <c r="E918" s="51"/>
      <c r="F918" s="262"/>
      <c r="G918" s="262"/>
      <c r="H918" s="262"/>
      <c r="I918" s="74"/>
      <c r="J918" s="51"/>
    </row>
    <row r="919" ht="13.5" customHeight="1">
      <c r="E919" s="51"/>
      <c r="F919" s="262"/>
      <c r="G919" s="262"/>
      <c r="H919" s="262"/>
      <c r="I919" s="74"/>
      <c r="J919" s="51"/>
    </row>
    <row r="920" ht="13.5" customHeight="1">
      <c r="E920" s="51"/>
      <c r="F920" s="262"/>
      <c r="G920" s="262"/>
      <c r="H920" s="262"/>
      <c r="I920" s="74"/>
      <c r="J920" s="51"/>
    </row>
    <row r="921" ht="13.5" customHeight="1">
      <c r="E921" s="51"/>
      <c r="F921" s="262"/>
      <c r="G921" s="262"/>
      <c r="H921" s="262"/>
      <c r="I921" s="74"/>
      <c r="J921" s="51"/>
    </row>
    <row r="922" ht="13.5" customHeight="1">
      <c r="E922" s="51"/>
      <c r="F922" s="262"/>
      <c r="G922" s="262"/>
      <c r="H922" s="262"/>
      <c r="I922" s="74"/>
      <c r="J922" s="51"/>
    </row>
    <row r="923" ht="13.5" customHeight="1">
      <c r="E923" s="51"/>
      <c r="F923" s="262"/>
      <c r="G923" s="262"/>
      <c r="H923" s="262"/>
      <c r="I923" s="74"/>
      <c r="J923" s="51"/>
    </row>
    <row r="924" ht="13.5" customHeight="1">
      <c r="E924" s="51"/>
      <c r="F924" s="262"/>
      <c r="G924" s="262"/>
      <c r="H924" s="262"/>
      <c r="I924" s="74"/>
      <c r="J924" s="51"/>
    </row>
    <row r="925" ht="13.5" customHeight="1">
      <c r="E925" s="51"/>
      <c r="F925" s="262"/>
      <c r="G925" s="262"/>
      <c r="H925" s="262"/>
      <c r="I925" s="74"/>
      <c r="J925" s="51"/>
    </row>
    <row r="926" ht="13.5" customHeight="1">
      <c r="E926" s="51"/>
      <c r="F926" s="262"/>
      <c r="G926" s="262"/>
      <c r="H926" s="262"/>
      <c r="I926" s="74"/>
      <c r="J926" s="51"/>
    </row>
    <row r="927" ht="13.5" customHeight="1">
      <c r="E927" s="51"/>
      <c r="F927" s="262"/>
      <c r="G927" s="262"/>
      <c r="H927" s="262"/>
      <c r="I927" s="74"/>
      <c r="J927" s="51"/>
    </row>
    <row r="928" ht="13.5" customHeight="1">
      <c r="E928" s="51"/>
      <c r="F928" s="262"/>
      <c r="G928" s="262"/>
      <c r="H928" s="262"/>
      <c r="I928" s="74"/>
      <c r="J928" s="51"/>
    </row>
    <row r="929" ht="13.5" customHeight="1">
      <c r="E929" s="51"/>
      <c r="F929" s="262"/>
      <c r="G929" s="262"/>
      <c r="H929" s="262"/>
      <c r="I929" s="74"/>
      <c r="J929" s="51"/>
    </row>
    <row r="930" ht="13.5" customHeight="1">
      <c r="E930" s="51"/>
      <c r="F930" s="262"/>
      <c r="G930" s="262"/>
      <c r="H930" s="262"/>
      <c r="I930" s="74"/>
      <c r="J930" s="51"/>
    </row>
    <row r="931" ht="13.5" customHeight="1">
      <c r="E931" s="51"/>
      <c r="F931" s="262"/>
      <c r="G931" s="262"/>
      <c r="H931" s="262"/>
      <c r="I931" s="74"/>
      <c r="J931" s="51"/>
    </row>
    <row r="932" ht="13.5" customHeight="1">
      <c r="E932" s="51"/>
      <c r="F932" s="262"/>
      <c r="G932" s="262"/>
      <c r="H932" s="262"/>
      <c r="I932" s="74"/>
      <c r="J932" s="51"/>
    </row>
    <row r="933" ht="13.5" customHeight="1">
      <c r="E933" s="51"/>
      <c r="F933" s="262"/>
      <c r="G933" s="262"/>
      <c r="H933" s="262"/>
      <c r="I933" s="74"/>
      <c r="J933" s="51"/>
    </row>
    <row r="934" ht="13.5" customHeight="1">
      <c r="E934" s="51"/>
      <c r="F934" s="262"/>
      <c r="G934" s="262"/>
      <c r="H934" s="262"/>
      <c r="I934" s="74"/>
      <c r="J934" s="51"/>
    </row>
    <row r="935" ht="13.5" customHeight="1">
      <c r="E935" s="51"/>
      <c r="F935" s="262"/>
      <c r="G935" s="262"/>
      <c r="H935" s="262"/>
      <c r="I935" s="74"/>
      <c r="J935" s="51"/>
    </row>
    <row r="936" ht="13.5" customHeight="1">
      <c r="E936" s="51"/>
      <c r="F936" s="262"/>
      <c r="G936" s="262"/>
      <c r="H936" s="262"/>
      <c r="I936" s="74"/>
      <c r="J936" s="51"/>
    </row>
    <row r="937" ht="13.5" customHeight="1">
      <c r="E937" s="51"/>
      <c r="F937" s="262"/>
      <c r="G937" s="262"/>
      <c r="H937" s="262"/>
      <c r="I937" s="74"/>
      <c r="J937" s="51"/>
    </row>
    <row r="938" ht="13.5" customHeight="1">
      <c r="E938" s="51"/>
      <c r="F938" s="262"/>
      <c r="G938" s="262"/>
      <c r="H938" s="262"/>
      <c r="I938" s="74"/>
      <c r="J938" s="51"/>
    </row>
    <row r="939" ht="13.5" customHeight="1">
      <c r="E939" s="51"/>
      <c r="F939" s="262"/>
      <c r="G939" s="262"/>
      <c r="H939" s="262"/>
      <c r="I939" s="74"/>
      <c r="J939" s="51"/>
    </row>
    <row r="940" ht="13.5" customHeight="1">
      <c r="E940" s="51"/>
      <c r="F940" s="262"/>
      <c r="G940" s="262"/>
      <c r="H940" s="262"/>
      <c r="I940" s="74"/>
      <c r="J940" s="51"/>
    </row>
    <row r="941" ht="13.5" customHeight="1">
      <c r="E941" s="51"/>
      <c r="F941" s="262"/>
      <c r="G941" s="262"/>
      <c r="H941" s="262"/>
      <c r="I941" s="74"/>
      <c r="J941" s="51"/>
    </row>
    <row r="942" ht="13.5" customHeight="1">
      <c r="E942" s="51"/>
      <c r="F942" s="262"/>
      <c r="G942" s="262"/>
      <c r="H942" s="262"/>
      <c r="I942" s="74"/>
      <c r="J942" s="51"/>
    </row>
    <row r="943" ht="13.5" customHeight="1">
      <c r="E943" s="51"/>
      <c r="F943" s="262"/>
      <c r="G943" s="262"/>
      <c r="H943" s="262"/>
      <c r="I943" s="74"/>
      <c r="J943" s="51"/>
    </row>
    <row r="944" ht="13.5" customHeight="1">
      <c r="E944" s="51"/>
      <c r="F944" s="262"/>
      <c r="G944" s="262"/>
      <c r="H944" s="262"/>
      <c r="I944" s="74"/>
      <c r="J944" s="51"/>
    </row>
    <row r="945" ht="13.5" customHeight="1">
      <c r="E945" s="51"/>
      <c r="F945" s="262"/>
      <c r="G945" s="262"/>
      <c r="H945" s="262"/>
      <c r="I945" s="74"/>
      <c r="J945" s="51"/>
    </row>
    <row r="946" ht="13.5" customHeight="1">
      <c r="E946" s="51"/>
      <c r="F946" s="262"/>
      <c r="G946" s="262"/>
      <c r="H946" s="262"/>
      <c r="I946" s="74"/>
      <c r="J946" s="51"/>
    </row>
    <row r="947" ht="13.5" customHeight="1">
      <c r="E947" s="51"/>
      <c r="F947" s="262"/>
      <c r="G947" s="262"/>
      <c r="H947" s="262"/>
      <c r="I947" s="74"/>
      <c r="J947" s="51"/>
    </row>
    <row r="948" ht="13.5" customHeight="1">
      <c r="E948" s="51"/>
      <c r="F948" s="262"/>
      <c r="G948" s="262"/>
      <c r="H948" s="262"/>
      <c r="I948" s="74"/>
      <c r="J948" s="51"/>
    </row>
    <row r="949" ht="13.5" customHeight="1">
      <c r="E949" s="51"/>
      <c r="F949" s="262"/>
      <c r="G949" s="262"/>
      <c r="H949" s="262"/>
      <c r="I949" s="74"/>
      <c r="J949" s="51"/>
    </row>
    <row r="950" ht="13.5" customHeight="1">
      <c r="E950" s="51"/>
      <c r="F950" s="262"/>
      <c r="G950" s="262"/>
      <c r="H950" s="262"/>
      <c r="I950" s="74"/>
      <c r="J950" s="51"/>
    </row>
    <row r="951" ht="13.5" customHeight="1">
      <c r="E951" s="51"/>
      <c r="F951" s="262"/>
      <c r="G951" s="262"/>
      <c r="H951" s="262"/>
      <c r="I951" s="74"/>
      <c r="J951" s="51"/>
    </row>
    <row r="952" ht="13.5" customHeight="1">
      <c r="E952" s="51"/>
      <c r="F952" s="262"/>
      <c r="G952" s="262"/>
      <c r="H952" s="262"/>
      <c r="I952" s="74"/>
      <c r="J952" s="51"/>
    </row>
    <row r="953" ht="13.5" customHeight="1">
      <c r="E953" s="51"/>
      <c r="F953" s="262"/>
      <c r="G953" s="262"/>
      <c r="H953" s="262"/>
      <c r="I953" s="74"/>
      <c r="J953" s="51"/>
    </row>
    <row r="954" ht="13.5" customHeight="1">
      <c r="E954" s="51"/>
      <c r="F954" s="262"/>
      <c r="G954" s="262"/>
      <c r="H954" s="262"/>
      <c r="I954" s="74"/>
      <c r="J954" s="51"/>
    </row>
    <row r="955" ht="13.5" customHeight="1">
      <c r="E955" s="51"/>
      <c r="F955" s="262"/>
      <c r="G955" s="262"/>
      <c r="H955" s="262"/>
      <c r="I955" s="74"/>
      <c r="J955" s="51"/>
    </row>
    <row r="956" ht="13.5" customHeight="1">
      <c r="E956" s="51"/>
      <c r="F956" s="262"/>
      <c r="G956" s="262"/>
      <c r="H956" s="262"/>
      <c r="I956" s="74"/>
      <c r="J956" s="51"/>
    </row>
    <row r="957" ht="13.5" customHeight="1">
      <c r="E957" s="51"/>
      <c r="F957" s="262"/>
      <c r="G957" s="262"/>
      <c r="H957" s="262"/>
      <c r="I957" s="74"/>
      <c r="J957" s="51"/>
    </row>
    <row r="958" ht="13.5" customHeight="1">
      <c r="E958" s="51"/>
      <c r="F958" s="262"/>
      <c r="G958" s="262"/>
      <c r="H958" s="262"/>
      <c r="I958" s="74"/>
      <c r="J958" s="51"/>
    </row>
    <row r="959" ht="13.5" customHeight="1">
      <c r="E959" s="51"/>
      <c r="F959" s="262"/>
      <c r="G959" s="262"/>
      <c r="H959" s="262"/>
      <c r="I959" s="74"/>
      <c r="J959" s="51"/>
    </row>
    <row r="960" ht="13.5" customHeight="1">
      <c r="E960" s="51"/>
      <c r="F960" s="262"/>
      <c r="G960" s="262"/>
      <c r="H960" s="262"/>
      <c r="I960" s="74"/>
      <c r="J960" s="51"/>
    </row>
    <row r="961" ht="13.5" customHeight="1">
      <c r="E961" s="51"/>
      <c r="F961" s="262"/>
      <c r="G961" s="262"/>
      <c r="H961" s="262"/>
      <c r="I961" s="74"/>
      <c r="J961" s="51"/>
    </row>
    <row r="962" ht="13.5" customHeight="1">
      <c r="E962" s="51"/>
      <c r="F962" s="262"/>
      <c r="G962" s="262"/>
      <c r="H962" s="262"/>
      <c r="I962" s="74"/>
      <c r="J962" s="51"/>
    </row>
    <row r="963" ht="13.5" customHeight="1">
      <c r="E963" s="51"/>
      <c r="F963" s="262"/>
      <c r="G963" s="262"/>
      <c r="H963" s="262"/>
      <c r="I963" s="74"/>
      <c r="J963" s="51"/>
    </row>
    <row r="964" ht="13.5" customHeight="1">
      <c r="E964" s="51"/>
      <c r="F964" s="262"/>
      <c r="G964" s="262"/>
      <c r="H964" s="262"/>
      <c r="I964" s="74"/>
      <c r="J964" s="51"/>
    </row>
    <row r="965" ht="13.5" customHeight="1">
      <c r="E965" s="51"/>
      <c r="F965" s="262"/>
      <c r="G965" s="262"/>
      <c r="H965" s="262"/>
      <c r="I965" s="74"/>
      <c r="J965" s="51"/>
    </row>
    <row r="966" ht="13.5" customHeight="1">
      <c r="E966" s="51"/>
      <c r="F966" s="262"/>
      <c r="G966" s="262"/>
      <c r="H966" s="262"/>
      <c r="I966" s="74"/>
      <c r="J966" s="51"/>
    </row>
    <row r="967" ht="13.5" customHeight="1">
      <c r="E967" s="51"/>
      <c r="F967" s="262"/>
      <c r="G967" s="262"/>
      <c r="H967" s="262"/>
      <c r="I967" s="74"/>
      <c r="J967" s="51"/>
    </row>
    <row r="968" ht="13.5" customHeight="1">
      <c r="E968" s="51"/>
      <c r="F968" s="262"/>
      <c r="G968" s="262"/>
      <c r="H968" s="262"/>
      <c r="I968" s="74"/>
      <c r="J968" s="51"/>
    </row>
    <row r="969" ht="13.5" customHeight="1">
      <c r="E969" s="51"/>
      <c r="F969" s="262"/>
      <c r="G969" s="262"/>
      <c r="H969" s="262"/>
      <c r="I969" s="74"/>
      <c r="J969" s="51"/>
    </row>
    <row r="970" ht="13.5" customHeight="1">
      <c r="E970" s="51"/>
      <c r="F970" s="262"/>
      <c r="G970" s="262"/>
      <c r="H970" s="262"/>
      <c r="I970" s="74"/>
      <c r="J970" s="51"/>
    </row>
    <row r="971" ht="13.5" customHeight="1">
      <c r="E971" s="51"/>
      <c r="F971" s="262"/>
      <c r="G971" s="262"/>
      <c r="H971" s="262"/>
      <c r="I971" s="74"/>
      <c r="J971" s="51"/>
    </row>
    <row r="972" ht="13.5" customHeight="1">
      <c r="E972" s="51"/>
      <c r="F972" s="262"/>
      <c r="G972" s="262"/>
      <c r="H972" s="262"/>
      <c r="I972" s="74"/>
      <c r="J972" s="51"/>
    </row>
    <row r="973" ht="13.5" customHeight="1">
      <c r="E973" s="51"/>
      <c r="F973" s="262"/>
      <c r="G973" s="262"/>
      <c r="H973" s="262"/>
      <c r="I973" s="74"/>
      <c r="J973" s="51"/>
    </row>
    <row r="974" ht="13.5" customHeight="1">
      <c r="E974" s="51"/>
      <c r="F974" s="262"/>
      <c r="G974" s="262"/>
      <c r="H974" s="262"/>
      <c r="I974" s="74"/>
      <c r="J974" s="51"/>
    </row>
    <row r="975" ht="13.5" customHeight="1">
      <c r="E975" s="51"/>
      <c r="F975" s="262"/>
      <c r="G975" s="262"/>
      <c r="H975" s="262"/>
      <c r="I975" s="74"/>
      <c r="J975" s="51"/>
    </row>
    <row r="976" ht="13.5" customHeight="1">
      <c r="E976" s="51"/>
      <c r="F976" s="262"/>
      <c r="G976" s="262"/>
      <c r="H976" s="262"/>
      <c r="I976" s="74"/>
      <c r="J976" s="51"/>
    </row>
    <row r="977" ht="13.5" customHeight="1">
      <c r="E977" s="51"/>
      <c r="F977" s="262"/>
      <c r="G977" s="262"/>
      <c r="H977" s="262"/>
      <c r="I977" s="74"/>
      <c r="J977" s="51"/>
    </row>
    <row r="978" ht="13.5" customHeight="1">
      <c r="E978" s="51"/>
      <c r="F978" s="262"/>
      <c r="G978" s="262"/>
      <c r="H978" s="262"/>
      <c r="I978" s="74"/>
      <c r="J978" s="51"/>
    </row>
    <row r="979" ht="13.5" customHeight="1">
      <c r="E979" s="51"/>
      <c r="F979" s="262"/>
      <c r="G979" s="262"/>
      <c r="H979" s="262"/>
      <c r="I979" s="74"/>
      <c r="J979" s="51"/>
    </row>
    <row r="980" ht="13.5" customHeight="1">
      <c r="E980" s="51"/>
      <c r="F980" s="262"/>
      <c r="G980" s="262"/>
      <c r="H980" s="262"/>
      <c r="I980" s="74"/>
      <c r="J980" s="51"/>
    </row>
    <row r="981" ht="13.5" customHeight="1">
      <c r="E981" s="51"/>
      <c r="F981" s="262"/>
      <c r="G981" s="262"/>
      <c r="H981" s="262"/>
      <c r="I981" s="74"/>
      <c r="J981" s="51"/>
    </row>
    <row r="982" ht="13.5" customHeight="1">
      <c r="E982" s="51"/>
      <c r="F982" s="262"/>
      <c r="G982" s="262"/>
      <c r="H982" s="262"/>
      <c r="I982" s="74"/>
      <c r="J982" s="51"/>
    </row>
    <row r="983" ht="13.5" customHeight="1">
      <c r="E983" s="51"/>
      <c r="F983" s="262"/>
      <c r="G983" s="262"/>
      <c r="H983" s="262"/>
      <c r="I983" s="74"/>
      <c r="J983" s="51"/>
    </row>
    <row r="984" ht="13.5" customHeight="1">
      <c r="E984" s="51"/>
      <c r="F984" s="262"/>
      <c r="G984" s="262"/>
      <c r="H984" s="262"/>
      <c r="I984" s="74"/>
      <c r="J984" s="51"/>
    </row>
    <row r="985" ht="13.5" customHeight="1">
      <c r="E985" s="51"/>
      <c r="F985" s="262"/>
      <c r="G985" s="262"/>
      <c r="H985" s="262"/>
      <c r="I985" s="74"/>
      <c r="J985" s="51"/>
    </row>
    <row r="986" ht="13.5" customHeight="1">
      <c r="E986" s="51"/>
      <c r="F986" s="262"/>
      <c r="G986" s="262"/>
      <c r="H986" s="262"/>
      <c r="I986" s="74"/>
      <c r="J986" s="51"/>
    </row>
    <row r="987" ht="13.5" customHeight="1">
      <c r="E987" s="51"/>
      <c r="F987" s="262"/>
      <c r="G987" s="262"/>
      <c r="H987" s="262"/>
      <c r="I987" s="74"/>
      <c r="J987" s="51"/>
    </row>
    <row r="988" ht="13.5" customHeight="1">
      <c r="E988" s="51"/>
      <c r="F988" s="262"/>
      <c r="G988" s="262"/>
      <c r="H988" s="262"/>
      <c r="I988" s="74"/>
      <c r="J988" s="51"/>
    </row>
    <row r="989" ht="13.5" customHeight="1">
      <c r="E989" s="51"/>
      <c r="F989" s="262"/>
      <c r="G989" s="262"/>
      <c r="H989" s="262"/>
      <c r="I989" s="74"/>
      <c r="J989" s="51"/>
    </row>
    <row r="990" ht="13.5" customHeight="1">
      <c r="E990" s="51"/>
      <c r="F990" s="262"/>
      <c r="G990" s="262"/>
      <c r="H990" s="262"/>
      <c r="I990" s="74"/>
      <c r="J990" s="51"/>
    </row>
    <row r="991" ht="13.5" customHeight="1">
      <c r="E991" s="51"/>
      <c r="F991" s="262"/>
      <c r="G991" s="262"/>
      <c r="H991" s="262"/>
      <c r="I991" s="74"/>
      <c r="J991" s="51"/>
    </row>
    <row r="992" ht="13.5" customHeight="1">
      <c r="E992" s="51"/>
      <c r="F992" s="262"/>
      <c r="G992" s="262"/>
      <c r="H992" s="262"/>
      <c r="I992" s="74"/>
      <c r="J992" s="51"/>
    </row>
    <row r="993" ht="13.5" customHeight="1">
      <c r="E993" s="51"/>
      <c r="F993" s="262"/>
      <c r="G993" s="262"/>
      <c r="H993" s="262"/>
      <c r="I993" s="74"/>
      <c r="J993" s="51"/>
    </row>
    <row r="994" ht="13.5" customHeight="1">
      <c r="E994" s="51"/>
      <c r="F994" s="262"/>
      <c r="G994" s="262"/>
      <c r="H994" s="262"/>
      <c r="I994" s="74"/>
      <c r="J994" s="51"/>
    </row>
    <row r="995" ht="13.5" customHeight="1">
      <c r="E995" s="51"/>
      <c r="F995" s="262"/>
      <c r="G995" s="262"/>
      <c r="H995" s="262"/>
      <c r="I995" s="74"/>
      <c r="J995" s="51"/>
    </row>
    <row r="996" ht="13.5" customHeight="1">
      <c r="E996" s="51"/>
      <c r="F996" s="262"/>
      <c r="G996" s="262"/>
      <c r="H996" s="262"/>
      <c r="I996" s="74"/>
      <c r="J996" s="51"/>
    </row>
    <row r="997" ht="13.5" customHeight="1">
      <c r="E997" s="51"/>
      <c r="F997" s="262"/>
      <c r="G997" s="262"/>
      <c r="H997" s="262"/>
      <c r="I997" s="74"/>
      <c r="J997" s="51"/>
    </row>
    <row r="998" ht="13.5" customHeight="1">
      <c r="E998" s="51"/>
      <c r="F998" s="262"/>
      <c r="G998" s="262"/>
      <c r="H998" s="262"/>
      <c r="I998" s="74"/>
      <c r="J998" s="51"/>
    </row>
    <row r="999" ht="13.5" customHeight="1">
      <c r="E999" s="51"/>
      <c r="F999" s="262"/>
      <c r="G999" s="262"/>
      <c r="H999" s="262"/>
      <c r="I999" s="74"/>
      <c r="J999" s="51"/>
    </row>
    <row r="1000" ht="13.5" customHeight="1">
      <c r="E1000" s="51"/>
      <c r="F1000" s="262"/>
      <c r="G1000" s="262"/>
      <c r="H1000" s="262"/>
      <c r="I1000" s="74"/>
      <c r="J1000" s="5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5.13"/>
    <col customWidth="1" min="3" max="3" width="7.88"/>
    <col customWidth="1" min="4" max="4" width="14.88"/>
    <col customWidth="1" min="5" max="5" width="15.38"/>
    <col customWidth="1" min="6" max="6" width="20.88"/>
    <col customWidth="1" min="7" max="7" width="15.0"/>
    <col customWidth="1" min="8" max="8" width="25.88"/>
    <col customWidth="1" min="9" max="9" width="27.88"/>
    <col customWidth="1" min="10" max="10" width="15.75"/>
    <col customWidth="1" min="11" max="11" width="19.88"/>
    <col customWidth="1" min="12" max="26" width="8.63"/>
  </cols>
  <sheetData>
    <row r="1" ht="24.75" customHeight="1">
      <c r="A1" s="110" t="s">
        <v>0</v>
      </c>
      <c r="B1" s="111" t="s">
        <v>1</v>
      </c>
      <c r="C1" s="111" t="s">
        <v>2</v>
      </c>
      <c r="D1" s="111" t="s">
        <v>82</v>
      </c>
      <c r="E1" s="112" t="s">
        <v>83</v>
      </c>
      <c r="F1" s="111" t="s">
        <v>84</v>
      </c>
      <c r="G1" s="111" t="s">
        <v>5</v>
      </c>
      <c r="H1" s="114" t="s">
        <v>6</v>
      </c>
      <c r="I1" s="115" t="s">
        <v>7</v>
      </c>
      <c r="J1" s="116" t="s">
        <v>54</v>
      </c>
      <c r="K1" s="260"/>
      <c r="L1" s="260"/>
      <c r="M1" s="260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3.5" customHeight="1">
      <c r="A2" s="261">
        <v>1.0</v>
      </c>
      <c r="B2" s="50" t="s">
        <v>9</v>
      </c>
      <c r="C2" s="50">
        <v>2130870.0</v>
      </c>
      <c r="D2" s="117">
        <v>45530.0</v>
      </c>
      <c r="E2" s="51">
        <v>1452538.9</v>
      </c>
      <c r="F2" s="12" t="s">
        <v>751</v>
      </c>
      <c r="G2" s="12" t="s">
        <v>11</v>
      </c>
      <c r="H2" s="303"/>
      <c r="I2" s="293">
        <v>164423.0</v>
      </c>
      <c r="J2" s="119">
        <v>39876.029999999984</v>
      </c>
    </row>
    <row r="3" ht="13.5" customHeight="1">
      <c r="A3" s="261">
        <v>2.0</v>
      </c>
      <c r="B3" s="50" t="s">
        <v>9</v>
      </c>
      <c r="C3" s="50">
        <v>2130870.0</v>
      </c>
      <c r="D3" s="117">
        <v>45530.0</v>
      </c>
      <c r="E3" s="51">
        <v>9216.93</v>
      </c>
      <c r="F3" s="12" t="s">
        <v>750</v>
      </c>
      <c r="G3" s="12" t="s">
        <v>11</v>
      </c>
      <c r="H3" s="303"/>
      <c r="I3" s="304">
        <v>164424.0</v>
      </c>
      <c r="J3" s="305">
        <v>853303.9600000002</v>
      </c>
    </row>
    <row r="4" ht="13.5" customHeight="1">
      <c r="A4" s="261">
        <v>3.0</v>
      </c>
      <c r="B4" s="50" t="s">
        <v>9</v>
      </c>
      <c r="C4" s="50">
        <v>2050808.0</v>
      </c>
      <c r="D4" s="117">
        <v>45530.0</v>
      </c>
      <c r="E4" s="51">
        <v>448014.06</v>
      </c>
      <c r="F4" s="12"/>
      <c r="G4" s="12" t="s">
        <v>11</v>
      </c>
      <c r="H4" s="303"/>
      <c r="I4" s="306">
        <v>164426.0</v>
      </c>
      <c r="J4" s="307">
        <v>1354.18</v>
      </c>
    </row>
    <row r="5" ht="13.5" customHeight="1">
      <c r="A5" s="261">
        <v>4.0</v>
      </c>
      <c r="B5" s="50" t="s">
        <v>9</v>
      </c>
      <c r="C5" s="50">
        <v>2050808.0</v>
      </c>
      <c r="D5" s="117">
        <v>45530.0</v>
      </c>
      <c r="E5" s="51">
        <v>9217.53</v>
      </c>
      <c r="F5" s="12"/>
      <c r="G5" s="12" t="s">
        <v>11</v>
      </c>
      <c r="H5" s="303"/>
      <c r="I5" s="295">
        <v>164427.0</v>
      </c>
      <c r="J5" s="121">
        <v>34927.51</v>
      </c>
    </row>
    <row r="6" ht="13.5" customHeight="1">
      <c r="A6" s="261">
        <v>5.0</v>
      </c>
      <c r="B6" s="50" t="s">
        <v>16</v>
      </c>
      <c r="C6" s="50">
        <v>2050752.0</v>
      </c>
      <c r="D6" s="117">
        <v>45530.0</v>
      </c>
      <c r="E6" s="51">
        <v>155537.1</v>
      </c>
      <c r="F6" s="12"/>
      <c r="G6" s="12" t="s">
        <v>11</v>
      </c>
      <c r="H6" s="303"/>
      <c r="I6" s="270">
        <v>164442.0</v>
      </c>
      <c r="J6" s="271">
        <v>25200.0</v>
      </c>
    </row>
    <row r="7" ht="13.5" customHeight="1">
      <c r="A7" s="266">
        <v>6.0</v>
      </c>
      <c r="B7" s="255" t="s">
        <v>16</v>
      </c>
      <c r="C7" s="255">
        <v>2090821.0</v>
      </c>
      <c r="D7" s="267">
        <v>45530.0</v>
      </c>
      <c r="E7" s="257">
        <v>5.48</v>
      </c>
      <c r="F7" s="308"/>
      <c r="G7" s="308" t="s">
        <v>11</v>
      </c>
      <c r="H7" s="309"/>
      <c r="I7" s="310">
        <v>164482.0</v>
      </c>
      <c r="J7" s="162">
        <v>851968.6200000002</v>
      </c>
    </row>
    <row r="8" ht="13.5" customHeight="1">
      <c r="A8" s="311">
        <v>20.0</v>
      </c>
      <c r="B8" s="311" t="s">
        <v>20</v>
      </c>
      <c r="C8" s="311">
        <v>1040211.0</v>
      </c>
      <c r="D8" s="312">
        <v>45530.0</v>
      </c>
      <c r="E8" s="305">
        <v>853303.96</v>
      </c>
      <c r="F8" s="313"/>
      <c r="G8" s="313" t="s">
        <v>11</v>
      </c>
      <c r="H8" s="12"/>
      <c r="I8" s="287">
        <v>164522.0</v>
      </c>
      <c r="J8" s="148">
        <v>1811.6</v>
      </c>
    </row>
    <row r="9" ht="13.5" customHeight="1">
      <c r="A9" s="167">
        <v>23.0</v>
      </c>
      <c r="B9" s="167" t="s">
        <v>20</v>
      </c>
      <c r="C9" s="167">
        <v>1200393.0</v>
      </c>
      <c r="D9" s="168">
        <v>45530.0</v>
      </c>
      <c r="E9" s="121">
        <v>5984.74</v>
      </c>
      <c r="F9" s="314"/>
      <c r="G9" s="314" t="s">
        <v>11</v>
      </c>
      <c r="H9" s="12"/>
      <c r="I9" s="277">
        <v>164543.0</v>
      </c>
      <c r="J9" s="278">
        <v>2562.16</v>
      </c>
    </row>
    <row r="10" ht="13.5" customHeight="1">
      <c r="A10" s="167">
        <v>24.0</v>
      </c>
      <c r="B10" s="167" t="s">
        <v>20</v>
      </c>
      <c r="C10" s="167">
        <v>1040211.0</v>
      </c>
      <c r="D10" s="168">
        <v>45530.0</v>
      </c>
      <c r="E10" s="121">
        <v>28942.77</v>
      </c>
      <c r="F10" s="314"/>
      <c r="G10" s="314" t="s">
        <v>11</v>
      </c>
      <c r="H10" s="12"/>
      <c r="I10" s="315" t="s">
        <v>756</v>
      </c>
      <c r="J10" s="171">
        <v>260.0</v>
      </c>
      <c r="K10" s="316" t="s">
        <v>757</v>
      </c>
    </row>
    <row r="11" ht="13.5" customHeight="1">
      <c r="A11" s="163">
        <v>25.0</v>
      </c>
      <c r="B11" s="163" t="s">
        <v>20</v>
      </c>
      <c r="C11" s="163">
        <v>1200393.0</v>
      </c>
      <c r="D11" s="164">
        <v>45530.0</v>
      </c>
      <c r="E11" s="162">
        <v>94607.13</v>
      </c>
      <c r="F11" s="317"/>
      <c r="G11" s="317" t="s">
        <v>11</v>
      </c>
      <c r="H11" s="12"/>
      <c r="I11" s="315" t="s">
        <v>758</v>
      </c>
      <c r="J11" s="171">
        <v>2288.8</v>
      </c>
      <c r="K11" s="316" t="s">
        <v>757</v>
      </c>
    </row>
    <row r="12" ht="13.5" customHeight="1">
      <c r="A12" s="163">
        <v>26.0</v>
      </c>
      <c r="B12" s="163" t="s">
        <v>20</v>
      </c>
      <c r="C12" s="163">
        <v>1040211.0</v>
      </c>
      <c r="D12" s="164">
        <v>45530.0</v>
      </c>
      <c r="E12" s="162">
        <v>757361.49</v>
      </c>
      <c r="F12" s="317"/>
      <c r="G12" s="317" t="s">
        <v>11</v>
      </c>
      <c r="H12" s="12"/>
      <c r="I12" s="264" t="s">
        <v>759</v>
      </c>
      <c r="J12" s="265">
        <v>151.46</v>
      </c>
    </row>
    <row r="13" ht="13.5" customHeight="1">
      <c r="A13" s="52">
        <v>30.0</v>
      </c>
      <c r="B13" s="52" t="s">
        <v>20</v>
      </c>
      <c r="C13" s="52">
        <v>1040211.0</v>
      </c>
      <c r="D13" s="174">
        <v>45530.0</v>
      </c>
      <c r="E13" s="119">
        <v>34003.34</v>
      </c>
      <c r="F13" s="318"/>
      <c r="G13" s="318" t="s">
        <v>11</v>
      </c>
      <c r="H13" s="12"/>
      <c r="I13" s="319" t="s">
        <v>760</v>
      </c>
      <c r="J13" s="275">
        <v>5851.31</v>
      </c>
    </row>
    <row r="14" ht="13.5" customHeight="1">
      <c r="A14" s="52">
        <v>31.0</v>
      </c>
      <c r="B14" s="52" t="s">
        <v>20</v>
      </c>
      <c r="C14" s="52">
        <v>1200393.0</v>
      </c>
      <c r="D14" s="174">
        <v>45530.0</v>
      </c>
      <c r="E14" s="119">
        <v>5872.69</v>
      </c>
      <c r="F14" s="318"/>
      <c r="G14" s="318" t="s">
        <v>11</v>
      </c>
      <c r="H14" s="12"/>
      <c r="I14" s="74"/>
      <c r="J14" s="51"/>
    </row>
    <row r="15" ht="13.5" customHeight="1">
      <c r="A15" s="273">
        <v>32.0</v>
      </c>
      <c r="B15" s="273" t="s">
        <v>47</v>
      </c>
      <c r="C15" s="273">
        <v>1100118.0</v>
      </c>
      <c r="D15" s="274">
        <v>45530.0</v>
      </c>
      <c r="E15" s="275">
        <v>18.81</v>
      </c>
      <c r="F15" s="320" t="s">
        <v>752</v>
      </c>
      <c r="G15" s="320" t="s">
        <v>11</v>
      </c>
      <c r="H15" s="12"/>
      <c r="I15" s="74"/>
      <c r="J15" s="51"/>
    </row>
    <row r="16" ht="13.5" customHeight="1">
      <c r="A16" s="273">
        <v>33.0</v>
      </c>
      <c r="B16" s="273" t="s">
        <v>47</v>
      </c>
      <c r="C16" s="273">
        <v>1080156.0</v>
      </c>
      <c r="D16" s="274">
        <v>45530.0</v>
      </c>
      <c r="E16" s="275">
        <v>4950.23</v>
      </c>
      <c r="F16" s="320" t="s">
        <v>752</v>
      </c>
      <c r="G16" s="320" t="s">
        <v>11</v>
      </c>
      <c r="H16" s="12"/>
      <c r="I16" s="74"/>
      <c r="J16" s="51"/>
    </row>
    <row r="17" ht="13.5" customHeight="1">
      <c r="A17" s="273">
        <v>34.0</v>
      </c>
      <c r="B17" s="273" t="s">
        <v>47</v>
      </c>
      <c r="C17" s="273">
        <v>1040500.0</v>
      </c>
      <c r="D17" s="274">
        <v>45530.0</v>
      </c>
      <c r="E17" s="275">
        <v>882.27</v>
      </c>
      <c r="F17" s="320" t="s">
        <v>752</v>
      </c>
      <c r="G17" s="320" t="s">
        <v>11</v>
      </c>
      <c r="H17" s="12"/>
      <c r="I17" s="74"/>
      <c r="J17" s="51"/>
    </row>
    <row r="18" ht="13.5" customHeight="1">
      <c r="A18" s="50">
        <v>35.0</v>
      </c>
      <c r="B18" s="50" t="s">
        <v>47</v>
      </c>
      <c r="C18" s="50">
        <v>1100118.0</v>
      </c>
      <c r="D18" s="117">
        <v>45530.0</v>
      </c>
      <c r="E18" s="51">
        <v>35.03</v>
      </c>
      <c r="F18" s="12" t="s">
        <v>761</v>
      </c>
      <c r="G18" s="12" t="s">
        <v>11</v>
      </c>
      <c r="H18" s="302" t="s">
        <v>762</v>
      </c>
      <c r="I18" s="74"/>
      <c r="J18" s="51"/>
    </row>
    <row r="19" ht="13.5" customHeight="1">
      <c r="A19" s="290">
        <v>38.0</v>
      </c>
      <c r="B19" s="290" t="s">
        <v>47</v>
      </c>
      <c r="C19" s="290">
        <v>1170144.0</v>
      </c>
      <c r="D19" s="291">
        <v>45530.0</v>
      </c>
      <c r="E19" s="271">
        <v>25200.0</v>
      </c>
      <c r="F19" s="321"/>
      <c r="G19" s="321" t="s">
        <v>11</v>
      </c>
      <c r="H19" s="12"/>
      <c r="I19" s="74"/>
      <c r="J19" s="51"/>
    </row>
    <row r="20" ht="13.5" customHeight="1">
      <c r="A20" s="322">
        <v>40.0</v>
      </c>
      <c r="B20" s="322" t="s">
        <v>20</v>
      </c>
      <c r="C20" s="322">
        <v>1040362.0</v>
      </c>
      <c r="D20" s="323">
        <v>45530.0</v>
      </c>
      <c r="E20" s="307">
        <v>142.12</v>
      </c>
      <c r="F20" s="324"/>
      <c r="G20" s="324" t="s">
        <v>11</v>
      </c>
      <c r="H20" s="12"/>
      <c r="I20" s="74"/>
      <c r="J20" s="51"/>
    </row>
    <row r="21" ht="13.5" customHeight="1">
      <c r="E21" s="51"/>
      <c r="F21" s="12"/>
      <c r="G21" s="12"/>
      <c r="H21" s="12"/>
      <c r="I21" s="74"/>
      <c r="J21" s="51"/>
    </row>
    <row r="22" ht="13.5" customHeight="1">
      <c r="E22" s="51"/>
      <c r="F22" s="12"/>
      <c r="G22" s="12"/>
      <c r="H22" s="12"/>
      <c r="I22" s="74"/>
      <c r="J22" s="51"/>
    </row>
    <row r="23" ht="13.5" customHeight="1">
      <c r="E23" s="51"/>
      <c r="F23" s="12"/>
      <c r="G23" s="12"/>
      <c r="H23" s="12"/>
      <c r="I23" s="74"/>
      <c r="J23" s="51"/>
    </row>
    <row r="24" ht="13.5" customHeight="1">
      <c r="E24" s="51"/>
      <c r="F24" s="12"/>
      <c r="G24" s="12"/>
      <c r="H24" s="12"/>
      <c r="I24" s="74"/>
      <c r="J24" s="51"/>
    </row>
    <row r="25" ht="13.5" customHeight="1">
      <c r="E25" s="51"/>
      <c r="F25" s="12"/>
      <c r="G25" s="12"/>
      <c r="H25" s="12"/>
      <c r="I25" s="74"/>
      <c r="J25" s="51"/>
    </row>
    <row r="26" ht="13.5" customHeight="1">
      <c r="E26" s="51"/>
      <c r="F26" s="12"/>
      <c r="G26" s="12"/>
      <c r="H26" s="12"/>
      <c r="I26" s="74"/>
      <c r="J26" s="51"/>
    </row>
    <row r="27" ht="13.5" customHeight="1">
      <c r="E27" s="51"/>
      <c r="F27" s="12"/>
      <c r="G27" s="12"/>
      <c r="H27" s="12"/>
      <c r="I27" s="74"/>
      <c r="J27" s="51"/>
    </row>
    <row r="28" ht="13.5" customHeight="1">
      <c r="E28" s="51"/>
      <c r="F28" s="12"/>
      <c r="G28" s="12"/>
      <c r="H28" s="12"/>
      <c r="I28" s="74"/>
      <c r="J28" s="51"/>
    </row>
    <row r="29" ht="13.5" customHeight="1">
      <c r="E29" s="51"/>
      <c r="F29" s="12"/>
      <c r="G29" s="12"/>
      <c r="H29" s="12"/>
      <c r="I29" s="74"/>
      <c r="J29" s="51"/>
    </row>
    <row r="30" ht="13.5" customHeight="1">
      <c r="E30" s="51"/>
      <c r="F30" s="12"/>
      <c r="G30" s="12"/>
      <c r="H30" s="12"/>
      <c r="I30" s="74"/>
      <c r="J30" s="51"/>
    </row>
    <row r="31" ht="13.5" customHeight="1">
      <c r="E31" s="51"/>
      <c r="F31" s="12"/>
      <c r="G31" s="12"/>
      <c r="H31" s="12"/>
      <c r="I31" s="74"/>
      <c r="J31" s="51"/>
    </row>
    <row r="32" ht="13.5" customHeight="1">
      <c r="E32" s="51"/>
      <c r="F32" s="12"/>
      <c r="G32" s="12"/>
      <c r="H32" s="12"/>
      <c r="I32" s="74"/>
      <c r="J32" s="51"/>
    </row>
    <row r="33" ht="13.5" customHeight="1">
      <c r="E33" s="51"/>
      <c r="F33" s="12"/>
      <c r="G33" s="12"/>
      <c r="H33" s="12"/>
      <c r="I33" s="74"/>
      <c r="J33" s="51"/>
    </row>
    <row r="34" ht="13.5" customHeight="1">
      <c r="E34" s="51"/>
      <c r="F34" s="12"/>
      <c r="G34" s="12"/>
      <c r="H34" s="12"/>
      <c r="I34" s="74"/>
      <c r="J34" s="51"/>
    </row>
    <row r="35" ht="13.5" customHeight="1">
      <c r="E35" s="51"/>
      <c r="F35" s="12"/>
      <c r="G35" s="12"/>
      <c r="H35" s="12"/>
      <c r="I35" s="74"/>
      <c r="J35" s="51"/>
    </row>
    <row r="36" ht="13.5" customHeight="1">
      <c r="E36" s="51"/>
      <c r="F36" s="12"/>
      <c r="G36" s="12"/>
      <c r="H36" s="12"/>
      <c r="I36" s="74"/>
      <c r="J36" s="51"/>
    </row>
    <row r="37" ht="13.5" customHeight="1">
      <c r="E37" s="51"/>
      <c r="F37" s="12"/>
      <c r="G37" s="12"/>
      <c r="H37" s="12"/>
      <c r="I37" s="74"/>
      <c r="J37" s="51"/>
    </row>
    <row r="38" ht="13.5" customHeight="1">
      <c r="E38" s="51"/>
      <c r="F38" s="12"/>
      <c r="G38" s="12"/>
      <c r="H38" s="12"/>
      <c r="I38" s="74"/>
      <c r="J38" s="51"/>
    </row>
    <row r="39" ht="13.5" customHeight="1">
      <c r="E39" s="51"/>
      <c r="F39" s="12"/>
      <c r="G39" s="12"/>
      <c r="H39" s="12"/>
      <c r="I39" s="74"/>
      <c r="J39" s="51"/>
    </row>
    <row r="40" ht="13.5" customHeight="1">
      <c r="E40" s="51"/>
      <c r="F40" s="12"/>
      <c r="G40" s="12"/>
      <c r="H40" s="12"/>
      <c r="I40" s="74"/>
      <c r="J40" s="51"/>
    </row>
    <row r="41" ht="13.5" customHeight="1">
      <c r="E41" s="51"/>
      <c r="F41" s="12"/>
      <c r="G41" s="12"/>
      <c r="H41" s="12"/>
      <c r="I41" s="74"/>
      <c r="J41" s="51"/>
    </row>
    <row r="42" ht="13.5" customHeight="1">
      <c r="E42" s="51"/>
      <c r="F42" s="12"/>
      <c r="G42" s="12"/>
      <c r="H42" s="12"/>
      <c r="I42" s="74"/>
      <c r="J42" s="51"/>
    </row>
    <row r="43" ht="13.5" customHeight="1">
      <c r="E43" s="51"/>
      <c r="F43" s="12"/>
      <c r="G43" s="12"/>
      <c r="H43" s="12"/>
      <c r="I43" s="74"/>
      <c r="J43" s="51"/>
    </row>
    <row r="44" ht="13.5" customHeight="1">
      <c r="E44" s="51"/>
      <c r="F44" s="12"/>
      <c r="G44" s="12"/>
      <c r="H44" s="12"/>
      <c r="I44" s="74"/>
      <c r="J44" s="51"/>
    </row>
    <row r="45" ht="13.5" customHeight="1">
      <c r="E45" s="51"/>
      <c r="F45" s="12"/>
      <c r="G45" s="12"/>
      <c r="H45" s="12"/>
      <c r="I45" s="74"/>
      <c r="J45" s="51"/>
    </row>
    <row r="46" ht="13.5" customHeight="1">
      <c r="E46" s="51"/>
      <c r="F46" s="12"/>
      <c r="G46" s="12"/>
      <c r="H46" s="12"/>
      <c r="I46" s="74"/>
      <c r="J46" s="51"/>
    </row>
    <row r="47" ht="13.5" customHeight="1">
      <c r="E47" s="51"/>
      <c r="F47" s="12"/>
      <c r="G47" s="12"/>
      <c r="H47" s="12"/>
      <c r="I47" s="74"/>
      <c r="J47" s="51"/>
    </row>
    <row r="48" ht="13.5" customHeight="1">
      <c r="E48" s="51"/>
      <c r="F48" s="12"/>
      <c r="G48" s="12"/>
      <c r="H48" s="12"/>
      <c r="I48" s="74"/>
      <c r="J48" s="51"/>
    </row>
    <row r="49" ht="13.5" customHeight="1">
      <c r="E49" s="51"/>
      <c r="F49" s="12"/>
      <c r="G49" s="12"/>
      <c r="H49" s="12"/>
      <c r="I49" s="74"/>
      <c r="J49" s="51"/>
    </row>
    <row r="50" ht="13.5" customHeight="1">
      <c r="E50" s="51"/>
      <c r="F50" s="12"/>
      <c r="G50" s="12"/>
      <c r="H50" s="12"/>
      <c r="I50" s="74"/>
      <c r="J50" s="51"/>
    </row>
    <row r="51" ht="13.5" customHeight="1">
      <c r="E51" s="51"/>
      <c r="F51" s="12"/>
      <c r="G51" s="12"/>
      <c r="H51" s="12"/>
      <c r="I51" s="74"/>
      <c r="J51" s="51"/>
    </row>
    <row r="52" ht="13.5" customHeight="1">
      <c r="E52" s="51"/>
      <c r="F52" s="12"/>
      <c r="G52" s="12"/>
      <c r="H52" s="12"/>
      <c r="I52" s="74"/>
      <c r="J52" s="51"/>
    </row>
    <row r="53" ht="13.5" customHeight="1">
      <c r="E53" s="51"/>
      <c r="F53" s="12"/>
      <c r="G53" s="12"/>
      <c r="H53" s="12"/>
      <c r="I53" s="74"/>
      <c r="J53" s="51"/>
    </row>
    <row r="54" ht="13.5" customHeight="1">
      <c r="E54" s="51"/>
      <c r="F54" s="12"/>
      <c r="G54" s="12"/>
      <c r="H54" s="12"/>
      <c r="I54" s="74"/>
      <c r="J54" s="51"/>
    </row>
    <row r="55" ht="13.5" customHeight="1">
      <c r="E55" s="51"/>
      <c r="F55" s="12"/>
      <c r="G55" s="12"/>
      <c r="H55" s="12"/>
      <c r="I55" s="74"/>
      <c r="J55" s="51"/>
    </row>
    <row r="56" ht="13.5" customHeight="1">
      <c r="E56" s="51"/>
      <c r="F56" s="12"/>
      <c r="G56" s="12"/>
      <c r="H56" s="12"/>
      <c r="I56" s="74"/>
      <c r="J56" s="51"/>
    </row>
    <row r="57" ht="13.5" customHeight="1">
      <c r="E57" s="51"/>
      <c r="F57" s="12"/>
      <c r="G57" s="12"/>
      <c r="H57" s="12"/>
      <c r="I57" s="74"/>
      <c r="J57" s="51"/>
    </row>
    <row r="58" ht="13.5" customHeight="1">
      <c r="E58" s="51"/>
      <c r="F58" s="12"/>
      <c r="G58" s="12"/>
      <c r="H58" s="12"/>
      <c r="I58" s="74"/>
      <c r="J58" s="51"/>
    </row>
    <row r="59" ht="13.5" customHeight="1">
      <c r="E59" s="51"/>
      <c r="F59" s="12"/>
      <c r="G59" s="12"/>
      <c r="H59" s="12"/>
      <c r="I59" s="74"/>
      <c r="J59" s="51"/>
    </row>
    <row r="60" ht="13.5" customHeight="1">
      <c r="E60" s="51"/>
      <c r="F60" s="12"/>
      <c r="G60" s="12"/>
      <c r="H60" s="12"/>
      <c r="I60" s="74"/>
      <c r="J60" s="51"/>
    </row>
    <row r="61" ht="13.5" customHeight="1">
      <c r="E61" s="51"/>
      <c r="F61" s="12"/>
      <c r="G61" s="12"/>
      <c r="H61" s="12"/>
      <c r="I61" s="74"/>
      <c r="J61" s="51"/>
    </row>
    <row r="62" ht="13.5" customHeight="1">
      <c r="E62" s="51"/>
      <c r="F62" s="12"/>
      <c r="G62" s="12"/>
      <c r="H62" s="12"/>
      <c r="I62" s="74"/>
      <c r="J62" s="51"/>
    </row>
    <row r="63" ht="13.5" customHeight="1">
      <c r="E63" s="51"/>
      <c r="F63" s="12"/>
      <c r="G63" s="12"/>
      <c r="H63" s="12"/>
      <c r="I63" s="74"/>
      <c r="J63" s="51"/>
    </row>
    <row r="64" ht="13.5" customHeight="1">
      <c r="E64" s="51"/>
      <c r="F64" s="12"/>
      <c r="G64" s="12"/>
      <c r="H64" s="12"/>
      <c r="I64" s="74"/>
      <c r="J64" s="51"/>
    </row>
    <row r="65" ht="13.5" customHeight="1">
      <c r="E65" s="51"/>
      <c r="F65" s="12"/>
      <c r="G65" s="12"/>
      <c r="H65" s="12"/>
      <c r="I65" s="74"/>
      <c r="J65" s="51"/>
    </row>
    <row r="66" ht="13.5" customHeight="1">
      <c r="E66" s="51"/>
      <c r="F66" s="12"/>
      <c r="G66" s="12"/>
      <c r="H66" s="12"/>
      <c r="I66" s="74"/>
      <c r="J66" s="51"/>
    </row>
    <row r="67" ht="13.5" customHeight="1">
      <c r="E67" s="51"/>
      <c r="F67" s="12"/>
      <c r="G67" s="12"/>
      <c r="H67" s="12"/>
      <c r="I67" s="74"/>
      <c r="J67" s="51"/>
    </row>
    <row r="68" ht="13.5" customHeight="1">
      <c r="E68" s="51"/>
      <c r="F68" s="12"/>
      <c r="G68" s="12"/>
      <c r="H68" s="12"/>
      <c r="I68" s="74"/>
      <c r="J68" s="51"/>
    </row>
    <row r="69" ht="13.5" customHeight="1">
      <c r="E69" s="51"/>
      <c r="F69" s="12"/>
      <c r="G69" s="12"/>
      <c r="H69" s="12"/>
      <c r="I69" s="74"/>
      <c r="J69" s="51"/>
    </row>
    <row r="70" ht="13.5" customHeight="1">
      <c r="E70" s="51"/>
      <c r="F70" s="12"/>
      <c r="G70" s="12"/>
      <c r="H70" s="12"/>
      <c r="I70" s="74"/>
      <c r="J70" s="51"/>
    </row>
    <row r="71" ht="13.5" customHeight="1">
      <c r="E71" s="51"/>
      <c r="F71" s="12"/>
      <c r="G71" s="12"/>
      <c r="H71" s="12"/>
      <c r="I71" s="74"/>
      <c r="J71" s="51"/>
    </row>
    <row r="72" ht="13.5" customHeight="1">
      <c r="E72" s="51"/>
      <c r="F72" s="12"/>
      <c r="G72" s="12"/>
      <c r="H72" s="12"/>
      <c r="I72" s="74"/>
      <c r="J72" s="51"/>
    </row>
    <row r="73" ht="13.5" customHeight="1">
      <c r="E73" s="51"/>
      <c r="F73" s="12"/>
      <c r="G73" s="12"/>
      <c r="H73" s="12"/>
      <c r="I73" s="74"/>
      <c r="J73" s="51"/>
    </row>
    <row r="74" ht="13.5" customHeight="1">
      <c r="E74" s="51"/>
      <c r="F74" s="12"/>
      <c r="G74" s="12"/>
      <c r="H74" s="12"/>
      <c r="I74" s="74"/>
      <c r="J74" s="51"/>
    </row>
    <row r="75" ht="13.5" customHeight="1">
      <c r="E75" s="51"/>
      <c r="F75" s="12"/>
      <c r="G75" s="12"/>
      <c r="H75" s="12"/>
      <c r="I75" s="74"/>
      <c r="J75" s="51"/>
    </row>
    <row r="76" ht="13.5" customHeight="1">
      <c r="E76" s="51"/>
      <c r="F76" s="12"/>
      <c r="G76" s="12"/>
      <c r="H76" s="12"/>
      <c r="I76" s="74"/>
      <c r="J76" s="51"/>
    </row>
    <row r="77" ht="13.5" customHeight="1">
      <c r="E77" s="51"/>
      <c r="F77" s="12"/>
      <c r="G77" s="12"/>
      <c r="H77" s="12"/>
      <c r="I77" s="74"/>
      <c r="J77" s="51"/>
    </row>
    <row r="78" ht="13.5" customHeight="1">
      <c r="E78" s="51"/>
      <c r="F78" s="12"/>
      <c r="G78" s="12"/>
      <c r="H78" s="12"/>
      <c r="I78" s="74"/>
      <c r="J78" s="51"/>
    </row>
    <row r="79" ht="13.5" customHeight="1">
      <c r="E79" s="51"/>
      <c r="F79" s="12"/>
      <c r="G79" s="12"/>
      <c r="H79" s="12"/>
      <c r="I79" s="74"/>
      <c r="J79" s="51"/>
    </row>
    <row r="80" ht="13.5" customHeight="1">
      <c r="E80" s="51"/>
      <c r="F80" s="12"/>
      <c r="G80" s="12"/>
      <c r="H80" s="12"/>
      <c r="I80" s="74"/>
      <c r="J80" s="51"/>
    </row>
    <row r="81" ht="13.5" customHeight="1">
      <c r="E81" s="51"/>
      <c r="F81" s="12"/>
      <c r="G81" s="12"/>
      <c r="H81" s="12"/>
      <c r="I81" s="74"/>
      <c r="J81" s="51"/>
    </row>
    <row r="82" ht="13.5" customHeight="1">
      <c r="E82" s="51"/>
      <c r="F82" s="12"/>
      <c r="G82" s="12"/>
      <c r="H82" s="12"/>
      <c r="I82" s="74"/>
      <c r="J82" s="51"/>
    </row>
    <row r="83" ht="13.5" customHeight="1">
      <c r="E83" s="51"/>
      <c r="F83" s="12"/>
      <c r="G83" s="12"/>
      <c r="H83" s="12"/>
      <c r="I83" s="74"/>
      <c r="J83" s="51"/>
    </row>
    <row r="84" ht="13.5" customHeight="1">
      <c r="E84" s="51"/>
      <c r="F84" s="12"/>
      <c r="G84" s="12"/>
      <c r="H84" s="12"/>
      <c r="I84" s="74"/>
      <c r="J84" s="51"/>
    </row>
    <row r="85" ht="13.5" customHeight="1">
      <c r="E85" s="51"/>
      <c r="F85" s="12"/>
      <c r="G85" s="12"/>
      <c r="H85" s="12"/>
      <c r="I85" s="74"/>
      <c r="J85" s="51"/>
    </row>
    <row r="86" ht="13.5" customHeight="1">
      <c r="E86" s="51"/>
      <c r="F86" s="12"/>
      <c r="G86" s="12"/>
      <c r="H86" s="12"/>
      <c r="I86" s="74"/>
      <c r="J86" s="51"/>
    </row>
    <row r="87" ht="13.5" customHeight="1">
      <c r="E87" s="51"/>
      <c r="F87" s="12"/>
      <c r="G87" s="12"/>
      <c r="H87" s="12"/>
      <c r="I87" s="74"/>
      <c r="J87" s="51"/>
    </row>
    <row r="88" ht="13.5" customHeight="1">
      <c r="E88" s="51"/>
      <c r="F88" s="12"/>
      <c r="G88" s="12"/>
      <c r="H88" s="12"/>
      <c r="I88" s="74"/>
      <c r="J88" s="51"/>
    </row>
    <row r="89" ht="13.5" customHeight="1">
      <c r="E89" s="51"/>
      <c r="F89" s="12"/>
      <c r="G89" s="12"/>
      <c r="H89" s="12"/>
      <c r="I89" s="74"/>
      <c r="J89" s="51"/>
    </row>
    <row r="90" ht="13.5" customHeight="1">
      <c r="E90" s="51"/>
      <c r="F90" s="12"/>
      <c r="G90" s="12"/>
      <c r="H90" s="12"/>
      <c r="I90" s="74"/>
      <c r="J90" s="51"/>
    </row>
    <row r="91" ht="13.5" customHeight="1">
      <c r="E91" s="51"/>
      <c r="F91" s="12"/>
      <c r="G91" s="12"/>
      <c r="H91" s="12"/>
      <c r="I91" s="74"/>
      <c r="J91" s="51"/>
    </row>
    <row r="92" ht="13.5" customHeight="1">
      <c r="E92" s="51"/>
      <c r="F92" s="12"/>
      <c r="G92" s="12"/>
      <c r="H92" s="12"/>
      <c r="I92" s="74"/>
      <c r="J92" s="51"/>
    </row>
    <row r="93" ht="13.5" customHeight="1">
      <c r="E93" s="51"/>
      <c r="F93" s="12"/>
      <c r="G93" s="12"/>
      <c r="H93" s="12"/>
      <c r="I93" s="74"/>
      <c r="J93" s="51"/>
    </row>
    <row r="94" ht="13.5" customHeight="1">
      <c r="E94" s="51"/>
      <c r="F94" s="12"/>
      <c r="G94" s="12"/>
      <c r="H94" s="12"/>
      <c r="I94" s="74"/>
      <c r="J94" s="51"/>
    </row>
    <row r="95" ht="13.5" customHeight="1">
      <c r="E95" s="51"/>
      <c r="F95" s="12"/>
      <c r="G95" s="12"/>
      <c r="H95" s="12"/>
      <c r="I95" s="74"/>
      <c r="J95" s="51"/>
    </row>
    <row r="96" ht="13.5" customHeight="1">
      <c r="E96" s="51"/>
      <c r="F96" s="12"/>
      <c r="G96" s="12"/>
      <c r="H96" s="12"/>
      <c r="I96" s="74"/>
      <c r="J96" s="51"/>
    </row>
    <row r="97" ht="13.5" customHeight="1">
      <c r="E97" s="51"/>
      <c r="F97" s="12"/>
      <c r="G97" s="12"/>
      <c r="H97" s="12"/>
      <c r="I97" s="74"/>
      <c r="J97" s="51"/>
    </row>
    <row r="98" ht="13.5" customHeight="1">
      <c r="E98" s="51"/>
      <c r="F98" s="12"/>
      <c r="G98" s="12"/>
      <c r="H98" s="12"/>
      <c r="I98" s="74"/>
      <c r="J98" s="51"/>
    </row>
    <row r="99" ht="13.5" customHeight="1">
      <c r="E99" s="51"/>
      <c r="F99" s="12"/>
      <c r="G99" s="12"/>
      <c r="H99" s="12"/>
      <c r="I99" s="74"/>
      <c r="J99" s="51"/>
    </row>
    <row r="100" ht="13.5" customHeight="1">
      <c r="E100" s="51"/>
      <c r="F100" s="12"/>
      <c r="G100" s="12"/>
      <c r="H100" s="12"/>
      <c r="I100" s="74"/>
      <c r="J100" s="51"/>
    </row>
    <row r="101" ht="13.5" customHeight="1">
      <c r="E101" s="51"/>
      <c r="F101" s="12"/>
      <c r="G101" s="12"/>
      <c r="H101" s="12"/>
      <c r="I101" s="74"/>
      <c r="J101" s="51"/>
    </row>
    <row r="102" ht="13.5" customHeight="1">
      <c r="E102" s="51"/>
      <c r="F102" s="12"/>
      <c r="G102" s="12"/>
      <c r="H102" s="12"/>
      <c r="I102" s="74"/>
      <c r="J102" s="51"/>
    </row>
    <row r="103" ht="13.5" customHeight="1">
      <c r="E103" s="51"/>
      <c r="F103" s="12"/>
      <c r="G103" s="12"/>
      <c r="H103" s="12"/>
      <c r="I103" s="74"/>
      <c r="J103" s="51"/>
    </row>
    <row r="104" ht="13.5" customHeight="1">
      <c r="E104" s="51"/>
      <c r="F104" s="12"/>
      <c r="G104" s="12"/>
      <c r="H104" s="12"/>
      <c r="I104" s="74"/>
      <c r="J104" s="51"/>
    </row>
    <row r="105" ht="13.5" customHeight="1">
      <c r="E105" s="51"/>
      <c r="F105" s="12"/>
      <c r="G105" s="12"/>
      <c r="H105" s="12"/>
      <c r="I105" s="74"/>
      <c r="J105" s="51"/>
    </row>
    <row r="106" ht="13.5" customHeight="1">
      <c r="E106" s="51"/>
      <c r="F106" s="12"/>
      <c r="G106" s="12"/>
      <c r="H106" s="12"/>
      <c r="I106" s="74"/>
      <c r="J106" s="51"/>
    </row>
    <row r="107" ht="13.5" customHeight="1">
      <c r="E107" s="51"/>
      <c r="F107" s="12"/>
      <c r="G107" s="12"/>
      <c r="H107" s="12"/>
      <c r="I107" s="74"/>
      <c r="J107" s="51"/>
    </row>
    <row r="108" ht="13.5" customHeight="1">
      <c r="E108" s="51"/>
      <c r="F108" s="12"/>
      <c r="G108" s="12"/>
      <c r="H108" s="12"/>
      <c r="I108" s="74"/>
      <c r="J108" s="51"/>
    </row>
    <row r="109" ht="13.5" customHeight="1">
      <c r="E109" s="51"/>
      <c r="F109" s="12"/>
      <c r="G109" s="12"/>
      <c r="H109" s="12"/>
      <c r="I109" s="74"/>
      <c r="J109" s="51"/>
    </row>
    <row r="110" ht="13.5" customHeight="1">
      <c r="E110" s="51"/>
      <c r="F110" s="12"/>
      <c r="G110" s="12"/>
      <c r="H110" s="12"/>
      <c r="I110" s="74"/>
      <c r="J110" s="51"/>
    </row>
    <row r="111" ht="13.5" customHeight="1">
      <c r="E111" s="51"/>
      <c r="F111" s="12"/>
      <c r="G111" s="12"/>
      <c r="H111" s="12"/>
      <c r="I111" s="74"/>
      <c r="J111" s="51"/>
    </row>
    <row r="112" ht="13.5" customHeight="1">
      <c r="E112" s="51"/>
      <c r="F112" s="12"/>
      <c r="G112" s="12"/>
      <c r="H112" s="12"/>
      <c r="I112" s="74"/>
      <c r="J112" s="51"/>
    </row>
    <row r="113" ht="13.5" customHeight="1">
      <c r="E113" s="51"/>
      <c r="F113" s="12"/>
      <c r="G113" s="12"/>
      <c r="H113" s="12"/>
      <c r="I113" s="74"/>
      <c r="J113" s="51"/>
    </row>
    <row r="114" ht="13.5" customHeight="1">
      <c r="E114" s="51"/>
      <c r="F114" s="12"/>
      <c r="G114" s="12"/>
      <c r="H114" s="12"/>
      <c r="I114" s="74"/>
      <c r="J114" s="51"/>
    </row>
    <row r="115" ht="13.5" customHeight="1">
      <c r="E115" s="51"/>
      <c r="F115" s="12"/>
      <c r="G115" s="12"/>
      <c r="H115" s="12"/>
      <c r="I115" s="74"/>
      <c r="J115" s="51"/>
    </row>
    <row r="116" ht="13.5" customHeight="1">
      <c r="E116" s="51"/>
      <c r="F116" s="12"/>
      <c r="G116" s="12"/>
      <c r="H116" s="12"/>
      <c r="I116" s="74"/>
      <c r="J116" s="51"/>
    </row>
    <row r="117" ht="13.5" customHeight="1">
      <c r="E117" s="51"/>
      <c r="F117" s="12"/>
      <c r="G117" s="12"/>
      <c r="H117" s="12"/>
      <c r="I117" s="74"/>
      <c r="J117" s="51"/>
    </row>
    <row r="118" ht="13.5" customHeight="1">
      <c r="E118" s="51"/>
      <c r="F118" s="12"/>
      <c r="G118" s="12"/>
      <c r="H118" s="12"/>
      <c r="I118" s="74"/>
      <c r="J118" s="51"/>
    </row>
    <row r="119" ht="13.5" customHeight="1">
      <c r="E119" s="51"/>
      <c r="F119" s="12"/>
      <c r="G119" s="12"/>
      <c r="H119" s="12"/>
      <c r="I119" s="74"/>
      <c r="J119" s="51"/>
    </row>
    <row r="120" ht="13.5" customHeight="1">
      <c r="E120" s="51"/>
      <c r="F120" s="12"/>
      <c r="G120" s="12"/>
      <c r="H120" s="12"/>
      <c r="I120" s="74"/>
      <c r="J120" s="51"/>
    </row>
    <row r="121" ht="13.5" customHeight="1">
      <c r="E121" s="51"/>
      <c r="F121" s="12"/>
      <c r="G121" s="12"/>
      <c r="H121" s="12"/>
      <c r="I121" s="74"/>
      <c r="J121" s="51"/>
    </row>
    <row r="122" ht="13.5" customHeight="1">
      <c r="E122" s="51"/>
      <c r="F122" s="12"/>
      <c r="G122" s="12"/>
      <c r="H122" s="12"/>
      <c r="I122" s="74"/>
      <c r="J122" s="51"/>
    </row>
    <row r="123" ht="13.5" customHeight="1">
      <c r="E123" s="51"/>
      <c r="F123" s="12"/>
      <c r="G123" s="12"/>
      <c r="H123" s="12"/>
      <c r="I123" s="74"/>
      <c r="J123" s="51"/>
    </row>
    <row r="124" ht="13.5" customHeight="1">
      <c r="E124" s="51"/>
      <c r="F124" s="12"/>
      <c r="G124" s="12"/>
      <c r="H124" s="12"/>
      <c r="I124" s="74"/>
      <c r="J124" s="51"/>
    </row>
    <row r="125" ht="13.5" customHeight="1">
      <c r="E125" s="51"/>
      <c r="F125" s="12"/>
      <c r="G125" s="12"/>
      <c r="H125" s="12"/>
      <c r="I125" s="74"/>
      <c r="J125" s="51"/>
    </row>
    <row r="126" ht="13.5" customHeight="1">
      <c r="E126" s="51"/>
      <c r="F126" s="12"/>
      <c r="G126" s="12"/>
      <c r="H126" s="12"/>
      <c r="I126" s="74"/>
      <c r="J126" s="51"/>
    </row>
    <row r="127" ht="13.5" customHeight="1">
      <c r="E127" s="51"/>
      <c r="F127" s="12"/>
      <c r="G127" s="12"/>
      <c r="H127" s="12"/>
      <c r="I127" s="74"/>
      <c r="J127" s="51"/>
    </row>
    <row r="128" ht="13.5" customHeight="1">
      <c r="E128" s="51"/>
      <c r="F128" s="12"/>
      <c r="G128" s="12"/>
      <c r="H128" s="12"/>
      <c r="I128" s="74"/>
      <c r="J128" s="51"/>
    </row>
    <row r="129" ht="13.5" customHeight="1">
      <c r="E129" s="51"/>
      <c r="F129" s="12"/>
      <c r="G129" s="12"/>
      <c r="H129" s="12"/>
      <c r="I129" s="74"/>
      <c r="J129" s="51"/>
    </row>
    <row r="130" ht="13.5" customHeight="1">
      <c r="E130" s="51"/>
      <c r="F130" s="12"/>
      <c r="G130" s="12"/>
      <c r="H130" s="12"/>
      <c r="I130" s="74"/>
      <c r="J130" s="51"/>
    </row>
    <row r="131" ht="13.5" customHeight="1">
      <c r="E131" s="51"/>
      <c r="F131" s="12"/>
      <c r="G131" s="12"/>
      <c r="H131" s="12"/>
      <c r="I131" s="74"/>
      <c r="J131" s="51"/>
    </row>
    <row r="132" ht="13.5" customHeight="1">
      <c r="E132" s="51"/>
      <c r="F132" s="12"/>
      <c r="G132" s="12"/>
      <c r="H132" s="12"/>
      <c r="I132" s="74"/>
      <c r="J132" s="51"/>
    </row>
    <row r="133" ht="13.5" customHeight="1">
      <c r="E133" s="51"/>
      <c r="F133" s="12"/>
      <c r="G133" s="12"/>
      <c r="H133" s="12"/>
      <c r="I133" s="74"/>
      <c r="J133" s="51"/>
    </row>
    <row r="134" ht="13.5" customHeight="1">
      <c r="E134" s="51"/>
      <c r="F134" s="12"/>
      <c r="G134" s="12"/>
      <c r="H134" s="12"/>
      <c r="I134" s="74"/>
      <c r="J134" s="51"/>
    </row>
    <row r="135" ht="13.5" customHeight="1">
      <c r="E135" s="51"/>
      <c r="F135" s="12"/>
      <c r="G135" s="12"/>
      <c r="H135" s="12"/>
      <c r="I135" s="74"/>
      <c r="J135" s="51"/>
    </row>
    <row r="136" ht="13.5" customHeight="1">
      <c r="E136" s="51"/>
      <c r="F136" s="12"/>
      <c r="G136" s="12"/>
      <c r="H136" s="12"/>
      <c r="I136" s="74"/>
      <c r="J136" s="51"/>
    </row>
    <row r="137" ht="13.5" customHeight="1">
      <c r="E137" s="51"/>
      <c r="F137" s="12"/>
      <c r="G137" s="12"/>
      <c r="H137" s="12"/>
      <c r="I137" s="74"/>
      <c r="J137" s="51"/>
    </row>
    <row r="138" ht="13.5" customHeight="1">
      <c r="E138" s="51"/>
      <c r="F138" s="12"/>
      <c r="G138" s="12"/>
      <c r="H138" s="12"/>
      <c r="I138" s="74"/>
      <c r="J138" s="51"/>
    </row>
    <row r="139" ht="13.5" customHeight="1">
      <c r="E139" s="51"/>
      <c r="F139" s="12"/>
      <c r="G139" s="12"/>
      <c r="H139" s="12"/>
      <c r="I139" s="74"/>
      <c r="J139" s="51"/>
    </row>
    <row r="140" ht="13.5" customHeight="1">
      <c r="E140" s="51"/>
      <c r="F140" s="12"/>
      <c r="G140" s="12"/>
      <c r="H140" s="12"/>
      <c r="I140" s="74"/>
      <c r="J140" s="51"/>
    </row>
    <row r="141" ht="13.5" customHeight="1">
      <c r="E141" s="51"/>
      <c r="F141" s="12"/>
      <c r="G141" s="12"/>
      <c r="H141" s="12"/>
      <c r="I141" s="74"/>
      <c r="J141" s="51"/>
    </row>
    <row r="142" ht="13.5" customHeight="1">
      <c r="E142" s="51"/>
      <c r="F142" s="12"/>
      <c r="G142" s="12"/>
      <c r="H142" s="12"/>
      <c r="I142" s="74"/>
      <c r="J142" s="51"/>
    </row>
    <row r="143" ht="13.5" customHeight="1">
      <c r="E143" s="51"/>
      <c r="F143" s="12"/>
      <c r="G143" s="12"/>
      <c r="H143" s="12"/>
      <c r="I143" s="74"/>
      <c r="J143" s="51"/>
    </row>
    <row r="144" ht="13.5" customHeight="1">
      <c r="E144" s="51"/>
      <c r="F144" s="12"/>
      <c r="G144" s="12"/>
      <c r="H144" s="12"/>
      <c r="I144" s="74"/>
      <c r="J144" s="51"/>
    </row>
    <row r="145" ht="13.5" customHeight="1">
      <c r="E145" s="51"/>
      <c r="F145" s="12"/>
      <c r="G145" s="12"/>
      <c r="H145" s="12"/>
      <c r="I145" s="74"/>
      <c r="J145" s="51"/>
    </row>
    <row r="146" ht="13.5" customHeight="1">
      <c r="E146" s="51"/>
      <c r="F146" s="12"/>
      <c r="G146" s="12"/>
      <c r="H146" s="12"/>
      <c r="I146" s="74"/>
      <c r="J146" s="51"/>
    </row>
    <row r="147" ht="13.5" customHeight="1">
      <c r="E147" s="51"/>
      <c r="F147" s="12"/>
      <c r="G147" s="12"/>
      <c r="H147" s="12"/>
      <c r="I147" s="74"/>
      <c r="J147" s="51"/>
    </row>
    <row r="148" ht="13.5" customHeight="1">
      <c r="E148" s="51"/>
      <c r="F148" s="12"/>
      <c r="G148" s="12"/>
      <c r="H148" s="12"/>
      <c r="I148" s="74"/>
      <c r="J148" s="51"/>
    </row>
    <row r="149" ht="13.5" customHeight="1">
      <c r="E149" s="51"/>
      <c r="F149" s="12"/>
      <c r="G149" s="12"/>
      <c r="H149" s="12"/>
      <c r="I149" s="74"/>
      <c r="J149" s="51"/>
    </row>
    <row r="150" ht="13.5" customHeight="1">
      <c r="E150" s="51"/>
      <c r="F150" s="12"/>
      <c r="G150" s="12"/>
      <c r="H150" s="12"/>
      <c r="I150" s="74"/>
      <c r="J150" s="51"/>
    </row>
    <row r="151" ht="13.5" customHeight="1">
      <c r="E151" s="51"/>
      <c r="F151" s="12"/>
      <c r="G151" s="12"/>
      <c r="H151" s="12"/>
      <c r="I151" s="74"/>
      <c r="J151" s="51"/>
    </row>
    <row r="152" ht="13.5" customHeight="1">
      <c r="E152" s="51"/>
      <c r="F152" s="12"/>
      <c r="G152" s="12"/>
      <c r="H152" s="12"/>
      <c r="I152" s="74"/>
      <c r="J152" s="51"/>
    </row>
    <row r="153" ht="13.5" customHeight="1">
      <c r="E153" s="51"/>
      <c r="F153" s="12"/>
      <c r="G153" s="12"/>
      <c r="H153" s="12"/>
      <c r="I153" s="74"/>
      <c r="J153" s="51"/>
    </row>
    <row r="154" ht="13.5" customHeight="1">
      <c r="E154" s="51"/>
      <c r="F154" s="12"/>
      <c r="G154" s="12"/>
      <c r="H154" s="12"/>
      <c r="I154" s="74"/>
      <c r="J154" s="51"/>
    </row>
    <row r="155" ht="13.5" customHeight="1">
      <c r="E155" s="51"/>
      <c r="F155" s="12"/>
      <c r="G155" s="12"/>
      <c r="H155" s="12"/>
      <c r="I155" s="74"/>
      <c r="J155" s="51"/>
    </row>
    <row r="156" ht="13.5" customHeight="1">
      <c r="E156" s="51"/>
      <c r="F156" s="12"/>
      <c r="G156" s="12"/>
      <c r="H156" s="12"/>
      <c r="I156" s="74"/>
      <c r="J156" s="51"/>
    </row>
    <row r="157" ht="13.5" customHeight="1">
      <c r="E157" s="51"/>
      <c r="F157" s="12"/>
      <c r="G157" s="12"/>
      <c r="H157" s="12"/>
      <c r="I157" s="74"/>
      <c r="J157" s="51"/>
    </row>
    <row r="158" ht="13.5" customHeight="1">
      <c r="E158" s="51"/>
      <c r="F158" s="12"/>
      <c r="G158" s="12"/>
      <c r="H158" s="12"/>
      <c r="I158" s="74"/>
      <c r="J158" s="51"/>
    </row>
    <row r="159" ht="13.5" customHeight="1">
      <c r="E159" s="51"/>
      <c r="F159" s="12"/>
      <c r="G159" s="12"/>
      <c r="H159" s="12"/>
      <c r="I159" s="74"/>
      <c r="J159" s="51"/>
    </row>
    <row r="160" ht="13.5" customHeight="1">
      <c r="E160" s="51"/>
      <c r="F160" s="12"/>
      <c r="G160" s="12"/>
      <c r="H160" s="12"/>
      <c r="I160" s="74"/>
      <c r="J160" s="51"/>
    </row>
    <row r="161" ht="13.5" customHeight="1">
      <c r="E161" s="51"/>
      <c r="F161" s="12"/>
      <c r="G161" s="12"/>
      <c r="H161" s="12"/>
      <c r="I161" s="74"/>
      <c r="J161" s="51"/>
    </row>
    <row r="162" ht="13.5" customHeight="1">
      <c r="E162" s="51"/>
      <c r="F162" s="12"/>
      <c r="G162" s="12"/>
      <c r="H162" s="12"/>
      <c r="I162" s="74"/>
      <c r="J162" s="51"/>
    </row>
    <row r="163" ht="13.5" customHeight="1">
      <c r="E163" s="51"/>
      <c r="F163" s="12"/>
      <c r="G163" s="12"/>
      <c r="H163" s="12"/>
      <c r="I163" s="74"/>
      <c r="J163" s="51"/>
    </row>
    <row r="164" ht="13.5" customHeight="1">
      <c r="E164" s="51"/>
      <c r="F164" s="12"/>
      <c r="G164" s="12"/>
      <c r="H164" s="12"/>
      <c r="I164" s="74"/>
      <c r="J164" s="51"/>
    </row>
    <row r="165" ht="13.5" customHeight="1">
      <c r="E165" s="51"/>
      <c r="F165" s="12"/>
      <c r="G165" s="12"/>
      <c r="H165" s="12"/>
      <c r="I165" s="74"/>
      <c r="J165" s="51"/>
    </row>
    <row r="166" ht="13.5" customHeight="1">
      <c r="E166" s="51"/>
      <c r="F166" s="12"/>
      <c r="G166" s="12"/>
      <c r="H166" s="12"/>
      <c r="I166" s="74"/>
      <c r="J166" s="51"/>
    </row>
    <row r="167" ht="13.5" customHeight="1">
      <c r="E167" s="51"/>
      <c r="F167" s="12"/>
      <c r="G167" s="12"/>
      <c r="H167" s="12"/>
      <c r="I167" s="74"/>
      <c r="J167" s="51"/>
    </row>
    <row r="168" ht="13.5" customHeight="1">
      <c r="E168" s="51"/>
      <c r="F168" s="12"/>
      <c r="G168" s="12"/>
      <c r="H168" s="12"/>
      <c r="I168" s="74"/>
      <c r="J168" s="51"/>
    </row>
    <row r="169" ht="13.5" customHeight="1">
      <c r="E169" s="51"/>
      <c r="F169" s="12"/>
      <c r="G169" s="12"/>
      <c r="H169" s="12"/>
      <c r="I169" s="74"/>
      <c r="J169" s="51"/>
    </row>
    <row r="170" ht="13.5" customHeight="1">
      <c r="E170" s="51"/>
      <c r="F170" s="12"/>
      <c r="G170" s="12"/>
      <c r="H170" s="12"/>
      <c r="I170" s="74"/>
      <c r="J170" s="51"/>
    </row>
    <row r="171" ht="13.5" customHeight="1">
      <c r="E171" s="51"/>
      <c r="F171" s="12"/>
      <c r="G171" s="12"/>
      <c r="H171" s="12"/>
      <c r="I171" s="74"/>
      <c r="J171" s="51"/>
    </row>
    <row r="172" ht="13.5" customHeight="1">
      <c r="E172" s="51"/>
      <c r="F172" s="12"/>
      <c r="G172" s="12"/>
      <c r="H172" s="12"/>
      <c r="I172" s="74"/>
      <c r="J172" s="51"/>
    </row>
    <row r="173" ht="13.5" customHeight="1">
      <c r="E173" s="51"/>
      <c r="F173" s="12"/>
      <c r="G173" s="12"/>
      <c r="H173" s="12"/>
      <c r="I173" s="74"/>
      <c r="J173" s="51"/>
    </row>
    <row r="174" ht="13.5" customHeight="1">
      <c r="E174" s="51"/>
      <c r="F174" s="12"/>
      <c r="G174" s="12"/>
      <c r="H174" s="12"/>
      <c r="I174" s="74"/>
      <c r="J174" s="51"/>
    </row>
    <row r="175" ht="13.5" customHeight="1">
      <c r="E175" s="51"/>
      <c r="F175" s="12"/>
      <c r="G175" s="12"/>
      <c r="H175" s="12"/>
      <c r="I175" s="74"/>
      <c r="J175" s="51"/>
    </row>
    <row r="176" ht="13.5" customHeight="1">
      <c r="E176" s="51"/>
      <c r="F176" s="12"/>
      <c r="G176" s="12"/>
      <c r="H176" s="12"/>
      <c r="I176" s="74"/>
      <c r="J176" s="51"/>
    </row>
    <row r="177" ht="13.5" customHeight="1">
      <c r="E177" s="51"/>
      <c r="F177" s="12"/>
      <c r="G177" s="12"/>
      <c r="H177" s="12"/>
      <c r="I177" s="74"/>
      <c r="J177" s="51"/>
    </row>
    <row r="178" ht="13.5" customHeight="1">
      <c r="E178" s="51"/>
      <c r="F178" s="12"/>
      <c r="G178" s="12"/>
      <c r="H178" s="12"/>
      <c r="I178" s="74"/>
      <c r="J178" s="51"/>
    </row>
    <row r="179" ht="13.5" customHeight="1">
      <c r="E179" s="51"/>
      <c r="F179" s="12"/>
      <c r="G179" s="12"/>
      <c r="H179" s="12"/>
      <c r="I179" s="74"/>
      <c r="J179" s="51"/>
    </row>
    <row r="180" ht="13.5" customHeight="1">
      <c r="E180" s="51"/>
      <c r="F180" s="12"/>
      <c r="G180" s="12"/>
      <c r="H180" s="12"/>
      <c r="I180" s="74"/>
      <c r="J180" s="51"/>
    </row>
    <row r="181" ht="13.5" customHeight="1">
      <c r="E181" s="51"/>
      <c r="F181" s="12"/>
      <c r="G181" s="12"/>
      <c r="H181" s="12"/>
      <c r="I181" s="74"/>
      <c r="J181" s="51"/>
    </row>
    <row r="182" ht="13.5" customHeight="1">
      <c r="E182" s="51"/>
      <c r="F182" s="12"/>
      <c r="G182" s="12"/>
      <c r="H182" s="12"/>
      <c r="I182" s="74"/>
      <c r="J182" s="51"/>
    </row>
    <row r="183" ht="13.5" customHeight="1">
      <c r="E183" s="51"/>
      <c r="F183" s="12"/>
      <c r="G183" s="12"/>
      <c r="H183" s="12"/>
      <c r="I183" s="74"/>
      <c r="J183" s="51"/>
    </row>
    <row r="184" ht="13.5" customHeight="1">
      <c r="E184" s="51"/>
      <c r="F184" s="12"/>
      <c r="G184" s="12"/>
      <c r="H184" s="12"/>
      <c r="I184" s="74"/>
      <c r="J184" s="51"/>
    </row>
    <row r="185" ht="13.5" customHeight="1">
      <c r="E185" s="51"/>
      <c r="F185" s="12"/>
      <c r="G185" s="12"/>
      <c r="H185" s="12"/>
      <c r="I185" s="74"/>
      <c r="J185" s="51"/>
    </row>
    <row r="186" ht="13.5" customHeight="1">
      <c r="E186" s="51"/>
      <c r="F186" s="12"/>
      <c r="G186" s="12"/>
      <c r="H186" s="12"/>
      <c r="I186" s="74"/>
      <c r="J186" s="51"/>
    </row>
    <row r="187" ht="13.5" customHeight="1">
      <c r="E187" s="51"/>
      <c r="F187" s="12"/>
      <c r="G187" s="12"/>
      <c r="H187" s="12"/>
      <c r="I187" s="74"/>
      <c r="J187" s="51"/>
    </row>
    <row r="188" ht="13.5" customHeight="1">
      <c r="E188" s="51"/>
      <c r="F188" s="12"/>
      <c r="G188" s="12"/>
      <c r="H188" s="12"/>
      <c r="I188" s="74"/>
      <c r="J188" s="51"/>
    </row>
    <row r="189" ht="13.5" customHeight="1">
      <c r="E189" s="51"/>
      <c r="F189" s="12"/>
      <c r="G189" s="12"/>
      <c r="H189" s="12"/>
      <c r="I189" s="74"/>
      <c r="J189" s="51"/>
    </row>
    <row r="190" ht="13.5" customHeight="1">
      <c r="E190" s="51"/>
      <c r="F190" s="12"/>
      <c r="G190" s="12"/>
      <c r="H190" s="12"/>
      <c r="I190" s="74"/>
      <c r="J190" s="51"/>
    </row>
    <row r="191" ht="13.5" customHeight="1">
      <c r="E191" s="51"/>
      <c r="F191" s="12"/>
      <c r="G191" s="12"/>
      <c r="H191" s="12"/>
      <c r="I191" s="74"/>
      <c r="J191" s="51"/>
    </row>
    <row r="192" ht="13.5" customHeight="1">
      <c r="E192" s="51"/>
      <c r="F192" s="12"/>
      <c r="G192" s="12"/>
      <c r="H192" s="12"/>
      <c r="I192" s="74"/>
      <c r="J192" s="51"/>
    </row>
    <row r="193" ht="13.5" customHeight="1">
      <c r="E193" s="51"/>
      <c r="F193" s="12"/>
      <c r="G193" s="12"/>
      <c r="H193" s="12"/>
      <c r="I193" s="74"/>
      <c r="J193" s="51"/>
    </row>
    <row r="194" ht="13.5" customHeight="1">
      <c r="E194" s="51"/>
      <c r="F194" s="12"/>
      <c r="G194" s="12"/>
      <c r="H194" s="12"/>
      <c r="I194" s="74"/>
      <c r="J194" s="51"/>
    </row>
    <row r="195" ht="13.5" customHeight="1">
      <c r="E195" s="51"/>
      <c r="F195" s="12"/>
      <c r="G195" s="12"/>
      <c r="H195" s="12"/>
      <c r="I195" s="74"/>
      <c r="J195" s="51"/>
    </row>
    <row r="196" ht="13.5" customHeight="1">
      <c r="E196" s="51"/>
      <c r="F196" s="12"/>
      <c r="G196" s="12"/>
      <c r="H196" s="12"/>
      <c r="I196" s="74"/>
      <c r="J196" s="51"/>
    </row>
    <row r="197" ht="13.5" customHeight="1">
      <c r="E197" s="51"/>
      <c r="F197" s="12"/>
      <c r="G197" s="12"/>
      <c r="H197" s="12"/>
      <c r="I197" s="74"/>
      <c r="J197" s="51"/>
    </row>
    <row r="198" ht="13.5" customHeight="1">
      <c r="E198" s="51"/>
      <c r="F198" s="12"/>
      <c r="G198" s="12"/>
      <c r="H198" s="12"/>
      <c r="I198" s="74"/>
      <c r="J198" s="51"/>
    </row>
    <row r="199" ht="13.5" customHeight="1">
      <c r="E199" s="51"/>
      <c r="F199" s="12"/>
      <c r="G199" s="12"/>
      <c r="H199" s="12"/>
      <c r="I199" s="74"/>
      <c r="J199" s="51"/>
    </row>
    <row r="200" ht="13.5" customHeight="1">
      <c r="E200" s="51"/>
      <c r="F200" s="12"/>
      <c r="G200" s="12"/>
      <c r="H200" s="12"/>
      <c r="I200" s="74"/>
      <c r="J200" s="51"/>
    </row>
    <row r="201" ht="13.5" customHeight="1">
      <c r="E201" s="51"/>
      <c r="F201" s="12"/>
      <c r="G201" s="12"/>
      <c r="H201" s="12"/>
      <c r="I201" s="74"/>
      <c r="J201" s="51"/>
    </row>
    <row r="202" ht="13.5" customHeight="1">
      <c r="E202" s="51"/>
      <c r="F202" s="12"/>
      <c r="G202" s="12"/>
      <c r="H202" s="12"/>
      <c r="I202" s="74"/>
      <c r="J202" s="51"/>
    </row>
    <row r="203" ht="13.5" customHeight="1">
      <c r="E203" s="51"/>
      <c r="F203" s="12"/>
      <c r="G203" s="12"/>
      <c r="H203" s="12"/>
      <c r="I203" s="74"/>
      <c r="J203" s="51"/>
    </row>
    <row r="204" ht="13.5" customHeight="1">
      <c r="E204" s="51"/>
      <c r="F204" s="12"/>
      <c r="G204" s="12"/>
      <c r="H204" s="12"/>
      <c r="I204" s="74"/>
      <c r="J204" s="51"/>
    </row>
    <row r="205" ht="13.5" customHeight="1">
      <c r="E205" s="51"/>
      <c r="F205" s="12"/>
      <c r="G205" s="12"/>
      <c r="H205" s="12"/>
      <c r="I205" s="74"/>
      <c r="J205" s="51"/>
    </row>
    <row r="206" ht="13.5" customHeight="1">
      <c r="E206" s="51"/>
      <c r="F206" s="12"/>
      <c r="G206" s="12"/>
      <c r="H206" s="12"/>
      <c r="I206" s="74"/>
      <c r="J206" s="51"/>
    </row>
    <row r="207" ht="13.5" customHeight="1">
      <c r="E207" s="51"/>
      <c r="F207" s="12"/>
      <c r="G207" s="12"/>
      <c r="H207" s="12"/>
      <c r="I207" s="74"/>
      <c r="J207" s="51"/>
    </row>
    <row r="208" ht="13.5" customHeight="1">
      <c r="E208" s="51"/>
      <c r="F208" s="12"/>
      <c r="G208" s="12"/>
      <c r="H208" s="12"/>
      <c r="I208" s="74"/>
      <c r="J208" s="51"/>
    </row>
    <row r="209" ht="13.5" customHeight="1">
      <c r="E209" s="51"/>
      <c r="F209" s="12"/>
      <c r="G209" s="12"/>
      <c r="H209" s="12"/>
      <c r="I209" s="74"/>
      <c r="J209" s="51"/>
    </row>
    <row r="210" ht="13.5" customHeight="1">
      <c r="E210" s="51"/>
      <c r="F210" s="12"/>
      <c r="G210" s="12"/>
      <c r="H210" s="12"/>
      <c r="I210" s="74"/>
      <c r="J210" s="51"/>
    </row>
    <row r="211" ht="13.5" customHeight="1">
      <c r="E211" s="51"/>
      <c r="F211" s="12"/>
      <c r="G211" s="12"/>
      <c r="H211" s="12"/>
      <c r="I211" s="74"/>
      <c r="J211" s="51"/>
    </row>
    <row r="212" ht="13.5" customHeight="1">
      <c r="E212" s="51"/>
      <c r="F212" s="12"/>
      <c r="G212" s="12"/>
      <c r="H212" s="12"/>
      <c r="I212" s="74"/>
      <c r="J212" s="51"/>
    </row>
    <row r="213" ht="13.5" customHeight="1">
      <c r="E213" s="51"/>
      <c r="F213" s="12"/>
      <c r="G213" s="12"/>
      <c r="H213" s="12"/>
      <c r="I213" s="74"/>
      <c r="J213" s="51"/>
    </row>
    <row r="214" ht="13.5" customHeight="1">
      <c r="E214" s="51"/>
      <c r="F214" s="12"/>
      <c r="G214" s="12"/>
      <c r="H214" s="12"/>
      <c r="I214" s="74"/>
      <c r="J214" s="51"/>
    </row>
    <row r="215" ht="13.5" customHeight="1">
      <c r="E215" s="51"/>
      <c r="F215" s="12"/>
      <c r="G215" s="12"/>
      <c r="H215" s="12"/>
      <c r="I215" s="74"/>
      <c r="J215" s="51"/>
    </row>
    <row r="216" ht="13.5" customHeight="1">
      <c r="E216" s="51"/>
      <c r="F216" s="12"/>
      <c r="G216" s="12"/>
      <c r="H216" s="12"/>
      <c r="I216" s="74"/>
      <c r="J216" s="51"/>
    </row>
    <row r="217" ht="13.5" customHeight="1">
      <c r="E217" s="51"/>
      <c r="F217" s="12"/>
      <c r="G217" s="12"/>
      <c r="H217" s="12"/>
      <c r="I217" s="74"/>
      <c r="J217" s="51"/>
    </row>
    <row r="218" ht="13.5" customHeight="1">
      <c r="E218" s="51"/>
      <c r="F218" s="12"/>
      <c r="G218" s="12"/>
      <c r="H218" s="12"/>
      <c r="I218" s="74"/>
      <c r="J218" s="51"/>
    </row>
    <row r="219" ht="13.5" customHeight="1">
      <c r="E219" s="51"/>
      <c r="F219" s="12"/>
      <c r="G219" s="12"/>
      <c r="H219" s="12"/>
      <c r="I219" s="74"/>
      <c r="J219" s="51"/>
    </row>
    <row r="220" ht="13.5" customHeight="1">
      <c r="E220" s="51"/>
      <c r="F220" s="12"/>
      <c r="G220" s="12"/>
      <c r="H220" s="12"/>
      <c r="I220" s="74"/>
      <c r="J220" s="51"/>
    </row>
    <row r="221" ht="13.5" customHeight="1">
      <c r="E221" s="51"/>
      <c r="F221" s="12"/>
      <c r="G221" s="12"/>
      <c r="H221" s="12"/>
      <c r="I221" s="74"/>
      <c r="J221" s="51"/>
    </row>
    <row r="222" ht="13.5" customHeight="1">
      <c r="E222" s="51"/>
      <c r="F222" s="12"/>
      <c r="G222" s="12"/>
      <c r="H222" s="12"/>
      <c r="I222" s="74"/>
      <c r="J222" s="51"/>
    </row>
    <row r="223" ht="13.5" customHeight="1">
      <c r="E223" s="51"/>
      <c r="F223" s="12"/>
      <c r="G223" s="12"/>
      <c r="H223" s="12"/>
      <c r="I223" s="74"/>
      <c r="J223" s="51"/>
    </row>
    <row r="224" ht="13.5" customHeight="1">
      <c r="E224" s="51"/>
      <c r="F224" s="12"/>
      <c r="G224" s="12"/>
      <c r="H224" s="12"/>
      <c r="I224" s="74"/>
      <c r="J224" s="51"/>
    </row>
    <row r="225" ht="13.5" customHeight="1">
      <c r="E225" s="51"/>
      <c r="F225" s="12"/>
      <c r="G225" s="12"/>
      <c r="H225" s="12"/>
      <c r="I225" s="74"/>
      <c r="J225" s="51"/>
    </row>
    <row r="226" ht="13.5" customHeight="1">
      <c r="E226" s="51"/>
      <c r="F226" s="12"/>
      <c r="G226" s="12"/>
      <c r="H226" s="12"/>
      <c r="I226" s="74"/>
      <c r="J226" s="51"/>
    </row>
    <row r="227" ht="13.5" customHeight="1">
      <c r="E227" s="51"/>
      <c r="F227" s="12"/>
      <c r="G227" s="12"/>
      <c r="H227" s="12"/>
      <c r="I227" s="74"/>
      <c r="J227" s="51"/>
    </row>
    <row r="228" ht="13.5" customHeight="1">
      <c r="E228" s="51"/>
      <c r="F228" s="12"/>
      <c r="G228" s="12"/>
      <c r="H228" s="12"/>
      <c r="I228" s="74"/>
      <c r="J228" s="51"/>
    </row>
    <row r="229" ht="13.5" customHeight="1">
      <c r="E229" s="51"/>
      <c r="F229" s="12"/>
      <c r="G229" s="12"/>
      <c r="H229" s="12"/>
      <c r="I229" s="74"/>
      <c r="J229" s="51"/>
    </row>
    <row r="230" ht="13.5" customHeight="1">
      <c r="E230" s="51"/>
      <c r="F230" s="12"/>
      <c r="G230" s="12"/>
      <c r="H230" s="12"/>
      <c r="I230" s="74"/>
      <c r="J230" s="51"/>
    </row>
    <row r="231" ht="13.5" customHeight="1">
      <c r="E231" s="51"/>
      <c r="F231" s="12"/>
      <c r="G231" s="12"/>
      <c r="H231" s="12"/>
      <c r="I231" s="74"/>
      <c r="J231" s="51"/>
    </row>
    <row r="232" ht="13.5" customHeight="1">
      <c r="E232" s="51"/>
      <c r="F232" s="12"/>
      <c r="G232" s="12"/>
      <c r="H232" s="12"/>
      <c r="I232" s="74"/>
      <c r="J232" s="51"/>
    </row>
    <row r="233" ht="13.5" customHeight="1">
      <c r="E233" s="51"/>
      <c r="F233" s="12"/>
      <c r="G233" s="12"/>
      <c r="H233" s="12"/>
      <c r="I233" s="74"/>
      <c r="J233" s="51"/>
    </row>
    <row r="234" ht="13.5" customHeight="1">
      <c r="E234" s="51"/>
      <c r="F234" s="12"/>
      <c r="G234" s="12"/>
      <c r="H234" s="12"/>
      <c r="I234" s="74"/>
      <c r="J234" s="51"/>
    </row>
    <row r="235" ht="13.5" customHeight="1">
      <c r="E235" s="51"/>
      <c r="F235" s="12"/>
      <c r="G235" s="12"/>
      <c r="H235" s="12"/>
      <c r="I235" s="74"/>
      <c r="J235" s="51"/>
    </row>
    <row r="236" ht="13.5" customHeight="1">
      <c r="E236" s="51"/>
      <c r="F236" s="12"/>
      <c r="G236" s="12"/>
      <c r="H236" s="12"/>
      <c r="I236" s="74"/>
      <c r="J236" s="51"/>
    </row>
    <row r="237" ht="13.5" customHeight="1">
      <c r="E237" s="51"/>
      <c r="F237" s="12"/>
      <c r="G237" s="12"/>
      <c r="H237" s="12"/>
      <c r="I237" s="74"/>
      <c r="J237" s="51"/>
    </row>
    <row r="238" ht="13.5" customHeight="1">
      <c r="E238" s="51"/>
      <c r="F238" s="12"/>
      <c r="G238" s="12"/>
      <c r="H238" s="12"/>
      <c r="I238" s="74"/>
      <c r="J238" s="51"/>
    </row>
    <row r="239" ht="13.5" customHeight="1">
      <c r="E239" s="51"/>
      <c r="F239" s="12"/>
      <c r="G239" s="12"/>
      <c r="H239" s="12"/>
      <c r="I239" s="74"/>
      <c r="J239" s="51"/>
    </row>
    <row r="240" ht="13.5" customHeight="1">
      <c r="E240" s="51"/>
      <c r="F240" s="12"/>
      <c r="G240" s="12"/>
      <c r="H240" s="12"/>
      <c r="I240" s="74"/>
      <c r="J240" s="51"/>
    </row>
    <row r="241" ht="13.5" customHeight="1">
      <c r="E241" s="51"/>
      <c r="F241" s="12"/>
      <c r="G241" s="12"/>
      <c r="H241" s="12"/>
      <c r="I241" s="74"/>
      <c r="J241" s="51"/>
    </row>
    <row r="242" ht="13.5" customHeight="1">
      <c r="E242" s="51"/>
      <c r="F242" s="12"/>
      <c r="G242" s="12"/>
      <c r="H242" s="12"/>
      <c r="I242" s="74"/>
      <c r="J242" s="51"/>
    </row>
    <row r="243" ht="13.5" customHeight="1">
      <c r="E243" s="51"/>
      <c r="F243" s="12"/>
      <c r="G243" s="12"/>
      <c r="H243" s="12"/>
      <c r="I243" s="74"/>
      <c r="J243" s="51"/>
    </row>
    <row r="244" ht="13.5" customHeight="1">
      <c r="E244" s="51"/>
      <c r="F244" s="12"/>
      <c r="G244" s="12"/>
      <c r="H244" s="12"/>
      <c r="I244" s="74"/>
      <c r="J244" s="51"/>
    </row>
    <row r="245" ht="13.5" customHeight="1">
      <c r="E245" s="51"/>
      <c r="F245" s="12"/>
      <c r="G245" s="12"/>
      <c r="H245" s="12"/>
      <c r="I245" s="74"/>
      <c r="J245" s="51"/>
    </row>
    <row r="246" ht="13.5" customHeight="1">
      <c r="E246" s="51"/>
      <c r="F246" s="12"/>
      <c r="G246" s="12"/>
      <c r="H246" s="12"/>
      <c r="I246" s="74"/>
      <c r="J246" s="51"/>
    </row>
    <row r="247" ht="13.5" customHeight="1">
      <c r="E247" s="51"/>
      <c r="F247" s="12"/>
      <c r="G247" s="12"/>
      <c r="H247" s="12"/>
      <c r="I247" s="74"/>
      <c r="J247" s="51"/>
    </row>
    <row r="248" ht="13.5" customHeight="1">
      <c r="E248" s="51"/>
      <c r="F248" s="12"/>
      <c r="G248" s="12"/>
      <c r="H248" s="12"/>
      <c r="I248" s="74"/>
      <c r="J248" s="51"/>
    </row>
    <row r="249" ht="13.5" customHeight="1">
      <c r="E249" s="51"/>
      <c r="F249" s="12"/>
      <c r="G249" s="12"/>
      <c r="H249" s="12"/>
      <c r="I249" s="74"/>
      <c r="J249" s="51"/>
    </row>
    <row r="250" ht="13.5" customHeight="1">
      <c r="E250" s="51"/>
      <c r="F250" s="12"/>
      <c r="G250" s="12"/>
      <c r="H250" s="12"/>
      <c r="I250" s="74"/>
      <c r="J250" s="51"/>
    </row>
    <row r="251" ht="13.5" customHeight="1">
      <c r="E251" s="51"/>
      <c r="F251" s="12"/>
      <c r="G251" s="12"/>
      <c r="H251" s="12"/>
      <c r="I251" s="74"/>
      <c r="J251" s="51"/>
    </row>
    <row r="252" ht="13.5" customHeight="1">
      <c r="E252" s="51"/>
      <c r="F252" s="12"/>
      <c r="G252" s="12"/>
      <c r="H252" s="12"/>
      <c r="I252" s="74"/>
      <c r="J252" s="51"/>
    </row>
    <row r="253" ht="13.5" customHeight="1">
      <c r="E253" s="51"/>
      <c r="F253" s="12"/>
      <c r="G253" s="12"/>
      <c r="H253" s="12"/>
      <c r="I253" s="74"/>
      <c r="J253" s="51"/>
    </row>
    <row r="254" ht="13.5" customHeight="1">
      <c r="E254" s="51"/>
      <c r="F254" s="12"/>
      <c r="G254" s="12"/>
      <c r="H254" s="12"/>
      <c r="I254" s="74"/>
      <c r="J254" s="51"/>
    </row>
    <row r="255" ht="13.5" customHeight="1">
      <c r="E255" s="51"/>
      <c r="F255" s="12"/>
      <c r="G255" s="12"/>
      <c r="H255" s="12"/>
      <c r="I255" s="74"/>
      <c r="J255" s="51"/>
    </row>
    <row r="256" ht="13.5" customHeight="1">
      <c r="E256" s="51"/>
      <c r="F256" s="12"/>
      <c r="G256" s="12"/>
      <c r="H256" s="12"/>
      <c r="I256" s="74"/>
      <c r="J256" s="51"/>
    </row>
    <row r="257" ht="13.5" customHeight="1">
      <c r="E257" s="51"/>
      <c r="F257" s="12"/>
      <c r="G257" s="12"/>
      <c r="H257" s="12"/>
      <c r="I257" s="74"/>
      <c r="J257" s="51"/>
    </row>
    <row r="258" ht="13.5" customHeight="1">
      <c r="E258" s="51"/>
      <c r="F258" s="12"/>
      <c r="G258" s="12"/>
      <c r="H258" s="12"/>
      <c r="I258" s="74"/>
      <c r="J258" s="51"/>
    </row>
    <row r="259" ht="13.5" customHeight="1">
      <c r="E259" s="51"/>
      <c r="F259" s="12"/>
      <c r="G259" s="12"/>
      <c r="H259" s="12"/>
      <c r="I259" s="74"/>
      <c r="J259" s="51"/>
    </row>
    <row r="260" ht="13.5" customHeight="1">
      <c r="E260" s="51"/>
      <c r="F260" s="12"/>
      <c r="G260" s="12"/>
      <c r="H260" s="12"/>
      <c r="I260" s="74"/>
      <c r="J260" s="51"/>
    </row>
    <row r="261" ht="13.5" customHeight="1">
      <c r="E261" s="51"/>
      <c r="F261" s="12"/>
      <c r="G261" s="12"/>
      <c r="H261" s="12"/>
      <c r="I261" s="74"/>
      <c r="J261" s="51"/>
    </row>
    <row r="262" ht="13.5" customHeight="1">
      <c r="E262" s="51"/>
      <c r="F262" s="12"/>
      <c r="G262" s="12"/>
      <c r="H262" s="12"/>
      <c r="I262" s="74"/>
      <c r="J262" s="51"/>
    </row>
    <row r="263" ht="13.5" customHeight="1">
      <c r="E263" s="51"/>
      <c r="F263" s="12"/>
      <c r="G263" s="12"/>
      <c r="H263" s="12"/>
      <c r="I263" s="74"/>
      <c r="J263" s="51"/>
    </row>
    <row r="264" ht="13.5" customHeight="1">
      <c r="E264" s="51"/>
      <c r="F264" s="12"/>
      <c r="G264" s="12"/>
      <c r="H264" s="12"/>
      <c r="I264" s="74"/>
      <c r="J264" s="51"/>
    </row>
    <row r="265" ht="13.5" customHeight="1">
      <c r="E265" s="51"/>
      <c r="F265" s="12"/>
      <c r="G265" s="12"/>
      <c r="H265" s="12"/>
      <c r="I265" s="74"/>
      <c r="J265" s="51"/>
    </row>
    <row r="266" ht="13.5" customHeight="1">
      <c r="E266" s="51"/>
      <c r="F266" s="12"/>
      <c r="G266" s="12"/>
      <c r="H266" s="12"/>
      <c r="I266" s="74"/>
      <c r="J266" s="51"/>
    </row>
    <row r="267" ht="13.5" customHeight="1">
      <c r="E267" s="51"/>
      <c r="F267" s="12"/>
      <c r="G267" s="12"/>
      <c r="H267" s="12"/>
      <c r="I267" s="74"/>
      <c r="J267" s="51"/>
    </row>
    <row r="268" ht="13.5" customHeight="1">
      <c r="E268" s="51"/>
      <c r="F268" s="12"/>
      <c r="G268" s="12"/>
      <c r="H268" s="12"/>
      <c r="I268" s="74"/>
      <c r="J268" s="51"/>
    </row>
    <row r="269" ht="13.5" customHeight="1">
      <c r="E269" s="51"/>
      <c r="F269" s="12"/>
      <c r="G269" s="12"/>
      <c r="H269" s="12"/>
      <c r="I269" s="74"/>
      <c r="J269" s="51"/>
    </row>
    <row r="270" ht="13.5" customHeight="1">
      <c r="E270" s="51"/>
      <c r="F270" s="12"/>
      <c r="G270" s="12"/>
      <c r="H270" s="12"/>
      <c r="I270" s="74"/>
      <c r="J270" s="51"/>
    </row>
    <row r="271" ht="13.5" customHeight="1">
      <c r="E271" s="51"/>
      <c r="F271" s="12"/>
      <c r="G271" s="12"/>
      <c r="H271" s="12"/>
      <c r="I271" s="74"/>
      <c r="J271" s="51"/>
    </row>
    <row r="272" ht="13.5" customHeight="1">
      <c r="E272" s="51"/>
      <c r="F272" s="12"/>
      <c r="G272" s="12"/>
      <c r="H272" s="12"/>
      <c r="I272" s="74"/>
      <c r="J272" s="51"/>
    </row>
    <row r="273" ht="13.5" customHeight="1">
      <c r="E273" s="51"/>
      <c r="F273" s="12"/>
      <c r="G273" s="12"/>
      <c r="H273" s="12"/>
      <c r="I273" s="74"/>
      <c r="J273" s="51"/>
    </row>
    <row r="274" ht="13.5" customHeight="1">
      <c r="E274" s="51"/>
      <c r="F274" s="12"/>
      <c r="G274" s="12"/>
      <c r="H274" s="12"/>
      <c r="I274" s="74"/>
      <c r="J274" s="51"/>
    </row>
    <row r="275" ht="13.5" customHeight="1">
      <c r="E275" s="51"/>
      <c r="F275" s="12"/>
      <c r="G275" s="12"/>
      <c r="H275" s="12"/>
      <c r="I275" s="74"/>
      <c r="J275" s="51"/>
    </row>
    <row r="276" ht="13.5" customHeight="1">
      <c r="E276" s="51"/>
      <c r="F276" s="12"/>
      <c r="G276" s="12"/>
      <c r="H276" s="12"/>
      <c r="I276" s="74"/>
      <c r="J276" s="51"/>
    </row>
    <row r="277" ht="13.5" customHeight="1">
      <c r="E277" s="51"/>
      <c r="F277" s="12"/>
      <c r="G277" s="12"/>
      <c r="H277" s="12"/>
      <c r="I277" s="74"/>
      <c r="J277" s="51"/>
    </row>
    <row r="278" ht="13.5" customHeight="1">
      <c r="E278" s="51"/>
      <c r="F278" s="12"/>
      <c r="G278" s="12"/>
      <c r="H278" s="12"/>
      <c r="I278" s="74"/>
      <c r="J278" s="51"/>
    </row>
    <row r="279" ht="13.5" customHeight="1">
      <c r="E279" s="51"/>
      <c r="F279" s="12"/>
      <c r="G279" s="12"/>
      <c r="H279" s="12"/>
      <c r="I279" s="74"/>
      <c r="J279" s="51"/>
    </row>
    <row r="280" ht="13.5" customHeight="1">
      <c r="E280" s="51"/>
      <c r="F280" s="12"/>
      <c r="G280" s="12"/>
      <c r="H280" s="12"/>
      <c r="I280" s="74"/>
      <c r="J280" s="51"/>
    </row>
    <row r="281" ht="13.5" customHeight="1">
      <c r="E281" s="51"/>
      <c r="F281" s="12"/>
      <c r="G281" s="12"/>
      <c r="H281" s="12"/>
      <c r="I281" s="74"/>
      <c r="J281" s="51"/>
    </row>
    <row r="282" ht="13.5" customHeight="1">
      <c r="E282" s="51"/>
      <c r="F282" s="12"/>
      <c r="G282" s="12"/>
      <c r="H282" s="12"/>
      <c r="I282" s="74"/>
      <c r="J282" s="51"/>
    </row>
    <row r="283" ht="13.5" customHeight="1">
      <c r="E283" s="51"/>
      <c r="F283" s="12"/>
      <c r="G283" s="12"/>
      <c r="H283" s="12"/>
      <c r="I283" s="74"/>
      <c r="J283" s="51"/>
    </row>
    <row r="284" ht="13.5" customHeight="1">
      <c r="E284" s="51"/>
      <c r="F284" s="12"/>
      <c r="G284" s="12"/>
      <c r="H284" s="12"/>
      <c r="I284" s="74"/>
      <c r="J284" s="51"/>
    </row>
    <row r="285" ht="13.5" customHeight="1">
      <c r="E285" s="51"/>
      <c r="F285" s="12"/>
      <c r="G285" s="12"/>
      <c r="H285" s="12"/>
      <c r="I285" s="74"/>
      <c r="J285" s="51"/>
    </row>
    <row r="286" ht="13.5" customHeight="1">
      <c r="E286" s="51"/>
      <c r="F286" s="12"/>
      <c r="G286" s="12"/>
      <c r="H286" s="12"/>
      <c r="I286" s="74"/>
      <c r="J286" s="51"/>
    </row>
    <row r="287" ht="13.5" customHeight="1">
      <c r="E287" s="51"/>
      <c r="F287" s="12"/>
      <c r="G287" s="12"/>
      <c r="H287" s="12"/>
      <c r="I287" s="74"/>
      <c r="J287" s="51"/>
    </row>
    <row r="288" ht="13.5" customHeight="1">
      <c r="E288" s="51"/>
      <c r="F288" s="12"/>
      <c r="G288" s="12"/>
      <c r="H288" s="12"/>
      <c r="I288" s="74"/>
      <c r="J288" s="51"/>
    </row>
    <row r="289" ht="13.5" customHeight="1">
      <c r="E289" s="51"/>
      <c r="F289" s="12"/>
      <c r="G289" s="12"/>
      <c r="H289" s="12"/>
      <c r="I289" s="74"/>
      <c r="J289" s="51"/>
    </row>
    <row r="290" ht="13.5" customHeight="1">
      <c r="E290" s="51"/>
      <c r="F290" s="12"/>
      <c r="G290" s="12"/>
      <c r="H290" s="12"/>
      <c r="I290" s="74"/>
      <c r="J290" s="51"/>
    </row>
    <row r="291" ht="13.5" customHeight="1">
      <c r="E291" s="51"/>
      <c r="F291" s="12"/>
      <c r="G291" s="12"/>
      <c r="H291" s="12"/>
      <c r="I291" s="74"/>
      <c r="J291" s="51"/>
    </row>
    <row r="292" ht="13.5" customHeight="1">
      <c r="E292" s="51"/>
      <c r="F292" s="12"/>
      <c r="G292" s="12"/>
      <c r="H292" s="12"/>
      <c r="I292" s="74"/>
      <c r="J292" s="51"/>
    </row>
    <row r="293" ht="13.5" customHeight="1">
      <c r="E293" s="51"/>
      <c r="F293" s="12"/>
      <c r="G293" s="12"/>
      <c r="H293" s="12"/>
      <c r="I293" s="74"/>
      <c r="J293" s="51"/>
    </row>
    <row r="294" ht="13.5" customHeight="1">
      <c r="E294" s="51"/>
      <c r="F294" s="12"/>
      <c r="G294" s="12"/>
      <c r="H294" s="12"/>
      <c r="I294" s="74"/>
      <c r="J294" s="51"/>
    </row>
    <row r="295" ht="13.5" customHeight="1">
      <c r="E295" s="51"/>
      <c r="F295" s="12"/>
      <c r="G295" s="12"/>
      <c r="H295" s="12"/>
      <c r="I295" s="74"/>
      <c r="J295" s="51"/>
    </row>
    <row r="296" ht="13.5" customHeight="1">
      <c r="E296" s="51"/>
      <c r="F296" s="12"/>
      <c r="G296" s="12"/>
      <c r="H296" s="12"/>
      <c r="I296" s="74"/>
      <c r="J296" s="51"/>
    </row>
    <row r="297" ht="13.5" customHeight="1">
      <c r="E297" s="51"/>
      <c r="F297" s="12"/>
      <c r="G297" s="12"/>
      <c r="H297" s="12"/>
      <c r="I297" s="74"/>
      <c r="J297" s="51"/>
    </row>
    <row r="298" ht="13.5" customHeight="1">
      <c r="E298" s="51"/>
      <c r="F298" s="12"/>
      <c r="G298" s="12"/>
      <c r="H298" s="12"/>
      <c r="I298" s="74"/>
      <c r="J298" s="51"/>
    </row>
    <row r="299" ht="13.5" customHeight="1">
      <c r="E299" s="51"/>
      <c r="F299" s="12"/>
      <c r="G299" s="12"/>
      <c r="H299" s="12"/>
      <c r="I299" s="74"/>
      <c r="J299" s="51"/>
    </row>
    <row r="300" ht="13.5" customHeight="1">
      <c r="E300" s="51"/>
      <c r="F300" s="12"/>
      <c r="G300" s="12"/>
      <c r="H300" s="12"/>
      <c r="I300" s="74"/>
      <c r="J300" s="51"/>
    </row>
    <row r="301" ht="13.5" customHeight="1">
      <c r="E301" s="51"/>
      <c r="F301" s="12"/>
      <c r="G301" s="12"/>
      <c r="H301" s="12"/>
      <c r="I301" s="74"/>
      <c r="J301" s="51"/>
    </row>
    <row r="302" ht="13.5" customHeight="1">
      <c r="E302" s="51"/>
      <c r="F302" s="12"/>
      <c r="G302" s="12"/>
      <c r="H302" s="12"/>
      <c r="I302" s="74"/>
      <c r="J302" s="51"/>
    </row>
    <row r="303" ht="13.5" customHeight="1">
      <c r="E303" s="51"/>
      <c r="F303" s="12"/>
      <c r="G303" s="12"/>
      <c r="H303" s="12"/>
      <c r="I303" s="74"/>
      <c r="J303" s="51"/>
    </row>
    <row r="304" ht="13.5" customHeight="1">
      <c r="E304" s="51"/>
      <c r="F304" s="12"/>
      <c r="G304" s="12"/>
      <c r="H304" s="12"/>
      <c r="I304" s="74"/>
      <c r="J304" s="51"/>
    </row>
    <row r="305" ht="13.5" customHeight="1">
      <c r="E305" s="51"/>
      <c r="F305" s="12"/>
      <c r="G305" s="12"/>
      <c r="H305" s="12"/>
      <c r="I305" s="74"/>
      <c r="J305" s="51"/>
    </row>
    <row r="306" ht="13.5" customHeight="1">
      <c r="E306" s="51"/>
      <c r="F306" s="12"/>
      <c r="G306" s="12"/>
      <c r="H306" s="12"/>
      <c r="I306" s="74"/>
      <c r="J306" s="51"/>
    </row>
    <row r="307" ht="13.5" customHeight="1">
      <c r="E307" s="51"/>
      <c r="F307" s="12"/>
      <c r="G307" s="12"/>
      <c r="H307" s="12"/>
      <c r="I307" s="74"/>
      <c r="J307" s="51"/>
    </row>
    <row r="308" ht="13.5" customHeight="1">
      <c r="E308" s="51"/>
      <c r="F308" s="12"/>
      <c r="G308" s="12"/>
      <c r="H308" s="12"/>
      <c r="I308" s="74"/>
      <c r="J308" s="51"/>
    </row>
    <row r="309" ht="13.5" customHeight="1">
      <c r="E309" s="51"/>
      <c r="F309" s="12"/>
      <c r="G309" s="12"/>
      <c r="H309" s="12"/>
      <c r="I309" s="74"/>
      <c r="J309" s="51"/>
    </row>
    <row r="310" ht="13.5" customHeight="1">
      <c r="E310" s="51"/>
      <c r="F310" s="12"/>
      <c r="G310" s="12"/>
      <c r="H310" s="12"/>
      <c r="I310" s="74"/>
      <c r="J310" s="51"/>
    </row>
    <row r="311" ht="13.5" customHeight="1">
      <c r="E311" s="51"/>
      <c r="F311" s="12"/>
      <c r="G311" s="12"/>
      <c r="H311" s="12"/>
      <c r="I311" s="74"/>
      <c r="J311" s="51"/>
    </row>
    <row r="312" ht="13.5" customHeight="1">
      <c r="E312" s="51"/>
      <c r="F312" s="12"/>
      <c r="G312" s="12"/>
      <c r="H312" s="12"/>
      <c r="I312" s="74"/>
      <c r="J312" s="51"/>
    </row>
    <row r="313" ht="13.5" customHeight="1">
      <c r="E313" s="51"/>
      <c r="F313" s="12"/>
      <c r="G313" s="12"/>
      <c r="H313" s="12"/>
      <c r="I313" s="74"/>
      <c r="J313" s="51"/>
    </row>
    <row r="314" ht="13.5" customHeight="1">
      <c r="E314" s="51"/>
      <c r="F314" s="12"/>
      <c r="G314" s="12"/>
      <c r="H314" s="12"/>
      <c r="I314" s="74"/>
      <c r="J314" s="51"/>
    </row>
    <row r="315" ht="13.5" customHeight="1">
      <c r="E315" s="51"/>
      <c r="F315" s="12"/>
      <c r="G315" s="12"/>
      <c r="H315" s="12"/>
      <c r="I315" s="74"/>
      <c r="J315" s="51"/>
    </row>
    <row r="316" ht="13.5" customHeight="1">
      <c r="E316" s="51"/>
      <c r="F316" s="12"/>
      <c r="G316" s="12"/>
      <c r="H316" s="12"/>
      <c r="I316" s="74"/>
      <c r="J316" s="51"/>
    </row>
    <row r="317" ht="13.5" customHeight="1">
      <c r="E317" s="51"/>
      <c r="F317" s="12"/>
      <c r="G317" s="12"/>
      <c r="H317" s="12"/>
      <c r="I317" s="74"/>
      <c r="J317" s="51"/>
    </row>
    <row r="318" ht="13.5" customHeight="1">
      <c r="E318" s="51"/>
      <c r="F318" s="12"/>
      <c r="G318" s="12"/>
      <c r="H318" s="12"/>
      <c r="I318" s="74"/>
      <c r="J318" s="51"/>
    </row>
    <row r="319" ht="13.5" customHeight="1">
      <c r="E319" s="51"/>
      <c r="F319" s="12"/>
      <c r="G319" s="12"/>
      <c r="H319" s="12"/>
      <c r="I319" s="74"/>
      <c r="J319" s="51"/>
    </row>
    <row r="320" ht="13.5" customHeight="1">
      <c r="E320" s="51"/>
      <c r="F320" s="12"/>
      <c r="G320" s="12"/>
      <c r="H320" s="12"/>
      <c r="I320" s="74"/>
      <c r="J320" s="51"/>
    </row>
    <row r="321" ht="13.5" customHeight="1">
      <c r="E321" s="51"/>
      <c r="F321" s="12"/>
      <c r="G321" s="12"/>
      <c r="H321" s="12"/>
      <c r="I321" s="74"/>
      <c r="J321" s="51"/>
    </row>
    <row r="322" ht="13.5" customHeight="1">
      <c r="E322" s="51"/>
      <c r="F322" s="12"/>
      <c r="G322" s="12"/>
      <c r="H322" s="12"/>
      <c r="I322" s="74"/>
      <c r="J322" s="51"/>
    </row>
    <row r="323" ht="13.5" customHeight="1">
      <c r="E323" s="51"/>
      <c r="F323" s="12"/>
      <c r="G323" s="12"/>
      <c r="H323" s="12"/>
      <c r="I323" s="74"/>
      <c r="J323" s="51"/>
    </row>
    <row r="324" ht="13.5" customHeight="1">
      <c r="E324" s="51"/>
      <c r="F324" s="12"/>
      <c r="G324" s="12"/>
      <c r="H324" s="12"/>
      <c r="I324" s="74"/>
      <c r="J324" s="51"/>
    </row>
    <row r="325" ht="13.5" customHeight="1">
      <c r="E325" s="51"/>
      <c r="F325" s="12"/>
      <c r="G325" s="12"/>
      <c r="H325" s="12"/>
      <c r="I325" s="74"/>
      <c r="J325" s="51"/>
    </row>
    <row r="326" ht="13.5" customHeight="1">
      <c r="E326" s="51"/>
      <c r="F326" s="12"/>
      <c r="G326" s="12"/>
      <c r="H326" s="12"/>
      <c r="I326" s="74"/>
      <c r="J326" s="51"/>
    </row>
    <row r="327" ht="13.5" customHeight="1">
      <c r="E327" s="51"/>
      <c r="F327" s="12"/>
      <c r="G327" s="12"/>
      <c r="H327" s="12"/>
      <c r="I327" s="74"/>
      <c r="J327" s="51"/>
    </row>
    <row r="328" ht="13.5" customHeight="1">
      <c r="E328" s="51"/>
      <c r="F328" s="12"/>
      <c r="G328" s="12"/>
      <c r="H328" s="12"/>
      <c r="I328" s="74"/>
      <c r="J328" s="51"/>
    </row>
    <row r="329" ht="13.5" customHeight="1">
      <c r="E329" s="51"/>
      <c r="F329" s="12"/>
      <c r="G329" s="12"/>
      <c r="H329" s="12"/>
      <c r="I329" s="74"/>
      <c r="J329" s="51"/>
    </row>
    <row r="330" ht="13.5" customHeight="1">
      <c r="E330" s="51"/>
      <c r="F330" s="12"/>
      <c r="G330" s="12"/>
      <c r="H330" s="12"/>
      <c r="I330" s="74"/>
      <c r="J330" s="51"/>
    </row>
    <row r="331" ht="13.5" customHeight="1">
      <c r="E331" s="51"/>
      <c r="F331" s="12"/>
      <c r="G331" s="12"/>
      <c r="H331" s="12"/>
      <c r="I331" s="74"/>
      <c r="J331" s="51"/>
    </row>
    <row r="332" ht="13.5" customHeight="1">
      <c r="E332" s="51"/>
      <c r="F332" s="12"/>
      <c r="G332" s="12"/>
      <c r="H332" s="12"/>
      <c r="I332" s="74"/>
      <c r="J332" s="51"/>
    </row>
    <row r="333" ht="13.5" customHeight="1">
      <c r="E333" s="51"/>
      <c r="F333" s="12"/>
      <c r="G333" s="12"/>
      <c r="H333" s="12"/>
      <c r="I333" s="74"/>
      <c r="J333" s="51"/>
    </row>
    <row r="334" ht="13.5" customHeight="1">
      <c r="E334" s="51"/>
      <c r="F334" s="12"/>
      <c r="G334" s="12"/>
      <c r="H334" s="12"/>
      <c r="I334" s="74"/>
      <c r="J334" s="51"/>
    </row>
    <row r="335" ht="13.5" customHeight="1">
      <c r="E335" s="51"/>
      <c r="F335" s="12"/>
      <c r="G335" s="12"/>
      <c r="H335" s="12"/>
      <c r="I335" s="74"/>
      <c r="J335" s="51"/>
    </row>
    <row r="336" ht="13.5" customHeight="1">
      <c r="E336" s="51"/>
      <c r="F336" s="12"/>
      <c r="G336" s="12"/>
      <c r="H336" s="12"/>
      <c r="I336" s="74"/>
      <c r="J336" s="51"/>
    </row>
    <row r="337" ht="13.5" customHeight="1">
      <c r="E337" s="51"/>
      <c r="F337" s="12"/>
      <c r="G337" s="12"/>
      <c r="H337" s="12"/>
      <c r="I337" s="74"/>
      <c r="J337" s="51"/>
    </row>
    <row r="338" ht="13.5" customHeight="1">
      <c r="E338" s="51"/>
      <c r="F338" s="12"/>
      <c r="G338" s="12"/>
      <c r="H338" s="12"/>
      <c r="I338" s="74"/>
      <c r="J338" s="51"/>
    </row>
    <row r="339" ht="13.5" customHeight="1">
      <c r="E339" s="51"/>
      <c r="F339" s="12"/>
      <c r="G339" s="12"/>
      <c r="H339" s="12"/>
      <c r="I339" s="74"/>
      <c r="J339" s="51"/>
    </row>
    <row r="340" ht="13.5" customHeight="1">
      <c r="E340" s="51"/>
      <c r="F340" s="12"/>
      <c r="G340" s="12"/>
      <c r="H340" s="12"/>
      <c r="I340" s="74"/>
      <c r="J340" s="51"/>
    </row>
    <row r="341" ht="13.5" customHeight="1">
      <c r="E341" s="51"/>
      <c r="F341" s="12"/>
      <c r="G341" s="12"/>
      <c r="H341" s="12"/>
      <c r="I341" s="74"/>
      <c r="J341" s="51"/>
    </row>
    <row r="342" ht="13.5" customHeight="1">
      <c r="E342" s="51"/>
      <c r="F342" s="12"/>
      <c r="G342" s="12"/>
      <c r="H342" s="12"/>
      <c r="I342" s="74"/>
      <c r="J342" s="51"/>
    </row>
    <row r="343" ht="13.5" customHeight="1">
      <c r="E343" s="51"/>
      <c r="F343" s="12"/>
      <c r="G343" s="12"/>
      <c r="H343" s="12"/>
      <c r="I343" s="74"/>
      <c r="J343" s="51"/>
    </row>
    <row r="344" ht="13.5" customHeight="1">
      <c r="E344" s="51"/>
      <c r="F344" s="12"/>
      <c r="G344" s="12"/>
      <c r="H344" s="12"/>
      <c r="I344" s="74"/>
      <c r="J344" s="51"/>
    </row>
    <row r="345" ht="13.5" customHeight="1">
      <c r="E345" s="51"/>
      <c r="F345" s="12"/>
      <c r="G345" s="12"/>
      <c r="H345" s="12"/>
      <c r="I345" s="74"/>
      <c r="J345" s="51"/>
    </row>
    <row r="346" ht="13.5" customHeight="1">
      <c r="E346" s="51"/>
      <c r="F346" s="12"/>
      <c r="G346" s="12"/>
      <c r="H346" s="12"/>
      <c r="I346" s="74"/>
      <c r="J346" s="51"/>
    </row>
    <row r="347" ht="13.5" customHeight="1">
      <c r="E347" s="51"/>
      <c r="F347" s="12"/>
      <c r="G347" s="12"/>
      <c r="H347" s="12"/>
      <c r="I347" s="74"/>
      <c r="J347" s="51"/>
    </row>
    <row r="348" ht="13.5" customHeight="1">
      <c r="E348" s="51"/>
      <c r="F348" s="12"/>
      <c r="G348" s="12"/>
      <c r="H348" s="12"/>
      <c r="I348" s="74"/>
      <c r="J348" s="51"/>
    </row>
    <row r="349" ht="13.5" customHeight="1">
      <c r="E349" s="51"/>
      <c r="F349" s="12"/>
      <c r="G349" s="12"/>
      <c r="H349" s="12"/>
      <c r="I349" s="74"/>
      <c r="J349" s="51"/>
    </row>
    <row r="350" ht="13.5" customHeight="1">
      <c r="E350" s="51"/>
      <c r="F350" s="12"/>
      <c r="G350" s="12"/>
      <c r="H350" s="12"/>
      <c r="I350" s="74"/>
      <c r="J350" s="51"/>
    </row>
    <row r="351" ht="13.5" customHeight="1">
      <c r="E351" s="51"/>
      <c r="F351" s="12"/>
      <c r="G351" s="12"/>
      <c r="H351" s="12"/>
      <c r="I351" s="74"/>
      <c r="J351" s="51"/>
    </row>
    <row r="352" ht="13.5" customHeight="1">
      <c r="E352" s="51"/>
      <c r="F352" s="12"/>
      <c r="G352" s="12"/>
      <c r="H352" s="12"/>
      <c r="I352" s="74"/>
      <c r="J352" s="51"/>
    </row>
    <row r="353" ht="13.5" customHeight="1">
      <c r="E353" s="51"/>
      <c r="F353" s="12"/>
      <c r="G353" s="12"/>
      <c r="H353" s="12"/>
      <c r="I353" s="74"/>
      <c r="J353" s="51"/>
    </row>
    <row r="354" ht="13.5" customHeight="1">
      <c r="E354" s="51"/>
      <c r="F354" s="12"/>
      <c r="G354" s="12"/>
      <c r="H354" s="12"/>
      <c r="I354" s="74"/>
      <c r="J354" s="51"/>
    </row>
    <row r="355" ht="13.5" customHeight="1">
      <c r="E355" s="51"/>
      <c r="F355" s="12"/>
      <c r="G355" s="12"/>
      <c r="H355" s="12"/>
      <c r="I355" s="74"/>
      <c r="J355" s="51"/>
    </row>
    <row r="356" ht="13.5" customHeight="1">
      <c r="E356" s="51"/>
      <c r="F356" s="12"/>
      <c r="G356" s="12"/>
      <c r="H356" s="12"/>
      <c r="I356" s="74"/>
      <c r="J356" s="51"/>
    </row>
    <row r="357" ht="13.5" customHeight="1">
      <c r="E357" s="51"/>
      <c r="F357" s="12"/>
      <c r="G357" s="12"/>
      <c r="H357" s="12"/>
      <c r="I357" s="74"/>
      <c r="J357" s="51"/>
    </row>
    <row r="358" ht="13.5" customHeight="1">
      <c r="E358" s="51"/>
      <c r="F358" s="12"/>
      <c r="G358" s="12"/>
      <c r="H358" s="12"/>
      <c r="I358" s="74"/>
      <c r="J358" s="51"/>
    </row>
    <row r="359" ht="13.5" customHeight="1">
      <c r="E359" s="51"/>
      <c r="F359" s="12"/>
      <c r="G359" s="12"/>
      <c r="H359" s="12"/>
      <c r="I359" s="74"/>
      <c r="J359" s="51"/>
    </row>
    <row r="360" ht="13.5" customHeight="1">
      <c r="E360" s="51"/>
      <c r="F360" s="12"/>
      <c r="G360" s="12"/>
      <c r="H360" s="12"/>
      <c r="I360" s="74"/>
      <c r="J360" s="51"/>
    </row>
    <row r="361" ht="13.5" customHeight="1">
      <c r="E361" s="51"/>
      <c r="F361" s="12"/>
      <c r="G361" s="12"/>
      <c r="H361" s="12"/>
      <c r="I361" s="74"/>
      <c r="J361" s="51"/>
    </row>
    <row r="362" ht="13.5" customHeight="1">
      <c r="E362" s="51"/>
      <c r="F362" s="12"/>
      <c r="G362" s="12"/>
      <c r="H362" s="12"/>
      <c r="I362" s="74"/>
      <c r="J362" s="51"/>
    </row>
    <row r="363" ht="13.5" customHeight="1">
      <c r="E363" s="51"/>
      <c r="F363" s="12"/>
      <c r="G363" s="12"/>
      <c r="H363" s="12"/>
      <c r="I363" s="74"/>
      <c r="J363" s="51"/>
    </row>
    <row r="364" ht="13.5" customHeight="1">
      <c r="E364" s="51"/>
      <c r="F364" s="12"/>
      <c r="G364" s="12"/>
      <c r="H364" s="12"/>
      <c r="I364" s="74"/>
      <c r="J364" s="51"/>
    </row>
    <row r="365" ht="13.5" customHeight="1">
      <c r="E365" s="51"/>
      <c r="F365" s="12"/>
      <c r="G365" s="12"/>
      <c r="H365" s="12"/>
      <c r="I365" s="74"/>
      <c r="J365" s="51"/>
    </row>
    <row r="366" ht="13.5" customHeight="1">
      <c r="E366" s="51"/>
      <c r="F366" s="12"/>
      <c r="G366" s="12"/>
      <c r="H366" s="12"/>
      <c r="I366" s="74"/>
      <c r="J366" s="51"/>
    </row>
    <row r="367" ht="13.5" customHeight="1">
      <c r="E367" s="51"/>
      <c r="F367" s="12"/>
      <c r="G367" s="12"/>
      <c r="H367" s="12"/>
      <c r="I367" s="74"/>
      <c r="J367" s="51"/>
    </row>
    <row r="368" ht="13.5" customHeight="1">
      <c r="E368" s="51"/>
      <c r="F368" s="12"/>
      <c r="G368" s="12"/>
      <c r="H368" s="12"/>
      <c r="I368" s="74"/>
      <c r="J368" s="51"/>
    </row>
    <row r="369" ht="13.5" customHeight="1">
      <c r="E369" s="51"/>
      <c r="F369" s="12"/>
      <c r="G369" s="12"/>
      <c r="H369" s="12"/>
      <c r="I369" s="74"/>
      <c r="J369" s="51"/>
    </row>
    <row r="370" ht="13.5" customHeight="1">
      <c r="E370" s="51"/>
      <c r="F370" s="12"/>
      <c r="G370" s="12"/>
      <c r="H370" s="12"/>
      <c r="I370" s="74"/>
      <c r="J370" s="51"/>
    </row>
    <row r="371" ht="13.5" customHeight="1">
      <c r="E371" s="51"/>
      <c r="F371" s="12"/>
      <c r="G371" s="12"/>
      <c r="H371" s="12"/>
      <c r="I371" s="74"/>
      <c r="J371" s="51"/>
    </row>
    <row r="372" ht="13.5" customHeight="1">
      <c r="E372" s="51"/>
      <c r="F372" s="12"/>
      <c r="G372" s="12"/>
      <c r="H372" s="12"/>
      <c r="I372" s="74"/>
      <c r="J372" s="51"/>
    </row>
    <row r="373" ht="13.5" customHeight="1">
      <c r="E373" s="51"/>
      <c r="F373" s="12"/>
      <c r="G373" s="12"/>
      <c r="H373" s="12"/>
      <c r="I373" s="74"/>
      <c r="J373" s="51"/>
    </row>
    <row r="374" ht="13.5" customHeight="1">
      <c r="E374" s="51"/>
      <c r="F374" s="12"/>
      <c r="G374" s="12"/>
      <c r="H374" s="12"/>
      <c r="I374" s="74"/>
      <c r="J374" s="51"/>
    </row>
    <row r="375" ht="13.5" customHeight="1">
      <c r="E375" s="51"/>
      <c r="F375" s="12"/>
      <c r="G375" s="12"/>
      <c r="H375" s="12"/>
      <c r="I375" s="74"/>
      <c r="J375" s="51"/>
    </row>
    <row r="376" ht="13.5" customHeight="1">
      <c r="E376" s="51"/>
      <c r="F376" s="12"/>
      <c r="G376" s="12"/>
      <c r="H376" s="12"/>
      <c r="I376" s="74"/>
      <c r="J376" s="51"/>
    </row>
    <row r="377" ht="13.5" customHeight="1">
      <c r="E377" s="51"/>
      <c r="F377" s="12"/>
      <c r="G377" s="12"/>
      <c r="H377" s="12"/>
      <c r="I377" s="74"/>
      <c r="J377" s="51"/>
    </row>
    <row r="378" ht="13.5" customHeight="1">
      <c r="E378" s="51"/>
      <c r="F378" s="12"/>
      <c r="G378" s="12"/>
      <c r="H378" s="12"/>
      <c r="I378" s="74"/>
      <c r="J378" s="51"/>
    </row>
    <row r="379" ht="13.5" customHeight="1">
      <c r="E379" s="51"/>
      <c r="F379" s="12"/>
      <c r="G379" s="12"/>
      <c r="H379" s="12"/>
      <c r="I379" s="74"/>
      <c r="J379" s="51"/>
    </row>
    <row r="380" ht="13.5" customHeight="1">
      <c r="E380" s="51"/>
      <c r="F380" s="12"/>
      <c r="G380" s="12"/>
      <c r="H380" s="12"/>
      <c r="I380" s="74"/>
      <c r="J380" s="51"/>
    </row>
    <row r="381" ht="13.5" customHeight="1">
      <c r="E381" s="51"/>
      <c r="F381" s="12"/>
      <c r="G381" s="12"/>
      <c r="H381" s="12"/>
      <c r="I381" s="74"/>
      <c r="J381" s="51"/>
    </row>
    <row r="382" ht="13.5" customHeight="1">
      <c r="E382" s="51"/>
      <c r="F382" s="12"/>
      <c r="G382" s="12"/>
      <c r="H382" s="12"/>
      <c r="I382" s="74"/>
      <c r="J382" s="51"/>
    </row>
    <row r="383" ht="13.5" customHeight="1">
      <c r="E383" s="51"/>
      <c r="F383" s="12"/>
      <c r="G383" s="12"/>
      <c r="H383" s="12"/>
      <c r="I383" s="74"/>
      <c r="J383" s="51"/>
    </row>
    <row r="384" ht="13.5" customHeight="1">
      <c r="E384" s="51"/>
      <c r="F384" s="12"/>
      <c r="G384" s="12"/>
      <c r="H384" s="12"/>
      <c r="I384" s="74"/>
      <c r="J384" s="51"/>
    </row>
    <row r="385" ht="13.5" customHeight="1">
      <c r="E385" s="51"/>
      <c r="F385" s="12"/>
      <c r="G385" s="12"/>
      <c r="H385" s="12"/>
      <c r="I385" s="74"/>
      <c r="J385" s="51"/>
    </row>
    <row r="386" ht="13.5" customHeight="1">
      <c r="E386" s="51"/>
      <c r="F386" s="12"/>
      <c r="G386" s="12"/>
      <c r="H386" s="12"/>
      <c r="I386" s="74"/>
      <c r="J386" s="51"/>
    </row>
    <row r="387" ht="13.5" customHeight="1">
      <c r="E387" s="51"/>
      <c r="F387" s="12"/>
      <c r="G387" s="12"/>
      <c r="H387" s="12"/>
      <c r="I387" s="74"/>
      <c r="J387" s="51"/>
    </row>
    <row r="388" ht="13.5" customHeight="1">
      <c r="E388" s="51"/>
      <c r="F388" s="12"/>
      <c r="G388" s="12"/>
      <c r="H388" s="12"/>
      <c r="I388" s="74"/>
      <c r="J388" s="51"/>
    </row>
    <row r="389" ht="13.5" customHeight="1">
      <c r="E389" s="51"/>
      <c r="F389" s="12"/>
      <c r="G389" s="12"/>
      <c r="H389" s="12"/>
      <c r="I389" s="74"/>
      <c r="J389" s="51"/>
    </row>
    <row r="390" ht="13.5" customHeight="1">
      <c r="E390" s="51"/>
      <c r="F390" s="12"/>
      <c r="G390" s="12"/>
      <c r="H390" s="12"/>
      <c r="I390" s="74"/>
      <c r="J390" s="51"/>
    </row>
    <row r="391" ht="13.5" customHeight="1">
      <c r="E391" s="51"/>
      <c r="F391" s="12"/>
      <c r="G391" s="12"/>
      <c r="H391" s="12"/>
      <c r="I391" s="74"/>
      <c r="J391" s="51"/>
    </row>
    <row r="392" ht="13.5" customHeight="1">
      <c r="E392" s="51"/>
      <c r="F392" s="12"/>
      <c r="G392" s="12"/>
      <c r="H392" s="12"/>
      <c r="I392" s="74"/>
      <c r="J392" s="51"/>
    </row>
    <row r="393" ht="13.5" customHeight="1">
      <c r="E393" s="51"/>
      <c r="F393" s="12"/>
      <c r="G393" s="12"/>
      <c r="H393" s="12"/>
      <c r="I393" s="74"/>
      <c r="J393" s="51"/>
    </row>
    <row r="394" ht="13.5" customHeight="1">
      <c r="E394" s="51"/>
      <c r="F394" s="12"/>
      <c r="G394" s="12"/>
      <c r="H394" s="12"/>
      <c r="I394" s="74"/>
      <c r="J394" s="51"/>
    </row>
    <row r="395" ht="13.5" customHeight="1">
      <c r="E395" s="51"/>
      <c r="F395" s="12"/>
      <c r="G395" s="12"/>
      <c r="H395" s="12"/>
      <c r="I395" s="74"/>
      <c r="J395" s="51"/>
    </row>
    <row r="396" ht="13.5" customHeight="1">
      <c r="E396" s="51"/>
      <c r="F396" s="12"/>
      <c r="G396" s="12"/>
      <c r="H396" s="12"/>
      <c r="I396" s="74"/>
      <c r="J396" s="51"/>
    </row>
    <row r="397" ht="13.5" customHeight="1">
      <c r="E397" s="51"/>
      <c r="F397" s="12"/>
      <c r="G397" s="12"/>
      <c r="H397" s="12"/>
      <c r="I397" s="74"/>
      <c r="J397" s="51"/>
    </row>
    <row r="398" ht="13.5" customHeight="1">
      <c r="E398" s="51"/>
      <c r="F398" s="12"/>
      <c r="G398" s="12"/>
      <c r="H398" s="12"/>
      <c r="I398" s="74"/>
      <c r="J398" s="51"/>
    </row>
    <row r="399" ht="13.5" customHeight="1">
      <c r="E399" s="51"/>
      <c r="F399" s="12"/>
      <c r="G399" s="12"/>
      <c r="H399" s="12"/>
      <c r="I399" s="74"/>
      <c r="J399" s="51"/>
    </row>
    <row r="400" ht="13.5" customHeight="1">
      <c r="E400" s="51"/>
      <c r="F400" s="12"/>
      <c r="G400" s="12"/>
      <c r="H400" s="12"/>
      <c r="I400" s="74"/>
      <c r="J400" s="51"/>
    </row>
    <row r="401" ht="13.5" customHeight="1">
      <c r="E401" s="51"/>
      <c r="F401" s="12"/>
      <c r="G401" s="12"/>
      <c r="H401" s="12"/>
      <c r="I401" s="74"/>
      <c r="J401" s="51"/>
    </row>
    <row r="402" ht="13.5" customHeight="1">
      <c r="E402" s="51"/>
      <c r="F402" s="12"/>
      <c r="G402" s="12"/>
      <c r="H402" s="12"/>
      <c r="I402" s="74"/>
      <c r="J402" s="51"/>
    </row>
    <row r="403" ht="13.5" customHeight="1">
      <c r="E403" s="51"/>
      <c r="F403" s="12"/>
      <c r="G403" s="12"/>
      <c r="H403" s="12"/>
      <c r="I403" s="74"/>
      <c r="J403" s="51"/>
    </row>
    <row r="404" ht="13.5" customHeight="1">
      <c r="E404" s="51"/>
      <c r="F404" s="12"/>
      <c r="G404" s="12"/>
      <c r="H404" s="12"/>
      <c r="I404" s="74"/>
      <c r="J404" s="51"/>
    </row>
    <row r="405" ht="13.5" customHeight="1">
      <c r="E405" s="51"/>
      <c r="F405" s="12"/>
      <c r="G405" s="12"/>
      <c r="H405" s="12"/>
      <c r="I405" s="74"/>
      <c r="J405" s="51"/>
    </row>
    <row r="406" ht="13.5" customHeight="1">
      <c r="E406" s="51"/>
      <c r="F406" s="12"/>
      <c r="G406" s="12"/>
      <c r="H406" s="12"/>
      <c r="I406" s="74"/>
      <c r="J406" s="51"/>
    </row>
    <row r="407" ht="13.5" customHeight="1">
      <c r="E407" s="51"/>
      <c r="F407" s="12"/>
      <c r="G407" s="12"/>
      <c r="H407" s="12"/>
      <c r="I407" s="74"/>
      <c r="J407" s="51"/>
    </row>
    <row r="408" ht="13.5" customHeight="1">
      <c r="E408" s="51"/>
      <c r="F408" s="12"/>
      <c r="G408" s="12"/>
      <c r="H408" s="12"/>
      <c r="I408" s="74"/>
      <c r="J408" s="51"/>
    </row>
    <row r="409" ht="13.5" customHeight="1">
      <c r="E409" s="51"/>
      <c r="F409" s="12"/>
      <c r="G409" s="12"/>
      <c r="H409" s="12"/>
      <c r="I409" s="74"/>
      <c r="J409" s="51"/>
    </row>
    <row r="410" ht="13.5" customHeight="1">
      <c r="E410" s="51"/>
      <c r="F410" s="12"/>
      <c r="G410" s="12"/>
      <c r="H410" s="12"/>
      <c r="I410" s="74"/>
      <c r="J410" s="51"/>
    </row>
    <row r="411" ht="13.5" customHeight="1">
      <c r="E411" s="51"/>
      <c r="F411" s="12"/>
      <c r="G411" s="12"/>
      <c r="H411" s="12"/>
      <c r="I411" s="74"/>
      <c r="J411" s="51"/>
    </row>
    <row r="412" ht="13.5" customHeight="1">
      <c r="E412" s="51"/>
      <c r="F412" s="12"/>
      <c r="G412" s="12"/>
      <c r="H412" s="12"/>
      <c r="I412" s="74"/>
      <c r="J412" s="51"/>
    </row>
    <row r="413" ht="13.5" customHeight="1">
      <c r="E413" s="51"/>
      <c r="F413" s="12"/>
      <c r="G413" s="12"/>
      <c r="H413" s="12"/>
      <c r="I413" s="74"/>
      <c r="J413" s="51"/>
    </row>
    <row r="414" ht="13.5" customHeight="1">
      <c r="E414" s="51"/>
      <c r="F414" s="12"/>
      <c r="G414" s="12"/>
      <c r="H414" s="12"/>
      <c r="I414" s="74"/>
      <c r="J414" s="51"/>
    </row>
    <row r="415" ht="13.5" customHeight="1">
      <c r="E415" s="51"/>
      <c r="F415" s="12"/>
      <c r="G415" s="12"/>
      <c r="H415" s="12"/>
      <c r="I415" s="74"/>
      <c r="J415" s="51"/>
    </row>
    <row r="416" ht="13.5" customHeight="1">
      <c r="E416" s="51"/>
      <c r="F416" s="12"/>
      <c r="G416" s="12"/>
      <c r="H416" s="12"/>
      <c r="I416" s="74"/>
      <c r="J416" s="51"/>
    </row>
    <row r="417" ht="13.5" customHeight="1">
      <c r="E417" s="51"/>
      <c r="F417" s="12"/>
      <c r="G417" s="12"/>
      <c r="H417" s="12"/>
      <c r="I417" s="74"/>
      <c r="J417" s="51"/>
    </row>
    <row r="418" ht="13.5" customHeight="1">
      <c r="E418" s="51"/>
      <c r="F418" s="12"/>
      <c r="G418" s="12"/>
      <c r="H418" s="12"/>
      <c r="I418" s="74"/>
      <c r="J418" s="51"/>
    </row>
    <row r="419" ht="13.5" customHeight="1">
      <c r="E419" s="51"/>
      <c r="F419" s="12"/>
      <c r="G419" s="12"/>
      <c r="H419" s="12"/>
      <c r="I419" s="74"/>
      <c r="J419" s="51"/>
    </row>
    <row r="420" ht="13.5" customHeight="1">
      <c r="E420" s="51"/>
      <c r="F420" s="12"/>
      <c r="G420" s="12"/>
      <c r="H420" s="12"/>
      <c r="I420" s="74"/>
      <c r="J420" s="51"/>
    </row>
    <row r="421" ht="13.5" customHeight="1">
      <c r="E421" s="51"/>
      <c r="F421" s="12"/>
      <c r="G421" s="12"/>
      <c r="H421" s="12"/>
      <c r="I421" s="74"/>
      <c r="J421" s="51"/>
    </row>
    <row r="422" ht="13.5" customHeight="1">
      <c r="E422" s="51"/>
      <c r="F422" s="12"/>
      <c r="G422" s="12"/>
      <c r="H422" s="12"/>
      <c r="I422" s="74"/>
      <c r="J422" s="51"/>
    </row>
    <row r="423" ht="13.5" customHeight="1">
      <c r="E423" s="51"/>
      <c r="F423" s="12"/>
      <c r="G423" s="12"/>
      <c r="H423" s="12"/>
      <c r="I423" s="74"/>
      <c r="J423" s="51"/>
    </row>
    <row r="424" ht="13.5" customHeight="1">
      <c r="E424" s="51"/>
      <c r="F424" s="12"/>
      <c r="G424" s="12"/>
      <c r="H424" s="12"/>
      <c r="I424" s="74"/>
      <c r="J424" s="51"/>
    </row>
    <row r="425" ht="13.5" customHeight="1">
      <c r="E425" s="51"/>
      <c r="F425" s="12"/>
      <c r="G425" s="12"/>
      <c r="H425" s="12"/>
      <c r="I425" s="74"/>
      <c r="J425" s="51"/>
    </row>
    <row r="426" ht="13.5" customHeight="1">
      <c r="E426" s="51"/>
      <c r="F426" s="12"/>
      <c r="G426" s="12"/>
      <c r="H426" s="12"/>
      <c r="I426" s="74"/>
      <c r="J426" s="51"/>
    </row>
    <row r="427" ht="13.5" customHeight="1">
      <c r="E427" s="51"/>
      <c r="F427" s="12"/>
      <c r="G427" s="12"/>
      <c r="H427" s="12"/>
      <c r="I427" s="74"/>
      <c r="J427" s="51"/>
    </row>
    <row r="428" ht="13.5" customHeight="1">
      <c r="E428" s="51"/>
      <c r="F428" s="12"/>
      <c r="G428" s="12"/>
      <c r="H428" s="12"/>
      <c r="I428" s="74"/>
      <c r="J428" s="51"/>
    </row>
    <row r="429" ht="13.5" customHeight="1">
      <c r="E429" s="51"/>
      <c r="F429" s="12"/>
      <c r="G429" s="12"/>
      <c r="H429" s="12"/>
      <c r="I429" s="74"/>
      <c r="J429" s="51"/>
    </row>
    <row r="430" ht="13.5" customHeight="1">
      <c r="E430" s="51"/>
      <c r="F430" s="12"/>
      <c r="G430" s="12"/>
      <c r="H430" s="12"/>
      <c r="I430" s="74"/>
      <c r="J430" s="51"/>
    </row>
    <row r="431" ht="13.5" customHeight="1">
      <c r="E431" s="51"/>
      <c r="F431" s="12"/>
      <c r="G431" s="12"/>
      <c r="H431" s="12"/>
      <c r="I431" s="74"/>
      <c r="J431" s="51"/>
    </row>
    <row r="432" ht="13.5" customHeight="1">
      <c r="E432" s="51"/>
      <c r="F432" s="12"/>
      <c r="G432" s="12"/>
      <c r="H432" s="12"/>
      <c r="I432" s="74"/>
      <c r="J432" s="51"/>
    </row>
    <row r="433" ht="13.5" customHeight="1">
      <c r="E433" s="51"/>
      <c r="F433" s="12"/>
      <c r="G433" s="12"/>
      <c r="H433" s="12"/>
      <c r="I433" s="74"/>
      <c r="J433" s="51"/>
    </row>
    <row r="434" ht="13.5" customHeight="1">
      <c r="E434" s="51"/>
      <c r="F434" s="12"/>
      <c r="G434" s="12"/>
      <c r="H434" s="12"/>
      <c r="I434" s="74"/>
      <c r="J434" s="51"/>
    </row>
    <row r="435" ht="13.5" customHeight="1">
      <c r="E435" s="51"/>
      <c r="F435" s="12"/>
      <c r="G435" s="12"/>
      <c r="H435" s="12"/>
      <c r="I435" s="74"/>
      <c r="J435" s="51"/>
    </row>
    <row r="436" ht="13.5" customHeight="1">
      <c r="E436" s="51"/>
      <c r="F436" s="12"/>
      <c r="G436" s="12"/>
      <c r="H436" s="12"/>
      <c r="I436" s="74"/>
      <c r="J436" s="51"/>
    </row>
    <row r="437" ht="13.5" customHeight="1">
      <c r="E437" s="51"/>
      <c r="F437" s="12"/>
      <c r="G437" s="12"/>
      <c r="H437" s="12"/>
      <c r="I437" s="74"/>
      <c r="J437" s="51"/>
    </row>
    <row r="438" ht="13.5" customHeight="1">
      <c r="E438" s="51"/>
      <c r="F438" s="12"/>
      <c r="G438" s="12"/>
      <c r="H438" s="12"/>
      <c r="I438" s="74"/>
      <c r="J438" s="51"/>
    </row>
    <row r="439" ht="13.5" customHeight="1">
      <c r="E439" s="51"/>
      <c r="F439" s="12"/>
      <c r="G439" s="12"/>
      <c r="H439" s="12"/>
      <c r="I439" s="74"/>
      <c r="J439" s="51"/>
    </row>
    <row r="440" ht="13.5" customHeight="1">
      <c r="E440" s="51"/>
      <c r="F440" s="12"/>
      <c r="G440" s="12"/>
      <c r="H440" s="12"/>
      <c r="I440" s="74"/>
      <c r="J440" s="51"/>
    </row>
    <row r="441" ht="13.5" customHeight="1">
      <c r="E441" s="51"/>
      <c r="F441" s="12"/>
      <c r="G441" s="12"/>
      <c r="H441" s="12"/>
      <c r="I441" s="74"/>
      <c r="J441" s="51"/>
    </row>
    <row r="442" ht="13.5" customHeight="1">
      <c r="E442" s="51"/>
      <c r="F442" s="12"/>
      <c r="G442" s="12"/>
      <c r="H442" s="12"/>
      <c r="I442" s="74"/>
      <c r="J442" s="51"/>
    </row>
    <row r="443" ht="13.5" customHeight="1">
      <c r="E443" s="51"/>
      <c r="F443" s="12"/>
      <c r="G443" s="12"/>
      <c r="H443" s="12"/>
      <c r="I443" s="74"/>
      <c r="J443" s="51"/>
    </row>
    <row r="444" ht="13.5" customHeight="1">
      <c r="E444" s="51"/>
      <c r="F444" s="12"/>
      <c r="G444" s="12"/>
      <c r="H444" s="12"/>
      <c r="I444" s="74"/>
      <c r="J444" s="51"/>
    </row>
    <row r="445" ht="13.5" customHeight="1">
      <c r="E445" s="51"/>
      <c r="F445" s="12"/>
      <c r="G445" s="12"/>
      <c r="H445" s="12"/>
      <c r="I445" s="74"/>
      <c r="J445" s="51"/>
    </row>
    <row r="446" ht="13.5" customHeight="1">
      <c r="E446" s="51"/>
      <c r="F446" s="12"/>
      <c r="G446" s="12"/>
      <c r="H446" s="12"/>
      <c r="I446" s="74"/>
      <c r="J446" s="51"/>
    </row>
    <row r="447" ht="13.5" customHeight="1">
      <c r="E447" s="51"/>
      <c r="F447" s="12"/>
      <c r="G447" s="12"/>
      <c r="H447" s="12"/>
      <c r="I447" s="74"/>
      <c r="J447" s="51"/>
    </row>
    <row r="448" ht="13.5" customHeight="1">
      <c r="E448" s="51"/>
      <c r="F448" s="12"/>
      <c r="G448" s="12"/>
      <c r="H448" s="12"/>
      <c r="I448" s="74"/>
      <c r="J448" s="51"/>
    </row>
    <row r="449" ht="13.5" customHeight="1">
      <c r="E449" s="51"/>
      <c r="F449" s="12"/>
      <c r="G449" s="12"/>
      <c r="H449" s="12"/>
      <c r="I449" s="74"/>
      <c r="J449" s="51"/>
    </row>
    <row r="450" ht="13.5" customHeight="1">
      <c r="E450" s="51"/>
      <c r="F450" s="12"/>
      <c r="G450" s="12"/>
      <c r="H450" s="12"/>
      <c r="I450" s="74"/>
      <c r="J450" s="51"/>
    </row>
    <row r="451" ht="13.5" customHeight="1">
      <c r="E451" s="51"/>
      <c r="F451" s="12"/>
      <c r="G451" s="12"/>
      <c r="H451" s="12"/>
      <c r="I451" s="74"/>
      <c r="J451" s="51"/>
    </row>
    <row r="452" ht="13.5" customHeight="1">
      <c r="E452" s="51"/>
      <c r="F452" s="12"/>
      <c r="G452" s="12"/>
      <c r="H452" s="12"/>
      <c r="I452" s="74"/>
      <c r="J452" s="51"/>
    </row>
    <row r="453" ht="13.5" customHeight="1">
      <c r="E453" s="51"/>
      <c r="F453" s="12"/>
      <c r="G453" s="12"/>
      <c r="H453" s="12"/>
      <c r="I453" s="74"/>
      <c r="J453" s="51"/>
    </row>
    <row r="454" ht="13.5" customHeight="1">
      <c r="E454" s="51"/>
      <c r="F454" s="12"/>
      <c r="G454" s="12"/>
      <c r="H454" s="12"/>
      <c r="I454" s="74"/>
      <c r="J454" s="51"/>
    </row>
    <row r="455" ht="13.5" customHeight="1">
      <c r="E455" s="51"/>
      <c r="F455" s="12"/>
      <c r="G455" s="12"/>
      <c r="H455" s="12"/>
      <c r="I455" s="74"/>
      <c r="J455" s="51"/>
    </row>
    <row r="456" ht="13.5" customHeight="1">
      <c r="E456" s="51"/>
      <c r="F456" s="12"/>
      <c r="G456" s="12"/>
      <c r="H456" s="12"/>
      <c r="I456" s="74"/>
      <c r="J456" s="51"/>
    </row>
    <row r="457" ht="13.5" customHeight="1">
      <c r="E457" s="51"/>
      <c r="F457" s="12"/>
      <c r="G457" s="12"/>
      <c r="H457" s="12"/>
      <c r="I457" s="74"/>
      <c r="J457" s="51"/>
    </row>
    <row r="458" ht="13.5" customHeight="1">
      <c r="E458" s="51"/>
      <c r="F458" s="12"/>
      <c r="G458" s="12"/>
      <c r="H458" s="12"/>
      <c r="I458" s="74"/>
      <c r="J458" s="51"/>
    </row>
    <row r="459" ht="13.5" customHeight="1">
      <c r="E459" s="51"/>
      <c r="F459" s="12"/>
      <c r="G459" s="12"/>
      <c r="H459" s="12"/>
      <c r="I459" s="74"/>
      <c r="J459" s="51"/>
    </row>
    <row r="460" ht="13.5" customHeight="1">
      <c r="E460" s="51"/>
      <c r="F460" s="12"/>
      <c r="G460" s="12"/>
      <c r="H460" s="12"/>
      <c r="I460" s="74"/>
      <c r="J460" s="51"/>
    </row>
    <row r="461" ht="13.5" customHeight="1">
      <c r="E461" s="51"/>
      <c r="F461" s="12"/>
      <c r="G461" s="12"/>
      <c r="H461" s="12"/>
      <c r="I461" s="74"/>
      <c r="J461" s="51"/>
    </row>
    <row r="462" ht="13.5" customHeight="1">
      <c r="E462" s="51"/>
      <c r="F462" s="12"/>
      <c r="G462" s="12"/>
      <c r="H462" s="12"/>
      <c r="I462" s="74"/>
      <c r="J462" s="51"/>
    </row>
    <row r="463" ht="13.5" customHeight="1">
      <c r="E463" s="51"/>
      <c r="F463" s="12"/>
      <c r="G463" s="12"/>
      <c r="H463" s="12"/>
      <c r="I463" s="74"/>
      <c r="J463" s="51"/>
    </row>
    <row r="464" ht="13.5" customHeight="1">
      <c r="E464" s="51"/>
      <c r="F464" s="12"/>
      <c r="G464" s="12"/>
      <c r="H464" s="12"/>
      <c r="I464" s="74"/>
      <c r="J464" s="51"/>
    </row>
    <row r="465" ht="13.5" customHeight="1">
      <c r="E465" s="51"/>
      <c r="F465" s="12"/>
      <c r="G465" s="12"/>
      <c r="H465" s="12"/>
      <c r="I465" s="74"/>
      <c r="J465" s="51"/>
    </row>
    <row r="466" ht="13.5" customHeight="1">
      <c r="E466" s="51"/>
      <c r="F466" s="12"/>
      <c r="G466" s="12"/>
      <c r="H466" s="12"/>
      <c r="I466" s="74"/>
      <c r="J466" s="51"/>
    </row>
    <row r="467" ht="13.5" customHeight="1">
      <c r="E467" s="51"/>
      <c r="F467" s="12"/>
      <c r="G467" s="12"/>
      <c r="H467" s="12"/>
      <c r="I467" s="74"/>
      <c r="J467" s="51"/>
    </row>
    <row r="468" ht="13.5" customHeight="1">
      <c r="E468" s="51"/>
      <c r="F468" s="12"/>
      <c r="G468" s="12"/>
      <c r="H468" s="12"/>
      <c r="I468" s="74"/>
      <c r="J468" s="51"/>
    </row>
    <row r="469" ht="13.5" customHeight="1">
      <c r="E469" s="51"/>
      <c r="F469" s="12"/>
      <c r="G469" s="12"/>
      <c r="H469" s="12"/>
      <c r="I469" s="74"/>
      <c r="J469" s="51"/>
    </row>
    <row r="470" ht="13.5" customHeight="1">
      <c r="E470" s="51"/>
      <c r="F470" s="12"/>
      <c r="G470" s="12"/>
      <c r="H470" s="12"/>
      <c r="I470" s="74"/>
      <c r="J470" s="51"/>
    </row>
    <row r="471" ht="13.5" customHeight="1">
      <c r="E471" s="51"/>
      <c r="F471" s="12"/>
      <c r="G471" s="12"/>
      <c r="H471" s="12"/>
      <c r="I471" s="74"/>
      <c r="J471" s="51"/>
    </row>
    <row r="472" ht="13.5" customHeight="1">
      <c r="E472" s="51"/>
      <c r="F472" s="12"/>
      <c r="G472" s="12"/>
      <c r="H472" s="12"/>
      <c r="I472" s="74"/>
      <c r="J472" s="51"/>
    </row>
    <row r="473" ht="13.5" customHeight="1">
      <c r="E473" s="51"/>
      <c r="F473" s="12"/>
      <c r="G473" s="12"/>
      <c r="H473" s="12"/>
      <c r="I473" s="74"/>
      <c r="J473" s="51"/>
    </row>
    <row r="474" ht="13.5" customHeight="1">
      <c r="E474" s="51"/>
      <c r="F474" s="12"/>
      <c r="G474" s="12"/>
      <c r="H474" s="12"/>
      <c r="I474" s="74"/>
      <c r="J474" s="51"/>
    </row>
    <row r="475" ht="13.5" customHeight="1">
      <c r="E475" s="51"/>
      <c r="F475" s="12"/>
      <c r="G475" s="12"/>
      <c r="H475" s="12"/>
      <c r="I475" s="74"/>
      <c r="J475" s="51"/>
    </row>
    <row r="476" ht="13.5" customHeight="1">
      <c r="E476" s="51"/>
      <c r="F476" s="12"/>
      <c r="G476" s="12"/>
      <c r="H476" s="12"/>
      <c r="I476" s="74"/>
      <c r="J476" s="51"/>
    </row>
    <row r="477" ht="13.5" customHeight="1">
      <c r="E477" s="51"/>
      <c r="F477" s="12"/>
      <c r="G477" s="12"/>
      <c r="H477" s="12"/>
      <c r="I477" s="74"/>
      <c r="J477" s="51"/>
    </row>
    <row r="478" ht="13.5" customHeight="1">
      <c r="E478" s="51"/>
      <c r="F478" s="12"/>
      <c r="G478" s="12"/>
      <c r="H478" s="12"/>
      <c r="I478" s="74"/>
      <c r="J478" s="51"/>
    </row>
    <row r="479" ht="13.5" customHeight="1">
      <c r="E479" s="51"/>
      <c r="F479" s="12"/>
      <c r="G479" s="12"/>
      <c r="H479" s="12"/>
      <c r="I479" s="74"/>
      <c r="J479" s="51"/>
    </row>
    <row r="480" ht="13.5" customHeight="1">
      <c r="E480" s="51"/>
      <c r="F480" s="12"/>
      <c r="G480" s="12"/>
      <c r="H480" s="12"/>
      <c r="I480" s="74"/>
      <c r="J480" s="51"/>
    </row>
    <row r="481" ht="13.5" customHeight="1">
      <c r="E481" s="51"/>
      <c r="F481" s="12"/>
      <c r="G481" s="12"/>
      <c r="H481" s="12"/>
      <c r="I481" s="74"/>
      <c r="J481" s="51"/>
    </row>
    <row r="482" ht="13.5" customHeight="1">
      <c r="E482" s="51"/>
      <c r="F482" s="12"/>
      <c r="G482" s="12"/>
      <c r="H482" s="12"/>
      <c r="I482" s="74"/>
      <c r="J482" s="51"/>
    </row>
    <row r="483" ht="13.5" customHeight="1">
      <c r="E483" s="51"/>
      <c r="F483" s="12"/>
      <c r="G483" s="12"/>
      <c r="H483" s="12"/>
      <c r="I483" s="74"/>
      <c r="J483" s="51"/>
    </row>
    <row r="484" ht="13.5" customHeight="1">
      <c r="E484" s="51"/>
      <c r="F484" s="12"/>
      <c r="G484" s="12"/>
      <c r="H484" s="12"/>
      <c r="I484" s="74"/>
      <c r="J484" s="51"/>
    </row>
    <row r="485" ht="13.5" customHeight="1">
      <c r="E485" s="51"/>
      <c r="F485" s="12"/>
      <c r="G485" s="12"/>
      <c r="H485" s="12"/>
      <c r="I485" s="74"/>
      <c r="J485" s="51"/>
    </row>
    <row r="486" ht="13.5" customHeight="1">
      <c r="E486" s="51"/>
      <c r="F486" s="12"/>
      <c r="G486" s="12"/>
      <c r="H486" s="12"/>
      <c r="I486" s="74"/>
      <c r="J486" s="51"/>
    </row>
    <row r="487" ht="13.5" customHeight="1">
      <c r="E487" s="51"/>
      <c r="F487" s="12"/>
      <c r="G487" s="12"/>
      <c r="H487" s="12"/>
      <c r="I487" s="74"/>
      <c r="J487" s="51"/>
    </row>
    <row r="488" ht="13.5" customHeight="1">
      <c r="E488" s="51"/>
      <c r="F488" s="12"/>
      <c r="G488" s="12"/>
      <c r="H488" s="12"/>
      <c r="I488" s="74"/>
      <c r="J488" s="51"/>
    </row>
    <row r="489" ht="13.5" customHeight="1">
      <c r="E489" s="51"/>
      <c r="F489" s="12"/>
      <c r="G489" s="12"/>
      <c r="H489" s="12"/>
      <c r="I489" s="74"/>
      <c r="J489" s="51"/>
    </row>
    <row r="490" ht="13.5" customHeight="1">
      <c r="E490" s="51"/>
      <c r="F490" s="12"/>
      <c r="G490" s="12"/>
      <c r="H490" s="12"/>
      <c r="I490" s="74"/>
      <c r="J490" s="51"/>
    </row>
    <row r="491" ht="13.5" customHeight="1">
      <c r="E491" s="51"/>
      <c r="F491" s="12"/>
      <c r="G491" s="12"/>
      <c r="H491" s="12"/>
      <c r="I491" s="74"/>
      <c r="J491" s="51"/>
    </row>
    <row r="492" ht="13.5" customHeight="1">
      <c r="E492" s="51"/>
      <c r="F492" s="12"/>
      <c r="G492" s="12"/>
      <c r="H492" s="12"/>
      <c r="I492" s="74"/>
      <c r="J492" s="51"/>
    </row>
    <row r="493" ht="13.5" customHeight="1">
      <c r="E493" s="51"/>
      <c r="F493" s="12"/>
      <c r="G493" s="12"/>
      <c r="H493" s="12"/>
      <c r="I493" s="74"/>
      <c r="J493" s="51"/>
    </row>
    <row r="494" ht="13.5" customHeight="1">
      <c r="E494" s="51"/>
      <c r="F494" s="12"/>
      <c r="G494" s="12"/>
      <c r="H494" s="12"/>
      <c r="I494" s="74"/>
      <c r="J494" s="51"/>
    </row>
    <row r="495" ht="13.5" customHeight="1">
      <c r="E495" s="51"/>
      <c r="F495" s="12"/>
      <c r="G495" s="12"/>
      <c r="H495" s="12"/>
      <c r="I495" s="74"/>
      <c r="J495" s="51"/>
    </row>
    <row r="496" ht="13.5" customHeight="1">
      <c r="E496" s="51"/>
      <c r="F496" s="12"/>
      <c r="G496" s="12"/>
      <c r="H496" s="12"/>
      <c r="I496" s="74"/>
      <c r="J496" s="51"/>
    </row>
    <row r="497" ht="13.5" customHeight="1">
      <c r="E497" s="51"/>
      <c r="F497" s="12"/>
      <c r="G497" s="12"/>
      <c r="H497" s="12"/>
      <c r="I497" s="74"/>
      <c r="J497" s="51"/>
    </row>
    <row r="498" ht="13.5" customHeight="1">
      <c r="E498" s="51"/>
      <c r="F498" s="12"/>
      <c r="G498" s="12"/>
      <c r="H498" s="12"/>
      <c r="I498" s="74"/>
      <c r="J498" s="51"/>
    </row>
    <row r="499" ht="13.5" customHeight="1">
      <c r="E499" s="51"/>
      <c r="F499" s="12"/>
      <c r="G499" s="12"/>
      <c r="H499" s="12"/>
      <c r="I499" s="74"/>
      <c r="J499" s="51"/>
    </row>
    <row r="500" ht="13.5" customHeight="1">
      <c r="E500" s="51"/>
      <c r="F500" s="12"/>
      <c r="G500" s="12"/>
      <c r="H500" s="12"/>
      <c r="I500" s="74"/>
      <c r="J500" s="51"/>
    </row>
    <row r="501" ht="13.5" customHeight="1">
      <c r="E501" s="51"/>
      <c r="F501" s="12"/>
      <c r="G501" s="12"/>
      <c r="H501" s="12"/>
      <c r="I501" s="74"/>
      <c r="J501" s="51"/>
    </row>
    <row r="502" ht="13.5" customHeight="1">
      <c r="E502" s="51"/>
      <c r="F502" s="12"/>
      <c r="G502" s="12"/>
      <c r="H502" s="12"/>
      <c r="I502" s="74"/>
      <c r="J502" s="51"/>
    </row>
    <row r="503" ht="13.5" customHeight="1">
      <c r="E503" s="51"/>
      <c r="F503" s="12"/>
      <c r="G503" s="12"/>
      <c r="H503" s="12"/>
      <c r="I503" s="74"/>
      <c r="J503" s="51"/>
    </row>
    <row r="504" ht="13.5" customHeight="1">
      <c r="E504" s="51"/>
      <c r="F504" s="12"/>
      <c r="G504" s="12"/>
      <c r="H504" s="12"/>
      <c r="I504" s="74"/>
      <c r="J504" s="51"/>
    </row>
    <row r="505" ht="13.5" customHeight="1">
      <c r="E505" s="51"/>
      <c r="F505" s="12"/>
      <c r="G505" s="12"/>
      <c r="H505" s="12"/>
      <c r="I505" s="74"/>
      <c r="J505" s="51"/>
    </row>
    <row r="506" ht="13.5" customHeight="1">
      <c r="E506" s="51"/>
      <c r="F506" s="12"/>
      <c r="G506" s="12"/>
      <c r="H506" s="12"/>
      <c r="I506" s="74"/>
      <c r="J506" s="51"/>
    </row>
    <row r="507" ht="13.5" customHeight="1">
      <c r="E507" s="51"/>
      <c r="F507" s="12"/>
      <c r="G507" s="12"/>
      <c r="H507" s="12"/>
      <c r="I507" s="74"/>
      <c r="J507" s="51"/>
    </row>
    <row r="508" ht="13.5" customHeight="1">
      <c r="E508" s="51"/>
      <c r="F508" s="12"/>
      <c r="G508" s="12"/>
      <c r="H508" s="12"/>
      <c r="I508" s="74"/>
      <c r="J508" s="51"/>
    </row>
    <row r="509" ht="13.5" customHeight="1">
      <c r="E509" s="51"/>
      <c r="F509" s="12"/>
      <c r="G509" s="12"/>
      <c r="H509" s="12"/>
      <c r="I509" s="74"/>
      <c r="J509" s="51"/>
    </row>
    <row r="510" ht="13.5" customHeight="1">
      <c r="E510" s="51"/>
      <c r="F510" s="12"/>
      <c r="G510" s="12"/>
      <c r="H510" s="12"/>
      <c r="I510" s="74"/>
      <c r="J510" s="51"/>
    </row>
    <row r="511" ht="13.5" customHeight="1">
      <c r="E511" s="51"/>
      <c r="F511" s="12"/>
      <c r="G511" s="12"/>
      <c r="H511" s="12"/>
      <c r="I511" s="74"/>
      <c r="J511" s="51"/>
    </row>
    <row r="512" ht="13.5" customHeight="1">
      <c r="E512" s="51"/>
      <c r="F512" s="12"/>
      <c r="G512" s="12"/>
      <c r="H512" s="12"/>
      <c r="I512" s="74"/>
      <c r="J512" s="51"/>
    </row>
    <row r="513" ht="13.5" customHeight="1">
      <c r="E513" s="51"/>
      <c r="F513" s="12"/>
      <c r="G513" s="12"/>
      <c r="H513" s="12"/>
      <c r="I513" s="74"/>
      <c r="J513" s="51"/>
    </row>
    <row r="514" ht="13.5" customHeight="1">
      <c r="E514" s="51"/>
      <c r="F514" s="12"/>
      <c r="G514" s="12"/>
      <c r="H514" s="12"/>
      <c r="I514" s="74"/>
      <c r="J514" s="51"/>
    </row>
    <row r="515" ht="13.5" customHeight="1">
      <c r="E515" s="51"/>
      <c r="F515" s="12"/>
      <c r="G515" s="12"/>
      <c r="H515" s="12"/>
      <c r="I515" s="74"/>
      <c r="J515" s="51"/>
    </row>
    <row r="516" ht="13.5" customHeight="1">
      <c r="E516" s="51"/>
      <c r="F516" s="12"/>
      <c r="G516" s="12"/>
      <c r="H516" s="12"/>
      <c r="I516" s="74"/>
      <c r="J516" s="51"/>
    </row>
    <row r="517" ht="13.5" customHeight="1">
      <c r="E517" s="51"/>
      <c r="F517" s="12"/>
      <c r="G517" s="12"/>
      <c r="H517" s="12"/>
      <c r="I517" s="74"/>
      <c r="J517" s="51"/>
    </row>
    <row r="518" ht="13.5" customHeight="1">
      <c r="E518" s="51"/>
      <c r="F518" s="12"/>
      <c r="G518" s="12"/>
      <c r="H518" s="12"/>
      <c r="I518" s="74"/>
      <c r="J518" s="51"/>
    </row>
    <row r="519" ht="13.5" customHeight="1">
      <c r="E519" s="51"/>
      <c r="F519" s="12"/>
      <c r="G519" s="12"/>
      <c r="H519" s="12"/>
      <c r="I519" s="74"/>
      <c r="J519" s="51"/>
    </row>
    <row r="520" ht="13.5" customHeight="1">
      <c r="E520" s="51"/>
      <c r="F520" s="12"/>
      <c r="G520" s="12"/>
      <c r="H520" s="12"/>
      <c r="I520" s="74"/>
      <c r="J520" s="51"/>
    </row>
    <row r="521" ht="13.5" customHeight="1">
      <c r="E521" s="51"/>
      <c r="F521" s="12"/>
      <c r="G521" s="12"/>
      <c r="H521" s="12"/>
      <c r="I521" s="74"/>
      <c r="J521" s="51"/>
    </row>
    <row r="522" ht="13.5" customHeight="1">
      <c r="E522" s="51"/>
      <c r="F522" s="12"/>
      <c r="G522" s="12"/>
      <c r="H522" s="12"/>
      <c r="I522" s="74"/>
      <c r="J522" s="51"/>
    </row>
    <row r="523" ht="13.5" customHeight="1">
      <c r="E523" s="51"/>
      <c r="F523" s="12"/>
      <c r="G523" s="12"/>
      <c r="H523" s="12"/>
      <c r="I523" s="74"/>
      <c r="J523" s="51"/>
    </row>
    <row r="524" ht="13.5" customHeight="1">
      <c r="E524" s="51"/>
      <c r="F524" s="12"/>
      <c r="G524" s="12"/>
      <c r="H524" s="12"/>
      <c r="I524" s="74"/>
      <c r="J524" s="51"/>
    </row>
    <row r="525" ht="13.5" customHeight="1">
      <c r="E525" s="51"/>
      <c r="F525" s="12"/>
      <c r="G525" s="12"/>
      <c r="H525" s="12"/>
      <c r="I525" s="74"/>
      <c r="J525" s="51"/>
    </row>
    <row r="526" ht="13.5" customHeight="1">
      <c r="E526" s="51"/>
      <c r="F526" s="12"/>
      <c r="G526" s="12"/>
      <c r="H526" s="12"/>
      <c r="I526" s="74"/>
      <c r="J526" s="51"/>
    </row>
    <row r="527" ht="13.5" customHeight="1">
      <c r="E527" s="51"/>
      <c r="F527" s="12"/>
      <c r="G527" s="12"/>
      <c r="H527" s="12"/>
      <c r="I527" s="74"/>
      <c r="J527" s="51"/>
    </row>
    <row r="528" ht="13.5" customHeight="1">
      <c r="E528" s="51"/>
      <c r="F528" s="12"/>
      <c r="G528" s="12"/>
      <c r="H528" s="12"/>
      <c r="I528" s="74"/>
      <c r="J528" s="51"/>
    </row>
    <row r="529" ht="13.5" customHeight="1">
      <c r="E529" s="51"/>
      <c r="F529" s="12"/>
      <c r="G529" s="12"/>
      <c r="H529" s="12"/>
      <c r="I529" s="74"/>
      <c r="J529" s="51"/>
    </row>
    <row r="530" ht="13.5" customHeight="1">
      <c r="E530" s="51"/>
      <c r="F530" s="12"/>
      <c r="G530" s="12"/>
      <c r="H530" s="12"/>
      <c r="I530" s="74"/>
      <c r="J530" s="51"/>
    </row>
    <row r="531" ht="13.5" customHeight="1">
      <c r="E531" s="51"/>
      <c r="F531" s="12"/>
      <c r="G531" s="12"/>
      <c r="H531" s="12"/>
      <c r="I531" s="74"/>
      <c r="J531" s="51"/>
    </row>
    <row r="532" ht="13.5" customHeight="1">
      <c r="E532" s="51"/>
      <c r="F532" s="12"/>
      <c r="G532" s="12"/>
      <c r="H532" s="12"/>
      <c r="I532" s="74"/>
      <c r="J532" s="51"/>
    </row>
    <row r="533" ht="13.5" customHeight="1">
      <c r="E533" s="51"/>
      <c r="F533" s="12"/>
      <c r="G533" s="12"/>
      <c r="H533" s="12"/>
      <c r="I533" s="74"/>
      <c r="J533" s="51"/>
    </row>
    <row r="534" ht="13.5" customHeight="1">
      <c r="E534" s="51"/>
      <c r="F534" s="12"/>
      <c r="G534" s="12"/>
      <c r="H534" s="12"/>
      <c r="I534" s="74"/>
      <c r="J534" s="51"/>
    </row>
    <row r="535" ht="13.5" customHeight="1">
      <c r="E535" s="51"/>
      <c r="F535" s="12"/>
      <c r="G535" s="12"/>
      <c r="H535" s="12"/>
      <c r="I535" s="74"/>
      <c r="J535" s="51"/>
    </row>
    <row r="536" ht="13.5" customHeight="1">
      <c r="E536" s="51"/>
      <c r="F536" s="12"/>
      <c r="G536" s="12"/>
      <c r="H536" s="12"/>
      <c r="I536" s="74"/>
      <c r="J536" s="51"/>
    </row>
    <row r="537" ht="13.5" customHeight="1">
      <c r="E537" s="51"/>
      <c r="F537" s="12"/>
      <c r="G537" s="12"/>
      <c r="H537" s="12"/>
      <c r="I537" s="74"/>
      <c r="J537" s="51"/>
    </row>
    <row r="538" ht="13.5" customHeight="1">
      <c r="E538" s="51"/>
      <c r="F538" s="12"/>
      <c r="G538" s="12"/>
      <c r="H538" s="12"/>
      <c r="I538" s="74"/>
      <c r="J538" s="51"/>
    </row>
    <row r="539" ht="13.5" customHeight="1">
      <c r="E539" s="51"/>
      <c r="F539" s="12"/>
      <c r="G539" s="12"/>
      <c r="H539" s="12"/>
      <c r="I539" s="74"/>
      <c r="J539" s="51"/>
    </row>
    <row r="540" ht="13.5" customHeight="1">
      <c r="E540" s="51"/>
      <c r="F540" s="12"/>
      <c r="G540" s="12"/>
      <c r="H540" s="12"/>
      <c r="I540" s="74"/>
      <c r="J540" s="51"/>
    </row>
    <row r="541" ht="13.5" customHeight="1">
      <c r="E541" s="51"/>
      <c r="F541" s="12"/>
      <c r="G541" s="12"/>
      <c r="H541" s="12"/>
      <c r="I541" s="74"/>
      <c r="J541" s="51"/>
    </row>
    <row r="542" ht="13.5" customHeight="1">
      <c r="E542" s="51"/>
      <c r="F542" s="12"/>
      <c r="G542" s="12"/>
      <c r="H542" s="12"/>
      <c r="I542" s="74"/>
      <c r="J542" s="51"/>
    </row>
    <row r="543" ht="13.5" customHeight="1">
      <c r="E543" s="51"/>
      <c r="F543" s="12"/>
      <c r="G543" s="12"/>
      <c r="H543" s="12"/>
      <c r="I543" s="74"/>
      <c r="J543" s="51"/>
    </row>
    <row r="544" ht="13.5" customHeight="1">
      <c r="E544" s="51"/>
      <c r="F544" s="12"/>
      <c r="G544" s="12"/>
      <c r="H544" s="12"/>
      <c r="I544" s="74"/>
      <c r="J544" s="51"/>
    </row>
    <row r="545" ht="13.5" customHeight="1">
      <c r="E545" s="51"/>
      <c r="F545" s="12"/>
      <c r="G545" s="12"/>
      <c r="H545" s="12"/>
      <c r="I545" s="74"/>
      <c r="J545" s="51"/>
    </row>
    <row r="546" ht="13.5" customHeight="1">
      <c r="E546" s="51"/>
      <c r="F546" s="12"/>
      <c r="G546" s="12"/>
      <c r="H546" s="12"/>
      <c r="I546" s="74"/>
      <c r="J546" s="51"/>
    </row>
    <row r="547" ht="13.5" customHeight="1">
      <c r="E547" s="51"/>
      <c r="F547" s="12"/>
      <c r="G547" s="12"/>
      <c r="H547" s="12"/>
      <c r="I547" s="74"/>
      <c r="J547" s="51"/>
    </row>
    <row r="548" ht="13.5" customHeight="1">
      <c r="E548" s="51"/>
      <c r="F548" s="12"/>
      <c r="G548" s="12"/>
      <c r="H548" s="12"/>
      <c r="I548" s="74"/>
      <c r="J548" s="51"/>
    </row>
    <row r="549" ht="13.5" customHeight="1">
      <c r="E549" s="51"/>
      <c r="F549" s="12"/>
      <c r="G549" s="12"/>
      <c r="H549" s="12"/>
      <c r="I549" s="74"/>
      <c r="J549" s="51"/>
    </row>
    <row r="550" ht="13.5" customHeight="1">
      <c r="E550" s="51"/>
      <c r="F550" s="12"/>
      <c r="G550" s="12"/>
      <c r="H550" s="12"/>
      <c r="I550" s="74"/>
      <c r="J550" s="51"/>
    </row>
    <row r="551" ht="13.5" customHeight="1">
      <c r="E551" s="51"/>
      <c r="F551" s="12"/>
      <c r="G551" s="12"/>
      <c r="H551" s="12"/>
      <c r="I551" s="74"/>
      <c r="J551" s="51"/>
    </row>
    <row r="552" ht="13.5" customHeight="1">
      <c r="E552" s="51"/>
      <c r="F552" s="12"/>
      <c r="G552" s="12"/>
      <c r="H552" s="12"/>
      <c r="I552" s="74"/>
      <c r="J552" s="51"/>
    </row>
    <row r="553" ht="13.5" customHeight="1">
      <c r="E553" s="51"/>
      <c r="F553" s="12"/>
      <c r="G553" s="12"/>
      <c r="H553" s="12"/>
      <c r="I553" s="74"/>
      <c r="J553" s="51"/>
    </row>
    <row r="554" ht="13.5" customHeight="1">
      <c r="E554" s="51"/>
      <c r="F554" s="12"/>
      <c r="G554" s="12"/>
      <c r="H554" s="12"/>
      <c r="I554" s="74"/>
      <c r="J554" s="51"/>
    </row>
    <row r="555" ht="13.5" customHeight="1">
      <c r="E555" s="51"/>
      <c r="F555" s="12"/>
      <c r="G555" s="12"/>
      <c r="H555" s="12"/>
      <c r="I555" s="74"/>
      <c r="J555" s="51"/>
    </row>
    <row r="556" ht="13.5" customHeight="1">
      <c r="E556" s="51"/>
      <c r="F556" s="12"/>
      <c r="G556" s="12"/>
      <c r="H556" s="12"/>
      <c r="I556" s="74"/>
      <c r="J556" s="51"/>
    </row>
    <row r="557" ht="13.5" customHeight="1">
      <c r="E557" s="51"/>
      <c r="F557" s="12"/>
      <c r="G557" s="12"/>
      <c r="H557" s="12"/>
      <c r="I557" s="74"/>
      <c r="J557" s="51"/>
    </row>
    <row r="558" ht="13.5" customHeight="1">
      <c r="E558" s="51"/>
      <c r="F558" s="12"/>
      <c r="G558" s="12"/>
      <c r="H558" s="12"/>
      <c r="I558" s="74"/>
      <c r="J558" s="51"/>
    </row>
    <row r="559" ht="13.5" customHeight="1">
      <c r="E559" s="51"/>
      <c r="F559" s="12"/>
      <c r="G559" s="12"/>
      <c r="H559" s="12"/>
      <c r="I559" s="74"/>
      <c r="J559" s="51"/>
    </row>
    <row r="560" ht="13.5" customHeight="1">
      <c r="E560" s="51"/>
      <c r="F560" s="12"/>
      <c r="G560" s="12"/>
      <c r="H560" s="12"/>
      <c r="I560" s="74"/>
      <c r="J560" s="51"/>
    </row>
    <row r="561" ht="13.5" customHeight="1">
      <c r="E561" s="51"/>
      <c r="F561" s="12"/>
      <c r="G561" s="12"/>
      <c r="H561" s="12"/>
      <c r="I561" s="74"/>
      <c r="J561" s="51"/>
    </row>
    <row r="562" ht="13.5" customHeight="1">
      <c r="E562" s="51"/>
      <c r="F562" s="12"/>
      <c r="G562" s="12"/>
      <c r="H562" s="12"/>
      <c r="I562" s="74"/>
      <c r="J562" s="51"/>
    </row>
    <row r="563" ht="13.5" customHeight="1">
      <c r="E563" s="51"/>
      <c r="F563" s="12"/>
      <c r="G563" s="12"/>
      <c r="H563" s="12"/>
      <c r="I563" s="74"/>
      <c r="J563" s="51"/>
    </row>
    <row r="564" ht="13.5" customHeight="1">
      <c r="E564" s="51"/>
      <c r="F564" s="12"/>
      <c r="G564" s="12"/>
      <c r="H564" s="12"/>
      <c r="I564" s="74"/>
      <c r="J564" s="51"/>
    </row>
    <row r="565" ht="13.5" customHeight="1">
      <c r="E565" s="51"/>
      <c r="F565" s="12"/>
      <c r="G565" s="12"/>
      <c r="H565" s="12"/>
      <c r="I565" s="74"/>
      <c r="J565" s="51"/>
    </row>
    <row r="566" ht="13.5" customHeight="1">
      <c r="E566" s="51"/>
      <c r="F566" s="12"/>
      <c r="G566" s="12"/>
      <c r="H566" s="12"/>
      <c r="I566" s="74"/>
      <c r="J566" s="51"/>
    </row>
    <row r="567" ht="13.5" customHeight="1">
      <c r="E567" s="51"/>
      <c r="F567" s="12"/>
      <c r="G567" s="12"/>
      <c r="H567" s="12"/>
      <c r="I567" s="74"/>
      <c r="J567" s="51"/>
    </row>
    <row r="568" ht="13.5" customHeight="1">
      <c r="E568" s="51"/>
      <c r="F568" s="12"/>
      <c r="G568" s="12"/>
      <c r="H568" s="12"/>
      <c r="I568" s="74"/>
      <c r="J568" s="51"/>
    </row>
    <row r="569" ht="13.5" customHeight="1">
      <c r="E569" s="51"/>
      <c r="F569" s="12"/>
      <c r="G569" s="12"/>
      <c r="H569" s="12"/>
      <c r="I569" s="74"/>
      <c r="J569" s="51"/>
    </row>
    <row r="570" ht="13.5" customHeight="1">
      <c r="E570" s="51"/>
      <c r="F570" s="12"/>
      <c r="G570" s="12"/>
      <c r="H570" s="12"/>
      <c r="I570" s="74"/>
      <c r="J570" s="51"/>
    </row>
    <row r="571" ht="13.5" customHeight="1">
      <c r="E571" s="51"/>
      <c r="F571" s="12"/>
      <c r="G571" s="12"/>
      <c r="H571" s="12"/>
      <c r="I571" s="74"/>
      <c r="J571" s="51"/>
    </row>
    <row r="572" ht="13.5" customHeight="1">
      <c r="E572" s="51"/>
      <c r="F572" s="12"/>
      <c r="G572" s="12"/>
      <c r="H572" s="12"/>
      <c r="I572" s="74"/>
      <c r="J572" s="51"/>
    </row>
    <row r="573" ht="13.5" customHeight="1">
      <c r="E573" s="51"/>
      <c r="F573" s="12"/>
      <c r="G573" s="12"/>
      <c r="H573" s="12"/>
      <c r="I573" s="74"/>
      <c r="J573" s="51"/>
    </row>
    <row r="574" ht="13.5" customHeight="1">
      <c r="E574" s="51"/>
      <c r="F574" s="12"/>
      <c r="G574" s="12"/>
      <c r="H574" s="12"/>
      <c r="I574" s="74"/>
      <c r="J574" s="51"/>
    </row>
    <row r="575" ht="13.5" customHeight="1">
      <c r="E575" s="51"/>
      <c r="F575" s="12"/>
      <c r="G575" s="12"/>
      <c r="H575" s="12"/>
      <c r="I575" s="74"/>
      <c r="J575" s="51"/>
    </row>
    <row r="576" ht="13.5" customHeight="1">
      <c r="E576" s="51"/>
      <c r="F576" s="12"/>
      <c r="G576" s="12"/>
      <c r="H576" s="12"/>
      <c r="I576" s="74"/>
      <c r="J576" s="51"/>
    </row>
    <row r="577" ht="13.5" customHeight="1">
      <c r="E577" s="51"/>
      <c r="F577" s="12"/>
      <c r="G577" s="12"/>
      <c r="H577" s="12"/>
      <c r="I577" s="74"/>
      <c r="J577" s="51"/>
    </row>
    <row r="578" ht="13.5" customHeight="1">
      <c r="E578" s="51"/>
      <c r="F578" s="12"/>
      <c r="G578" s="12"/>
      <c r="H578" s="12"/>
      <c r="I578" s="74"/>
      <c r="J578" s="51"/>
    </row>
    <row r="579" ht="13.5" customHeight="1">
      <c r="E579" s="51"/>
      <c r="F579" s="12"/>
      <c r="G579" s="12"/>
      <c r="H579" s="12"/>
      <c r="I579" s="74"/>
      <c r="J579" s="51"/>
    </row>
    <row r="580" ht="13.5" customHeight="1">
      <c r="E580" s="51"/>
      <c r="F580" s="12"/>
      <c r="G580" s="12"/>
      <c r="H580" s="12"/>
      <c r="I580" s="74"/>
      <c r="J580" s="51"/>
    </row>
    <row r="581" ht="13.5" customHeight="1">
      <c r="E581" s="51"/>
      <c r="F581" s="12"/>
      <c r="G581" s="12"/>
      <c r="H581" s="12"/>
      <c r="I581" s="74"/>
      <c r="J581" s="51"/>
    </row>
    <row r="582" ht="13.5" customHeight="1">
      <c r="E582" s="51"/>
      <c r="F582" s="12"/>
      <c r="G582" s="12"/>
      <c r="H582" s="12"/>
      <c r="I582" s="74"/>
      <c r="J582" s="51"/>
    </row>
    <row r="583" ht="13.5" customHeight="1">
      <c r="E583" s="51"/>
      <c r="F583" s="12"/>
      <c r="G583" s="12"/>
      <c r="H583" s="12"/>
      <c r="I583" s="74"/>
      <c r="J583" s="51"/>
    </row>
    <row r="584" ht="13.5" customHeight="1">
      <c r="E584" s="51"/>
      <c r="F584" s="12"/>
      <c r="G584" s="12"/>
      <c r="H584" s="12"/>
      <c r="I584" s="74"/>
      <c r="J584" s="51"/>
    </row>
    <row r="585" ht="13.5" customHeight="1">
      <c r="E585" s="51"/>
      <c r="F585" s="12"/>
      <c r="G585" s="12"/>
      <c r="H585" s="12"/>
      <c r="I585" s="74"/>
      <c r="J585" s="51"/>
    </row>
    <row r="586" ht="13.5" customHeight="1">
      <c r="E586" s="51"/>
      <c r="F586" s="12"/>
      <c r="G586" s="12"/>
      <c r="H586" s="12"/>
      <c r="I586" s="74"/>
      <c r="J586" s="51"/>
    </row>
    <row r="587" ht="13.5" customHeight="1">
      <c r="E587" s="51"/>
      <c r="F587" s="12"/>
      <c r="G587" s="12"/>
      <c r="H587" s="12"/>
      <c r="I587" s="74"/>
      <c r="J587" s="51"/>
    </row>
    <row r="588" ht="13.5" customHeight="1">
      <c r="E588" s="51"/>
      <c r="F588" s="12"/>
      <c r="G588" s="12"/>
      <c r="H588" s="12"/>
      <c r="I588" s="74"/>
      <c r="J588" s="51"/>
    </row>
    <row r="589" ht="13.5" customHeight="1">
      <c r="E589" s="51"/>
      <c r="F589" s="12"/>
      <c r="G589" s="12"/>
      <c r="H589" s="12"/>
      <c r="I589" s="74"/>
      <c r="J589" s="51"/>
    </row>
    <row r="590" ht="13.5" customHeight="1">
      <c r="E590" s="51"/>
      <c r="F590" s="12"/>
      <c r="G590" s="12"/>
      <c r="H590" s="12"/>
      <c r="I590" s="74"/>
      <c r="J590" s="51"/>
    </row>
    <row r="591" ht="13.5" customHeight="1">
      <c r="E591" s="51"/>
      <c r="F591" s="12"/>
      <c r="G591" s="12"/>
      <c r="H591" s="12"/>
      <c r="I591" s="74"/>
      <c r="J591" s="51"/>
    </row>
    <row r="592" ht="13.5" customHeight="1">
      <c r="E592" s="51"/>
      <c r="F592" s="12"/>
      <c r="G592" s="12"/>
      <c r="H592" s="12"/>
      <c r="I592" s="74"/>
      <c r="J592" s="51"/>
    </row>
    <row r="593" ht="13.5" customHeight="1">
      <c r="E593" s="51"/>
      <c r="F593" s="12"/>
      <c r="G593" s="12"/>
      <c r="H593" s="12"/>
      <c r="I593" s="74"/>
      <c r="J593" s="51"/>
    </row>
    <row r="594" ht="13.5" customHeight="1">
      <c r="E594" s="51"/>
      <c r="F594" s="12"/>
      <c r="G594" s="12"/>
      <c r="H594" s="12"/>
      <c r="I594" s="74"/>
      <c r="J594" s="51"/>
    </row>
    <row r="595" ht="13.5" customHeight="1">
      <c r="E595" s="51"/>
      <c r="F595" s="12"/>
      <c r="G595" s="12"/>
      <c r="H595" s="12"/>
      <c r="I595" s="74"/>
      <c r="J595" s="51"/>
    </row>
    <row r="596" ht="13.5" customHeight="1">
      <c r="E596" s="51"/>
      <c r="F596" s="12"/>
      <c r="G596" s="12"/>
      <c r="H596" s="12"/>
      <c r="I596" s="74"/>
      <c r="J596" s="51"/>
    </row>
    <row r="597" ht="13.5" customHeight="1">
      <c r="E597" s="51"/>
      <c r="F597" s="12"/>
      <c r="G597" s="12"/>
      <c r="H597" s="12"/>
      <c r="I597" s="74"/>
      <c r="J597" s="51"/>
    </row>
    <row r="598" ht="13.5" customHeight="1">
      <c r="E598" s="51"/>
      <c r="F598" s="12"/>
      <c r="G598" s="12"/>
      <c r="H598" s="12"/>
      <c r="I598" s="74"/>
      <c r="J598" s="51"/>
    </row>
    <row r="599" ht="13.5" customHeight="1">
      <c r="E599" s="51"/>
      <c r="F599" s="12"/>
      <c r="G599" s="12"/>
      <c r="H599" s="12"/>
      <c r="I599" s="74"/>
      <c r="J599" s="51"/>
    </row>
    <row r="600" ht="13.5" customHeight="1">
      <c r="E600" s="51"/>
      <c r="F600" s="12"/>
      <c r="G600" s="12"/>
      <c r="H600" s="12"/>
      <c r="I600" s="74"/>
      <c r="J600" s="51"/>
    </row>
    <row r="601" ht="13.5" customHeight="1">
      <c r="E601" s="51"/>
      <c r="F601" s="12"/>
      <c r="G601" s="12"/>
      <c r="H601" s="12"/>
      <c r="I601" s="74"/>
      <c r="J601" s="51"/>
    </row>
    <row r="602" ht="13.5" customHeight="1">
      <c r="E602" s="51"/>
      <c r="F602" s="12"/>
      <c r="G602" s="12"/>
      <c r="H602" s="12"/>
      <c r="I602" s="74"/>
      <c r="J602" s="51"/>
    </row>
    <row r="603" ht="13.5" customHeight="1">
      <c r="E603" s="51"/>
      <c r="F603" s="12"/>
      <c r="G603" s="12"/>
      <c r="H603" s="12"/>
      <c r="I603" s="74"/>
      <c r="J603" s="51"/>
    </row>
    <row r="604" ht="13.5" customHeight="1">
      <c r="E604" s="51"/>
      <c r="F604" s="12"/>
      <c r="G604" s="12"/>
      <c r="H604" s="12"/>
      <c r="I604" s="74"/>
      <c r="J604" s="51"/>
    </row>
    <row r="605" ht="13.5" customHeight="1">
      <c r="E605" s="51"/>
      <c r="F605" s="12"/>
      <c r="G605" s="12"/>
      <c r="H605" s="12"/>
      <c r="I605" s="74"/>
      <c r="J605" s="51"/>
    </row>
    <row r="606" ht="13.5" customHeight="1">
      <c r="E606" s="51"/>
      <c r="F606" s="12"/>
      <c r="G606" s="12"/>
      <c r="H606" s="12"/>
      <c r="I606" s="74"/>
      <c r="J606" s="51"/>
    </row>
    <row r="607" ht="13.5" customHeight="1">
      <c r="E607" s="51"/>
      <c r="F607" s="12"/>
      <c r="G607" s="12"/>
      <c r="H607" s="12"/>
      <c r="I607" s="74"/>
      <c r="J607" s="51"/>
    </row>
    <row r="608" ht="13.5" customHeight="1">
      <c r="E608" s="51"/>
      <c r="F608" s="12"/>
      <c r="G608" s="12"/>
      <c r="H608" s="12"/>
      <c r="I608" s="74"/>
      <c r="J608" s="51"/>
    </row>
    <row r="609" ht="13.5" customHeight="1">
      <c r="E609" s="51"/>
      <c r="F609" s="12"/>
      <c r="G609" s="12"/>
      <c r="H609" s="12"/>
      <c r="I609" s="74"/>
      <c r="J609" s="51"/>
    </row>
    <row r="610" ht="13.5" customHeight="1">
      <c r="E610" s="51"/>
      <c r="F610" s="12"/>
      <c r="G610" s="12"/>
      <c r="H610" s="12"/>
      <c r="I610" s="74"/>
      <c r="J610" s="51"/>
    </row>
    <row r="611" ht="13.5" customHeight="1">
      <c r="E611" s="51"/>
      <c r="F611" s="12"/>
      <c r="G611" s="12"/>
      <c r="H611" s="12"/>
      <c r="I611" s="74"/>
      <c r="J611" s="51"/>
    </row>
    <row r="612" ht="13.5" customHeight="1">
      <c r="E612" s="51"/>
      <c r="F612" s="12"/>
      <c r="G612" s="12"/>
      <c r="H612" s="12"/>
      <c r="I612" s="74"/>
      <c r="J612" s="51"/>
    </row>
    <row r="613" ht="13.5" customHeight="1">
      <c r="E613" s="51"/>
      <c r="F613" s="12"/>
      <c r="G613" s="12"/>
      <c r="H613" s="12"/>
      <c r="I613" s="74"/>
      <c r="J613" s="51"/>
    </row>
    <row r="614" ht="13.5" customHeight="1">
      <c r="E614" s="51"/>
      <c r="F614" s="12"/>
      <c r="G614" s="12"/>
      <c r="H614" s="12"/>
      <c r="I614" s="74"/>
      <c r="J614" s="51"/>
    </row>
    <row r="615" ht="13.5" customHeight="1">
      <c r="E615" s="51"/>
      <c r="F615" s="12"/>
      <c r="G615" s="12"/>
      <c r="H615" s="12"/>
      <c r="I615" s="74"/>
      <c r="J615" s="51"/>
    </row>
    <row r="616" ht="13.5" customHeight="1">
      <c r="E616" s="51"/>
      <c r="F616" s="12"/>
      <c r="G616" s="12"/>
      <c r="H616" s="12"/>
      <c r="I616" s="74"/>
      <c r="J616" s="51"/>
    </row>
    <row r="617" ht="13.5" customHeight="1">
      <c r="E617" s="51"/>
      <c r="F617" s="12"/>
      <c r="G617" s="12"/>
      <c r="H617" s="12"/>
      <c r="I617" s="74"/>
      <c r="J617" s="51"/>
    </row>
    <row r="618" ht="13.5" customHeight="1">
      <c r="E618" s="51"/>
      <c r="F618" s="12"/>
      <c r="G618" s="12"/>
      <c r="H618" s="12"/>
      <c r="I618" s="74"/>
      <c r="J618" s="51"/>
    </row>
    <row r="619" ht="13.5" customHeight="1">
      <c r="E619" s="51"/>
      <c r="F619" s="12"/>
      <c r="G619" s="12"/>
      <c r="H619" s="12"/>
      <c r="I619" s="74"/>
      <c r="J619" s="51"/>
    </row>
    <row r="620" ht="13.5" customHeight="1">
      <c r="E620" s="51"/>
      <c r="F620" s="12"/>
      <c r="G620" s="12"/>
      <c r="H620" s="12"/>
      <c r="I620" s="74"/>
      <c r="J620" s="51"/>
    </row>
    <row r="621" ht="13.5" customHeight="1">
      <c r="E621" s="51"/>
      <c r="F621" s="12"/>
      <c r="G621" s="12"/>
      <c r="H621" s="12"/>
      <c r="I621" s="74"/>
      <c r="J621" s="51"/>
    </row>
    <row r="622" ht="13.5" customHeight="1">
      <c r="E622" s="51"/>
      <c r="F622" s="12"/>
      <c r="G622" s="12"/>
      <c r="H622" s="12"/>
      <c r="I622" s="74"/>
      <c r="J622" s="51"/>
    </row>
    <row r="623" ht="13.5" customHeight="1">
      <c r="E623" s="51"/>
      <c r="F623" s="12"/>
      <c r="G623" s="12"/>
      <c r="H623" s="12"/>
      <c r="I623" s="74"/>
      <c r="J623" s="51"/>
    </row>
    <row r="624" ht="13.5" customHeight="1">
      <c r="E624" s="51"/>
      <c r="F624" s="12"/>
      <c r="G624" s="12"/>
      <c r="H624" s="12"/>
      <c r="I624" s="74"/>
      <c r="J624" s="51"/>
    </row>
    <row r="625" ht="13.5" customHeight="1">
      <c r="E625" s="51"/>
      <c r="F625" s="12"/>
      <c r="G625" s="12"/>
      <c r="H625" s="12"/>
      <c r="I625" s="74"/>
      <c r="J625" s="51"/>
    </row>
    <row r="626" ht="13.5" customHeight="1">
      <c r="E626" s="51"/>
      <c r="F626" s="12"/>
      <c r="G626" s="12"/>
      <c r="H626" s="12"/>
      <c r="I626" s="74"/>
      <c r="J626" s="51"/>
    </row>
    <row r="627" ht="13.5" customHeight="1">
      <c r="E627" s="51"/>
      <c r="F627" s="12"/>
      <c r="G627" s="12"/>
      <c r="H627" s="12"/>
      <c r="I627" s="74"/>
      <c r="J627" s="51"/>
    </row>
    <row r="628" ht="13.5" customHeight="1">
      <c r="E628" s="51"/>
      <c r="F628" s="12"/>
      <c r="G628" s="12"/>
      <c r="H628" s="12"/>
      <c r="I628" s="74"/>
      <c r="J628" s="51"/>
    </row>
    <row r="629" ht="13.5" customHeight="1">
      <c r="E629" s="51"/>
      <c r="F629" s="12"/>
      <c r="G629" s="12"/>
      <c r="H629" s="12"/>
      <c r="I629" s="74"/>
      <c r="J629" s="51"/>
    </row>
    <row r="630" ht="13.5" customHeight="1">
      <c r="E630" s="51"/>
      <c r="F630" s="12"/>
      <c r="G630" s="12"/>
      <c r="H630" s="12"/>
      <c r="I630" s="74"/>
      <c r="J630" s="51"/>
    </row>
    <row r="631" ht="13.5" customHeight="1">
      <c r="E631" s="51"/>
      <c r="F631" s="12"/>
      <c r="G631" s="12"/>
      <c r="H631" s="12"/>
      <c r="I631" s="74"/>
      <c r="J631" s="51"/>
    </row>
    <row r="632" ht="13.5" customHeight="1">
      <c r="E632" s="51"/>
      <c r="F632" s="12"/>
      <c r="G632" s="12"/>
      <c r="H632" s="12"/>
      <c r="I632" s="74"/>
      <c r="J632" s="51"/>
    </row>
    <row r="633" ht="13.5" customHeight="1">
      <c r="E633" s="51"/>
      <c r="F633" s="12"/>
      <c r="G633" s="12"/>
      <c r="H633" s="12"/>
      <c r="I633" s="74"/>
      <c r="J633" s="51"/>
    </row>
    <row r="634" ht="13.5" customHeight="1">
      <c r="E634" s="51"/>
      <c r="F634" s="12"/>
      <c r="G634" s="12"/>
      <c r="H634" s="12"/>
      <c r="I634" s="74"/>
      <c r="J634" s="51"/>
    </row>
    <row r="635" ht="13.5" customHeight="1">
      <c r="E635" s="51"/>
      <c r="F635" s="12"/>
      <c r="G635" s="12"/>
      <c r="H635" s="12"/>
      <c r="I635" s="74"/>
      <c r="J635" s="51"/>
    </row>
    <row r="636" ht="13.5" customHeight="1">
      <c r="E636" s="51"/>
      <c r="F636" s="12"/>
      <c r="G636" s="12"/>
      <c r="H636" s="12"/>
      <c r="I636" s="74"/>
      <c r="J636" s="51"/>
    </row>
    <row r="637" ht="13.5" customHeight="1">
      <c r="E637" s="51"/>
      <c r="F637" s="12"/>
      <c r="G637" s="12"/>
      <c r="H637" s="12"/>
      <c r="I637" s="74"/>
      <c r="J637" s="51"/>
    </row>
    <row r="638" ht="13.5" customHeight="1">
      <c r="E638" s="51"/>
      <c r="F638" s="12"/>
      <c r="G638" s="12"/>
      <c r="H638" s="12"/>
      <c r="I638" s="74"/>
      <c r="J638" s="51"/>
    </row>
    <row r="639" ht="13.5" customHeight="1">
      <c r="E639" s="51"/>
      <c r="F639" s="12"/>
      <c r="G639" s="12"/>
      <c r="H639" s="12"/>
      <c r="I639" s="74"/>
      <c r="J639" s="51"/>
    </row>
    <row r="640" ht="13.5" customHeight="1">
      <c r="E640" s="51"/>
      <c r="F640" s="12"/>
      <c r="G640" s="12"/>
      <c r="H640" s="12"/>
      <c r="I640" s="74"/>
      <c r="J640" s="51"/>
    </row>
    <row r="641" ht="13.5" customHeight="1">
      <c r="E641" s="51"/>
      <c r="F641" s="12"/>
      <c r="G641" s="12"/>
      <c r="H641" s="12"/>
      <c r="I641" s="74"/>
      <c r="J641" s="51"/>
    </row>
    <row r="642" ht="13.5" customHeight="1">
      <c r="E642" s="51"/>
      <c r="F642" s="12"/>
      <c r="G642" s="12"/>
      <c r="H642" s="12"/>
      <c r="I642" s="74"/>
      <c r="J642" s="51"/>
    </row>
    <row r="643" ht="13.5" customHeight="1">
      <c r="E643" s="51"/>
      <c r="F643" s="12"/>
      <c r="G643" s="12"/>
      <c r="H643" s="12"/>
      <c r="I643" s="74"/>
      <c r="J643" s="51"/>
    </row>
    <row r="644" ht="13.5" customHeight="1">
      <c r="E644" s="51"/>
      <c r="F644" s="12"/>
      <c r="G644" s="12"/>
      <c r="H644" s="12"/>
      <c r="I644" s="74"/>
      <c r="J644" s="51"/>
    </row>
    <row r="645" ht="13.5" customHeight="1">
      <c r="E645" s="51"/>
      <c r="F645" s="12"/>
      <c r="G645" s="12"/>
      <c r="H645" s="12"/>
      <c r="I645" s="74"/>
      <c r="J645" s="51"/>
    </row>
    <row r="646" ht="13.5" customHeight="1">
      <c r="E646" s="51"/>
      <c r="F646" s="12"/>
      <c r="G646" s="12"/>
      <c r="H646" s="12"/>
      <c r="I646" s="74"/>
      <c r="J646" s="51"/>
    </row>
    <row r="647" ht="13.5" customHeight="1">
      <c r="E647" s="51"/>
      <c r="F647" s="12"/>
      <c r="G647" s="12"/>
      <c r="H647" s="12"/>
      <c r="I647" s="74"/>
      <c r="J647" s="51"/>
    </row>
    <row r="648" ht="13.5" customHeight="1">
      <c r="E648" s="51"/>
      <c r="F648" s="12"/>
      <c r="G648" s="12"/>
      <c r="H648" s="12"/>
      <c r="I648" s="74"/>
      <c r="J648" s="51"/>
    </row>
    <row r="649" ht="13.5" customHeight="1">
      <c r="E649" s="51"/>
      <c r="F649" s="12"/>
      <c r="G649" s="12"/>
      <c r="H649" s="12"/>
      <c r="I649" s="74"/>
      <c r="J649" s="51"/>
    </row>
    <row r="650" ht="13.5" customHeight="1">
      <c r="E650" s="51"/>
      <c r="F650" s="12"/>
      <c r="G650" s="12"/>
      <c r="H650" s="12"/>
      <c r="I650" s="74"/>
      <c r="J650" s="51"/>
    </row>
    <row r="651" ht="13.5" customHeight="1">
      <c r="E651" s="51"/>
      <c r="F651" s="12"/>
      <c r="G651" s="12"/>
      <c r="H651" s="12"/>
      <c r="I651" s="74"/>
      <c r="J651" s="51"/>
    </row>
    <row r="652" ht="13.5" customHeight="1">
      <c r="E652" s="51"/>
      <c r="F652" s="12"/>
      <c r="G652" s="12"/>
      <c r="H652" s="12"/>
      <c r="I652" s="74"/>
      <c r="J652" s="51"/>
    </row>
    <row r="653" ht="13.5" customHeight="1">
      <c r="E653" s="51"/>
      <c r="F653" s="12"/>
      <c r="G653" s="12"/>
      <c r="H653" s="12"/>
      <c r="I653" s="74"/>
      <c r="J653" s="51"/>
    </row>
    <row r="654" ht="13.5" customHeight="1">
      <c r="E654" s="51"/>
      <c r="F654" s="12"/>
      <c r="G654" s="12"/>
      <c r="H654" s="12"/>
      <c r="I654" s="74"/>
      <c r="J654" s="51"/>
    </row>
    <row r="655" ht="13.5" customHeight="1">
      <c r="E655" s="51"/>
      <c r="F655" s="12"/>
      <c r="G655" s="12"/>
      <c r="H655" s="12"/>
      <c r="I655" s="74"/>
      <c r="J655" s="51"/>
    </row>
    <row r="656" ht="13.5" customHeight="1">
      <c r="E656" s="51"/>
      <c r="F656" s="12"/>
      <c r="G656" s="12"/>
      <c r="H656" s="12"/>
      <c r="I656" s="74"/>
      <c r="J656" s="51"/>
    </row>
    <row r="657" ht="13.5" customHeight="1">
      <c r="E657" s="51"/>
      <c r="F657" s="12"/>
      <c r="G657" s="12"/>
      <c r="H657" s="12"/>
      <c r="I657" s="74"/>
      <c r="J657" s="51"/>
    </row>
    <row r="658" ht="13.5" customHeight="1">
      <c r="E658" s="51"/>
      <c r="F658" s="12"/>
      <c r="G658" s="12"/>
      <c r="H658" s="12"/>
      <c r="I658" s="74"/>
      <c r="J658" s="51"/>
    </row>
    <row r="659" ht="13.5" customHeight="1">
      <c r="E659" s="51"/>
      <c r="F659" s="12"/>
      <c r="G659" s="12"/>
      <c r="H659" s="12"/>
      <c r="I659" s="74"/>
      <c r="J659" s="51"/>
    </row>
    <row r="660" ht="13.5" customHeight="1">
      <c r="E660" s="51"/>
      <c r="F660" s="12"/>
      <c r="G660" s="12"/>
      <c r="H660" s="12"/>
      <c r="I660" s="74"/>
      <c r="J660" s="51"/>
    </row>
    <row r="661" ht="13.5" customHeight="1">
      <c r="E661" s="51"/>
      <c r="F661" s="12"/>
      <c r="G661" s="12"/>
      <c r="H661" s="12"/>
      <c r="I661" s="74"/>
      <c r="J661" s="51"/>
    </row>
    <row r="662" ht="13.5" customHeight="1">
      <c r="E662" s="51"/>
      <c r="F662" s="12"/>
      <c r="G662" s="12"/>
      <c r="H662" s="12"/>
      <c r="I662" s="74"/>
      <c r="J662" s="51"/>
    </row>
    <row r="663" ht="13.5" customHeight="1">
      <c r="E663" s="51"/>
      <c r="F663" s="12"/>
      <c r="G663" s="12"/>
      <c r="H663" s="12"/>
      <c r="I663" s="74"/>
      <c r="J663" s="51"/>
    </row>
    <row r="664" ht="13.5" customHeight="1">
      <c r="E664" s="51"/>
      <c r="F664" s="12"/>
      <c r="G664" s="12"/>
      <c r="H664" s="12"/>
      <c r="I664" s="74"/>
      <c r="J664" s="51"/>
    </row>
    <row r="665" ht="13.5" customHeight="1">
      <c r="E665" s="51"/>
      <c r="F665" s="12"/>
      <c r="G665" s="12"/>
      <c r="H665" s="12"/>
      <c r="I665" s="74"/>
      <c r="J665" s="51"/>
    </row>
    <row r="666" ht="13.5" customHeight="1">
      <c r="E666" s="51"/>
      <c r="F666" s="12"/>
      <c r="G666" s="12"/>
      <c r="H666" s="12"/>
      <c r="I666" s="74"/>
      <c r="J666" s="51"/>
    </row>
    <row r="667" ht="13.5" customHeight="1">
      <c r="E667" s="51"/>
      <c r="F667" s="12"/>
      <c r="G667" s="12"/>
      <c r="H667" s="12"/>
      <c r="I667" s="74"/>
      <c r="J667" s="51"/>
    </row>
    <row r="668" ht="13.5" customHeight="1">
      <c r="E668" s="51"/>
      <c r="F668" s="12"/>
      <c r="G668" s="12"/>
      <c r="H668" s="12"/>
      <c r="I668" s="74"/>
      <c r="J668" s="51"/>
    </row>
    <row r="669" ht="13.5" customHeight="1">
      <c r="E669" s="51"/>
      <c r="F669" s="12"/>
      <c r="G669" s="12"/>
      <c r="H669" s="12"/>
      <c r="I669" s="74"/>
      <c r="J669" s="51"/>
    </row>
    <row r="670" ht="13.5" customHeight="1">
      <c r="E670" s="51"/>
      <c r="F670" s="12"/>
      <c r="G670" s="12"/>
      <c r="H670" s="12"/>
      <c r="I670" s="74"/>
      <c r="J670" s="51"/>
    </row>
    <row r="671" ht="13.5" customHeight="1">
      <c r="E671" s="51"/>
      <c r="F671" s="12"/>
      <c r="G671" s="12"/>
      <c r="H671" s="12"/>
      <c r="I671" s="74"/>
      <c r="J671" s="51"/>
    </row>
    <row r="672" ht="13.5" customHeight="1">
      <c r="E672" s="51"/>
      <c r="F672" s="12"/>
      <c r="G672" s="12"/>
      <c r="H672" s="12"/>
      <c r="I672" s="74"/>
      <c r="J672" s="51"/>
    </row>
    <row r="673" ht="13.5" customHeight="1">
      <c r="E673" s="51"/>
      <c r="F673" s="12"/>
      <c r="G673" s="12"/>
      <c r="H673" s="12"/>
      <c r="I673" s="74"/>
      <c r="J673" s="51"/>
    </row>
    <row r="674" ht="13.5" customHeight="1">
      <c r="E674" s="51"/>
      <c r="F674" s="12"/>
      <c r="G674" s="12"/>
      <c r="H674" s="12"/>
      <c r="I674" s="74"/>
      <c r="J674" s="51"/>
    </row>
    <row r="675" ht="13.5" customHeight="1">
      <c r="E675" s="51"/>
      <c r="F675" s="12"/>
      <c r="G675" s="12"/>
      <c r="H675" s="12"/>
      <c r="I675" s="74"/>
      <c r="J675" s="51"/>
    </row>
    <row r="676" ht="13.5" customHeight="1">
      <c r="E676" s="51"/>
      <c r="F676" s="12"/>
      <c r="G676" s="12"/>
      <c r="H676" s="12"/>
      <c r="I676" s="74"/>
      <c r="J676" s="51"/>
    </row>
    <row r="677" ht="13.5" customHeight="1">
      <c r="E677" s="51"/>
      <c r="F677" s="12"/>
      <c r="G677" s="12"/>
      <c r="H677" s="12"/>
      <c r="I677" s="74"/>
      <c r="J677" s="51"/>
    </row>
    <row r="678" ht="13.5" customHeight="1">
      <c r="E678" s="51"/>
      <c r="F678" s="12"/>
      <c r="G678" s="12"/>
      <c r="H678" s="12"/>
      <c r="I678" s="74"/>
      <c r="J678" s="51"/>
    </row>
    <row r="679" ht="13.5" customHeight="1">
      <c r="E679" s="51"/>
      <c r="F679" s="12"/>
      <c r="G679" s="12"/>
      <c r="H679" s="12"/>
      <c r="I679" s="74"/>
      <c r="J679" s="51"/>
    </row>
    <row r="680" ht="13.5" customHeight="1">
      <c r="E680" s="51"/>
      <c r="F680" s="12"/>
      <c r="G680" s="12"/>
      <c r="H680" s="12"/>
      <c r="I680" s="74"/>
      <c r="J680" s="51"/>
    </row>
    <row r="681" ht="13.5" customHeight="1">
      <c r="E681" s="51"/>
      <c r="F681" s="12"/>
      <c r="G681" s="12"/>
      <c r="H681" s="12"/>
      <c r="I681" s="74"/>
      <c r="J681" s="51"/>
    </row>
    <row r="682" ht="13.5" customHeight="1">
      <c r="E682" s="51"/>
      <c r="F682" s="12"/>
      <c r="G682" s="12"/>
      <c r="H682" s="12"/>
      <c r="I682" s="74"/>
      <c r="J682" s="51"/>
    </row>
    <row r="683" ht="13.5" customHeight="1">
      <c r="E683" s="51"/>
      <c r="F683" s="12"/>
      <c r="G683" s="12"/>
      <c r="H683" s="12"/>
      <c r="I683" s="74"/>
      <c r="J683" s="51"/>
    </row>
    <row r="684" ht="13.5" customHeight="1">
      <c r="E684" s="51"/>
      <c r="F684" s="12"/>
      <c r="G684" s="12"/>
      <c r="H684" s="12"/>
      <c r="I684" s="74"/>
      <c r="J684" s="51"/>
    </row>
    <row r="685" ht="13.5" customHeight="1">
      <c r="E685" s="51"/>
      <c r="F685" s="12"/>
      <c r="G685" s="12"/>
      <c r="H685" s="12"/>
      <c r="I685" s="74"/>
      <c r="J685" s="51"/>
    </row>
    <row r="686" ht="13.5" customHeight="1">
      <c r="E686" s="51"/>
      <c r="F686" s="12"/>
      <c r="G686" s="12"/>
      <c r="H686" s="12"/>
      <c r="I686" s="74"/>
      <c r="J686" s="51"/>
    </row>
    <row r="687" ht="13.5" customHeight="1">
      <c r="E687" s="51"/>
      <c r="F687" s="12"/>
      <c r="G687" s="12"/>
      <c r="H687" s="12"/>
      <c r="I687" s="74"/>
      <c r="J687" s="51"/>
    </row>
    <row r="688" ht="13.5" customHeight="1">
      <c r="E688" s="51"/>
      <c r="F688" s="12"/>
      <c r="G688" s="12"/>
      <c r="H688" s="12"/>
      <c r="I688" s="74"/>
      <c r="J688" s="51"/>
    </row>
    <row r="689" ht="13.5" customHeight="1">
      <c r="E689" s="51"/>
      <c r="F689" s="12"/>
      <c r="G689" s="12"/>
      <c r="H689" s="12"/>
      <c r="I689" s="74"/>
      <c r="J689" s="51"/>
    </row>
    <row r="690" ht="13.5" customHeight="1">
      <c r="E690" s="51"/>
      <c r="F690" s="12"/>
      <c r="G690" s="12"/>
      <c r="H690" s="12"/>
      <c r="I690" s="74"/>
      <c r="J690" s="51"/>
    </row>
    <row r="691" ht="13.5" customHeight="1">
      <c r="E691" s="51"/>
      <c r="F691" s="12"/>
      <c r="G691" s="12"/>
      <c r="H691" s="12"/>
      <c r="I691" s="74"/>
      <c r="J691" s="51"/>
    </row>
    <row r="692" ht="13.5" customHeight="1">
      <c r="E692" s="51"/>
      <c r="F692" s="12"/>
      <c r="G692" s="12"/>
      <c r="H692" s="12"/>
      <c r="I692" s="74"/>
      <c r="J692" s="51"/>
    </row>
    <row r="693" ht="13.5" customHeight="1">
      <c r="E693" s="51"/>
      <c r="F693" s="12"/>
      <c r="G693" s="12"/>
      <c r="H693" s="12"/>
      <c r="I693" s="74"/>
      <c r="J693" s="51"/>
    </row>
    <row r="694" ht="13.5" customHeight="1">
      <c r="E694" s="51"/>
      <c r="F694" s="12"/>
      <c r="G694" s="12"/>
      <c r="H694" s="12"/>
      <c r="I694" s="74"/>
      <c r="J694" s="51"/>
    </row>
    <row r="695" ht="13.5" customHeight="1">
      <c r="E695" s="51"/>
      <c r="F695" s="12"/>
      <c r="G695" s="12"/>
      <c r="H695" s="12"/>
      <c r="I695" s="74"/>
      <c r="J695" s="51"/>
    </row>
    <row r="696" ht="13.5" customHeight="1">
      <c r="E696" s="51"/>
      <c r="F696" s="12"/>
      <c r="G696" s="12"/>
      <c r="H696" s="12"/>
      <c r="I696" s="74"/>
      <c r="J696" s="51"/>
    </row>
    <row r="697" ht="13.5" customHeight="1">
      <c r="E697" s="51"/>
      <c r="F697" s="12"/>
      <c r="G697" s="12"/>
      <c r="H697" s="12"/>
      <c r="I697" s="74"/>
      <c r="J697" s="51"/>
    </row>
    <row r="698" ht="13.5" customHeight="1">
      <c r="E698" s="51"/>
      <c r="F698" s="12"/>
      <c r="G698" s="12"/>
      <c r="H698" s="12"/>
      <c r="I698" s="74"/>
      <c r="J698" s="51"/>
    </row>
    <row r="699" ht="13.5" customHeight="1">
      <c r="E699" s="51"/>
      <c r="F699" s="12"/>
      <c r="G699" s="12"/>
      <c r="H699" s="12"/>
      <c r="I699" s="74"/>
      <c r="J699" s="51"/>
    </row>
    <row r="700" ht="13.5" customHeight="1">
      <c r="E700" s="51"/>
      <c r="F700" s="12"/>
      <c r="G700" s="12"/>
      <c r="H700" s="12"/>
      <c r="I700" s="74"/>
      <c r="J700" s="51"/>
    </row>
    <row r="701" ht="13.5" customHeight="1">
      <c r="E701" s="51"/>
      <c r="F701" s="12"/>
      <c r="G701" s="12"/>
      <c r="H701" s="12"/>
      <c r="I701" s="74"/>
      <c r="J701" s="51"/>
    </row>
    <row r="702" ht="13.5" customHeight="1">
      <c r="E702" s="51"/>
      <c r="F702" s="12"/>
      <c r="G702" s="12"/>
      <c r="H702" s="12"/>
      <c r="I702" s="74"/>
      <c r="J702" s="51"/>
    </row>
    <row r="703" ht="13.5" customHeight="1">
      <c r="E703" s="51"/>
      <c r="F703" s="12"/>
      <c r="G703" s="12"/>
      <c r="H703" s="12"/>
      <c r="I703" s="74"/>
      <c r="J703" s="51"/>
    </row>
    <row r="704" ht="13.5" customHeight="1">
      <c r="E704" s="51"/>
      <c r="F704" s="12"/>
      <c r="G704" s="12"/>
      <c r="H704" s="12"/>
      <c r="I704" s="74"/>
      <c r="J704" s="51"/>
    </row>
    <row r="705" ht="13.5" customHeight="1">
      <c r="E705" s="51"/>
      <c r="F705" s="12"/>
      <c r="G705" s="12"/>
      <c r="H705" s="12"/>
      <c r="I705" s="74"/>
      <c r="J705" s="51"/>
    </row>
    <row r="706" ht="13.5" customHeight="1">
      <c r="E706" s="51"/>
      <c r="F706" s="12"/>
      <c r="G706" s="12"/>
      <c r="H706" s="12"/>
      <c r="I706" s="74"/>
      <c r="J706" s="51"/>
    </row>
    <row r="707" ht="13.5" customHeight="1">
      <c r="E707" s="51"/>
      <c r="F707" s="12"/>
      <c r="G707" s="12"/>
      <c r="H707" s="12"/>
      <c r="I707" s="74"/>
      <c r="J707" s="51"/>
    </row>
    <row r="708" ht="13.5" customHeight="1">
      <c r="E708" s="51"/>
      <c r="F708" s="12"/>
      <c r="G708" s="12"/>
      <c r="H708" s="12"/>
      <c r="I708" s="74"/>
      <c r="J708" s="51"/>
    </row>
    <row r="709" ht="13.5" customHeight="1">
      <c r="E709" s="51"/>
      <c r="F709" s="12"/>
      <c r="G709" s="12"/>
      <c r="H709" s="12"/>
      <c r="I709" s="74"/>
      <c r="J709" s="51"/>
    </row>
    <row r="710" ht="13.5" customHeight="1">
      <c r="E710" s="51"/>
      <c r="F710" s="12"/>
      <c r="G710" s="12"/>
      <c r="H710" s="12"/>
      <c r="I710" s="74"/>
      <c r="J710" s="51"/>
    </row>
    <row r="711" ht="13.5" customHeight="1">
      <c r="E711" s="51"/>
      <c r="F711" s="12"/>
      <c r="G711" s="12"/>
      <c r="H711" s="12"/>
      <c r="I711" s="74"/>
      <c r="J711" s="51"/>
    </row>
    <row r="712" ht="13.5" customHeight="1">
      <c r="E712" s="51"/>
      <c r="F712" s="12"/>
      <c r="G712" s="12"/>
      <c r="H712" s="12"/>
      <c r="I712" s="74"/>
      <c r="J712" s="51"/>
    </row>
    <row r="713" ht="13.5" customHeight="1">
      <c r="E713" s="51"/>
      <c r="F713" s="12"/>
      <c r="G713" s="12"/>
      <c r="H713" s="12"/>
      <c r="I713" s="74"/>
      <c r="J713" s="51"/>
    </row>
    <row r="714" ht="13.5" customHeight="1">
      <c r="E714" s="51"/>
      <c r="F714" s="12"/>
      <c r="G714" s="12"/>
      <c r="H714" s="12"/>
      <c r="I714" s="74"/>
      <c r="J714" s="51"/>
    </row>
    <row r="715" ht="13.5" customHeight="1">
      <c r="E715" s="51"/>
      <c r="F715" s="12"/>
      <c r="G715" s="12"/>
      <c r="H715" s="12"/>
      <c r="I715" s="74"/>
      <c r="J715" s="51"/>
    </row>
    <row r="716" ht="13.5" customHeight="1">
      <c r="E716" s="51"/>
      <c r="F716" s="12"/>
      <c r="G716" s="12"/>
      <c r="H716" s="12"/>
      <c r="I716" s="74"/>
      <c r="J716" s="51"/>
    </row>
    <row r="717" ht="13.5" customHeight="1">
      <c r="E717" s="51"/>
      <c r="F717" s="12"/>
      <c r="G717" s="12"/>
      <c r="H717" s="12"/>
      <c r="I717" s="74"/>
      <c r="J717" s="51"/>
    </row>
    <row r="718" ht="13.5" customHeight="1">
      <c r="E718" s="51"/>
      <c r="F718" s="12"/>
      <c r="G718" s="12"/>
      <c r="H718" s="12"/>
      <c r="I718" s="74"/>
      <c r="J718" s="51"/>
    </row>
    <row r="719" ht="13.5" customHeight="1">
      <c r="E719" s="51"/>
      <c r="F719" s="12"/>
      <c r="G719" s="12"/>
      <c r="H719" s="12"/>
      <c r="I719" s="74"/>
      <c r="J719" s="51"/>
    </row>
    <row r="720" ht="13.5" customHeight="1">
      <c r="E720" s="51"/>
      <c r="F720" s="12"/>
      <c r="G720" s="12"/>
      <c r="H720" s="12"/>
      <c r="I720" s="74"/>
      <c r="J720" s="51"/>
    </row>
    <row r="721" ht="13.5" customHeight="1">
      <c r="E721" s="51"/>
      <c r="F721" s="12"/>
      <c r="G721" s="12"/>
      <c r="H721" s="12"/>
      <c r="I721" s="74"/>
      <c r="J721" s="51"/>
    </row>
    <row r="722" ht="13.5" customHeight="1">
      <c r="E722" s="51"/>
      <c r="F722" s="12"/>
      <c r="G722" s="12"/>
      <c r="H722" s="12"/>
      <c r="I722" s="74"/>
      <c r="J722" s="51"/>
    </row>
    <row r="723" ht="13.5" customHeight="1">
      <c r="E723" s="51"/>
      <c r="F723" s="12"/>
      <c r="G723" s="12"/>
      <c r="H723" s="12"/>
      <c r="I723" s="74"/>
      <c r="J723" s="51"/>
    </row>
    <row r="724" ht="13.5" customHeight="1">
      <c r="E724" s="51"/>
      <c r="F724" s="12"/>
      <c r="G724" s="12"/>
      <c r="H724" s="12"/>
      <c r="I724" s="74"/>
      <c r="J724" s="51"/>
    </row>
    <row r="725" ht="13.5" customHeight="1">
      <c r="E725" s="51"/>
      <c r="F725" s="12"/>
      <c r="G725" s="12"/>
      <c r="H725" s="12"/>
      <c r="I725" s="74"/>
      <c r="J725" s="51"/>
    </row>
    <row r="726" ht="13.5" customHeight="1">
      <c r="E726" s="51"/>
      <c r="F726" s="12"/>
      <c r="G726" s="12"/>
      <c r="H726" s="12"/>
      <c r="I726" s="74"/>
      <c r="J726" s="51"/>
    </row>
    <row r="727" ht="13.5" customHeight="1">
      <c r="E727" s="51"/>
      <c r="F727" s="12"/>
      <c r="G727" s="12"/>
      <c r="H727" s="12"/>
      <c r="I727" s="74"/>
      <c r="J727" s="51"/>
    </row>
    <row r="728" ht="13.5" customHeight="1">
      <c r="E728" s="51"/>
      <c r="F728" s="12"/>
      <c r="G728" s="12"/>
      <c r="H728" s="12"/>
      <c r="I728" s="74"/>
      <c r="J728" s="51"/>
    </row>
    <row r="729" ht="13.5" customHeight="1">
      <c r="E729" s="51"/>
      <c r="F729" s="12"/>
      <c r="G729" s="12"/>
      <c r="H729" s="12"/>
      <c r="I729" s="74"/>
      <c r="J729" s="51"/>
    </row>
    <row r="730" ht="13.5" customHeight="1">
      <c r="E730" s="51"/>
      <c r="F730" s="12"/>
      <c r="G730" s="12"/>
      <c r="H730" s="12"/>
      <c r="I730" s="74"/>
      <c r="J730" s="51"/>
    </row>
    <row r="731" ht="13.5" customHeight="1">
      <c r="E731" s="51"/>
      <c r="F731" s="12"/>
      <c r="G731" s="12"/>
      <c r="H731" s="12"/>
      <c r="I731" s="74"/>
      <c r="J731" s="51"/>
    </row>
    <row r="732" ht="13.5" customHeight="1">
      <c r="E732" s="51"/>
      <c r="F732" s="12"/>
      <c r="G732" s="12"/>
      <c r="H732" s="12"/>
      <c r="I732" s="74"/>
      <c r="J732" s="51"/>
    </row>
    <row r="733" ht="13.5" customHeight="1">
      <c r="E733" s="51"/>
      <c r="F733" s="12"/>
      <c r="G733" s="12"/>
      <c r="H733" s="12"/>
      <c r="I733" s="74"/>
      <c r="J733" s="51"/>
    </row>
    <row r="734" ht="13.5" customHeight="1">
      <c r="E734" s="51"/>
      <c r="F734" s="12"/>
      <c r="G734" s="12"/>
      <c r="H734" s="12"/>
      <c r="I734" s="74"/>
      <c r="J734" s="51"/>
    </row>
    <row r="735" ht="13.5" customHeight="1">
      <c r="E735" s="51"/>
      <c r="F735" s="12"/>
      <c r="G735" s="12"/>
      <c r="H735" s="12"/>
      <c r="I735" s="74"/>
      <c r="J735" s="51"/>
    </row>
    <row r="736" ht="13.5" customHeight="1">
      <c r="E736" s="51"/>
      <c r="F736" s="12"/>
      <c r="G736" s="12"/>
      <c r="H736" s="12"/>
      <c r="I736" s="74"/>
      <c r="J736" s="51"/>
    </row>
    <row r="737" ht="13.5" customHeight="1">
      <c r="E737" s="51"/>
      <c r="F737" s="12"/>
      <c r="G737" s="12"/>
      <c r="H737" s="12"/>
      <c r="I737" s="74"/>
      <c r="J737" s="51"/>
    </row>
    <row r="738" ht="13.5" customHeight="1">
      <c r="E738" s="51"/>
      <c r="F738" s="12"/>
      <c r="G738" s="12"/>
      <c r="H738" s="12"/>
      <c r="I738" s="74"/>
      <c r="J738" s="51"/>
    </row>
    <row r="739" ht="13.5" customHeight="1">
      <c r="E739" s="51"/>
      <c r="F739" s="12"/>
      <c r="G739" s="12"/>
      <c r="H739" s="12"/>
      <c r="I739" s="74"/>
      <c r="J739" s="51"/>
    </row>
    <row r="740" ht="13.5" customHeight="1">
      <c r="E740" s="51"/>
      <c r="F740" s="12"/>
      <c r="G740" s="12"/>
      <c r="H740" s="12"/>
      <c r="I740" s="74"/>
      <c r="J740" s="51"/>
    </row>
    <row r="741" ht="13.5" customHeight="1">
      <c r="E741" s="51"/>
      <c r="F741" s="12"/>
      <c r="G741" s="12"/>
      <c r="H741" s="12"/>
      <c r="I741" s="74"/>
      <c r="J741" s="51"/>
    </row>
    <row r="742" ht="13.5" customHeight="1">
      <c r="E742" s="51"/>
      <c r="F742" s="12"/>
      <c r="G742" s="12"/>
      <c r="H742" s="12"/>
      <c r="I742" s="74"/>
      <c r="J742" s="51"/>
    </row>
    <row r="743" ht="13.5" customHeight="1">
      <c r="E743" s="51"/>
      <c r="F743" s="12"/>
      <c r="G743" s="12"/>
      <c r="H743" s="12"/>
      <c r="I743" s="74"/>
      <c r="J743" s="51"/>
    </row>
    <row r="744" ht="13.5" customHeight="1">
      <c r="E744" s="51"/>
      <c r="F744" s="12"/>
      <c r="G744" s="12"/>
      <c r="H744" s="12"/>
      <c r="I744" s="74"/>
      <c r="J744" s="51"/>
    </row>
    <row r="745" ht="13.5" customHeight="1">
      <c r="E745" s="51"/>
      <c r="F745" s="12"/>
      <c r="G745" s="12"/>
      <c r="H745" s="12"/>
      <c r="I745" s="74"/>
      <c r="J745" s="51"/>
    </row>
    <row r="746" ht="13.5" customHeight="1">
      <c r="E746" s="51"/>
      <c r="F746" s="12"/>
      <c r="G746" s="12"/>
      <c r="H746" s="12"/>
      <c r="I746" s="74"/>
      <c r="J746" s="51"/>
    </row>
    <row r="747" ht="13.5" customHeight="1">
      <c r="E747" s="51"/>
      <c r="F747" s="12"/>
      <c r="G747" s="12"/>
      <c r="H747" s="12"/>
      <c r="I747" s="74"/>
      <c r="J747" s="51"/>
    </row>
    <row r="748" ht="13.5" customHeight="1">
      <c r="E748" s="51"/>
      <c r="F748" s="12"/>
      <c r="G748" s="12"/>
      <c r="H748" s="12"/>
      <c r="I748" s="74"/>
      <c r="J748" s="51"/>
    </row>
    <row r="749" ht="13.5" customHeight="1">
      <c r="E749" s="51"/>
      <c r="F749" s="12"/>
      <c r="G749" s="12"/>
      <c r="H749" s="12"/>
      <c r="I749" s="74"/>
      <c r="J749" s="51"/>
    </row>
    <row r="750" ht="13.5" customHeight="1">
      <c r="E750" s="51"/>
      <c r="F750" s="12"/>
      <c r="G750" s="12"/>
      <c r="H750" s="12"/>
      <c r="I750" s="74"/>
      <c r="J750" s="51"/>
    </row>
    <row r="751" ht="13.5" customHeight="1">
      <c r="E751" s="51"/>
      <c r="F751" s="12"/>
      <c r="G751" s="12"/>
      <c r="H751" s="12"/>
      <c r="I751" s="74"/>
      <c r="J751" s="51"/>
    </row>
    <row r="752" ht="13.5" customHeight="1">
      <c r="E752" s="51"/>
      <c r="F752" s="12"/>
      <c r="G752" s="12"/>
      <c r="H752" s="12"/>
      <c r="I752" s="74"/>
      <c r="J752" s="51"/>
    </row>
    <row r="753" ht="13.5" customHeight="1">
      <c r="E753" s="51"/>
      <c r="F753" s="12"/>
      <c r="G753" s="12"/>
      <c r="H753" s="12"/>
      <c r="I753" s="74"/>
      <c r="J753" s="51"/>
    </row>
    <row r="754" ht="13.5" customHeight="1">
      <c r="E754" s="51"/>
      <c r="F754" s="12"/>
      <c r="G754" s="12"/>
      <c r="H754" s="12"/>
      <c r="I754" s="74"/>
      <c r="J754" s="51"/>
    </row>
    <row r="755" ht="13.5" customHeight="1">
      <c r="E755" s="51"/>
      <c r="F755" s="12"/>
      <c r="G755" s="12"/>
      <c r="H755" s="12"/>
      <c r="I755" s="74"/>
      <c r="J755" s="51"/>
    </row>
    <row r="756" ht="13.5" customHeight="1">
      <c r="E756" s="51"/>
      <c r="F756" s="12"/>
      <c r="G756" s="12"/>
      <c r="H756" s="12"/>
      <c r="I756" s="74"/>
      <c r="J756" s="51"/>
    </row>
    <row r="757" ht="13.5" customHeight="1">
      <c r="E757" s="51"/>
      <c r="F757" s="12"/>
      <c r="G757" s="12"/>
      <c r="H757" s="12"/>
      <c r="I757" s="74"/>
      <c r="J757" s="51"/>
    </row>
    <row r="758" ht="13.5" customHeight="1">
      <c r="E758" s="51"/>
      <c r="F758" s="12"/>
      <c r="G758" s="12"/>
      <c r="H758" s="12"/>
      <c r="I758" s="74"/>
      <c r="J758" s="51"/>
    </row>
    <row r="759" ht="13.5" customHeight="1">
      <c r="E759" s="51"/>
      <c r="F759" s="12"/>
      <c r="G759" s="12"/>
      <c r="H759" s="12"/>
      <c r="I759" s="74"/>
      <c r="J759" s="51"/>
    </row>
    <row r="760" ht="13.5" customHeight="1">
      <c r="E760" s="51"/>
      <c r="F760" s="12"/>
      <c r="G760" s="12"/>
      <c r="H760" s="12"/>
      <c r="I760" s="74"/>
      <c r="J760" s="51"/>
    </row>
    <row r="761" ht="13.5" customHeight="1">
      <c r="E761" s="51"/>
      <c r="F761" s="12"/>
      <c r="G761" s="12"/>
      <c r="H761" s="12"/>
      <c r="I761" s="74"/>
      <c r="J761" s="51"/>
    </row>
    <row r="762" ht="13.5" customHeight="1">
      <c r="E762" s="51"/>
      <c r="F762" s="12"/>
      <c r="G762" s="12"/>
      <c r="H762" s="12"/>
      <c r="I762" s="74"/>
      <c r="J762" s="51"/>
    </row>
    <row r="763" ht="13.5" customHeight="1">
      <c r="E763" s="51"/>
      <c r="F763" s="12"/>
      <c r="G763" s="12"/>
      <c r="H763" s="12"/>
      <c r="I763" s="74"/>
      <c r="J763" s="51"/>
    </row>
    <row r="764" ht="13.5" customHeight="1">
      <c r="E764" s="51"/>
      <c r="F764" s="12"/>
      <c r="G764" s="12"/>
      <c r="H764" s="12"/>
      <c r="I764" s="74"/>
      <c r="J764" s="51"/>
    </row>
    <row r="765" ht="13.5" customHeight="1">
      <c r="E765" s="51"/>
      <c r="F765" s="12"/>
      <c r="G765" s="12"/>
      <c r="H765" s="12"/>
      <c r="I765" s="74"/>
      <c r="J765" s="51"/>
    </row>
    <row r="766" ht="13.5" customHeight="1">
      <c r="E766" s="51"/>
      <c r="F766" s="12"/>
      <c r="G766" s="12"/>
      <c r="H766" s="12"/>
      <c r="I766" s="74"/>
      <c r="J766" s="51"/>
    </row>
    <row r="767" ht="13.5" customHeight="1">
      <c r="E767" s="51"/>
      <c r="F767" s="12"/>
      <c r="G767" s="12"/>
      <c r="H767" s="12"/>
      <c r="I767" s="74"/>
      <c r="J767" s="51"/>
    </row>
    <row r="768" ht="13.5" customHeight="1">
      <c r="E768" s="51"/>
      <c r="F768" s="12"/>
      <c r="G768" s="12"/>
      <c r="H768" s="12"/>
      <c r="I768" s="74"/>
      <c r="J768" s="51"/>
    </row>
    <row r="769" ht="13.5" customHeight="1">
      <c r="E769" s="51"/>
      <c r="F769" s="12"/>
      <c r="G769" s="12"/>
      <c r="H769" s="12"/>
      <c r="I769" s="74"/>
      <c r="J769" s="51"/>
    </row>
    <row r="770" ht="13.5" customHeight="1">
      <c r="E770" s="51"/>
      <c r="F770" s="12"/>
      <c r="G770" s="12"/>
      <c r="H770" s="12"/>
      <c r="I770" s="74"/>
      <c r="J770" s="51"/>
    </row>
    <row r="771" ht="13.5" customHeight="1">
      <c r="E771" s="51"/>
      <c r="F771" s="12"/>
      <c r="G771" s="12"/>
      <c r="H771" s="12"/>
      <c r="I771" s="74"/>
      <c r="J771" s="51"/>
    </row>
    <row r="772" ht="13.5" customHeight="1">
      <c r="E772" s="51"/>
      <c r="F772" s="12"/>
      <c r="G772" s="12"/>
      <c r="H772" s="12"/>
      <c r="I772" s="74"/>
      <c r="J772" s="51"/>
    </row>
    <row r="773" ht="13.5" customHeight="1">
      <c r="E773" s="51"/>
      <c r="F773" s="12"/>
      <c r="G773" s="12"/>
      <c r="H773" s="12"/>
      <c r="I773" s="74"/>
      <c r="J773" s="51"/>
    </row>
    <row r="774" ht="13.5" customHeight="1">
      <c r="E774" s="51"/>
      <c r="F774" s="12"/>
      <c r="G774" s="12"/>
      <c r="H774" s="12"/>
      <c r="I774" s="74"/>
      <c r="J774" s="51"/>
    </row>
    <row r="775" ht="13.5" customHeight="1">
      <c r="E775" s="51"/>
      <c r="F775" s="12"/>
      <c r="G775" s="12"/>
      <c r="H775" s="12"/>
      <c r="I775" s="74"/>
      <c r="J775" s="51"/>
    </row>
    <row r="776" ht="13.5" customHeight="1">
      <c r="E776" s="51"/>
      <c r="F776" s="12"/>
      <c r="G776" s="12"/>
      <c r="H776" s="12"/>
      <c r="I776" s="74"/>
      <c r="J776" s="51"/>
    </row>
    <row r="777" ht="13.5" customHeight="1">
      <c r="E777" s="51"/>
      <c r="F777" s="12"/>
      <c r="G777" s="12"/>
      <c r="H777" s="12"/>
      <c r="I777" s="74"/>
      <c r="J777" s="51"/>
    </row>
    <row r="778" ht="13.5" customHeight="1">
      <c r="E778" s="51"/>
      <c r="F778" s="12"/>
      <c r="G778" s="12"/>
      <c r="H778" s="12"/>
      <c r="I778" s="74"/>
      <c r="J778" s="51"/>
    </row>
    <row r="779" ht="13.5" customHeight="1">
      <c r="E779" s="51"/>
      <c r="F779" s="12"/>
      <c r="G779" s="12"/>
      <c r="H779" s="12"/>
      <c r="I779" s="74"/>
      <c r="J779" s="51"/>
    </row>
    <row r="780" ht="13.5" customHeight="1">
      <c r="E780" s="51"/>
      <c r="F780" s="12"/>
      <c r="G780" s="12"/>
      <c r="H780" s="12"/>
      <c r="I780" s="74"/>
      <c r="J780" s="51"/>
    </row>
    <row r="781" ht="13.5" customHeight="1">
      <c r="E781" s="51"/>
      <c r="F781" s="12"/>
      <c r="G781" s="12"/>
      <c r="H781" s="12"/>
      <c r="I781" s="74"/>
      <c r="J781" s="51"/>
    </row>
    <row r="782" ht="13.5" customHeight="1">
      <c r="E782" s="51"/>
      <c r="F782" s="12"/>
      <c r="G782" s="12"/>
      <c r="H782" s="12"/>
      <c r="I782" s="74"/>
      <c r="J782" s="51"/>
    </row>
    <row r="783" ht="13.5" customHeight="1">
      <c r="E783" s="51"/>
      <c r="F783" s="12"/>
      <c r="G783" s="12"/>
      <c r="H783" s="12"/>
      <c r="I783" s="74"/>
      <c r="J783" s="51"/>
    </row>
    <row r="784" ht="13.5" customHeight="1">
      <c r="E784" s="51"/>
      <c r="F784" s="12"/>
      <c r="G784" s="12"/>
      <c r="H784" s="12"/>
      <c r="I784" s="74"/>
      <c r="J784" s="51"/>
    </row>
    <row r="785" ht="13.5" customHeight="1">
      <c r="E785" s="51"/>
      <c r="F785" s="12"/>
      <c r="G785" s="12"/>
      <c r="H785" s="12"/>
      <c r="I785" s="74"/>
      <c r="J785" s="51"/>
    </row>
    <row r="786" ht="13.5" customHeight="1">
      <c r="E786" s="51"/>
      <c r="F786" s="12"/>
      <c r="G786" s="12"/>
      <c r="H786" s="12"/>
      <c r="I786" s="74"/>
      <c r="J786" s="51"/>
    </row>
    <row r="787" ht="13.5" customHeight="1">
      <c r="E787" s="51"/>
      <c r="F787" s="12"/>
      <c r="G787" s="12"/>
      <c r="H787" s="12"/>
      <c r="I787" s="74"/>
      <c r="J787" s="51"/>
    </row>
    <row r="788" ht="13.5" customHeight="1">
      <c r="E788" s="51"/>
      <c r="F788" s="12"/>
      <c r="G788" s="12"/>
      <c r="H788" s="12"/>
      <c r="I788" s="74"/>
      <c r="J788" s="51"/>
    </row>
    <row r="789" ht="13.5" customHeight="1">
      <c r="E789" s="51"/>
      <c r="F789" s="12"/>
      <c r="G789" s="12"/>
      <c r="H789" s="12"/>
      <c r="I789" s="74"/>
      <c r="J789" s="51"/>
    </row>
    <row r="790" ht="13.5" customHeight="1">
      <c r="E790" s="51"/>
      <c r="F790" s="12"/>
      <c r="G790" s="12"/>
      <c r="H790" s="12"/>
      <c r="I790" s="74"/>
      <c r="J790" s="51"/>
    </row>
    <row r="791" ht="13.5" customHeight="1">
      <c r="E791" s="51"/>
      <c r="F791" s="12"/>
      <c r="G791" s="12"/>
      <c r="H791" s="12"/>
      <c r="I791" s="74"/>
      <c r="J791" s="51"/>
    </row>
    <row r="792" ht="13.5" customHeight="1">
      <c r="E792" s="51"/>
      <c r="F792" s="12"/>
      <c r="G792" s="12"/>
      <c r="H792" s="12"/>
      <c r="I792" s="74"/>
      <c r="J792" s="51"/>
    </row>
    <row r="793" ht="13.5" customHeight="1">
      <c r="E793" s="51"/>
      <c r="F793" s="12"/>
      <c r="G793" s="12"/>
      <c r="H793" s="12"/>
      <c r="I793" s="74"/>
      <c r="J793" s="51"/>
    </row>
    <row r="794" ht="13.5" customHeight="1">
      <c r="E794" s="51"/>
      <c r="F794" s="12"/>
      <c r="G794" s="12"/>
      <c r="H794" s="12"/>
      <c r="I794" s="74"/>
      <c r="J794" s="51"/>
    </row>
    <row r="795" ht="13.5" customHeight="1">
      <c r="E795" s="51"/>
      <c r="F795" s="12"/>
      <c r="G795" s="12"/>
      <c r="H795" s="12"/>
      <c r="I795" s="74"/>
      <c r="J795" s="51"/>
    </row>
    <row r="796" ht="13.5" customHeight="1">
      <c r="E796" s="51"/>
      <c r="F796" s="12"/>
      <c r="G796" s="12"/>
      <c r="H796" s="12"/>
      <c r="I796" s="74"/>
      <c r="J796" s="51"/>
    </row>
    <row r="797" ht="13.5" customHeight="1">
      <c r="E797" s="51"/>
      <c r="F797" s="12"/>
      <c r="G797" s="12"/>
      <c r="H797" s="12"/>
      <c r="I797" s="74"/>
      <c r="J797" s="51"/>
    </row>
    <row r="798" ht="13.5" customHeight="1">
      <c r="E798" s="51"/>
      <c r="F798" s="12"/>
      <c r="G798" s="12"/>
      <c r="H798" s="12"/>
      <c r="I798" s="74"/>
      <c r="J798" s="51"/>
    </row>
    <row r="799" ht="13.5" customHeight="1">
      <c r="E799" s="51"/>
      <c r="F799" s="12"/>
      <c r="G799" s="12"/>
      <c r="H799" s="12"/>
      <c r="I799" s="74"/>
      <c r="J799" s="51"/>
    </row>
    <row r="800" ht="13.5" customHeight="1">
      <c r="E800" s="51"/>
      <c r="F800" s="12"/>
      <c r="G800" s="12"/>
      <c r="H800" s="12"/>
      <c r="I800" s="74"/>
      <c r="J800" s="51"/>
    </row>
    <row r="801" ht="13.5" customHeight="1">
      <c r="E801" s="51"/>
      <c r="F801" s="12"/>
      <c r="G801" s="12"/>
      <c r="H801" s="12"/>
      <c r="I801" s="74"/>
      <c r="J801" s="51"/>
    </row>
    <row r="802" ht="13.5" customHeight="1">
      <c r="E802" s="51"/>
      <c r="F802" s="12"/>
      <c r="G802" s="12"/>
      <c r="H802" s="12"/>
      <c r="I802" s="74"/>
      <c r="J802" s="51"/>
    </row>
    <row r="803" ht="13.5" customHeight="1">
      <c r="E803" s="51"/>
      <c r="F803" s="12"/>
      <c r="G803" s="12"/>
      <c r="H803" s="12"/>
      <c r="I803" s="74"/>
      <c r="J803" s="51"/>
    </row>
    <row r="804" ht="13.5" customHeight="1">
      <c r="E804" s="51"/>
      <c r="F804" s="12"/>
      <c r="G804" s="12"/>
      <c r="H804" s="12"/>
      <c r="I804" s="74"/>
      <c r="J804" s="51"/>
    </row>
    <row r="805" ht="13.5" customHeight="1">
      <c r="E805" s="51"/>
      <c r="F805" s="12"/>
      <c r="G805" s="12"/>
      <c r="H805" s="12"/>
      <c r="I805" s="74"/>
      <c r="J805" s="51"/>
    </row>
    <row r="806" ht="13.5" customHeight="1">
      <c r="E806" s="51"/>
      <c r="F806" s="12"/>
      <c r="G806" s="12"/>
      <c r="H806" s="12"/>
      <c r="I806" s="74"/>
      <c r="J806" s="51"/>
    </row>
    <row r="807" ht="13.5" customHeight="1">
      <c r="E807" s="51"/>
      <c r="F807" s="12"/>
      <c r="G807" s="12"/>
      <c r="H807" s="12"/>
      <c r="I807" s="74"/>
      <c r="J807" s="51"/>
    </row>
    <row r="808" ht="13.5" customHeight="1">
      <c r="E808" s="51"/>
      <c r="F808" s="12"/>
      <c r="G808" s="12"/>
      <c r="H808" s="12"/>
      <c r="I808" s="74"/>
      <c r="J808" s="51"/>
    </row>
    <row r="809" ht="13.5" customHeight="1">
      <c r="E809" s="51"/>
      <c r="F809" s="12"/>
      <c r="G809" s="12"/>
      <c r="H809" s="12"/>
      <c r="I809" s="74"/>
      <c r="J809" s="51"/>
    </row>
    <row r="810" ht="13.5" customHeight="1">
      <c r="E810" s="51"/>
      <c r="F810" s="12"/>
      <c r="G810" s="12"/>
      <c r="H810" s="12"/>
      <c r="I810" s="74"/>
      <c r="J810" s="51"/>
    </row>
    <row r="811" ht="13.5" customHeight="1">
      <c r="E811" s="51"/>
      <c r="F811" s="12"/>
      <c r="G811" s="12"/>
      <c r="H811" s="12"/>
      <c r="I811" s="74"/>
      <c r="J811" s="51"/>
    </row>
    <row r="812" ht="13.5" customHeight="1">
      <c r="E812" s="51"/>
      <c r="F812" s="12"/>
      <c r="G812" s="12"/>
      <c r="H812" s="12"/>
      <c r="I812" s="74"/>
      <c r="J812" s="51"/>
    </row>
    <row r="813" ht="13.5" customHeight="1">
      <c r="E813" s="51"/>
      <c r="F813" s="12"/>
      <c r="G813" s="12"/>
      <c r="H813" s="12"/>
      <c r="I813" s="74"/>
      <c r="J813" s="51"/>
    </row>
    <row r="814" ht="13.5" customHeight="1">
      <c r="E814" s="51"/>
      <c r="F814" s="12"/>
      <c r="G814" s="12"/>
      <c r="H814" s="12"/>
      <c r="I814" s="74"/>
      <c r="J814" s="51"/>
    </row>
    <row r="815" ht="13.5" customHeight="1">
      <c r="E815" s="51"/>
      <c r="F815" s="12"/>
      <c r="G815" s="12"/>
      <c r="H815" s="12"/>
      <c r="I815" s="74"/>
      <c r="J815" s="51"/>
    </row>
    <row r="816" ht="13.5" customHeight="1">
      <c r="E816" s="51"/>
      <c r="F816" s="12"/>
      <c r="G816" s="12"/>
      <c r="H816" s="12"/>
      <c r="I816" s="74"/>
      <c r="J816" s="51"/>
    </row>
    <row r="817" ht="13.5" customHeight="1">
      <c r="E817" s="51"/>
      <c r="F817" s="12"/>
      <c r="G817" s="12"/>
      <c r="H817" s="12"/>
      <c r="I817" s="74"/>
      <c r="J817" s="51"/>
    </row>
    <row r="818" ht="13.5" customHeight="1">
      <c r="E818" s="51"/>
      <c r="F818" s="12"/>
      <c r="G818" s="12"/>
      <c r="H818" s="12"/>
      <c r="I818" s="74"/>
      <c r="J818" s="51"/>
    </row>
    <row r="819" ht="13.5" customHeight="1">
      <c r="E819" s="51"/>
      <c r="F819" s="12"/>
      <c r="G819" s="12"/>
      <c r="H819" s="12"/>
      <c r="I819" s="74"/>
      <c r="J819" s="51"/>
    </row>
    <row r="820" ht="13.5" customHeight="1">
      <c r="E820" s="51"/>
      <c r="F820" s="12"/>
      <c r="G820" s="12"/>
      <c r="H820" s="12"/>
      <c r="I820" s="74"/>
      <c r="J820" s="51"/>
    </row>
    <row r="821" ht="13.5" customHeight="1">
      <c r="E821" s="51"/>
      <c r="F821" s="12"/>
      <c r="G821" s="12"/>
      <c r="H821" s="12"/>
      <c r="I821" s="74"/>
      <c r="J821" s="51"/>
    </row>
    <row r="822" ht="13.5" customHeight="1">
      <c r="E822" s="51"/>
      <c r="F822" s="12"/>
      <c r="G822" s="12"/>
      <c r="H822" s="12"/>
      <c r="I822" s="74"/>
      <c r="J822" s="51"/>
    </row>
    <row r="823" ht="13.5" customHeight="1">
      <c r="E823" s="51"/>
      <c r="F823" s="12"/>
      <c r="G823" s="12"/>
      <c r="H823" s="12"/>
      <c r="I823" s="74"/>
      <c r="J823" s="51"/>
    </row>
    <row r="824" ht="13.5" customHeight="1">
      <c r="E824" s="51"/>
      <c r="F824" s="12"/>
      <c r="G824" s="12"/>
      <c r="H824" s="12"/>
      <c r="I824" s="74"/>
      <c r="J824" s="51"/>
    </row>
    <row r="825" ht="13.5" customHeight="1">
      <c r="E825" s="51"/>
      <c r="F825" s="12"/>
      <c r="G825" s="12"/>
      <c r="H825" s="12"/>
      <c r="I825" s="74"/>
      <c r="J825" s="51"/>
    </row>
    <row r="826" ht="13.5" customHeight="1">
      <c r="E826" s="51"/>
      <c r="F826" s="12"/>
      <c r="G826" s="12"/>
      <c r="H826" s="12"/>
      <c r="I826" s="74"/>
      <c r="J826" s="51"/>
    </row>
    <row r="827" ht="13.5" customHeight="1">
      <c r="E827" s="51"/>
      <c r="F827" s="12"/>
      <c r="G827" s="12"/>
      <c r="H827" s="12"/>
      <c r="I827" s="74"/>
      <c r="J827" s="51"/>
    </row>
    <row r="828" ht="13.5" customHeight="1">
      <c r="E828" s="51"/>
      <c r="F828" s="12"/>
      <c r="G828" s="12"/>
      <c r="H828" s="12"/>
      <c r="I828" s="74"/>
      <c r="J828" s="51"/>
    </row>
    <row r="829" ht="13.5" customHeight="1">
      <c r="E829" s="51"/>
      <c r="F829" s="12"/>
      <c r="G829" s="12"/>
      <c r="H829" s="12"/>
      <c r="I829" s="74"/>
      <c r="J829" s="51"/>
    </row>
    <row r="830" ht="13.5" customHeight="1">
      <c r="E830" s="51"/>
      <c r="F830" s="12"/>
      <c r="G830" s="12"/>
      <c r="H830" s="12"/>
      <c r="I830" s="74"/>
      <c r="J830" s="51"/>
    </row>
    <row r="831" ht="13.5" customHeight="1">
      <c r="E831" s="51"/>
      <c r="F831" s="12"/>
      <c r="G831" s="12"/>
      <c r="H831" s="12"/>
      <c r="I831" s="74"/>
      <c r="J831" s="51"/>
    </row>
    <row r="832" ht="13.5" customHeight="1">
      <c r="E832" s="51"/>
      <c r="F832" s="12"/>
      <c r="G832" s="12"/>
      <c r="H832" s="12"/>
      <c r="I832" s="74"/>
      <c r="J832" s="51"/>
    </row>
    <row r="833" ht="13.5" customHeight="1">
      <c r="E833" s="51"/>
      <c r="F833" s="12"/>
      <c r="G833" s="12"/>
      <c r="H833" s="12"/>
      <c r="I833" s="74"/>
      <c r="J833" s="51"/>
    </row>
    <row r="834" ht="13.5" customHeight="1">
      <c r="E834" s="51"/>
      <c r="F834" s="12"/>
      <c r="G834" s="12"/>
      <c r="H834" s="12"/>
      <c r="I834" s="74"/>
      <c r="J834" s="51"/>
    </row>
    <row r="835" ht="13.5" customHeight="1">
      <c r="E835" s="51"/>
      <c r="F835" s="12"/>
      <c r="G835" s="12"/>
      <c r="H835" s="12"/>
      <c r="I835" s="74"/>
      <c r="J835" s="51"/>
    </row>
    <row r="836" ht="13.5" customHeight="1">
      <c r="E836" s="51"/>
      <c r="F836" s="12"/>
      <c r="G836" s="12"/>
      <c r="H836" s="12"/>
      <c r="I836" s="74"/>
      <c r="J836" s="51"/>
    </row>
    <row r="837" ht="13.5" customHeight="1">
      <c r="E837" s="51"/>
      <c r="F837" s="12"/>
      <c r="G837" s="12"/>
      <c r="H837" s="12"/>
      <c r="I837" s="74"/>
      <c r="J837" s="51"/>
    </row>
    <row r="838" ht="13.5" customHeight="1">
      <c r="E838" s="51"/>
      <c r="F838" s="12"/>
      <c r="G838" s="12"/>
      <c r="H838" s="12"/>
      <c r="I838" s="74"/>
      <c r="J838" s="51"/>
    </row>
    <row r="839" ht="13.5" customHeight="1">
      <c r="E839" s="51"/>
      <c r="F839" s="12"/>
      <c r="G839" s="12"/>
      <c r="H839" s="12"/>
      <c r="I839" s="74"/>
      <c r="J839" s="51"/>
    </row>
    <row r="840" ht="13.5" customHeight="1">
      <c r="E840" s="51"/>
      <c r="F840" s="12"/>
      <c r="G840" s="12"/>
      <c r="H840" s="12"/>
      <c r="I840" s="74"/>
      <c r="J840" s="51"/>
    </row>
    <row r="841" ht="13.5" customHeight="1">
      <c r="E841" s="51"/>
      <c r="F841" s="12"/>
      <c r="G841" s="12"/>
      <c r="H841" s="12"/>
      <c r="I841" s="74"/>
      <c r="J841" s="51"/>
    </row>
    <row r="842" ht="13.5" customHeight="1">
      <c r="E842" s="51"/>
      <c r="F842" s="12"/>
      <c r="G842" s="12"/>
      <c r="H842" s="12"/>
      <c r="I842" s="74"/>
      <c r="J842" s="51"/>
    </row>
    <row r="843" ht="13.5" customHeight="1">
      <c r="E843" s="51"/>
      <c r="F843" s="12"/>
      <c r="G843" s="12"/>
      <c r="H843" s="12"/>
      <c r="I843" s="74"/>
      <c r="J843" s="51"/>
    </row>
    <row r="844" ht="13.5" customHeight="1">
      <c r="E844" s="51"/>
      <c r="F844" s="12"/>
      <c r="G844" s="12"/>
      <c r="H844" s="12"/>
      <c r="I844" s="74"/>
      <c r="J844" s="51"/>
    </row>
    <row r="845" ht="13.5" customHeight="1">
      <c r="E845" s="51"/>
      <c r="F845" s="12"/>
      <c r="G845" s="12"/>
      <c r="H845" s="12"/>
      <c r="I845" s="74"/>
      <c r="J845" s="51"/>
    </row>
    <row r="846" ht="13.5" customHeight="1">
      <c r="E846" s="51"/>
      <c r="F846" s="12"/>
      <c r="G846" s="12"/>
      <c r="H846" s="12"/>
      <c r="I846" s="74"/>
      <c r="J846" s="51"/>
    </row>
    <row r="847" ht="13.5" customHeight="1">
      <c r="E847" s="51"/>
      <c r="F847" s="12"/>
      <c r="G847" s="12"/>
      <c r="H847" s="12"/>
      <c r="I847" s="74"/>
      <c r="J847" s="51"/>
    </row>
    <row r="848" ht="13.5" customHeight="1">
      <c r="E848" s="51"/>
      <c r="F848" s="12"/>
      <c r="G848" s="12"/>
      <c r="H848" s="12"/>
      <c r="I848" s="74"/>
      <c r="J848" s="51"/>
    </row>
    <row r="849" ht="13.5" customHeight="1">
      <c r="E849" s="51"/>
      <c r="F849" s="12"/>
      <c r="G849" s="12"/>
      <c r="H849" s="12"/>
      <c r="I849" s="74"/>
      <c r="J849" s="51"/>
    </row>
    <row r="850" ht="13.5" customHeight="1">
      <c r="E850" s="51"/>
      <c r="F850" s="12"/>
      <c r="G850" s="12"/>
      <c r="H850" s="12"/>
      <c r="I850" s="74"/>
      <c r="J850" s="51"/>
    </row>
    <row r="851" ht="13.5" customHeight="1">
      <c r="E851" s="51"/>
      <c r="F851" s="12"/>
      <c r="G851" s="12"/>
      <c r="H851" s="12"/>
      <c r="I851" s="74"/>
      <c r="J851" s="51"/>
    </row>
    <row r="852" ht="13.5" customHeight="1">
      <c r="E852" s="51"/>
      <c r="F852" s="12"/>
      <c r="G852" s="12"/>
      <c r="H852" s="12"/>
      <c r="I852" s="74"/>
      <c r="J852" s="51"/>
    </row>
    <row r="853" ht="13.5" customHeight="1">
      <c r="E853" s="51"/>
      <c r="F853" s="12"/>
      <c r="G853" s="12"/>
      <c r="H853" s="12"/>
      <c r="I853" s="74"/>
      <c r="J853" s="51"/>
    </row>
    <row r="854" ht="13.5" customHeight="1">
      <c r="E854" s="51"/>
      <c r="F854" s="12"/>
      <c r="G854" s="12"/>
      <c r="H854" s="12"/>
      <c r="I854" s="74"/>
      <c r="J854" s="51"/>
    </row>
    <row r="855" ht="13.5" customHeight="1">
      <c r="E855" s="51"/>
      <c r="F855" s="12"/>
      <c r="G855" s="12"/>
      <c r="H855" s="12"/>
      <c r="I855" s="74"/>
      <c r="J855" s="51"/>
    </row>
    <row r="856" ht="13.5" customHeight="1">
      <c r="E856" s="51"/>
      <c r="F856" s="12"/>
      <c r="G856" s="12"/>
      <c r="H856" s="12"/>
      <c r="I856" s="74"/>
      <c r="J856" s="51"/>
    </row>
    <row r="857" ht="13.5" customHeight="1">
      <c r="E857" s="51"/>
      <c r="F857" s="12"/>
      <c r="G857" s="12"/>
      <c r="H857" s="12"/>
      <c r="I857" s="74"/>
      <c r="J857" s="51"/>
    </row>
    <row r="858" ht="13.5" customHeight="1">
      <c r="E858" s="51"/>
      <c r="F858" s="12"/>
      <c r="G858" s="12"/>
      <c r="H858" s="12"/>
      <c r="I858" s="74"/>
      <c r="J858" s="51"/>
    </row>
    <row r="859" ht="13.5" customHeight="1">
      <c r="E859" s="51"/>
      <c r="F859" s="12"/>
      <c r="G859" s="12"/>
      <c r="H859" s="12"/>
      <c r="I859" s="74"/>
      <c r="J859" s="51"/>
    </row>
    <row r="860" ht="13.5" customHeight="1">
      <c r="E860" s="51"/>
      <c r="F860" s="12"/>
      <c r="G860" s="12"/>
      <c r="H860" s="12"/>
      <c r="I860" s="74"/>
      <c r="J860" s="51"/>
    </row>
    <row r="861" ht="13.5" customHeight="1">
      <c r="E861" s="51"/>
      <c r="F861" s="12"/>
      <c r="G861" s="12"/>
      <c r="H861" s="12"/>
      <c r="I861" s="74"/>
      <c r="J861" s="51"/>
    </row>
    <row r="862" ht="13.5" customHeight="1">
      <c r="E862" s="51"/>
      <c r="F862" s="12"/>
      <c r="G862" s="12"/>
      <c r="H862" s="12"/>
      <c r="I862" s="74"/>
      <c r="J862" s="51"/>
    </row>
    <row r="863" ht="13.5" customHeight="1">
      <c r="E863" s="51"/>
      <c r="F863" s="12"/>
      <c r="G863" s="12"/>
      <c r="H863" s="12"/>
      <c r="I863" s="74"/>
      <c r="J863" s="51"/>
    </row>
    <row r="864" ht="13.5" customHeight="1">
      <c r="E864" s="51"/>
      <c r="F864" s="12"/>
      <c r="G864" s="12"/>
      <c r="H864" s="12"/>
      <c r="I864" s="74"/>
      <c r="J864" s="51"/>
    </row>
    <row r="865" ht="13.5" customHeight="1">
      <c r="E865" s="51"/>
      <c r="F865" s="12"/>
      <c r="G865" s="12"/>
      <c r="H865" s="12"/>
      <c r="I865" s="74"/>
      <c r="J865" s="51"/>
    </row>
    <row r="866" ht="13.5" customHeight="1">
      <c r="E866" s="51"/>
      <c r="F866" s="12"/>
      <c r="G866" s="12"/>
      <c r="H866" s="12"/>
      <c r="I866" s="74"/>
      <c r="J866" s="51"/>
    </row>
    <row r="867" ht="13.5" customHeight="1">
      <c r="E867" s="51"/>
      <c r="F867" s="12"/>
      <c r="G867" s="12"/>
      <c r="H867" s="12"/>
      <c r="I867" s="74"/>
      <c r="J867" s="51"/>
    </row>
    <row r="868" ht="13.5" customHeight="1">
      <c r="E868" s="51"/>
      <c r="F868" s="12"/>
      <c r="G868" s="12"/>
      <c r="H868" s="12"/>
      <c r="I868" s="74"/>
      <c r="J868" s="51"/>
    </row>
    <row r="869" ht="13.5" customHeight="1">
      <c r="E869" s="51"/>
      <c r="F869" s="12"/>
      <c r="G869" s="12"/>
      <c r="H869" s="12"/>
      <c r="I869" s="74"/>
      <c r="J869" s="51"/>
    </row>
    <row r="870" ht="13.5" customHeight="1">
      <c r="E870" s="51"/>
      <c r="F870" s="12"/>
      <c r="G870" s="12"/>
      <c r="H870" s="12"/>
      <c r="I870" s="74"/>
      <c r="J870" s="51"/>
    </row>
    <row r="871" ht="13.5" customHeight="1">
      <c r="E871" s="51"/>
      <c r="F871" s="12"/>
      <c r="G871" s="12"/>
      <c r="H871" s="12"/>
      <c r="I871" s="74"/>
      <c r="J871" s="51"/>
    </row>
    <row r="872" ht="13.5" customHeight="1">
      <c r="E872" s="51"/>
      <c r="F872" s="12"/>
      <c r="G872" s="12"/>
      <c r="H872" s="12"/>
      <c r="I872" s="74"/>
      <c r="J872" s="51"/>
    </row>
    <row r="873" ht="13.5" customHeight="1">
      <c r="E873" s="51"/>
      <c r="F873" s="12"/>
      <c r="G873" s="12"/>
      <c r="H873" s="12"/>
      <c r="I873" s="74"/>
      <c r="J873" s="51"/>
    </row>
    <row r="874" ht="13.5" customHeight="1">
      <c r="E874" s="51"/>
      <c r="F874" s="12"/>
      <c r="G874" s="12"/>
      <c r="H874" s="12"/>
      <c r="I874" s="74"/>
      <c r="J874" s="51"/>
    </row>
    <row r="875" ht="13.5" customHeight="1">
      <c r="E875" s="51"/>
      <c r="F875" s="12"/>
      <c r="G875" s="12"/>
      <c r="H875" s="12"/>
      <c r="I875" s="74"/>
      <c r="J875" s="51"/>
    </row>
    <row r="876" ht="13.5" customHeight="1">
      <c r="E876" s="51"/>
      <c r="F876" s="12"/>
      <c r="G876" s="12"/>
      <c r="H876" s="12"/>
      <c r="I876" s="74"/>
      <c r="J876" s="51"/>
    </row>
    <row r="877" ht="13.5" customHeight="1">
      <c r="E877" s="51"/>
      <c r="F877" s="12"/>
      <c r="G877" s="12"/>
      <c r="H877" s="12"/>
      <c r="I877" s="74"/>
      <c r="J877" s="51"/>
    </row>
    <row r="878" ht="13.5" customHeight="1">
      <c r="E878" s="51"/>
      <c r="F878" s="12"/>
      <c r="G878" s="12"/>
      <c r="H878" s="12"/>
      <c r="I878" s="74"/>
      <c r="J878" s="51"/>
    </row>
    <row r="879" ht="13.5" customHeight="1">
      <c r="E879" s="51"/>
      <c r="F879" s="12"/>
      <c r="G879" s="12"/>
      <c r="H879" s="12"/>
      <c r="I879" s="74"/>
      <c r="J879" s="51"/>
    </row>
    <row r="880" ht="13.5" customHeight="1">
      <c r="E880" s="51"/>
      <c r="F880" s="12"/>
      <c r="G880" s="12"/>
      <c r="H880" s="12"/>
      <c r="I880" s="74"/>
      <c r="J880" s="51"/>
    </row>
    <row r="881" ht="13.5" customHeight="1">
      <c r="E881" s="51"/>
      <c r="F881" s="12"/>
      <c r="G881" s="12"/>
      <c r="H881" s="12"/>
      <c r="I881" s="74"/>
      <c r="J881" s="51"/>
    </row>
    <row r="882" ht="13.5" customHeight="1">
      <c r="E882" s="51"/>
      <c r="F882" s="12"/>
      <c r="G882" s="12"/>
      <c r="H882" s="12"/>
      <c r="I882" s="74"/>
      <c r="J882" s="51"/>
    </row>
    <row r="883" ht="13.5" customHeight="1">
      <c r="E883" s="51"/>
      <c r="F883" s="12"/>
      <c r="G883" s="12"/>
      <c r="H883" s="12"/>
      <c r="I883" s="74"/>
      <c r="J883" s="51"/>
    </row>
    <row r="884" ht="13.5" customHeight="1">
      <c r="E884" s="51"/>
      <c r="F884" s="12"/>
      <c r="G884" s="12"/>
      <c r="H884" s="12"/>
      <c r="I884" s="74"/>
      <c r="J884" s="51"/>
    </row>
    <row r="885" ht="13.5" customHeight="1">
      <c r="E885" s="51"/>
      <c r="F885" s="12"/>
      <c r="G885" s="12"/>
      <c r="H885" s="12"/>
      <c r="I885" s="74"/>
      <c r="J885" s="51"/>
    </row>
    <row r="886" ht="13.5" customHeight="1">
      <c r="E886" s="51"/>
      <c r="F886" s="12"/>
      <c r="G886" s="12"/>
      <c r="H886" s="12"/>
      <c r="I886" s="74"/>
      <c r="J886" s="51"/>
    </row>
    <row r="887" ht="13.5" customHeight="1">
      <c r="E887" s="51"/>
      <c r="F887" s="12"/>
      <c r="G887" s="12"/>
      <c r="H887" s="12"/>
      <c r="I887" s="74"/>
      <c r="J887" s="51"/>
    </row>
    <row r="888" ht="13.5" customHeight="1">
      <c r="E888" s="51"/>
      <c r="F888" s="12"/>
      <c r="G888" s="12"/>
      <c r="H888" s="12"/>
      <c r="I888" s="74"/>
      <c r="J888" s="51"/>
    </row>
    <row r="889" ht="13.5" customHeight="1">
      <c r="E889" s="51"/>
      <c r="F889" s="12"/>
      <c r="G889" s="12"/>
      <c r="H889" s="12"/>
      <c r="I889" s="74"/>
      <c r="J889" s="51"/>
    </row>
    <row r="890" ht="13.5" customHeight="1">
      <c r="E890" s="51"/>
      <c r="F890" s="12"/>
      <c r="G890" s="12"/>
      <c r="H890" s="12"/>
      <c r="I890" s="74"/>
      <c r="J890" s="51"/>
    </row>
    <row r="891" ht="13.5" customHeight="1">
      <c r="E891" s="51"/>
      <c r="F891" s="12"/>
      <c r="G891" s="12"/>
      <c r="H891" s="12"/>
      <c r="I891" s="74"/>
      <c r="J891" s="51"/>
    </row>
    <row r="892" ht="13.5" customHeight="1">
      <c r="E892" s="51"/>
      <c r="F892" s="12"/>
      <c r="G892" s="12"/>
      <c r="H892" s="12"/>
      <c r="I892" s="74"/>
      <c r="J892" s="51"/>
    </row>
    <row r="893" ht="13.5" customHeight="1">
      <c r="E893" s="51"/>
      <c r="F893" s="12"/>
      <c r="G893" s="12"/>
      <c r="H893" s="12"/>
      <c r="I893" s="74"/>
      <c r="J893" s="51"/>
    </row>
    <row r="894" ht="13.5" customHeight="1">
      <c r="E894" s="51"/>
      <c r="F894" s="12"/>
      <c r="G894" s="12"/>
      <c r="H894" s="12"/>
      <c r="I894" s="74"/>
      <c r="J894" s="51"/>
    </row>
    <row r="895" ht="13.5" customHeight="1">
      <c r="E895" s="51"/>
      <c r="F895" s="12"/>
      <c r="G895" s="12"/>
      <c r="H895" s="12"/>
      <c r="I895" s="74"/>
      <c r="J895" s="51"/>
    </row>
    <row r="896" ht="13.5" customHeight="1">
      <c r="E896" s="51"/>
      <c r="F896" s="12"/>
      <c r="G896" s="12"/>
      <c r="H896" s="12"/>
      <c r="I896" s="74"/>
      <c r="J896" s="51"/>
    </row>
    <row r="897" ht="13.5" customHeight="1">
      <c r="E897" s="51"/>
      <c r="F897" s="12"/>
      <c r="G897" s="12"/>
      <c r="H897" s="12"/>
      <c r="I897" s="74"/>
      <c r="J897" s="51"/>
    </row>
    <row r="898" ht="13.5" customHeight="1">
      <c r="E898" s="51"/>
      <c r="F898" s="12"/>
      <c r="G898" s="12"/>
      <c r="H898" s="12"/>
      <c r="I898" s="74"/>
      <c r="J898" s="51"/>
    </row>
    <row r="899" ht="13.5" customHeight="1">
      <c r="E899" s="51"/>
      <c r="F899" s="12"/>
      <c r="G899" s="12"/>
      <c r="H899" s="12"/>
      <c r="I899" s="74"/>
      <c r="J899" s="51"/>
    </row>
    <row r="900" ht="13.5" customHeight="1">
      <c r="E900" s="51"/>
      <c r="F900" s="12"/>
      <c r="G900" s="12"/>
      <c r="H900" s="12"/>
      <c r="I900" s="74"/>
      <c r="J900" s="51"/>
    </row>
    <row r="901" ht="13.5" customHeight="1">
      <c r="E901" s="51"/>
      <c r="F901" s="12"/>
      <c r="G901" s="12"/>
      <c r="H901" s="12"/>
      <c r="I901" s="74"/>
      <c r="J901" s="51"/>
    </row>
    <row r="902" ht="13.5" customHeight="1">
      <c r="E902" s="51"/>
      <c r="F902" s="12"/>
      <c r="G902" s="12"/>
      <c r="H902" s="12"/>
      <c r="I902" s="74"/>
      <c r="J902" s="51"/>
    </row>
    <row r="903" ht="13.5" customHeight="1">
      <c r="E903" s="51"/>
      <c r="F903" s="12"/>
      <c r="G903" s="12"/>
      <c r="H903" s="12"/>
      <c r="I903" s="74"/>
      <c r="J903" s="51"/>
    </row>
    <row r="904" ht="13.5" customHeight="1">
      <c r="E904" s="51"/>
      <c r="F904" s="12"/>
      <c r="G904" s="12"/>
      <c r="H904" s="12"/>
      <c r="I904" s="74"/>
      <c r="J904" s="51"/>
    </row>
    <row r="905" ht="13.5" customHeight="1">
      <c r="E905" s="51"/>
      <c r="F905" s="12"/>
      <c r="G905" s="12"/>
      <c r="H905" s="12"/>
      <c r="I905" s="74"/>
      <c r="J905" s="51"/>
    </row>
    <row r="906" ht="13.5" customHeight="1">
      <c r="E906" s="51"/>
      <c r="F906" s="12"/>
      <c r="G906" s="12"/>
      <c r="H906" s="12"/>
      <c r="I906" s="74"/>
      <c r="J906" s="51"/>
    </row>
    <row r="907" ht="13.5" customHeight="1">
      <c r="E907" s="51"/>
      <c r="F907" s="12"/>
      <c r="G907" s="12"/>
      <c r="H907" s="12"/>
      <c r="I907" s="74"/>
      <c r="J907" s="51"/>
    </row>
    <row r="908" ht="13.5" customHeight="1">
      <c r="E908" s="51"/>
      <c r="F908" s="12"/>
      <c r="G908" s="12"/>
      <c r="H908" s="12"/>
      <c r="I908" s="74"/>
      <c r="J908" s="51"/>
    </row>
    <row r="909" ht="13.5" customHeight="1">
      <c r="E909" s="51"/>
      <c r="F909" s="12"/>
      <c r="G909" s="12"/>
      <c r="H909" s="12"/>
      <c r="I909" s="74"/>
      <c r="J909" s="51"/>
    </row>
    <row r="910" ht="13.5" customHeight="1">
      <c r="E910" s="51"/>
      <c r="F910" s="12"/>
      <c r="G910" s="12"/>
      <c r="H910" s="12"/>
      <c r="I910" s="74"/>
      <c r="J910" s="51"/>
    </row>
    <row r="911" ht="13.5" customHeight="1">
      <c r="E911" s="51"/>
      <c r="F911" s="12"/>
      <c r="G911" s="12"/>
      <c r="H911" s="12"/>
      <c r="I911" s="74"/>
      <c r="J911" s="51"/>
    </row>
    <row r="912" ht="13.5" customHeight="1">
      <c r="E912" s="51"/>
      <c r="F912" s="12"/>
      <c r="G912" s="12"/>
      <c r="H912" s="12"/>
      <c r="I912" s="74"/>
      <c r="J912" s="51"/>
    </row>
    <row r="913" ht="13.5" customHeight="1">
      <c r="E913" s="51"/>
      <c r="F913" s="12"/>
      <c r="G913" s="12"/>
      <c r="H913" s="12"/>
      <c r="I913" s="74"/>
      <c r="J913" s="51"/>
    </row>
    <row r="914" ht="13.5" customHeight="1">
      <c r="E914" s="51"/>
      <c r="F914" s="12"/>
      <c r="G914" s="12"/>
      <c r="H914" s="12"/>
      <c r="I914" s="74"/>
      <c r="J914" s="51"/>
    </row>
    <row r="915" ht="13.5" customHeight="1">
      <c r="E915" s="51"/>
      <c r="F915" s="12"/>
      <c r="G915" s="12"/>
      <c r="H915" s="12"/>
      <c r="I915" s="74"/>
      <c r="J915" s="51"/>
    </row>
    <row r="916" ht="13.5" customHeight="1">
      <c r="E916" s="51"/>
      <c r="F916" s="12"/>
      <c r="G916" s="12"/>
      <c r="H916" s="12"/>
      <c r="I916" s="74"/>
      <c r="J916" s="51"/>
    </row>
    <row r="917" ht="13.5" customHeight="1">
      <c r="E917" s="51"/>
      <c r="F917" s="12"/>
      <c r="G917" s="12"/>
      <c r="H917" s="12"/>
      <c r="I917" s="74"/>
      <c r="J917" s="51"/>
    </row>
    <row r="918" ht="13.5" customHeight="1">
      <c r="E918" s="51"/>
      <c r="F918" s="12"/>
      <c r="G918" s="12"/>
      <c r="H918" s="12"/>
      <c r="I918" s="74"/>
      <c r="J918" s="51"/>
    </row>
    <row r="919" ht="13.5" customHeight="1">
      <c r="E919" s="51"/>
      <c r="F919" s="12"/>
      <c r="G919" s="12"/>
      <c r="H919" s="12"/>
      <c r="I919" s="74"/>
      <c r="J919" s="51"/>
    </row>
    <row r="920" ht="13.5" customHeight="1">
      <c r="E920" s="51"/>
      <c r="F920" s="12"/>
      <c r="G920" s="12"/>
      <c r="H920" s="12"/>
      <c r="I920" s="74"/>
      <c r="J920" s="51"/>
    </row>
    <row r="921" ht="13.5" customHeight="1">
      <c r="E921" s="51"/>
      <c r="F921" s="12"/>
      <c r="G921" s="12"/>
      <c r="H921" s="12"/>
      <c r="I921" s="74"/>
      <c r="J921" s="51"/>
    </row>
    <row r="922" ht="13.5" customHeight="1">
      <c r="E922" s="51"/>
      <c r="F922" s="12"/>
      <c r="G922" s="12"/>
      <c r="H922" s="12"/>
      <c r="I922" s="74"/>
      <c r="J922" s="51"/>
    </row>
    <row r="923" ht="13.5" customHeight="1">
      <c r="E923" s="51"/>
      <c r="F923" s="12"/>
      <c r="G923" s="12"/>
      <c r="H923" s="12"/>
      <c r="I923" s="74"/>
      <c r="J923" s="51"/>
    </row>
    <row r="924" ht="13.5" customHeight="1">
      <c r="E924" s="51"/>
      <c r="F924" s="12"/>
      <c r="G924" s="12"/>
      <c r="H924" s="12"/>
      <c r="I924" s="74"/>
      <c r="J924" s="51"/>
    </row>
    <row r="925" ht="13.5" customHeight="1">
      <c r="E925" s="51"/>
      <c r="F925" s="12"/>
      <c r="G925" s="12"/>
      <c r="H925" s="12"/>
      <c r="I925" s="74"/>
      <c r="J925" s="51"/>
    </row>
    <row r="926" ht="13.5" customHeight="1">
      <c r="E926" s="51"/>
      <c r="F926" s="12"/>
      <c r="G926" s="12"/>
      <c r="H926" s="12"/>
      <c r="I926" s="74"/>
      <c r="J926" s="51"/>
    </row>
    <row r="927" ht="13.5" customHeight="1">
      <c r="E927" s="51"/>
      <c r="F927" s="12"/>
      <c r="G927" s="12"/>
      <c r="H927" s="12"/>
      <c r="I927" s="74"/>
      <c r="J927" s="51"/>
    </row>
    <row r="928" ht="13.5" customHeight="1">
      <c r="E928" s="51"/>
      <c r="F928" s="12"/>
      <c r="G928" s="12"/>
      <c r="H928" s="12"/>
      <c r="I928" s="74"/>
      <c r="J928" s="51"/>
    </row>
    <row r="929" ht="13.5" customHeight="1">
      <c r="E929" s="51"/>
      <c r="F929" s="12"/>
      <c r="G929" s="12"/>
      <c r="H929" s="12"/>
      <c r="I929" s="74"/>
      <c r="J929" s="51"/>
    </row>
    <row r="930" ht="13.5" customHeight="1">
      <c r="E930" s="51"/>
      <c r="F930" s="12"/>
      <c r="G930" s="12"/>
      <c r="H930" s="12"/>
      <c r="I930" s="74"/>
      <c r="J930" s="51"/>
    </row>
    <row r="931" ht="13.5" customHeight="1">
      <c r="E931" s="51"/>
      <c r="F931" s="12"/>
      <c r="G931" s="12"/>
      <c r="H931" s="12"/>
      <c r="I931" s="74"/>
      <c r="J931" s="51"/>
    </row>
    <row r="932" ht="13.5" customHeight="1">
      <c r="E932" s="51"/>
      <c r="F932" s="12"/>
      <c r="G932" s="12"/>
      <c r="H932" s="12"/>
      <c r="I932" s="74"/>
      <c r="J932" s="51"/>
    </row>
    <row r="933" ht="13.5" customHeight="1">
      <c r="E933" s="51"/>
      <c r="F933" s="12"/>
      <c r="G933" s="12"/>
      <c r="H933" s="12"/>
      <c r="I933" s="74"/>
      <c r="J933" s="51"/>
    </row>
    <row r="934" ht="13.5" customHeight="1">
      <c r="E934" s="51"/>
      <c r="F934" s="12"/>
      <c r="G934" s="12"/>
      <c r="H934" s="12"/>
      <c r="I934" s="74"/>
      <c r="J934" s="51"/>
    </row>
    <row r="935" ht="13.5" customHeight="1">
      <c r="E935" s="51"/>
      <c r="F935" s="12"/>
      <c r="G935" s="12"/>
      <c r="H935" s="12"/>
      <c r="I935" s="74"/>
      <c r="J935" s="51"/>
    </row>
    <row r="936" ht="13.5" customHeight="1">
      <c r="E936" s="51"/>
      <c r="F936" s="12"/>
      <c r="G936" s="12"/>
      <c r="H936" s="12"/>
      <c r="I936" s="74"/>
      <c r="J936" s="51"/>
    </row>
    <row r="937" ht="13.5" customHeight="1">
      <c r="E937" s="51"/>
      <c r="F937" s="12"/>
      <c r="G937" s="12"/>
      <c r="H937" s="12"/>
      <c r="I937" s="74"/>
      <c r="J937" s="51"/>
    </row>
    <row r="938" ht="13.5" customHeight="1">
      <c r="E938" s="51"/>
      <c r="F938" s="12"/>
      <c r="G938" s="12"/>
      <c r="H938" s="12"/>
      <c r="I938" s="74"/>
      <c r="J938" s="51"/>
    </row>
    <row r="939" ht="13.5" customHeight="1">
      <c r="E939" s="51"/>
      <c r="F939" s="12"/>
      <c r="G939" s="12"/>
      <c r="H939" s="12"/>
      <c r="I939" s="74"/>
      <c r="J939" s="51"/>
    </row>
    <row r="940" ht="13.5" customHeight="1">
      <c r="E940" s="51"/>
      <c r="F940" s="12"/>
      <c r="G940" s="12"/>
      <c r="H940" s="12"/>
      <c r="I940" s="74"/>
      <c r="J940" s="51"/>
    </row>
    <row r="941" ht="13.5" customHeight="1">
      <c r="E941" s="51"/>
      <c r="F941" s="12"/>
      <c r="G941" s="12"/>
      <c r="H941" s="12"/>
      <c r="I941" s="74"/>
      <c r="J941" s="51"/>
    </row>
    <row r="942" ht="13.5" customHeight="1">
      <c r="E942" s="51"/>
      <c r="F942" s="12"/>
      <c r="G942" s="12"/>
      <c r="H942" s="12"/>
      <c r="I942" s="74"/>
      <c r="J942" s="51"/>
    </row>
    <row r="943" ht="13.5" customHeight="1">
      <c r="E943" s="51"/>
      <c r="F943" s="12"/>
      <c r="G943" s="12"/>
      <c r="H943" s="12"/>
      <c r="I943" s="74"/>
      <c r="J943" s="51"/>
    </row>
    <row r="944" ht="13.5" customHeight="1">
      <c r="E944" s="51"/>
      <c r="F944" s="12"/>
      <c r="G944" s="12"/>
      <c r="H944" s="12"/>
      <c r="I944" s="74"/>
      <c r="J944" s="51"/>
    </row>
    <row r="945" ht="13.5" customHeight="1">
      <c r="E945" s="51"/>
      <c r="F945" s="12"/>
      <c r="G945" s="12"/>
      <c r="H945" s="12"/>
      <c r="I945" s="74"/>
      <c r="J945" s="51"/>
    </row>
    <row r="946" ht="13.5" customHeight="1">
      <c r="E946" s="51"/>
      <c r="F946" s="12"/>
      <c r="G946" s="12"/>
      <c r="H946" s="12"/>
      <c r="I946" s="74"/>
      <c r="J946" s="51"/>
    </row>
    <row r="947" ht="13.5" customHeight="1">
      <c r="E947" s="51"/>
      <c r="F947" s="12"/>
      <c r="G947" s="12"/>
      <c r="H947" s="12"/>
      <c r="I947" s="74"/>
      <c r="J947" s="51"/>
    </row>
    <row r="948" ht="13.5" customHeight="1">
      <c r="E948" s="51"/>
      <c r="F948" s="12"/>
      <c r="G948" s="12"/>
      <c r="H948" s="12"/>
      <c r="I948" s="74"/>
      <c r="J948" s="51"/>
    </row>
    <row r="949" ht="13.5" customHeight="1">
      <c r="E949" s="51"/>
      <c r="F949" s="12"/>
      <c r="G949" s="12"/>
      <c r="H949" s="12"/>
      <c r="I949" s="74"/>
      <c r="J949" s="51"/>
    </row>
    <row r="950" ht="13.5" customHeight="1">
      <c r="E950" s="51"/>
      <c r="F950" s="12"/>
      <c r="G950" s="12"/>
      <c r="H950" s="12"/>
      <c r="I950" s="74"/>
      <c r="J950" s="51"/>
    </row>
    <row r="951" ht="13.5" customHeight="1">
      <c r="E951" s="51"/>
      <c r="F951" s="12"/>
      <c r="G951" s="12"/>
      <c r="H951" s="12"/>
      <c r="I951" s="74"/>
      <c r="J951" s="51"/>
    </row>
    <row r="952" ht="13.5" customHeight="1">
      <c r="E952" s="51"/>
      <c r="F952" s="12"/>
      <c r="G952" s="12"/>
      <c r="H952" s="12"/>
      <c r="I952" s="74"/>
      <c r="J952" s="51"/>
    </row>
    <row r="953" ht="13.5" customHeight="1">
      <c r="E953" s="51"/>
      <c r="F953" s="12"/>
      <c r="G953" s="12"/>
      <c r="H953" s="12"/>
      <c r="I953" s="74"/>
      <c r="J953" s="51"/>
    </row>
    <row r="954" ht="13.5" customHeight="1">
      <c r="E954" s="51"/>
      <c r="F954" s="12"/>
      <c r="G954" s="12"/>
      <c r="H954" s="12"/>
      <c r="I954" s="74"/>
      <c r="J954" s="51"/>
    </row>
    <row r="955" ht="13.5" customHeight="1">
      <c r="E955" s="51"/>
      <c r="F955" s="12"/>
      <c r="G955" s="12"/>
      <c r="H955" s="12"/>
      <c r="I955" s="74"/>
      <c r="J955" s="51"/>
    </row>
    <row r="956" ht="13.5" customHeight="1">
      <c r="E956" s="51"/>
      <c r="F956" s="12"/>
      <c r="G956" s="12"/>
      <c r="H956" s="12"/>
      <c r="I956" s="74"/>
      <c r="J956" s="51"/>
    </row>
    <row r="957" ht="13.5" customHeight="1">
      <c r="E957" s="51"/>
      <c r="F957" s="12"/>
      <c r="G957" s="12"/>
      <c r="H957" s="12"/>
      <c r="I957" s="74"/>
      <c r="J957" s="51"/>
    </row>
    <row r="958" ht="13.5" customHeight="1">
      <c r="E958" s="51"/>
      <c r="F958" s="12"/>
      <c r="G958" s="12"/>
      <c r="H958" s="12"/>
      <c r="I958" s="74"/>
      <c r="J958" s="51"/>
    </row>
    <row r="959" ht="13.5" customHeight="1">
      <c r="E959" s="51"/>
      <c r="F959" s="12"/>
      <c r="G959" s="12"/>
      <c r="H959" s="12"/>
      <c r="I959" s="74"/>
      <c r="J959" s="51"/>
    </row>
    <row r="960" ht="13.5" customHeight="1">
      <c r="E960" s="51"/>
      <c r="F960" s="12"/>
      <c r="G960" s="12"/>
      <c r="H960" s="12"/>
      <c r="I960" s="74"/>
      <c r="J960" s="51"/>
    </row>
    <row r="961" ht="13.5" customHeight="1">
      <c r="E961" s="51"/>
      <c r="F961" s="12"/>
      <c r="G961" s="12"/>
      <c r="H961" s="12"/>
      <c r="I961" s="74"/>
      <c r="J961" s="51"/>
    </row>
    <row r="962" ht="13.5" customHeight="1">
      <c r="E962" s="51"/>
      <c r="F962" s="12"/>
      <c r="G962" s="12"/>
      <c r="H962" s="12"/>
      <c r="I962" s="74"/>
      <c r="J962" s="51"/>
    </row>
    <row r="963" ht="13.5" customHeight="1">
      <c r="E963" s="51"/>
      <c r="F963" s="12"/>
      <c r="G963" s="12"/>
      <c r="H963" s="12"/>
      <c r="I963" s="74"/>
      <c r="J963" s="51"/>
    </row>
    <row r="964" ht="13.5" customHeight="1">
      <c r="E964" s="51"/>
      <c r="F964" s="12"/>
      <c r="G964" s="12"/>
      <c r="H964" s="12"/>
      <c r="I964" s="74"/>
      <c r="J964" s="51"/>
    </row>
    <row r="965" ht="13.5" customHeight="1">
      <c r="E965" s="51"/>
      <c r="F965" s="12"/>
      <c r="G965" s="12"/>
      <c r="H965" s="12"/>
      <c r="I965" s="74"/>
      <c r="J965" s="51"/>
    </row>
    <row r="966" ht="13.5" customHeight="1">
      <c r="E966" s="51"/>
      <c r="F966" s="12"/>
      <c r="G966" s="12"/>
      <c r="H966" s="12"/>
      <c r="I966" s="74"/>
      <c r="J966" s="51"/>
    </row>
    <row r="967" ht="13.5" customHeight="1">
      <c r="E967" s="51"/>
      <c r="F967" s="12"/>
      <c r="G967" s="12"/>
      <c r="H967" s="12"/>
      <c r="I967" s="74"/>
      <c r="J967" s="51"/>
    </row>
    <row r="968" ht="13.5" customHeight="1">
      <c r="E968" s="51"/>
      <c r="F968" s="12"/>
      <c r="G968" s="12"/>
      <c r="H968" s="12"/>
      <c r="I968" s="74"/>
      <c r="J968" s="51"/>
    </row>
    <row r="969" ht="13.5" customHeight="1">
      <c r="E969" s="51"/>
      <c r="F969" s="12"/>
      <c r="G969" s="12"/>
      <c r="H969" s="12"/>
      <c r="I969" s="74"/>
      <c r="J969" s="51"/>
    </row>
    <row r="970" ht="13.5" customHeight="1">
      <c r="E970" s="51"/>
      <c r="F970" s="12"/>
      <c r="G970" s="12"/>
      <c r="H970" s="12"/>
      <c r="I970" s="74"/>
      <c r="J970" s="51"/>
    </row>
    <row r="971" ht="13.5" customHeight="1">
      <c r="E971" s="51"/>
      <c r="F971" s="12"/>
      <c r="G971" s="12"/>
      <c r="H971" s="12"/>
      <c r="I971" s="74"/>
      <c r="J971" s="51"/>
    </row>
    <row r="972" ht="13.5" customHeight="1">
      <c r="E972" s="51"/>
      <c r="F972" s="12"/>
      <c r="G972" s="12"/>
      <c r="H972" s="12"/>
      <c r="I972" s="74"/>
      <c r="J972" s="51"/>
    </row>
    <row r="973" ht="13.5" customHeight="1">
      <c r="E973" s="51"/>
      <c r="F973" s="12"/>
      <c r="G973" s="12"/>
      <c r="H973" s="12"/>
      <c r="I973" s="74"/>
      <c r="J973" s="51"/>
    </row>
    <row r="974" ht="13.5" customHeight="1">
      <c r="E974" s="51"/>
      <c r="F974" s="12"/>
      <c r="G974" s="12"/>
      <c r="H974" s="12"/>
      <c r="I974" s="74"/>
      <c r="J974" s="51"/>
    </row>
    <row r="975" ht="13.5" customHeight="1">
      <c r="E975" s="51"/>
      <c r="F975" s="12"/>
      <c r="G975" s="12"/>
      <c r="H975" s="12"/>
      <c r="I975" s="74"/>
      <c r="J975" s="51"/>
    </row>
    <row r="976" ht="13.5" customHeight="1">
      <c r="E976" s="51"/>
      <c r="F976" s="12"/>
      <c r="G976" s="12"/>
      <c r="H976" s="12"/>
      <c r="I976" s="74"/>
      <c r="J976" s="51"/>
    </row>
    <row r="977" ht="13.5" customHeight="1">
      <c r="E977" s="51"/>
      <c r="F977" s="12"/>
      <c r="G977" s="12"/>
      <c r="H977" s="12"/>
      <c r="I977" s="74"/>
      <c r="J977" s="51"/>
    </row>
    <row r="978" ht="13.5" customHeight="1">
      <c r="E978" s="51"/>
      <c r="F978" s="12"/>
      <c r="G978" s="12"/>
      <c r="H978" s="12"/>
      <c r="I978" s="74"/>
      <c r="J978" s="51"/>
    </row>
    <row r="979" ht="13.5" customHeight="1">
      <c r="E979" s="51"/>
      <c r="F979" s="12"/>
      <c r="G979" s="12"/>
      <c r="H979" s="12"/>
      <c r="I979" s="74"/>
      <c r="J979" s="51"/>
    </row>
    <row r="980" ht="13.5" customHeight="1">
      <c r="E980" s="51"/>
      <c r="F980" s="12"/>
      <c r="G980" s="12"/>
      <c r="H980" s="12"/>
      <c r="I980" s="74"/>
      <c r="J980" s="51"/>
    </row>
    <row r="981" ht="13.5" customHeight="1">
      <c r="E981" s="51"/>
      <c r="F981" s="12"/>
      <c r="G981" s="12"/>
      <c r="H981" s="12"/>
      <c r="I981" s="74"/>
      <c r="J981" s="51"/>
    </row>
    <row r="982" ht="13.5" customHeight="1">
      <c r="E982" s="51"/>
      <c r="F982" s="12"/>
      <c r="G982" s="12"/>
      <c r="H982" s="12"/>
      <c r="I982" s="74"/>
      <c r="J982" s="51"/>
    </row>
    <row r="983" ht="13.5" customHeight="1">
      <c r="E983" s="51"/>
      <c r="F983" s="12"/>
      <c r="G983" s="12"/>
      <c r="H983" s="12"/>
      <c r="I983" s="74"/>
      <c r="J983" s="51"/>
    </row>
    <row r="984" ht="13.5" customHeight="1">
      <c r="E984" s="51"/>
      <c r="F984" s="12"/>
      <c r="G984" s="12"/>
      <c r="H984" s="12"/>
      <c r="I984" s="74"/>
      <c r="J984" s="51"/>
    </row>
    <row r="985" ht="13.5" customHeight="1">
      <c r="E985" s="51"/>
      <c r="F985" s="12"/>
      <c r="G985" s="12"/>
      <c r="H985" s="12"/>
      <c r="I985" s="74"/>
      <c r="J985" s="51"/>
    </row>
    <row r="986" ht="13.5" customHeight="1">
      <c r="E986" s="51"/>
      <c r="F986" s="12"/>
      <c r="G986" s="12"/>
      <c r="H986" s="12"/>
      <c r="I986" s="74"/>
      <c r="J986" s="51"/>
    </row>
    <row r="987" ht="13.5" customHeight="1">
      <c r="E987" s="51"/>
      <c r="F987" s="12"/>
      <c r="G987" s="12"/>
      <c r="H987" s="12"/>
      <c r="I987" s="74"/>
      <c r="J987" s="51"/>
    </row>
    <row r="988" ht="13.5" customHeight="1">
      <c r="E988" s="51"/>
      <c r="F988" s="12"/>
      <c r="G988" s="12"/>
      <c r="H988" s="12"/>
      <c r="I988" s="74"/>
      <c r="J988" s="51"/>
    </row>
    <row r="989" ht="13.5" customHeight="1">
      <c r="E989" s="51"/>
      <c r="F989" s="12"/>
      <c r="G989" s="12"/>
      <c r="H989" s="12"/>
      <c r="I989" s="74"/>
      <c r="J989" s="51"/>
    </row>
    <row r="990" ht="13.5" customHeight="1">
      <c r="E990" s="51"/>
      <c r="F990" s="12"/>
      <c r="G990" s="12"/>
      <c r="H990" s="12"/>
      <c r="I990" s="74"/>
      <c r="J990" s="51"/>
    </row>
    <row r="991" ht="13.5" customHeight="1">
      <c r="E991" s="51"/>
      <c r="F991" s="12"/>
      <c r="G991" s="12"/>
      <c r="H991" s="12"/>
      <c r="I991" s="74"/>
      <c r="J991" s="51"/>
    </row>
    <row r="992" ht="13.5" customHeight="1">
      <c r="E992" s="51"/>
      <c r="F992" s="12"/>
      <c r="G992" s="12"/>
      <c r="H992" s="12"/>
      <c r="I992" s="74"/>
      <c r="J992" s="51"/>
    </row>
    <row r="993" ht="13.5" customHeight="1">
      <c r="E993" s="51"/>
      <c r="F993" s="12"/>
      <c r="G993" s="12"/>
      <c r="H993" s="12"/>
      <c r="I993" s="74"/>
      <c r="J993" s="51"/>
    </row>
    <row r="994" ht="13.5" customHeight="1">
      <c r="E994" s="51"/>
      <c r="F994" s="12"/>
      <c r="G994" s="12"/>
      <c r="H994" s="12"/>
      <c r="I994" s="74"/>
      <c r="J994" s="51"/>
    </row>
    <row r="995" ht="13.5" customHeight="1">
      <c r="E995" s="51"/>
      <c r="F995" s="12"/>
      <c r="G995" s="12"/>
      <c r="H995" s="12"/>
      <c r="I995" s="74"/>
      <c r="J995" s="51"/>
    </row>
    <row r="996" ht="13.5" customHeight="1">
      <c r="E996" s="51"/>
      <c r="F996" s="12"/>
      <c r="G996" s="12"/>
      <c r="H996" s="12"/>
      <c r="I996" s="74"/>
      <c r="J996" s="51"/>
    </row>
    <row r="997" ht="13.5" customHeight="1">
      <c r="E997" s="51"/>
      <c r="F997" s="12"/>
      <c r="G997" s="12"/>
      <c r="H997" s="12"/>
      <c r="I997" s="74"/>
      <c r="J997" s="51"/>
    </row>
    <row r="998" ht="13.5" customHeight="1">
      <c r="E998" s="51"/>
      <c r="F998" s="12"/>
      <c r="G998" s="12"/>
      <c r="H998" s="12"/>
      <c r="I998" s="74"/>
      <c r="J998" s="51"/>
    </row>
    <row r="999" ht="13.5" customHeight="1">
      <c r="E999" s="51"/>
      <c r="F999" s="12"/>
      <c r="G999" s="12"/>
      <c r="H999" s="12"/>
      <c r="I999" s="74"/>
      <c r="J999" s="51"/>
    </row>
    <row r="1000" ht="13.5" customHeight="1">
      <c r="E1000" s="51"/>
      <c r="F1000" s="12"/>
      <c r="G1000" s="12"/>
      <c r="H1000" s="12"/>
      <c r="I1000" s="74"/>
      <c r="J1000" s="5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0.13"/>
    <col customWidth="1" min="3" max="3" width="28.63"/>
    <col customWidth="1" min="4" max="4" width="7.88"/>
    <col customWidth="1" min="5" max="5" width="18.38"/>
    <col customWidth="1" min="6" max="6" width="6.38"/>
    <col customWidth="1" min="7" max="7" width="20.88"/>
    <col customWidth="1" min="8" max="8" width="9.88"/>
    <col customWidth="1" min="9" max="9" width="16.38"/>
    <col customWidth="1" min="10" max="10" width="18.88"/>
    <col customWidth="1" min="11" max="11" width="14.25"/>
    <col customWidth="1" min="12" max="12" width="19.38"/>
    <col customWidth="1" min="13" max="13" width="13.25"/>
    <col customWidth="1" min="14" max="14" width="9.88"/>
    <col customWidth="1" min="15" max="15" width="18.38"/>
    <col customWidth="1" min="16" max="16" width="22.88"/>
    <col customWidth="1" min="17" max="17" width="8.38"/>
    <col customWidth="1" min="18" max="18" width="15.25"/>
    <col customWidth="1" min="19" max="19" width="19.38"/>
    <col customWidth="1" min="20" max="20" width="15.38"/>
    <col customWidth="1" min="21" max="21" width="2.38"/>
    <col customWidth="1" min="22" max="22" width="2.63"/>
    <col customWidth="1" min="23" max="26" width="8.63"/>
  </cols>
  <sheetData>
    <row r="1" ht="13.5" customHeight="1">
      <c r="A1" s="50" t="s">
        <v>763</v>
      </c>
      <c r="B1" s="50" t="s">
        <v>764</v>
      </c>
      <c r="C1" s="50" t="s">
        <v>765</v>
      </c>
      <c r="D1" s="50" t="s">
        <v>1</v>
      </c>
      <c r="E1" s="50" t="s">
        <v>766</v>
      </c>
      <c r="F1" s="50" t="s">
        <v>767</v>
      </c>
      <c r="G1" s="50" t="s">
        <v>768</v>
      </c>
      <c r="H1" s="50" t="s">
        <v>769</v>
      </c>
      <c r="I1" s="50" t="s">
        <v>770</v>
      </c>
      <c r="J1" s="50" t="s">
        <v>771</v>
      </c>
      <c r="K1" s="50" t="s">
        <v>772</v>
      </c>
      <c r="L1" s="50" t="s">
        <v>773</v>
      </c>
      <c r="M1" s="50" t="s">
        <v>774</v>
      </c>
      <c r="N1" s="50" t="s">
        <v>165</v>
      </c>
      <c r="O1" s="50" t="s">
        <v>775</v>
      </c>
      <c r="P1" s="50" t="s">
        <v>776</v>
      </c>
      <c r="Q1" s="50" t="s">
        <v>5</v>
      </c>
      <c r="R1" s="50" t="s">
        <v>777</v>
      </c>
      <c r="S1" s="50" t="s">
        <v>778</v>
      </c>
      <c r="T1" s="50" t="s">
        <v>779</v>
      </c>
      <c r="U1" s="50" t="s">
        <v>780</v>
      </c>
      <c r="V1" s="50" t="s">
        <v>781</v>
      </c>
    </row>
    <row r="2" ht="13.5" customHeight="1">
      <c r="A2" s="163" t="s">
        <v>782</v>
      </c>
      <c r="B2" s="163" t="s">
        <v>783</v>
      </c>
      <c r="C2" s="163" t="s">
        <v>784</v>
      </c>
      <c r="D2" s="163" t="s">
        <v>785</v>
      </c>
      <c r="E2" s="164">
        <v>45545.0</v>
      </c>
      <c r="F2" s="163" t="s">
        <v>172</v>
      </c>
      <c r="G2" s="163">
        <v>-1.65</v>
      </c>
      <c r="H2" s="163">
        <v>-1.65</v>
      </c>
      <c r="I2" s="163"/>
      <c r="J2" s="163" t="s">
        <v>786</v>
      </c>
      <c r="K2" s="163"/>
      <c r="L2" s="163"/>
      <c r="M2" s="164">
        <v>45545.0</v>
      </c>
      <c r="N2" s="164">
        <v>45546.0</v>
      </c>
      <c r="O2" s="163" t="s">
        <v>787</v>
      </c>
      <c r="P2" s="163">
        <v>205826.0</v>
      </c>
      <c r="Q2" s="163" t="s">
        <v>788</v>
      </c>
      <c r="R2" s="163"/>
      <c r="S2" s="163"/>
      <c r="T2" s="163"/>
      <c r="U2" s="163"/>
      <c r="V2" s="163" t="s">
        <v>748</v>
      </c>
      <c r="W2" s="163"/>
      <c r="X2" s="163"/>
      <c r="Y2" s="163"/>
      <c r="Z2" s="163"/>
    </row>
    <row r="3" ht="13.5" customHeight="1">
      <c r="A3" s="163" t="s">
        <v>782</v>
      </c>
      <c r="B3" s="163" t="s">
        <v>783</v>
      </c>
      <c r="C3" s="163" t="s">
        <v>789</v>
      </c>
      <c r="D3" s="163" t="s">
        <v>785</v>
      </c>
      <c r="E3" s="164">
        <v>45545.0</v>
      </c>
      <c r="F3" s="163" t="s">
        <v>172</v>
      </c>
      <c r="G3" s="163">
        <v>-26.4</v>
      </c>
      <c r="H3" s="163">
        <v>-26.4</v>
      </c>
      <c r="I3" s="163"/>
      <c r="J3" s="163" t="s">
        <v>786</v>
      </c>
      <c r="K3" s="163"/>
      <c r="L3" s="163"/>
      <c r="M3" s="164">
        <v>45545.0</v>
      </c>
      <c r="N3" s="164">
        <v>45546.0</v>
      </c>
      <c r="O3" s="163" t="s">
        <v>787</v>
      </c>
      <c r="P3" s="163">
        <v>205826.0</v>
      </c>
      <c r="Q3" s="163" t="s">
        <v>788</v>
      </c>
      <c r="R3" s="163"/>
      <c r="S3" s="163"/>
      <c r="T3" s="163"/>
      <c r="U3" s="163"/>
      <c r="V3" s="163" t="s">
        <v>748</v>
      </c>
      <c r="W3" s="163"/>
      <c r="X3" s="163"/>
      <c r="Y3" s="163"/>
      <c r="Z3" s="163"/>
    </row>
    <row r="4" ht="13.5" customHeight="1">
      <c r="A4" s="163" t="s">
        <v>782</v>
      </c>
      <c r="B4" s="163" t="s">
        <v>783</v>
      </c>
      <c r="C4" s="163" t="s">
        <v>790</v>
      </c>
      <c r="D4" s="163" t="s">
        <v>785</v>
      </c>
      <c r="E4" s="164">
        <v>45545.0</v>
      </c>
      <c r="F4" s="163" t="s">
        <v>172</v>
      </c>
      <c r="G4" s="163">
        <v>-132.6</v>
      </c>
      <c r="H4" s="163">
        <v>-132.6</v>
      </c>
      <c r="I4" s="163"/>
      <c r="J4" s="163" t="s">
        <v>786</v>
      </c>
      <c r="K4" s="163"/>
      <c r="L4" s="163"/>
      <c r="M4" s="164">
        <v>45545.0</v>
      </c>
      <c r="N4" s="164">
        <v>45546.0</v>
      </c>
      <c r="O4" s="163" t="s">
        <v>787</v>
      </c>
      <c r="P4" s="163">
        <v>205826.0</v>
      </c>
      <c r="Q4" s="163" t="s">
        <v>788</v>
      </c>
      <c r="R4" s="163"/>
      <c r="S4" s="163"/>
      <c r="T4" s="163"/>
      <c r="U4" s="163"/>
      <c r="V4" s="163" t="s">
        <v>748</v>
      </c>
      <c r="W4" s="163"/>
      <c r="X4" s="163"/>
      <c r="Y4" s="163"/>
      <c r="Z4" s="163"/>
    </row>
    <row r="5" ht="13.5" customHeight="1">
      <c r="A5" s="163" t="s">
        <v>782</v>
      </c>
      <c r="B5" s="163" t="s">
        <v>783</v>
      </c>
      <c r="C5" s="163" t="s">
        <v>792</v>
      </c>
      <c r="D5" s="163" t="s">
        <v>785</v>
      </c>
      <c r="E5" s="164">
        <v>45545.0</v>
      </c>
      <c r="F5" s="163" t="s">
        <v>172</v>
      </c>
      <c r="G5" s="163">
        <v>-493.0</v>
      </c>
      <c r="H5" s="163">
        <v>-493.0</v>
      </c>
      <c r="I5" s="163"/>
      <c r="J5" s="163" t="s">
        <v>786</v>
      </c>
      <c r="K5" s="163"/>
      <c r="L5" s="163"/>
      <c r="M5" s="164">
        <v>45545.0</v>
      </c>
      <c r="N5" s="164">
        <v>45546.0</v>
      </c>
      <c r="O5" s="163" t="s">
        <v>787</v>
      </c>
      <c r="P5" s="163">
        <v>205826.0</v>
      </c>
      <c r="Q5" s="163" t="s">
        <v>788</v>
      </c>
      <c r="R5" s="163"/>
      <c r="S5" s="163"/>
      <c r="T5" s="163"/>
      <c r="U5" s="163"/>
      <c r="V5" s="163" t="s">
        <v>748</v>
      </c>
      <c r="W5" s="163"/>
      <c r="X5" s="163"/>
      <c r="Y5" s="163"/>
      <c r="Z5" s="163"/>
    </row>
    <row r="6" ht="13.5" customHeight="1">
      <c r="A6" s="163" t="s">
        <v>782</v>
      </c>
      <c r="B6" s="163" t="s">
        <v>783</v>
      </c>
      <c r="C6" s="163" t="s">
        <v>795</v>
      </c>
      <c r="D6" s="163" t="s">
        <v>785</v>
      </c>
      <c r="E6" s="164">
        <v>45545.0</v>
      </c>
      <c r="F6" s="163" t="s">
        <v>172</v>
      </c>
      <c r="G6" s="163">
        <v>-170.0</v>
      </c>
      <c r="H6" s="163">
        <v>-170.0</v>
      </c>
      <c r="I6" s="163"/>
      <c r="J6" s="163" t="s">
        <v>786</v>
      </c>
      <c r="K6" s="163"/>
      <c r="L6" s="163"/>
      <c r="M6" s="164">
        <v>45545.0</v>
      </c>
      <c r="N6" s="164">
        <v>45546.0</v>
      </c>
      <c r="O6" s="163" t="s">
        <v>787</v>
      </c>
      <c r="P6" s="163">
        <v>205826.0</v>
      </c>
      <c r="Q6" s="163" t="s">
        <v>788</v>
      </c>
      <c r="R6" s="163"/>
      <c r="S6" s="163"/>
      <c r="T6" s="163"/>
      <c r="U6" s="163"/>
      <c r="V6" s="163" t="s">
        <v>748</v>
      </c>
      <c r="W6" s="163"/>
      <c r="X6" s="163"/>
      <c r="Y6" s="163"/>
      <c r="Z6" s="163"/>
    </row>
    <row r="7" ht="13.5" customHeight="1">
      <c r="A7" s="163" t="s">
        <v>782</v>
      </c>
      <c r="B7" s="163" t="s">
        <v>783</v>
      </c>
      <c r="C7" s="163" t="s">
        <v>796</v>
      </c>
      <c r="D7" s="163" t="s">
        <v>785</v>
      </c>
      <c r="E7" s="164">
        <v>45545.0</v>
      </c>
      <c r="F7" s="163" t="s">
        <v>172</v>
      </c>
      <c r="G7" s="163">
        <v>-3.4</v>
      </c>
      <c r="H7" s="163">
        <v>-3.4</v>
      </c>
      <c r="I7" s="163"/>
      <c r="J7" s="163" t="s">
        <v>786</v>
      </c>
      <c r="K7" s="163"/>
      <c r="L7" s="163"/>
      <c r="M7" s="164">
        <v>45545.0</v>
      </c>
      <c r="N7" s="164">
        <v>45546.0</v>
      </c>
      <c r="O7" s="163" t="s">
        <v>787</v>
      </c>
      <c r="P7" s="163">
        <v>205826.0</v>
      </c>
      <c r="Q7" s="163" t="s">
        <v>788</v>
      </c>
      <c r="R7" s="163"/>
      <c r="S7" s="163"/>
      <c r="T7" s="163"/>
      <c r="U7" s="163"/>
      <c r="V7" s="163" t="s">
        <v>748</v>
      </c>
      <c r="W7" s="163"/>
      <c r="X7" s="163"/>
      <c r="Y7" s="163"/>
      <c r="Z7" s="163"/>
    </row>
    <row r="8" ht="13.5" customHeight="1">
      <c r="A8" s="163" t="s">
        <v>782</v>
      </c>
      <c r="B8" s="163" t="s">
        <v>783</v>
      </c>
      <c r="C8" s="163" t="s">
        <v>798</v>
      </c>
      <c r="D8" s="163" t="s">
        <v>785</v>
      </c>
      <c r="E8" s="164">
        <v>45545.0</v>
      </c>
      <c r="F8" s="163" t="s">
        <v>172</v>
      </c>
      <c r="G8" s="163">
        <v>-3.4</v>
      </c>
      <c r="H8" s="163">
        <v>-3.4</v>
      </c>
      <c r="I8" s="163"/>
      <c r="J8" s="163" t="s">
        <v>786</v>
      </c>
      <c r="K8" s="163"/>
      <c r="L8" s="163"/>
      <c r="M8" s="164">
        <v>45545.0</v>
      </c>
      <c r="N8" s="164">
        <v>45546.0</v>
      </c>
      <c r="O8" s="163" t="s">
        <v>787</v>
      </c>
      <c r="P8" s="163">
        <v>205826.0</v>
      </c>
      <c r="Q8" s="163" t="s">
        <v>788</v>
      </c>
      <c r="R8" s="163"/>
      <c r="S8" s="163"/>
      <c r="T8" s="163"/>
      <c r="U8" s="163"/>
      <c r="V8" s="163" t="s">
        <v>748</v>
      </c>
      <c r="W8" s="163"/>
      <c r="X8" s="163"/>
      <c r="Y8" s="163"/>
      <c r="Z8" s="163"/>
    </row>
    <row r="9" ht="13.5" customHeight="1">
      <c r="A9" s="163" t="s">
        <v>782</v>
      </c>
      <c r="B9" s="163" t="s">
        <v>783</v>
      </c>
      <c r="C9" s="163" t="s">
        <v>800</v>
      </c>
      <c r="D9" s="163" t="s">
        <v>785</v>
      </c>
      <c r="E9" s="164">
        <v>45545.0</v>
      </c>
      <c r="F9" s="163" t="s">
        <v>172</v>
      </c>
      <c r="G9" s="163">
        <v>-3.4</v>
      </c>
      <c r="H9" s="163">
        <v>-3.4</v>
      </c>
      <c r="I9" s="163"/>
      <c r="J9" s="163" t="s">
        <v>786</v>
      </c>
      <c r="K9" s="163"/>
      <c r="L9" s="163"/>
      <c r="M9" s="164">
        <v>45545.0</v>
      </c>
      <c r="N9" s="164">
        <v>45546.0</v>
      </c>
      <c r="O9" s="163" t="s">
        <v>787</v>
      </c>
      <c r="P9" s="163">
        <v>205826.0</v>
      </c>
      <c r="Q9" s="163" t="s">
        <v>788</v>
      </c>
      <c r="R9" s="163"/>
      <c r="S9" s="163"/>
      <c r="T9" s="163"/>
      <c r="U9" s="163"/>
      <c r="V9" s="163" t="s">
        <v>748</v>
      </c>
      <c r="W9" s="163"/>
      <c r="X9" s="163"/>
      <c r="Y9" s="163"/>
      <c r="Z9" s="163"/>
    </row>
    <row r="10" ht="13.5" customHeight="1">
      <c r="A10" s="163" t="s">
        <v>782</v>
      </c>
      <c r="B10" s="163" t="s">
        <v>783</v>
      </c>
      <c r="C10" s="163" t="s">
        <v>802</v>
      </c>
      <c r="D10" s="163" t="s">
        <v>785</v>
      </c>
      <c r="E10" s="164">
        <v>45545.0</v>
      </c>
      <c r="F10" s="163" t="s">
        <v>172</v>
      </c>
      <c r="G10" s="163">
        <v>-3.4</v>
      </c>
      <c r="H10" s="163">
        <v>-3.4</v>
      </c>
      <c r="I10" s="163"/>
      <c r="J10" s="163" t="s">
        <v>786</v>
      </c>
      <c r="K10" s="163"/>
      <c r="L10" s="163"/>
      <c r="M10" s="164">
        <v>45545.0</v>
      </c>
      <c r="N10" s="164">
        <v>45546.0</v>
      </c>
      <c r="O10" s="163" t="s">
        <v>787</v>
      </c>
      <c r="P10" s="163">
        <v>205826.0</v>
      </c>
      <c r="Q10" s="163" t="s">
        <v>788</v>
      </c>
      <c r="R10" s="163"/>
      <c r="S10" s="163"/>
      <c r="T10" s="163"/>
      <c r="U10" s="163"/>
      <c r="V10" s="163" t="s">
        <v>748</v>
      </c>
      <c r="W10" s="163"/>
      <c r="X10" s="163"/>
      <c r="Y10" s="163"/>
      <c r="Z10" s="163"/>
    </row>
    <row r="11" ht="13.5" customHeight="1">
      <c r="A11" s="163" t="s">
        <v>782</v>
      </c>
      <c r="B11" s="163" t="s">
        <v>783</v>
      </c>
      <c r="C11" s="163" t="s">
        <v>804</v>
      </c>
      <c r="D11" s="163" t="s">
        <v>785</v>
      </c>
      <c r="E11" s="164">
        <v>45545.0</v>
      </c>
      <c r="F11" s="163" t="s">
        <v>172</v>
      </c>
      <c r="G11" s="163">
        <v>-3.4</v>
      </c>
      <c r="H11" s="163">
        <v>-3.4</v>
      </c>
      <c r="I11" s="163"/>
      <c r="J11" s="163" t="s">
        <v>786</v>
      </c>
      <c r="K11" s="163"/>
      <c r="L11" s="163"/>
      <c r="M11" s="164">
        <v>45545.0</v>
      </c>
      <c r="N11" s="164">
        <v>45546.0</v>
      </c>
      <c r="O11" s="163" t="s">
        <v>787</v>
      </c>
      <c r="P11" s="163">
        <v>205826.0</v>
      </c>
      <c r="Q11" s="163" t="s">
        <v>788</v>
      </c>
      <c r="R11" s="163"/>
      <c r="S11" s="163"/>
      <c r="T11" s="163"/>
      <c r="U11" s="163"/>
      <c r="V11" s="163" t="s">
        <v>748</v>
      </c>
      <c r="W11" s="163"/>
      <c r="X11" s="163"/>
      <c r="Y11" s="163"/>
      <c r="Z11" s="163"/>
    </row>
    <row r="12" ht="13.5" customHeight="1">
      <c r="A12" s="163" t="s">
        <v>782</v>
      </c>
      <c r="B12" s="163" t="s">
        <v>783</v>
      </c>
      <c r="C12" s="163" t="s">
        <v>805</v>
      </c>
      <c r="D12" s="163" t="s">
        <v>785</v>
      </c>
      <c r="E12" s="164">
        <v>45545.0</v>
      </c>
      <c r="F12" s="163" t="s">
        <v>172</v>
      </c>
      <c r="G12" s="163">
        <v>-3.4</v>
      </c>
      <c r="H12" s="163">
        <v>-3.4</v>
      </c>
      <c r="I12" s="163"/>
      <c r="J12" s="163" t="s">
        <v>786</v>
      </c>
      <c r="K12" s="163"/>
      <c r="L12" s="163"/>
      <c r="M12" s="164">
        <v>45545.0</v>
      </c>
      <c r="N12" s="164">
        <v>45546.0</v>
      </c>
      <c r="O12" s="163" t="s">
        <v>787</v>
      </c>
      <c r="P12" s="163">
        <v>205826.0</v>
      </c>
      <c r="Q12" s="163" t="s">
        <v>788</v>
      </c>
      <c r="R12" s="163"/>
      <c r="S12" s="163"/>
      <c r="T12" s="163"/>
      <c r="U12" s="163"/>
      <c r="V12" s="163" t="s">
        <v>748</v>
      </c>
      <c r="W12" s="163"/>
      <c r="X12" s="163"/>
      <c r="Y12" s="163"/>
      <c r="Z12" s="163"/>
    </row>
    <row r="13" ht="13.5" customHeight="1">
      <c r="A13" s="163" t="s">
        <v>782</v>
      </c>
      <c r="B13" s="163" t="s">
        <v>783</v>
      </c>
      <c r="C13" s="163" t="s">
        <v>807</v>
      </c>
      <c r="D13" s="163" t="s">
        <v>785</v>
      </c>
      <c r="E13" s="164">
        <v>45545.0</v>
      </c>
      <c r="F13" s="163" t="s">
        <v>172</v>
      </c>
      <c r="G13" s="163">
        <v>-3.4</v>
      </c>
      <c r="H13" s="163">
        <v>-3.4</v>
      </c>
      <c r="I13" s="163"/>
      <c r="J13" s="163" t="s">
        <v>786</v>
      </c>
      <c r="K13" s="163"/>
      <c r="L13" s="163"/>
      <c r="M13" s="164">
        <v>45545.0</v>
      </c>
      <c r="N13" s="164">
        <v>45546.0</v>
      </c>
      <c r="O13" s="163" t="s">
        <v>787</v>
      </c>
      <c r="P13" s="163">
        <v>205826.0</v>
      </c>
      <c r="Q13" s="163" t="s">
        <v>788</v>
      </c>
      <c r="R13" s="163"/>
      <c r="S13" s="163"/>
      <c r="T13" s="163"/>
      <c r="U13" s="163"/>
      <c r="V13" s="163" t="s">
        <v>748</v>
      </c>
      <c r="W13" s="163"/>
      <c r="X13" s="163"/>
      <c r="Y13" s="163"/>
      <c r="Z13" s="163"/>
    </row>
    <row r="14" ht="13.5" customHeight="1">
      <c r="A14" s="163" t="s">
        <v>782</v>
      </c>
      <c r="B14" s="163" t="s">
        <v>783</v>
      </c>
      <c r="C14" s="163" t="s">
        <v>809</v>
      </c>
      <c r="D14" s="163" t="s">
        <v>785</v>
      </c>
      <c r="E14" s="164">
        <v>45545.0</v>
      </c>
      <c r="F14" s="163" t="s">
        <v>172</v>
      </c>
      <c r="G14" s="163">
        <v>-3.4</v>
      </c>
      <c r="H14" s="163">
        <v>-3.4</v>
      </c>
      <c r="I14" s="163"/>
      <c r="J14" s="163" t="s">
        <v>786</v>
      </c>
      <c r="K14" s="163"/>
      <c r="L14" s="163"/>
      <c r="M14" s="164">
        <v>45545.0</v>
      </c>
      <c r="N14" s="164">
        <v>45546.0</v>
      </c>
      <c r="O14" s="163" t="s">
        <v>787</v>
      </c>
      <c r="P14" s="163">
        <v>205826.0</v>
      </c>
      <c r="Q14" s="163" t="s">
        <v>788</v>
      </c>
      <c r="R14" s="163"/>
      <c r="S14" s="163"/>
      <c r="T14" s="163"/>
      <c r="U14" s="163"/>
      <c r="V14" s="163" t="s">
        <v>748</v>
      </c>
      <c r="W14" s="163"/>
      <c r="X14" s="163"/>
      <c r="Y14" s="163"/>
      <c r="Z14" s="163"/>
    </row>
    <row r="15" ht="13.5" customHeight="1">
      <c r="A15" s="163" t="s">
        <v>782</v>
      </c>
      <c r="B15" s="163" t="s">
        <v>783</v>
      </c>
      <c r="C15" s="163" t="s">
        <v>811</v>
      </c>
      <c r="D15" s="163" t="s">
        <v>785</v>
      </c>
      <c r="E15" s="164">
        <v>45545.0</v>
      </c>
      <c r="F15" s="163" t="s">
        <v>172</v>
      </c>
      <c r="G15" s="163">
        <v>-190.4</v>
      </c>
      <c r="H15" s="163">
        <v>-190.4</v>
      </c>
      <c r="I15" s="163"/>
      <c r="J15" s="163" t="s">
        <v>786</v>
      </c>
      <c r="K15" s="163"/>
      <c r="L15" s="163"/>
      <c r="M15" s="164">
        <v>45545.0</v>
      </c>
      <c r="N15" s="164">
        <v>45546.0</v>
      </c>
      <c r="O15" s="163" t="s">
        <v>787</v>
      </c>
      <c r="P15" s="163">
        <v>205826.0</v>
      </c>
      <c r="Q15" s="163" t="s">
        <v>788</v>
      </c>
      <c r="R15" s="163"/>
      <c r="S15" s="163"/>
      <c r="T15" s="163"/>
      <c r="U15" s="163"/>
      <c r="V15" s="163" t="s">
        <v>748</v>
      </c>
      <c r="W15" s="163"/>
      <c r="X15" s="163"/>
      <c r="Y15" s="163"/>
      <c r="Z15" s="163"/>
    </row>
    <row r="16" ht="13.5" customHeight="1">
      <c r="A16" s="163" t="s">
        <v>782</v>
      </c>
      <c r="B16" s="163" t="s">
        <v>783</v>
      </c>
      <c r="C16" s="163" t="s">
        <v>813</v>
      </c>
      <c r="D16" s="163" t="s">
        <v>785</v>
      </c>
      <c r="E16" s="164">
        <v>45545.0</v>
      </c>
      <c r="F16" s="163" t="s">
        <v>172</v>
      </c>
      <c r="G16" s="163">
        <v>-6.8</v>
      </c>
      <c r="H16" s="163">
        <v>-6.8</v>
      </c>
      <c r="I16" s="163"/>
      <c r="J16" s="163" t="s">
        <v>786</v>
      </c>
      <c r="K16" s="163"/>
      <c r="L16" s="163"/>
      <c r="M16" s="164">
        <v>45545.0</v>
      </c>
      <c r="N16" s="164">
        <v>45546.0</v>
      </c>
      <c r="O16" s="163" t="s">
        <v>787</v>
      </c>
      <c r="P16" s="163">
        <v>205826.0</v>
      </c>
      <c r="Q16" s="163" t="s">
        <v>788</v>
      </c>
      <c r="R16" s="163"/>
      <c r="S16" s="163"/>
      <c r="T16" s="163"/>
      <c r="U16" s="163"/>
      <c r="V16" s="163" t="s">
        <v>748</v>
      </c>
      <c r="W16" s="163"/>
      <c r="X16" s="163"/>
      <c r="Y16" s="163"/>
      <c r="Z16" s="163"/>
    </row>
    <row r="17" ht="13.5" customHeight="1">
      <c r="A17" s="163" t="s">
        <v>782</v>
      </c>
      <c r="B17" s="163" t="s">
        <v>783</v>
      </c>
      <c r="C17" s="163" t="s">
        <v>815</v>
      </c>
      <c r="D17" s="163" t="s">
        <v>785</v>
      </c>
      <c r="E17" s="164">
        <v>45545.0</v>
      </c>
      <c r="F17" s="163" t="s">
        <v>172</v>
      </c>
      <c r="G17" s="163">
        <v>-3.4</v>
      </c>
      <c r="H17" s="163">
        <v>-3.4</v>
      </c>
      <c r="I17" s="163"/>
      <c r="J17" s="163" t="s">
        <v>786</v>
      </c>
      <c r="K17" s="163"/>
      <c r="L17" s="163"/>
      <c r="M17" s="164">
        <v>45545.0</v>
      </c>
      <c r="N17" s="164">
        <v>45546.0</v>
      </c>
      <c r="O17" s="163" t="s">
        <v>787</v>
      </c>
      <c r="P17" s="163">
        <v>205826.0</v>
      </c>
      <c r="Q17" s="163" t="s">
        <v>788</v>
      </c>
      <c r="R17" s="163"/>
      <c r="S17" s="163"/>
      <c r="T17" s="163"/>
      <c r="U17" s="163"/>
      <c r="V17" s="163" t="s">
        <v>748</v>
      </c>
      <c r="W17" s="163"/>
      <c r="X17" s="163"/>
      <c r="Y17" s="163"/>
      <c r="Z17" s="163"/>
    </row>
    <row r="18" ht="13.5" customHeight="1">
      <c r="A18" s="163" t="s">
        <v>782</v>
      </c>
      <c r="B18" s="163" t="s">
        <v>783</v>
      </c>
      <c r="C18" s="163" t="s">
        <v>817</v>
      </c>
      <c r="D18" s="163" t="s">
        <v>785</v>
      </c>
      <c r="E18" s="164">
        <v>45545.0</v>
      </c>
      <c r="F18" s="163" t="s">
        <v>172</v>
      </c>
      <c r="G18" s="163">
        <v>-3.4</v>
      </c>
      <c r="H18" s="163">
        <v>-3.4</v>
      </c>
      <c r="I18" s="163"/>
      <c r="J18" s="163" t="s">
        <v>786</v>
      </c>
      <c r="K18" s="163"/>
      <c r="L18" s="163"/>
      <c r="M18" s="164">
        <v>45545.0</v>
      </c>
      <c r="N18" s="164">
        <v>45546.0</v>
      </c>
      <c r="O18" s="163" t="s">
        <v>787</v>
      </c>
      <c r="P18" s="163">
        <v>205826.0</v>
      </c>
      <c r="Q18" s="163" t="s">
        <v>788</v>
      </c>
      <c r="R18" s="163"/>
      <c r="S18" s="163"/>
      <c r="T18" s="163"/>
      <c r="U18" s="163"/>
      <c r="V18" s="163" t="s">
        <v>748</v>
      </c>
      <c r="W18" s="163"/>
      <c r="X18" s="163"/>
      <c r="Y18" s="163"/>
      <c r="Z18" s="163"/>
    </row>
    <row r="19" ht="13.5" customHeight="1">
      <c r="A19" s="163" t="s">
        <v>782</v>
      </c>
      <c r="B19" s="163" t="s">
        <v>783</v>
      </c>
      <c r="C19" s="163" t="s">
        <v>819</v>
      </c>
      <c r="D19" s="163" t="s">
        <v>785</v>
      </c>
      <c r="E19" s="164">
        <v>45545.0</v>
      </c>
      <c r="F19" s="163" t="s">
        <v>172</v>
      </c>
      <c r="G19" s="163">
        <v>-8.2</v>
      </c>
      <c r="H19" s="163">
        <v>-8.2</v>
      </c>
      <c r="I19" s="163"/>
      <c r="J19" s="163" t="s">
        <v>786</v>
      </c>
      <c r="K19" s="163"/>
      <c r="L19" s="163"/>
      <c r="M19" s="164">
        <v>45545.0</v>
      </c>
      <c r="N19" s="164">
        <v>45546.0</v>
      </c>
      <c r="O19" s="163" t="s">
        <v>787</v>
      </c>
      <c r="P19" s="163">
        <v>205826.0</v>
      </c>
      <c r="Q19" s="163" t="s">
        <v>788</v>
      </c>
      <c r="R19" s="163"/>
      <c r="S19" s="163"/>
      <c r="T19" s="163"/>
      <c r="U19" s="163"/>
      <c r="V19" s="163" t="s">
        <v>748</v>
      </c>
      <c r="W19" s="163"/>
      <c r="X19" s="163"/>
      <c r="Y19" s="163"/>
      <c r="Z19" s="163"/>
    </row>
    <row r="20" ht="13.5" customHeight="1">
      <c r="A20" s="163" t="s">
        <v>782</v>
      </c>
      <c r="B20" s="163" t="s">
        <v>783</v>
      </c>
      <c r="C20" s="163" t="s">
        <v>821</v>
      </c>
      <c r="D20" s="163" t="s">
        <v>785</v>
      </c>
      <c r="E20" s="164">
        <v>45545.0</v>
      </c>
      <c r="F20" s="163" t="s">
        <v>172</v>
      </c>
      <c r="G20" s="163">
        <v>-24.6</v>
      </c>
      <c r="H20" s="163">
        <v>-24.6</v>
      </c>
      <c r="I20" s="163"/>
      <c r="J20" s="163" t="s">
        <v>786</v>
      </c>
      <c r="K20" s="163"/>
      <c r="L20" s="163"/>
      <c r="M20" s="164">
        <v>45545.0</v>
      </c>
      <c r="N20" s="164">
        <v>45546.0</v>
      </c>
      <c r="O20" s="163" t="s">
        <v>787</v>
      </c>
      <c r="P20" s="163">
        <v>205826.0</v>
      </c>
      <c r="Q20" s="163" t="s">
        <v>788</v>
      </c>
      <c r="R20" s="163"/>
      <c r="S20" s="163"/>
      <c r="T20" s="163"/>
      <c r="U20" s="163"/>
      <c r="V20" s="163" t="s">
        <v>748</v>
      </c>
      <c r="W20" s="163"/>
      <c r="X20" s="163"/>
      <c r="Y20" s="163"/>
      <c r="Z20" s="163"/>
    </row>
    <row r="21" ht="13.5" customHeight="1">
      <c r="A21" s="163" t="s">
        <v>782</v>
      </c>
      <c r="B21" s="163" t="s">
        <v>783</v>
      </c>
      <c r="C21" s="163" t="s">
        <v>823</v>
      </c>
      <c r="D21" s="163" t="s">
        <v>785</v>
      </c>
      <c r="E21" s="164">
        <v>45545.0</v>
      </c>
      <c r="F21" s="163" t="s">
        <v>172</v>
      </c>
      <c r="G21" s="163">
        <v>-32.8</v>
      </c>
      <c r="H21" s="163">
        <v>-32.8</v>
      </c>
      <c r="I21" s="163"/>
      <c r="J21" s="163" t="s">
        <v>786</v>
      </c>
      <c r="K21" s="163"/>
      <c r="L21" s="163"/>
      <c r="M21" s="164">
        <v>45545.0</v>
      </c>
      <c r="N21" s="164">
        <v>45546.0</v>
      </c>
      <c r="O21" s="163" t="s">
        <v>787</v>
      </c>
      <c r="P21" s="163">
        <v>205826.0</v>
      </c>
      <c r="Q21" s="163" t="s">
        <v>788</v>
      </c>
      <c r="R21" s="163"/>
      <c r="S21" s="163"/>
      <c r="T21" s="163"/>
      <c r="U21" s="163"/>
      <c r="V21" s="163" t="s">
        <v>748</v>
      </c>
      <c r="W21" s="163"/>
      <c r="X21" s="163"/>
      <c r="Y21" s="163"/>
      <c r="Z21" s="163"/>
    </row>
    <row r="22" ht="13.5" customHeight="1">
      <c r="A22" s="163" t="s">
        <v>782</v>
      </c>
      <c r="B22" s="163" t="s">
        <v>783</v>
      </c>
      <c r="C22" s="163" t="s">
        <v>825</v>
      </c>
      <c r="D22" s="163" t="s">
        <v>785</v>
      </c>
      <c r="E22" s="164">
        <v>45545.0</v>
      </c>
      <c r="F22" s="163" t="s">
        <v>172</v>
      </c>
      <c r="G22" s="163">
        <v>-8.2</v>
      </c>
      <c r="H22" s="163">
        <v>-8.2</v>
      </c>
      <c r="I22" s="163"/>
      <c r="J22" s="163" t="s">
        <v>786</v>
      </c>
      <c r="K22" s="163"/>
      <c r="L22" s="163"/>
      <c r="M22" s="164">
        <v>45545.0</v>
      </c>
      <c r="N22" s="164">
        <v>45546.0</v>
      </c>
      <c r="O22" s="163" t="s">
        <v>787</v>
      </c>
      <c r="P22" s="163">
        <v>205826.0</v>
      </c>
      <c r="Q22" s="163" t="s">
        <v>788</v>
      </c>
      <c r="R22" s="163"/>
      <c r="S22" s="163"/>
      <c r="T22" s="163"/>
      <c r="U22" s="163"/>
      <c r="V22" s="163" t="s">
        <v>748</v>
      </c>
      <c r="W22" s="163"/>
      <c r="X22" s="163"/>
      <c r="Y22" s="163"/>
      <c r="Z22" s="163"/>
    </row>
    <row r="23" ht="13.5" customHeight="1">
      <c r="A23" s="163" t="s">
        <v>782</v>
      </c>
      <c r="B23" s="163" t="s">
        <v>783</v>
      </c>
      <c r="C23" s="163" t="s">
        <v>827</v>
      </c>
      <c r="D23" s="163" t="s">
        <v>785</v>
      </c>
      <c r="E23" s="164">
        <v>45545.0</v>
      </c>
      <c r="F23" s="163" t="s">
        <v>172</v>
      </c>
      <c r="G23" s="163">
        <v>-8.2</v>
      </c>
      <c r="H23" s="163">
        <v>-8.2</v>
      </c>
      <c r="I23" s="163"/>
      <c r="J23" s="163" t="s">
        <v>786</v>
      </c>
      <c r="K23" s="163"/>
      <c r="L23" s="163"/>
      <c r="M23" s="164">
        <v>45545.0</v>
      </c>
      <c r="N23" s="164">
        <v>45546.0</v>
      </c>
      <c r="O23" s="163" t="s">
        <v>787</v>
      </c>
      <c r="P23" s="163">
        <v>205826.0</v>
      </c>
      <c r="Q23" s="163" t="s">
        <v>788</v>
      </c>
      <c r="R23" s="163"/>
      <c r="S23" s="163"/>
      <c r="T23" s="163"/>
      <c r="U23" s="163"/>
      <c r="V23" s="163" t="s">
        <v>748</v>
      </c>
      <c r="W23" s="163"/>
      <c r="X23" s="163"/>
      <c r="Y23" s="163"/>
      <c r="Z23" s="163"/>
    </row>
    <row r="24" ht="13.5" customHeight="1">
      <c r="A24" s="163" t="s">
        <v>782</v>
      </c>
      <c r="B24" s="163" t="s">
        <v>783</v>
      </c>
      <c r="C24" s="163" t="s">
        <v>829</v>
      </c>
      <c r="D24" s="163" t="s">
        <v>785</v>
      </c>
      <c r="E24" s="164">
        <v>45545.0</v>
      </c>
      <c r="F24" s="163" t="s">
        <v>172</v>
      </c>
      <c r="G24" s="163">
        <v>-8.2</v>
      </c>
      <c r="H24" s="163">
        <v>-8.2</v>
      </c>
      <c r="I24" s="163"/>
      <c r="J24" s="163" t="s">
        <v>786</v>
      </c>
      <c r="K24" s="163"/>
      <c r="L24" s="163"/>
      <c r="M24" s="164">
        <v>45545.0</v>
      </c>
      <c r="N24" s="164">
        <v>45546.0</v>
      </c>
      <c r="O24" s="163" t="s">
        <v>787</v>
      </c>
      <c r="P24" s="163">
        <v>205826.0</v>
      </c>
      <c r="Q24" s="163" t="s">
        <v>788</v>
      </c>
      <c r="R24" s="163"/>
      <c r="S24" s="163"/>
      <c r="T24" s="163"/>
      <c r="U24" s="163"/>
      <c r="V24" s="163" t="s">
        <v>748</v>
      </c>
      <c r="W24" s="163"/>
      <c r="X24" s="163"/>
      <c r="Y24" s="163"/>
      <c r="Z24" s="163"/>
    </row>
    <row r="25" ht="13.5" customHeight="1">
      <c r="A25" s="163" t="s">
        <v>782</v>
      </c>
      <c r="B25" s="163" t="s">
        <v>783</v>
      </c>
      <c r="C25" s="163" t="s">
        <v>831</v>
      </c>
      <c r="D25" s="163" t="s">
        <v>785</v>
      </c>
      <c r="E25" s="164">
        <v>45545.0</v>
      </c>
      <c r="F25" s="163" t="s">
        <v>172</v>
      </c>
      <c r="G25" s="163">
        <v>-8.2</v>
      </c>
      <c r="H25" s="163">
        <v>-8.2</v>
      </c>
      <c r="I25" s="163"/>
      <c r="J25" s="163" t="s">
        <v>786</v>
      </c>
      <c r="K25" s="163"/>
      <c r="L25" s="163"/>
      <c r="M25" s="164">
        <v>45545.0</v>
      </c>
      <c r="N25" s="164">
        <v>45546.0</v>
      </c>
      <c r="O25" s="163" t="s">
        <v>787</v>
      </c>
      <c r="P25" s="163">
        <v>205826.0</v>
      </c>
      <c r="Q25" s="163" t="s">
        <v>788</v>
      </c>
      <c r="R25" s="163"/>
      <c r="S25" s="163"/>
      <c r="T25" s="163"/>
      <c r="U25" s="163"/>
      <c r="V25" s="163" t="s">
        <v>748</v>
      </c>
      <c r="W25" s="163"/>
      <c r="X25" s="163"/>
      <c r="Y25" s="163"/>
      <c r="Z25" s="163"/>
    </row>
    <row r="26" ht="13.5" customHeight="1">
      <c r="A26" s="163" t="s">
        <v>782</v>
      </c>
      <c r="B26" s="163" t="s">
        <v>783</v>
      </c>
      <c r="C26" s="163" t="s">
        <v>833</v>
      </c>
      <c r="D26" s="163" t="s">
        <v>785</v>
      </c>
      <c r="E26" s="164">
        <v>45545.0</v>
      </c>
      <c r="F26" s="163" t="s">
        <v>172</v>
      </c>
      <c r="G26" s="163">
        <v>-8.2</v>
      </c>
      <c r="H26" s="163">
        <v>-8.2</v>
      </c>
      <c r="I26" s="163"/>
      <c r="J26" s="163" t="s">
        <v>786</v>
      </c>
      <c r="K26" s="163"/>
      <c r="L26" s="163"/>
      <c r="M26" s="164">
        <v>45545.0</v>
      </c>
      <c r="N26" s="164">
        <v>45546.0</v>
      </c>
      <c r="O26" s="163" t="s">
        <v>787</v>
      </c>
      <c r="P26" s="163">
        <v>205826.0</v>
      </c>
      <c r="Q26" s="163" t="s">
        <v>788</v>
      </c>
      <c r="R26" s="163"/>
      <c r="S26" s="163"/>
      <c r="T26" s="163"/>
      <c r="U26" s="163"/>
      <c r="V26" s="163" t="s">
        <v>748</v>
      </c>
      <c r="W26" s="163"/>
      <c r="X26" s="163"/>
      <c r="Y26" s="163"/>
      <c r="Z26" s="163"/>
    </row>
    <row r="27" ht="13.5" customHeight="1">
      <c r="A27" s="163" t="s">
        <v>782</v>
      </c>
      <c r="B27" s="163" t="s">
        <v>783</v>
      </c>
      <c r="C27" s="163" t="s">
        <v>835</v>
      </c>
      <c r="D27" s="163" t="s">
        <v>785</v>
      </c>
      <c r="E27" s="164">
        <v>45545.0</v>
      </c>
      <c r="F27" s="163" t="s">
        <v>172</v>
      </c>
      <c r="G27" s="163">
        <v>-8.2</v>
      </c>
      <c r="H27" s="163">
        <v>-8.2</v>
      </c>
      <c r="I27" s="163"/>
      <c r="J27" s="163" t="s">
        <v>786</v>
      </c>
      <c r="K27" s="163"/>
      <c r="L27" s="163"/>
      <c r="M27" s="164">
        <v>45545.0</v>
      </c>
      <c r="N27" s="164">
        <v>45546.0</v>
      </c>
      <c r="O27" s="163" t="s">
        <v>787</v>
      </c>
      <c r="P27" s="163">
        <v>205826.0</v>
      </c>
      <c r="Q27" s="163" t="s">
        <v>788</v>
      </c>
      <c r="R27" s="163"/>
      <c r="S27" s="163"/>
      <c r="T27" s="163"/>
      <c r="U27" s="163"/>
      <c r="V27" s="163" t="s">
        <v>748</v>
      </c>
      <c r="W27" s="163"/>
      <c r="X27" s="163"/>
      <c r="Y27" s="163"/>
      <c r="Z27" s="163"/>
    </row>
    <row r="28" ht="13.5" customHeight="1">
      <c r="A28" s="163" t="s">
        <v>782</v>
      </c>
      <c r="B28" s="163" t="s">
        <v>783</v>
      </c>
      <c r="C28" s="163" t="s">
        <v>837</v>
      </c>
      <c r="D28" s="163" t="s">
        <v>785</v>
      </c>
      <c r="E28" s="164">
        <v>45545.0</v>
      </c>
      <c r="F28" s="163" t="s">
        <v>172</v>
      </c>
      <c r="G28" s="163">
        <v>-8.2</v>
      </c>
      <c r="H28" s="163">
        <v>-8.2</v>
      </c>
      <c r="I28" s="163"/>
      <c r="J28" s="163" t="s">
        <v>786</v>
      </c>
      <c r="K28" s="163"/>
      <c r="L28" s="163"/>
      <c r="M28" s="164">
        <v>45545.0</v>
      </c>
      <c r="N28" s="164">
        <v>45546.0</v>
      </c>
      <c r="O28" s="163" t="s">
        <v>787</v>
      </c>
      <c r="P28" s="163">
        <v>205826.0</v>
      </c>
      <c r="Q28" s="163" t="s">
        <v>788</v>
      </c>
      <c r="R28" s="163"/>
      <c r="S28" s="163"/>
      <c r="T28" s="163"/>
      <c r="U28" s="163"/>
      <c r="V28" s="163" t="s">
        <v>748</v>
      </c>
      <c r="W28" s="163"/>
      <c r="X28" s="163"/>
      <c r="Y28" s="163"/>
      <c r="Z28" s="163"/>
    </row>
    <row r="29" ht="13.5" customHeight="1">
      <c r="A29" s="163" t="s">
        <v>782</v>
      </c>
      <c r="B29" s="163" t="s">
        <v>783</v>
      </c>
      <c r="C29" s="163" t="s">
        <v>839</v>
      </c>
      <c r="D29" s="163" t="s">
        <v>785</v>
      </c>
      <c r="E29" s="164">
        <v>45545.0</v>
      </c>
      <c r="F29" s="163" t="s">
        <v>172</v>
      </c>
      <c r="G29" s="163">
        <v>-57.4</v>
      </c>
      <c r="H29" s="163">
        <v>-57.4</v>
      </c>
      <c r="I29" s="163"/>
      <c r="J29" s="163" t="s">
        <v>786</v>
      </c>
      <c r="K29" s="163"/>
      <c r="L29" s="163"/>
      <c r="M29" s="164">
        <v>45545.0</v>
      </c>
      <c r="N29" s="164">
        <v>45546.0</v>
      </c>
      <c r="O29" s="163" t="s">
        <v>787</v>
      </c>
      <c r="P29" s="163">
        <v>205826.0</v>
      </c>
      <c r="Q29" s="163" t="s">
        <v>788</v>
      </c>
      <c r="R29" s="163"/>
      <c r="S29" s="163"/>
      <c r="T29" s="163"/>
      <c r="U29" s="163"/>
      <c r="V29" s="163" t="s">
        <v>748</v>
      </c>
      <c r="W29" s="163"/>
      <c r="X29" s="163"/>
      <c r="Y29" s="163"/>
      <c r="Z29" s="163"/>
    </row>
    <row r="30" ht="13.5" customHeight="1">
      <c r="A30" s="163" t="s">
        <v>782</v>
      </c>
      <c r="B30" s="163" t="s">
        <v>783</v>
      </c>
      <c r="C30" s="163" t="s">
        <v>841</v>
      </c>
      <c r="D30" s="163" t="s">
        <v>785</v>
      </c>
      <c r="E30" s="164">
        <v>45545.0</v>
      </c>
      <c r="F30" s="163" t="s">
        <v>172</v>
      </c>
      <c r="G30" s="163">
        <v>-8.2</v>
      </c>
      <c r="H30" s="163">
        <v>-8.2</v>
      </c>
      <c r="I30" s="163"/>
      <c r="J30" s="163" t="s">
        <v>786</v>
      </c>
      <c r="K30" s="163"/>
      <c r="L30" s="163"/>
      <c r="M30" s="164">
        <v>45545.0</v>
      </c>
      <c r="N30" s="164">
        <v>45546.0</v>
      </c>
      <c r="O30" s="163" t="s">
        <v>787</v>
      </c>
      <c r="P30" s="163">
        <v>205826.0</v>
      </c>
      <c r="Q30" s="163" t="s">
        <v>788</v>
      </c>
      <c r="R30" s="163"/>
      <c r="S30" s="163"/>
      <c r="T30" s="163"/>
      <c r="U30" s="163"/>
      <c r="V30" s="163" t="s">
        <v>748</v>
      </c>
      <c r="W30" s="163"/>
      <c r="X30" s="163"/>
      <c r="Y30" s="163"/>
      <c r="Z30" s="163"/>
    </row>
    <row r="31" ht="13.5" customHeight="1">
      <c r="A31" s="163" t="s">
        <v>782</v>
      </c>
      <c r="B31" s="163" t="s">
        <v>783</v>
      </c>
      <c r="C31" s="163" t="s">
        <v>843</v>
      </c>
      <c r="D31" s="163" t="s">
        <v>785</v>
      </c>
      <c r="E31" s="164">
        <v>45545.0</v>
      </c>
      <c r="F31" s="163" t="s">
        <v>172</v>
      </c>
      <c r="G31" s="163">
        <v>-205.0</v>
      </c>
      <c r="H31" s="163">
        <v>-205.0</v>
      </c>
      <c r="I31" s="163"/>
      <c r="J31" s="163" t="s">
        <v>786</v>
      </c>
      <c r="K31" s="163"/>
      <c r="L31" s="163"/>
      <c r="M31" s="164">
        <v>45545.0</v>
      </c>
      <c r="N31" s="164">
        <v>45546.0</v>
      </c>
      <c r="O31" s="163" t="s">
        <v>787</v>
      </c>
      <c r="P31" s="163">
        <v>205826.0</v>
      </c>
      <c r="Q31" s="163" t="s">
        <v>788</v>
      </c>
      <c r="R31" s="163"/>
      <c r="S31" s="163"/>
      <c r="T31" s="163"/>
      <c r="U31" s="163"/>
      <c r="V31" s="163" t="s">
        <v>748</v>
      </c>
      <c r="W31" s="163"/>
      <c r="X31" s="163"/>
      <c r="Y31" s="163"/>
      <c r="Z31" s="163"/>
    </row>
    <row r="32" ht="13.5" customHeight="1">
      <c r="A32" s="163" t="s">
        <v>782</v>
      </c>
      <c r="B32" s="163" t="s">
        <v>783</v>
      </c>
      <c r="C32" s="163" t="s">
        <v>845</v>
      </c>
      <c r="D32" s="163" t="s">
        <v>785</v>
      </c>
      <c r="E32" s="164">
        <v>45545.0</v>
      </c>
      <c r="F32" s="163" t="s">
        <v>172</v>
      </c>
      <c r="G32" s="163">
        <v>-65.6</v>
      </c>
      <c r="H32" s="163">
        <v>-65.6</v>
      </c>
      <c r="I32" s="163"/>
      <c r="J32" s="163" t="s">
        <v>786</v>
      </c>
      <c r="K32" s="163"/>
      <c r="L32" s="163"/>
      <c r="M32" s="164">
        <v>45545.0</v>
      </c>
      <c r="N32" s="164">
        <v>45546.0</v>
      </c>
      <c r="O32" s="163" t="s">
        <v>787</v>
      </c>
      <c r="P32" s="163">
        <v>205826.0</v>
      </c>
      <c r="Q32" s="163" t="s">
        <v>788</v>
      </c>
      <c r="R32" s="163"/>
      <c r="S32" s="163"/>
      <c r="T32" s="163"/>
      <c r="U32" s="163"/>
      <c r="V32" s="163" t="s">
        <v>748</v>
      </c>
      <c r="W32" s="163"/>
      <c r="X32" s="163"/>
      <c r="Y32" s="163"/>
      <c r="Z32" s="163"/>
    </row>
    <row r="33" ht="13.5" customHeight="1">
      <c r="A33" s="163" t="s">
        <v>782</v>
      </c>
      <c r="B33" s="163" t="s">
        <v>783</v>
      </c>
      <c r="C33" s="163" t="s">
        <v>847</v>
      </c>
      <c r="D33" s="163" t="s">
        <v>785</v>
      </c>
      <c r="E33" s="164">
        <v>45545.0</v>
      </c>
      <c r="F33" s="163" t="s">
        <v>172</v>
      </c>
      <c r="G33" s="163">
        <v>-24.6</v>
      </c>
      <c r="H33" s="163">
        <v>-24.6</v>
      </c>
      <c r="I33" s="163"/>
      <c r="J33" s="163" t="s">
        <v>786</v>
      </c>
      <c r="K33" s="163"/>
      <c r="L33" s="163"/>
      <c r="M33" s="164">
        <v>45545.0</v>
      </c>
      <c r="N33" s="164">
        <v>45546.0</v>
      </c>
      <c r="O33" s="163" t="s">
        <v>787</v>
      </c>
      <c r="P33" s="163">
        <v>205826.0</v>
      </c>
      <c r="Q33" s="163" t="s">
        <v>788</v>
      </c>
      <c r="R33" s="163"/>
      <c r="S33" s="163"/>
      <c r="T33" s="163"/>
      <c r="U33" s="163"/>
      <c r="V33" s="163" t="s">
        <v>748</v>
      </c>
      <c r="W33" s="163"/>
      <c r="X33" s="163"/>
      <c r="Y33" s="163"/>
      <c r="Z33" s="163"/>
    </row>
    <row r="34" ht="13.5" customHeight="1">
      <c r="A34" s="163" t="s">
        <v>782</v>
      </c>
      <c r="B34" s="163" t="s">
        <v>783</v>
      </c>
      <c r="C34" s="163" t="s">
        <v>849</v>
      </c>
      <c r="D34" s="163" t="s">
        <v>785</v>
      </c>
      <c r="E34" s="164">
        <v>45545.0</v>
      </c>
      <c r="F34" s="163" t="s">
        <v>172</v>
      </c>
      <c r="G34" s="163">
        <v>-600.0</v>
      </c>
      <c r="H34" s="163">
        <v>-600.0</v>
      </c>
      <c r="I34" s="163"/>
      <c r="J34" s="163" t="s">
        <v>786</v>
      </c>
      <c r="K34" s="163"/>
      <c r="L34" s="163"/>
      <c r="M34" s="164">
        <v>45545.0</v>
      </c>
      <c r="N34" s="164">
        <v>45546.0</v>
      </c>
      <c r="O34" s="163" t="s">
        <v>787</v>
      </c>
      <c r="P34" s="163">
        <v>205826.0</v>
      </c>
      <c r="Q34" s="163" t="s">
        <v>788</v>
      </c>
      <c r="R34" s="163"/>
      <c r="S34" s="163"/>
      <c r="T34" s="163"/>
      <c r="U34" s="163"/>
      <c r="V34" s="163" t="s">
        <v>748</v>
      </c>
      <c r="W34" s="163"/>
      <c r="X34" s="163"/>
      <c r="Y34" s="163"/>
      <c r="Z34" s="163"/>
    </row>
    <row r="35" ht="13.5" customHeight="1">
      <c r="A35" s="163" t="s">
        <v>782</v>
      </c>
      <c r="B35" s="163" t="s">
        <v>783</v>
      </c>
      <c r="C35" s="163" t="s">
        <v>852</v>
      </c>
      <c r="D35" s="163" t="s">
        <v>785</v>
      </c>
      <c r="E35" s="164">
        <v>45545.0</v>
      </c>
      <c r="F35" s="163" t="s">
        <v>172</v>
      </c>
      <c r="G35" s="328">
        <v>-1000.0</v>
      </c>
      <c r="H35" s="328">
        <v>-1000.0</v>
      </c>
      <c r="I35" s="163"/>
      <c r="J35" s="163" t="s">
        <v>786</v>
      </c>
      <c r="K35" s="163"/>
      <c r="L35" s="163"/>
      <c r="M35" s="164">
        <v>45545.0</v>
      </c>
      <c r="N35" s="164">
        <v>45546.0</v>
      </c>
      <c r="O35" s="163" t="s">
        <v>787</v>
      </c>
      <c r="P35" s="163">
        <v>205826.0</v>
      </c>
      <c r="Q35" s="163" t="s">
        <v>788</v>
      </c>
      <c r="R35" s="163"/>
      <c r="S35" s="163"/>
      <c r="T35" s="163"/>
      <c r="U35" s="163"/>
      <c r="V35" s="163" t="s">
        <v>748</v>
      </c>
      <c r="W35" s="163"/>
      <c r="X35" s="163"/>
      <c r="Y35" s="163"/>
      <c r="Z35" s="163"/>
    </row>
    <row r="36" ht="13.5" customHeight="1">
      <c r="A36" s="163" t="s">
        <v>782</v>
      </c>
      <c r="B36" s="163" t="s">
        <v>783</v>
      </c>
      <c r="C36" s="163" t="s">
        <v>854</v>
      </c>
      <c r="D36" s="163" t="s">
        <v>785</v>
      </c>
      <c r="E36" s="164">
        <v>45545.0</v>
      </c>
      <c r="F36" s="163" t="s">
        <v>172</v>
      </c>
      <c r="G36" s="328">
        <v>-1000.0</v>
      </c>
      <c r="H36" s="328">
        <v>-1000.0</v>
      </c>
      <c r="I36" s="163"/>
      <c r="J36" s="163" t="s">
        <v>786</v>
      </c>
      <c r="K36" s="163"/>
      <c r="L36" s="163"/>
      <c r="M36" s="164">
        <v>45545.0</v>
      </c>
      <c r="N36" s="164">
        <v>45546.0</v>
      </c>
      <c r="O36" s="163" t="s">
        <v>787</v>
      </c>
      <c r="P36" s="163">
        <v>205826.0</v>
      </c>
      <c r="Q36" s="163" t="s">
        <v>788</v>
      </c>
      <c r="R36" s="163"/>
      <c r="S36" s="163"/>
      <c r="T36" s="163"/>
      <c r="U36" s="163"/>
      <c r="V36" s="163" t="s">
        <v>748</v>
      </c>
      <c r="W36" s="163"/>
      <c r="X36" s="163"/>
      <c r="Y36" s="163"/>
      <c r="Z36" s="163"/>
    </row>
    <row r="37" ht="13.5" customHeight="1">
      <c r="A37" s="163" t="s">
        <v>782</v>
      </c>
      <c r="B37" s="163" t="s">
        <v>783</v>
      </c>
      <c r="C37" s="163" t="s">
        <v>856</v>
      </c>
      <c r="D37" s="163" t="s">
        <v>785</v>
      </c>
      <c r="E37" s="164">
        <v>45545.0</v>
      </c>
      <c r="F37" s="163" t="s">
        <v>172</v>
      </c>
      <c r="G37" s="328">
        <v>-1000.0</v>
      </c>
      <c r="H37" s="328">
        <v>-1000.0</v>
      </c>
      <c r="I37" s="163"/>
      <c r="J37" s="163" t="s">
        <v>786</v>
      </c>
      <c r="K37" s="163"/>
      <c r="L37" s="163"/>
      <c r="M37" s="164">
        <v>45545.0</v>
      </c>
      <c r="N37" s="164">
        <v>45546.0</v>
      </c>
      <c r="O37" s="163" t="s">
        <v>787</v>
      </c>
      <c r="P37" s="163">
        <v>205826.0</v>
      </c>
      <c r="Q37" s="163" t="s">
        <v>788</v>
      </c>
      <c r="R37" s="163"/>
      <c r="S37" s="163"/>
      <c r="T37" s="163"/>
      <c r="U37" s="163"/>
      <c r="V37" s="163" t="s">
        <v>748</v>
      </c>
      <c r="W37" s="163"/>
      <c r="X37" s="163"/>
      <c r="Y37" s="163"/>
      <c r="Z37" s="163"/>
    </row>
    <row r="38" ht="13.5" customHeight="1">
      <c r="A38" s="163" t="s">
        <v>782</v>
      </c>
      <c r="B38" s="163" t="s">
        <v>783</v>
      </c>
      <c r="C38" s="163" t="s">
        <v>858</v>
      </c>
      <c r="D38" s="163" t="s">
        <v>785</v>
      </c>
      <c r="E38" s="164">
        <v>45545.0</v>
      </c>
      <c r="F38" s="163" t="s">
        <v>172</v>
      </c>
      <c r="G38" s="328">
        <v>-1000.0</v>
      </c>
      <c r="H38" s="328">
        <v>-1000.0</v>
      </c>
      <c r="I38" s="163"/>
      <c r="J38" s="163" t="s">
        <v>786</v>
      </c>
      <c r="K38" s="163"/>
      <c r="L38" s="163"/>
      <c r="M38" s="164">
        <v>45545.0</v>
      </c>
      <c r="N38" s="164">
        <v>45546.0</v>
      </c>
      <c r="O38" s="163" t="s">
        <v>787</v>
      </c>
      <c r="P38" s="163">
        <v>205826.0</v>
      </c>
      <c r="Q38" s="163" t="s">
        <v>788</v>
      </c>
      <c r="R38" s="163"/>
      <c r="S38" s="163"/>
      <c r="T38" s="163"/>
      <c r="U38" s="163"/>
      <c r="V38" s="163" t="s">
        <v>748</v>
      </c>
      <c r="W38" s="163"/>
      <c r="X38" s="163"/>
      <c r="Y38" s="163"/>
      <c r="Z38" s="163"/>
    </row>
    <row r="39" ht="13.5" customHeight="1">
      <c r="A39" s="163" t="s">
        <v>782</v>
      </c>
      <c r="B39" s="163" t="s">
        <v>783</v>
      </c>
      <c r="C39" s="163" t="s">
        <v>860</v>
      </c>
      <c r="D39" s="163" t="s">
        <v>785</v>
      </c>
      <c r="E39" s="164">
        <v>45545.0</v>
      </c>
      <c r="F39" s="163" t="s">
        <v>172</v>
      </c>
      <c r="G39" s="328">
        <v>-1000.0</v>
      </c>
      <c r="H39" s="328">
        <v>-1000.0</v>
      </c>
      <c r="I39" s="163"/>
      <c r="J39" s="163" t="s">
        <v>786</v>
      </c>
      <c r="K39" s="163"/>
      <c r="L39" s="163"/>
      <c r="M39" s="164">
        <v>45545.0</v>
      </c>
      <c r="N39" s="164">
        <v>45546.0</v>
      </c>
      <c r="O39" s="163" t="s">
        <v>787</v>
      </c>
      <c r="P39" s="163">
        <v>205826.0</v>
      </c>
      <c r="Q39" s="163" t="s">
        <v>788</v>
      </c>
      <c r="R39" s="163"/>
      <c r="S39" s="163"/>
      <c r="T39" s="163"/>
      <c r="U39" s="163"/>
      <c r="V39" s="163" t="s">
        <v>748</v>
      </c>
      <c r="W39" s="163"/>
      <c r="X39" s="163"/>
      <c r="Y39" s="163"/>
      <c r="Z39" s="163"/>
    </row>
    <row r="40" ht="13.5" customHeight="1">
      <c r="A40" s="163" t="s">
        <v>782</v>
      </c>
      <c r="B40" s="163" t="s">
        <v>783</v>
      </c>
      <c r="C40" s="163" t="s">
        <v>862</v>
      </c>
      <c r="D40" s="163" t="s">
        <v>785</v>
      </c>
      <c r="E40" s="164">
        <v>45545.0</v>
      </c>
      <c r="F40" s="163" t="s">
        <v>172</v>
      </c>
      <c r="G40" s="328">
        <v>-1000.0</v>
      </c>
      <c r="H40" s="328">
        <v>-1000.0</v>
      </c>
      <c r="I40" s="163"/>
      <c r="J40" s="163" t="s">
        <v>786</v>
      </c>
      <c r="K40" s="163"/>
      <c r="L40" s="163"/>
      <c r="M40" s="164">
        <v>45545.0</v>
      </c>
      <c r="N40" s="164">
        <v>45546.0</v>
      </c>
      <c r="O40" s="163" t="s">
        <v>787</v>
      </c>
      <c r="P40" s="163">
        <v>205826.0</v>
      </c>
      <c r="Q40" s="163" t="s">
        <v>788</v>
      </c>
      <c r="R40" s="163"/>
      <c r="S40" s="163"/>
      <c r="T40" s="163"/>
      <c r="U40" s="163"/>
      <c r="V40" s="163" t="s">
        <v>748</v>
      </c>
      <c r="W40" s="163"/>
      <c r="X40" s="163"/>
      <c r="Y40" s="163"/>
      <c r="Z40" s="163"/>
    </row>
    <row r="41" ht="13.5" customHeight="1">
      <c r="A41" s="163" t="s">
        <v>782</v>
      </c>
      <c r="B41" s="163" t="s">
        <v>783</v>
      </c>
      <c r="C41" s="163" t="s">
        <v>864</v>
      </c>
      <c r="D41" s="163" t="s">
        <v>785</v>
      </c>
      <c r="E41" s="164">
        <v>45545.0</v>
      </c>
      <c r="F41" s="163" t="s">
        <v>172</v>
      </c>
      <c r="G41" s="328">
        <v>-1000.0</v>
      </c>
      <c r="H41" s="328">
        <v>-1000.0</v>
      </c>
      <c r="I41" s="163"/>
      <c r="J41" s="163" t="s">
        <v>786</v>
      </c>
      <c r="K41" s="163"/>
      <c r="L41" s="163"/>
      <c r="M41" s="164">
        <v>45545.0</v>
      </c>
      <c r="N41" s="164">
        <v>45546.0</v>
      </c>
      <c r="O41" s="163" t="s">
        <v>787</v>
      </c>
      <c r="P41" s="163">
        <v>205826.0</v>
      </c>
      <c r="Q41" s="163" t="s">
        <v>788</v>
      </c>
      <c r="R41" s="163"/>
      <c r="S41" s="163"/>
      <c r="T41" s="163"/>
      <c r="U41" s="163"/>
      <c r="V41" s="163" t="s">
        <v>748</v>
      </c>
      <c r="W41" s="163"/>
      <c r="X41" s="163"/>
      <c r="Y41" s="163"/>
      <c r="Z41" s="163"/>
    </row>
    <row r="42" ht="13.5" customHeight="1">
      <c r="A42" s="163" t="s">
        <v>782</v>
      </c>
      <c r="B42" s="163" t="s">
        <v>783</v>
      </c>
      <c r="C42" s="163" t="s">
        <v>865</v>
      </c>
      <c r="D42" s="163" t="s">
        <v>785</v>
      </c>
      <c r="E42" s="164">
        <v>45545.0</v>
      </c>
      <c r="F42" s="163" t="s">
        <v>172</v>
      </c>
      <c r="G42" s="328">
        <v>-1000.0</v>
      </c>
      <c r="H42" s="328">
        <v>-1000.0</v>
      </c>
      <c r="I42" s="163"/>
      <c r="J42" s="163" t="s">
        <v>786</v>
      </c>
      <c r="K42" s="163"/>
      <c r="L42" s="163"/>
      <c r="M42" s="164">
        <v>45545.0</v>
      </c>
      <c r="N42" s="164">
        <v>45546.0</v>
      </c>
      <c r="O42" s="163" t="s">
        <v>787</v>
      </c>
      <c r="P42" s="163">
        <v>205826.0</v>
      </c>
      <c r="Q42" s="163" t="s">
        <v>788</v>
      </c>
      <c r="R42" s="163"/>
      <c r="S42" s="163"/>
      <c r="T42" s="163"/>
      <c r="U42" s="163"/>
      <c r="V42" s="163" t="s">
        <v>748</v>
      </c>
      <c r="W42" s="163"/>
      <c r="X42" s="163"/>
      <c r="Y42" s="163"/>
      <c r="Z42" s="163"/>
    </row>
    <row r="43" ht="13.5" customHeight="1">
      <c r="A43" s="163" t="s">
        <v>782</v>
      </c>
      <c r="B43" s="163" t="s">
        <v>783</v>
      </c>
      <c r="C43" s="163" t="s">
        <v>866</v>
      </c>
      <c r="D43" s="163" t="s">
        <v>785</v>
      </c>
      <c r="E43" s="164">
        <v>45545.0</v>
      </c>
      <c r="F43" s="163" t="s">
        <v>172</v>
      </c>
      <c r="G43" s="328">
        <v>-1000.0</v>
      </c>
      <c r="H43" s="328">
        <v>-1000.0</v>
      </c>
      <c r="I43" s="163"/>
      <c r="J43" s="163" t="s">
        <v>786</v>
      </c>
      <c r="K43" s="163"/>
      <c r="L43" s="163"/>
      <c r="M43" s="164">
        <v>45545.0</v>
      </c>
      <c r="N43" s="164">
        <v>45546.0</v>
      </c>
      <c r="O43" s="163" t="s">
        <v>787</v>
      </c>
      <c r="P43" s="163">
        <v>205826.0</v>
      </c>
      <c r="Q43" s="163" t="s">
        <v>788</v>
      </c>
      <c r="R43" s="163"/>
      <c r="S43" s="163"/>
      <c r="T43" s="163"/>
      <c r="U43" s="163"/>
      <c r="V43" s="163" t="s">
        <v>748</v>
      </c>
      <c r="W43" s="163"/>
      <c r="X43" s="163"/>
      <c r="Y43" s="163"/>
      <c r="Z43" s="163"/>
    </row>
    <row r="44" ht="13.5" customHeight="1">
      <c r="A44" s="163" t="s">
        <v>782</v>
      </c>
      <c r="B44" s="163" t="s">
        <v>783</v>
      </c>
      <c r="C44" s="163" t="s">
        <v>867</v>
      </c>
      <c r="D44" s="163" t="s">
        <v>785</v>
      </c>
      <c r="E44" s="164">
        <v>45545.0</v>
      </c>
      <c r="F44" s="163" t="s">
        <v>172</v>
      </c>
      <c r="G44" s="328">
        <v>-1000.0</v>
      </c>
      <c r="H44" s="328">
        <v>-1000.0</v>
      </c>
      <c r="I44" s="163"/>
      <c r="J44" s="163" t="s">
        <v>786</v>
      </c>
      <c r="K44" s="163"/>
      <c r="L44" s="163"/>
      <c r="M44" s="164">
        <v>45545.0</v>
      </c>
      <c r="N44" s="164">
        <v>45546.0</v>
      </c>
      <c r="O44" s="163" t="s">
        <v>787</v>
      </c>
      <c r="P44" s="163">
        <v>205826.0</v>
      </c>
      <c r="Q44" s="163" t="s">
        <v>788</v>
      </c>
      <c r="R44" s="163"/>
      <c r="S44" s="163"/>
      <c r="T44" s="163"/>
      <c r="U44" s="163"/>
      <c r="V44" s="163" t="s">
        <v>748</v>
      </c>
      <c r="W44" s="163"/>
      <c r="X44" s="163"/>
      <c r="Y44" s="163"/>
      <c r="Z44" s="163"/>
    </row>
    <row r="45" ht="13.5" customHeight="1">
      <c r="A45" s="163" t="s">
        <v>782</v>
      </c>
      <c r="B45" s="163" t="s">
        <v>783</v>
      </c>
      <c r="C45" s="163" t="s">
        <v>868</v>
      </c>
      <c r="D45" s="163" t="s">
        <v>785</v>
      </c>
      <c r="E45" s="164">
        <v>45545.0</v>
      </c>
      <c r="F45" s="163" t="s">
        <v>172</v>
      </c>
      <c r="G45" s="328">
        <v>-1000.0</v>
      </c>
      <c r="H45" s="328">
        <v>-1000.0</v>
      </c>
      <c r="I45" s="163"/>
      <c r="J45" s="163" t="s">
        <v>786</v>
      </c>
      <c r="K45" s="163"/>
      <c r="L45" s="163"/>
      <c r="M45" s="164">
        <v>45545.0</v>
      </c>
      <c r="N45" s="164">
        <v>45546.0</v>
      </c>
      <c r="O45" s="163" t="s">
        <v>787</v>
      </c>
      <c r="P45" s="163">
        <v>205826.0</v>
      </c>
      <c r="Q45" s="163" t="s">
        <v>788</v>
      </c>
      <c r="R45" s="163"/>
      <c r="S45" s="163"/>
      <c r="T45" s="163"/>
      <c r="U45" s="163"/>
      <c r="V45" s="163" t="s">
        <v>748</v>
      </c>
      <c r="W45" s="163"/>
      <c r="X45" s="163"/>
      <c r="Y45" s="163"/>
      <c r="Z45" s="163"/>
    </row>
    <row r="46" ht="13.5" customHeight="1">
      <c r="A46" s="163" t="s">
        <v>782</v>
      </c>
      <c r="B46" s="163" t="s">
        <v>783</v>
      </c>
      <c r="C46" s="163" t="s">
        <v>869</v>
      </c>
      <c r="D46" s="163" t="s">
        <v>785</v>
      </c>
      <c r="E46" s="164">
        <v>45545.0</v>
      </c>
      <c r="F46" s="163" t="s">
        <v>172</v>
      </c>
      <c r="G46" s="163">
        <v>-700.0</v>
      </c>
      <c r="H46" s="163">
        <v>-700.0</v>
      </c>
      <c r="I46" s="163"/>
      <c r="J46" s="163" t="s">
        <v>786</v>
      </c>
      <c r="K46" s="163"/>
      <c r="L46" s="163"/>
      <c r="M46" s="164">
        <v>45545.0</v>
      </c>
      <c r="N46" s="164">
        <v>45546.0</v>
      </c>
      <c r="O46" s="163" t="s">
        <v>787</v>
      </c>
      <c r="P46" s="163">
        <v>205826.0</v>
      </c>
      <c r="Q46" s="163" t="s">
        <v>788</v>
      </c>
      <c r="R46" s="163"/>
      <c r="S46" s="163"/>
      <c r="T46" s="163"/>
      <c r="U46" s="163"/>
      <c r="V46" s="163" t="s">
        <v>748</v>
      </c>
      <c r="W46" s="163"/>
      <c r="X46" s="163"/>
      <c r="Y46" s="163"/>
      <c r="Z46" s="163"/>
    </row>
    <row r="47" ht="13.5" customHeight="1">
      <c r="A47" s="163" t="s">
        <v>782</v>
      </c>
      <c r="B47" s="163" t="s">
        <v>783</v>
      </c>
      <c r="C47" s="163" t="s">
        <v>870</v>
      </c>
      <c r="D47" s="163" t="s">
        <v>785</v>
      </c>
      <c r="E47" s="164">
        <v>45545.0</v>
      </c>
      <c r="F47" s="163" t="s">
        <v>172</v>
      </c>
      <c r="G47" s="328">
        <v>-1000.0</v>
      </c>
      <c r="H47" s="328">
        <v>-1000.0</v>
      </c>
      <c r="I47" s="163"/>
      <c r="J47" s="163" t="s">
        <v>786</v>
      </c>
      <c r="K47" s="163"/>
      <c r="L47" s="163"/>
      <c r="M47" s="164">
        <v>45545.0</v>
      </c>
      <c r="N47" s="164">
        <v>45546.0</v>
      </c>
      <c r="O47" s="163" t="s">
        <v>787</v>
      </c>
      <c r="P47" s="163">
        <v>205826.0</v>
      </c>
      <c r="Q47" s="163" t="s">
        <v>788</v>
      </c>
      <c r="R47" s="163"/>
      <c r="S47" s="163"/>
      <c r="T47" s="163"/>
      <c r="U47" s="163"/>
      <c r="V47" s="163" t="s">
        <v>748</v>
      </c>
      <c r="W47" s="163"/>
      <c r="X47" s="163"/>
      <c r="Y47" s="163"/>
      <c r="Z47" s="163"/>
    </row>
    <row r="48" ht="13.5" customHeight="1">
      <c r="A48" s="163" t="s">
        <v>782</v>
      </c>
      <c r="B48" s="163" t="s">
        <v>783</v>
      </c>
      <c r="C48" s="163" t="s">
        <v>871</v>
      </c>
      <c r="D48" s="163" t="s">
        <v>785</v>
      </c>
      <c r="E48" s="164">
        <v>45545.0</v>
      </c>
      <c r="F48" s="163" t="s">
        <v>172</v>
      </c>
      <c r="G48" s="328">
        <v>-1000.0</v>
      </c>
      <c r="H48" s="328">
        <v>-1000.0</v>
      </c>
      <c r="I48" s="163"/>
      <c r="J48" s="163" t="s">
        <v>786</v>
      </c>
      <c r="K48" s="163"/>
      <c r="L48" s="163"/>
      <c r="M48" s="164">
        <v>45545.0</v>
      </c>
      <c r="N48" s="164">
        <v>45546.0</v>
      </c>
      <c r="O48" s="163" t="s">
        <v>787</v>
      </c>
      <c r="P48" s="163">
        <v>205826.0</v>
      </c>
      <c r="Q48" s="163" t="s">
        <v>788</v>
      </c>
      <c r="R48" s="163"/>
      <c r="S48" s="163"/>
      <c r="T48" s="163"/>
      <c r="U48" s="163"/>
      <c r="V48" s="163" t="s">
        <v>748</v>
      </c>
      <c r="W48" s="163"/>
      <c r="X48" s="163"/>
      <c r="Y48" s="163"/>
      <c r="Z48" s="163"/>
    </row>
    <row r="49" ht="13.5" customHeight="1">
      <c r="A49" s="163" t="s">
        <v>782</v>
      </c>
      <c r="B49" s="163" t="s">
        <v>783</v>
      </c>
      <c r="C49" s="163" t="s">
        <v>872</v>
      </c>
      <c r="D49" s="163" t="s">
        <v>785</v>
      </c>
      <c r="E49" s="164">
        <v>45545.0</v>
      </c>
      <c r="F49" s="163" t="s">
        <v>172</v>
      </c>
      <c r="G49" s="328">
        <v>-1000.0</v>
      </c>
      <c r="H49" s="328">
        <v>-1000.0</v>
      </c>
      <c r="I49" s="163"/>
      <c r="J49" s="163" t="s">
        <v>786</v>
      </c>
      <c r="K49" s="163"/>
      <c r="L49" s="163"/>
      <c r="M49" s="164">
        <v>45545.0</v>
      </c>
      <c r="N49" s="164">
        <v>45546.0</v>
      </c>
      <c r="O49" s="163" t="s">
        <v>787</v>
      </c>
      <c r="P49" s="163">
        <v>205826.0</v>
      </c>
      <c r="Q49" s="163" t="s">
        <v>788</v>
      </c>
      <c r="R49" s="163"/>
      <c r="S49" s="163"/>
      <c r="T49" s="163"/>
      <c r="U49" s="163"/>
      <c r="V49" s="163" t="s">
        <v>748</v>
      </c>
      <c r="W49" s="163"/>
      <c r="X49" s="163"/>
      <c r="Y49" s="163"/>
      <c r="Z49" s="163"/>
    </row>
    <row r="50" ht="13.5" customHeight="1">
      <c r="A50" s="163" t="s">
        <v>782</v>
      </c>
      <c r="B50" s="163" t="s">
        <v>783</v>
      </c>
      <c r="C50" s="163" t="s">
        <v>873</v>
      </c>
      <c r="D50" s="163" t="s">
        <v>785</v>
      </c>
      <c r="E50" s="164">
        <v>45545.0</v>
      </c>
      <c r="F50" s="163" t="s">
        <v>172</v>
      </c>
      <c r="G50" s="328">
        <v>-1000.0</v>
      </c>
      <c r="H50" s="328">
        <v>-1000.0</v>
      </c>
      <c r="I50" s="163"/>
      <c r="J50" s="163" t="s">
        <v>786</v>
      </c>
      <c r="K50" s="163"/>
      <c r="L50" s="163"/>
      <c r="M50" s="164">
        <v>45545.0</v>
      </c>
      <c r="N50" s="164">
        <v>45546.0</v>
      </c>
      <c r="O50" s="163" t="s">
        <v>787</v>
      </c>
      <c r="P50" s="163">
        <v>205826.0</v>
      </c>
      <c r="Q50" s="163" t="s">
        <v>788</v>
      </c>
      <c r="R50" s="163"/>
      <c r="S50" s="163"/>
      <c r="T50" s="163"/>
      <c r="U50" s="163"/>
      <c r="V50" s="163" t="s">
        <v>748</v>
      </c>
      <c r="W50" s="163"/>
      <c r="X50" s="163"/>
      <c r="Y50" s="163"/>
      <c r="Z50" s="163"/>
    </row>
    <row r="51" ht="13.5" customHeight="1">
      <c r="A51" s="163" t="s">
        <v>782</v>
      </c>
      <c r="B51" s="163" t="s">
        <v>783</v>
      </c>
      <c r="C51" s="163" t="s">
        <v>874</v>
      </c>
      <c r="D51" s="163" t="s">
        <v>785</v>
      </c>
      <c r="E51" s="164">
        <v>45545.0</v>
      </c>
      <c r="F51" s="163" t="s">
        <v>172</v>
      </c>
      <c r="G51" s="328">
        <v>-1000.0</v>
      </c>
      <c r="H51" s="328">
        <v>-1000.0</v>
      </c>
      <c r="I51" s="163"/>
      <c r="J51" s="163" t="s">
        <v>786</v>
      </c>
      <c r="K51" s="163"/>
      <c r="L51" s="163"/>
      <c r="M51" s="164">
        <v>45545.0</v>
      </c>
      <c r="N51" s="164">
        <v>45546.0</v>
      </c>
      <c r="O51" s="163" t="s">
        <v>787</v>
      </c>
      <c r="P51" s="163">
        <v>205826.0</v>
      </c>
      <c r="Q51" s="163" t="s">
        <v>788</v>
      </c>
      <c r="R51" s="163"/>
      <c r="S51" s="163"/>
      <c r="T51" s="163"/>
      <c r="U51" s="163"/>
      <c r="V51" s="163" t="s">
        <v>748</v>
      </c>
      <c r="W51" s="163"/>
      <c r="X51" s="163"/>
      <c r="Y51" s="163"/>
      <c r="Z51" s="163"/>
    </row>
    <row r="52" ht="13.5" customHeight="1">
      <c r="A52" s="163" t="s">
        <v>782</v>
      </c>
      <c r="B52" s="163" t="s">
        <v>783</v>
      </c>
      <c r="C52" s="163" t="s">
        <v>875</v>
      </c>
      <c r="D52" s="163" t="s">
        <v>785</v>
      </c>
      <c r="E52" s="164">
        <v>45545.0</v>
      </c>
      <c r="F52" s="163" t="s">
        <v>172</v>
      </c>
      <c r="G52" s="328">
        <v>-1147.35</v>
      </c>
      <c r="H52" s="328">
        <v>-1147.35</v>
      </c>
      <c r="I52" s="163"/>
      <c r="J52" s="163" t="s">
        <v>786</v>
      </c>
      <c r="K52" s="163"/>
      <c r="L52" s="163"/>
      <c r="M52" s="164">
        <v>45545.0</v>
      </c>
      <c r="N52" s="164">
        <v>45546.0</v>
      </c>
      <c r="O52" s="163" t="s">
        <v>787</v>
      </c>
      <c r="P52" s="163">
        <v>205826.0</v>
      </c>
      <c r="Q52" s="163" t="s">
        <v>788</v>
      </c>
      <c r="R52" s="163"/>
      <c r="S52" s="163"/>
      <c r="T52" s="163"/>
      <c r="U52" s="163"/>
      <c r="V52" s="163" t="s">
        <v>748</v>
      </c>
      <c r="W52" s="163"/>
      <c r="X52" s="163"/>
      <c r="Y52" s="163"/>
      <c r="Z52" s="163"/>
    </row>
    <row r="53" ht="13.5" customHeight="1">
      <c r="A53" s="163" t="s">
        <v>782</v>
      </c>
      <c r="B53" s="163" t="s">
        <v>783</v>
      </c>
      <c r="C53" s="163" t="s">
        <v>876</v>
      </c>
      <c r="D53" s="163" t="s">
        <v>785</v>
      </c>
      <c r="E53" s="164">
        <v>45545.0</v>
      </c>
      <c r="F53" s="163" t="s">
        <v>172</v>
      </c>
      <c r="G53" s="328">
        <v>-1147.35</v>
      </c>
      <c r="H53" s="328">
        <v>-1147.35</v>
      </c>
      <c r="I53" s="163"/>
      <c r="J53" s="163" t="s">
        <v>786</v>
      </c>
      <c r="K53" s="163"/>
      <c r="L53" s="163"/>
      <c r="M53" s="164">
        <v>45545.0</v>
      </c>
      <c r="N53" s="164">
        <v>45546.0</v>
      </c>
      <c r="O53" s="163" t="s">
        <v>787</v>
      </c>
      <c r="P53" s="163">
        <v>205826.0</v>
      </c>
      <c r="Q53" s="163" t="s">
        <v>788</v>
      </c>
      <c r="R53" s="163"/>
      <c r="S53" s="163"/>
      <c r="T53" s="163"/>
      <c r="U53" s="163"/>
      <c r="V53" s="163" t="s">
        <v>748</v>
      </c>
      <c r="W53" s="163"/>
      <c r="X53" s="163"/>
      <c r="Y53" s="163"/>
      <c r="Z53" s="163"/>
    </row>
    <row r="54" ht="13.5" customHeight="1">
      <c r="A54" s="163" t="s">
        <v>782</v>
      </c>
      <c r="B54" s="163" t="s">
        <v>783</v>
      </c>
      <c r="C54" s="163" t="s">
        <v>877</v>
      </c>
      <c r="D54" s="163" t="s">
        <v>785</v>
      </c>
      <c r="E54" s="164">
        <v>45545.0</v>
      </c>
      <c r="F54" s="163" t="s">
        <v>172</v>
      </c>
      <c r="G54" s="163">
        <v>-916.74</v>
      </c>
      <c r="H54" s="163">
        <v>-916.74</v>
      </c>
      <c r="I54" s="163"/>
      <c r="J54" s="163" t="s">
        <v>786</v>
      </c>
      <c r="K54" s="163"/>
      <c r="L54" s="163"/>
      <c r="M54" s="164">
        <v>45545.0</v>
      </c>
      <c r="N54" s="164">
        <v>45546.0</v>
      </c>
      <c r="O54" s="163" t="s">
        <v>787</v>
      </c>
      <c r="P54" s="163">
        <v>205826.0</v>
      </c>
      <c r="Q54" s="163" t="s">
        <v>788</v>
      </c>
      <c r="R54" s="163"/>
      <c r="S54" s="163"/>
      <c r="T54" s="163"/>
      <c r="U54" s="163"/>
      <c r="V54" s="163" t="s">
        <v>748</v>
      </c>
      <c r="W54" s="163"/>
      <c r="X54" s="163"/>
      <c r="Y54" s="163"/>
      <c r="Z54" s="163"/>
    </row>
    <row r="55" ht="13.5" customHeight="1">
      <c r="A55" s="163" t="s">
        <v>782</v>
      </c>
      <c r="B55" s="163" t="s">
        <v>783</v>
      </c>
      <c r="C55" s="163" t="s">
        <v>878</v>
      </c>
      <c r="D55" s="163" t="s">
        <v>785</v>
      </c>
      <c r="E55" s="164">
        <v>45545.0</v>
      </c>
      <c r="F55" s="163" t="s">
        <v>172</v>
      </c>
      <c r="G55" s="163">
        <v>-916.74</v>
      </c>
      <c r="H55" s="163">
        <v>-916.74</v>
      </c>
      <c r="I55" s="163"/>
      <c r="J55" s="163" t="s">
        <v>786</v>
      </c>
      <c r="K55" s="163"/>
      <c r="L55" s="163"/>
      <c r="M55" s="164">
        <v>45545.0</v>
      </c>
      <c r="N55" s="164">
        <v>45546.0</v>
      </c>
      <c r="O55" s="163" t="s">
        <v>787</v>
      </c>
      <c r="P55" s="163">
        <v>205826.0</v>
      </c>
      <c r="Q55" s="163" t="s">
        <v>788</v>
      </c>
      <c r="R55" s="163"/>
      <c r="S55" s="163"/>
      <c r="T55" s="163"/>
      <c r="U55" s="163"/>
      <c r="V55" s="163" t="s">
        <v>748</v>
      </c>
      <c r="W55" s="163"/>
      <c r="X55" s="163"/>
      <c r="Y55" s="163"/>
      <c r="Z55" s="163"/>
    </row>
    <row r="56" ht="13.5" customHeight="1">
      <c r="A56" s="163" t="s">
        <v>782</v>
      </c>
      <c r="B56" s="163" t="s">
        <v>783</v>
      </c>
      <c r="C56" s="163" t="s">
        <v>879</v>
      </c>
      <c r="D56" s="163" t="s">
        <v>785</v>
      </c>
      <c r="E56" s="164">
        <v>45545.0</v>
      </c>
      <c r="F56" s="163" t="s">
        <v>172</v>
      </c>
      <c r="G56" s="163">
        <v>-916.74</v>
      </c>
      <c r="H56" s="163">
        <v>-916.74</v>
      </c>
      <c r="I56" s="163"/>
      <c r="J56" s="163" t="s">
        <v>786</v>
      </c>
      <c r="K56" s="163"/>
      <c r="L56" s="163"/>
      <c r="M56" s="164">
        <v>45545.0</v>
      </c>
      <c r="N56" s="164">
        <v>45546.0</v>
      </c>
      <c r="O56" s="163" t="s">
        <v>787</v>
      </c>
      <c r="P56" s="163">
        <v>205826.0</v>
      </c>
      <c r="Q56" s="163" t="s">
        <v>788</v>
      </c>
      <c r="R56" s="163"/>
      <c r="S56" s="163"/>
      <c r="T56" s="163"/>
      <c r="U56" s="163"/>
      <c r="V56" s="163" t="s">
        <v>748</v>
      </c>
      <c r="W56" s="163"/>
      <c r="X56" s="163"/>
      <c r="Y56" s="163"/>
      <c r="Z56" s="163"/>
    </row>
    <row r="57" ht="13.5" customHeight="1">
      <c r="A57" s="163" t="s">
        <v>782</v>
      </c>
      <c r="B57" s="163" t="s">
        <v>783</v>
      </c>
      <c r="C57" s="163" t="s">
        <v>880</v>
      </c>
      <c r="D57" s="163" t="s">
        <v>785</v>
      </c>
      <c r="E57" s="164">
        <v>45545.0</v>
      </c>
      <c r="F57" s="163" t="s">
        <v>172</v>
      </c>
      <c r="G57" s="163">
        <v>-916.74</v>
      </c>
      <c r="H57" s="163">
        <v>-916.74</v>
      </c>
      <c r="I57" s="163"/>
      <c r="J57" s="163" t="s">
        <v>786</v>
      </c>
      <c r="K57" s="163"/>
      <c r="L57" s="163"/>
      <c r="M57" s="164">
        <v>45545.0</v>
      </c>
      <c r="N57" s="164">
        <v>45546.0</v>
      </c>
      <c r="O57" s="163" t="s">
        <v>787</v>
      </c>
      <c r="P57" s="163">
        <v>205826.0</v>
      </c>
      <c r="Q57" s="163" t="s">
        <v>788</v>
      </c>
      <c r="R57" s="163"/>
      <c r="S57" s="163"/>
      <c r="T57" s="163"/>
      <c r="U57" s="163"/>
      <c r="V57" s="163" t="s">
        <v>748</v>
      </c>
      <c r="W57" s="163"/>
      <c r="X57" s="163"/>
      <c r="Y57" s="163"/>
      <c r="Z57" s="163"/>
    </row>
    <row r="58" ht="13.5" customHeight="1">
      <c r="A58" s="163" t="s">
        <v>782</v>
      </c>
      <c r="B58" s="163" t="s">
        <v>783</v>
      </c>
      <c r="C58" s="163" t="s">
        <v>881</v>
      </c>
      <c r="D58" s="163" t="s">
        <v>785</v>
      </c>
      <c r="E58" s="164">
        <v>45545.0</v>
      </c>
      <c r="F58" s="163" t="s">
        <v>172</v>
      </c>
      <c r="G58" s="163">
        <v>-916.74</v>
      </c>
      <c r="H58" s="163">
        <v>-916.74</v>
      </c>
      <c r="I58" s="163"/>
      <c r="J58" s="163" t="s">
        <v>786</v>
      </c>
      <c r="K58" s="163"/>
      <c r="L58" s="163"/>
      <c r="M58" s="164">
        <v>45545.0</v>
      </c>
      <c r="N58" s="164">
        <v>45546.0</v>
      </c>
      <c r="O58" s="163" t="s">
        <v>787</v>
      </c>
      <c r="P58" s="163">
        <v>205826.0</v>
      </c>
      <c r="Q58" s="163" t="s">
        <v>788</v>
      </c>
      <c r="R58" s="163"/>
      <c r="S58" s="163"/>
      <c r="T58" s="163"/>
      <c r="U58" s="163"/>
      <c r="V58" s="163" t="s">
        <v>748</v>
      </c>
      <c r="W58" s="163"/>
      <c r="X58" s="163"/>
      <c r="Y58" s="163"/>
      <c r="Z58" s="163"/>
    </row>
    <row r="59" ht="13.5" customHeight="1">
      <c r="A59" s="163" t="s">
        <v>782</v>
      </c>
      <c r="B59" s="163" t="s">
        <v>783</v>
      </c>
      <c r="C59" s="163" t="s">
        <v>882</v>
      </c>
      <c r="D59" s="163" t="s">
        <v>785</v>
      </c>
      <c r="E59" s="164">
        <v>45545.0</v>
      </c>
      <c r="F59" s="163" t="s">
        <v>172</v>
      </c>
      <c r="G59" s="163">
        <v>-916.74</v>
      </c>
      <c r="H59" s="163">
        <v>-916.74</v>
      </c>
      <c r="I59" s="163"/>
      <c r="J59" s="163" t="s">
        <v>786</v>
      </c>
      <c r="K59" s="163"/>
      <c r="L59" s="163"/>
      <c r="M59" s="164">
        <v>45545.0</v>
      </c>
      <c r="N59" s="164">
        <v>45546.0</v>
      </c>
      <c r="O59" s="163" t="s">
        <v>787</v>
      </c>
      <c r="P59" s="163">
        <v>205826.0</v>
      </c>
      <c r="Q59" s="163" t="s">
        <v>788</v>
      </c>
      <c r="R59" s="163"/>
      <c r="S59" s="163"/>
      <c r="T59" s="163"/>
      <c r="U59" s="163"/>
      <c r="V59" s="163" t="s">
        <v>748</v>
      </c>
      <c r="W59" s="163"/>
      <c r="X59" s="163"/>
      <c r="Y59" s="163"/>
      <c r="Z59" s="163"/>
    </row>
    <row r="60" ht="13.5" customHeight="1">
      <c r="A60" s="163" t="s">
        <v>782</v>
      </c>
      <c r="B60" s="163" t="s">
        <v>783</v>
      </c>
      <c r="C60" s="163" t="s">
        <v>883</v>
      </c>
      <c r="D60" s="163" t="s">
        <v>785</v>
      </c>
      <c r="E60" s="164">
        <v>45545.0</v>
      </c>
      <c r="F60" s="163" t="s">
        <v>172</v>
      </c>
      <c r="G60" s="163">
        <v>-916.74</v>
      </c>
      <c r="H60" s="163">
        <v>-916.74</v>
      </c>
      <c r="I60" s="163"/>
      <c r="J60" s="163" t="s">
        <v>786</v>
      </c>
      <c r="K60" s="163"/>
      <c r="L60" s="163"/>
      <c r="M60" s="164">
        <v>45545.0</v>
      </c>
      <c r="N60" s="164">
        <v>45546.0</v>
      </c>
      <c r="O60" s="163" t="s">
        <v>787</v>
      </c>
      <c r="P60" s="163">
        <v>205826.0</v>
      </c>
      <c r="Q60" s="163" t="s">
        <v>788</v>
      </c>
      <c r="R60" s="163"/>
      <c r="S60" s="163"/>
      <c r="T60" s="163"/>
      <c r="U60" s="163"/>
      <c r="V60" s="163" t="s">
        <v>748</v>
      </c>
      <c r="W60" s="163"/>
      <c r="X60" s="163"/>
      <c r="Y60" s="163"/>
      <c r="Z60" s="163"/>
    </row>
    <row r="61" ht="13.5" customHeight="1">
      <c r="A61" s="163" t="s">
        <v>782</v>
      </c>
      <c r="B61" s="163" t="s">
        <v>783</v>
      </c>
      <c r="C61" s="163" t="s">
        <v>884</v>
      </c>
      <c r="D61" s="163" t="s">
        <v>785</v>
      </c>
      <c r="E61" s="164">
        <v>45545.0</v>
      </c>
      <c r="F61" s="163" t="s">
        <v>172</v>
      </c>
      <c r="G61" s="163">
        <v>-916.74</v>
      </c>
      <c r="H61" s="163">
        <v>-916.74</v>
      </c>
      <c r="I61" s="163"/>
      <c r="J61" s="163" t="s">
        <v>786</v>
      </c>
      <c r="K61" s="163"/>
      <c r="L61" s="163"/>
      <c r="M61" s="164">
        <v>45545.0</v>
      </c>
      <c r="N61" s="164">
        <v>45546.0</v>
      </c>
      <c r="O61" s="163" t="s">
        <v>787</v>
      </c>
      <c r="P61" s="163">
        <v>205826.0</v>
      </c>
      <c r="Q61" s="163" t="s">
        <v>788</v>
      </c>
      <c r="R61" s="163"/>
      <c r="S61" s="163"/>
      <c r="T61" s="163"/>
      <c r="U61" s="163"/>
      <c r="V61" s="163" t="s">
        <v>748</v>
      </c>
      <c r="W61" s="163"/>
      <c r="X61" s="163"/>
      <c r="Y61" s="163"/>
      <c r="Z61" s="163"/>
    </row>
    <row r="62" ht="13.5" customHeight="1">
      <c r="A62" s="163" t="s">
        <v>782</v>
      </c>
      <c r="B62" s="163" t="s">
        <v>783</v>
      </c>
      <c r="C62" s="163" t="s">
        <v>885</v>
      </c>
      <c r="D62" s="163" t="s">
        <v>785</v>
      </c>
      <c r="E62" s="164">
        <v>45545.0</v>
      </c>
      <c r="F62" s="163" t="s">
        <v>172</v>
      </c>
      <c r="G62" s="163">
        <v>-916.74</v>
      </c>
      <c r="H62" s="163">
        <v>-916.74</v>
      </c>
      <c r="I62" s="163"/>
      <c r="J62" s="163" t="s">
        <v>786</v>
      </c>
      <c r="K62" s="163"/>
      <c r="L62" s="163"/>
      <c r="M62" s="164">
        <v>45545.0</v>
      </c>
      <c r="N62" s="164">
        <v>45546.0</v>
      </c>
      <c r="O62" s="163" t="s">
        <v>787</v>
      </c>
      <c r="P62" s="163">
        <v>205826.0</v>
      </c>
      <c r="Q62" s="163" t="s">
        <v>788</v>
      </c>
      <c r="R62" s="163"/>
      <c r="S62" s="163"/>
      <c r="T62" s="163"/>
      <c r="U62" s="163"/>
      <c r="V62" s="163" t="s">
        <v>748</v>
      </c>
      <c r="W62" s="163"/>
      <c r="X62" s="163"/>
      <c r="Y62" s="163"/>
      <c r="Z62" s="163"/>
    </row>
    <row r="63" ht="13.5" customHeight="1">
      <c r="A63" s="163" t="s">
        <v>782</v>
      </c>
      <c r="B63" s="163" t="s">
        <v>783</v>
      </c>
      <c r="C63" s="163" t="s">
        <v>886</v>
      </c>
      <c r="D63" s="163" t="s">
        <v>785</v>
      </c>
      <c r="E63" s="164">
        <v>45545.0</v>
      </c>
      <c r="F63" s="163" t="s">
        <v>172</v>
      </c>
      <c r="G63" s="163">
        <v>-916.74</v>
      </c>
      <c r="H63" s="163">
        <v>-916.74</v>
      </c>
      <c r="I63" s="163"/>
      <c r="J63" s="163" t="s">
        <v>786</v>
      </c>
      <c r="K63" s="163"/>
      <c r="L63" s="163"/>
      <c r="M63" s="164">
        <v>45545.0</v>
      </c>
      <c r="N63" s="164">
        <v>45546.0</v>
      </c>
      <c r="O63" s="163" t="s">
        <v>787</v>
      </c>
      <c r="P63" s="163">
        <v>205826.0</v>
      </c>
      <c r="Q63" s="163" t="s">
        <v>788</v>
      </c>
      <c r="R63" s="163"/>
      <c r="S63" s="163"/>
      <c r="T63" s="163"/>
      <c r="U63" s="163"/>
      <c r="V63" s="163" t="s">
        <v>748</v>
      </c>
      <c r="W63" s="163"/>
      <c r="X63" s="163"/>
      <c r="Y63" s="163"/>
      <c r="Z63" s="163"/>
    </row>
    <row r="64" ht="13.5" customHeight="1">
      <c r="A64" s="163" t="s">
        <v>782</v>
      </c>
      <c r="B64" s="163" t="s">
        <v>783</v>
      </c>
      <c r="C64" s="163" t="s">
        <v>887</v>
      </c>
      <c r="D64" s="163" t="s">
        <v>785</v>
      </c>
      <c r="E64" s="164">
        <v>45545.0</v>
      </c>
      <c r="F64" s="163" t="s">
        <v>172</v>
      </c>
      <c r="G64" s="163">
        <v>-916.74</v>
      </c>
      <c r="H64" s="163">
        <v>-916.74</v>
      </c>
      <c r="I64" s="163"/>
      <c r="J64" s="163" t="s">
        <v>786</v>
      </c>
      <c r="K64" s="163"/>
      <c r="L64" s="163"/>
      <c r="M64" s="164">
        <v>45545.0</v>
      </c>
      <c r="N64" s="164">
        <v>45546.0</v>
      </c>
      <c r="O64" s="163" t="s">
        <v>787</v>
      </c>
      <c r="P64" s="163">
        <v>205826.0</v>
      </c>
      <c r="Q64" s="163" t="s">
        <v>788</v>
      </c>
      <c r="R64" s="163"/>
      <c r="S64" s="163"/>
      <c r="T64" s="163"/>
      <c r="U64" s="163"/>
      <c r="V64" s="163" t="s">
        <v>748</v>
      </c>
      <c r="W64" s="163"/>
      <c r="X64" s="163"/>
      <c r="Y64" s="163"/>
      <c r="Z64" s="163"/>
    </row>
    <row r="65" ht="13.5" customHeight="1">
      <c r="A65" s="163" t="s">
        <v>782</v>
      </c>
      <c r="B65" s="163" t="s">
        <v>783</v>
      </c>
      <c r="C65" s="163" t="s">
        <v>888</v>
      </c>
      <c r="D65" s="163" t="s">
        <v>785</v>
      </c>
      <c r="E65" s="164">
        <v>45545.0</v>
      </c>
      <c r="F65" s="163" t="s">
        <v>172</v>
      </c>
      <c r="G65" s="163">
        <v>-916.74</v>
      </c>
      <c r="H65" s="163">
        <v>-916.74</v>
      </c>
      <c r="I65" s="163"/>
      <c r="J65" s="163" t="s">
        <v>786</v>
      </c>
      <c r="K65" s="163"/>
      <c r="L65" s="163"/>
      <c r="M65" s="164">
        <v>45545.0</v>
      </c>
      <c r="N65" s="164">
        <v>45546.0</v>
      </c>
      <c r="O65" s="163" t="s">
        <v>787</v>
      </c>
      <c r="P65" s="163">
        <v>205826.0</v>
      </c>
      <c r="Q65" s="163" t="s">
        <v>788</v>
      </c>
      <c r="R65" s="163"/>
      <c r="S65" s="163"/>
      <c r="T65" s="163"/>
      <c r="U65" s="163"/>
      <c r="V65" s="163" t="s">
        <v>748</v>
      </c>
      <c r="W65" s="163"/>
      <c r="X65" s="163"/>
      <c r="Y65" s="163"/>
      <c r="Z65" s="163"/>
    </row>
    <row r="66" ht="13.5" customHeight="1">
      <c r="A66" s="163" t="s">
        <v>782</v>
      </c>
      <c r="B66" s="163" t="s">
        <v>783</v>
      </c>
      <c r="C66" s="163" t="s">
        <v>889</v>
      </c>
      <c r="D66" s="163" t="s">
        <v>785</v>
      </c>
      <c r="E66" s="164">
        <v>45545.0</v>
      </c>
      <c r="F66" s="163" t="s">
        <v>172</v>
      </c>
      <c r="G66" s="163">
        <v>-916.74</v>
      </c>
      <c r="H66" s="163">
        <v>-916.74</v>
      </c>
      <c r="I66" s="163"/>
      <c r="J66" s="163" t="s">
        <v>786</v>
      </c>
      <c r="K66" s="163"/>
      <c r="L66" s="163"/>
      <c r="M66" s="164">
        <v>45545.0</v>
      </c>
      <c r="N66" s="164">
        <v>45546.0</v>
      </c>
      <c r="O66" s="163" t="s">
        <v>787</v>
      </c>
      <c r="P66" s="163">
        <v>205826.0</v>
      </c>
      <c r="Q66" s="163" t="s">
        <v>788</v>
      </c>
      <c r="R66" s="163"/>
      <c r="S66" s="163"/>
      <c r="T66" s="163"/>
      <c r="U66" s="163"/>
      <c r="V66" s="163" t="s">
        <v>748</v>
      </c>
      <c r="W66" s="163"/>
      <c r="X66" s="163"/>
      <c r="Y66" s="163"/>
      <c r="Z66" s="163"/>
    </row>
    <row r="67" ht="13.5" customHeight="1">
      <c r="A67" s="163" t="s">
        <v>782</v>
      </c>
      <c r="B67" s="163" t="s">
        <v>783</v>
      </c>
      <c r="C67" s="163" t="s">
        <v>890</v>
      </c>
      <c r="D67" s="163" t="s">
        <v>785</v>
      </c>
      <c r="E67" s="164">
        <v>45545.0</v>
      </c>
      <c r="F67" s="163" t="s">
        <v>172</v>
      </c>
      <c r="G67" s="163">
        <v>-916.74</v>
      </c>
      <c r="H67" s="163">
        <v>-916.74</v>
      </c>
      <c r="I67" s="163"/>
      <c r="J67" s="163" t="s">
        <v>786</v>
      </c>
      <c r="K67" s="163"/>
      <c r="L67" s="163"/>
      <c r="M67" s="164">
        <v>45545.0</v>
      </c>
      <c r="N67" s="164">
        <v>45546.0</v>
      </c>
      <c r="O67" s="163" t="s">
        <v>787</v>
      </c>
      <c r="P67" s="163">
        <v>205826.0</v>
      </c>
      <c r="Q67" s="163" t="s">
        <v>788</v>
      </c>
      <c r="R67" s="163"/>
      <c r="S67" s="163"/>
      <c r="T67" s="163"/>
      <c r="U67" s="163"/>
      <c r="V67" s="163" t="s">
        <v>748</v>
      </c>
      <c r="W67" s="163"/>
      <c r="X67" s="163"/>
      <c r="Y67" s="163"/>
      <c r="Z67" s="163"/>
    </row>
    <row r="68" ht="13.5" customHeight="1">
      <c r="A68" s="163" t="s">
        <v>782</v>
      </c>
      <c r="B68" s="163" t="s">
        <v>783</v>
      </c>
      <c r="C68" s="163" t="s">
        <v>891</v>
      </c>
      <c r="D68" s="163" t="s">
        <v>785</v>
      </c>
      <c r="E68" s="164">
        <v>45545.0</v>
      </c>
      <c r="F68" s="163" t="s">
        <v>172</v>
      </c>
      <c r="G68" s="163">
        <v>-916.74</v>
      </c>
      <c r="H68" s="163">
        <v>-916.74</v>
      </c>
      <c r="I68" s="163"/>
      <c r="J68" s="163" t="s">
        <v>786</v>
      </c>
      <c r="K68" s="163"/>
      <c r="L68" s="163"/>
      <c r="M68" s="164">
        <v>45545.0</v>
      </c>
      <c r="N68" s="164">
        <v>45546.0</v>
      </c>
      <c r="O68" s="163" t="s">
        <v>787</v>
      </c>
      <c r="P68" s="163">
        <v>205826.0</v>
      </c>
      <c r="Q68" s="163" t="s">
        <v>788</v>
      </c>
      <c r="R68" s="163"/>
      <c r="S68" s="163"/>
      <c r="T68" s="163"/>
      <c r="U68" s="163"/>
      <c r="V68" s="163" t="s">
        <v>748</v>
      </c>
      <c r="W68" s="163"/>
      <c r="X68" s="163"/>
      <c r="Y68" s="163"/>
      <c r="Z68" s="163"/>
    </row>
    <row r="69" ht="13.5" customHeight="1">
      <c r="A69" s="163" t="s">
        <v>782</v>
      </c>
      <c r="B69" s="163" t="s">
        <v>783</v>
      </c>
      <c r="C69" s="163" t="s">
        <v>892</v>
      </c>
      <c r="D69" s="163" t="s">
        <v>785</v>
      </c>
      <c r="E69" s="164">
        <v>45545.0</v>
      </c>
      <c r="F69" s="163" t="s">
        <v>172</v>
      </c>
      <c r="G69" s="163">
        <v>-916.74</v>
      </c>
      <c r="H69" s="163">
        <v>-916.74</v>
      </c>
      <c r="I69" s="163"/>
      <c r="J69" s="163" t="s">
        <v>786</v>
      </c>
      <c r="K69" s="163"/>
      <c r="L69" s="163"/>
      <c r="M69" s="164">
        <v>45545.0</v>
      </c>
      <c r="N69" s="164">
        <v>45546.0</v>
      </c>
      <c r="O69" s="163" t="s">
        <v>787</v>
      </c>
      <c r="P69" s="163">
        <v>205826.0</v>
      </c>
      <c r="Q69" s="163" t="s">
        <v>788</v>
      </c>
      <c r="R69" s="163"/>
      <c r="S69" s="163"/>
      <c r="T69" s="163"/>
      <c r="U69" s="163"/>
      <c r="V69" s="163" t="s">
        <v>748</v>
      </c>
      <c r="W69" s="163"/>
      <c r="X69" s="163"/>
      <c r="Y69" s="163"/>
      <c r="Z69" s="163"/>
    </row>
    <row r="70" ht="13.5" customHeight="1">
      <c r="A70" s="163" t="s">
        <v>782</v>
      </c>
      <c r="B70" s="163" t="s">
        <v>783</v>
      </c>
      <c r="C70" s="163" t="s">
        <v>893</v>
      </c>
      <c r="D70" s="163" t="s">
        <v>785</v>
      </c>
      <c r="E70" s="164">
        <v>45545.0</v>
      </c>
      <c r="F70" s="163" t="s">
        <v>172</v>
      </c>
      <c r="G70" s="328">
        <v>-1063.51</v>
      </c>
      <c r="H70" s="328">
        <v>-1063.51</v>
      </c>
      <c r="I70" s="163"/>
      <c r="J70" s="163" t="s">
        <v>786</v>
      </c>
      <c r="K70" s="163"/>
      <c r="L70" s="163"/>
      <c r="M70" s="164">
        <v>45545.0</v>
      </c>
      <c r="N70" s="164">
        <v>45546.0</v>
      </c>
      <c r="O70" s="163" t="s">
        <v>787</v>
      </c>
      <c r="P70" s="163">
        <v>205826.0</v>
      </c>
      <c r="Q70" s="163" t="s">
        <v>788</v>
      </c>
      <c r="R70" s="163"/>
      <c r="S70" s="163"/>
      <c r="T70" s="163"/>
      <c r="U70" s="163"/>
      <c r="V70" s="163" t="s">
        <v>748</v>
      </c>
      <c r="W70" s="163"/>
      <c r="X70" s="163"/>
      <c r="Y70" s="163"/>
      <c r="Z70" s="163"/>
    </row>
    <row r="71" ht="13.5" customHeight="1">
      <c r="A71" s="163" t="s">
        <v>782</v>
      </c>
      <c r="B71" s="163" t="s">
        <v>783</v>
      </c>
      <c r="C71" s="163" t="s">
        <v>894</v>
      </c>
      <c r="D71" s="163" t="s">
        <v>785</v>
      </c>
      <c r="E71" s="164">
        <v>45545.0</v>
      </c>
      <c r="F71" s="163" t="s">
        <v>172</v>
      </c>
      <c r="G71" s="328">
        <v>-1063.51</v>
      </c>
      <c r="H71" s="328">
        <v>-1063.51</v>
      </c>
      <c r="I71" s="163"/>
      <c r="J71" s="163" t="s">
        <v>786</v>
      </c>
      <c r="K71" s="163"/>
      <c r="L71" s="163"/>
      <c r="M71" s="164">
        <v>45545.0</v>
      </c>
      <c r="N71" s="164">
        <v>45546.0</v>
      </c>
      <c r="O71" s="163" t="s">
        <v>787</v>
      </c>
      <c r="P71" s="163">
        <v>205826.0</v>
      </c>
      <c r="Q71" s="163" t="s">
        <v>788</v>
      </c>
      <c r="R71" s="163"/>
      <c r="S71" s="163"/>
      <c r="T71" s="163"/>
      <c r="U71" s="163"/>
      <c r="V71" s="163" t="s">
        <v>748</v>
      </c>
      <c r="W71" s="163"/>
      <c r="X71" s="163"/>
      <c r="Y71" s="163"/>
      <c r="Z71" s="163"/>
    </row>
    <row r="72" ht="13.5" customHeight="1">
      <c r="A72" s="163" t="s">
        <v>782</v>
      </c>
      <c r="B72" s="163" t="s">
        <v>783</v>
      </c>
      <c r="C72" s="163" t="s">
        <v>895</v>
      </c>
      <c r="D72" s="163" t="s">
        <v>785</v>
      </c>
      <c r="E72" s="164">
        <v>45545.0</v>
      </c>
      <c r="F72" s="163" t="s">
        <v>172</v>
      </c>
      <c r="G72" s="328">
        <v>-1063.51</v>
      </c>
      <c r="H72" s="328">
        <v>-1063.51</v>
      </c>
      <c r="I72" s="163"/>
      <c r="J72" s="163" t="s">
        <v>786</v>
      </c>
      <c r="K72" s="163"/>
      <c r="L72" s="163"/>
      <c r="M72" s="164">
        <v>45545.0</v>
      </c>
      <c r="N72" s="164">
        <v>45546.0</v>
      </c>
      <c r="O72" s="163" t="s">
        <v>787</v>
      </c>
      <c r="P72" s="163">
        <v>205826.0</v>
      </c>
      <c r="Q72" s="163" t="s">
        <v>788</v>
      </c>
      <c r="R72" s="163"/>
      <c r="S72" s="163"/>
      <c r="T72" s="163"/>
      <c r="U72" s="163"/>
      <c r="V72" s="163" t="s">
        <v>748</v>
      </c>
      <c r="W72" s="163"/>
      <c r="X72" s="163"/>
      <c r="Y72" s="163"/>
      <c r="Z72" s="163"/>
    </row>
    <row r="73" ht="13.5" customHeight="1">
      <c r="A73" s="163" t="s">
        <v>782</v>
      </c>
      <c r="B73" s="163" t="s">
        <v>783</v>
      </c>
      <c r="C73" s="163" t="s">
        <v>896</v>
      </c>
      <c r="D73" s="163" t="s">
        <v>785</v>
      </c>
      <c r="E73" s="164">
        <v>45545.0</v>
      </c>
      <c r="F73" s="163" t="s">
        <v>172</v>
      </c>
      <c r="G73" s="163">
        <v>-916.74</v>
      </c>
      <c r="H73" s="163">
        <v>-916.74</v>
      </c>
      <c r="I73" s="163"/>
      <c r="J73" s="163" t="s">
        <v>786</v>
      </c>
      <c r="K73" s="163"/>
      <c r="L73" s="163"/>
      <c r="M73" s="164">
        <v>45545.0</v>
      </c>
      <c r="N73" s="164">
        <v>45546.0</v>
      </c>
      <c r="O73" s="163" t="s">
        <v>787</v>
      </c>
      <c r="P73" s="163">
        <v>205826.0</v>
      </c>
      <c r="Q73" s="163" t="s">
        <v>788</v>
      </c>
      <c r="R73" s="163"/>
      <c r="S73" s="163"/>
      <c r="T73" s="163"/>
      <c r="U73" s="163"/>
      <c r="V73" s="163" t="s">
        <v>748</v>
      </c>
      <c r="W73" s="163"/>
      <c r="X73" s="163"/>
      <c r="Y73" s="163"/>
      <c r="Z73" s="163"/>
    </row>
    <row r="74" ht="13.5" customHeight="1">
      <c r="A74" s="163" t="s">
        <v>782</v>
      </c>
      <c r="B74" s="163" t="s">
        <v>783</v>
      </c>
      <c r="C74" s="163" t="s">
        <v>897</v>
      </c>
      <c r="D74" s="163" t="s">
        <v>785</v>
      </c>
      <c r="E74" s="164">
        <v>45545.0</v>
      </c>
      <c r="F74" s="163" t="s">
        <v>172</v>
      </c>
      <c r="G74" s="163">
        <v>-916.74</v>
      </c>
      <c r="H74" s="163">
        <v>-916.74</v>
      </c>
      <c r="I74" s="163"/>
      <c r="J74" s="163" t="s">
        <v>786</v>
      </c>
      <c r="K74" s="163"/>
      <c r="L74" s="163"/>
      <c r="M74" s="164">
        <v>45545.0</v>
      </c>
      <c r="N74" s="164">
        <v>45546.0</v>
      </c>
      <c r="O74" s="163" t="s">
        <v>787</v>
      </c>
      <c r="P74" s="163">
        <v>205826.0</v>
      </c>
      <c r="Q74" s="163" t="s">
        <v>788</v>
      </c>
      <c r="R74" s="163"/>
      <c r="S74" s="163"/>
      <c r="T74" s="163"/>
      <c r="U74" s="163"/>
      <c r="V74" s="163" t="s">
        <v>748</v>
      </c>
      <c r="W74" s="163"/>
      <c r="X74" s="163"/>
      <c r="Y74" s="163"/>
      <c r="Z74" s="163"/>
    </row>
    <row r="75" ht="13.5" customHeight="1">
      <c r="A75" s="163" t="s">
        <v>782</v>
      </c>
      <c r="B75" s="163" t="s">
        <v>783</v>
      </c>
      <c r="C75" s="163" t="s">
        <v>898</v>
      </c>
      <c r="D75" s="163" t="s">
        <v>785</v>
      </c>
      <c r="E75" s="164">
        <v>45545.0</v>
      </c>
      <c r="F75" s="163" t="s">
        <v>172</v>
      </c>
      <c r="G75" s="163">
        <v>-916.74</v>
      </c>
      <c r="H75" s="163">
        <v>-916.74</v>
      </c>
      <c r="I75" s="163"/>
      <c r="J75" s="163" t="s">
        <v>786</v>
      </c>
      <c r="K75" s="163"/>
      <c r="L75" s="163"/>
      <c r="M75" s="164">
        <v>45545.0</v>
      </c>
      <c r="N75" s="164">
        <v>45546.0</v>
      </c>
      <c r="O75" s="163" t="s">
        <v>787</v>
      </c>
      <c r="P75" s="163">
        <v>205826.0</v>
      </c>
      <c r="Q75" s="163" t="s">
        <v>788</v>
      </c>
      <c r="R75" s="163"/>
      <c r="S75" s="163"/>
      <c r="T75" s="163"/>
      <c r="U75" s="163"/>
      <c r="V75" s="163" t="s">
        <v>748</v>
      </c>
      <c r="W75" s="163"/>
      <c r="X75" s="163"/>
      <c r="Y75" s="163"/>
      <c r="Z75" s="163"/>
    </row>
    <row r="76" ht="13.5" customHeight="1">
      <c r="A76" s="163" t="s">
        <v>782</v>
      </c>
      <c r="B76" s="163" t="s">
        <v>783</v>
      </c>
      <c r="C76" s="163" t="s">
        <v>899</v>
      </c>
      <c r="D76" s="163" t="s">
        <v>785</v>
      </c>
      <c r="E76" s="164">
        <v>45545.0</v>
      </c>
      <c r="F76" s="163" t="s">
        <v>172</v>
      </c>
      <c r="G76" s="163">
        <v>-916.74</v>
      </c>
      <c r="H76" s="163">
        <v>-916.74</v>
      </c>
      <c r="I76" s="163"/>
      <c r="J76" s="163" t="s">
        <v>786</v>
      </c>
      <c r="K76" s="163"/>
      <c r="L76" s="163"/>
      <c r="M76" s="164">
        <v>45545.0</v>
      </c>
      <c r="N76" s="164">
        <v>45546.0</v>
      </c>
      <c r="O76" s="163" t="s">
        <v>787</v>
      </c>
      <c r="P76" s="163">
        <v>205826.0</v>
      </c>
      <c r="Q76" s="163" t="s">
        <v>788</v>
      </c>
      <c r="R76" s="163"/>
      <c r="S76" s="163"/>
      <c r="T76" s="163"/>
      <c r="U76" s="163"/>
      <c r="V76" s="163" t="s">
        <v>748</v>
      </c>
      <c r="W76" s="163"/>
      <c r="X76" s="163"/>
      <c r="Y76" s="163"/>
      <c r="Z76" s="163"/>
    </row>
    <row r="77" ht="13.5" customHeight="1">
      <c r="A77" s="163" t="s">
        <v>782</v>
      </c>
      <c r="B77" s="163" t="s">
        <v>783</v>
      </c>
      <c r="C77" s="163" t="s">
        <v>900</v>
      </c>
      <c r="D77" s="163" t="s">
        <v>785</v>
      </c>
      <c r="E77" s="164">
        <v>45545.0</v>
      </c>
      <c r="F77" s="163" t="s">
        <v>172</v>
      </c>
      <c r="G77" s="163">
        <v>-916.74</v>
      </c>
      <c r="H77" s="163">
        <v>-916.74</v>
      </c>
      <c r="I77" s="163"/>
      <c r="J77" s="163" t="s">
        <v>786</v>
      </c>
      <c r="K77" s="163"/>
      <c r="L77" s="163"/>
      <c r="M77" s="164">
        <v>45545.0</v>
      </c>
      <c r="N77" s="164">
        <v>45546.0</v>
      </c>
      <c r="O77" s="163" t="s">
        <v>787</v>
      </c>
      <c r="P77" s="163">
        <v>205826.0</v>
      </c>
      <c r="Q77" s="163" t="s">
        <v>788</v>
      </c>
      <c r="R77" s="163"/>
      <c r="S77" s="163"/>
      <c r="T77" s="163"/>
      <c r="U77" s="163"/>
      <c r="V77" s="163" t="s">
        <v>748</v>
      </c>
      <c r="W77" s="163"/>
      <c r="X77" s="163"/>
      <c r="Y77" s="163"/>
      <c r="Z77" s="163"/>
    </row>
    <row r="78" ht="13.5" customHeight="1">
      <c r="A78" s="163" t="s">
        <v>782</v>
      </c>
      <c r="B78" s="163" t="s">
        <v>783</v>
      </c>
      <c r="C78" s="163" t="s">
        <v>901</v>
      </c>
      <c r="D78" s="163" t="s">
        <v>785</v>
      </c>
      <c r="E78" s="164">
        <v>45545.0</v>
      </c>
      <c r="F78" s="163" t="s">
        <v>172</v>
      </c>
      <c r="G78" s="163">
        <v>-916.74</v>
      </c>
      <c r="H78" s="163">
        <v>-916.74</v>
      </c>
      <c r="I78" s="163"/>
      <c r="J78" s="163" t="s">
        <v>786</v>
      </c>
      <c r="K78" s="163"/>
      <c r="L78" s="163"/>
      <c r="M78" s="164">
        <v>45545.0</v>
      </c>
      <c r="N78" s="164">
        <v>45546.0</v>
      </c>
      <c r="O78" s="163" t="s">
        <v>787</v>
      </c>
      <c r="P78" s="163">
        <v>205826.0</v>
      </c>
      <c r="Q78" s="163" t="s">
        <v>788</v>
      </c>
      <c r="R78" s="163"/>
      <c r="S78" s="163"/>
      <c r="T78" s="163"/>
      <c r="U78" s="163"/>
      <c r="V78" s="163" t="s">
        <v>748</v>
      </c>
      <c r="W78" s="163"/>
      <c r="X78" s="163"/>
      <c r="Y78" s="163"/>
      <c r="Z78" s="163"/>
    </row>
    <row r="79" ht="13.5" customHeight="1">
      <c r="A79" s="163" t="s">
        <v>782</v>
      </c>
      <c r="B79" s="163" t="s">
        <v>783</v>
      </c>
      <c r="C79" s="163" t="s">
        <v>902</v>
      </c>
      <c r="D79" s="163" t="s">
        <v>785</v>
      </c>
      <c r="E79" s="164">
        <v>45545.0</v>
      </c>
      <c r="F79" s="163" t="s">
        <v>172</v>
      </c>
      <c r="G79" s="163">
        <v>-916.74</v>
      </c>
      <c r="H79" s="163">
        <v>-916.74</v>
      </c>
      <c r="I79" s="163"/>
      <c r="J79" s="163" t="s">
        <v>786</v>
      </c>
      <c r="K79" s="163"/>
      <c r="L79" s="163"/>
      <c r="M79" s="164">
        <v>45545.0</v>
      </c>
      <c r="N79" s="164">
        <v>45546.0</v>
      </c>
      <c r="O79" s="163" t="s">
        <v>787</v>
      </c>
      <c r="P79" s="163">
        <v>205826.0</v>
      </c>
      <c r="Q79" s="163" t="s">
        <v>788</v>
      </c>
      <c r="R79" s="163"/>
      <c r="S79" s="163"/>
      <c r="T79" s="163"/>
      <c r="U79" s="163"/>
      <c r="V79" s="163" t="s">
        <v>748</v>
      </c>
      <c r="W79" s="163"/>
      <c r="X79" s="163"/>
      <c r="Y79" s="163"/>
      <c r="Z79" s="163"/>
    </row>
    <row r="80" ht="13.5" customHeight="1">
      <c r="A80" s="163" t="s">
        <v>782</v>
      </c>
      <c r="B80" s="163" t="s">
        <v>783</v>
      </c>
      <c r="C80" s="163" t="s">
        <v>903</v>
      </c>
      <c r="D80" s="163" t="s">
        <v>785</v>
      </c>
      <c r="E80" s="164">
        <v>45545.0</v>
      </c>
      <c r="F80" s="163" t="s">
        <v>172</v>
      </c>
      <c r="G80" s="163">
        <v>-916.74</v>
      </c>
      <c r="H80" s="163">
        <v>-916.74</v>
      </c>
      <c r="I80" s="163"/>
      <c r="J80" s="163" t="s">
        <v>786</v>
      </c>
      <c r="K80" s="163"/>
      <c r="L80" s="163"/>
      <c r="M80" s="164">
        <v>45545.0</v>
      </c>
      <c r="N80" s="164">
        <v>45546.0</v>
      </c>
      <c r="O80" s="163" t="s">
        <v>787</v>
      </c>
      <c r="P80" s="163">
        <v>205826.0</v>
      </c>
      <c r="Q80" s="163" t="s">
        <v>788</v>
      </c>
      <c r="R80" s="163"/>
      <c r="S80" s="163"/>
      <c r="T80" s="163"/>
      <c r="U80" s="163"/>
      <c r="V80" s="163" t="s">
        <v>748</v>
      </c>
      <c r="W80" s="163"/>
      <c r="X80" s="163"/>
      <c r="Y80" s="163"/>
      <c r="Z80" s="163"/>
    </row>
    <row r="81" ht="13.5" customHeight="1">
      <c r="A81" s="163" t="s">
        <v>782</v>
      </c>
      <c r="B81" s="163" t="s">
        <v>783</v>
      </c>
      <c r="C81" s="163" t="s">
        <v>904</v>
      </c>
      <c r="D81" s="163" t="s">
        <v>785</v>
      </c>
      <c r="E81" s="164">
        <v>45545.0</v>
      </c>
      <c r="F81" s="163" t="s">
        <v>172</v>
      </c>
      <c r="G81" s="163">
        <v>-916.74</v>
      </c>
      <c r="H81" s="163">
        <v>-916.74</v>
      </c>
      <c r="I81" s="163"/>
      <c r="J81" s="163" t="s">
        <v>786</v>
      </c>
      <c r="K81" s="163"/>
      <c r="L81" s="163"/>
      <c r="M81" s="164">
        <v>45545.0</v>
      </c>
      <c r="N81" s="164">
        <v>45546.0</v>
      </c>
      <c r="O81" s="163" t="s">
        <v>787</v>
      </c>
      <c r="P81" s="163">
        <v>205826.0</v>
      </c>
      <c r="Q81" s="163" t="s">
        <v>788</v>
      </c>
      <c r="R81" s="163"/>
      <c r="S81" s="163"/>
      <c r="T81" s="163"/>
      <c r="U81" s="163"/>
      <c r="V81" s="163" t="s">
        <v>748</v>
      </c>
      <c r="W81" s="163"/>
      <c r="X81" s="163"/>
      <c r="Y81" s="163"/>
      <c r="Z81" s="163"/>
    </row>
    <row r="82" ht="13.5" customHeight="1">
      <c r="A82" s="163" t="s">
        <v>782</v>
      </c>
      <c r="B82" s="163" t="s">
        <v>783</v>
      </c>
      <c r="C82" s="163" t="s">
        <v>905</v>
      </c>
      <c r="D82" s="163" t="s">
        <v>785</v>
      </c>
      <c r="E82" s="164">
        <v>45545.0</v>
      </c>
      <c r="F82" s="163" t="s">
        <v>172</v>
      </c>
      <c r="G82" s="163">
        <v>-916.74</v>
      </c>
      <c r="H82" s="163">
        <v>-916.74</v>
      </c>
      <c r="I82" s="163"/>
      <c r="J82" s="163" t="s">
        <v>786</v>
      </c>
      <c r="K82" s="163"/>
      <c r="L82" s="163"/>
      <c r="M82" s="164">
        <v>45545.0</v>
      </c>
      <c r="N82" s="164">
        <v>45546.0</v>
      </c>
      <c r="O82" s="163" t="s">
        <v>787</v>
      </c>
      <c r="P82" s="163">
        <v>205826.0</v>
      </c>
      <c r="Q82" s="163" t="s">
        <v>788</v>
      </c>
      <c r="R82" s="163"/>
      <c r="S82" s="163"/>
      <c r="T82" s="163"/>
      <c r="U82" s="163"/>
      <c r="V82" s="163" t="s">
        <v>748</v>
      </c>
      <c r="W82" s="163"/>
      <c r="X82" s="163"/>
      <c r="Y82" s="163"/>
      <c r="Z82" s="163"/>
    </row>
    <row r="83" ht="13.5" customHeight="1">
      <c r="A83" s="163" t="s">
        <v>782</v>
      </c>
      <c r="B83" s="163" t="s">
        <v>783</v>
      </c>
      <c r="C83" s="163" t="s">
        <v>906</v>
      </c>
      <c r="D83" s="163" t="s">
        <v>785</v>
      </c>
      <c r="E83" s="164">
        <v>45545.0</v>
      </c>
      <c r="F83" s="163" t="s">
        <v>172</v>
      </c>
      <c r="G83" s="163">
        <v>-916.74</v>
      </c>
      <c r="H83" s="163">
        <v>-916.74</v>
      </c>
      <c r="I83" s="163"/>
      <c r="J83" s="163" t="s">
        <v>786</v>
      </c>
      <c r="K83" s="163"/>
      <c r="L83" s="163"/>
      <c r="M83" s="164">
        <v>45545.0</v>
      </c>
      <c r="N83" s="164">
        <v>45546.0</v>
      </c>
      <c r="O83" s="163" t="s">
        <v>787</v>
      </c>
      <c r="P83" s="163">
        <v>205826.0</v>
      </c>
      <c r="Q83" s="163" t="s">
        <v>788</v>
      </c>
      <c r="R83" s="163"/>
      <c r="S83" s="163"/>
      <c r="T83" s="163"/>
      <c r="U83" s="163"/>
      <c r="V83" s="163" t="s">
        <v>748</v>
      </c>
      <c r="W83" s="163"/>
      <c r="X83" s="163"/>
      <c r="Y83" s="163"/>
      <c r="Z83" s="163"/>
    </row>
    <row r="84" ht="13.5" customHeight="1">
      <c r="A84" s="163" t="s">
        <v>782</v>
      </c>
      <c r="B84" s="163" t="s">
        <v>783</v>
      </c>
      <c r="C84" s="163" t="s">
        <v>907</v>
      </c>
      <c r="D84" s="163" t="s">
        <v>785</v>
      </c>
      <c r="E84" s="164">
        <v>45545.0</v>
      </c>
      <c r="F84" s="163" t="s">
        <v>172</v>
      </c>
      <c r="G84" s="163">
        <v>-916.74</v>
      </c>
      <c r="H84" s="163">
        <v>-916.74</v>
      </c>
      <c r="I84" s="163"/>
      <c r="J84" s="163" t="s">
        <v>786</v>
      </c>
      <c r="K84" s="163"/>
      <c r="L84" s="163"/>
      <c r="M84" s="164">
        <v>45545.0</v>
      </c>
      <c r="N84" s="164">
        <v>45546.0</v>
      </c>
      <c r="O84" s="163" t="s">
        <v>787</v>
      </c>
      <c r="P84" s="163">
        <v>205826.0</v>
      </c>
      <c r="Q84" s="163" t="s">
        <v>788</v>
      </c>
      <c r="R84" s="163"/>
      <c r="S84" s="163"/>
      <c r="T84" s="163"/>
      <c r="U84" s="163"/>
      <c r="V84" s="163" t="s">
        <v>748</v>
      </c>
      <c r="W84" s="163"/>
      <c r="X84" s="163"/>
      <c r="Y84" s="163"/>
      <c r="Z84" s="163"/>
    </row>
    <row r="85" ht="13.5" customHeight="1">
      <c r="A85" s="163" t="s">
        <v>782</v>
      </c>
      <c r="B85" s="163" t="s">
        <v>783</v>
      </c>
      <c r="C85" s="163" t="s">
        <v>908</v>
      </c>
      <c r="D85" s="163" t="s">
        <v>785</v>
      </c>
      <c r="E85" s="164">
        <v>45545.0</v>
      </c>
      <c r="F85" s="163" t="s">
        <v>172</v>
      </c>
      <c r="G85" s="163">
        <v>-916.74</v>
      </c>
      <c r="H85" s="163">
        <v>-916.74</v>
      </c>
      <c r="I85" s="163"/>
      <c r="J85" s="163" t="s">
        <v>786</v>
      </c>
      <c r="K85" s="163"/>
      <c r="L85" s="163"/>
      <c r="M85" s="164">
        <v>45545.0</v>
      </c>
      <c r="N85" s="164">
        <v>45546.0</v>
      </c>
      <c r="O85" s="163" t="s">
        <v>787</v>
      </c>
      <c r="P85" s="163">
        <v>205826.0</v>
      </c>
      <c r="Q85" s="163" t="s">
        <v>788</v>
      </c>
      <c r="R85" s="163"/>
      <c r="S85" s="163"/>
      <c r="T85" s="163"/>
      <c r="U85" s="163"/>
      <c r="V85" s="163" t="s">
        <v>748</v>
      </c>
      <c r="W85" s="163"/>
      <c r="X85" s="163"/>
      <c r="Y85" s="163"/>
      <c r="Z85" s="163"/>
    </row>
    <row r="86" ht="13.5" customHeight="1">
      <c r="A86" s="163" t="s">
        <v>782</v>
      </c>
      <c r="B86" s="163" t="s">
        <v>783</v>
      </c>
      <c r="C86" s="163" t="s">
        <v>909</v>
      </c>
      <c r="D86" s="163" t="s">
        <v>785</v>
      </c>
      <c r="E86" s="164">
        <v>45545.0</v>
      </c>
      <c r="F86" s="163" t="s">
        <v>172</v>
      </c>
      <c r="G86" s="163">
        <v>-916.74</v>
      </c>
      <c r="H86" s="163">
        <v>-916.74</v>
      </c>
      <c r="I86" s="163"/>
      <c r="J86" s="163" t="s">
        <v>786</v>
      </c>
      <c r="K86" s="163"/>
      <c r="L86" s="163"/>
      <c r="M86" s="164">
        <v>45545.0</v>
      </c>
      <c r="N86" s="164">
        <v>45546.0</v>
      </c>
      <c r="O86" s="163" t="s">
        <v>787</v>
      </c>
      <c r="P86" s="163">
        <v>205826.0</v>
      </c>
      <c r="Q86" s="163" t="s">
        <v>788</v>
      </c>
      <c r="R86" s="163"/>
      <c r="S86" s="163"/>
      <c r="T86" s="163"/>
      <c r="U86" s="163"/>
      <c r="V86" s="163" t="s">
        <v>748</v>
      </c>
      <c r="W86" s="163"/>
      <c r="X86" s="163"/>
      <c r="Y86" s="163"/>
      <c r="Z86" s="163"/>
    </row>
    <row r="87" ht="13.5" customHeight="1">
      <c r="A87" s="163" t="s">
        <v>782</v>
      </c>
      <c r="B87" s="163" t="s">
        <v>783</v>
      </c>
      <c r="C87" s="163" t="s">
        <v>910</v>
      </c>
      <c r="D87" s="163" t="s">
        <v>785</v>
      </c>
      <c r="E87" s="164">
        <v>45545.0</v>
      </c>
      <c r="F87" s="163" t="s">
        <v>172</v>
      </c>
      <c r="G87" s="163">
        <v>-916.74</v>
      </c>
      <c r="H87" s="163">
        <v>-916.74</v>
      </c>
      <c r="I87" s="163"/>
      <c r="J87" s="163" t="s">
        <v>786</v>
      </c>
      <c r="K87" s="163"/>
      <c r="L87" s="163"/>
      <c r="M87" s="164">
        <v>45545.0</v>
      </c>
      <c r="N87" s="164">
        <v>45546.0</v>
      </c>
      <c r="O87" s="163" t="s">
        <v>787</v>
      </c>
      <c r="P87" s="163">
        <v>205826.0</v>
      </c>
      <c r="Q87" s="163" t="s">
        <v>788</v>
      </c>
      <c r="R87" s="163"/>
      <c r="S87" s="163"/>
      <c r="T87" s="163"/>
      <c r="U87" s="163"/>
      <c r="V87" s="163" t="s">
        <v>748</v>
      </c>
      <c r="W87" s="163"/>
      <c r="X87" s="163"/>
      <c r="Y87" s="163"/>
      <c r="Z87" s="163"/>
    </row>
    <row r="88" ht="13.5" customHeight="1">
      <c r="A88" s="163" t="s">
        <v>782</v>
      </c>
      <c r="B88" s="163" t="s">
        <v>783</v>
      </c>
      <c r="C88" s="163" t="s">
        <v>911</v>
      </c>
      <c r="D88" s="163" t="s">
        <v>785</v>
      </c>
      <c r="E88" s="164">
        <v>45545.0</v>
      </c>
      <c r="F88" s="163" t="s">
        <v>172</v>
      </c>
      <c r="G88" s="163">
        <v>-916.74</v>
      </c>
      <c r="H88" s="163">
        <v>-916.74</v>
      </c>
      <c r="I88" s="163"/>
      <c r="J88" s="163" t="s">
        <v>786</v>
      </c>
      <c r="K88" s="163"/>
      <c r="L88" s="163"/>
      <c r="M88" s="164">
        <v>45545.0</v>
      </c>
      <c r="N88" s="164">
        <v>45546.0</v>
      </c>
      <c r="O88" s="163" t="s">
        <v>787</v>
      </c>
      <c r="P88" s="163">
        <v>205826.0</v>
      </c>
      <c r="Q88" s="163" t="s">
        <v>788</v>
      </c>
      <c r="R88" s="163"/>
      <c r="S88" s="163"/>
      <c r="T88" s="163"/>
      <c r="U88" s="163"/>
      <c r="V88" s="163" t="s">
        <v>748</v>
      </c>
      <c r="W88" s="163"/>
      <c r="X88" s="163"/>
      <c r="Y88" s="163"/>
      <c r="Z88" s="163"/>
    </row>
    <row r="89" ht="13.5" customHeight="1">
      <c r="A89" s="163" t="s">
        <v>782</v>
      </c>
      <c r="B89" s="163" t="s">
        <v>783</v>
      </c>
      <c r="C89" s="163" t="s">
        <v>912</v>
      </c>
      <c r="D89" s="163" t="s">
        <v>785</v>
      </c>
      <c r="E89" s="164">
        <v>45545.0</v>
      </c>
      <c r="F89" s="163" t="s">
        <v>172</v>
      </c>
      <c r="G89" s="163">
        <v>-916.74</v>
      </c>
      <c r="H89" s="163">
        <v>-916.74</v>
      </c>
      <c r="I89" s="163"/>
      <c r="J89" s="163" t="s">
        <v>786</v>
      </c>
      <c r="K89" s="163"/>
      <c r="L89" s="163"/>
      <c r="M89" s="164">
        <v>45545.0</v>
      </c>
      <c r="N89" s="164">
        <v>45546.0</v>
      </c>
      <c r="O89" s="163" t="s">
        <v>787</v>
      </c>
      <c r="P89" s="163">
        <v>205826.0</v>
      </c>
      <c r="Q89" s="163" t="s">
        <v>788</v>
      </c>
      <c r="R89" s="163"/>
      <c r="S89" s="163"/>
      <c r="T89" s="163"/>
      <c r="U89" s="163"/>
      <c r="V89" s="163" t="s">
        <v>748</v>
      </c>
      <c r="W89" s="163"/>
      <c r="X89" s="163"/>
      <c r="Y89" s="163"/>
      <c r="Z89" s="163"/>
    </row>
    <row r="90" ht="13.5" customHeight="1">
      <c r="A90" s="163" t="s">
        <v>782</v>
      </c>
      <c r="B90" s="163" t="s">
        <v>783</v>
      </c>
      <c r="C90" s="163" t="s">
        <v>913</v>
      </c>
      <c r="D90" s="163" t="s">
        <v>785</v>
      </c>
      <c r="E90" s="164">
        <v>45545.0</v>
      </c>
      <c r="F90" s="163" t="s">
        <v>172</v>
      </c>
      <c r="G90" s="163">
        <v>-916.74</v>
      </c>
      <c r="H90" s="163">
        <v>-916.74</v>
      </c>
      <c r="I90" s="163"/>
      <c r="J90" s="163" t="s">
        <v>786</v>
      </c>
      <c r="K90" s="163"/>
      <c r="L90" s="163"/>
      <c r="M90" s="164">
        <v>45545.0</v>
      </c>
      <c r="N90" s="164">
        <v>45546.0</v>
      </c>
      <c r="O90" s="163" t="s">
        <v>787</v>
      </c>
      <c r="P90" s="163">
        <v>205826.0</v>
      </c>
      <c r="Q90" s="163" t="s">
        <v>788</v>
      </c>
      <c r="R90" s="163"/>
      <c r="S90" s="163"/>
      <c r="T90" s="163"/>
      <c r="U90" s="163"/>
      <c r="V90" s="163" t="s">
        <v>748</v>
      </c>
      <c r="W90" s="163"/>
      <c r="X90" s="163"/>
      <c r="Y90" s="163"/>
      <c r="Z90" s="163"/>
    </row>
    <row r="91" ht="13.5" customHeight="1">
      <c r="A91" s="163" t="s">
        <v>782</v>
      </c>
      <c r="B91" s="163" t="s">
        <v>783</v>
      </c>
      <c r="C91" s="163" t="s">
        <v>914</v>
      </c>
      <c r="D91" s="163" t="s">
        <v>785</v>
      </c>
      <c r="E91" s="164">
        <v>45545.0</v>
      </c>
      <c r="F91" s="163" t="s">
        <v>172</v>
      </c>
      <c r="G91" s="163">
        <v>-916.74</v>
      </c>
      <c r="H91" s="163">
        <v>-916.74</v>
      </c>
      <c r="I91" s="163"/>
      <c r="J91" s="163" t="s">
        <v>786</v>
      </c>
      <c r="K91" s="163"/>
      <c r="L91" s="163"/>
      <c r="M91" s="164">
        <v>45545.0</v>
      </c>
      <c r="N91" s="164">
        <v>45546.0</v>
      </c>
      <c r="O91" s="163" t="s">
        <v>787</v>
      </c>
      <c r="P91" s="163">
        <v>205826.0</v>
      </c>
      <c r="Q91" s="163" t="s">
        <v>788</v>
      </c>
      <c r="R91" s="163"/>
      <c r="S91" s="163"/>
      <c r="T91" s="163"/>
      <c r="U91" s="163"/>
      <c r="V91" s="163" t="s">
        <v>748</v>
      </c>
      <c r="W91" s="163"/>
      <c r="X91" s="163"/>
      <c r="Y91" s="163"/>
      <c r="Z91" s="163"/>
    </row>
    <row r="92" ht="13.5" customHeight="1">
      <c r="A92" s="163" t="s">
        <v>782</v>
      </c>
      <c r="B92" s="163" t="s">
        <v>783</v>
      </c>
      <c r="C92" s="163" t="s">
        <v>915</v>
      </c>
      <c r="D92" s="163" t="s">
        <v>785</v>
      </c>
      <c r="E92" s="164">
        <v>45545.0</v>
      </c>
      <c r="F92" s="163" t="s">
        <v>172</v>
      </c>
      <c r="G92" s="163">
        <v>-916.74</v>
      </c>
      <c r="H92" s="163">
        <v>-916.74</v>
      </c>
      <c r="I92" s="163"/>
      <c r="J92" s="163" t="s">
        <v>786</v>
      </c>
      <c r="K92" s="163"/>
      <c r="L92" s="163"/>
      <c r="M92" s="164">
        <v>45545.0</v>
      </c>
      <c r="N92" s="164">
        <v>45546.0</v>
      </c>
      <c r="O92" s="163" t="s">
        <v>787</v>
      </c>
      <c r="P92" s="163">
        <v>205826.0</v>
      </c>
      <c r="Q92" s="163" t="s">
        <v>788</v>
      </c>
      <c r="R92" s="163"/>
      <c r="S92" s="163"/>
      <c r="T92" s="163"/>
      <c r="U92" s="163"/>
      <c r="V92" s="163" t="s">
        <v>748</v>
      </c>
      <c r="W92" s="163"/>
      <c r="X92" s="163"/>
      <c r="Y92" s="163"/>
      <c r="Z92" s="163"/>
    </row>
    <row r="93" ht="13.5" customHeight="1">
      <c r="A93" s="163" t="s">
        <v>782</v>
      </c>
      <c r="B93" s="163" t="s">
        <v>783</v>
      </c>
      <c r="C93" s="163" t="s">
        <v>916</v>
      </c>
      <c r="D93" s="163" t="s">
        <v>785</v>
      </c>
      <c r="E93" s="164">
        <v>45545.0</v>
      </c>
      <c r="F93" s="163" t="s">
        <v>172</v>
      </c>
      <c r="G93" s="163">
        <v>-916.74</v>
      </c>
      <c r="H93" s="163">
        <v>-916.74</v>
      </c>
      <c r="I93" s="163"/>
      <c r="J93" s="163" t="s">
        <v>786</v>
      </c>
      <c r="K93" s="163"/>
      <c r="L93" s="163"/>
      <c r="M93" s="164">
        <v>45545.0</v>
      </c>
      <c r="N93" s="164">
        <v>45546.0</v>
      </c>
      <c r="O93" s="163" t="s">
        <v>787</v>
      </c>
      <c r="P93" s="163">
        <v>205826.0</v>
      </c>
      <c r="Q93" s="163" t="s">
        <v>788</v>
      </c>
      <c r="R93" s="163"/>
      <c r="S93" s="163"/>
      <c r="T93" s="163"/>
      <c r="U93" s="163"/>
      <c r="V93" s="163" t="s">
        <v>748</v>
      </c>
      <c r="W93" s="163"/>
      <c r="X93" s="163"/>
      <c r="Y93" s="163"/>
      <c r="Z93" s="163"/>
    </row>
    <row r="94" ht="13.5" customHeight="1">
      <c r="A94" s="163" t="s">
        <v>782</v>
      </c>
      <c r="B94" s="163" t="s">
        <v>783</v>
      </c>
      <c r="C94" s="163" t="s">
        <v>917</v>
      </c>
      <c r="D94" s="163" t="s">
        <v>785</v>
      </c>
      <c r="E94" s="164">
        <v>45545.0</v>
      </c>
      <c r="F94" s="163" t="s">
        <v>172</v>
      </c>
      <c r="G94" s="163">
        <v>-996.06</v>
      </c>
      <c r="H94" s="163">
        <v>-996.06</v>
      </c>
      <c r="I94" s="163"/>
      <c r="J94" s="163" t="s">
        <v>786</v>
      </c>
      <c r="K94" s="163"/>
      <c r="L94" s="163"/>
      <c r="M94" s="164">
        <v>45545.0</v>
      </c>
      <c r="N94" s="164">
        <v>45546.0</v>
      </c>
      <c r="O94" s="163" t="s">
        <v>787</v>
      </c>
      <c r="P94" s="163">
        <v>205826.0</v>
      </c>
      <c r="Q94" s="163" t="s">
        <v>788</v>
      </c>
      <c r="R94" s="163"/>
      <c r="S94" s="163"/>
      <c r="T94" s="163"/>
      <c r="U94" s="163"/>
      <c r="V94" s="163" t="s">
        <v>748</v>
      </c>
      <c r="W94" s="163"/>
      <c r="X94" s="163"/>
      <c r="Y94" s="163"/>
      <c r="Z94" s="163"/>
    </row>
    <row r="95" ht="13.5" customHeight="1">
      <c r="A95" s="163" t="s">
        <v>782</v>
      </c>
      <c r="B95" s="163" t="s">
        <v>783</v>
      </c>
      <c r="C95" s="163" t="s">
        <v>918</v>
      </c>
      <c r="D95" s="163" t="s">
        <v>785</v>
      </c>
      <c r="E95" s="164">
        <v>45545.0</v>
      </c>
      <c r="F95" s="163" t="s">
        <v>172</v>
      </c>
      <c r="G95" s="163">
        <v>-996.06</v>
      </c>
      <c r="H95" s="163">
        <v>-996.06</v>
      </c>
      <c r="I95" s="163"/>
      <c r="J95" s="163" t="s">
        <v>786</v>
      </c>
      <c r="K95" s="163"/>
      <c r="L95" s="163"/>
      <c r="M95" s="164">
        <v>45545.0</v>
      </c>
      <c r="N95" s="164">
        <v>45546.0</v>
      </c>
      <c r="O95" s="163" t="s">
        <v>787</v>
      </c>
      <c r="P95" s="163">
        <v>205826.0</v>
      </c>
      <c r="Q95" s="163" t="s">
        <v>788</v>
      </c>
      <c r="R95" s="163"/>
      <c r="S95" s="163"/>
      <c r="T95" s="163"/>
      <c r="U95" s="163"/>
      <c r="V95" s="163" t="s">
        <v>748</v>
      </c>
      <c r="W95" s="163"/>
      <c r="X95" s="163"/>
      <c r="Y95" s="163"/>
      <c r="Z95" s="163"/>
    </row>
    <row r="96" ht="13.5" customHeight="1">
      <c r="A96" s="163" t="s">
        <v>782</v>
      </c>
      <c r="B96" s="163" t="s">
        <v>783</v>
      </c>
      <c r="C96" s="163" t="s">
        <v>919</v>
      </c>
      <c r="D96" s="163" t="s">
        <v>785</v>
      </c>
      <c r="E96" s="164">
        <v>45545.0</v>
      </c>
      <c r="F96" s="163" t="s">
        <v>172</v>
      </c>
      <c r="G96" s="163">
        <v>-996.06</v>
      </c>
      <c r="H96" s="163">
        <v>-996.06</v>
      </c>
      <c r="I96" s="163"/>
      <c r="J96" s="163" t="s">
        <v>786</v>
      </c>
      <c r="K96" s="163"/>
      <c r="L96" s="163"/>
      <c r="M96" s="164">
        <v>45545.0</v>
      </c>
      <c r="N96" s="164">
        <v>45546.0</v>
      </c>
      <c r="O96" s="163" t="s">
        <v>787</v>
      </c>
      <c r="P96" s="163">
        <v>205826.0</v>
      </c>
      <c r="Q96" s="163" t="s">
        <v>788</v>
      </c>
      <c r="R96" s="163"/>
      <c r="S96" s="163"/>
      <c r="T96" s="163"/>
      <c r="U96" s="163"/>
      <c r="V96" s="163" t="s">
        <v>748</v>
      </c>
      <c r="W96" s="163"/>
      <c r="X96" s="163"/>
      <c r="Y96" s="163"/>
      <c r="Z96" s="163"/>
    </row>
    <row r="97" ht="13.5" customHeight="1">
      <c r="A97" s="163" t="s">
        <v>782</v>
      </c>
      <c r="B97" s="163" t="s">
        <v>783</v>
      </c>
      <c r="C97" s="163" t="s">
        <v>920</v>
      </c>
      <c r="D97" s="163" t="s">
        <v>785</v>
      </c>
      <c r="E97" s="164">
        <v>45545.0</v>
      </c>
      <c r="F97" s="163" t="s">
        <v>172</v>
      </c>
      <c r="G97" s="163">
        <v>-996.06</v>
      </c>
      <c r="H97" s="163">
        <v>-996.06</v>
      </c>
      <c r="I97" s="163"/>
      <c r="J97" s="163" t="s">
        <v>786</v>
      </c>
      <c r="K97" s="163"/>
      <c r="L97" s="163"/>
      <c r="M97" s="164">
        <v>45545.0</v>
      </c>
      <c r="N97" s="164">
        <v>45546.0</v>
      </c>
      <c r="O97" s="163" t="s">
        <v>787</v>
      </c>
      <c r="P97" s="163">
        <v>205826.0</v>
      </c>
      <c r="Q97" s="163" t="s">
        <v>788</v>
      </c>
      <c r="R97" s="163"/>
      <c r="S97" s="163"/>
      <c r="T97" s="163"/>
      <c r="U97" s="163"/>
      <c r="V97" s="163" t="s">
        <v>748</v>
      </c>
      <c r="W97" s="163"/>
      <c r="X97" s="163"/>
      <c r="Y97" s="163"/>
      <c r="Z97" s="163"/>
    </row>
    <row r="98" ht="13.5" customHeight="1">
      <c r="A98" s="163" t="s">
        <v>782</v>
      </c>
      <c r="B98" s="163" t="s">
        <v>783</v>
      </c>
      <c r="C98" s="163" t="s">
        <v>921</v>
      </c>
      <c r="D98" s="163" t="s">
        <v>785</v>
      </c>
      <c r="E98" s="164">
        <v>45545.0</v>
      </c>
      <c r="F98" s="163" t="s">
        <v>172</v>
      </c>
      <c r="G98" s="163">
        <v>-996.06</v>
      </c>
      <c r="H98" s="163">
        <v>-996.06</v>
      </c>
      <c r="I98" s="163"/>
      <c r="J98" s="163" t="s">
        <v>786</v>
      </c>
      <c r="K98" s="163"/>
      <c r="L98" s="163"/>
      <c r="M98" s="164">
        <v>45545.0</v>
      </c>
      <c r="N98" s="164">
        <v>45546.0</v>
      </c>
      <c r="O98" s="163" t="s">
        <v>787</v>
      </c>
      <c r="P98" s="163">
        <v>205826.0</v>
      </c>
      <c r="Q98" s="163" t="s">
        <v>788</v>
      </c>
      <c r="R98" s="163"/>
      <c r="S98" s="163"/>
      <c r="T98" s="163"/>
      <c r="U98" s="163"/>
      <c r="V98" s="163" t="s">
        <v>748</v>
      </c>
      <c r="W98" s="163"/>
      <c r="X98" s="163"/>
      <c r="Y98" s="163"/>
      <c r="Z98" s="163"/>
    </row>
    <row r="99" ht="13.5" customHeight="1">
      <c r="A99" s="163" t="s">
        <v>782</v>
      </c>
      <c r="B99" s="163" t="s">
        <v>783</v>
      </c>
      <c r="C99" s="163" t="s">
        <v>922</v>
      </c>
      <c r="D99" s="163" t="s">
        <v>785</v>
      </c>
      <c r="E99" s="164">
        <v>45545.0</v>
      </c>
      <c r="F99" s="163" t="s">
        <v>172</v>
      </c>
      <c r="G99" s="163">
        <v>-996.06</v>
      </c>
      <c r="H99" s="163">
        <v>-996.06</v>
      </c>
      <c r="I99" s="163"/>
      <c r="J99" s="163" t="s">
        <v>786</v>
      </c>
      <c r="K99" s="163"/>
      <c r="L99" s="163"/>
      <c r="M99" s="164">
        <v>45545.0</v>
      </c>
      <c r="N99" s="164">
        <v>45546.0</v>
      </c>
      <c r="O99" s="163" t="s">
        <v>787</v>
      </c>
      <c r="P99" s="163">
        <v>205826.0</v>
      </c>
      <c r="Q99" s="163" t="s">
        <v>788</v>
      </c>
      <c r="R99" s="163"/>
      <c r="S99" s="163"/>
      <c r="T99" s="163"/>
      <c r="U99" s="163"/>
      <c r="V99" s="163" t="s">
        <v>748</v>
      </c>
      <c r="W99" s="163"/>
      <c r="X99" s="163"/>
      <c r="Y99" s="163"/>
      <c r="Z99" s="163"/>
    </row>
    <row r="100" ht="13.5" customHeight="1">
      <c r="A100" s="163" t="s">
        <v>782</v>
      </c>
      <c r="B100" s="163" t="s">
        <v>783</v>
      </c>
      <c r="C100" s="163" t="s">
        <v>923</v>
      </c>
      <c r="D100" s="163" t="s">
        <v>785</v>
      </c>
      <c r="E100" s="164">
        <v>45545.0</v>
      </c>
      <c r="F100" s="163" t="s">
        <v>172</v>
      </c>
      <c r="G100" s="163">
        <v>-996.06</v>
      </c>
      <c r="H100" s="163">
        <v>-996.06</v>
      </c>
      <c r="I100" s="163"/>
      <c r="J100" s="163" t="s">
        <v>786</v>
      </c>
      <c r="K100" s="163"/>
      <c r="L100" s="163"/>
      <c r="M100" s="164">
        <v>45545.0</v>
      </c>
      <c r="N100" s="164">
        <v>45546.0</v>
      </c>
      <c r="O100" s="163" t="s">
        <v>787</v>
      </c>
      <c r="P100" s="163">
        <v>205826.0</v>
      </c>
      <c r="Q100" s="163" t="s">
        <v>788</v>
      </c>
      <c r="R100" s="163"/>
      <c r="S100" s="163"/>
      <c r="T100" s="163"/>
      <c r="U100" s="163"/>
      <c r="V100" s="163" t="s">
        <v>748</v>
      </c>
      <c r="W100" s="163"/>
      <c r="X100" s="163"/>
      <c r="Y100" s="163"/>
      <c r="Z100" s="163"/>
    </row>
    <row r="101" ht="13.5" customHeight="1">
      <c r="A101" s="163" t="s">
        <v>782</v>
      </c>
      <c r="B101" s="163" t="s">
        <v>783</v>
      </c>
      <c r="C101" s="163" t="s">
        <v>924</v>
      </c>
      <c r="D101" s="163" t="s">
        <v>785</v>
      </c>
      <c r="E101" s="164">
        <v>45545.0</v>
      </c>
      <c r="F101" s="163" t="s">
        <v>172</v>
      </c>
      <c r="G101" s="163">
        <v>-996.06</v>
      </c>
      <c r="H101" s="163">
        <v>-996.06</v>
      </c>
      <c r="I101" s="163"/>
      <c r="J101" s="163" t="s">
        <v>786</v>
      </c>
      <c r="K101" s="163"/>
      <c r="L101" s="163"/>
      <c r="M101" s="164">
        <v>45545.0</v>
      </c>
      <c r="N101" s="164">
        <v>45546.0</v>
      </c>
      <c r="O101" s="163" t="s">
        <v>787</v>
      </c>
      <c r="P101" s="163">
        <v>205826.0</v>
      </c>
      <c r="Q101" s="163" t="s">
        <v>788</v>
      </c>
      <c r="R101" s="163"/>
      <c r="S101" s="163"/>
      <c r="T101" s="163"/>
      <c r="U101" s="163"/>
      <c r="V101" s="163" t="s">
        <v>748</v>
      </c>
      <c r="W101" s="163"/>
      <c r="X101" s="163"/>
      <c r="Y101" s="163"/>
      <c r="Z101" s="163"/>
    </row>
    <row r="102" ht="13.5" customHeight="1">
      <c r="A102" s="163" t="s">
        <v>782</v>
      </c>
      <c r="B102" s="163" t="s">
        <v>783</v>
      </c>
      <c r="C102" s="163" t="s">
        <v>925</v>
      </c>
      <c r="D102" s="163" t="s">
        <v>785</v>
      </c>
      <c r="E102" s="164">
        <v>45545.0</v>
      </c>
      <c r="F102" s="163" t="s">
        <v>172</v>
      </c>
      <c r="G102" s="163">
        <v>-996.06</v>
      </c>
      <c r="H102" s="163">
        <v>-996.06</v>
      </c>
      <c r="I102" s="163"/>
      <c r="J102" s="163" t="s">
        <v>786</v>
      </c>
      <c r="K102" s="163"/>
      <c r="L102" s="163"/>
      <c r="M102" s="164">
        <v>45545.0</v>
      </c>
      <c r="N102" s="164">
        <v>45546.0</v>
      </c>
      <c r="O102" s="163" t="s">
        <v>787</v>
      </c>
      <c r="P102" s="163">
        <v>205826.0</v>
      </c>
      <c r="Q102" s="163" t="s">
        <v>788</v>
      </c>
      <c r="R102" s="163"/>
      <c r="S102" s="163"/>
      <c r="T102" s="163"/>
      <c r="U102" s="163"/>
      <c r="V102" s="163" t="s">
        <v>748</v>
      </c>
      <c r="W102" s="163"/>
      <c r="X102" s="163"/>
      <c r="Y102" s="163"/>
      <c r="Z102" s="163"/>
    </row>
    <row r="103" ht="13.5" customHeight="1">
      <c r="A103" s="163" t="s">
        <v>782</v>
      </c>
      <c r="B103" s="163" t="s">
        <v>783</v>
      </c>
      <c r="C103" s="163" t="s">
        <v>926</v>
      </c>
      <c r="D103" s="163" t="s">
        <v>785</v>
      </c>
      <c r="E103" s="164">
        <v>45545.0</v>
      </c>
      <c r="F103" s="163" t="s">
        <v>172</v>
      </c>
      <c r="G103" s="163">
        <v>-996.06</v>
      </c>
      <c r="H103" s="163">
        <v>-996.06</v>
      </c>
      <c r="I103" s="163"/>
      <c r="J103" s="163" t="s">
        <v>786</v>
      </c>
      <c r="K103" s="163"/>
      <c r="L103" s="163"/>
      <c r="M103" s="164">
        <v>45545.0</v>
      </c>
      <c r="N103" s="164">
        <v>45546.0</v>
      </c>
      <c r="O103" s="163" t="s">
        <v>787</v>
      </c>
      <c r="P103" s="163">
        <v>205826.0</v>
      </c>
      <c r="Q103" s="163" t="s">
        <v>788</v>
      </c>
      <c r="R103" s="163"/>
      <c r="S103" s="163"/>
      <c r="T103" s="163"/>
      <c r="U103" s="163"/>
      <c r="V103" s="163" t="s">
        <v>748</v>
      </c>
      <c r="W103" s="163"/>
      <c r="X103" s="163"/>
      <c r="Y103" s="163"/>
      <c r="Z103" s="163"/>
    </row>
    <row r="104" ht="13.5" customHeight="1">
      <c r="A104" s="163" t="s">
        <v>782</v>
      </c>
      <c r="B104" s="163" t="s">
        <v>783</v>
      </c>
      <c r="C104" s="163" t="s">
        <v>927</v>
      </c>
      <c r="D104" s="163" t="s">
        <v>785</v>
      </c>
      <c r="E104" s="164">
        <v>45545.0</v>
      </c>
      <c r="F104" s="163" t="s">
        <v>172</v>
      </c>
      <c r="G104" s="163">
        <v>-996.06</v>
      </c>
      <c r="H104" s="163">
        <v>-996.06</v>
      </c>
      <c r="I104" s="163"/>
      <c r="J104" s="163" t="s">
        <v>786</v>
      </c>
      <c r="K104" s="163"/>
      <c r="L104" s="163"/>
      <c r="M104" s="164">
        <v>45545.0</v>
      </c>
      <c r="N104" s="164">
        <v>45546.0</v>
      </c>
      <c r="O104" s="163" t="s">
        <v>787</v>
      </c>
      <c r="P104" s="163">
        <v>205826.0</v>
      </c>
      <c r="Q104" s="163" t="s">
        <v>788</v>
      </c>
      <c r="R104" s="163"/>
      <c r="S104" s="163"/>
      <c r="T104" s="163"/>
      <c r="U104" s="163"/>
      <c r="V104" s="163" t="s">
        <v>748</v>
      </c>
      <c r="W104" s="163"/>
      <c r="X104" s="163"/>
      <c r="Y104" s="163"/>
      <c r="Z104" s="163"/>
    </row>
    <row r="105" ht="13.5" customHeight="1">
      <c r="A105" s="163" t="s">
        <v>782</v>
      </c>
      <c r="B105" s="163" t="s">
        <v>783</v>
      </c>
      <c r="C105" s="163" t="s">
        <v>928</v>
      </c>
      <c r="D105" s="163" t="s">
        <v>785</v>
      </c>
      <c r="E105" s="164">
        <v>45545.0</v>
      </c>
      <c r="F105" s="163" t="s">
        <v>172</v>
      </c>
      <c r="G105" s="163">
        <v>-996.06</v>
      </c>
      <c r="H105" s="163">
        <v>-996.06</v>
      </c>
      <c r="I105" s="163"/>
      <c r="J105" s="163" t="s">
        <v>786</v>
      </c>
      <c r="K105" s="163"/>
      <c r="L105" s="163"/>
      <c r="M105" s="164">
        <v>45545.0</v>
      </c>
      <c r="N105" s="164">
        <v>45546.0</v>
      </c>
      <c r="O105" s="163" t="s">
        <v>787</v>
      </c>
      <c r="P105" s="163">
        <v>205826.0</v>
      </c>
      <c r="Q105" s="163" t="s">
        <v>788</v>
      </c>
      <c r="R105" s="163"/>
      <c r="S105" s="163"/>
      <c r="T105" s="163"/>
      <c r="U105" s="163"/>
      <c r="V105" s="163" t="s">
        <v>748</v>
      </c>
      <c r="W105" s="163"/>
      <c r="X105" s="163"/>
      <c r="Y105" s="163"/>
      <c r="Z105" s="163"/>
    </row>
    <row r="106" ht="13.5" customHeight="1">
      <c r="A106" s="163" t="s">
        <v>782</v>
      </c>
      <c r="B106" s="163" t="s">
        <v>783</v>
      </c>
      <c r="C106" s="163" t="s">
        <v>929</v>
      </c>
      <c r="D106" s="163" t="s">
        <v>785</v>
      </c>
      <c r="E106" s="164">
        <v>45545.0</v>
      </c>
      <c r="F106" s="163" t="s">
        <v>172</v>
      </c>
      <c r="G106" s="163">
        <v>-996.06</v>
      </c>
      <c r="H106" s="163">
        <v>-996.06</v>
      </c>
      <c r="I106" s="163"/>
      <c r="J106" s="163" t="s">
        <v>786</v>
      </c>
      <c r="K106" s="163"/>
      <c r="L106" s="163"/>
      <c r="M106" s="164">
        <v>45545.0</v>
      </c>
      <c r="N106" s="164">
        <v>45546.0</v>
      </c>
      <c r="O106" s="163" t="s">
        <v>787</v>
      </c>
      <c r="P106" s="163">
        <v>205826.0</v>
      </c>
      <c r="Q106" s="163" t="s">
        <v>788</v>
      </c>
      <c r="R106" s="163"/>
      <c r="S106" s="163"/>
      <c r="T106" s="163"/>
      <c r="U106" s="163"/>
      <c r="V106" s="163" t="s">
        <v>748</v>
      </c>
      <c r="W106" s="163"/>
      <c r="X106" s="163"/>
      <c r="Y106" s="163"/>
      <c r="Z106" s="163"/>
    </row>
    <row r="107" ht="13.5" customHeight="1">
      <c r="A107" s="163" t="s">
        <v>782</v>
      </c>
      <c r="B107" s="163" t="s">
        <v>783</v>
      </c>
      <c r="C107" s="163" t="s">
        <v>930</v>
      </c>
      <c r="D107" s="163" t="s">
        <v>785</v>
      </c>
      <c r="E107" s="164">
        <v>45545.0</v>
      </c>
      <c r="F107" s="163" t="s">
        <v>172</v>
      </c>
      <c r="G107" s="163">
        <v>-996.06</v>
      </c>
      <c r="H107" s="163">
        <v>-996.06</v>
      </c>
      <c r="I107" s="163"/>
      <c r="J107" s="163" t="s">
        <v>786</v>
      </c>
      <c r="K107" s="163"/>
      <c r="L107" s="163"/>
      <c r="M107" s="164">
        <v>45545.0</v>
      </c>
      <c r="N107" s="164">
        <v>45546.0</v>
      </c>
      <c r="O107" s="163" t="s">
        <v>787</v>
      </c>
      <c r="P107" s="163">
        <v>205826.0</v>
      </c>
      <c r="Q107" s="163" t="s">
        <v>788</v>
      </c>
      <c r="R107" s="163"/>
      <c r="S107" s="163"/>
      <c r="T107" s="163"/>
      <c r="U107" s="163"/>
      <c r="V107" s="163" t="s">
        <v>748</v>
      </c>
      <c r="W107" s="163"/>
      <c r="X107" s="163"/>
      <c r="Y107" s="163"/>
      <c r="Z107" s="163"/>
    </row>
    <row r="108" ht="13.5" customHeight="1">
      <c r="A108" s="163" t="s">
        <v>782</v>
      </c>
      <c r="B108" s="163" t="s">
        <v>783</v>
      </c>
      <c r="C108" s="163" t="s">
        <v>931</v>
      </c>
      <c r="D108" s="163" t="s">
        <v>785</v>
      </c>
      <c r="E108" s="164">
        <v>45545.0</v>
      </c>
      <c r="F108" s="163" t="s">
        <v>172</v>
      </c>
      <c r="G108" s="163">
        <v>-996.06</v>
      </c>
      <c r="H108" s="163">
        <v>-996.06</v>
      </c>
      <c r="I108" s="163"/>
      <c r="J108" s="163" t="s">
        <v>786</v>
      </c>
      <c r="K108" s="163"/>
      <c r="L108" s="163"/>
      <c r="M108" s="164">
        <v>45545.0</v>
      </c>
      <c r="N108" s="164">
        <v>45546.0</v>
      </c>
      <c r="O108" s="163" t="s">
        <v>787</v>
      </c>
      <c r="P108" s="163">
        <v>205826.0</v>
      </c>
      <c r="Q108" s="163" t="s">
        <v>788</v>
      </c>
      <c r="R108" s="163"/>
      <c r="S108" s="163"/>
      <c r="T108" s="163"/>
      <c r="U108" s="163"/>
      <c r="V108" s="163" t="s">
        <v>748</v>
      </c>
      <c r="W108" s="163"/>
      <c r="X108" s="163"/>
      <c r="Y108" s="163"/>
      <c r="Z108" s="163"/>
    </row>
    <row r="109" ht="13.5" customHeight="1">
      <c r="A109" s="163" t="s">
        <v>782</v>
      </c>
      <c r="B109" s="163" t="s">
        <v>783</v>
      </c>
      <c r="C109" s="163" t="s">
        <v>932</v>
      </c>
      <c r="D109" s="163" t="s">
        <v>785</v>
      </c>
      <c r="E109" s="164">
        <v>45545.0</v>
      </c>
      <c r="F109" s="163" t="s">
        <v>172</v>
      </c>
      <c r="G109" s="163">
        <v>-996.06</v>
      </c>
      <c r="H109" s="163">
        <v>-996.06</v>
      </c>
      <c r="I109" s="163"/>
      <c r="J109" s="163" t="s">
        <v>786</v>
      </c>
      <c r="K109" s="163"/>
      <c r="L109" s="163"/>
      <c r="M109" s="164">
        <v>45545.0</v>
      </c>
      <c r="N109" s="164">
        <v>45546.0</v>
      </c>
      <c r="O109" s="163" t="s">
        <v>787</v>
      </c>
      <c r="P109" s="163">
        <v>205826.0</v>
      </c>
      <c r="Q109" s="163" t="s">
        <v>788</v>
      </c>
      <c r="R109" s="163"/>
      <c r="S109" s="163"/>
      <c r="T109" s="163"/>
      <c r="U109" s="163"/>
      <c r="V109" s="163" t="s">
        <v>748</v>
      </c>
      <c r="W109" s="163"/>
      <c r="X109" s="163"/>
      <c r="Y109" s="163"/>
      <c r="Z109" s="163"/>
    </row>
    <row r="110" ht="13.5" customHeight="1">
      <c r="A110" s="163" t="s">
        <v>782</v>
      </c>
      <c r="B110" s="163" t="s">
        <v>783</v>
      </c>
      <c r="C110" s="163" t="s">
        <v>933</v>
      </c>
      <c r="D110" s="163" t="s">
        <v>785</v>
      </c>
      <c r="E110" s="164">
        <v>45545.0</v>
      </c>
      <c r="F110" s="163" t="s">
        <v>172</v>
      </c>
      <c r="G110" s="163">
        <v>-996.06</v>
      </c>
      <c r="H110" s="163">
        <v>-996.06</v>
      </c>
      <c r="I110" s="163"/>
      <c r="J110" s="163" t="s">
        <v>786</v>
      </c>
      <c r="K110" s="163"/>
      <c r="L110" s="163"/>
      <c r="M110" s="164">
        <v>45545.0</v>
      </c>
      <c r="N110" s="164">
        <v>45546.0</v>
      </c>
      <c r="O110" s="163" t="s">
        <v>787</v>
      </c>
      <c r="P110" s="163">
        <v>205826.0</v>
      </c>
      <c r="Q110" s="163" t="s">
        <v>788</v>
      </c>
      <c r="R110" s="163"/>
      <c r="S110" s="163"/>
      <c r="T110" s="163"/>
      <c r="U110" s="163"/>
      <c r="V110" s="163" t="s">
        <v>748</v>
      </c>
      <c r="W110" s="163"/>
      <c r="X110" s="163"/>
      <c r="Y110" s="163"/>
      <c r="Z110" s="163"/>
    </row>
    <row r="111" ht="13.5" customHeight="1">
      <c r="A111" s="163" t="s">
        <v>782</v>
      </c>
      <c r="B111" s="163" t="s">
        <v>783</v>
      </c>
      <c r="C111" s="163" t="s">
        <v>934</v>
      </c>
      <c r="D111" s="163" t="s">
        <v>785</v>
      </c>
      <c r="E111" s="164">
        <v>45545.0</v>
      </c>
      <c r="F111" s="163" t="s">
        <v>172</v>
      </c>
      <c r="G111" s="328">
        <v>-1063.51</v>
      </c>
      <c r="H111" s="328">
        <v>-1063.51</v>
      </c>
      <c r="I111" s="163"/>
      <c r="J111" s="163" t="s">
        <v>786</v>
      </c>
      <c r="K111" s="163"/>
      <c r="L111" s="163"/>
      <c r="M111" s="164">
        <v>45545.0</v>
      </c>
      <c r="N111" s="164">
        <v>45546.0</v>
      </c>
      <c r="O111" s="163" t="s">
        <v>787</v>
      </c>
      <c r="P111" s="163">
        <v>205826.0</v>
      </c>
      <c r="Q111" s="163" t="s">
        <v>788</v>
      </c>
      <c r="R111" s="163"/>
      <c r="S111" s="163"/>
      <c r="T111" s="163"/>
      <c r="U111" s="163"/>
      <c r="V111" s="163" t="s">
        <v>748</v>
      </c>
      <c r="W111" s="163"/>
      <c r="X111" s="163"/>
      <c r="Y111" s="163"/>
      <c r="Z111" s="163"/>
    </row>
    <row r="112" ht="13.5" customHeight="1">
      <c r="A112" s="163" t="s">
        <v>782</v>
      </c>
      <c r="B112" s="163" t="s">
        <v>783</v>
      </c>
      <c r="C112" s="163" t="s">
        <v>935</v>
      </c>
      <c r="D112" s="163" t="s">
        <v>785</v>
      </c>
      <c r="E112" s="164">
        <v>45545.0</v>
      </c>
      <c r="F112" s="163" t="s">
        <v>172</v>
      </c>
      <c r="G112" s="328">
        <v>-1063.51</v>
      </c>
      <c r="H112" s="328">
        <v>-1063.51</v>
      </c>
      <c r="I112" s="163"/>
      <c r="J112" s="163" t="s">
        <v>786</v>
      </c>
      <c r="K112" s="163"/>
      <c r="L112" s="163"/>
      <c r="M112" s="164">
        <v>45545.0</v>
      </c>
      <c r="N112" s="164">
        <v>45546.0</v>
      </c>
      <c r="O112" s="163" t="s">
        <v>787</v>
      </c>
      <c r="P112" s="163">
        <v>205826.0</v>
      </c>
      <c r="Q112" s="163" t="s">
        <v>788</v>
      </c>
      <c r="R112" s="163"/>
      <c r="S112" s="163"/>
      <c r="T112" s="163"/>
      <c r="U112" s="163"/>
      <c r="V112" s="163" t="s">
        <v>748</v>
      </c>
      <c r="W112" s="163"/>
      <c r="X112" s="163"/>
      <c r="Y112" s="163"/>
      <c r="Z112" s="163"/>
    </row>
    <row r="113" ht="13.5" customHeight="1">
      <c r="A113" s="163" t="s">
        <v>782</v>
      </c>
      <c r="B113" s="163" t="s">
        <v>783</v>
      </c>
      <c r="C113" s="163" t="s">
        <v>936</v>
      </c>
      <c r="D113" s="163" t="s">
        <v>785</v>
      </c>
      <c r="E113" s="164">
        <v>45545.0</v>
      </c>
      <c r="F113" s="163" t="s">
        <v>172</v>
      </c>
      <c r="G113" s="328">
        <v>-1063.51</v>
      </c>
      <c r="H113" s="328">
        <v>-1063.51</v>
      </c>
      <c r="I113" s="163"/>
      <c r="J113" s="163" t="s">
        <v>786</v>
      </c>
      <c r="K113" s="163"/>
      <c r="L113" s="163"/>
      <c r="M113" s="164">
        <v>45545.0</v>
      </c>
      <c r="N113" s="164">
        <v>45546.0</v>
      </c>
      <c r="O113" s="163" t="s">
        <v>787</v>
      </c>
      <c r="P113" s="163">
        <v>205826.0</v>
      </c>
      <c r="Q113" s="163" t="s">
        <v>788</v>
      </c>
      <c r="R113" s="163"/>
      <c r="S113" s="163"/>
      <c r="T113" s="163"/>
      <c r="U113" s="163"/>
      <c r="V113" s="163" t="s">
        <v>748</v>
      </c>
      <c r="W113" s="163"/>
      <c r="X113" s="163"/>
      <c r="Y113" s="163"/>
      <c r="Z113" s="163"/>
    </row>
    <row r="114" ht="13.5" customHeight="1">
      <c r="A114" s="163" t="s">
        <v>782</v>
      </c>
      <c r="B114" s="163" t="s">
        <v>783</v>
      </c>
      <c r="C114" s="163" t="s">
        <v>937</v>
      </c>
      <c r="D114" s="163" t="s">
        <v>785</v>
      </c>
      <c r="E114" s="164">
        <v>45545.0</v>
      </c>
      <c r="F114" s="163" t="s">
        <v>172</v>
      </c>
      <c r="G114" s="328">
        <v>-1063.51</v>
      </c>
      <c r="H114" s="328">
        <v>-1063.51</v>
      </c>
      <c r="I114" s="163"/>
      <c r="J114" s="163" t="s">
        <v>786</v>
      </c>
      <c r="K114" s="163"/>
      <c r="L114" s="163"/>
      <c r="M114" s="164">
        <v>45545.0</v>
      </c>
      <c r="N114" s="164">
        <v>45546.0</v>
      </c>
      <c r="O114" s="163" t="s">
        <v>787</v>
      </c>
      <c r="P114" s="163">
        <v>205826.0</v>
      </c>
      <c r="Q114" s="163" t="s">
        <v>788</v>
      </c>
      <c r="R114" s="163"/>
      <c r="S114" s="163"/>
      <c r="T114" s="163"/>
      <c r="U114" s="163"/>
      <c r="V114" s="163" t="s">
        <v>748</v>
      </c>
      <c r="W114" s="163"/>
      <c r="X114" s="163"/>
      <c r="Y114" s="163"/>
      <c r="Z114" s="163"/>
    </row>
    <row r="115" ht="13.5" customHeight="1">
      <c r="A115" s="163" t="s">
        <v>782</v>
      </c>
      <c r="B115" s="163" t="s">
        <v>783</v>
      </c>
      <c r="C115" s="163" t="s">
        <v>938</v>
      </c>
      <c r="D115" s="163" t="s">
        <v>785</v>
      </c>
      <c r="E115" s="164">
        <v>45545.0</v>
      </c>
      <c r="F115" s="163" t="s">
        <v>172</v>
      </c>
      <c r="G115" s="328">
        <v>-1063.51</v>
      </c>
      <c r="H115" s="328">
        <v>-1063.51</v>
      </c>
      <c r="I115" s="163"/>
      <c r="J115" s="163" t="s">
        <v>786</v>
      </c>
      <c r="K115" s="163"/>
      <c r="L115" s="163"/>
      <c r="M115" s="164">
        <v>45545.0</v>
      </c>
      <c r="N115" s="164">
        <v>45546.0</v>
      </c>
      <c r="O115" s="163" t="s">
        <v>787</v>
      </c>
      <c r="P115" s="163">
        <v>205826.0</v>
      </c>
      <c r="Q115" s="163" t="s">
        <v>788</v>
      </c>
      <c r="R115" s="163"/>
      <c r="S115" s="163"/>
      <c r="T115" s="163"/>
      <c r="U115" s="163"/>
      <c r="V115" s="163" t="s">
        <v>748</v>
      </c>
      <c r="W115" s="163"/>
      <c r="X115" s="163"/>
      <c r="Y115" s="163"/>
      <c r="Z115" s="163"/>
    </row>
    <row r="116" ht="13.5" customHeight="1">
      <c r="A116" s="163" t="s">
        <v>782</v>
      </c>
      <c r="B116" s="163" t="s">
        <v>783</v>
      </c>
      <c r="C116" s="163" t="s">
        <v>939</v>
      </c>
      <c r="D116" s="163" t="s">
        <v>785</v>
      </c>
      <c r="E116" s="164">
        <v>45545.0</v>
      </c>
      <c r="F116" s="163" t="s">
        <v>172</v>
      </c>
      <c r="G116" s="328">
        <v>-1063.51</v>
      </c>
      <c r="H116" s="328">
        <v>-1063.51</v>
      </c>
      <c r="I116" s="163"/>
      <c r="J116" s="163" t="s">
        <v>786</v>
      </c>
      <c r="K116" s="163"/>
      <c r="L116" s="163"/>
      <c r="M116" s="164">
        <v>45545.0</v>
      </c>
      <c r="N116" s="164">
        <v>45546.0</v>
      </c>
      <c r="O116" s="163" t="s">
        <v>787</v>
      </c>
      <c r="P116" s="163">
        <v>205826.0</v>
      </c>
      <c r="Q116" s="163" t="s">
        <v>788</v>
      </c>
      <c r="R116" s="163"/>
      <c r="S116" s="163"/>
      <c r="T116" s="163"/>
      <c r="U116" s="163"/>
      <c r="V116" s="163" t="s">
        <v>748</v>
      </c>
      <c r="W116" s="163"/>
      <c r="X116" s="163"/>
      <c r="Y116" s="163"/>
      <c r="Z116" s="163"/>
    </row>
    <row r="117" ht="13.5" customHeight="1">
      <c r="A117" s="163" t="s">
        <v>782</v>
      </c>
      <c r="B117" s="163" t="s">
        <v>783</v>
      </c>
      <c r="C117" s="163" t="s">
        <v>940</v>
      </c>
      <c r="D117" s="163" t="s">
        <v>785</v>
      </c>
      <c r="E117" s="164">
        <v>45545.0</v>
      </c>
      <c r="F117" s="163" t="s">
        <v>172</v>
      </c>
      <c r="G117" s="328">
        <v>-1063.51</v>
      </c>
      <c r="H117" s="328">
        <v>-1063.51</v>
      </c>
      <c r="I117" s="163"/>
      <c r="J117" s="163" t="s">
        <v>786</v>
      </c>
      <c r="K117" s="163"/>
      <c r="L117" s="163"/>
      <c r="M117" s="164">
        <v>45545.0</v>
      </c>
      <c r="N117" s="164">
        <v>45546.0</v>
      </c>
      <c r="O117" s="163" t="s">
        <v>787</v>
      </c>
      <c r="P117" s="163">
        <v>205826.0</v>
      </c>
      <c r="Q117" s="163" t="s">
        <v>788</v>
      </c>
      <c r="R117" s="163"/>
      <c r="S117" s="163"/>
      <c r="T117" s="163"/>
      <c r="U117" s="163"/>
      <c r="V117" s="163" t="s">
        <v>748</v>
      </c>
      <c r="W117" s="163"/>
      <c r="X117" s="163"/>
      <c r="Y117" s="163"/>
      <c r="Z117" s="163"/>
    </row>
    <row r="118" ht="13.5" customHeight="1">
      <c r="A118" s="163" t="s">
        <v>782</v>
      </c>
      <c r="B118" s="163" t="s">
        <v>783</v>
      </c>
      <c r="C118" s="163" t="s">
        <v>941</v>
      </c>
      <c r="D118" s="163" t="s">
        <v>785</v>
      </c>
      <c r="E118" s="164">
        <v>45545.0</v>
      </c>
      <c r="F118" s="163" t="s">
        <v>172</v>
      </c>
      <c r="G118" s="328">
        <v>-1063.51</v>
      </c>
      <c r="H118" s="328">
        <v>-1063.51</v>
      </c>
      <c r="I118" s="163"/>
      <c r="J118" s="163" t="s">
        <v>786</v>
      </c>
      <c r="K118" s="163"/>
      <c r="L118" s="163"/>
      <c r="M118" s="164">
        <v>45545.0</v>
      </c>
      <c r="N118" s="164">
        <v>45546.0</v>
      </c>
      <c r="O118" s="163" t="s">
        <v>787</v>
      </c>
      <c r="P118" s="163">
        <v>205826.0</v>
      </c>
      <c r="Q118" s="163" t="s">
        <v>788</v>
      </c>
      <c r="R118" s="163"/>
      <c r="S118" s="163"/>
      <c r="T118" s="163"/>
      <c r="U118" s="163"/>
      <c r="V118" s="163" t="s">
        <v>748</v>
      </c>
      <c r="W118" s="163"/>
      <c r="X118" s="163"/>
      <c r="Y118" s="163"/>
      <c r="Z118" s="163"/>
    </row>
    <row r="119" ht="13.5" customHeight="1">
      <c r="A119" s="163" t="s">
        <v>782</v>
      </c>
      <c r="B119" s="163" t="s">
        <v>783</v>
      </c>
      <c r="C119" s="163" t="s">
        <v>942</v>
      </c>
      <c r="D119" s="163" t="s">
        <v>785</v>
      </c>
      <c r="E119" s="164">
        <v>45545.0</v>
      </c>
      <c r="F119" s="163" t="s">
        <v>172</v>
      </c>
      <c r="G119" s="328">
        <v>-1063.51</v>
      </c>
      <c r="H119" s="328">
        <v>-1063.51</v>
      </c>
      <c r="I119" s="163"/>
      <c r="J119" s="163" t="s">
        <v>786</v>
      </c>
      <c r="K119" s="163"/>
      <c r="L119" s="163"/>
      <c r="M119" s="164">
        <v>45545.0</v>
      </c>
      <c r="N119" s="164">
        <v>45546.0</v>
      </c>
      <c r="O119" s="163" t="s">
        <v>787</v>
      </c>
      <c r="P119" s="163">
        <v>205826.0</v>
      </c>
      <c r="Q119" s="163" t="s">
        <v>788</v>
      </c>
      <c r="R119" s="163"/>
      <c r="S119" s="163"/>
      <c r="T119" s="163"/>
      <c r="U119" s="163"/>
      <c r="V119" s="163" t="s">
        <v>748</v>
      </c>
      <c r="W119" s="163"/>
      <c r="X119" s="163"/>
      <c r="Y119" s="163"/>
      <c r="Z119" s="163"/>
    </row>
    <row r="120" ht="13.5" customHeight="1">
      <c r="A120" s="163" t="s">
        <v>782</v>
      </c>
      <c r="B120" s="163" t="s">
        <v>783</v>
      </c>
      <c r="C120" s="163" t="s">
        <v>943</v>
      </c>
      <c r="D120" s="163" t="s">
        <v>785</v>
      </c>
      <c r="E120" s="164">
        <v>45545.0</v>
      </c>
      <c r="F120" s="163" t="s">
        <v>172</v>
      </c>
      <c r="G120" s="328">
        <v>-1063.51</v>
      </c>
      <c r="H120" s="328">
        <v>-1063.51</v>
      </c>
      <c r="I120" s="163"/>
      <c r="J120" s="163" t="s">
        <v>786</v>
      </c>
      <c r="K120" s="163"/>
      <c r="L120" s="163"/>
      <c r="M120" s="164">
        <v>45545.0</v>
      </c>
      <c r="N120" s="164">
        <v>45546.0</v>
      </c>
      <c r="O120" s="163" t="s">
        <v>787</v>
      </c>
      <c r="P120" s="163">
        <v>205826.0</v>
      </c>
      <c r="Q120" s="163" t="s">
        <v>788</v>
      </c>
      <c r="R120" s="163"/>
      <c r="S120" s="163"/>
      <c r="T120" s="163"/>
      <c r="U120" s="163"/>
      <c r="V120" s="163" t="s">
        <v>748</v>
      </c>
      <c r="W120" s="163"/>
      <c r="X120" s="163"/>
      <c r="Y120" s="163"/>
      <c r="Z120" s="163"/>
    </row>
    <row r="121" ht="13.5" customHeight="1">
      <c r="A121" s="163" t="s">
        <v>782</v>
      </c>
      <c r="B121" s="163" t="s">
        <v>783</v>
      </c>
      <c r="C121" s="163" t="s">
        <v>944</v>
      </c>
      <c r="D121" s="163" t="s">
        <v>785</v>
      </c>
      <c r="E121" s="164">
        <v>45545.0</v>
      </c>
      <c r="F121" s="163" t="s">
        <v>172</v>
      </c>
      <c r="G121" s="328">
        <v>-1063.51</v>
      </c>
      <c r="H121" s="328">
        <v>-1063.51</v>
      </c>
      <c r="I121" s="163"/>
      <c r="J121" s="163" t="s">
        <v>786</v>
      </c>
      <c r="K121" s="163"/>
      <c r="L121" s="163"/>
      <c r="M121" s="164">
        <v>45545.0</v>
      </c>
      <c r="N121" s="164">
        <v>45546.0</v>
      </c>
      <c r="O121" s="163" t="s">
        <v>787</v>
      </c>
      <c r="P121" s="163">
        <v>205826.0</v>
      </c>
      <c r="Q121" s="163" t="s">
        <v>788</v>
      </c>
      <c r="R121" s="163"/>
      <c r="S121" s="163"/>
      <c r="T121" s="163"/>
      <c r="U121" s="163"/>
      <c r="V121" s="163" t="s">
        <v>748</v>
      </c>
      <c r="W121" s="163"/>
      <c r="X121" s="163"/>
      <c r="Y121" s="163"/>
      <c r="Z121" s="163"/>
    </row>
    <row r="122" ht="13.5" customHeight="1">
      <c r="A122" s="163" t="s">
        <v>782</v>
      </c>
      <c r="B122" s="163" t="s">
        <v>783</v>
      </c>
      <c r="C122" s="163" t="s">
        <v>945</v>
      </c>
      <c r="D122" s="163" t="s">
        <v>785</v>
      </c>
      <c r="E122" s="164">
        <v>45545.0</v>
      </c>
      <c r="F122" s="163" t="s">
        <v>172</v>
      </c>
      <c r="G122" s="328">
        <v>-1063.51</v>
      </c>
      <c r="H122" s="328">
        <v>-1063.51</v>
      </c>
      <c r="I122" s="163"/>
      <c r="J122" s="163" t="s">
        <v>786</v>
      </c>
      <c r="K122" s="163"/>
      <c r="L122" s="163"/>
      <c r="M122" s="164">
        <v>45545.0</v>
      </c>
      <c r="N122" s="164">
        <v>45546.0</v>
      </c>
      <c r="O122" s="163" t="s">
        <v>787</v>
      </c>
      <c r="P122" s="163">
        <v>205826.0</v>
      </c>
      <c r="Q122" s="163" t="s">
        <v>788</v>
      </c>
      <c r="R122" s="163"/>
      <c r="S122" s="163"/>
      <c r="T122" s="163"/>
      <c r="U122" s="163"/>
      <c r="V122" s="163" t="s">
        <v>748</v>
      </c>
      <c r="W122" s="163"/>
      <c r="X122" s="163"/>
      <c r="Y122" s="163"/>
      <c r="Z122" s="163"/>
    </row>
    <row r="123" ht="13.5" customHeight="1">
      <c r="A123" s="163" t="s">
        <v>782</v>
      </c>
      <c r="B123" s="163" t="s">
        <v>783</v>
      </c>
      <c r="C123" s="163" t="s">
        <v>946</v>
      </c>
      <c r="D123" s="163" t="s">
        <v>785</v>
      </c>
      <c r="E123" s="164">
        <v>45545.0</v>
      </c>
      <c r="F123" s="163" t="s">
        <v>172</v>
      </c>
      <c r="G123" s="328">
        <v>-1063.51</v>
      </c>
      <c r="H123" s="328">
        <v>-1063.51</v>
      </c>
      <c r="I123" s="163"/>
      <c r="J123" s="163" t="s">
        <v>786</v>
      </c>
      <c r="K123" s="163"/>
      <c r="L123" s="163"/>
      <c r="M123" s="164">
        <v>45545.0</v>
      </c>
      <c r="N123" s="164">
        <v>45546.0</v>
      </c>
      <c r="O123" s="163" t="s">
        <v>787</v>
      </c>
      <c r="P123" s="163">
        <v>205826.0</v>
      </c>
      <c r="Q123" s="163" t="s">
        <v>788</v>
      </c>
      <c r="R123" s="163"/>
      <c r="S123" s="163"/>
      <c r="T123" s="163"/>
      <c r="U123" s="163"/>
      <c r="V123" s="163" t="s">
        <v>748</v>
      </c>
      <c r="W123" s="163"/>
      <c r="X123" s="163"/>
      <c r="Y123" s="163"/>
      <c r="Z123" s="163"/>
    </row>
    <row r="124" ht="13.5" customHeight="1">
      <c r="A124" s="163" t="s">
        <v>782</v>
      </c>
      <c r="B124" s="163" t="s">
        <v>783</v>
      </c>
      <c r="C124" s="163" t="s">
        <v>947</v>
      </c>
      <c r="D124" s="163" t="s">
        <v>785</v>
      </c>
      <c r="E124" s="164">
        <v>45545.0</v>
      </c>
      <c r="F124" s="163" t="s">
        <v>172</v>
      </c>
      <c r="G124" s="328">
        <v>-1063.51</v>
      </c>
      <c r="H124" s="328">
        <v>-1063.51</v>
      </c>
      <c r="I124" s="163"/>
      <c r="J124" s="163" t="s">
        <v>786</v>
      </c>
      <c r="K124" s="163"/>
      <c r="L124" s="163"/>
      <c r="M124" s="164">
        <v>45545.0</v>
      </c>
      <c r="N124" s="164">
        <v>45546.0</v>
      </c>
      <c r="O124" s="163" t="s">
        <v>787</v>
      </c>
      <c r="P124" s="163">
        <v>205826.0</v>
      </c>
      <c r="Q124" s="163" t="s">
        <v>788</v>
      </c>
      <c r="R124" s="163"/>
      <c r="S124" s="163"/>
      <c r="T124" s="163"/>
      <c r="U124" s="163"/>
      <c r="V124" s="163" t="s">
        <v>748</v>
      </c>
      <c r="W124" s="163"/>
      <c r="X124" s="163"/>
      <c r="Y124" s="163"/>
      <c r="Z124" s="163"/>
    </row>
    <row r="125" ht="13.5" customHeight="1">
      <c r="A125" s="163" t="s">
        <v>782</v>
      </c>
      <c r="B125" s="163" t="s">
        <v>783</v>
      </c>
      <c r="C125" s="163" t="s">
        <v>948</v>
      </c>
      <c r="D125" s="163" t="s">
        <v>785</v>
      </c>
      <c r="E125" s="164">
        <v>45545.0</v>
      </c>
      <c r="F125" s="163" t="s">
        <v>172</v>
      </c>
      <c r="G125" s="328">
        <v>-1063.51</v>
      </c>
      <c r="H125" s="328">
        <v>-1063.51</v>
      </c>
      <c r="I125" s="163"/>
      <c r="J125" s="163" t="s">
        <v>786</v>
      </c>
      <c r="K125" s="163"/>
      <c r="L125" s="163"/>
      <c r="M125" s="164">
        <v>45545.0</v>
      </c>
      <c r="N125" s="164">
        <v>45546.0</v>
      </c>
      <c r="O125" s="163" t="s">
        <v>787</v>
      </c>
      <c r="P125" s="163">
        <v>205826.0</v>
      </c>
      <c r="Q125" s="163" t="s">
        <v>788</v>
      </c>
      <c r="R125" s="163"/>
      <c r="S125" s="163"/>
      <c r="T125" s="163"/>
      <c r="U125" s="163"/>
      <c r="V125" s="163" t="s">
        <v>748</v>
      </c>
      <c r="W125" s="163"/>
      <c r="X125" s="163"/>
      <c r="Y125" s="163"/>
      <c r="Z125" s="163"/>
    </row>
    <row r="126" ht="13.5" customHeight="1">
      <c r="A126" s="163" t="s">
        <v>782</v>
      </c>
      <c r="B126" s="163" t="s">
        <v>783</v>
      </c>
      <c r="C126" s="163" t="s">
        <v>949</v>
      </c>
      <c r="D126" s="163" t="s">
        <v>785</v>
      </c>
      <c r="E126" s="164">
        <v>45545.0</v>
      </c>
      <c r="F126" s="163" t="s">
        <v>172</v>
      </c>
      <c r="G126" s="328">
        <v>-1491.3</v>
      </c>
      <c r="H126" s="328">
        <v>-1491.3</v>
      </c>
      <c r="I126" s="163"/>
      <c r="J126" s="163" t="s">
        <v>786</v>
      </c>
      <c r="K126" s="163"/>
      <c r="L126" s="163"/>
      <c r="M126" s="164">
        <v>45545.0</v>
      </c>
      <c r="N126" s="164">
        <v>45546.0</v>
      </c>
      <c r="O126" s="163" t="s">
        <v>787</v>
      </c>
      <c r="P126" s="163">
        <v>205826.0</v>
      </c>
      <c r="Q126" s="163" t="s">
        <v>788</v>
      </c>
      <c r="R126" s="163"/>
      <c r="S126" s="163"/>
      <c r="T126" s="163"/>
      <c r="U126" s="163"/>
      <c r="V126" s="163" t="s">
        <v>748</v>
      </c>
      <c r="W126" s="163"/>
      <c r="X126" s="163"/>
      <c r="Y126" s="163"/>
      <c r="Z126" s="163"/>
    </row>
    <row r="127" ht="13.5" customHeight="1">
      <c r="A127" s="163" t="s">
        <v>782</v>
      </c>
      <c r="B127" s="163" t="s">
        <v>783</v>
      </c>
      <c r="C127" s="163" t="s">
        <v>950</v>
      </c>
      <c r="D127" s="163" t="s">
        <v>785</v>
      </c>
      <c r="E127" s="164">
        <v>45545.0</v>
      </c>
      <c r="F127" s="163" t="s">
        <v>172</v>
      </c>
      <c r="G127" s="328">
        <v>-1063.51</v>
      </c>
      <c r="H127" s="328">
        <v>-1063.51</v>
      </c>
      <c r="I127" s="163"/>
      <c r="J127" s="163" t="s">
        <v>786</v>
      </c>
      <c r="K127" s="163"/>
      <c r="L127" s="163"/>
      <c r="M127" s="164">
        <v>45545.0</v>
      </c>
      <c r="N127" s="164">
        <v>45546.0</v>
      </c>
      <c r="O127" s="163" t="s">
        <v>787</v>
      </c>
      <c r="P127" s="163">
        <v>205826.0</v>
      </c>
      <c r="Q127" s="163" t="s">
        <v>788</v>
      </c>
      <c r="R127" s="163"/>
      <c r="S127" s="163"/>
      <c r="T127" s="163"/>
      <c r="U127" s="163"/>
      <c r="V127" s="163" t="s">
        <v>748</v>
      </c>
      <c r="W127" s="163"/>
      <c r="X127" s="163"/>
      <c r="Y127" s="163"/>
      <c r="Z127" s="163"/>
    </row>
    <row r="128" ht="13.5" customHeight="1">
      <c r="A128" s="163" t="s">
        <v>782</v>
      </c>
      <c r="B128" s="163" t="s">
        <v>783</v>
      </c>
      <c r="C128" s="163" t="s">
        <v>951</v>
      </c>
      <c r="D128" s="163" t="s">
        <v>785</v>
      </c>
      <c r="E128" s="164">
        <v>45545.0</v>
      </c>
      <c r="F128" s="163" t="s">
        <v>172</v>
      </c>
      <c r="G128" s="328">
        <v>-1063.51</v>
      </c>
      <c r="H128" s="328">
        <v>-1063.51</v>
      </c>
      <c r="I128" s="163"/>
      <c r="J128" s="163" t="s">
        <v>786</v>
      </c>
      <c r="K128" s="163"/>
      <c r="L128" s="163"/>
      <c r="M128" s="164">
        <v>45545.0</v>
      </c>
      <c r="N128" s="164">
        <v>45546.0</v>
      </c>
      <c r="O128" s="163" t="s">
        <v>787</v>
      </c>
      <c r="P128" s="163">
        <v>205826.0</v>
      </c>
      <c r="Q128" s="163" t="s">
        <v>788</v>
      </c>
      <c r="R128" s="163"/>
      <c r="S128" s="163"/>
      <c r="T128" s="163"/>
      <c r="U128" s="163"/>
      <c r="V128" s="163" t="s">
        <v>748</v>
      </c>
      <c r="W128" s="163"/>
      <c r="X128" s="163"/>
      <c r="Y128" s="163"/>
      <c r="Z128" s="163"/>
    </row>
    <row r="129" ht="13.5" customHeight="1">
      <c r="A129" s="163" t="s">
        <v>782</v>
      </c>
      <c r="B129" s="163" t="s">
        <v>783</v>
      </c>
      <c r="C129" s="163" t="s">
        <v>952</v>
      </c>
      <c r="D129" s="163" t="s">
        <v>785</v>
      </c>
      <c r="E129" s="164">
        <v>45545.0</v>
      </c>
      <c r="F129" s="163" t="s">
        <v>172</v>
      </c>
      <c r="G129" s="328">
        <v>-1063.51</v>
      </c>
      <c r="H129" s="328">
        <v>-1063.51</v>
      </c>
      <c r="I129" s="163"/>
      <c r="J129" s="163" t="s">
        <v>786</v>
      </c>
      <c r="K129" s="163"/>
      <c r="L129" s="163"/>
      <c r="M129" s="164">
        <v>45545.0</v>
      </c>
      <c r="N129" s="164">
        <v>45546.0</v>
      </c>
      <c r="O129" s="163" t="s">
        <v>787</v>
      </c>
      <c r="P129" s="163">
        <v>205826.0</v>
      </c>
      <c r="Q129" s="163" t="s">
        <v>788</v>
      </c>
      <c r="R129" s="163"/>
      <c r="S129" s="163"/>
      <c r="T129" s="163"/>
      <c r="U129" s="163"/>
      <c r="V129" s="163" t="s">
        <v>748</v>
      </c>
      <c r="W129" s="163"/>
      <c r="X129" s="163"/>
      <c r="Y129" s="163"/>
      <c r="Z129" s="163"/>
    </row>
    <row r="130" ht="13.5" customHeight="1">
      <c r="A130" s="163" t="s">
        <v>782</v>
      </c>
      <c r="B130" s="163" t="s">
        <v>783</v>
      </c>
      <c r="C130" s="163" t="s">
        <v>953</v>
      </c>
      <c r="D130" s="163" t="s">
        <v>785</v>
      </c>
      <c r="E130" s="164">
        <v>45545.0</v>
      </c>
      <c r="F130" s="163" t="s">
        <v>172</v>
      </c>
      <c r="G130" s="328">
        <v>-1063.51</v>
      </c>
      <c r="H130" s="328">
        <v>-1063.51</v>
      </c>
      <c r="I130" s="163"/>
      <c r="J130" s="163" t="s">
        <v>786</v>
      </c>
      <c r="K130" s="163"/>
      <c r="L130" s="163"/>
      <c r="M130" s="164">
        <v>45545.0</v>
      </c>
      <c r="N130" s="164">
        <v>45546.0</v>
      </c>
      <c r="O130" s="163" t="s">
        <v>787</v>
      </c>
      <c r="P130" s="163">
        <v>205826.0</v>
      </c>
      <c r="Q130" s="163" t="s">
        <v>788</v>
      </c>
      <c r="R130" s="163"/>
      <c r="S130" s="163"/>
      <c r="T130" s="163"/>
      <c r="U130" s="163"/>
      <c r="V130" s="163" t="s">
        <v>748</v>
      </c>
      <c r="W130" s="163"/>
      <c r="X130" s="163"/>
      <c r="Y130" s="163"/>
      <c r="Z130" s="163"/>
    </row>
    <row r="131" ht="13.5" customHeight="1">
      <c r="A131" s="163" t="s">
        <v>782</v>
      </c>
      <c r="B131" s="163" t="s">
        <v>783</v>
      </c>
      <c r="C131" s="163" t="s">
        <v>954</v>
      </c>
      <c r="D131" s="163" t="s">
        <v>785</v>
      </c>
      <c r="E131" s="164">
        <v>45545.0</v>
      </c>
      <c r="F131" s="163" t="s">
        <v>172</v>
      </c>
      <c r="G131" s="328">
        <v>-1063.51</v>
      </c>
      <c r="H131" s="328">
        <v>-1063.51</v>
      </c>
      <c r="I131" s="163"/>
      <c r="J131" s="163" t="s">
        <v>786</v>
      </c>
      <c r="K131" s="163"/>
      <c r="L131" s="163"/>
      <c r="M131" s="164">
        <v>45545.0</v>
      </c>
      <c r="N131" s="164">
        <v>45546.0</v>
      </c>
      <c r="O131" s="163" t="s">
        <v>787</v>
      </c>
      <c r="P131" s="163">
        <v>205826.0</v>
      </c>
      <c r="Q131" s="163" t="s">
        <v>788</v>
      </c>
      <c r="R131" s="163"/>
      <c r="S131" s="163"/>
      <c r="T131" s="163"/>
      <c r="U131" s="163"/>
      <c r="V131" s="163" t="s">
        <v>748</v>
      </c>
      <c r="W131" s="163"/>
      <c r="X131" s="163"/>
      <c r="Y131" s="163"/>
      <c r="Z131" s="163"/>
    </row>
    <row r="132" ht="13.5" customHeight="1">
      <c r="A132" s="163" t="s">
        <v>782</v>
      </c>
      <c r="B132" s="163" t="s">
        <v>783</v>
      </c>
      <c r="C132" s="163" t="s">
        <v>955</v>
      </c>
      <c r="D132" s="163" t="s">
        <v>785</v>
      </c>
      <c r="E132" s="164">
        <v>45545.0</v>
      </c>
      <c r="F132" s="163" t="s">
        <v>172</v>
      </c>
      <c r="G132" s="328">
        <v>-1063.51</v>
      </c>
      <c r="H132" s="328">
        <v>-1063.51</v>
      </c>
      <c r="I132" s="163"/>
      <c r="J132" s="163" t="s">
        <v>786</v>
      </c>
      <c r="K132" s="163"/>
      <c r="L132" s="163"/>
      <c r="M132" s="164">
        <v>45545.0</v>
      </c>
      <c r="N132" s="164">
        <v>45546.0</v>
      </c>
      <c r="O132" s="163" t="s">
        <v>787</v>
      </c>
      <c r="P132" s="163">
        <v>205826.0</v>
      </c>
      <c r="Q132" s="163" t="s">
        <v>788</v>
      </c>
      <c r="R132" s="163"/>
      <c r="S132" s="163"/>
      <c r="T132" s="163"/>
      <c r="U132" s="163"/>
      <c r="V132" s="163" t="s">
        <v>748</v>
      </c>
      <c r="W132" s="163"/>
      <c r="X132" s="163"/>
      <c r="Y132" s="163"/>
      <c r="Z132" s="163"/>
    </row>
    <row r="133" ht="13.5" customHeight="1">
      <c r="A133" s="163" t="s">
        <v>782</v>
      </c>
      <c r="B133" s="163" t="s">
        <v>783</v>
      </c>
      <c r="C133" s="163" t="s">
        <v>956</v>
      </c>
      <c r="D133" s="163" t="s">
        <v>785</v>
      </c>
      <c r="E133" s="164">
        <v>45545.0</v>
      </c>
      <c r="F133" s="163" t="s">
        <v>172</v>
      </c>
      <c r="G133" s="328">
        <v>-1047.89</v>
      </c>
      <c r="H133" s="328">
        <v>-1047.89</v>
      </c>
      <c r="I133" s="163"/>
      <c r="J133" s="163" t="s">
        <v>786</v>
      </c>
      <c r="K133" s="163"/>
      <c r="L133" s="163"/>
      <c r="M133" s="164">
        <v>45545.0</v>
      </c>
      <c r="N133" s="164">
        <v>45546.0</v>
      </c>
      <c r="O133" s="163" t="s">
        <v>787</v>
      </c>
      <c r="P133" s="163">
        <v>205826.0</v>
      </c>
      <c r="Q133" s="163" t="s">
        <v>788</v>
      </c>
      <c r="R133" s="163"/>
      <c r="S133" s="163"/>
      <c r="T133" s="163"/>
      <c r="U133" s="163"/>
      <c r="V133" s="163" t="s">
        <v>748</v>
      </c>
      <c r="W133" s="163"/>
      <c r="X133" s="163"/>
      <c r="Y133" s="163"/>
      <c r="Z133" s="163"/>
    </row>
    <row r="134" ht="13.5" customHeight="1">
      <c r="A134" s="163" t="s">
        <v>782</v>
      </c>
      <c r="B134" s="163" t="s">
        <v>783</v>
      </c>
      <c r="C134" s="163" t="s">
        <v>957</v>
      </c>
      <c r="D134" s="163" t="s">
        <v>785</v>
      </c>
      <c r="E134" s="164">
        <v>45545.0</v>
      </c>
      <c r="F134" s="163" t="s">
        <v>172</v>
      </c>
      <c r="G134" s="328">
        <v>-1063.51</v>
      </c>
      <c r="H134" s="328">
        <v>-1063.51</v>
      </c>
      <c r="I134" s="163"/>
      <c r="J134" s="163" t="s">
        <v>786</v>
      </c>
      <c r="K134" s="163"/>
      <c r="L134" s="163"/>
      <c r="M134" s="164">
        <v>45545.0</v>
      </c>
      <c r="N134" s="164">
        <v>45546.0</v>
      </c>
      <c r="O134" s="163" t="s">
        <v>787</v>
      </c>
      <c r="P134" s="163">
        <v>205826.0</v>
      </c>
      <c r="Q134" s="163" t="s">
        <v>788</v>
      </c>
      <c r="R134" s="163"/>
      <c r="S134" s="163"/>
      <c r="T134" s="163"/>
      <c r="U134" s="163"/>
      <c r="V134" s="163" t="s">
        <v>748</v>
      </c>
      <c r="W134" s="163"/>
      <c r="X134" s="163"/>
      <c r="Y134" s="163"/>
      <c r="Z134" s="163"/>
    </row>
    <row r="135" ht="13.5" customHeight="1">
      <c r="A135" s="163" t="s">
        <v>782</v>
      </c>
      <c r="B135" s="163" t="s">
        <v>783</v>
      </c>
      <c r="C135" s="163" t="s">
        <v>958</v>
      </c>
      <c r="D135" s="163" t="s">
        <v>785</v>
      </c>
      <c r="E135" s="164">
        <v>45545.0</v>
      </c>
      <c r="F135" s="163" t="s">
        <v>172</v>
      </c>
      <c r="G135" s="328">
        <v>-1063.51</v>
      </c>
      <c r="H135" s="328">
        <v>-1063.51</v>
      </c>
      <c r="I135" s="163"/>
      <c r="J135" s="163" t="s">
        <v>786</v>
      </c>
      <c r="K135" s="163"/>
      <c r="L135" s="163"/>
      <c r="M135" s="164">
        <v>45545.0</v>
      </c>
      <c r="N135" s="164">
        <v>45546.0</v>
      </c>
      <c r="O135" s="163" t="s">
        <v>787</v>
      </c>
      <c r="P135" s="163">
        <v>205826.0</v>
      </c>
      <c r="Q135" s="163" t="s">
        <v>788</v>
      </c>
      <c r="R135" s="163"/>
      <c r="S135" s="163"/>
      <c r="T135" s="163"/>
      <c r="U135" s="163"/>
      <c r="V135" s="163" t="s">
        <v>748</v>
      </c>
      <c r="W135" s="163"/>
      <c r="X135" s="163"/>
      <c r="Y135" s="163"/>
      <c r="Z135" s="163"/>
    </row>
    <row r="136" ht="13.5" customHeight="1">
      <c r="A136" s="163" t="s">
        <v>782</v>
      </c>
      <c r="B136" s="163" t="s">
        <v>783</v>
      </c>
      <c r="C136" s="163" t="s">
        <v>959</v>
      </c>
      <c r="D136" s="163" t="s">
        <v>785</v>
      </c>
      <c r="E136" s="164">
        <v>45545.0</v>
      </c>
      <c r="F136" s="163" t="s">
        <v>172</v>
      </c>
      <c r="G136" s="328">
        <v>-1063.51</v>
      </c>
      <c r="H136" s="328">
        <v>-1063.51</v>
      </c>
      <c r="I136" s="163"/>
      <c r="J136" s="163" t="s">
        <v>786</v>
      </c>
      <c r="K136" s="163"/>
      <c r="L136" s="163"/>
      <c r="M136" s="164">
        <v>45545.0</v>
      </c>
      <c r="N136" s="164">
        <v>45546.0</v>
      </c>
      <c r="O136" s="163" t="s">
        <v>787</v>
      </c>
      <c r="P136" s="163">
        <v>205826.0</v>
      </c>
      <c r="Q136" s="163" t="s">
        <v>788</v>
      </c>
      <c r="R136" s="163"/>
      <c r="S136" s="163"/>
      <c r="T136" s="163"/>
      <c r="U136" s="163"/>
      <c r="V136" s="163" t="s">
        <v>748</v>
      </c>
      <c r="W136" s="163"/>
      <c r="X136" s="163"/>
      <c r="Y136" s="163"/>
      <c r="Z136" s="163"/>
    </row>
    <row r="137" ht="13.5" customHeight="1">
      <c r="A137" s="163" t="s">
        <v>782</v>
      </c>
      <c r="B137" s="163" t="s">
        <v>783</v>
      </c>
      <c r="C137" s="163" t="s">
        <v>960</v>
      </c>
      <c r="D137" s="163" t="s">
        <v>785</v>
      </c>
      <c r="E137" s="164">
        <v>45545.0</v>
      </c>
      <c r="F137" s="163" t="s">
        <v>172</v>
      </c>
      <c r="G137" s="328">
        <v>-1063.51</v>
      </c>
      <c r="H137" s="328">
        <v>-1063.51</v>
      </c>
      <c r="I137" s="163"/>
      <c r="J137" s="163" t="s">
        <v>786</v>
      </c>
      <c r="K137" s="163"/>
      <c r="L137" s="163"/>
      <c r="M137" s="164">
        <v>45545.0</v>
      </c>
      <c r="N137" s="164">
        <v>45546.0</v>
      </c>
      <c r="O137" s="163" t="s">
        <v>787</v>
      </c>
      <c r="P137" s="163">
        <v>205826.0</v>
      </c>
      <c r="Q137" s="163" t="s">
        <v>788</v>
      </c>
      <c r="R137" s="163"/>
      <c r="S137" s="163"/>
      <c r="T137" s="163"/>
      <c r="U137" s="163"/>
      <c r="V137" s="163" t="s">
        <v>748</v>
      </c>
      <c r="W137" s="163"/>
      <c r="X137" s="163"/>
      <c r="Y137" s="163"/>
      <c r="Z137" s="163"/>
    </row>
    <row r="138" ht="13.5" customHeight="1">
      <c r="A138" s="163" t="s">
        <v>782</v>
      </c>
      <c r="B138" s="163" t="s">
        <v>783</v>
      </c>
      <c r="C138" s="163" t="s">
        <v>961</v>
      </c>
      <c r="D138" s="163" t="s">
        <v>785</v>
      </c>
      <c r="E138" s="164">
        <v>45545.0</v>
      </c>
      <c r="F138" s="163" t="s">
        <v>172</v>
      </c>
      <c r="G138" s="328">
        <v>-1063.51</v>
      </c>
      <c r="H138" s="328">
        <v>-1063.51</v>
      </c>
      <c r="I138" s="163"/>
      <c r="J138" s="163" t="s">
        <v>786</v>
      </c>
      <c r="K138" s="163"/>
      <c r="L138" s="163"/>
      <c r="M138" s="164">
        <v>45545.0</v>
      </c>
      <c r="N138" s="164">
        <v>45546.0</v>
      </c>
      <c r="O138" s="163" t="s">
        <v>787</v>
      </c>
      <c r="P138" s="163">
        <v>205826.0</v>
      </c>
      <c r="Q138" s="163" t="s">
        <v>788</v>
      </c>
      <c r="R138" s="163"/>
      <c r="S138" s="163"/>
      <c r="T138" s="163"/>
      <c r="U138" s="163"/>
      <c r="V138" s="163" t="s">
        <v>748</v>
      </c>
      <c r="W138" s="163"/>
      <c r="X138" s="163"/>
      <c r="Y138" s="163"/>
      <c r="Z138" s="163"/>
    </row>
    <row r="139" ht="13.5" customHeight="1">
      <c r="A139" s="163" t="s">
        <v>782</v>
      </c>
      <c r="B139" s="163" t="s">
        <v>783</v>
      </c>
      <c r="C139" s="163" t="s">
        <v>962</v>
      </c>
      <c r="D139" s="163" t="s">
        <v>785</v>
      </c>
      <c r="E139" s="164">
        <v>45545.0</v>
      </c>
      <c r="F139" s="163" t="s">
        <v>172</v>
      </c>
      <c r="G139" s="328">
        <v>-1063.51</v>
      </c>
      <c r="H139" s="328">
        <v>-1063.51</v>
      </c>
      <c r="I139" s="163"/>
      <c r="J139" s="163" t="s">
        <v>786</v>
      </c>
      <c r="K139" s="163"/>
      <c r="L139" s="163"/>
      <c r="M139" s="164">
        <v>45545.0</v>
      </c>
      <c r="N139" s="164">
        <v>45546.0</v>
      </c>
      <c r="O139" s="163" t="s">
        <v>787</v>
      </c>
      <c r="P139" s="163">
        <v>205826.0</v>
      </c>
      <c r="Q139" s="163" t="s">
        <v>788</v>
      </c>
      <c r="R139" s="163"/>
      <c r="S139" s="163"/>
      <c r="T139" s="163"/>
      <c r="U139" s="163"/>
      <c r="V139" s="163" t="s">
        <v>748</v>
      </c>
      <c r="W139" s="163"/>
      <c r="X139" s="163"/>
      <c r="Y139" s="163"/>
      <c r="Z139" s="163"/>
    </row>
    <row r="140" ht="13.5" customHeight="1">
      <c r="A140" s="163" t="s">
        <v>782</v>
      </c>
      <c r="B140" s="163" t="s">
        <v>783</v>
      </c>
      <c r="C140" s="163" t="s">
        <v>963</v>
      </c>
      <c r="D140" s="163" t="s">
        <v>785</v>
      </c>
      <c r="E140" s="164">
        <v>45545.0</v>
      </c>
      <c r="F140" s="163" t="s">
        <v>172</v>
      </c>
      <c r="G140" s="328">
        <v>-1063.51</v>
      </c>
      <c r="H140" s="328">
        <v>-1063.51</v>
      </c>
      <c r="I140" s="163"/>
      <c r="J140" s="163" t="s">
        <v>786</v>
      </c>
      <c r="K140" s="163"/>
      <c r="L140" s="163"/>
      <c r="M140" s="164">
        <v>45545.0</v>
      </c>
      <c r="N140" s="164">
        <v>45546.0</v>
      </c>
      <c r="O140" s="163" t="s">
        <v>787</v>
      </c>
      <c r="P140" s="163">
        <v>205826.0</v>
      </c>
      <c r="Q140" s="163" t="s">
        <v>788</v>
      </c>
      <c r="R140" s="163"/>
      <c r="S140" s="163"/>
      <c r="T140" s="163"/>
      <c r="U140" s="163"/>
      <c r="V140" s="163" t="s">
        <v>748</v>
      </c>
      <c r="W140" s="163"/>
      <c r="X140" s="163"/>
      <c r="Y140" s="163"/>
      <c r="Z140" s="163"/>
    </row>
    <row r="141" ht="13.5" customHeight="1">
      <c r="A141" s="163" t="s">
        <v>782</v>
      </c>
      <c r="B141" s="163" t="s">
        <v>783</v>
      </c>
      <c r="C141" s="163" t="s">
        <v>964</v>
      </c>
      <c r="D141" s="163" t="s">
        <v>785</v>
      </c>
      <c r="E141" s="164">
        <v>45545.0</v>
      </c>
      <c r="F141" s="163" t="s">
        <v>172</v>
      </c>
      <c r="G141" s="328">
        <v>-1063.51</v>
      </c>
      <c r="H141" s="328">
        <v>-1063.51</v>
      </c>
      <c r="I141" s="163"/>
      <c r="J141" s="163" t="s">
        <v>786</v>
      </c>
      <c r="K141" s="163"/>
      <c r="L141" s="163"/>
      <c r="M141" s="164">
        <v>45545.0</v>
      </c>
      <c r="N141" s="164">
        <v>45546.0</v>
      </c>
      <c r="O141" s="163" t="s">
        <v>787</v>
      </c>
      <c r="P141" s="163">
        <v>205826.0</v>
      </c>
      <c r="Q141" s="163" t="s">
        <v>788</v>
      </c>
      <c r="R141" s="163"/>
      <c r="S141" s="163"/>
      <c r="T141" s="163"/>
      <c r="U141" s="163"/>
      <c r="V141" s="163" t="s">
        <v>748</v>
      </c>
      <c r="W141" s="163"/>
      <c r="X141" s="163"/>
      <c r="Y141" s="163"/>
      <c r="Z141" s="163"/>
    </row>
    <row r="142" ht="13.5" customHeight="1">
      <c r="A142" s="163" t="s">
        <v>782</v>
      </c>
      <c r="B142" s="163" t="s">
        <v>783</v>
      </c>
      <c r="C142" s="163" t="s">
        <v>965</v>
      </c>
      <c r="D142" s="163" t="s">
        <v>785</v>
      </c>
      <c r="E142" s="164">
        <v>45545.0</v>
      </c>
      <c r="F142" s="163" t="s">
        <v>172</v>
      </c>
      <c r="G142" s="328">
        <v>-1063.51</v>
      </c>
      <c r="H142" s="328">
        <v>-1063.51</v>
      </c>
      <c r="I142" s="163"/>
      <c r="J142" s="163" t="s">
        <v>786</v>
      </c>
      <c r="K142" s="163"/>
      <c r="L142" s="163"/>
      <c r="M142" s="164">
        <v>45545.0</v>
      </c>
      <c r="N142" s="164">
        <v>45546.0</v>
      </c>
      <c r="O142" s="163" t="s">
        <v>787</v>
      </c>
      <c r="P142" s="163">
        <v>205826.0</v>
      </c>
      <c r="Q142" s="163" t="s">
        <v>788</v>
      </c>
      <c r="R142" s="163"/>
      <c r="S142" s="163"/>
      <c r="T142" s="163"/>
      <c r="U142" s="163"/>
      <c r="V142" s="163" t="s">
        <v>748</v>
      </c>
      <c r="W142" s="163"/>
      <c r="X142" s="163"/>
      <c r="Y142" s="163"/>
      <c r="Z142" s="163"/>
    </row>
    <row r="143" ht="13.5" customHeight="1">
      <c r="A143" s="163" t="s">
        <v>782</v>
      </c>
      <c r="B143" s="163" t="s">
        <v>783</v>
      </c>
      <c r="C143" s="163" t="s">
        <v>966</v>
      </c>
      <c r="D143" s="163" t="s">
        <v>785</v>
      </c>
      <c r="E143" s="164">
        <v>45545.0</v>
      </c>
      <c r="F143" s="163" t="s">
        <v>172</v>
      </c>
      <c r="G143" s="328">
        <v>-1063.51</v>
      </c>
      <c r="H143" s="328">
        <v>-1063.51</v>
      </c>
      <c r="I143" s="163"/>
      <c r="J143" s="163" t="s">
        <v>786</v>
      </c>
      <c r="K143" s="163"/>
      <c r="L143" s="163"/>
      <c r="M143" s="164">
        <v>45545.0</v>
      </c>
      <c r="N143" s="164">
        <v>45546.0</v>
      </c>
      <c r="O143" s="163" t="s">
        <v>787</v>
      </c>
      <c r="P143" s="163">
        <v>205826.0</v>
      </c>
      <c r="Q143" s="163" t="s">
        <v>788</v>
      </c>
      <c r="R143" s="163"/>
      <c r="S143" s="163"/>
      <c r="T143" s="163"/>
      <c r="U143" s="163"/>
      <c r="V143" s="163" t="s">
        <v>748</v>
      </c>
      <c r="W143" s="163"/>
      <c r="X143" s="163"/>
      <c r="Y143" s="163"/>
      <c r="Z143" s="163"/>
    </row>
    <row r="144" ht="13.5" customHeight="1">
      <c r="A144" s="163" t="s">
        <v>782</v>
      </c>
      <c r="B144" s="163" t="s">
        <v>783</v>
      </c>
      <c r="C144" s="163" t="s">
        <v>967</v>
      </c>
      <c r="D144" s="163" t="s">
        <v>785</v>
      </c>
      <c r="E144" s="164">
        <v>45545.0</v>
      </c>
      <c r="F144" s="163" t="s">
        <v>172</v>
      </c>
      <c r="G144" s="328">
        <v>-1063.51</v>
      </c>
      <c r="H144" s="328">
        <v>-1063.51</v>
      </c>
      <c r="I144" s="163"/>
      <c r="J144" s="163" t="s">
        <v>786</v>
      </c>
      <c r="K144" s="163"/>
      <c r="L144" s="163"/>
      <c r="M144" s="164">
        <v>45545.0</v>
      </c>
      <c r="N144" s="164">
        <v>45546.0</v>
      </c>
      <c r="O144" s="163" t="s">
        <v>787</v>
      </c>
      <c r="P144" s="163">
        <v>205826.0</v>
      </c>
      <c r="Q144" s="163" t="s">
        <v>788</v>
      </c>
      <c r="R144" s="163"/>
      <c r="S144" s="163"/>
      <c r="T144" s="163"/>
      <c r="U144" s="163"/>
      <c r="V144" s="163" t="s">
        <v>748</v>
      </c>
      <c r="W144" s="163"/>
      <c r="X144" s="163"/>
      <c r="Y144" s="163"/>
      <c r="Z144" s="163"/>
    </row>
    <row r="145" ht="15.0" customHeight="1">
      <c r="A145" s="163" t="s">
        <v>782</v>
      </c>
      <c r="B145" s="163" t="s">
        <v>783</v>
      </c>
      <c r="C145" s="163" t="s">
        <v>968</v>
      </c>
      <c r="D145" s="163" t="s">
        <v>785</v>
      </c>
      <c r="E145" s="164">
        <v>45545.0</v>
      </c>
      <c r="F145" s="163" t="s">
        <v>172</v>
      </c>
      <c r="G145" s="328">
        <v>-1063.51</v>
      </c>
      <c r="H145" s="328">
        <v>-1063.51</v>
      </c>
      <c r="I145" s="163"/>
      <c r="J145" s="163" t="s">
        <v>786</v>
      </c>
      <c r="K145" s="163"/>
      <c r="L145" s="163"/>
      <c r="M145" s="164">
        <v>45545.0</v>
      </c>
      <c r="N145" s="164">
        <v>45546.0</v>
      </c>
      <c r="O145" s="163" t="s">
        <v>787</v>
      </c>
      <c r="P145" s="163">
        <v>205826.0</v>
      </c>
      <c r="Q145" s="163" t="s">
        <v>788</v>
      </c>
      <c r="R145" s="163"/>
      <c r="S145" s="163"/>
      <c r="T145" s="163"/>
      <c r="U145" s="163"/>
      <c r="V145" s="163" t="s">
        <v>748</v>
      </c>
      <c r="W145" s="163"/>
      <c r="X145" s="163"/>
      <c r="Y145" s="163"/>
      <c r="Z145" s="163"/>
    </row>
    <row r="146" ht="13.5" customHeight="1">
      <c r="A146" s="163" t="s">
        <v>782</v>
      </c>
      <c r="B146" s="163" t="s">
        <v>783</v>
      </c>
      <c r="C146" s="163" t="s">
        <v>969</v>
      </c>
      <c r="D146" s="163" t="s">
        <v>785</v>
      </c>
      <c r="E146" s="164">
        <v>45545.0</v>
      </c>
      <c r="F146" s="163" t="s">
        <v>172</v>
      </c>
      <c r="G146" s="328">
        <v>-1147.35</v>
      </c>
      <c r="H146" s="328">
        <v>-1147.35</v>
      </c>
      <c r="I146" s="163"/>
      <c r="J146" s="163" t="s">
        <v>786</v>
      </c>
      <c r="K146" s="163"/>
      <c r="L146" s="163"/>
      <c r="M146" s="164">
        <v>45545.0</v>
      </c>
      <c r="N146" s="164">
        <v>45546.0</v>
      </c>
      <c r="O146" s="163" t="s">
        <v>787</v>
      </c>
      <c r="P146" s="163">
        <v>205826.0</v>
      </c>
      <c r="Q146" s="163" t="s">
        <v>788</v>
      </c>
      <c r="R146" s="163"/>
      <c r="S146" s="163"/>
      <c r="T146" s="163"/>
      <c r="U146" s="163"/>
      <c r="V146" s="163" t="s">
        <v>748</v>
      </c>
      <c r="W146" s="163"/>
      <c r="X146" s="163"/>
      <c r="Y146" s="163"/>
      <c r="Z146" s="163"/>
    </row>
    <row r="147" ht="13.5" customHeight="1">
      <c r="A147" s="163" t="s">
        <v>782</v>
      </c>
      <c r="B147" s="163" t="s">
        <v>783</v>
      </c>
      <c r="C147" s="163" t="s">
        <v>970</v>
      </c>
      <c r="D147" s="163" t="s">
        <v>785</v>
      </c>
      <c r="E147" s="164">
        <v>45545.0</v>
      </c>
      <c r="F147" s="163" t="s">
        <v>172</v>
      </c>
      <c r="G147" s="328">
        <v>-1147.35</v>
      </c>
      <c r="H147" s="328">
        <v>-1147.35</v>
      </c>
      <c r="I147" s="163"/>
      <c r="J147" s="163" t="s">
        <v>786</v>
      </c>
      <c r="K147" s="163"/>
      <c r="L147" s="163"/>
      <c r="M147" s="164">
        <v>45545.0</v>
      </c>
      <c r="N147" s="164">
        <v>45546.0</v>
      </c>
      <c r="O147" s="163" t="s">
        <v>787</v>
      </c>
      <c r="P147" s="163">
        <v>205826.0</v>
      </c>
      <c r="Q147" s="163" t="s">
        <v>788</v>
      </c>
      <c r="R147" s="163"/>
      <c r="S147" s="163"/>
      <c r="T147" s="163"/>
      <c r="U147" s="163"/>
      <c r="V147" s="163" t="s">
        <v>748</v>
      </c>
      <c r="W147" s="163"/>
      <c r="X147" s="163"/>
      <c r="Y147" s="163"/>
      <c r="Z147" s="163"/>
    </row>
    <row r="148" ht="13.5" customHeight="1">
      <c r="A148" s="163" t="s">
        <v>782</v>
      </c>
      <c r="B148" s="163" t="s">
        <v>783</v>
      </c>
      <c r="C148" s="163" t="s">
        <v>971</v>
      </c>
      <c r="D148" s="163" t="s">
        <v>785</v>
      </c>
      <c r="E148" s="164">
        <v>45545.0</v>
      </c>
      <c r="F148" s="163" t="s">
        <v>172</v>
      </c>
      <c r="G148" s="328">
        <v>-1147.35</v>
      </c>
      <c r="H148" s="328">
        <v>-1147.35</v>
      </c>
      <c r="I148" s="163"/>
      <c r="J148" s="163" t="s">
        <v>786</v>
      </c>
      <c r="K148" s="163"/>
      <c r="L148" s="163"/>
      <c r="M148" s="164">
        <v>45545.0</v>
      </c>
      <c r="N148" s="164">
        <v>45546.0</v>
      </c>
      <c r="O148" s="163" t="s">
        <v>787</v>
      </c>
      <c r="P148" s="163">
        <v>205826.0</v>
      </c>
      <c r="Q148" s="163" t="s">
        <v>788</v>
      </c>
      <c r="R148" s="163"/>
      <c r="S148" s="163"/>
      <c r="T148" s="163"/>
      <c r="U148" s="163"/>
      <c r="V148" s="163" t="s">
        <v>748</v>
      </c>
      <c r="W148" s="163"/>
      <c r="X148" s="163"/>
      <c r="Y148" s="163"/>
      <c r="Z148" s="163"/>
    </row>
    <row r="149" ht="13.5" customHeight="1">
      <c r="A149" s="163" t="s">
        <v>782</v>
      </c>
      <c r="B149" s="163" t="s">
        <v>783</v>
      </c>
      <c r="C149" s="163" t="s">
        <v>972</v>
      </c>
      <c r="D149" s="163" t="s">
        <v>785</v>
      </c>
      <c r="E149" s="164">
        <v>45545.0</v>
      </c>
      <c r="F149" s="163" t="s">
        <v>172</v>
      </c>
      <c r="G149" s="328">
        <v>-1147.35</v>
      </c>
      <c r="H149" s="328">
        <v>-1147.35</v>
      </c>
      <c r="I149" s="163"/>
      <c r="J149" s="163" t="s">
        <v>786</v>
      </c>
      <c r="K149" s="163"/>
      <c r="L149" s="163"/>
      <c r="M149" s="164">
        <v>45545.0</v>
      </c>
      <c r="N149" s="164">
        <v>45546.0</v>
      </c>
      <c r="O149" s="163" t="s">
        <v>787</v>
      </c>
      <c r="P149" s="163">
        <v>205826.0</v>
      </c>
      <c r="Q149" s="163" t="s">
        <v>788</v>
      </c>
      <c r="R149" s="163"/>
      <c r="S149" s="163"/>
      <c r="T149" s="163"/>
      <c r="U149" s="163"/>
      <c r="V149" s="163" t="s">
        <v>748</v>
      </c>
      <c r="W149" s="163"/>
      <c r="X149" s="163"/>
      <c r="Y149" s="163"/>
      <c r="Z149" s="163"/>
    </row>
    <row r="150" ht="13.5" customHeight="1">
      <c r="A150" s="163" t="s">
        <v>782</v>
      </c>
      <c r="B150" s="163" t="s">
        <v>783</v>
      </c>
      <c r="C150" s="163" t="s">
        <v>973</v>
      </c>
      <c r="D150" s="163" t="s">
        <v>785</v>
      </c>
      <c r="E150" s="164">
        <v>45545.0</v>
      </c>
      <c r="F150" s="163" t="s">
        <v>172</v>
      </c>
      <c r="G150" s="328">
        <v>-1147.35</v>
      </c>
      <c r="H150" s="328">
        <v>-1147.35</v>
      </c>
      <c r="I150" s="163"/>
      <c r="J150" s="163" t="s">
        <v>786</v>
      </c>
      <c r="K150" s="163"/>
      <c r="L150" s="163"/>
      <c r="M150" s="164">
        <v>45545.0</v>
      </c>
      <c r="N150" s="164">
        <v>45546.0</v>
      </c>
      <c r="O150" s="163" t="s">
        <v>787</v>
      </c>
      <c r="P150" s="163">
        <v>205826.0</v>
      </c>
      <c r="Q150" s="163" t="s">
        <v>788</v>
      </c>
      <c r="R150" s="163"/>
      <c r="S150" s="163"/>
      <c r="T150" s="163"/>
      <c r="U150" s="163"/>
      <c r="V150" s="163" t="s">
        <v>748</v>
      </c>
      <c r="W150" s="163"/>
      <c r="X150" s="163"/>
      <c r="Y150" s="163"/>
      <c r="Z150" s="163"/>
    </row>
    <row r="151" ht="13.5" customHeight="1">
      <c r="A151" s="163" t="s">
        <v>782</v>
      </c>
      <c r="B151" s="163" t="s">
        <v>783</v>
      </c>
      <c r="C151" s="163" t="s">
        <v>974</v>
      </c>
      <c r="D151" s="163" t="s">
        <v>785</v>
      </c>
      <c r="E151" s="164">
        <v>45545.0</v>
      </c>
      <c r="F151" s="163" t="s">
        <v>172</v>
      </c>
      <c r="G151" s="328">
        <v>-1147.35</v>
      </c>
      <c r="H151" s="328">
        <v>-1147.35</v>
      </c>
      <c r="I151" s="163"/>
      <c r="J151" s="163" t="s">
        <v>786</v>
      </c>
      <c r="K151" s="163"/>
      <c r="L151" s="163"/>
      <c r="M151" s="164">
        <v>45545.0</v>
      </c>
      <c r="N151" s="164">
        <v>45546.0</v>
      </c>
      <c r="O151" s="163" t="s">
        <v>787</v>
      </c>
      <c r="P151" s="163">
        <v>205826.0</v>
      </c>
      <c r="Q151" s="163" t="s">
        <v>788</v>
      </c>
      <c r="R151" s="163"/>
      <c r="S151" s="163"/>
      <c r="T151" s="163"/>
      <c r="U151" s="163"/>
      <c r="V151" s="163" t="s">
        <v>748</v>
      </c>
      <c r="W151" s="163"/>
      <c r="X151" s="163"/>
      <c r="Y151" s="163"/>
      <c r="Z151" s="163"/>
    </row>
    <row r="152" ht="13.5" customHeight="1">
      <c r="A152" s="163" t="s">
        <v>782</v>
      </c>
      <c r="B152" s="163" t="s">
        <v>783</v>
      </c>
      <c r="C152" s="163" t="s">
        <v>975</v>
      </c>
      <c r="D152" s="163" t="s">
        <v>785</v>
      </c>
      <c r="E152" s="164">
        <v>45545.0</v>
      </c>
      <c r="F152" s="163" t="s">
        <v>172</v>
      </c>
      <c r="G152" s="328">
        <v>-1147.35</v>
      </c>
      <c r="H152" s="328">
        <v>-1147.35</v>
      </c>
      <c r="I152" s="163"/>
      <c r="J152" s="163" t="s">
        <v>786</v>
      </c>
      <c r="K152" s="163"/>
      <c r="L152" s="163"/>
      <c r="M152" s="164">
        <v>45545.0</v>
      </c>
      <c r="N152" s="164">
        <v>45546.0</v>
      </c>
      <c r="O152" s="163" t="s">
        <v>787</v>
      </c>
      <c r="P152" s="163">
        <v>205826.0</v>
      </c>
      <c r="Q152" s="163" t="s">
        <v>788</v>
      </c>
      <c r="R152" s="163"/>
      <c r="S152" s="163"/>
      <c r="T152" s="163"/>
      <c r="U152" s="163"/>
      <c r="V152" s="163" t="s">
        <v>748</v>
      </c>
      <c r="W152" s="163"/>
      <c r="X152" s="163"/>
      <c r="Y152" s="163"/>
      <c r="Z152" s="163"/>
    </row>
    <row r="153" ht="13.5" customHeight="1">
      <c r="A153" s="163" t="s">
        <v>782</v>
      </c>
      <c r="B153" s="163" t="s">
        <v>783</v>
      </c>
      <c r="C153" s="163" t="s">
        <v>976</v>
      </c>
      <c r="D153" s="163" t="s">
        <v>785</v>
      </c>
      <c r="E153" s="164">
        <v>45545.0</v>
      </c>
      <c r="F153" s="163" t="s">
        <v>172</v>
      </c>
      <c r="G153" s="328">
        <v>-1147.35</v>
      </c>
      <c r="H153" s="328">
        <v>-1147.35</v>
      </c>
      <c r="I153" s="163"/>
      <c r="J153" s="163" t="s">
        <v>786</v>
      </c>
      <c r="K153" s="163"/>
      <c r="L153" s="163"/>
      <c r="M153" s="164">
        <v>45545.0</v>
      </c>
      <c r="N153" s="164">
        <v>45546.0</v>
      </c>
      <c r="O153" s="163" t="s">
        <v>787</v>
      </c>
      <c r="P153" s="163">
        <v>205826.0</v>
      </c>
      <c r="Q153" s="163" t="s">
        <v>788</v>
      </c>
      <c r="R153" s="163"/>
      <c r="S153" s="163"/>
      <c r="T153" s="163"/>
      <c r="U153" s="163"/>
      <c r="V153" s="163" t="s">
        <v>748</v>
      </c>
      <c r="W153" s="163"/>
      <c r="X153" s="163"/>
      <c r="Y153" s="163"/>
      <c r="Z153" s="163"/>
    </row>
    <row r="154" ht="13.5" customHeight="1">
      <c r="A154" s="163" t="s">
        <v>782</v>
      </c>
      <c r="B154" s="163" t="s">
        <v>783</v>
      </c>
      <c r="C154" s="163" t="s">
        <v>977</v>
      </c>
      <c r="D154" s="163" t="s">
        <v>785</v>
      </c>
      <c r="E154" s="164">
        <v>45545.0</v>
      </c>
      <c r="F154" s="163" t="s">
        <v>172</v>
      </c>
      <c r="G154" s="328">
        <v>-1147.35</v>
      </c>
      <c r="H154" s="328">
        <v>-1147.35</v>
      </c>
      <c r="I154" s="163"/>
      <c r="J154" s="163" t="s">
        <v>786</v>
      </c>
      <c r="K154" s="163"/>
      <c r="L154" s="163"/>
      <c r="M154" s="164">
        <v>45545.0</v>
      </c>
      <c r="N154" s="164">
        <v>45546.0</v>
      </c>
      <c r="O154" s="163" t="s">
        <v>787</v>
      </c>
      <c r="P154" s="163">
        <v>205826.0</v>
      </c>
      <c r="Q154" s="163" t="s">
        <v>788</v>
      </c>
      <c r="R154" s="163"/>
      <c r="S154" s="163"/>
      <c r="T154" s="163"/>
      <c r="U154" s="163"/>
      <c r="V154" s="163" t="s">
        <v>748</v>
      </c>
      <c r="W154" s="163"/>
      <c r="X154" s="163"/>
      <c r="Y154" s="163"/>
      <c r="Z154" s="163"/>
    </row>
    <row r="155" ht="13.5" customHeight="1">
      <c r="A155" s="163" t="s">
        <v>782</v>
      </c>
      <c r="B155" s="163" t="s">
        <v>783</v>
      </c>
      <c r="C155" s="163" t="s">
        <v>978</v>
      </c>
      <c r="D155" s="163" t="s">
        <v>785</v>
      </c>
      <c r="E155" s="164">
        <v>45545.0</v>
      </c>
      <c r="F155" s="163" t="s">
        <v>172</v>
      </c>
      <c r="G155" s="328">
        <v>-1147.35</v>
      </c>
      <c r="H155" s="328">
        <v>-1147.35</v>
      </c>
      <c r="I155" s="163"/>
      <c r="J155" s="163" t="s">
        <v>786</v>
      </c>
      <c r="K155" s="163"/>
      <c r="L155" s="163"/>
      <c r="M155" s="164">
        <v>45545.0</v>
      </c>
      <c r="N155" s="164">
        <v>45546.0</v>
      </c>
      <c r="O155" s="163" t="s">
        <v>787</v>
      </c>
      <c r="P155" s="163">
        <v>205826.0</v>
      </c>
      <c r="Q155" s="163" t="s">
        <v>788</v>
      </c>
      <c r="R155" s="163"/>
      <c r="S155" s="163"/>
      <c r="T155" s="163"/>
      <c r="U155" s="163"/>
      <c r="V155" s="163" t="s">
        <v>748</v>
      </c>
      <c r="W155" s="163"/>
      <c r="X155" s="163"/>
      <c r="Y155" s="163"/>
      <c r="Z155" s="163"/>
    </row>
    <row r="156" ht="13.5" customHeight="1">
      <c r="A156" s="163" t="s">
        <v>782</v>
      </c>
      <c r="B156" s="163" t="s">
        <v>783</v>
      </c>
      <c r="C156" s="163" t="s">
        <v>979</v>
      </c>
      <c r="D156" s="163" t="s">
        <v>785</v>
      </c>
      <c r="E156" s="164">
        <v>45545.0</v>
      </c>
      <c r="F156" s="163" t="s">
        <v>172</v>
      </c>
      <c r="G156" s="328">
        <v>-1147.35</v>
      </c>
      <c r="H156" s="328">
        <v>-1147.35</v>
      </c>
      <c r="I156" s="163"/>
      <c r="J156" s="163" t="s">
        <v>786</v>
      </c>
      <c r="K156" s="163"/>
      <c r="L156" s="163"/>
      <c r="M156" s="164">
        <v>45545.0</v>
      </c>
      <c r="N156" s="164">
        <v>45546.0</v>
      </c>
      <c r="O156" s="163" t="s">
        <v>787</v>
      </c>
      <c r="P156" s="163">
        <v>205826.0</v>
      </c>
      <c r="Q156" s="163" t="s">
        <v>788</v>
      </c>
      <c r="R156" s="163"/>
      <c r="S156" s="163"/>
      <c r="T156" s="163"/>
      <c r="U156" s="163"/>
      <c r="V156" s="163" t="s">
        <v>748</v>
      </c>
      <c r="W156" s="163"/>
      <c r="X156" s="163"/>
      <c r="Y156" s="163"/>
      <c r="Z156" s="163"/>
    </row>
    <row r="157" ht="13.5" customHeight="1">
      <c r="A157" s="163" t="s">
        <v>782</v>
      </c>
      <c r="B157" s="163" t="s">
        <v>783</v>
      </c>
      <c r="C157" s="163" t="s">
        <v>980</v>
      </c>
      <c r="D157" s="163" t="s">
        <v>785</v>
      </c>
      <c r="E157" s="164">
        <v>45545.0</v>
      </c>
      <c r="F157" s="163" t="s">
        <v>172</v>
      </c>
      <c r="G157" s="328">
        <v>-1147.35</v>
      </c>
      <c r="H157" s="328">
        <v>-1147.35</v>
      </c>
      <c r="I157" s="163"/>
      <c r="J157" s="163" t="s">
        <v>786</v>
      </c>
      <c r="K157" s="163"/>
      <c r="L157" s="163"/>
      <c r="M157" s="164">
        <v>45545.0</v>
      </c>
      <c r="N157" s="164">
        <v>45546.0</v>
      </c>
      <c r="O157" s="163" t="s">
        <v>787</v>
      </c>
      <c r="P157" s="163">
        <v>205826.0</v>
      </c>
      <c r="Q157" s="163" t="s">
        <v>788</v>
      </c>
      <c r="R157" s="163"/>
      <c r="S157" s="163"/>
      <c r="T157" s="163"/>
      <c r="U157" s="163"/>
      <c r="V157" s="163" t="s">
        <v>748</v>
      </c>
      <c r="W157" s="163"/>
      <c r="X157" s="163"/>
      <c r="Y157" s="163"/>
      <c r="Z157" s="163"/>
    </row>
    <row r="158" ht="13.5" customHeight="1">
      <c r="A158" s="163" t="s">
        <v>782</v>
      </c>
      <c r="B158" s="163" t="s">
        <v>783</v>
      </c>
      <c r="C158" s="163" t="s">
        <v>981</v>
      </c>
      <c r="D158" s="163" t="s">
        <v>785</v>
      </c>
      <c r="E158" s="164">
        <v>45545.0</v>
      </c>
      <c r="F158" s="163" t="s">
        <v>172</v>
      </c>
      <c r="G158" s="328">
        <v>-1147.35</v>
      </c>
      <c r="H158" s="328">
        <v>-1147.35</v>
      </c>
      <c r="I158" s="163"/>
      <c r="J158" s="163" t="s">
        <v>786</v>
      </c>
      <c r="K158" s="163"/>
      <c r="L158" s="163"/>
      <c r="M158" s="164">
        <v>45545.0</v>
      </c>
      <c r="N158" s="164">
        <v>45546.0</v>
      </c>
      <c r="O158" s="163" t="s">
        <v>787</v>
      </c>
      <c r="P158" s="163">
        <v>205826.0</v>
      </c>
      <c r="Q158" s="163" t="s">
        <v>788</v>
      </c>
      <c r="R158" s="163"/>
      <c r="S158" s="163"/>
      <c r="T158" s="163"/>
      <c r="U158" s="163"/>
      <c r="V158" s="163" t="s">
        <v>748</v>
      </c>
      <c r="W158" s="163"/>
      <c r="X158" s="163"/>
      <c r="Y158" s="163"/>
      <c r="Z158" s="163"/>
    </row>
    <row r="159" ht="13.5" customHeight="1">
      <c r="A159" s="163" t="s">
        <v>782</v>
      </c>
      <c r="B159" s="163" t="s">
        <v>783</v>
      </c>
      <c r="C159" s="163" t="s">
        <v>982</v>
      </c>
      <c r="D159" s="163" t="s">
        <v>785</v>
      </c>
      <c r="E159" s="164">
        <v>45545.0</v>
      </c>
      <c r="F159" s="163" t="s">
        <v>172</v>
      </c>
      <c r="G159" s="328">
        <v>-1147.35</v>
      </c>
      <c r="H159" s="328">
        <v>-1147.35</v>
      </c>
      <c r="I159" s="163"/>
      <c r="J159" s="163" t="s">
        <v>786</v>
      </c>
      <c r="K159" s="163"/>
      <c r="L159" s="163"/>
      <c r="M159" s="164">
        <v>45545.0</v>
      </c>
      <c r="N159" s="164">
        <v>45546.0</v>
      </c>
      <c r="O159" s="163" t="s">
        <v>787</v>
      </c>
      <c r="P159" s="163">
        <v>205826.0</v>
      </c>
      <c r="Q159" s="163" t="s">
        <v>788</v>
      </c>
      <c r="R159" s="163"/>
      <c r="S159" s="163"/>
      <c r="T159" s="163"/>
      <c r="U159" s="163"/>
      <c r="V159" s="163" t="s">
        <v>748</v>
      </c>
      <c r="W159" s="163"/>
      <c r="X159" s="163"/>
      <c r="Y159" s="163"/>
      <c r="Z159" s="163"/>
    </row>
    <row r="160" ht="13.5" customHeight="1">
      <c r="A160" s="163" t="s">
        <v>782</v>
      </c>
      <c r="B160" s="163" t="s">
        <v>783</v>
      </c>
      <c r="C160" s="163" t="s">
        <v>983</v>
      </c>
      <c r="D160" s="163" t="s">
        <v>785</v>
      </c>
      <c r="E160" s="164">
        <v>45545.0</v>
      </c>
      <c r="F160" s="163" t="s">
        <v>172</v>
      </c>
      <c r="G160" s="328">
        <v>-1147.35</v>
      </c>
      <c r="H160" s="328">
        <v>-1147.35</v>
      </c>
      <c r="I160" s="163"/>
      <c r="J160" s="163" t="s">
        <v>786</v>
      </c>
      <c r="K160" s="163"/>
      <c r="L160" s="163"/>
      <c r="M160" s="164">
        <v>45545.0</v>
      </c>
      <c r="N160" s="164">
        <v>45546.0</v>
      </c>
      <c r="O160" s="163" t="s">
        <v>787</v>
      </c>
      <c r="P160" s="163">
        <v>205826.0</v>
      </c>
      <c r="Q160" s="163" t="s">
        <v>788</v>
      </c>
      <c r="R160" s="163"/>
      <c r="S160" s="163"/>
      <c r="T160" s="163"/>
      <c r="U160" s="163"/>
      <c r="V160" s="163" t="s">
        <v>748</v>
      </c>
      <c r="W160" s="163"/>
      <c r="X160" s="163"/>
      <c r="Y160" s="163"/>
      <c r="Z160" s="163"/>
    </row>
    <row r="161" ht="13.5" customHeight="1">
      <c r="A161" s="163" t="s">
        <v>782</v>
      </c>
      <c r="B161" s="163" t="s">
        <v>783</v>
      </c>
      <c r="C161" s="163" t="s">
        <v>984</v>
      </c>
      <c r="D161" s="163" t="s">
        <v>785</v>
      </c>
      <c r="E161" s="164">
        <v>45545.0</v>
      </c>
      <c r="F161" s="163" t="s">
        <v>172</v>
      </c>
      <c r="G161" s="328">
        <v>-1147.35</v>
      </c>
      <c r="H161" s="328">
        <v>-1147.35</v>
      </c>
      <c r="I161" s="163"/>
      <c r="J161" s="163" t="s">
        <v>786</v>
      </c>
      <c r="K161" s="163"/>
      <c r="L161" s="163"/>
      <c r="M161" s="164">
        <v>45545.0</v>
      </c>
      <c r="N161" s="164">
        <v>45546.0</v>
      </c>
      <c r="O161" s="163" t="s">
        <v>787</v>
      </c>
      <c r="P161" s="163">
        <v>205826.0</v>
      </c>
      <c r="Q161" s="163" t="s">
        <v>788</v>
      </c>
      <c r="R161" s="163"/>
      <c r="S161" s="163"/>
      <c r="T161" s="163"/>
      <c r="U161" s="163"/>
      <c r="V161" s="163" t="s">
        <v>748</v>
      </c>
      <c r="W161" s="163"/>
      <c r="X161" s="163"/>
      <c r="Y161" s="163"/>
      <c r="Z161" s="163"/>
    </row>
    <row r="162" ht="13.5" customHeight="1">
      <c r="A162" s="163" t="s">
        <v>782</v>
      </c>
      <c r="B162" s="163" t="s">
        <v>783</v>
      </c>
      <c r="C162" s="163" t="s">
        <v>985</v>
      </c>
      <c r="D162" s="163" t="s">
        <v>785</v>
      </c>
      <c r="E162" s="164">
        <v>45545.0</v>
      </c>
      <c r="F162" s="163" t="s">
        <v>172</v>
      </c>
      <c r="G162" s="328">
        <v>-1147.35</v>
      </c>
      <c r="H162" s="328">
        <v>-1147.35</v>
      </c>
      <c r="I162" s="163"/>
      <c r="J162" s="163" t="s">
        <v>786</v>
      </c>
      <c r="K162" s="163"/>
      <c r="L162" s="163"/>
      <c r="M162" s="164">
        <v>45545.0</v>
      </c>
      <c r="N162" s="164">
        <v>45546.0</v>
      </c>
      <c r="O162" s="163" t="s">
        <v>787</v>
      </c>
      <c r="P162" s="163">
        <v>205826.0</v>
      </c>
      <c r="Q162" s="163" t="s">
        <v>788</v>
      </c>
      <c r="R162" s="163"/>
      <c r="S162" s="163"/>
      <c r="T162" s="163"/>
      <c r="U162" s="163"/>
      <c r="V162" s="163" t="s">
        <v>748</v>
      </c>
      <c r="W162" s="163"/>
      <c r="X162" s="163"/>
      <c r="Y162" s="163"/>
      <c r="Z162" s="163"/>
    </row>
    <row r="163" ht="13.5" customHeight="1">
      <c r="A163" s="163" t="s">
        <v>782</v>
      </c>
      <c r="B163" s="163" t="s">
        <v>783</v>
      </c>
      <c r="C163" s="163" t="s">
        <v>986</v>
      </c>
      <c r="D163" s="163" t="s">
        <v>785</v>
      </c>
      <c r="E163" s="164">
        <v>45545.0</v>
      </c>
      <c r="F163" s="163" t="s">
        <v>172</v>
      </c>
      <c r="G163" s="328">
        <v>-1147.35</v>
      </c>
      <c r="H163" s="328">
        <v>-1147.35</v>
      </c>
      <c r="I163" s="163"/>
      <c r="J163" s="163" t="s">
        <v>786</v>
      </c>
      <c r="K163" s="163"/>
      <c r="L163" s="163"/>
      <c r="M163" s="164">
        <v>45545.0</v>
      </c>
      <c r="N163" s="164">
        <v>45546.0</v>
      </c>
      <c r="O163" s="163" t="s">
        <v>787</v>
      </c>
      <c r="P163" s="163">
        <v>205826.0</v>
      </c>
      <c r="Q163" s="163" t="s">
        <v>788</v>
      </c>
      <c r="R163" s="163"/>
      <c r="S163" s="163"/>
      <c r="T163" s="163"/>
      <c r="U163" s="163"/>
      <c r="V163" s="163" t="s">
        <v>748</v>
      </c>
      <c r="W163" s="163"/>
      <c r="X163" s="163"/>
      <c r="Y163" s="163"/>
      <c r="Z163" s="163"/>
    </row>
    <row r="164" ht="13.5" customHeight="1">
      <c r="A164" s="163" t="s">
        <v>782</v>
      </c>
      <c r="B164" s="163" t="s">
        <v>783</v>
      </c>
      <c r="C164" s="163" t="s">
        <v>987</v>
      </c>
      <c r="D164" s="163" t="s">
        <v>785</v>
      </c>
      <c r="E164" s="164">
        <v>45545.0</v>
      </c>
      <c r="F164" s="163" t="s">
        <v>172</v>
      </c>
      <c r="G164" s="328">
        <v>-1147.35</v>
      </c>
      <c r="H164" s="328">
        <v>-1147.35</v>
      </c>
      <c r="I164" s="163"/>
      <c r="J164" s="163" t="s">
        <v>786</v>
      </c>
      <c r="K164" s="163"/>
      <c r="L164" s="163"/>
      <c r="M164" s="164">
        <v>45545.0</v>
      </c>
      <c r="N164" s="164">
        <v>45546.0</v>
      </c>
      <c r="O164" s="163" t="s">
        <v>787</v>
      </c>
      <c r="P164" s="163">
        <v>205826.0</v>
      </c>
      <c r="Q164" s="163" t="s">
        <v>788</v>
      </c>
      <c r="R164" s="163"/>
      <c r="S164" s="163"/>
      <c r="T164" s="163"/>
      <c r="U164" s="163"/>
      <c r="V164" s="163" t="s">
        <v>748</v>
      </c>
      <c r="W164" s="163"/>
      <c r="X164" s="163"/>
      <c r="Y164" s="163"/>
      <c r="Z164" s="163"/>
    </row>
    <row r="165" ht="13.5" customHeight="1">
      <c r="A165" s="163" t="s">
        <v>782</v>
      </c>
      <c r="B165" s="163" t="s">
        <v>783</v>
      </c>
      <c r="C165" s="163" t="s">
        <v>988</v>
      </c>
      <c r="D165" s="163" t="s">
        <v>785</v>
      </c>
      <c r="E165" s="164">
        <v>45545.0</v>
      </c>
      <c r="F165" s="163" t="s">
        <v>172</v>
      </c>
      <c r="G165" s="328">
        <v>-1147.35</v>
      </c>
      <c r="H165" s="328">
        <v>-1147.35</v>
      </c>
      <c r="I165" s="163"/>
      <c r="J165" s="163" t="s">
        <v>786</v>
      </c>
      <c r="K165" s="163"/>
      <c r="L165" s="163"/>
      <c r="M165" s="164">
        <v>45545.0</v>
      </c>
      <c r="N165" s="164">
        <v>45546.0</v>
      </c>
      <c r="O165" s="163" t="s">
        <v>787</v>
      </c>
      <c r="P165" s="163">
        <v>205826.0</v>
      </c>
      <c r="Q165" s="163" t="s">
        <v>788</v>
      </c>
      <c r="R165" s="163"/>
      <c r="S165" s="163"/>
      <c r="T165" s="163"/>
      <c r="U165" s="163"/>
      <c r="V165" s="163" t="s">
        <v>748</v>
      </c>
      <c r="W165" s="163"/>
      <c r="X165" s="163"/>
      <c r="Y165" s="163"/>
      <c r="Z165" s="163"/>
    </row>
    <row r="166" ht="13.5" customHeight="1">
      <c r="A166" s="163" t="s">
        <v>782</v>
      </c>
      <c r="B166" s="163" t="s">
        <v>783</v>
      </c>
      <c r="C166" s="163" t="s">
        <v>989</v>
      </c>
      <c r="D166" s="163" t="s">
        <v>785</v>
      </c>
      <c r="E166" s="164">
        <v>45545.0</v>
      </c>
      <c r="F166" s="163" t="s">
        <v>172</v>
      </c>
      <c r="G166" s="328">
        <v>-1147.35</v>
      </c>
      <c r="H166" s="328">
        <v>-1147.35</v>
      </c>
      <c r="I166" s="163"/>
      <c r="J166" s="163" t="s">
        <v>786</v>
      </c>
      <c r="K166" s="163"/>
      <c r="L166" s="163"/>
      <c r="M166" s="164">
        <v>45545.0</v>
      </c>
      <c r="N166" s="164">
        <v>45546.0</v>
      </c>
      <c r="O166" s="163" t="s">
        <v>787</v>
      </c>
      <c r="P166" s="163">
        <v>205826.0</v>
      </c>
      <c r="Q166" s="163" t="s">
        <v>788</v>
      </c>
      <c r="R166" s="163"/>
      <c r="S166" s="163"/>
      <c r="T166" s="163"/>
      <c r="U166" s="163"/>
      <c r="V166" s="163" t="s">
        <v>748</v>
      </c>
      <c r="W166" s="163"/>
      <c r="X166" s="163"/>
      <c r="Y166" s="163"/>
      <c r="Z166" s="163"/>
    </row>
    <row r="167" ht="13.5" customHeight="1">
      <c r="A167" s="163" t="s">
        <v>782</v>
      </c>
      <c r="B167" s="163" t="s">
        <v>783</v>
      </c>
      <c r="C167" s="163" t="s">
        <v>990</v>
      </c>
      <c r="D167" s="163" t="s">
        <v>785</v>
      </c>
      <c r="E167" s="164">
        <v>45545.0</v>
      </c>
      <c r="F167" s="163" t="s">
        <v>172</v>
      </c>
      <c r="G167" s="328">
        <v>-1147.35</v>
      </c>
      <c r="H167" s="328">
        <v>-1147.35</v>
      </c>
      <c r="I167" s="163"/>
      <c r="J167" s="163" t="s">
        <v>786</v>
      </c>
      <c r="K167" s="163"/>
      <c r="L167" s="163"/>
      <c r="M167" s="164">
        <v>45545.0</v>
      </c>
      <c r="N167" s="164">
        <v>45546.0</v>
      </c>
      <c r="O167" s="163" t="s">
        <v>787</v>
      </c>
      <c r="P167" s="163">
        <v>205826.0</v>
      </c>
      <c r="Q167" s="163" t="s">
        <v>788</v>
      </c>
      <c r="R167" s="163"/>
      <c r="S167" s="163"/>
      <c r="T167" s="163"/>
      <c r="U167" s="163"/>
      <c r="V167" s="163" t="s">
        <v>748</v>
      </c>
      <c r="W167" s="163"/>
      <c r="X167" s="163"/>
      <c r="Y167" s="163"/>
      <c r="Z167" s="163"/>
    </row>
    <row r="168" ht="13.5" customHeight="1">
      <c r="A168" s="163" t="s">
        <v>782</v>
      </c>
      <c r="B168" s="163" t="s">
        <v>783</v>
      </c>
      <c r="C168" s="163" t="s">
        <v>991</v>
      </c>
      <c r="D168" s="163" t="s">
        <v>785</v>
      </c>
      <c r="E168" s="164">
        <v>45545.0</v>
      </c>
      <c r="F168" s="163" t="s">
        <v>172</v>
      </c>
      <c r="G168" s="328">
        <v>-1147.35</v>
      </c>
      <c r="H168" s="328">
        <v>-1147.35</v>
      </c>
      <c r="I168" s="163"/>
      <c r="J168" s="163" t="s">
        <v>786</v>
      </c>
      <c r="K168" s="163"/>
      <c r="L168" s="163"/>
      <c r="M168" s="164">
        <v>45545.0</v>
      </c>
      <c r="N168" s="164">
        <v>45546.0</v>
      </c>
      <c r="O168" s="163" t="s">
        <v>787</v>
      </c>
      <c r="P168" s="163">
        <v>205826.0</v>
      </c>
      <c r="Q168" s="163" t="s">
        <v>788</v>
      </c>
      <c r="R168" s="163"/>
      <c r="S168" s="163"/>
      <c r="T168" s="163"/>
      <c r="U168" s="163"/>
      <c r="V168" s="163" t="s">
        <v>748</v>
      </c>
      <c r="W168" s="163"/>
      <c r="X168" s="163"/>
      <c r="Y168" s="163"/>
      <c r="Z168" s="163"/>
    </row>
    <row r="169" ht="13.5" customHeight="1">
      <c r="A169" s="163" t="s">
        <v>782</v>
      </c>
      <c r="B169" s="163" t="s">
        <v>783</v>
      </c>
      <c r="C169" s="163" t="s">
        <v>992</v>
      </c>
      <c r="D169" s="163" t="s">
        <v>785</v>
      </c>
      <c r="E169" s="164">
        <v>45545.0</v>
      </c>
      <c r="F169" s="163" t="s">
        <v>172</v>
      </c>
      <c r="G169" s="328">
        <v>-1147.35</v>
      </c>
      <c r="H169" s="328">
        <v>-1147.35</v>
      </c>
      <c r="I169" s="163"/>
      <c r="J169" s="163" t="s">
        <v>786</v>
      </c>
      <c r="K169" s="163"/>
      <c r="L169" s="163"/>
      <c r="M169" s="164">
        <v>45545.0</v>
      </c>
      <c r="N169" s="164">
        <v>45546.0</v>
      </c>
      <c r="O169" s="163" t="s">
        <v>787</v>
      </c>
      <c r="P169" s="163">
        <v>205826.0</v>
      </c>
      <c r="Q169" s="163" t="s">
        <v>788</v>
      </c>
      <c r="R169" s="163"/>
      <c r="S169" s="163"/>
      <c r="T169" s="163"/>
      <c r="U169" s="163"/>
      <c r="V169" s="163" t="s">
        <v>748</v>
      </c>
      <c r="W169" s="163"/>
      <c r="X169" s="163"/>
      <c r="Y169" s="163"/>
      <c r="Z169" s="163"/>
    </row>
    <row r="170" ht="13.5" customHeight="1">
      <c r="A170" s="163" t="s">
        <v>782</v>
      </c>
      <c r="B170" s="163" t="s">
        <v>783</v>
      </c>
      <c r="C170" s="163" t="s">
        <v>993</v>
      </c>
      <c r="D170" s="163" t="s">
        <v>785</v>
      </c>
      <c r="E170" s="164">
        <v>45545.0</v>
      </c>
      <c r="F170" s="163" t="s">
        <v>172</v>
      </c>
      <c r="G170" s="328">
        <v>-1147.35</v>
      </c>
      <c r="H170" s="328">
        <v>-1147.35</v>
      </c>
      <c r="I170" s="163"/>
      <c r="J170" s="163" t="s">
        <v>786</v>
      </c>
      <c r="K170" s="163"/>
      <c r="L170" s="163"/>
      <c r="M170" s="164">
        <v>45545.0</v>
      </c>
      <c r="N170" s="164">
        <v>45546.0</v>
      </c>
      <c r="O170" s="163" t="s">
        <v>787</v>
      </c>
      <c r="P170" s="163">
        <v>205826.0</v>
      </c>
      <c r="Q170" s="163" t="s">
        <v>788</v>
      </c>
      <c r="R170" s="163"/>
      <c r="S170" s="163"/>
      <c r="T170" s="163"/>
      <c r="U170" s="163"/>
      <c r="V170" s="163" t="s">
        <v>748</v>
      </c>
      <c r="W170" s="163"/>
      <c r="X170" s="163"/>
      <c r="Y170" s="163"/>
      <c r="Z170" s="163"/>
    </row>
    <row r="171" ht="13.5" customHeight="1">
      <c r="A171" s="163" t="s">
        <v>782</v>
      </c>
      <c r="B171" s="163" t="s">
        <v>783</v>
      </c>
      <c r="C171" s="163" t="s">
        <v>994</v>
      </c>
      <c r="D171" s="163" t="s">
        <v>785</v>
      </c>
      <c r="E171" s="164">
        <v>45545.0</v>
      </c>
      <c r="F171" s="163" t="s">
        <v>172</v>
      </c>
      <c r="G171" s="328">
        <v>-1147.35</v>
      </c>
      <c r="H171" s="328">
        <v>-1147.35</v>
      </c>
      <c r="I171" s="163"/>
      <c r="J171" s="163" t="s">
        <v>786</v>
      </c>
      <c r="K171" s="163"/>
      <c r="L171" s="163"/>
      <c r="M171" s="164">
        <v>45545.0</v>
      </c>
      <c r="N171" s="164">
        <v>45546.0</v>
      </c>
      <c r="O171" s="163" t="s">
        <v>787</v>
      </c>
      <c r="P171" s="163">
        <v>205826.0</v>
      </c>
      <c r="Q171" s="163" t="s">
        <v>788</v>
      </c>
      <c r="R171" s="163"/>
      <c r="S171" s="163"/>
      <c r="T171" s="163"/>
      <c r="U171" s="163"/>
      <c r="V171" s="163" t="s">
        <v>748</v>
      </c>
      <c r="W171" s="163"/>
      <c r="X171" s="163"/>
      <c r="Y171" s="163"/>
      <c r="Z171" s="163"/>
    </row>
    <row r="172" ht="13.5" customHeight="1">
      <c r="A172" s="163" t="s">
        <v>782</v>
      </c>
      <c r="B172" s="163" t="s">
        <v>783</v>
      </c>
      <c r="C172" s="163" t="s">
        <v>995</v>
      </c>
      <c r="D172" s="163" t="s">
        <v>785</v>
      </c>
      <c r="E172" s="164">
        <v>45545.0</v>
      </c>
      <c r="F172" s="163" t="s">
        <v>172</v>
      </c>
      <c r="G172" s="328">
        <v>-1155.33</v>
      </c>
      <c r="H172" s="328">
        <v>-1155.33</v>
      </c>
      <c r="I172" s="163"/>
      <c r="J172" s="163" t="s">
        <v>786</v>
      </c>
      <c r="K172" s="163"/>
      <c r="L172" s="163"/>
      <c r="M172" s="164">
        <v>45545.0</v>
      </c>
      <c r="N172" s="164">
        <v>45546.0</v>
      </c>
      <c r="O172" s="163" t="s">
        <v>787</v>
      </c>
      <c r="P172" s="163">
        <v>205826.0</v>
      </c>
      <c r="Q172" s="163" t="s">
        <v>788</v>
      </c>
      <c r="R172" s="163"/>
      <c r="S172" s="163"/>
      <c r="T172" s="163"/>
      <c r="U172" s="163"/>
      <c r="V172" s="163" t="s">
        <v>748</v>
      </c>
      <c r="W172" s="163"/>
      <c r="X172" s="163"/>
      <c r="Y172" s="163"/>
      <c r="Z172" s="163"/>
    </row>
    <row r="173" ht="13.5" customHeight="1">
      <c r="A173" s="163" t="s">
        <v>782</v>
      </c>
      <c r="B173" s="163" t="s">
        <v>783</v>
      </c>
      <c r="C173" s="163" t="s">
        <v>996</v>
      </c>
      <c r="D173" s="163" t="s">
        <v>785</v>
      </c>
      <c r="E173" s="164">
        <v>45545.0</v>
      </c>
      <c r="F173" s="163" t="s">
        <v>172</v>
      </c>
      <c r="G173" s="328">
        <v>-1155.33</v>
      </c>
      <c r="H173" s="328">
        <v>-1155.33</v>
      </c>
      <c r="I173" s="163"/>
      <c r="J173" s="163" t="s">
        <v>786</v>
      </c>
      <c r="K173" s="163"/>
      <c r="L173" s="163"/>
      <c r="M173" s="164">
        <v>45545.0</v>
      </c>
      <c r="N173" s="164">
        <v>45546.0</v>
      </c>
      <c r="O173" s="163" t="s">
        <v>787</v>
      </c>
      <c r="P173" s="163">
        <v>205826.0</v>
      </c>
      <c r="Q173" s="163" t="s">
        <v>788</v>
      </c>
      <c r="R173" s="163"/>
      <c r="S173" s="163"/>
      <c r="T173" s="163"/>
      <c r="U173" s="163"/>
      <c r="V173" s="163" t="s">
        <v>748</v>
      </c>
      <c r="W173" s="163"/>
      <c r="X173" s="163"/>
      <c r="Y173" s="163"/>
      <c r="Z173" s="163"/>
    </row>
    <row r="174" ht="13.5" customHeight="1">
      <c r="A174" s="163" t="s">
        <v>782</v>
      </c>
      <c r="B174" s="163" t="s">
        <v>783</v>
      </c>
      <c r="C174" s="163" t="s">
        <v>997</v>
      </c>
      <c r="D174" s="163" t="s">
        <v>785</v>
      </c>
      <c r="E174" s="164">
        <v>45545.0</v>
      </c>
      <c r="F174" s="163" t="s">
        <v>172</v>
      </c>
      <c r="G174" s="328">
        <v>-1155.33</v>
      </c>
      <c r="H174" s="328">
        <v>-1155.33</v>
      </c>
      <c r="I174" s="163"/>
      <c r="J174" s="163" t="s">
        <v>786</v>
      </c>
      <c r="K174" s="163"/>
      <c r="L174" s="163"/>
      <c r="M174" s="164">
        <v>45545.0</v>
      </c>
      <c r="N174" s="164">
        <v>45546.0</v>
      </c>
      <c r="O174" s="163" t="s">
        <v>787</v>
      </c>
      <c r="P174" s="163">
        <v>205826.0</v>
      </c>
      <c r="Q174" s="163" t="s">
        <v>788</v>
      </c>
      <c r="R174" s="163"/>
      <c r="S174" s="163"/>
      <c r="T174" s="163"/>
      <c r="U174" s="163"/>
      <c r="V174" s="163" t="s">
        <v>748</v>
      </c>
      <c r="W174" s="163"/>
      <c r="X174" s="163"/>
      <c r="Y174" s="163"/>
      <c r="Z174" s="163"/>
    </row>
    <row r="175" ht="13.5" customHeight="1">
      <c r="A175" s="163" t="s">
        <v>782</v>
      </c>
      <c r="B175" s="163" t="s">
        <v>783</v>
      </c>
      <c r="C175" s="163" t="s">
        <v>998</v>
      </c>
      <c r="D175" s="163" t="s">
        <v>785</v>
      </c>
      <c r="E175" s="164">
        <v>45545.0</v>
      </c>
      <c r="F175" s="163" t="s">
        <v>172</v>
      </c>
      <c r="G175" s="328">
        <v>-1155.33</v>
      </c>
      <c r="H175" s="328">
        <v>-1155.33</v>
      </c>
      <c r="I175" s="163"/>
      <c r="J175" s="163" t="s">
        <v>786</v>
      </c>
      <c r="K175" s="163"/>
      <c r="L175" s="163"/>
      <c r="M175" s="164">
        <v>45545.0</v>
      </c>
      <c r="N175" s="164">
        <v>45546.0</v>
      </c>
      <c r="O175" s="163" t="s">
        <v>787</v>
      </c>
      <c r="P175" s="163">
        <v>205826.0</v>
      </c>
      <c r="Q175" s="163" t="s">
        <v>788</v>
      </c>
      <c r="R175" s="163"/>
      <c r="S175" s="163"/>
      <c r="T175" s="163"/>
      <c r="U175" s="163"/>
      <c r="V175" s="163" t="s">
        <v>748</v>
      </c>
      <c r="W175" s="163"/>
      <c r="X175" s="163"/>
      <c r="Y175" s="163"/>
      <c r="Z175" s="163"/>
    </row>
    <row r="176" ht="13.5" customHeight="1">
      <c r="A176" s="163" t="s">
        <v>782</v>
      </c>
      <c r="B176" s="163" t="s">
        <v>783</v>
      </c>
      <c r="C176" s="163" t="s">
        <v>999</v>
      </c>
      <c r="D176" s="163" t="s">
        <v>785</v>
      </c>
      <c r="E176" s="164">
        <v>45545.0</v>
      </c>
      <c r="F176" s="163" t="s">
        <v>172</v>
      </c>
      <c r="G176" s="328">
        <v>-1155.33</v>
      </c>
      <c r="H176" s="328">
        <v>-1155.33</v>
      </c>
      <c r="I176" s="163"/>
      <c r="J176" s="163" t="s">
        <v>786</v>
      </c>
      <c r="K176" s="163"/>
      <c r="L176" s="163"/>
      <c r="M176" s="164">
        <v>45545.0</v>
      </c>
      <c r="N176" s="164">
        <v>45546.0</v>
      </c>
      <c r="O176" s="163" t="s">
        <v>787</v>
      </c>
      <c r="P176" s="163">
        <v>205826.0</v>
      </c>
      <c r="Q176" s="163" t="s">
        <v>788</v>
      </c>
      <c r="R176" s="163"/>
      <c r="S176" s="163"/>
      <c r="T176" s="163"/>
      <c r="U176" s="163"/>
      <c r="V176" s="163" t="s">
        <v>748</v>
      </c>
      <c r="W176" s="163"/>
      <c r="X176" s="163"/>
      <c r="Y176" s="163"/>
      <c r="Z176" s="163"/>
    </row>
    <row r="177" ht="13.5" customHeight="1">
      <c r="A177" s="163" t="s">
        <v>782</v>
      </c>
      <c r="B177" s="163" t="s">
        <v>783</v>
      </c>
      <c r="C177" s="163" t="s">
        <v>1000</v>
      </c>
      <c r="D177" s="163" t="s">
        <v>785</v>
      </c>
      <c r="E177" s="164">
        <v>45545.0</v>
      </c>
      <c r="F177" s="163" t="s">
        <v>172</v>
      </c>
      <c r="G177" s="328">
        <v>-1155.33</v>
      </c>
      <c r="H177" s="328">
        <v>-1155.33</v>
      </c>
      <c r="I177" s="163"/>
      <c r="J177" s="163" t="s">
        <v>786</v>
      </c>
      <c r="K177" s="163"/>
      <c r="L177" s="163"/>
      <c r="M177" s="164">
        <v>45545.0</v>
      </c>
      <c r="N177" s="164">
        <v>45546.0</v>
      </c>
      <c r="O177" s="163" t="s">
        <v>787</v>
      </c>
      <c r="P177" s="163">
        <v>205826.0</v>
      </c>
      <c r="Q177" s="163" t="s">
        <v>788</v>
      </c>
      <c r="R177" s="163"/>
      <c r="S177" s="163"/>
      <c r="T177" s="163"/>
      <c r="U177" s="163"/>
      <c r="V177" s="163" t="s">
        <v>748</v>
      </c>
      <c r="W177" s="163"/>
      <c r="X177" s="163"/>
      <c r="Y177" s="163"/>
      <c r="Z177" s="163"/>
    </row>
    <row r="178" ht="13.5" customHeight="1">
      <c r="A178" s="163" t="s">
        <v>782</v>
      </c>
      <c r="B178" s="163" t="s">
        <v>783</v>
      </c>
      <c r="C178" s="163" t="s">
        <v>1001</v>
      </c>
      <c r="D178" s="163" t="s">
        <v>785</v>
      </c>
      <c r="E178" s="164">
        <v>45545.0</v>
      </c>
      <c r="F178" s="163" t="s">
        <v>172</v>
      </c>
      <c r="G178" s="328">
        <v>-1155.33</v>
      </c>
      <c r="H178" s="328">
        <v>-1155.33</v>
      </c>
      <c r="I178" s="163"/>
      <c r="J178" s="163" t="s">
        <v>786</v>
      </c>
      <c r="K178" s="163"/>
      <c r="L178" s="163"/>
      <c r="M178" s="164">
        <v>45545.0</v>
      </c>
      <c r="N178" s="164">
        <v>45546.0</v>
      </c>
      <c r="O178" s="163" t="s">
        <v>787</v>
      </c>
      <c r="P178" s="163">
        <v>205826.0</v>
      </c>
      <c r="Q178" s="163" t="s">
        <v>788</v>
      </c>
      <c r="R178" s="163"/>
      <c r="S178" s="163"/>
      <c r="T178" s="163"/>
      <c r="U178" s="163"/>
      <c r="V178" s="163" t="s">
        <v>748</v>
      </c>
      <c r="W178" s="163"/>
      <c r="X178" s="163"/>
      <c r="Y178" s="163"/>
      <c r="Z178" s="163"/>
    </row>
    <row r="179" ht="13.5" customHeight="1">
      <c r="A179" s="163" t="s">
        <v>782</v>
      </c>
      <c r="B179" s="163" t="s">
        <v>783</v>
      </c>
      <c r="C179" s="163" t="s">
        <v>1002</v>
      </c>
      <c r="D179" s="163" t="s">
        <v>785</v>
      </c>
      <c r="E179" s="164">
        <v>45545.0</v>
      </c>
      <c r="F179" s="163" t="s">
        <v>172</v>
      </c>
      <c r="G179" s="328">
        <v>-1155.33</v>
      </c>
      <c r="H179" s="328">
        <v>-1155.33</v>
      </c>
      <c r="I179" s="163"/>
      <c r="J179" s="163" t="s">
        <v>786</v>
      </c>
      <c r="K179" s="163"/>
      <c r="L179" s="163"/>
      <c r="M179" s="164">
        <v>45545.0</v>
      </c>
      <c r="N179" s="164">
        <v>45546.0</v>
      </c>
      <c r="O179" s="163" t="s">
        <v>787</v>
      </c>
      <c r="P179" s="163">
        <v>205826.0</v>
      </c>
      <c r="Q179" s="163" t="s">
        <v>788</v>
      </c>
      <c r="R179" s="163"/>
      <c r="S179" s="163"/>
      <c r="T179" s="163"/>
      <c r="U179" s="163"/>
      <c r="V179" s="163" t="s">
        <v>748</v>
      </c>
      <c r="W179" s="163"/>
      <c r="X179" s="163"/>
      <c r="Y179" s="163"/>
      <c r="Z179" s="163"/>
    </row>
    <row r="180" ht="13.5" customHeight="1">
      <c r="A180" s="163" t="s">
        <v>782</v>
      </c>
      <c r="B180" s="163" t="s">
        <v>783</v>
      </c>
      <c r="C180" s="163" t="s">
        <v>1003</v>
      </c>
      <c r="D180" s="163" t="s">
        <v>785</v>
      </c>
      <c r="E180" s="164">
        <v>45545.0</v>
      </c>
      <c r="F180" s="163" t="s">
        <v>172</v>
      </c>
      <c r="G180" s="328">
        <v>-1155.33</v>
      </c>
      <c r="H180" s="328">
        <v>-1155.33</v>
      </c>
      <c r="I180" s="163"/>
      <c r="J180" s="163" t="s">
        <v>786</v>
      </c>
      <c r="K180" s="163"/>
      <c r="L180" s="163"/>
      <c r="M180" s="164">
        <v>45545.0</v>
      </c>
      <c r="N180" s="164">
        <v>45546.0</v>
      </c>
      <c r="O180" s="163" t="s">
        <v>787</v>
      </c>
      <c r="P180" s="163">
        <v>205826.0</v>
      </c>
      <c r="Q180" s="163" t="s">
        <v>788</v>
      </c>
      <c r="R180" s="163"/>
      <c r="S180" s="163"/>
      <c r="T180" s="163"/>
      <c r="U180" s="163"/>
      <c r="V180" s="163" t="s">
        <v>748</v>
      </c>
      <c r="W180" s="163"/>
      <c r="X180" s="163"/>
      <c r="Y180" s="163"/>
      <c r="Z180" s="163"/>
    </row>
    <row r="181" ht="13.5" customHeight="1">
      <c r="A181" s="163" t="s">
        <v>782</v>
      </c>
      <c r="B181" s="163" t="s">
        <v>783</v>
      </c>
      <c r="C181" s="163" t="s">
        <v>1004</v>
      </c>
      <c r="D181" s="163" t="s">
        <v>785</v>
      </c>
      <c r="E181" s="164">
        <v>45545.0</v>
      </c>
      <c r="F181" s="163" t="s">
        <v>172</v>
      </c>
      <c r="G181" s="328">
        <v>-1155.33</v>
      </c>
      <c r="H181" s="328">
        <v>-1155.33</v>
      </c>
      <c r="I181" s="163"/>
      <c r="J181" s="163" t="s">
        <v>786</v>
      </c>
      <c r="K181" s="163"/>
      <c r="L181" s="163"/>
      <c r="M181" s="164">
        <v>45545.0</v>
      </c>
      <c r="N181" s="164">
        <v>45546.0</v>
      </c>
      <c r="O181" s="163" t="s">
        <v>787</v>
      </c>
      <c r="P181" s="163">
        <v>205826.0</v>
      </c>
      <c r="Q181" s="163" t="s">
        <v>788</v>
      </c>
      <c r="R181" s="163"/>
      <c r="S181" s="163"/>
      <c r="T181" s="163"/>
      <c r="U181" s="163"/>
      <c r="V181" s="163" t="s">
        <v>748</v>
      </c>
      <c r="W181" s="163"/>
      <c r="X181" s="163"/>
      <c r="Y181" s="163"/>
      <c r="Z181" s="163"/>
    </row>
    <row r="182" ht="13.5" customHeight="1">
      <c r="A182" s="163" t="s">
        <v>782</v>
      </c>
      <c r="B182" s="163" t="s">
        <v>783</v>
      </c>
      <c r="C182" s="163" t="s">
        <v>1005</v>
      </c>
      <c r="D182" s="163" t="s">
        <v>785</v>
      </c>
      <c r="E182" s="164">
        <v>45545.0</v>
      </c>
      <c r="F182" s="163" t="s">
        <v>172</v>
      </c>
      <c r="G182" s="328">
        <v>-1155.33</v>
      </c>
      <c r="H182" s="328">
        <v>-1155.33</v>
      </c>
      <c r="I182" s="163"/>
      <c r="J182" s="163" t="s">
        <v>786</v>
      </c>
      <c r="K182" s="163"/>
      <c r="L182" s="163"/>
      <c r="M182" s="164">
        <v>45545.0</v>
      </c>
      <c r="N182" s="164">
        <v>45546.0</v>
      </c>
      <c r="O182" s="163" t="s">
        <v>787</v>
      </c>
      <c r="P182" s="163">
        <v>205826.0</v>
      </c>
      <c r="Q182" s="163" t="s">
        <v>788</v>
      </c>
      <c r="R182" s="163"/>
      <c r="S182" s="163"/>
      <c r="T182" s="163"/>
      <c r="U182" s="163"/>
      <c r="V182" s="163" t="s">
        <v>748</v>
      </c>
      <c r="W182" s="163"/>
      <c r="X182" s="163"/>
      <c r="Y182" s="163"/>
      <c r="Z182" s="163"/>
    </row>
    <row r="183" ht="13.5" customHeight="1">
      <c r="A183" s="163" t="s">
        <v>782</v>
      </c>
      <c r="B183" s="163" t="s">
        <v>783</v>
      </c>
      <c r="C183" s="163" t="s">
        <v>1006</v>
      </c>
      <c r="D183" s="163" t="s">
        <v>785</v>
      </c>
      <c r="E183" s="164">
        <v>45545.0</v>
      </c>
      <c r="F183" s="163" t="s">
        <v>172</v>
      </c>
      <c r="G183" s="328">
        <v>-1155.33</v>
      </c>
      <c r="H183" s="328">
        <v>-1155.33</v>
      </c>
      <c r="I183" s="163"/>
      <c r="J183" s="163" t="s">
        <v>786</v>
      </c>
      <c r="K183" s="163"/>
      <c r="L183" s="163"/>
      <c r="M183" s="164">
        <v>45545.0</v>
      </c>
      <c r="N183" s="164">
        <v>45546.0</v>
      </c>
      <c r="O183" s="163" t="s">
        <v>787</v>
      </c>
      <c r="P183" s="163">
        <v>205826.0</v>
      </c>
      <c r="Q183" s="163" t="s">
        <v>788</v>
      </c>
      <c r="R183" s="163"/>
      <c r="S183" s="163"/>
      <c r="T183" s="163"/>
      <c r="U183" s="163"/>
      <c r="V183" s="163" t="s">
        <v>748</v>
      </c>
      <c r="W183" s="163"/>
      <c r="X183" s="163"/>
      <c r="Y183" s="163"/>
      <c r="Z183" s="163"/>
    </row>
    <row r="184" ht="13.5" customHeight="1">
      <c r="A184" s="163" t="s">
        <v>782</v>
      </c>
      <c r="B184" s="163" t="s">
        <v>783</v>
      </c>
      <c r="C184" s="163" t="s">
        <v>1007</v>
      </c>
      <c r="D184" s="163" t="s">
        <v>785</v>
      </c>
      <c r="E184" s="164">
        <v>45545.0</v>
      </c>
      <c r="F184" s="163" t="s">
        <v>172</v>
      </c>
      <c r="G184" s="328">
        <v>-1155.33</v>
      </c>
      <c r="H184" s="328">
        <v>-1155.33</v>
      </c>
      <c r="I184" s="163"/>
      <c r="J184" s="163" t="s">
        <v>786</v>
      </c>
      <c r="K184" s="163"/>
      <c r="L184" s="163"/>
      <c r="M184" s="164">
        <v>45545.0</v>
      </c>
      <c r="N184" s="164">
        <v>45546.0</v>
      </c>
      <c r="O184" s="163" t="s">
        <v>787</v>
      </c>
      <c r="P184" s="163">
        <v>205826.0</v>
      </c>
      <c r="Q184" s="163" t="s">
        <v>788</v>
      </c>
      <c r="R184" s="163"/>
      <c r="S184" s="163"/>
      <c r="T184" s="163"/>
      <c r="U184" s="163"/>
      <c r="V184" s="163" t="s">
        <v>748</v>
      </c>
      <c r="W184" s="163"/>
      <c r="X184" s="163"/>
      <c r="Y184" s="163"/>
      <c r="Z184" s="163"/>
    </row>
    <row r="185" ht="13.5" customHeight="1">
      <c r="A185" s="163" t="s">
        <v>782</v>
      </c>
      <c r="B185" s="163" t="s">
        <v>783</v>
      </c>
      <c r="C185" s="163" t="s">
        <v>1008</v>
      </c>
      <c r="D185" s="163" t="s">
        <v>785</v>
      </c>
      <c r="E185" s="164">
        <v>45545.0</v>
      </c>
      <c r="F185" s="163" t="s">
        <v>172</v>
      </c>
      <c r="G185" s="328">
        <v>-1155.33</v>
      </c>
      <c r="H185" s="328">
        <v>-1155.33</v>
      </c>
      <c r="I185" s="163"/>
      <c r="J185" s="163" t="s">
        <v>786</v>
      </c>
      <c r="K185" s="163"/>
      <c r="L185" s="163"/>
      <c r="M185" s="164">
        <v>45545.0</v>
      </c>
      <c r="N185" s="164">
        <v>45546.0</v>
      </c>
      <c r="O185" s="163" t="s">
        <v>787</v>
      </c>
      <c r="P185" s="163">
        <v>205826.0</v>
      </c>
      <c r="Q185" s="163" t="s">
        <v>788</v>
      </c>
      <c r="R185" s="163"/>
      <c r="S185" s="163"/>
      <c r="T185" s="163"/>
      <c r="U185" s="163"/>
      <c r="V185" s="163" t="s">
        <v>748</v>
      </c>
      <c r="W185" s="163"/>
      <c r="X185" s="163"/>
      <c r="Y185" s="163"/>
      <c r="Z185" s="163"/>
    </row>
    <row r="186" ht="13.5" customHeight="1">
      <c r="A186" s="163" t="s">
        <v>782</v>
      </c>
      <c r="B186" s="163" t="s">
        <v>783</v>
      </c>
      <c r="C186" s="163" t="s">
        <v>1009</v>
      </c>
      <c r="D186" s="163" t="s">
        <v>785</v>
      </c>
      <c r="E186" s="164">
        <v>45545.0</v>
      </c>
      <c r="F186" s="163" t="s">
        <v>172</v>
      </c>
      <c r="G186" s="328">
        <v>-1155.33</v>
      </c>
      <c r="H186" s="328">
        <v>-1155.33</v>
      </c>
      <c r="I186" s="163"/>
      <c r="J186" s="163" t="s">
        <v>786</v>
      </c>
      <c r="K186" s="163"/>
      <c r="L186" s="163"/>
      <c r="M186" s="164">
        <v>45545.0</v>
      </c>
      <c r="N186" s="164">
        <v>45546.0</v>
      </c>
      <c r="O186" s="163" t="s">
        <v>787</v>
      </c>
      <c r="P186" s="163">
        <v>205826.0</v>
      </c>
      <c r="Q186" s="163" t="s">
        <v>788</v>
      </c>
      <c r="R186" s="163"/>
      <c r="S186" s="163"/>
      <c r="T186" s="163"/>
      <c r="U186" s="163"/>
      <c r="V186" s="163" t="s">
        <v>748</v>
      </c>
      <c r="W186" s="163"/>
      <c r="X186" s="163"/>
      <c r="Y186" s="163"/>
      <c r="Z186" s="163"/>
    </row>
    <row r="187" ht="13.5" customHeight="1">
      <c r="A187" s="163" t="s">
        <v>782</v>
      </c>
      <c r="B187" s="163" t="s">
        <v>783</v>
      </c>
      <c r="C187" s="163" t="s">
        <v>1010</v>
      </c>
      <c r="D187" s="163" t="s">
        <v>785</v>
      </c>
      <c r="E187" s="164">
        <v>45545.0</v>
      </c>
      <c r="F187" s="163" t="s">
        <v>172</v>
      </c>
      <c r="G187" s="328">
        <v>-1155.33</v>
      </c>
      <c r="H187" s="328">
        <v>-1155.33</v>
      </c>
      <c r="I187" s="163"/>
      <c r="J187" s="163" t="s">
        <v>786</v>
      </c>
      <c r="K187" s="163"/>
      <c r="L187" s="163"/>
      <c r="M187" s="164">
        <v>45545.0</v>
      </c>
      <c r="N187" s="164">
        <v>45546.0</v>
      </c>
      <c r="O187" s="163" t="s">
        <v>787</v>
      </c>
      <c r="P187" s="163">
        <v>205826.0</v>
      </c>
      <c r="Q187" s="163" t="s">
        <v>788</v>
      </c>
      <c r="R187" s="163"/>
      <c r="S187" s="163"/>
      <c r="T187" s="163"/>
      <c r="U187" s="163"/>
      <c r="V187" s="163" t="s">
        <v>748</v>
      </c>
      <c r="W187" s="163"/>
      <c r="X187" s="163"/>
      <c r="Y187" s="163"/>
      <c r="Z187" s="163"/>
    </row>
    <row r="188" ht="13.5" customHeight="1">
      <c r="A188" s="163" t="s">
        <v>782</v>
      </c>
      <c r="B188" s="163" t="s">
        <v>783</v>
      </c>
      <c r="C188" s="163" t="s">
        <v>1011</v>
      </c>
      <c r="D188" s="163" t="s">
        <v>785</v>
      </c>
      <c r="E188" s="164">
        <v>45545.0</v>
      </c>
      <c r="F188" s="163" t="s">
        <v>172</v>
      </c>
      <c r="G188" s="328">
        <v>-1155.33</v>
      </c>
      <c r="H188" s="328">
        <v>-1155.33</v>
      </c>
      <c r="I188" s="163"/>
      <c r="J188" s="163" t="s">
        <v>786</v>
      </c>
      <c r="K188" s="163"/>
      <c r="L188" s="163"/>
      <c r="M188" s="164">
        <v>45545.0</v>
      </c>
      <c r="N188" s="164">
        <v>45546.0</v>
      </c>
      <c r="O188" s="163" t="s">
        <v>787</v>
      </c>
      <c r="P188" s="163">
        <v>205826.0</v>
      </c>
      <c r="Q188" s="163" t="s">
        <v>788</v>
      </c>
      <c r="R188" s="163"/>
      <c r="S188" s="163"/>
      <c r="T188" s="163"/>
      <c r="U188" s="163"/>
      <c r="V188" s="163" t="s">
        <v>748</v>
      </c>
      <c r="W188" s="163"/>
      <c r="X188" s="163"/>
      <c r="Y188" s="163"/>
      <c r="Z188" s="163"/>
    </row>
    <row r="189" ht="13.5" customHeight="1">
      <c r="A189" s="163" t="s">
        <v>782</v>
      </c>
      <c r="B189" s="163" t="s">
        <v>783</v>
      </c>
      <c r="C189" s="163" t="s">
        <v>1012</v>
      </c>
      <c r="D189" s="163" t="s">
        <v>785</v>
      </c>
      <c r="E189" s="164">
        <v>45545.0</v>
      </c>
      <c r="F189" s="163" t="s">
        <v>172</v>
      </c>
      <c r="G189" s="328">
        <v>-1155.33</v>
      </c>
      <c r="H189" s="328">
        <v>-1155.33</v>
      </c>
      <c r="I189" s="163"/>
      <c r="J189" s="163" t="s">
        <v>786</v>
      </c>
      <c r="K189" s="163"/>
      <c r="L189" s="163"/>
      <c r="M189" s="164">
        <v>45545.0</v>
      </c>
      <c r="N189" s="164">
        <v>45546.0</v>
      </c>
      <c r="O189" s="163" t="s">
        <v>787</v>
      </c>
      <c r="P189" s="163">
        <v>205826.0</v>
      </c>
      <c r="Q189" s="163" t="s">
        <v>788</v>
      </c>
      <c r="R189" s="163"/>
      <c r="S189" s="163"/>
      <c r="T189" s="163"/>
      <c r="U189" s="163"/>
      <c r="V189" s="163" t="s">
        <v>748</v>
      </c>
      <c r="W189" s="163"/>
      <c r="X189" s="163"/>
      <c r="Y189" s="163"/>
      <c r="Z189" s="163"/>
    </row>
    <row r="190" ht="13.5" customHeight="1">
      <c r="A190" s="163" t="s">
        <v>782</v>
      </c>
      <c r="B190" s="163" t="s">
        <v>783</v>
      </c>
      <c r="C190" s="163" t="s">
        <v>1013</v>
      </c>
      <c r="D190" s="163" t="s">
        <v>785</v>
      </c>
      <c r="E190" s="164">
        <v>45545.0</v>
      </c>
      <c r="F190" s="163" t="s">
        <v>172</v>
      </c>
      <c r="G190" s="328">
        <v>-1155.33</v>
      </c>
      <c r="H190" s="328">
        <v>-1155.33</v>
      </c>
      <c r="I190" s="163"/>
      <c r="J190" s="163" t="s">
        <v>786</v>
      </c>
      <c r="K190" s="163"/>
      <c r="L190" s="163"/>
      <c r="M190" s="164">
        <v>45545.0</v>
      </c>
      <c r="N190" s="164">
        <v>45546.0</v>
      </c>
      <c r="O190" s="163" t="s">
        <v>787</v>
      </c>
      <c r="P190" s="163">
        <v>205826.0</v>
      </c>
      <c r="Q190" s="163" t="s">
        <v>788</v>
      </c>
      <c r="R190" s="163"/>
      <c r="S190" s="163"/>
      <c r="T190" s="163"/>
      <c r="U190" s="163"/>
      <c r="V190" s="163" t="s">
        <v>748</v>
      </c>
      <c r="W190" s="163"/>
      <c r="X190" s="163"/>
      <c r="Y190" s="163"/>
      <c r="Z190" s="163"/>
    </row>
    <row r="191" ht="13.5" customHeight="1">
      <c r="A191" s="163" t="s">
        <v>782</v>
      </c>
      <c r="B191" s="163" t="s">
        <v>783</v>
      </c>
      <c r="C191" s="163" t="s">
        <v>1014</v>
      </c>
      <c r="D191" s="163" t="s">
        <v>785</v>
      </c>
      <c r="E191" s="164">
        <v>45545.0</v>
      </c>
      <c r="F191" s="163" t="s">
        <v>172</v>
      </c>
      <c r="G191" s="328">
        <v>-1155.33</v>
      </c>
      <c r="H191" s="328">
        <v>-1155.33</v>
      </c>
      <c r="I191" s="163"/>
      <c r="J191" s="163" t="s">
        <v>786</v>
      </c>
      <c r="K191" s="163"/>
      <c r="L191" s="163"/>
      <c r="M191" s="164">
        <v>45545.0</v>
      </c>
      <c r="N191" s="164">
        <v>45546.0</v>
      </c>
      <c r="O191" s="163" t="s">
        <v>787</v>
      </c>
      <c r="P191" s="163">
        <v>205826.0</v>
      </c>
      <c r="Q191" s="163" t="s">
        <v>788</v>
      </c>
      <c r="R191" s="163"/>
      <c r="S191" s="163"/>
      <c r="T191" s="163"/>
      <c r="U191" s="163"/>
      <c r="V191" s="163" t="s">
        <v>748</v>
      </c>
      <c r="W191" s="163"/>
      <c r="X191" s="163"/>
      <c r="Y191" s="163"/>
      <c r="Z191" s="163"/>
    </row>
    <row r="192" ht="13.5" customHeight="1">
      <c r="A192" s="163" t="s">
        <v>782</v>
      </c>
      <c r="B192" s="163" t="s">
        <v>783</v>
      </c>
      <c r="C192" s="163" t="s">
        <v>1015</v>
      </c>
      <c r="D192" s="163" t="s">
        <v>785</v>
      </c>
      <c r="E192" s="164">
        <v>45545.0</v>
      </c>
      <c r="F192" s="163" t="s">
        <v>172</v>
      </c>
      <c r="G192" s="328">
        <v>-1155.33</v>
      </c>
      <c r="H192" s="328">
        <v>-1155.33</v>
      </c>
      <c r="I192" s="163"/>
      <c r="J192" s="163" t="s">
        <v>786</v>
      </c>
      <c r="K192" s="163"/>
      <c r="L192" s="163"/>
      <c r="M192" s="164">
        <v>45545.0</v>
      </c>
      <c r="N192" s="164">
        <v>45546.0</v>
      </c>
      <c r="O192" s="163" t="s">
        <v>787</v>
      </c>
      <c r="P192" s="163">
        <v>205826.0</v>
      </c>
      <c r="Q192" s="163" t="s">
        <v>788</v>
      </c>
      <c r="R192" s="163"/>
      <c r="S192" s="163"/>
      <c r="T192" s="163"/>
      <c r="U192" s="163"/>
      <c r="V192" s="163" t="s">
        <v>748</v>
      </c>
      <c r="W192" s="163"/>
      <c r="X192" s="163"/>
      <c r="Y192" s="163"/>
      <c r="Z192" s="163"/>
    </row>
    <row r="193" ht="13.5" customHeight="1">
      <c r="A193" s="163" t="s">
        <v>782</v>
      </c>
      <c r="B193" s="163" t="s">
        <v>783</v>
      </c>
      <c r="C193" s="163" t="s">
        <v>1016</v>
      </c>
      <c r="D193" s="163" t="s">
        <v>785</v>
      </c>
      <c r="E193" s="164">
        <v>45545.0</v>
      </c>
      <c r="F193" s="163" t="s">
        <v>172</v>
      </c>
      <c r="G193" s="328">
        <v>-1155.33</v>
      </c>
      <c r="H193" s="328">
        <v>-1155.33</v>
      </c>
      <c r="I193" s="163"/>
      <c r="J193" s="163" t="s">
        <v>786</v>
      </c>
      <c r="K193" s="163"/>
      <c r="L193" s="163"/>
      <c r="M193" s="164">
        <v>45545.0</v>
      </c>
      <c r="N193" s="164">
        <v>45546.0</v>
      </c>
      <c r="O193" s="163" t="s">
        <v>787</v>
      </c>
      <c r="P193" s="163">
        <v>205826.0</v>
      </c>
      <c r="Q193" s="163" t="s">
        <v>788</v>
      </c>
      <c r="R193" s="163"/>
      <c r="S193" s="163"/>
      <c r="T193" s="163"/>
      <c r="U193" s="163"/>
      <c r="V193" s="163" t="s">
        <v>748</v>
      </c>
      <c r="W193" s="163"/>
      <c r="X193" s="163"/>
      <c r="Y193" s="163"/>
      <c r="Z193" s="163"/>
    </row>
    <row r="194" ht="13.5" customHeight="1">
      <c r="A194" s="163" t="s">
        <v>782</v>
      </c>
      <c r="B194" s="163" t="s">
        <v>783</v>
      </c>
      <c r="C194" s="163" t="s">
        <v>1017</v>
      </c>
      <c r="D194" s="163" t="s">
        <v>785</v>
      </c>
      <c r="E194" s="164">
        <v>45545.0</v>
      </c>
      <c r="F194" s="163" t="s">
        <v>172</v>
      </c>
      <c r="G194" s="328">
        <v>-1155.33</v>
      </c>
      <c r="H194" s="328">
        <v>-1155.33</v>
      </c>
      <c r="I194" s="163"/>
      <c r="J194" s="163" t="s">
        <v>786</v>
      </c>
      <c r="K194" s="163"/>
      <c r="L194" s="163"/>
      <c r="M194" s="164">
        <v>45545.0</v>
      </c>
      <c r="N194" s="164">
        <v>45546.0</v>
      </c>
      <c r="O194" s="163" t="s">
        <v>787</v>
      </c>
      <c r="P194" s="163">
        <v>205826.0</v>
      </c>
      <c r="Q194" s="163" t="s">
        <v>788</v>
      </c>
      <c r="R194" s="163"/>
      <c r="S194" s="163"/>
      <c r="T194" s="163"/>
      <c r="U194" s="163"/>
      <c r="V194" s="163" t="s">
        <v>748</v>
      </c>
      <c r="W194" s="163"/>
      <c r="X194" s="163"/>
      <c r="Y194" s="163"/>
      <c r="Z194" s="163"/>
    </row>
    <row r="195" ht="13.5" customHeight="1">
      <c r="A195" s="163" t="s">
        <v>782</v>
      </c>
      <c r="B195" s="163" t="s">
        <v>783</v>
      </c>
      <c r="C195" s="163" t="s">
        <v>1018</v>
      </c>
      <c r="D195" s="163" t="s">
        <v>785</v>
      </c>
      <c r="E195" s="164">
        <v>45545.0</v>
      </c>
      <c r="F195" s="163" t="s">
        <v>172</v>
      </c>
      <c r="G195" s="328">
        <v>-1155.33</v>
      </c>
      <c r="H195" s="328">
        <v>-1155.33</v>
      </c>
      <c r="I195" s="163"/>
      <c r="J195" s="163" t="s">
        <v>786</v>
      </c>
      <c r="K195" s="163"/>
      <c r="L195" s="163"/>
      <c r="M195" s="164">
        <v>45545.0</v>
      </c>
      <c r="N195" s="164">
        <v>45546.0</v>
      </c>
      <c r="O195" s="163" t="s">
        <v>787</v>
      </c>
      <c r="P195" s="163">
        <v>205826.0</v>
      </c>
      <c r="Q195" s="163" t="s">
        <v>788</v>
      </c>
      <c r="R195" s="163"/>
      <c r="S195" s="163"/>
      <c r="T195" s="163"/>
      <c r="U195" s="163"/>
      <c r="V195" s="163" t="s">
        <v>748</v>
      </c>
      <c r="W195" s="163"/>
      <c r="X195" s="163"/>
      <c r="Y195" s="163"/>
      <c r="Z195" s="163"/>
    </row>
    <row r="196" ht="13.5" customHeight="1">
      <c r="A196" s="163" t="s">
        <v>782</v>
      </c>
      <c r="B196" s="163" t="s">
        <v>783</v>
      </c>
      <c r="C196" s="163" t="s">
        <v>1019</v>
      </c>
      <c r="D196" s="163" t="s">
        <v>785</v>
      </c>
      <c r="E196" s="164">
        <v>45545.0</v>
      </c>
      <c r="F196" s="163" t="s">
        <v>172</v>
      </c>
      <c r="G196" s="328">
        <v>-1155.33</v>
      </c>
      <c r="H196" s="328">
        <v>-1155.33</v>
      </c>
      <c r="I196" s="163"/>
      <c r="J196" s="163" t="s">
        <v>786</v>
      </c>
      <c r="K196" s="163"/>
      <c r="L196" s="163"/>
      <c r="M196" s="164">
        <v>45545.0</v>
      </c>
      <c r="N196" s="164">
        <v>45546.0</v>
      </c>
      <c r="O196" s="163" t="s">
        <v>787</v>
      </c>
      <c r="P196" s="163">
        <v>205826.0</v>
      </c>
      <c r="Q196" s="163" t="s">
        <v>788</v>
      </c>
      <c r="R196" s="163"/>
      <c r="S196" s="163"/>
      <c r="T196" s="163"/>
      <c r="U196" s="163"/>
      <c r="V196" s="163" t="s">
        <v>748</v>
      </c>
      <c r="W196" s="163"/>
      <c r="X196" s="163"/>
      <c r="Y196" s="163"/>
      <c r="Z196" s="163"/>
    </row>
    <row r="197" ht="13.5" customHeight="1">
      <c r="A197" s="163" t="s">
        <v>782</v>
      </c>
      <c r="B197" s="163" t="s">
        <v>783</v>
      </c>
      <c r="C197" s="163" t="s">
        <v>1020</v>
      </c>
      <c r="D197" s="163" t="s">
        <v>785</v>
      </c>
      <c r="E197" s="164">
        <v>45545.0</v>
      </c>
      <c r="F197" s="163" t="s">
        <v>172</v>
      </c>
      <c r="G197" s="328">
        <v>-1155.33</v>
      </c>
      <c r="H197" s="328">
        <v>-1155.33</v>
      </c>
      <c r="I197" s="163"/>
      <c r="J197" s="163" t="s">
        <v>786</v>
      </c>
      <c r="K197" s="163"/>
      <c r="L197" s="163"/>
      <c r="M197" s="164">
        <v>45545.0</v>
      </c>
      <c r="N197" s="164">
        <v>45546.0</v>
      </c>
      <c r="O197" s="163" t="s">
        <v>787</v>
      </c>
      <c r="P197" s="163">
        <v>205826.0</v>
      </c>
      <c r="Q197" s="163" t="s">
        <v>788</v>
      </c>
      <c r="R197" s="163"/>
      <c r="S197" s="163"/>
      <c r="T197" s="163"/>
      <c r="U197" s="163"/>
      <c r="V197" s="163" t="s">
        <v>748</v>
      </c>
      <c r="W197" s="163"/>
      <c r="X197" s="163"/>
      <c r="Y197" s="163"/>
      <c r="Z197" s="163"/>
    </row>
    <row r="198" ht="13.5" customHeight="1">
      <c r="A198" s="163" t="s">
        <v>782</v>
      </c>
      <c r="B198" s="163" t="s">
        <v>783</v>
      </c>
      <c r="C198" s="163" t="s">
        <v>1021</v>
      </c>
      <c r="D198" s="163" t="s">
        <v>785</v>
      </c>
      <c r="E198" s="164">
        <v>45545.0</v>
      </c>
      <c r="F198" s="163" t="s">
        <v>172</v>
      </c>
      <c r="G198" s="328">
        <v>-1155.33</v>
      </c>
      <c r="H198" s="328">
        <v>-1155.33</v>
      </c>
      <c r="I198" s="163"/>
      <c r="J198" s="163" t="s">
        <v>786</v>
      </c>
      <c r="K198" s="163"/>
      <c r="L198" s="163"/>
      <c r="M198" s="164">
        <v>45545.0</v>
      </c>
      <c r="N198" s="164">
        <v>45546.0</v>
      </c>
      <c r="O198" s="163" t="s">
        <v>787</v>
      </c>
      <c r="P198" s="163">
        <v>205826.0</v>
      </c>
      <c r="Q198" s="163" t="s">
        <v>788</v>
      </c>
      <c r="R198" s="163"/>
      <c r="S198" s="163"/>
      <c r="T198" s="163"/>
      <c r="U198" s="163"/>
      <c r="V198" s="163" t="s">
        <v>748</v>
      </c>
      <c r="W198" s="163"/>
      <c r="X198" s="163"/>
      <c r="Y198" s="163"/>
      <c r="Z198" s="163"/>
    </row>
    <row r="199" ht="13.5" customHeight="1">
      <c r="A199" s="163" t="s">
        <v>782</v>
      </c>
      <c r="B199" s="163" t="s">
        <v>783</v>
      </c>
      <c r="C199" s="163" t="s">
        <v>1022</v>
      </c>
      <c r="D199" s="163" t="s">
        <v>785</v>
      </c>
      <c r="E199" s="164">
        <v>45545.0</v>
      </c>
      <c r="F199" s="163" t="s">
        <v>172</v>
      </c>
      <c r="G199" s="328">
        <v>-1155.33</v>
      </c>
      <c r="H199" s="328">
        <v>-1155.33</v>
      </c>
      <c r="I199" s="163"/>
      <c r="J199" s="163" t="s">
        <v>786</v>
      </c>
      <c r="K199" s="163"/>
      <c r="L199" s="163"/>
      <c r="M199" s="164">
        <v>45545.0</v>
      </c>
      <c r="N199" s="164">
        <v>45546.0</v>
      </c>
      <c r="O199" s="163" t="s">
        <v>787</v>
      </c>
      <c r="P199" s="163">
        <v>205826.0</v>
      </c>
      <c r="Q199" s="163" t="s">
        <v>788</v>
      </c>
      <c r="R199" s="163"/>
      <c r="S199" s="163"/>
      <c r="T199" s="163"/>
      <c r="U199" s="163"/>
      <c r="V199" s="163" t="s">
        <v>748</v>
      </c>
      <c r="W199" s="163"/>
      <c r="X199" s="163"/>
      <c r="Y199" s="163"/>
      <c r="Z199" s="163"/>
    </row>
    <row r="200" ht="13.5" customHeight="1">
      <c r="A200" s="163" t="s">
        <v>782</v>
      </c>
      <c r="B200" s="163" t="s">
        <v>783</v>
      </c>
      <c r="C200" s="163" t="s">
        <v>1023</v>
      </c>
      <c r="D200" s="163" t="s">
        <v>785</v>
      </c>
      <c r="E200" s="164">
        <v>45545.0</v>
      </c>
      <c r="F200" s="163" t="s">
        <v>172</v>
      </c>
      <c r="G200" s="328">
        <v>-1155.33</v>
      </c>
      <c r="H200" s="328">
        <v>-1155.33</v>
      </c>
      <c r="I200" s="163"/>
      <c r="J200" s="163" t="s">
        <v>786</v>
      </c>
      <c r="K200" s="163"/>
      <c r="L200" s="163"/>
      <c r="M200" s="164">
        <v>45545.0</v>
      </c>
      <c r="N200" s="164">
        <v>45546.0</v>
      </c>
      <c r="O200" s="163" t="s">
        <v>787</v>
      </c>
      <c r="P200" s="163">
        <v>205826.0</v>
      </c>
      <c r="Q200" s="163" t="s">
        <v>788</v>
      </c>
      <c r="R200" s="163"/>
      <c r="S200" s="163"/>
      <c r="T200" s="163"/>
      <c r="U200" s="163"/>
      <c r="V200" s="163" t="s">
        <v>748</v>
      </c>
      <c r="W200" s="163"/>
      <c r="X200" s="163"/>
      <c r="Y200" s="163"/>
      <c r="Z200" s="163"/>
    </row>
    <row r="201" ht="13.5" customHeight="1">
      <c r="A201" s="163" t="s">
        <v>782</v>
      </c>
      <c r="B201" s="163" t="s">
        <v>783</v>
      </c>
      <c r="C201" s="163" t="s">
        <v>1024</v>
      </c>
      <c r="D201" s="163" t="s">
        <v>785</v>
      </c>
      <c r="E201" s="164">
        <v>45545.0</v>
      </c>
      <c r="F201" s="163" t="s">
        <v>172</v>
      </c>
      <c r="G201" s="328">
        <v>-1155.33</v>
      </c>
      <c r="H201" s="328">
        <v>-1155.33</v>
      </c>
      <c r="I201" s="163"/>
      <c r="J201" s="163" t="s">
        <v>786</v>
      </c>
      <c r="K201" s="163"/>
      <c r="L201" s="163"/>
      <c r="M201" s="164">
        <v>45545.0</v>
      </c>
      <c r="N201" s="164">
        <v>45546.0</v>
      </c>
      <c r="O201" s="163" t="s">
        <v>787</v>
      </c>
      <c r="P201" s="163">
        <v>205826.0</v>
      </c>
      <c r="Q201" s="163" t="s">
        <v>788</v>
      </c>
      <c r="R201" s="163"/>
      <c r="S201" s="163"/>
      <c r="T201" s="163"/>
      <c r="U201" s="163"/>
      <c r="V201" s="163" t="s">
        <v>748</v>
      </c>
      <c r="W201" s="163"/>
      <c r="X201" s="163"/>
      <c r="Y201" s="163"/>
      <c r="Z201" s="163"/>
    </row>
    <row r="202" ht="13.5" customHeight="1">
      <c r="A202" s="163" t="s">
        <v>782</v>
      </c>
      <c r="B202" s="163" t="s">
        <v>783</v>
      </c>
      <c r="C202" s="163" t="s">
        <v>1025</v>
      </c>
      <c r="D202" s="163" t="s">
        <v>785</v>
      </c>
      <c r="E202" s="164">
        <v>45545.0</v>
      </c>
      <c r="F202" s="163" t="s">
        <v>172</v>
      </c>
      <c r="G202" s="328">
        <v>-1155.33</v>
      </c>
      <c r="H202" s="328">
        <v>-1155.33</v>
      </c>
      <c r="I202" s="163"/>
      <c r="J202" s="163" t="s">
        <v>786</v>
      </c>
      <c r="K202" s="163"/>
      <c r="L202" s="163"/>
      <c r="M202" s="164">
        <v>45545.0</v>
      </c>
      <c r="N202" s="164">
        <v>45546.0</v>
      </c>
      <c r="O202" s="163" t="s">
        <v>787</v>
      </c>
      <c r="P202" s="163">
        <v>205826.0</v>
      </c>
      <c r="Q202" s="163" t="s">
        <v>788</v>
      </c>
      <c r="R202" s="163"/>
      <c r="S202" s="163"/>
      <c r="T202" s="163"/>
      <c r="U202" s="163"/>
      <c r="V202" s="163" t="s">
        <v>748</v>
      </c>
      <c r="W202" s="163"/>
      <c r="X202" s="163"/>
      <c r="Y202" s="163"/>
      <c r="Z202" s="163"/>
    </row>
    <row r="203" ht="13.5" customHeight="1">
      <c r="A203" s="163" t="s">
        <v>782</v>
      </c>
      <c r="B203" s="163" t="s">
        <v>783</v>
      </c>
      <c r="C203" s="163" t="s">
        <v>1026</v>
      </c>
      <c r="D203" s="163" t="s">
        <v>785</v>
      </c>
      <c r="E203" s="164">
        <v>45545.0</v>
      </c>
      <c r="F203" s="163" t="s">
        <v>172</v>
      </c>
      <c r="G203" s="328">
        <v>-1155.33</v>
      </c>
      <c r="H203" s="328">
        <v>-1155.33</v>
      </c>
      <c r="I203" s="163"/>
      <c r="J203" s="163" t="s">
        <v>786</v>
      </c>
      <c r="K203" s="163"/>
      <c r="L203" s="163"/>
      <c r="M203" s="164">
        <v>45545.0</v>
      </c>
      <c r="N203" s="164">
        <v>45546.0</v>
      </c>
      <c r="O203" s="163" t="s">
        <v>787</v>
      </c>
      <c r="P203" s="163">
        <v>205826.0</v>
      </c>
      <c r="Q203" s="163" t="s">
        <v>788</v>
      </c>
      <c r="R203" s="163"/>
      <c r="S203" s="163"/>
      <c r="T203" s="163"/>
      <c r="U203" s="163"/>
      <c r="V203" s="163" t="s">
        <v>748</v>
      </c>
      <c r="W203" s="163"/>
      <c r="X203" s="163"/>
      <c r="Y203" s="163"/>
      <c r="Z203" s="163"/>
    </row>
    <row r="204" ht="13.5" customHeight="1">
      <c r="A204" s="163" t="s">
        <v>782</v>
      </c>
      <c r="B204" s="163" t="s">
        <v>783</v>
      </c>
      <c r="C204" s="163" t="s">
        <v>1027</v>
      </c>
      <c r="D204" s="163" t="s">
        <v>785</v>
      </c>
      <c r="E204" s="164">
        <v>45545.0</v>
      </c>
      <c r="F204" s="163" t="s">
        <v>172</v>
      </c>
      <c r="G204" s="328">
        <v>-1155.33</v>
      </c>
      <c r="H204" s="328">
        <v>-1155.33</v>
      </c>
      <c r="I204" s="163"/>
      <c r="J204" s="163" t="s">
        <v>786</v>
      </c>
      <c r="K204" s="163"/>
      <c r="L204" s="163"/>
      <c r="M204" s="164">
        <v>45545.0</v>
      </c>
      <c r="N204" s="164">
        <v>45546.0</v>
      </c>
      <c r="O204" s="163" t="s">
        <v>787</v>
      </c>
      <c r="P204" s="163">
        <v>205826.0</v>
      </c>
      <c r="Q204" s="163" t="s">
        <v>788</v>
      </c>
      <c r="R204" s="163"/>
      <c r="S204" s="163"/>
      <c r="T204" s="163"/>
      <c r="U204" s="163"/>
      <c r="V204" s="163" t="s">
        <v>748</v>
      </c>
      <c r="W204" s="163"/>
      <c r="X204" s="163"/>
      <c r="Y204" s="163"/>
      <c r="Z204" s="163"/>
    </row>
    <row r="205" ht="13.5" customHeight="1">
      <c r="A205" s="163" t="s">
        <v>782</v>
      </c>
      <c r="B205" s="163" t="s">
        <v>783</v>
      </c>
      <c r="C205" s="163" t="s">
        <v>1028</v>
      </c>
      <c r="D205" s="163" t="s">
        <v>785</v>
      </c>
      <c r="E205" s="164">
        <v>45545.0</v>
      </c>
      <c r="F205" s="163" t="s">
        <v>172</v>
      </c>
      <c r="G205" s="328">
        <v>-1155.33</v>
      </c>
      <c r="H205" s="328">
        <v>-1155.33</v>
      </c>
      <c r="I205" s="163"/>
      <c r="J205" s="163" t="s">
        <v>786</v>
      </c>
      <c r="K205" s="163"/>
      <c r="L205" s="163"/>
      <c r="M205" s="164">
        <v>45545.0</v>
      </c>
      <c r="N205" s="164">
        <v>45546.0</v>
      </c>
      <c r="O205" s="163" t="s">
        <v>787</v>
      </c>
      <c r="P205" s="163">
        <v>205826.0</v>
      </c>
      <c r="Q205" s="163" t="s">
        <v>788</v>
      </c>
      <c r="R205" s="163"/>
      <c r="S205" s="163"/>
      <c r="T205" s="163"/>
      <c r="U205" s="163"/>
      <c r="V205" s="163" t="s">
        <v>748</v>
      </c>
      <c r="W205" s="163"/>
      <c r="X205" s="163"/>
      <c r="Y205" s="163"/>
      <c r="Z205" s="163"/>
    </row>
    <row r="206" ht="13.5" customHeight="1">
      <c r="A206" s="163" t="s">
        <v>782</v>
      </c>
      <c r="B206" s="163" t="s">
        <v>783</v>
      </c>
      <c r="C206" s="163" t="s">
        <v>1029</v>
      </c>
      <c r="D206" s="163" t="s">
        <v>785</v>
      </c>
      <c r="E206" s="164">
        <v>45545.0</v>
      </c>
      <c r="F206" s="163" t="s">
        <v>172</v>
      </c>
      <c r="G206" s="328">
        <v>-1155.33</v>
      </c>
      <c r="H206" s="328">
        <v>-1155.33</v>
      </c>
      <c r="I206" s="163"/>
      <c r="J206" s="163" t="s">
        <v>786</v>
      </c>
      <c r="K206" s="163"/>
      <c r="L206" s="163"/>
      <c r="M206" s="164">
        <v>45545.0</v>
      </c>
      <c r="N206" s="164">
        <v>45546.0</v>
      </c>
      <c r="O206" s="163" t="s">
        <v>787</v>
      </c>
      <c r="P206" s="163">
        <v>205826.0</v>
      </c>
      <c r="Q206" s="163" t="s">
        <v>788</v>
      </c>
      <c r="R206" s="163"/>
      <c r="S206" s="163"/>
      <c r="T206" s="163"/>
      <c r="U206" s="163"/>
      <c r="V206" s="163" t="s">
        <v>748</v>
      </c>
      <c r="W206" s="163"/>
      <c r="X206" s="163"/>
      <c r="Y206" s="163"/>
      <c r="Z206" s="163"/>
    </row>
    <row r="207" ht="13.5" customHeight="1">
      <c r="A207" s="163" t="s">
        <v>782</v>
      </c>
      <c r="B207" s="163" t="s">
        <v>783</v>
      </c>
      <c r="C207" s="163" t="s">
        <v>1030</v>
      </c>
      <c r="D207" s="163" t="s">
        <v>785</v>
      </c>
      <c r="E207" s="164">
        <v>45545.0</v>
      </c>
      <c r="F207" s="163" t="s">
        <v>172</v>
      </c>
      <c r="G207" s="328">
        <v>-1155.33</v>
      </c>
      <c r="H207" s="328">
        <v>-1155.33</v>
      </c>
      <c r="I207" s="163"/>
      <c r="J207" s="163" t="s">
        <v>786</v>
      </c>
      <c r="K207" s="163"/>
      <c r="L207" s="163"/>
      <c r="M207" s="164">
        <v>45545.0</v>
      </c>
      <c r="N207" s="164">
        <v>45546.0</v>
      </c>
      <c r="O207" s="163" t="s">
        <v>787</v>
      </c>
      <c r="P207" s="163">
        <v>205826.0</v>
      </c>
      <c r="Q207" s="163" t="s">
        <v>788</v>
      </c>
      <c r="R207" s="163"/>
      <c r="S207" s="163"/>
      <c r="T207" s="163"/>
      <c r="U207" s="163"/>
      <c r="V207" s="163" t="s">
        <v>748</v>
      </c>
      <c r="W207" s="163"/>
      <c r="X207" s="163"/>
      <c r="Y207" s="163"/>
      <c r="Z207" s="163"/>
    </row>
    <row r="208" ht="13.5" customHeight="1">
      <c r="A208" s="163" t="s">
        <v>782</v>
      </c>
      <c r="B208" s="163" t="s">
        <v>783</v>
      </c>
      <c r="C208" s="163" t="s">
        <v>1031</v>
      </c>
      <c r="D208" s="163" t="s">
        <v>785</v>
      </c>
      <c r="E208" s="164">
        <v>45545.0</v>
      </c>
      <c r="F208" s="163" t="s">
        <v>172</v>
      </c>
      <c r="G208" s="328">
        <v>-1155.33</v>
      </c>
      <c r="H208" s="328">
        <v>-1155.33</v>
      </c>
      <c r="I208" s="163"/>
      <c r="J208" s="163" t="s">
        <v>786</v>
      </c>
      <c r="K208" s="163"/>
      <c r="L208" s="163"/>
      <c r="M208" s="164">
        <v>45545.0</v>
      </c>
      <c r="N208" s="164">
        <v>45546.0</v>
      </c>
      <c r="O208" s="163" t="s">
        <v>787</v>
      </c>
      <c r="P208" s="163">
        <v>205826.0</v>
      </c>
      <c r="Q208" s="163" t="s">
        <v>788</v>
      </c>
      <c r="R208" s="163"/>
      <c r="S208" s="163"/>
      <c r="T208" s="163"/>
      <c r="U208" s="163"/>
      <c r="V208" s="163" t="s">
        <v>748</v>
      </c>
      <c r="W208" s="163"/>
      <c r="X208" s="163"/>
      <c r="Y208" s="163"/>
      <c r="Z208" s="163"/>
    </row>
    <row r="209" ht="13.5" customHeight="1">
      <c r="A209" s="163" t="s">
        <v>782</v>
      </c>
      <c r="B209" s="163" t="s">
        <v>783</v>
      </c>
      <c r="C209" s="163" t="s">
        <v>1032</v>
      </c>
      <c r="D209" s="163" t="s">
        <v>785</v>
      </c>
      <c r="E209" s="164">
        <v>45545.0</v>
      </c>
      <c r="F209" s="163" t="s">
        <v>172</v>
      </c>
      <c r="G209" s="328">
        <v>-1155.33</v>
      </c>
      <c r="H209" s="328">
        <v>-1155.33</v>
      </c>
      <c r="I209" s="163"/>
      <c r="J209" s="163" t="s">
        <v>786</v>
      </c>
      <c r="K209" s="163"/>
      <c r="L209" s="163"/>
      <c r="M209" s="164">
        <v>45545.0</v>
      </c>
      <c r="N209" s="164">
        <v>45546.0</v>
      </c>
      <c r="O209" s="163" t="s">
        <v>787</v>
      </c>
      <c r="P209" s="163">
        <v>205826.0</v>
      </c>
      <c r="Q209" s="163" t="s">
        <v>788</v>
      </c>
      <c r="R209" s="163"/>
      <c r="S209" s="163"/>
      <c r="T209" s="163"/>
      <c r="U209" s="163"/>
      <c r="V209" s="163" t="s">
        <v>748</v>
      </c>
      <c r="W209" s="163"/>
      <c r="X209" s="163"/>
      <c r="Y209" s="163"/>
      <c r="Z209" s="163"/>
    </row>
    <row r="210" ht="13.5" customHeight="1">
      <c r="A210" s="163" t="s">
        <v>782</v>
      </c>
      <c r="B210" s="163" t="s">
        <v>783</v>
      </c>
      <c r="C210" s="163" t="s">
        <v>1033</v>
      </c>
      <c r="D210" s="163" t="s">
        <v>785</v>
      </c>
      <c r="E210" s="164">
        <v>45545.0</v>
      </c>
      <c r="F210" s="163" t="s">
        <v>172</v>
      </c>
      <c r="G210" s="328">
        <v>-1155.33</v>
      </c>
      <c r="H210" s="328">
        <v>-1155.33</v>
      </c>
      <c r="I210" s="163"/>
      <c r="J210" s="163" t="s">
        <v>786</v>
      </c>
      <c r="K210" s="163"/>
      <c r="L210" s="163"/>
      <c r="M210" s="164">
        <v>45545.0</v>
      </c>
      <c r="N210" s="164">
        <v>45546.0</v>
      </c>
      <c r="O210" s="163" t="s">
        <v>787</v>
      </c>
      <c r="P210" s="163">
        <v>205826.0</v>
      </c>
      <c r="Q210" s="163" t="s">
        <v>788</v>
      </c>
      <c r="R210" s="163"/>
      <c r="S210" s="163"/>
      <c r="T210" s="163"/>
      <c r="U210" s="163"/>
      <c r="V210" s="163" t="s">
        <v>748</v>
      </c>
      <c r="W210" s="163"/>
      <c r="X210" s="163"/>
      <c r="Y210" s="163"/>
      <c r="Z210" s="163"/>
    </row>
    <row r="211" ht="13.5" customHeight="1">
      <c r="A211" s="163" t="s">
        <v>782</v>
      </c>
      <c r="B211" s="163" t="s">
        <v>783</v>
      </c>
      <c r="C211" s="163" t="s">
        <v>1034</v>
      </c>
      <c r="D211" s="163" t="s">
        <v>785</v>
      </c>
      <c r="E211" s="164">
        <v>45545.0</v>
      </c>
      <c r="F211" s="163" t="s">
        <v>172</v>
      </c>
      <c r="G211" s="328">
        <v>-1155.33</v>
      </c>
      <c r="H211" s="328">
        <v>-1155.33</v>
      </c>
      <c r="I211" s="163"/>
      <c r="J211" s="163" t="s">
        <v>786</v>
      </c>
      <c r="K211" s="163"/>
      <c r="L211" s="163"/>
      <c r="M211" s="164">
        <v>45545.0</v>
      </c>
      <c r="N211" s="164">
        <v>45546.0</v>
      </c>
      <c r="O211" s="163" t="s">
        <v>787</v>
      </c>
      <c r="P211" s="163">
        <v>205826.0</v>
      </c>
      <c r="Q211" s="163" t="s">
        <v>788</v>
      </c>
      <c r="R211" s="163"/>
      <c r="S211" s="163"/>
      <c r="T211" s="163"/>
      <c r="U211" s="163"/>
      <c r="V211" s="163" t="s">
        <v>748</v>
      </c>
      <c r="W211" s="163"/>
      <c r="X211" s="163"/>
      <c r="Y211" s="163"/>
      <c r="Z211" s="163"/>
    </row>
    <row r="212" ht="13.5" customHeight="1">
      <c r="A212" s="163" t="s">
        <v>782</v>
      </c>
      <c r="B212" s="163" t="s">
        <v>783</v>
      </c>
      <c r="C212" s="163" t="s">
        <v>1035</v>
      </c>
      <c r="D212" s="163" t="s">
        <v>785</v>
      </c>
      <c r="E212" s="164">
        <v>45545.0</v>
      </c>
      <c r="F212" s="163" t="s">
        <v>172</v>
      </c>
      <c r="G212" s="328">
        <v>-1155.33</v>
      </c>
      <c r="H212" s="328">
        <v>-1155.33</v>
      </c>
      <c r="I212" s="163"/>
      <c r="J212" s="163" t="s">
        <v>786</v>
      </c>
      <c r="K212" s="163"/>
      <c r="L212" s="163"/>
      <c r="M212" s="164">
        <v>45545.0</v>
      </c>
      <c r="N212" s="164">
        <v>45546.0</v>
      </c>
      <c r="O212" s="163" t="s">
        <v>787</v>
      </c>
      <c r="P212" s="163">
        <v>205826.0</v>
      </c>
      <c r="Q212" s="163" t="s">
        <v>788</v>
      </c>
      <c r="R212" s="163"/>
      <c r="S212" s="163"/>
      <c r="T212" s="163"/>
      <c r="U212" s="163"/>
      <c r="V212" s="163" t="s">
        <v>748</v>
      </c>
      <c r="W212" s="163"/>
      <c r="X212" s="163"/>
      <c r="Y212" s="163"/>
      <c r="Z212" s="163"/>
    </row>
    <row r="213" ht="13.5" customHeight="1">
      <c r="A213" s="163" t="s">
        <v>782</v>
      </c>
      <c r="B213" s="163" t="s">
        <v>783</v>
      </c>
      <c r="C213" s="163" t="s">
        <v>1036</v>
      </c>
      <c r="D213" s="163" t="s">
        <v>785</v>
      </c>
      <c r="E213" s="164">
        <v>45545.0</v>
      </c>
      <c r="F213" s="163" t="s">
        <v>172</v>
      </c>
      <c r="G213" s="328">
        <v>-1155.33</v>
      </c>
      <c r="H213" s="328">
        <v>-1155.33</v>
      </c>
      <c r="I213" s="163"/>
      <c r="J213" s="163" t="s">
        <v>786</v>
      </c>
      <c r="K213" s="163"/>
      <c r="L213" s="163"/>
      <c r="M213" s="164">
        <v>45545.0</v>
      </c>
      <c r="N213" s="164">
        <v>45546.0</v>
      </c>
      <c r="O213" s="163" t="s">
        <v>787</v>
      </c>
      <c r="P213" s="163">
        <v>205826.0</v>
      </c>
      <c r="Q213" s="163" t="s">
        <v>788</v>
      </c>
      <c r="R213" s="163"/>
      <c r="S213" s="163"/>
      <c r="T213" s="163"/>
      <c r="U213" s="163"/>
      <c r="V213" s="163" t="s">
        <v>748</v>
      </c>
      <c r="W213" s="163"/>
      <c r="X213" s="163"/>
      <c r="Y213" s="163"/>
      <c r="Z213" s="163"/>
    </row>
    <row r="214" ht="13.5" customHeight="1">
      <c r="A214" s="163" t="s">
        <v>782</v>
      </c>
      <c r="B214" s="163" t="s">
        <v>783</v>
      </c>
      <c r="C214" s="163" t="s">
        <v>1037</v>
      </c>
      <c r="D214" s="163" t="s">
        <v>785</v>
      </c>
      <c r="E214" s="164">
        <v>45545.0</v>
      </c>
      <c r="F214" s="163" t="s">
        <v>172</v>
      </c>
      <c r="G214" s="328">
        <v>-1155.33</v>
      </c>
      <c r="H214" s="328">
        <v>-1155.33</v>
      </c>
      <c r="I214" s="163"/>
      <c r="J214" s="163" t="s">
        <v>786</v>
      </c>
      <c r="K214" s="163"/>
      <c r="L214" s="163"/>
      <c r="M214" s="164">
        <v>45545.0</v>
      </c>
      <c r="N214" s="164">
        <v>45546.0</v>
      </c>
      <c r="O214" s="163" t="s">
        <v>787</v>
      </c>
      <c r="P214" s="163">
        <v>205826.0</v>
      </c>
      <c r="Q214" s="163" t="s">
        <v>788</v>
      </c>
      <c r="R214" s="163"/>
      <c r="S214" s="163"/>
      <c r="T214" s="163"/>
      <c r="U214" s="163"/>
      <c r="V214" s="163" t="s">
        <v>748</v>
      </c>
      <c r="W214" s="163"/>
      <c r="X214" s="163"/>
      <c r="Y214" s="163"/>
      <c r="Z214" s="163"/>
    </row>
    <row r="215" ht="13.5" customHeight="1">
      <c r="A215" s="163" t="s">
        <v>782</v>
      </c>
      <c r="B215" s="163" t="s">
        <v>783</v>
      </c>
      <c r="C215" s="163" t="s">
        <v>1038</v>
      </c>
      <c r="D215" s="163" t="s">
        <v>785</v>
      </c>
      <c r="E215" s="164">
        <v>45545.0</v>
      </c>
      <c r="F215" s="163" t="s">
        <v>172</v>
      </c>
      <c r="G215" s="328">
        <v>-1155.33</v>
      </c>
      <c r="H215" s="328">
        <v>-1155.33</v>
      </c>
      <c r="I215" s="163"/>
      <c r="J215" s="163" t="s">
        <v>786</v>
      </c>
      <c r="K215" s="163"/>
      <c r="L215" s="163"/>
      <c r="M215" s="164">
        <v>45545.0</v>
      </c>
      <c r="N215" s="164">
        <v>45546.0</v>
      </c>
      <c r="O215" s="163" t="s">
        <v>787</v>
      </c>
      <c r="P215" s="163">
        <v>205826.0</v>
      </c>
      <c r="Q215" s="163" t="s">
        <v>788</v>
      </c>
      <c r="R215" s="163"/>
      <c r="S215" s="163"/>
      <c r="T215" s="163"/>
      <c r="U215" s="163"/>
      <c r="V215" s="163" t="s">
        <v>748</v>
      </c>
      <c r="W215" s="163"/>
      <c r="X215" s="163"/>
      <c r="Y215" s="163"/>
      <c r="Z215" s="163"/>
    </row>
    <row r="216" ht="13.5" customHeight="1">
      <c r="A216" s="163" t="s">
        <v>782</v>
      </c>
      <c r="B216" s="163" t="s">
        <v>783</v>
      </c>
      <c r="C216" s="163" t="s">
        <v>1039</v>
      </c>
      <c r="D216" s="163" t="s">
        <v>785</v>
      </c>
      <c r="E216" s="164">
        <v>45545.0</v>
      </c>
      <c r="F216" s="163" t="s">
        <v>172</v>
      </c>
      <c r="G216" s="328">
        <v>-1155.33</v>
      </c>
      <c r="H216" s="328">
        <v>-1155.33</v>
      </c>
      <c r="I216" s="163"/>
      <c r="J216" s="163" t="s">
        <v>786</v>
      </c>
      <c r="K216" s="163"/>
      <c r="L216" s="163"/>
      <c r="M216" s="164">
        <v>45545.0</v>
      </c>
      <c r="N216" s="164">
        <v>45546.0</v>
      </c>
      <c r="O216" s="163" t="s">
        <v>787</v>
      </c>
      <c r="P216" s="163">
        <v>205826.0</v>
      </c>
      <c r="Q216" s="163" t="s">
        <v>788</v>
      </c>
      <c r="R216" s="163"/>
      <c r="S216" s="163"/>
      <c r="T216" s="163"/>
      <c r="U216" s="163"/>
      <c r="V216" s="163" t="s">
        <v>748</v>
      </c>
      <c r="W216" s="163"/>
      <c r="X216" s="163"/>
      <c r="Y216" s="163"/>
      <c r="Z216" s="163"/>
    </row>
    <row r="217" ht="13.5" customHeight="1">
      <c r="A217" s="163" t="s">
        <v>782</v>
      </c>
      <c r="B217" s="163" t="s">
        <v>783</v>
      </c>
      <c r="C217" s="163" t="s">
        <v>1040</v>
      </c>
      <c r="D217" s="163" t="s">
        <v>785</v>
      </c>
      <c r="E217" s="164">
        <v>45545.0</v>
      </c>
      <c r="F217" s="163" t="s">
        <v>172</v>
      </c>
      <c r="G217" s="163">
        <v>-996.06</v>
      </c>
      <c r="H217" s="163">
        <v>-996.06</v>
      </c>
      <c r="I217" s="163"/>
      <c r="J217" s="163" t="s">
        <v>786</v>
      </c>
      <c r="K217" s="163"/>
      <c r="L217" s="163"/>
      <c r="M217" s="164">
        <v>45545.0</v>
      </c>
      <c r="N217" s="164">
        <v>45546.0</v>
      </c>
      <c r="O217" s="163" t="s">
        <v>787</v>
      </c>
      <c r="P217" s="163">
        <v>205826.0</v>
      </c>
      <c r="Q217" s="163" t="s">
        <v>788</v>
      </c>
      <c r="R217" s="163"/>
      <c r="S217" s="163"/>
      <c r="T217" s="163"/>
      <c r="U217" s="163"/>
      <c r="V217" s="163" t="s">
        <v>748</v>
      </c>
      <c r="W217" s="163"/>
      <c r="X217" s="163"/>
      <c r="Y217" s="163"/>
      <c r="Z217" s="163"/>
    </row>
    <row r="218" ht="13.5" customHeight="1">
      <c r="A218" s="163" t="s">
        <v>782</v>
      </c>
      <c r="B218" s="163" t="s">
        <v>783</v>
      </c>
      <c r="C218" s="163" t="s">
        <v>1041</v>
      </c>
      <c r="D218" s="163" t="s">
        <v>785</v>
      </c>
      <c r="E218" s="164">
        <v>45545.0</v>
      </c>
      <c r="F218" s="163" t="s">
        <v>172</v>
      </c>
      <c r="G218" s="163">
        <v>-996.06</v>
      </c>
      <c r="H218" s="163">
        <v>-996.06</v>
      </c>
      <c r="I218" s="163"/>
      <c r="J218" s="163" t="s">
        <v>786</v>
      </c>
      <c r="K218" s="163"/>
      <c r="L218" s="163"/>
      <c r="M218" s="164">
        <v>45545.0</v>
      </c>
      <c r="N218" s="164">
        <v>45546.0</v>
      </c>
      <c r="O218" s="163" t="s">
        <v>787</v>
      </c>
      <c r="P218" s="163">
        <v>205826.0</v>
      </c>
      <c r="Q218" s="163" t="s">
        <v>788</v>
      </c>
      <c r="R218" s="163"/>
      <c r="S218" s="163"/>
      <c r="T218" s="163"/>
      <c r="U218" s="163"/>
      <c r="V218" s="163" t="s">
        <v>748</v>
      </c>
      <c r="W218" s="163"/>
      <c r="X218" s="163"/>
      <c r="Y218" s="163"/>
      <c r="Z218" s="163"/>
    </row>
    <row r="219" ht="13.5" customHeight="1">
      <c r="A219" s="163" t="s">
        <v>782</v>
      </c>
      <c r="B219" s="163" t="s">
        <v>783</v>
      </c>
      <c r="C219" s="163" t="s">
        <v>1042</v>
      </c>
      <c r="D219" s="163" t="s">
        <v>785</v>
      </c>
      <c r="E219" s="164">
        <v>45545.0</v>
      </c>
      <c r="F219" s="163" t="s">
        <v>172</v>
      </c>
      <c r="G219" s="163">
        <v>-996.06</v>
      </c>
      <c r="H219" s="163">
        <v>-996.06</v>
      </c>
      <c r="I219" s="163"/>
      <c r="J219" s="163" t="s">
        <v>786</v>
      </c>
      <c r="K219" s="163"/>
      <c r="L219" s="163"/>
      <c r="M219" s="164">
        <v>45545.0</v>
      </c>
      <c r="N219" s="164">
        <v>45546.0</v>
      </c>
      <c r="O219" s="163" t="s">
        <v>787</v>
      </c>
      <c r="P219" s="163">
        <v>205826.0</v>
      </c>
      <c r="Q219" s="163" t="s">
        <v>788</v>
      </c>
      <c r="R219" s="163"/>
      <c r="S219" s="163"/>
      <c r="T219" s="163"/>
      <c r="U219" s="163"/>
      <c r="V219" s="163" t="s">
        <v>748</v>
      </c>
      <c r="W219" s="163"/>
      <c r="X219" s="163"/>
      <c r="Y219" s="163"/>
      <c r="Z219" s="163"/>
    </row>
    <row r="220" ht="13.5" customHeight="1">
      <c r="A220" s="163" t="s">
        <v>782</v>
      </c>
      <c r="B220" s="163" t="s">
        <v>783</v>
      </c>
      <c r="C220" s="163" t="s">
        <v>1043</v>
      </c>
      <c r="D220" s="163" t="s">
        <v>785</v>
      </c>
      <c r="E220" s="164">
        <v>45545.0</v>
      </c>
      <c r="F220" s="163" t="s">
        <v>172</v>
      </c>
      <c r="G220" s="163">
        <v>-996.06</v>
      </c>
      <c r="H220" s="163">
        <v>-996.06</v>
      </c>
      <c r="I220" s="163"/>
      <c r="J220" s="163" t="s">
        <v>786</v>
      </c>
      <c r="K220" s="163"/>
      <c r="L220" s="163"/>
      <c r="M220" s="164">
        <v>45545.0</v>
      </c>
      <c r="N220" s="164">
        <v>45546.0</v>
      </c>
      <c r="O220" s="163" t="s">
        <v>787</v>
      </c>
      <c r="P220" s="163">
        <v>205826.0</v>
      </c>
      <c r="Q220" s="163" t="s">
        <v>788</v>
      </c>
      <c r="R220" s="163"/>
      <c r="S220" s="163"/>
      <c r="T220" s="163"/>
      <c r="U220" s="163"/>
      <c r="V220" s="163" t="s">
        <v>748</v>
      </c>
      <c r="W220" s="163"/>
      <c r="X220" s="163"/>
      <c r="Y220" s="163"/>
      <c r="Z220" s="163"/>
    </row>
    <row r="221" ht="13.5" customHeight="1">
      <c r="A221" s="163" t="s">
        <v>782</v>
      </c>
      <c r="B221" s="163" t="s">
        <v>783</v>
      </c>
      <c r="C221" s="163" t="s">
        <v>1044</v>
      </c>
      <c r="D221" s="163" t="s">
        <v>785</v>
      </c>
      <c r="E221" s="164">
        <v>45545.0</v>
      </c>
      <c r="F221" s="163" t="s">
        <v>172</v>
      </c>
      <c r="G221" s="163">
        <v>-996.06</v>
      </c>
      <c r="H221" s="163">
        <v>-996.06</v>
      </c>
      <c r="I221" s="163"/>
      <c r="J221" s="163" t="s">
        <v>786</v>
      </c>
      <c r="K221" s="163"/>
      <c r="L221" s="163"/>
      <c r="M221" s="164">
        <v>45545.0</v>
      </c>
      <c r="N221" s="164">
        <v>45546.0</v>
      </c>
      <c r="O221" s="163" t="s">
        <v>787</v>
      </c>
      <c r="P221" s="163">
        <v>205826.0</v>
      </c>
      <c r="Q221" s="163" t="s">
        <v>788</v>
      </c>
      <c r="R221" s="163"/>
      <c r="S221" s="163"/>
      <c r="T221" s="163"/>
      <c r="U221" s="163"/>
      <c r="V221" s="163" t="s">
        <v>748</v>
      </c>
      <c r="W221" s="163"/>
      <c r="X221" s="163"/>
      <c r="Y221" s="163"/>
      <c r="Z221" s="163"/>
    </row>
    <row r="222" ht="13.5" customHeight="1">
      <c r="A222" s="163" t="s">
        <v>782</v>
      </c>
      <c r="B222" s="163" t="s">
        <v>783</v>
      </c>
      <c r="C222" s="163" t="s">
        <v>1045</v>
      </c>
      <c r="D222" s="163" t="s">
        <v>785</v>
      </c>
      <c r="E222" s="164">
        <v>45545.0</v>
      </c>
      <c r="F222" s="163" t="s">
        <v>172</v>
      </c>
      <c r="G222" s="163">
        <v>-996.06</v>
      </c>
      <c r="H222" s="163">
        <v>-996.06</v>
      </c>
      <c r="I222" s="163"/>
      <c r="J222" s="163" t="s">
        <v>786</v>
      </c>
      <c r="K222" s="163"/>
      <c r="L222" s="163"/>
      <c r="M222" s="164">
        <v>45545.0</v>
      </c>
      <c r="N222" s="164">
        <v>45546.0</v>
      </c>
      <c r="O222" s="163" t="s">
        <v>787</v>
      </c>
      <c r="P222" s="163">
        <v>205826.0</v>
      </c>
      <c r="Q222" s="163" t="s">
        <v>788</v>
      </c>
      <c r="R222" s="163"/>
      <c r="S222" s="163"/>
      <c r="T222" s="163"/>
      <c r="U222" s="163"/>
      <c r="V222" s="163" t="s">
        <v>748</v>
      </c>
      <c r="W222" s="163"/>
      <c r="X222" s="163"/>
      <c r="Y222" s="163"/>
      <c r="Z222" s="163"/>
    </row>
    <row r="223" ht="13.5" customHeight="1">
      <c r="A223" s="163" t="s">
        <v>782</v>
      </c>
      <c r="B223" s="163" t="s">
        <v>783</v>
      </c>
      <c r="C223" s="163" t="s">
        <v>1046</v>
      </c>
      <c r="D223" s="163" t="s">
        <v>785</v>
      </c>
      <c r="E223" s="164">
        <v>45545.0</v>
      </c>
      <c r="F223" s="163" t="s">
        <v>172</v>
      </c>
      <c r="G223" s="163">
        <v>-996.06</v>
      </c>
      <c r="H223" s="163">
        <v>-996.06</v>
      </c>
      <c r="I223" s="163"/>
      <c r="J223" s="163" t="s">
        <v>786</v>
      </c>
      <c r="K223" s="163"/>
      <c r="L223" s="163"/>
      <c r="M223" s="164">
        <v>45545.0</v>
      </c>
      <c r="N223" s="164">
        <v>45546.0</v>
      </c>
      <c r="O223" s="163" t="s">
        <v>787</v>
      </c>
      <c r="P223" s="163">
        <v>205826.0</v>
      </c>
      <c r="Q223" s="163" t="s">
        <v>788</v>
      </c>
      <c r="R223" s="163"/>
      <c r="S223" s="163"/>
      <c r="T223" s="163"/>
      <c r="U223" s="163"/>
      <c r="V223" s="163" t="s">
        <v>748</v>
      </c>
      <c r="W223" s="163"/>
      <c r="X223" s="163"/>
      <c r="Y223" s="163"/>
      <c r="Z223" s="163"/>
    </row>
    <row r="224" ht="13.5" customHeight="1">
      <c r="A224" s="163" t="s">
        <v>782</v>
      </c>
      <c r="B224" s="163" t="s">
        <v>783</v>
      </c>
      <c r="C224" s="163" t="s">
        <v>1047</v>
      </c>
      <c r="D224" s="163" t="s">
        <v>785</v>
      </c>
      <c r="E224" s="164">
        <v>45545.0</v>
      </c>
      <c r="F224" s="163" t="s">
        <v>172</v>
      </c>
      <c r="G224" s="163">
        <v>-996.06</v>
      </c>
      <c r="H224" s="163">
        <v>-996.06</v>
      </c>
      <c r="I224" s="163"/>
      <c r="J224" s="163" t="s">
        <v>786</v>
      </c>
      <c r="K224" s="163"/>
      <c r="L224" s="163"/>
      <c r="M224" s="164">
        <v>45545.0</v>
      </c>
      <c r="N224" s="164">
        <v>45546.0</v>
      </c>
      <c r="O224" s="163" t="s">
        <v>787</v>
      </c>
      <c r="P224" s="163">
        <v>205826.0</v>
      </c>
      <c r="Q224" s="163" t="s">
        <v>788</v>
      </c>
      <c r="R224" s="163"/>
      <c r="S224" s="163"/>
      <c r="T224" s="163"/>
      <c r="U224" s="163"/>
      <c r="V224" s="163" t="s">
        <v>748</v>
      </c>
      <c r="W224" s="163"/>
      <c r="X224" s="163"/>
      <c r="Y224" s="163"/>
      <c r="Z224" s="163"/>
    </row>
    <row r="225" ht="13.5" customHeight="1">
      <c r="A225" s="163" t="s">
        <v>782</v>
      </c>
      <c r="B225" s="163" t="s">
        <v>783</v>
      </c>
      <c r="C225" s="163" t="s">
        <v>1048</v>
      </c>
      <c r="D225" s="163" t="s">
        <v>785</v>
      </c>
      <c r="E225" s="164">
        <v>45545.0</v>
      </c>
      <c r="F225" s="163" t="s">
        <v>172</v>
      </c>
      <c r="G225" s="163">
        <v>-996.06</v>
      </c>
      <c r="H225" s="163">
        <v>-996.06</v>
      </c>
      <c r="I225" s="163"/>
      <c r="J225" s="163" t="s">
        <v>786</v>
      </c>
      <c r="K225" s="163"/>
      <c r="L225" s="163"/>
      <c r="M225" s="164">
        <v>45545.0</v>
      </c>
      <c r="N225" s="164">
        <v>45546.0</v>
      </c>
      <c r="O225" s="163" t="s">
        <v>787</v>
      </c>
      <c r="P225" s="163">
        <v>205826.0</v>
      </c>
      <c r="Q225" s="163" t="s">
        <v>788</v>
      </c>
      <c r="R225" s="163"/>
      <c r="S225" s="163"/>
      <c r="T225" s="163"/>
      <c r="U225" s="163"/>
      <c r="V225" s="163" t="s">
        <v>748</v>
      </c>
      <c r="W225" s="163"/>
      <c r="X225" s="163"/>
      <c r="Y225" s="163"/>
      <c r="Z225" s="163"/>
    </row>
    <row r="226" ht="13.5" customHeight="1">
      <c r="A226" s="163" t="s">
        <v>782</v>
      </c>
      <c r="B226" s="163" t="s">
        <v>783</v>
      </c>
      <c r="C226" s="163" t="s">
        <v>1049</v>
      </c>
      <c r="D226" s="163" t="s">
        <v>785</v>
      </c>
      <c r="E226" s="164">
        <v>45545.0</v>
      </c>
      <c r="F226" s="163" t="s">
        <v>172</v>
      </c>
      <c r="G226" s="163">
        <v>-996.06</v>
      </c>
      <c r="H226" s="163">
        <v>-996.06</v>
      </c>
      <c r="I226" s="163"/>
      <c r="J226" s="163" t="s">
        <v>786</v>
      </c>
      <c r="K226" s="163"/>
      <c r="L226" s="163"/>
      <c r="M226" s="164">
        <v>45545.0</v>
      </c>
      <c r="N226" s="164">
        <v>45546.0</v>
      </c>
      <c r="O226" s="163" t="s">
        <v>787</v>
      </c>
      <c r="P226" s="163">
        <v>205826.0</v>
      </c>
      <c r="Q226" s="163" t="s">
        <v>788</v>
      </c>
      <c r="R226" s="163"/>
      <c r="S226" s="163"/>
      <c r="T226" s="163"/>
      <c r="U226" s="163"/>
      <c r="V226" s="163" t="s">
        <v>748</v>
      </c>
      <c r="W226" s="163"/>
      <c r="X226" s="163"/>
      <c r="Y226" s="163"/>
      <c r="Z226" s="163"/>
    </row>
    <row r="227" ht="13.5" customHeight="1">
      <c r="A227" s="163" t="s">
        <v>782</v>
      </c>
      <c r="B227" s="163" t="s">
        <v>783</v>
      </c>
      <c r="C227" s="163" t="s">
        <v>1050</v>
      </c>
      <c r="D227" s="163" t="s">
        <v>785</v>
      </c>
      <c r="E227" s="164">
        <v>45545.0</v>
      </c>
      <c r="F227" s="163" t="s">
        <v>172</v>
      </c>
      <c r="G227" s="163">
        <v>-996.06</v>
      </c>
      <c r="H227" s="163">
        <v>-996.06</v>
      </c>
      <c r="I227" s="163"/>
      <c r="J227" s="163" t="s">
        <v>786</v>
      </c>
      <c r="K227" s="163"/>
      <c r="L227" s="163"/>
      <c r="M227" s="164">
        <v>45545.0</v>
      </c>
      <c r="N227" s="164">
        <v>45546.0</v>
      </c>
      <c r="O227" s="163" t="s">
        <v>787</v>
      </c>
      <c r="P227" s="163">
        <v>205826.0</v>
      </c>
      <c r="Q227" s="163" t="s">
        <v>788</v>
      </c>
      <c r="R227" s="163"/>
      <c r="S227" s="163"/>
      <c r="T227" s="163"/>
      <c r="U227" s="163"/>
      <c r="V227" s="163" t="s">
        <v>748</v>
      </c>
      <c r="W227" s="163"/>
      <c r="X227" s="163"/>
      <c r="Y227" s="163"/>
      <c r="Z227" s="163"/>
    </row>
    <row r="228" ht="13.5" customHeight="1">
      <c r="A228" s="163" t="s">
        <v>782</v>
      </c>
      <c r="B228" s="163" t="s">
        <v>783</v>
      </c>
      <c r="C228" s="163" t="s">
        <v>1051</v>
      </c>
      <c r="D228" s="163" t="s">
        <v>785</v>
      </c>
      <c r="E228" s="164">
        <v>45545.0</v>
      </c>
      <c r="F228" s="163" t="s">
        <v>172</v>
      </c>
      <c r="G228" s="163">
        <v>-996.06</v>
      </c>
      <c r="H228" s="163">
        <v>-996.06</v>
      </c>
      <c r="I228" s="163"/>
      <c r="J228" s="163" t="s">
        <v>786</v>
      </c>
      <c r="K228" s="163"/>
      <c r="L228" s="163"/>
      <c r="M228" s="164">
        <v>45545.0</v>
      </c>
      <c r="N228" s="164">
        <v>45546.0</v>
      </c>
      <c r="O228" s="163" t="s">
        <v>787</v>
      </c>
      <c r="P228" s="163">
        <v>205826.0</v>
      </c>
      <c r="Q228" s="163" t="s">
        <v>788</v>
      </c>
      <c r="R228" s="163"/>
      <c r="S228" s="163"/>
      <c r="T228" s="163"/>
      <c r="U228" s="163"/>
      <c r="V228" s="163" t="s">
        <v>748</v>
      </c>
      <c r="W228" s="163"/>
      <c r="X228" s="163"/>
      <c r="Y228" s="163"/>
      <c r="Z228" s="163"/>
    </row>
    <row r="229" ht="13.5" customHeight="1">
      <c r="A229" s="163" t="s">
        <v>782</v>
      </c>
      <c r="B229" s="163" t="s">
        <v>783</v>
      </c>
      <c r="C229" s="163" t="s">
        <v>1052</v>
      </c>
      <c r="D229" s="163" t="s">
        <v>785</v>
      </c>
      <c r="E229" s="164">
        <v>45545.0</v>
      </c>
      <c r="F229" s="163" t="s">
        <v>172</v>
      </c>
      <c r="G229" s="163">
        <v>-996.06</v>
      </c>
      <c r="H229" s="163">
        <v>-996.06</v>
      </c>
      <c r="I229" s="163"/>
      <c r="J229" s="163" t="s">
        <v>786</v>
      </c>
      <c r="K229" s="163"/>
      <c r="L229" s="163"/>
      <c r="M229" s="164">
        <v>45545.0</v>
      </c>
      <c r="N229" s="164">
        <v>45546.0</v>
      </c>
      <c r="O229" s="163" t="s">
        <v>787</v>
      </c>
      <c r="P229" s="163">
        <v>205826.0</v>
      </c>
      <c r="Q229" s="163" t="s">
        <v>788</v>
      </c>
      <c r="R229" s="163"/>
      <c r="S229" s="163"/>
      <c r="T229" s="163"/>
      <c r="U229" s="163"/>
      <c r="V229" s="163" t="s">
        <v>748</v>
      </c>
      <c r="W229" s="163"/>
      <c r="X229" s="163"/>
      <c r="Y229" s="163"/>
      <c r="Z229" s="163"/>
    </row>
    <row r="230" ht="13.5" customHeight="1">
      <c r="A230" s="163" t="s">
        <v>782</v>
      </c>
      <c r="B230" s="163" t="s">
        <v>783</v>
      </c>
      <c r="C230" s="163" t="s">
        <v>1053</v>
      </c>
      <c r="D230" s="163" t="s">
        <v>785</v>
      </c>
      <c r="E230" s="164">
        <v>45545.0</v>
      </c>
      <c r="F230" s="163" t="s">
        <v>172</v>
      </c>
      <c r="G230" s="163">
        <v>-996.06</v>
      </c>
      <c r="H230" s="163">
        <v>-996.06</v>
      </c>
      <c r="I230" s="163"/>
      <c r="J230" s="163" t="s">
        <v>786</v>
      </c>
      <c r="K230" s="163"/>
      <c r="L230" s="163"/>
      <c r="M230" s="164">
        <v>45545.0</v>
      </c>
      <c r="N230" s="164">
        <v>45546.0</v>
      </c>
      <c r="O230" s="163" t="s">
        <v>787</v>
      </c>
      <c r="P230" s="163">
        <v>205826.0</v>
      </c>
      <c r="Q230" s="163" t="s">
        <v>788</v>
      </c>
      <c r="R230" s="163"/>
      <c r="S230" s="163"/>
      <c r="T230" s="163"/>
      <c r="U230" s="163"/>
      <c r="V230" s="163" t="s">
        <v>748</v>
      </c>
      <c r="W230" s="163"/>
      <c r="X230" s="163"/>
      <c r="Y230" s="163"/>
      <c r="Z230" s="163"/>
    </row>
    <row r="231" ht="13.5" customHeight="1">
      <c r="A231" s="163" t="s">
        <v>782</v>
      </c>
      <c r="B231" s="163" t="s">
        <v>783</v>
      </c>
      <c r="C231" s="163" t="s">
        <v>1054</v>
      </c>
      <c r="D231" s="163" t="s">
        <v>785</v>
      </c>
      <c r="E231" s="164">
        <v>45545.0</v>
      </c>
      <c r="F231" s="163" t="s">
        <v>172</v>
      </c>
      <c r="G231" s="163">
        <v>-996.06</v>
      </c>
      <c r="H231" s="163">
        <v>-996.06</v>
      </c>
      <c r="I231" s="163"/>
      <c r="J231" s="163" t="s">
        <v>786</v>
      </c>
      <c r="K231" s="163"/>
      <c r="L231" s="163"/>
      <c r="M231" s="164">
        <v>45545.0</v>
      </c>
      <c r="N231" s="164">
        <v>45546.0</v>
      </c>
      <c r="O231" s="163" t="s">
        <v>787</v>
      </c>
      <c r="P231" s="163">
        <v>205826.0</v>
      </c>
      <c r="Q231" s="163" t="s">
        <v>788</v>
      </c>
      <c r="R231" s="163"/>
      <c r="S231" s="163"/>
      <c r="T231" s="163"/>
      <c r="U231" s="163"/>
      <c r="V231" s="163" t="s">
        <v>748</v>
      </c>
      <c r="W231" s="163"/>
      <c r="X231" s="163"/>
      <c r="Y231" s="163"/>
      <c r="Z231" s="163"/>
    </row>
    <row r="232" ht="13.5" customHeight="1">
      <c r="A232" s="163" t="s">
        <v>782</v>
      </c>
      <c r="B232" s="163" t="s">
        <v>783</v>
      </c>
      <c r="C232" s="163" t="s">
        <v>1055</v>
      </c>
      <c r="D232" s="163" t="s">
        <v>785</v>
      </c>
      <c r="E232" s="164">
        <v>45545.0</v>
      </c>
      <c r="F232" s="163" t="s">
        <v>172</v>
      </c>
      <c r="G232" s="163">
        <v>-996.06</v>
      </c>
      <c r="H232" s="163">
        <v>-996.06</v>
      </c>
      <c r="I232" s="163"/>
      <c r="J232" s="163" t="s">
        <v>786</v>
      </c>
      <c r="K232" s="163"/>
      <c r="L232" s="163"/>
      <c r="M232" s="164">
        <v>45545.0</v>
      </c>
      <c r="N232" s="164">
        <v>45546.0</v>
      </c>
      <c r="O232" s="163" t="s">
        <v>787</v>
      </c>
      <c r="P232" s="163">
        <v>205826.0</v>
      </c>
      <c r="Q232" s="163" t="s">
        <v>788</v>
      </c>
      <c r="R232" s="163"/>
      <c r="S232" s="163"/>
      <c r="T232" s="163"/>
      <c r="U232" s="163"/>
      <c r="V232" s="163" t="s">
        <v>748</v>
      </c>
      <c r="W232" s="163"/>
      <c r="X232" s="163"/>
      <c r="Y232" s="163"/>
      <c r="Z232" s="163"/>
    </row>
    <row r="233" ht="13.5" customHeight="1">
      <c r="A233" s="163" t="s">
        <v>782</v>
      </c>
      <c r="B233" s="163" t="s">
        <v>783</v>
      </c>
      <c r="C233" s="163" t="s">
        <v>1056</v>
      </c>
      <c r="D233" s="163" t="s">
        <v>785</v>
      </c>
      <c r="E233" s="164">
        <v>45545.0</v>
      </c>
      <c r="F233" s="163" t="s">
        <v>172</v>
      </c>
      <c r="G233" s="163">
        <v>-996.06</v>
      </c>
      <c r="H233" s="163">
        <v>-996.06</v>
      </c>
      <c r="I233" s="163"/>
      <c r="J233" s="163" t="s">
        <v>786</v>
      </c>
      <c r="K233" s="163"/>
      <c r="L233" s="163"/>
      <c r="M233" s="164">
        <v>45545.0</v>
      </c>
      <c r="N233" s="164">
        <v>45546.0</v>
      </c>
      <c r="O233" s="163" t="s">
        <v>787</v>
      </c>
      <c r="P233" s="163">
        <v>205826.0</v>
      </c>
      <c r="Q233" s="163" t="s">
        <v>788</v>
      </c>
      <c r="R233" s="163"/>
      <c r="S233" s="163"/>
      <c r="T233" s="163"/>
      <c r="U233" s="163"/>
      <c r="V233" s="163" t="s">
        <v>748</v>
      </c>
      <c r="W233" s="163"/>
      <c r="X233" s="163"/>
      <c r="Y233" s="163"/>
      <c r="Z233" s="163"/>
    </row>
    <row r="234" ht="13.5" customHeight="1">
      <c r="A234" s="163" t="s">
        <v>782</v>
      </c>
      <c r="B234" s="163" t="s">
        <v>783</v>
      </c>
      <c r="C234" s="163" t="s">
        <v>1057</v>
      </c>
      <c r="D234" s="163" t="s">
        <v>785</v>
      </c>
      <c r="E234" s="164">
        <v>45545.0</v>
      </c>
      <c r="F234" s="163" t="s">
        <v>172</v>
      </c>
      <c r="G234" s="163">
        <v>-996.06</v>
      </c>
      <c r="H234" s="163">
        <v>-996.06</v>
      </c>
      <c r="I234" s="163"/>
      <c r="J234" s="163" t="s">
        <v>786</v>
      </c>
      <c r="K234" s="163"/>
      <c r="L234" s="163"/>
      <c r="M234" s="164">
        <v>45545.0</v>
      </c>
      <c r="N234" s="164">
        <v>45546.0</v>
      </c>
      <c r="O234" s="163" t="s">
        <v>787</v>
      </c>
      <c r="P234" s="163">
        <v>205826.0</v>
      </c>
      <c r="Q234" s="163" t="s">
        <v>788</v>
      </c>
      <c r="R234" s="163"/>
      <c r="S234" s="163"/>
      <c r="T234" s="163"/>
      <c r="U234" s="163"/>
      <c r="V234" s="163" t="s">
        <v>748</v>
      </c>
      <c r="W234" s="163"/>
      <c r="X234" s="163"/>
      <c r="Y234" s="163"/>
      <c r="Z234" s="163"/>
    </row>
    <row r="235" ht="13.5" customHeight="1">
      <c r="A235" s="163" t="s">
        <v>782</v>
      </c>
      <c r="B235" s="163" t="s">
        <v>783</v>
      </c>
      <c r="C235" s="163" t="s">
        <v>1058</v>
      </c>
      <c r="D235" s="163" t="s">
        <v>785</v>
      </c>
      <c r="E235" s="164">
        <v>45545.0</v>
      </c>
      <c r="F235" s="163" t="s">
        <v>172</v>
      </c>
      <c r="G235" s="163">
        <v>-996.06</v>
      </c>
      <c r="H235" s="163">
        <v>-996.06</v>
      </c>
      <c r="I235" s="163"/>
      <c r="J235" s="163" t="s">
        <v>786</v>
      </c>
      <c r="K235" s="163"/>
      <c r="L235" s="163"/>
      <c r="M235" s="164">
        <v>45545.0</v>
      </c>
      <c r="N235" s="164">
        <v>45546.0</v>
      </c>
      <c r="O235" s="163" t="s">
        <v>787</v>
      </c>
      <c r="P235" s="163">
        <v>205826.0</v>
      </c>
      <c r="Q235" s="163" t="s">
        <v>788</v>
      </c>
      <c r="R235" s="163"/>
      <c r="S235" s="163"/>
      <c r="T235" s="163"/>
      <c r="U235" s="163"/>
      <c r="V235" s="163" t="s">
        <v>748</v>
      </c>
      <c r="W235" s="163"/>
      <c r="X235" s="163"/>
      <c r="Y235" s="163"/>
      <c r="Z235" s="163"/>
    </row>
    <row r="236" ht="13.5" customHeight="1">
      <c r="A236" s="163" t="s">
        <v>782</v>
      </c>
      <c r="B236" s="163" t="s">
        <v>783</v>
      </c>
      <c r="C236" s="163" t="s">
        <v>1059</v>
      </c>
      <c r="D236" s="163" t="s">
        <v>785</v>
      </c>
      <c r="E236" s="164">
        <v>45545.0</v>
      </c>
      <c r="F236" s="163" t="s">
        <v>172</v>
      </c>
      <c r="G236" s="163">
        <v>-996.06</v>
      </c>
      <c r="H236" s="163">
        <v>-996.06</v>
      </c>
      <c r="I236" s="163"/>
      <c r="J236" s="163" t="s">
        <v>786</v>
      </c>
      <c r="K236" s="163"/>
      <c r="L236" s="163"/>
      <c r="M236" s="164">
        <v>45545.0</v>
      </c>
      <c r="N236" s="164">
        <v>45546.0</v>
      </c>
      <c r="O236" s="163" t="s">
        <v>787</v>
      </c>
      <c r="P236" s="163">
        <v>205826.0</v>
      </c>
      <c r="Q236" s="163" t="s">
        <v>788</v>
      </c>
      <c r="R236" s="163"/>
      <c r="S236" s="163"/>
      <c r="T236" s="163"/>
      <c r="U236" s="163"/>
      <c r="V236" s="163" t="s">
        <v>748</v>
      </c>
      <c r="W236" s="163"/>
      <c r="X236" s="163"/>
      <c r="Y236" s="163"/>
      <c r="Z236" s="163"/>
    </row>
    <row r="237" ht="13.5" customHeight="1">
      <c r="A237" s="163" t="s">
        <v>782</v>
      </c>
      <c r="B237" s="163" t="s">
        <v>783</v>
      </c>
      <c r="C237" s="163" t="s">
        <v>1060</v>
      </c>
      <c r="D237" s="163" t="s">
        <v>785</v>
      </c>
      <c r="E237" s="164">
        <v>45545.0</v>
      </c>
      <c r="F237" s="163" t="s">
        <v>172</v>
      </c>
      <c r="G237" s="163">
        <v>-996.06</v>
      </c>
      <c r="H237" s="163">
        <v>-996.06</v>
      </c>
      <c r="I237" s="163"/>
      <c r="J237" s="163" t="s">
        <v>786</v>
      </c>
      <c r="K237" s="163"/>
      <c r="L237" s="163"/>
      <c r="M237" s="164">
        <v>45545.0</v>
      </c>
      <c r="N237" s="164">
        <v>45546.0</v>
      </c>
      <c r="O237" s="163" t="s">
        <v>787</v>
      </c>
      <c r="P237" s="163">
        <v>205826.0</v>
      </c>
      <c r="Q237" s="163" t="s">
        <v>788</v>
      </c>
      <c r="R237" s="163"/>
      <c r="S237" s="163"/>
      <c r="T237" s="163"/>
      <c r="U237" s="163"/>
      <c r="V237" s="163" t="s">
        <v>748</v>
      </c>
      <c r="W237" s="163"/>
      <c r="X237" s="163"/>
      <c r="Y237" s="163"/>
      <c r="Z237" s="163"/>
    </row>
    <row r="238" ht="13.5" customHeight="1">
      <c r="A238" s="163" t="s">
        <v>782</v>
      </c>
      <c r="B238" s="163" t="s">
        <v>783</v>
      </c>
      <c r="C238" s="163" t="s">
        <v>1061</v>
      </c>
      <c r="D238" s="163" t="s">
        <v>785</v>
      </c>
      <c r="E238" s="164">
        <v>45545.0</v>
      </c>
      <c r="F238" s="163" t="s">
        <v>172</v>
      </c>
      <c r="G238" s="163">
        <v>-996.06</v>
      </c>
      <c r="H238" s="163">
        <v>-996.06</v>
      </c>
      <c r="I238" s="163"/>
      <c r="J238" s="163" t="s">
        <v>786</v>
      </c>
      <c r="K238" s="163"/>
      <c r="L238" s="163"/>
      <c r="M238" s="164">
        <v>45545.0</v>
      </c>
      <c r="N238" s="164">
        <v>45546.0</v>
      </c>
      <c r="O238" s="163" t="s">
        <v>787</v>
      </c>
      <c r="P238" s="163">
        <v>205826.0</v>
      </c>
      <c r="Q238" s="163" t="s">
        <v>788</v>
      </c>
      <c r="R238" s="163"/>
      <c r="S238" s="163"/>
      <c r="T238" s="163"/>
      <c r="U238" s="163"/>
      <c r="V238" s="163" t="s">
        <v>748</v>
      </c>
      <c r="W238" s="163"/>
      <c r="X238" s="163"/>
      <c r="Y238" s="163"/>
      <c r="Z238" s="163"/>
    </row>
    <row r="239" ht="13.5" customHeight="1">
      <c r="A239" s="163" t="s">
        <v>782</v>
      </c>
      <c r="B239" s="163" t="s">
        <v>783</v>
      </c>
      <c r="C239" s="163" t="s">
        <v>1062</v>
      </c>
      <c r="D239" s="163" t="s">
        <v>785</v>
      </c>
      <c r="E239" s="164">
        <v>45545.0</v>
      </c>
      <c r="F239" s="163" t="s">
        <v>172</v>
      </c>
      <c r="G239" s="163">
        <v>-996.06</v>
      </c>
      <c r="H239" s="163">
        <v>-996.06</v>
      </c>
      <c r="I239" s="163"/>
      <c r="J239" s="163" t="s">
        <v>786</v>
      </c>
      <c r="K239" s="163"/>
      <c r="L239" s="163"/>
      <c r="M239" s="164">
        <v>45545.0</v>
      </c>
      <c r="N239" s="164">
        <v>45546.0</v>
      </c>
      <c r="O239" s="163" t="s">
        <v>787</v>
      </c>
      <c r="P239" s="163">
        <v>205826.0</v>
      </c>
      <c r="Q239" s="163" t="s">
        <v>788</v>
      </c>
      <c r="R239" s="163"/>
      <c r="S239" s="163"/>
      <c r="T239" s="163"/>
      <c r="U239" s="163"/>
      <c r="V239" s="163" t="s">
        <v>748</v>
      </c>
      <c r="W239" s="163"/>
      <c r="X239" s="163"/>
      <c r="Y239" s="163"/>
      <c r="Z239" s="163"/>
    </row>
    <row r="240" ht="13.5" customHeight="1">
      <c r="A240" s="163" t="s">
        <v>782</v>
      </c>
      <c r="B240" s="163" t="s">
        <v>783</v>
      </c>
      <c r="C240" s="163" t="s">
        <v>1063</v>
      </c>
      <c r="D240" s="163" t="s">
        <v>785</v>
      </c>
      <c r="E240" s="164">
        <v>45545.0</v>
      </c>
      <c r="F240" s="163" t="s">
        <v>172</v>
      </c>
      <c r="G240" s="163">
        <v>-996.06</v>
      </c>
      <c r="H240" s="163">
        <v>-996.06</v>
      </c>
      <c r="I240" s="163"/>
      <c r="J240" s="163" t="s">
        <v>786</v>
      </c>
      <c r="K240" s="163"/>
      <c r="L240" s="163"/>
      <c r="M240" s="164">
        <v>45545.0</v>
      </c>
      <c r="N240" s="164">
        <v>45546.0</v>
      </c>
      <c r="O240" s="163" t="s">
        <v>787</v>
      </c>
      <c r="P240" s="163">
        <v>205826.0</v>
      </c>
      <c r="Q240" s="163" t="s">
        <v>788</v>
      </c>
      <c r="R240" s="163"/>
      <c r="S240" s="163"/>
      <c r="T240" s="163"/>
      <c r="U240" s="163"/>
      <c r="V240" s="163" t="s">
        <v>748</v>
      </c>
      <c r="W240" s="163"/>
      <c r="X240" s="163"/>
      <c r="Y240" s="163"/>
      <c r="Z240" s="163"/>
    </row>
    <row r="241" ht="13.5" customHeight="1">
      <c r="A241" s="163" t="s">
        <v>782</v>
      </c>
      <c r="B241" s="163" t="s">
        <v>783</v>
      </c>
      <c r="C241" s="163" t="s">
        <v>1064</v>
      </c>
      <c r="D241" s="163" t="s">
        <v>785</v>
      </c>
      <c r="E241" s="164">
        <v>45545.0</v>
      </c>
      <c r="F241" s="163" t="s">
        <v>172</v>
      </c>
      <c r="G241" s="163">
        <v>-996.06</v>
      </c>
      <c r="H241" s="163">
        <v>-996.06</v>
      </c>
      <c r="I241" s="163"/>
      <c r="J241" s="163" t="s">
        <v>786</v>
      </c>
      <c r="K241" s="163"/>
      <c r="L241" s="163"/>
      <c r="M241" s="164">
        <v>45545.0</v>
      </c>
      <c r="N241" s="164">
        <v>45546.0</v>
      </c>
      <c r="O241" s="163" t="s">
        <v>787</v>
      </c>
      <c r="P241" s="163">
        <v>205826.0</v>
      </c>
      <c r="Q241" s="163" t="s">
        <v>788</v>
      </c>
      <c r="R241" s="163"/>
      <c r="S241" s="163"/>
      <c r="T241" s="163"/>
      <c r="U241" s="163"/>
      <c r="V241" s="163" t="s">
        <v>748</v>
      </c>
      <c r="W241" s="163"/>
      <c r="X241" s="163"/>
      <c r="Y241" s="163"/>
      <c r="Z241" s="163"/>
    </row>
    <row r="242" ht="13.5" customHeight="1">
      <c r="A242" s="163" t="s">
        <v>782</v>
      </c>
      <c r="B242" s="163" t="s">
        <v>783</v>
      </c>
      <c r="C242" s="163" t="s">
        <v>1065</v>
      </c>
      <c r="D242" s="163" t="s">
        <v>785</v>
      </c>
      <c r="E242" s="164">
        <v>45545.0</v>
      </c>
      <c r="F242" s="163" t="s">
        <v>172</v>
      </c>
      <c r="G242" s="163">
        <v>-996.06</v>
      </c>
      <c r="H242" s="163">
        <v>-996.06</v>
      </c>
      <c r="I242" s="163"/>
      <c r="J242" s="163" t="s">
        <v>786</v>
      </c>
      <c r="K242" s="163"/>
      <c r="L242" s="163"/>
      <c r="M242" s="164">
        <v>45545.0</v>
      </c>
      <c r="N242" s="164">
        <v>45546.0</v>
      </c>
      <c r="O242" s="163" t="s">
        <v>787</v>
      </c>
      <c r="P242" s="163">
        <v>205826.0</v>
      </c>
      <c r="Q242" s="163" t="s">
        <v>788</v>
      </c>
      <c r="R242" s="163"/>
      <c r="S242" s="163"/>
      <c r="T242" s="163"/>
      <c r="U242" s="163"/>
      <c r="V242" s="163" t="s">
        <v>748</v>
      </c>
      <c r="W242" s="163"/>
      <c r="X242" s="163"/>
      <c r="Y242" s="163"/>
      <c r="Z242" s="163"/>
    </row>
    <row r="243" ht="13.5" customHeight="1">
      <c r="A243" s="163" t="s">
        <v>782</v>
      </c>
      <c r="B243" s="163" t="s">
        <v>783</v>
      </c>
      <c r="C243" s="163" t="s">
        <v>1066</v>
      </c>
      <c r="D243" s="163" t="s">
        <v>785</v>
      </c>
      <c r="E243" s="164">
        <v>45545.0</v>
      </c>
      <c r="F243" s="163" t="s">
        <v>172</v>
      </c>
      <c r="G243" s="163">
        <v>-996.06</v>
      </c>
      <c r="H243" s="163">
        <v>-996.06</v>
      </c>
      <c r="I243" s="163"/>
      <c r="J243" s="163" t="s">
        <v>786</v>
      </c>
      <c r="K243" s="163"/>
      <c r="L243" s="163"/>
      <c r="M243" s="164">
        <v>45545.0</v>
      </c>
      <c r="N243" s="164">
        <v>45546.0</v>
      </c>
      <c r="O243" s="163" t="s">
        <v>787</v>
      </c>
      <c r="P243" s="163">
        <v>205826.0</v>
      </c>
      <c r="Q243" s="163" t="s">
        <v>788</v>
      </c>
      <c r="R243" s="163"/>
      <c r="S243" s="163"/>
      <c r="T243" s="163"/>
      <c r="U243" s="163"/>
      <c r="V243" s="163" t="s">
        <v>748</v>
      </c>
      <c r="W243" s="163"/>
      <c r="X243" s="163"/>
      <c r="Y243" s="163"/>
      <c r="Z243" s="163"/>
    </row>
    <row r="244" ht="13.5" customHeight="1">
      <c r="A244" s="163" t="s">
        <v>782</v>
      </c>
      <c r="B244" s="163" t="s">
        <v>783</v>
      </c>
      <c r="C244" s="163" t="s">
        <v>1067</v>
      </c>
      <c r="D244" s="163" t="s">
        <v>785</v>
      </c>
      <c r="E244" s="164">
        <v>45545.0</v>
      </c>
      <c r="F244" s="163" t="s">
        <v>172</v>
      </c>
      <c r="G244" s="163">
        <v>-996.06</v>
      </c>
      <c r="H244" s="163">
        <v>-996.06</v>
      </c>
      <c r="I244" s="163"/>
      <c r="J244" s="163" t="s">
        <v>786</v>
      </c>
      <c r="K244" s="163"/>
      <c r="L244" s="163"/>
      <c r="M244" s="164">
        <v>45545.0</v>
      </c>
      <c r="N244" s="164">
        <v>45546.0</v>
      </c>
      <c r="O244" s="163" t="s">
        <v>787</v>
      </c>
      <c r="P244" s="163">
        <v>205826.0</v>
      </c>
      <c r="Q244" s="163" t="s">
        <v>788</v>
      </c>
      <c r="R244" s="163"/>
      <c r="S244" s="163"/>
      <c r="T244" s="163"/>
      <c r="U244" s="163"/>
      <c r="V244" s="163" t="s">
        <v>748</v>
      </c>
      <c r="W244" s="163"/>
      <c r="X244" s="163"/>
      <c r="Y244" s="163"/>
      <c r="Z244" s="163"/>
    </row>
    <row r="245" ht="13.5" customHeight="1">
      <c r="A245" s="163" t="s">
        <v>782</v>
      </c>
      <c r="B245" s="163" t="s">
        <v>783</v>
      </c>
      <c r="C245" s="163" t="s">
        <v>1068</v>
      </c>
      <c r="D245" s="163" t="s">
        <v>785</v>
      </c>
      <c r="E245" s="164">
        <v>45545.0</v>
      </c>
      <c r="F245" s="163" t="s">
        <v>172</v>
      </c>
      <c r="G245" s="163">
        <v>-996.06</v>
      </c>
      <c r="H245" s="163">
        <v>-996.06</v>
      </c>
      <c r="I245" s="163"/>
      <c r="J245" s="163" t="s">
        <v>786</v>
      </c>
      <c r="K245" s="163"/>
      <c r="L245" s="163"/>
      <c r="M245" s="164">
        <v>45545.0</v>
      </c>
      <c r="N245" s="164">
        <v>45546.0</v>
      </c>
      <c r="O245" s="163" t="s">
        <v>787</v>
      </c>
      <c r="P245" s="163">
        <v>205826.0</v>
      </c>
      <c r="Q245" s="163" t="s">
        <v>788</v>
      </c>
      <c r="R245" s="163"/>
      <c r="S245" s="163"/>
      <c r="T245" s="163"/>
      <c r="U245" s="163"/>
      <c r="V245" s="163" t="s">
        <v>748</v>
      </c>
      <c r="W245" s="163"/>
      <c r="X245" s="163"/>
      <c r="Y245" s="163"/>
      <c r="Z245" s="163"/>
    </row>
    <row r="246" ht="13.5" customHeight="1">
      <c r="A246" s="163" t="s">
        <v>782</v>
      </c>
      <c r="B246" s="163" t="s">
        <v>783</v>
      </c>
      <c r="C246" s="163" t="s">
        <v>1069</v>
      </c>
      <c r="D246" s="163" t="s">
        <v>785</v>
      </c>
      <c r="E246" s="164">
        <v>45545.0</v>
      </c>
      <c r="F246" s="163" t="s">
        <v>172</v>
      </c>
      <c r="G246" s="163">
        <v>-996.06</v>
      </c>
      <c r="H246" s="163">
        <v>-996.06</v>
      </c>
      <c r="I246" s="163"/>
      <c r="J246" s="163" t="s">
        <v>786</v>
      </c>
      <c r="K246" s="163"/>
      <c r="L246" s="163"/>
      <c r="M246" s="164">
        <v>45545.0</v>
      </c>
      <c r="N246" s="164">
        <v>45546.0</v>
      </c>
      <c r="O246" s="163" t="s">
        <v>787</v>
      </c>
      <c r="P246" s="163">
        <v>205826.0</v>
      </c>
      <c r="Q246" s="163" t="s">
        <v>788</v>
      </c>
      <c r="R246" s="163"/>
      <c r="S246" s="163"/>
      <c r="T246" s="163"/>
      <c r="U246" s="163"/>
      <c r="V246" s="163" t="s">
        <v>748</v>
      </c>
      <c r="W246" s="163"/>
      <c r="X246" s="163"/>
      <c r="Y246" s="163"/>
      <c r="Z246" s="163"/>
    </row>
    <row r="247" ht="13.5" customHeight="1">
      <c r="A247" s="163" t="s">
        <v>782</v>
      </c>
      <c r="B247" s="163" t="s">
        <v>783</v>
      </c>
      <c r="C247" s="163" t="s">
        <v>1070</v>
      </c>
      <c r="D247" s="163" t="s">
        <v>785</v>
      </c>
      <c r="E247" s="164">
        <v>45545.0</v>
      </c>
      <c r="F247" s="163" t="s">
        <v>172</v>
      </c>
      <c r="G247" s="163">
        <v>-996.06</v>
      </c>
      <c r="H247" s="163">
        <v>-996.06</v>
      </c>
      <c r="I247" s="163"/>
      <c r="J247" s="163" t="s">
        <v>786</v>
      </c>
      <c r="K247" s="163"/>
      <c r="L247" s="163"/>
      <c r="M247" s="164">
        <v>45545.0</v>
      </c>
      <c r="N247" s="164">
        <v>45546.0</v>
      </c>
      <c r="O247" s="163" t="s">
        <v>787</v>
      </c>
      <c r="P247" s="163">
        <v>205826.0</v>
      </c>
      <c r="Q247" s="163" t="s">
        <v>788</v>
      </c>
      <c r="R247" s="163"/>
      <c r="S247" s="163"/>
      <c r="T247" s="163"/>
      <c r="U247" s="163"/>
      <c r="V247" s="163" t="s">
        <v>748</v>
      </c>
      <c r="W247" s="163"/>
      <c r="X247" s="163"/>
      <c r="Y247" s="163"/>
      <c r="Z247" s="163"/>
    </row>
    <row r="248" ht="13.5" customHeight="1">
      <c r="A248" s="163" t="s">
        <v>782</v>
      </c>
      <c r="B248" s="163" t="s">
        <v>783</v>
      </c>
      <c r="C248" s="163" t="s">
        <v>1071</v>
      </c>
      <c r="D248" s="163" t="s">
        <v>785</v>
      </c>
      <c r="E248" s="164">
        <v>45545.0</v>
      </c>
      <c r="F248" s="163" t="s">
        <v>172</v>
      </c>
      <c r="G248" s="163">
        <v>-996.06</v>
      </c>
      <c r="H248" s="163">
        <v>-996.06</v>
      </c>
      <c r="I248" s="163"/>
      <c r="J248" s="163" t="s">
        <v>786</v>
      </c>
      <c r="K248" s="163"/>
      <c r="L248" s="163"/>
      <c r="M248" s="164">
        <v>45545.0</v>
      </c>
      <c r="N248" s="164">
        <v>45546.0</v>
      </c>
      <c r="O248" s="163" t="s">
        <v>787</v>
      </c>
      <c r="P248" s="163">
        <v>205826.0</v>
      </c>
      <c r="Q248" s="163" t="s">
        <v>788</v>
      </c>
      <c r="R248" s="163"/>
      <c r="S248" s="163"/>
      <c r="T248" s="163"/>
      <c r="U248" s="163"/>
      <c r="V248" s="163" t="s">
        <v>748</v>
      </c>
      <c r="W248" s="163"/>
      <c r="X248" s="163"/>
      <c r="Y248" s="163"/>
      <c r="Z248" s="163"/>
    </row>
    <row r="249" ht="13.5" customHeight="1">
      <c r="A249" s="163" t="s">
        <v>782</v>
      </c>
      <c r="B249" s="163" t="s">
        <v>783</v>
      </c>
      <c r="C249" s="163" t="s">
        <v>1072</v>
      </c>
      <c r="D249" s="163" t="s">
        <v>785</v>
      </c>
      <c r="E249" s="164">
        <v>45545.0</v>
      </c>
      <c r="F249" s="163" t="s">
        <v>172</v>
      </c>
      <c r="G249" s="163">
        <v>-996.06</v>
      </c>
      <c r="H249" s="163">
        <v>-996.06</v>
      </c>
      <c r="I249" s="163"/>
      <c r="J249" s="163" t="s">
        <v>786</v>
      </c>
      <c r="K249" s="163"/>
      <c r="L249" s="163"/>
      <c r="M249" s="164">
        <v>45545.0</v>
      </c>
      <c r="N249" s="164">
        <v>45546.0</v>
      </c>
      <c r="O249" s="163" t="s">
        <v>787</v>
      </c>
      <c r="P249" s="163">
        <v>205826.0</v>
      </c>
      <c r="Q249" s="163" t="s">
        <v>788</v>
      </c>
      <c r="R249" s="163"/>
      <c r="S249" s="163"/>
      <c r="T249" s="163"/>
      <c r="U249" s="163"/>
      <c r="V249" s="163" t="s">
        <v>748</v>
      </c>
      <c r="W249" s="163"/>
      <c r="X249" s="163"/>
      <c r="Y249" s="163"/>
      <c r="Z249" s="163"/>
    </row>
    <row r="250" ht="13.5" customHeight="1">
      <c r="A250" s="163" t="s">
        <v>782</v>
      </c>
      <c r="B250" s="163" t="s">
        <v>783</v>
      </c>
      <c r="C250" s="163" t="s">
        <v>1073</v>
      </c>
      <c r="D250" s="163" t="s">
        <v>785</v>
      </c>
      <c r="E250" s="164">
        <v>45545.0</v>
      </c>
      <c r="F250" s="163" t="s">
        <v>172</v>
      </c>
      <c r="G250" s="163">
        <v>-996.06</v>
      </c>
      <c r="H250" s="163">
        <v>-996.06</v>
      </c>
      <c r="I250" s="163"/>
      <c r="J250" s="163" t="s">
        <v>786</v>
      </c>
      <c r="K250" s="163"/>
      <c r="L250" s="163"/>
      <c r="M250" s="164">
        <v>45545.0</v>
      </c>
      <c r="N250" s="164">
        <v>45546.0</v>
      </c>
      <c r="O250" s="163" t="s">
        <v>787</v>
      </c>
      <c r="P250" s="163">
        <v>205826.0</v>
      </c>
      <c r="Q250" s="163" t="s">
        <v>788</v>
      </c>
      <c r="R250" s="163"/>
      <c r="S250" s="163"/>
      <c r="T250" s="163"/>
      <c r="U250" s="163"/>
      <c r="V250" s="163" t="s">
        <v>748</v>
      </c>
      <c r="W250" s="163"/>
      <c r="X250" s="163"/>
      <c r="Y250" s="163"/>
      <c r="Z250" s="163"/>
    </row>
    <row r="251" ht="13.5" customHeight="1">
      <c r="A251" s="163" t="s">
        <v>782</v>
      </c>
      <c r="B251" s="163" t="s">
        <v>783</v>
      </c>
      <c r="C251" s="163" t="s">
        <v>1074</v>
      </c>
      <c r="D251" s="163" t="s">
        <v>785</v>
      </c>
      <c r="E251" s="164">
        <v>45545.0</v>
      </c>
      <c r="F251" s="163" t="s">
        <v>172</v>
      </c>
      <c r="G251" s="163">
        <v>-996.06</v>
      </c>
      <c r="H251" s="163">
        <v>-996.06</v>
      </c>
      <c r="I251" s="163"/>
      <c r="J251" s="163" t="s">
        <v>786</v>
      </c>
      <c r="K251" s="163"/>
      <c r="L251" s="163"/>
      <c r="M251" s="164">
        <v>45545.0</v>
      </c>
      <c r="N251" s="164">
        <v>45546.0</v>
      </c>
      <c r="O251" s="163" t="s">
        <v>787</v>
      </c>
      <c r="P251" s="163">
        <v>205826.0</v>
      </c>
      <c r="Q251" s="163" t="s">
        <v>788</v>
      </c>
      <c r="R251" s="163"/>
      <c r="S251" s="163"/>
      <c r="T251" s="163"/>
      <c r="U251" s="163"/>
      <c r="V251" s="163" t="s">
        <v>748</v>
      </c>
      <c r="W251" s="163"/>
      <c r="X251" s="163"/>
      <c r="Y251" s="163"/>
      <c r="Z251" s="163"/>
    </row>
    <row r="252" ht="13.5" customHeight="1">
      <c r="A252" s="163" t="s">
        <v>782</v>
      </c>
      <c r="B252" s="163" t="s">
        <v>783</v>
      </c>
      <c r="C252" s="163" t="s">
        <v>1075</v>
      </c>
      <c r="D252" s="163" t="s">
        <v>785</v>
      </c>
      <c r="E252" s="164">
        <v>45545.0</v>
      </c>
      <c r="F252" s="163" t="s">
        <v>172</v>
      </c>
      <c r="G252" s="163">
        <v>-996.06</v>
      </c>
      <c r="H252" s="163">
        <v>-996.06</v>
      </c>
      <c r="I252" s="163"/>
      <c r="J252" s="163" t="s">
        <v>786</v>
      </c>
      <c r="K252" s="163"/>
      <c r="L252" s="163"/>
      <c r="M252" s="164">
        <v>45545.0</v>
      </c>
      <c r="N252" s="164">
        <v>45546.0</v>
      </c>
      <c r="O252" s="163" t="s">
        <v>787</v>
      </c>
      <c r="P252" s="163">
        <v>205826.0</v>
      </c>
      <c r="Q252" s="163" t="s">
        <v>788</v>
      </c>
      <c r="R252" s="163"/>
      <c r="S252" s="163"/>
      <c r="T252" s="163"/>
      <c r="U252" s="163"/>
      <c r="V252" s="163" t="s">
        <v>748</v>
      </c>
      <c r="W252" s="163"/>
      <c r="X252" s="163"/>
      <c r="Y252" s="163"/>
      <c r="Z252" s="163"/>
    </row>
    <row r="253" ht="13.5" customHeight="1">
      <c r="A253" s="163" t="s">
        <v>782</v>
      </c>
      <c r="B253" s="163" t="s">
        <v>783</v>
      </c>
      <c r="C253" s="163" t="s">
        <v>1076</v>
      </c>
      <c r="D253" s="163" t="s">
        <v>785</v>
      </c>
      <c r="E253" s="164">
        <v>45545.0</v>
      </c>
      <c r="F253" s="163" t="s">
        <v>172</v>
      </c>
      <c r="G253" s="163">
        <v>-996.06</v>
      </c>
      <c r="H253" s="163">
        <v>-996.06</v>
      </c>
      <c r="I253" s="163"/>
      <c r="J253" s="163" t="s">
        <v>786</v>
      </c>
      <c r="K253" s="163"/>
      <c r="L253" s="163"/>
      <c r="M253" s="164">
        <v>45545.0</v>
      </c>
      <c r="N253" s="164">
        <v>45546.0</v>
      </c>
      <c r="O253" s="163" t="s">
        <v>787</v>
      </c>
      <c r="P253" s="163">
        <v>205826.0</v>
      </c>
      <c r="Q253" s="163" t="s">
        <v>788</v>
      </c>
      <c r="R253" s="163"/>
      <c r="S253" s="163"/>
      <c r="T253" s="163"/>
      <c r="U253" s="163"/>
      <c r="V253" s="163" t="s">
        <v>748</v>
      </c>
      <c r="W253" s="163"/>
      <c r="X253" s="163"/>
      <c r="Y253" s="163"/>
      <c r="Z253" s="163"/>
    </row>
    <row r="254" ht="13.5" customHeight="1">
      <c r="A254" s="163" t="s">
        <v>782</v>
      </c>
      <c r="B254" s="163" t="s">
        <v>783</v>
      </c>
      <c r="C254" s="163" t="s">
        <v>1077</v>
      </c>
      <c r="D254" s="163" t="s">
        <v>785</v>
      </c>
      <c r="E254" s="164">
        <v>45545.0</v>
      </c>
      <c r="F254" s="163" t="s">
        <v>172</v>
      </c>
      <c r="G254" s="163">
        <v>-996.06</v>
      </c>
      <c r="H254" s="163">
        <v>-996.06</v>
      </c>
      <c r="I254" s="163"/>
      <c r="J254" s="163" t="s">
        <v>786</v>
      </c>
      <c r="K254" s="163"/>
      <c r="L254" s="163"/>
      <c r="M254" s="164">
        <v>45545.0</v>
      </c>
      <c r="N254" s="164">
        <v>45546.0</v>
      </c>
      <c r="O254" s="163" t="s">
        <v>787</v>
      </c>
      <c r="P254" s="163">
        <v>205826.0</v>
      </c>
      <c r="Q254" s="163" t="s">
        <v>788</v>
      </c>
      <c r="R254" s="163"/>
      <c r="S254" s="163"/>
      <c r="T254" s="163"/>
      <c r="U254" s="163"/>
      <c r="V254" s="163" t="s">
        <v>748</v>
      </c>
      <c r="W254" s="163"/>
      <c r="X254" s="163"/>
      <c r="Y254" s="163"/>
      <c r="Z254" s="163"/>
    </row>
    <row r="255" ht="13.5" customHeight="1">
      <c r="A255" s="163" t="s">
        <v>782</v>
      </c>
      <c r="B255" s="163" t="s">
        <v>783</v>
      </c>
      <c r="C255" s="163" t="s">
        <v>1078</v>
      </c>
      <c r="D255" s="163" t="s">
        <v>785</v>
      </c>
      <c r="E255" s="164">
        <v>45545.0</v>
      </c>
      <c r="F255" s="163" t="s">
        <v>172</v>
      </c>
      <c r="G255" s="163">
        <v>-996.06</v>
      </c>
      <c r="H255" s="163">
        <v>-996.06</v>
      </c>
      <c r="I255" s="163"/>
      <c r="J255" s="163" t="s">
        <v>786</v>
      </c>
      <c r="K255" s="163"/>
      <c r="L255" s="163"/>
      <c r="M255" s="164">
        <v>45545.0</v>
      </c>
      <c r="N255" s="164">
        <v>45546.0</v>
      </c>
      <c r="O255" s="163" t="s">
        <v>787</v>
      </c>
      <c r="P255" s="163">
        <v>205826.0</v>
      </c>
      <c r="Q255" s="163" t="s">
        <v>788</v>
      </c>
      <c r="R255" s="163"/>
      <c r="S255" s="163"/>
      <c r="T255" s="163"/>
      <c r="U255" s="163"/>
      <c r="V255" s="163" t="s">
        <v>748</v>
      </c>
      <c r="W255" s="163"/>
      <c r="X255" s="163"/>
      <c r="Y255" s="163"/>
      <c r="Z255" s="163"/>
    </row>
    <row r="256" ht="13.5" customHeight="1">
      <c r="A256" s="163" t="s">
        <v>782</v>
      </c>
      <c r="B256" s="163" t="s">
        <v>783</v>
      </c>
      <c r="C256" s="163" t="s">
        <v>1079</v>
      </c>
      <c r="D256" s="163" t="s">
        <v>785</v>
      </c>
      <c r="E256" s="164">
        <v>45545.0</v>
      </c>
      <c r="F256" s="163" t="s">
        <v>172</v>
      </c>
      <c r="G256" s="163">
        <v>-996.06</v>
      </c>
      <c r="H256" s="163">
        <v>-996.06</v>
      </c>
      <c r="I256" s="163"/>
      <c r="J256" s="163" t="s">
        <v>786</v>
      </c>
      <c r="K256" s="163"/>
      <c r="L256" s="163"/>
      <c r="M256" s="164">
        <v>45545.0</v>
      </c>
      <c r="N256" s="164">
        <v>45546.0</v>
      </c>
      <c r="O256" s="163" t="s">
        <v>787</v>
      </c>
      <c r="P256" s="163">
        <v>205826.0</v>
      </c>
      <c r="Q256" s="163" t="s">
        <v>788</v>
      </c>
      <c r="R256" s="163"/>
      <c r="S256" s="163"/>
      <c r="T256" s="163"/>
      <c r="U256" s="163"/>
      <c r="V256" s="163" t="s">
        <v>748</v>
      </c>
      <c r="W256" s="163"/>
      <c r="X256" s="163"/>
      <c r="Y256" s="163"/>
      <c r="Z256" s="163"/>
    </row>
    <row r="257" ht="13.5" customHeight="1">
      <c r="A257" s="163" t="s">
        <v>782</v>
      </c>
      <c r="B257" s="163" t="s">
        <v>783</v>
      </c>
      <c r="C257" s="163" t="s">
        <v>1080</v>
      </c>
      <c r="D257" s="163" t="s">
        <v>785</v>
      </c>
      <c r="E257" s="164">
        <v>45545.0</v>
      </c>
      <c r="F257" s="163" t="s">
        <v>172</v>
      </c>
      <c r="G257" s="328">
        <v>-1656.63</v>
      </c>
      <c r="H257" s="328">
        <v>-1656.63</v>
      </c>
      <c r="I257" s="163"/>
      <c r="J257" s="163" t="s">
        <v>786</v>
      </c>
      <c r="K257" s="163"/>
      <c r="L257" s="163"/>
      <c r="M257" s="164">
        <v>45545.0</v>
      </c>
      <c r="N257" s="164">
        <v>45546.0</v>
      </c>
      <c r="O257" s="163" t="s">
        <v>787</v>
      </c>
      <c r="P257" s="163">
        <v>205826.0</v>
      </c>
      <c r="Q257" s="163" t="s">
        <v>788</v>
      </c>
      <c r="R257" s="163"/>
      <c r="S257" s="163"/>
      <c r="T257" s="163"/>
      <c r="U257" s="163"/>
      <c r="V257" s="163" t="s">
        <v>748</v>
      </c>
      <c r="W257" s="163"/>
      <c r="X257" s="163"/>
      <c r="Y257" s="163"/>
      <c r="Z257" s="163"/>
    </row>
    <row r="258" ht="13.5" customHeight="1">
      <c r="A258" s="163" t="s">
        <v>782</v>
      </c>
      <c r="B258" s="163" t="s">
        <v>783</v>
      </c>
      <c r="C258" s="163" t="s">
        <v>1081</v>
      </c>
      <c r="D258" s="163" t="s">
        <v>785</v>
      </c>
      <c r="E258" s="164">
        <v>45545.0</v>
      </c>
      <c r="F258" s="163" t="s">
        <v>172</v>
      </c>
      <c r="G258" s="328">
        <v>-1656.63</v>
      </c>
      <c r="H258" s="328">
        <v>-1656.63</v>
      </c>
      <c r="I258" s="163"/>
      <c r="J258" s="163" t="s">
        <v>786</v>
      </c>
      <c r="K258" s="163"/>
      <c r="L258" s="163"/>
      <c r="M258" s="164">
        <v>45545.0</v>
      </c>
      <c r="N258" s="164">
        <v>45546.0</v>
      </c>
      <c r="O258" s="163" t="s">
        <v>787</v>
      </c>
      <c r="P258" s="163">
        <v>205826.0</v>
      </c>
      <c r="Q258" s="163" t="s">
        <v>788</v>
      </c>
      <c r="R258" s="163"/>
      <c r="S258" s="163"/>
      <c r="T258" s="163"/>
      <c r="U258" s="163"/>
      <c r="V258" s="163" t="s">
        <v>748</v>
      </c>
      <c r="W258" s="163"/>
      <c r="X258" s="163"/>
      <c r="Y258" s="163"/>
      <c r="Z258" s="163"/>
    </row>
    <row r="259" ht="13.5" customHeight="1">
      <c r="A259" s="163" t="s">
        <v>782</v>
      </c>
      <c r="B259" s="163" t="s">
        <v>783</v>
      </c>
      <c r="C259" s="163" t="s">
        <v>1082</v>
      </c>
      <c r="D259" s="163" t="s">
        <v>785</v>
      </c>
      <c r="E259" s="164">
        <v>45545.0</v>
      </c>
      <c r="F259" s="163" t="s">
        <v>172</v>
      </c>
      <c r="G259" s="328">
        <v>-1656.63</v>
      </c>
      <c r="H259" s="328">
        <v>-1656.63</v>
      </c>
      <c r="I259" s="163"/>
      <c r="J259" s="163" t="s">
        <v>786</v>
      </c>
      <c r="K259" s="163"/>
      <c r="L259" s="163"/>
      <c r="M259" s="164">
        <v>45545.0</v>
      </c>
      <c r="N259" s="164">
        <v>45546.0</v>
      </c>
      <c r="O259" s="163" t="s">
        <v>787</v>
      </c>
      <c r="P259" s="163">
        <v>205826.0</v>
      </c>
      <c r="Q259" s="163" t="s">
        <v>788</v>
      </c>
      <c r="R259" s="163"/>
      <c r="S259" s="163"/>
      <c r="T259" s="163"/>
      <c r="U259" s="163"/>
      <c r="V259" s="163" t="s">
        <v>748</v>
      </c>
      <c r="W259" s="163"/>
      <c r="X259" s="163"/>
      <c r="Y259" s="163"/>
      <c r="Z259" s="163"/>
    </row>
    <row r="260" ht="13.5" customHeight="1">
      <c r="A260" s="163" t="s">
        <v>782</v>
      </c>
      <c r="B260" s="163" t="s">
        <v>783</v>
      </c>
      <c r="C260" s="163" t="s">
        <v>1083</v>
      </c>
      <c r="D260" s="163" t="s">
        <v>785</v>
      </c>
      <c r="E260" s="164">
        <v>45545.0</v>
      </c>
      <c r="F260" s="163" t="s">
        <v>172</v>
      </c>
      <c r="G260" s="328">
        <v>-1656.63</v>
      </c>
      <c r="H260" s="328">
        <v>-1656.63</v>
      </c>
      <c r="I260" s="163"/>
      <c r="J260" s="163" t="s">
        <v>786</v>
      </c>
      <c r="K260" s="163"/>
      <c r="L260" s="163"/>
      <c r="M260" s="164">
        <v>45545.0</v>
      </c>
      <c r="N260" s="164">
        <v>45546.0</v>
      </c>
      <c r="O260" s="163" t="s">
        <v>787</v>
      </c>
      <c r="P260" s="163">
        <v>205826.0</v>
      </c>
      <c r="Q260" s="163" t="s">
        <v>788</v>
      </c>
      <c r="R260" s="163"/>
      <c r="S260" s="163"/>
      <c r="T260" s="163"/>
      <c r="U260" s="163"/>
      <c r="V260" s="163" t="s">
        <v>748</v>
      </c>
      <c r="W260" s="163"/>
      <c r="X260" s="163"/>
      <c r="Y260" s="163"/>
      <c r="Z260" s="163"/>
    </row>
    <row r="261" ht="13.5" customHeight="1">
      <c r="A261" s="163" t="s">
        <v>782</v>
      </c>
      <c r="B261" s="163" t="s">
        <v>783</v>
      </c>
      <c r="C261" s="163" t="s">
        <v>1084</v>
      </c>
      <c r="D261" s="163" t="s">
        <v>785</v>
      </c>
      <c r="E261" s="164">
        <v>45545.0</v>
      </c>
      <c r="F261" s="163" t="s">
        <v>172</v>
      </c>
      <c r="G261" s="328">
        <v>-1656.63</v>
      </c>
      <c r="H261" s="328">
        <v>-1656.63</v>
      </c>
      <c r="I261" s="163"/>
      <c r="J261" s="163" t="s">
        <v>786</v>
      </c>
      <c r="K261" s="163"/>
      <c r="L261" s="163"/>
      <c r="M261" s="164">
        <v>45545.0</v>
      </c>
      <c r="N261" s="164">
        <v>45546.0</v>
      </c>
      <c r="O261" s="163" t="s">
        <v>787</v>
      </c>
      <c r="P261" s="163">
        <v>205826.0</v>
      </c>
      <c r="Q261" s="163" t="s">
        <v>788</v>
      </c>
      <c r="R261" s="163"/>
      <c r="S261" s="163"/>
      <c r="T261" s="163"/>
      <c r="U261" s="163"/>
      <c r="V261" s="163" t="s">
        <v>748</v>
      </c>
      <c r="W261" s="163"/>
      <c r="X261" s="163"/>
      <c r="Y261" s="163"/>
      <c r="Z261" s="163"/>
    </row>
    <row r="262" ht="13.5" customHeight="1">
      <c r="A262" s="163" t="s">
        <v>782</v>
      </c>
      <c r="B262" s="163" t="s">
        <v>783</v>
      </c>
      <c r="C262" s="163" t="s">
        <v>1085</v>
      </c>
      <c r="D262" s="163" t="s">
        <v>785</v>
      </c>
      <c r="E262" s="164">
        <v>45545.0</v>
      </c>
      <c r="F262" s="163" t="s">
        <v>172</v>
      </c>
      <c r="G262" s="328">
        <v>-1656.63</v>
      </c>
      <c r="H262" s="328">
        <v>-1656.63</v>
      </c>
      <c r="I262" s="163"/>
      <c r="J262" s="163" t="s">
        <v>786</v>
      </c>
      <c r="K262" s="163"/>
      <c r="L262" s="163"/>
      <c r="M262" s="164">
        <v>45545.0</v>
      </c>
      <c r="N262" s="164">
        <v>45546.0</v>
      </c>
      <c r="O262" s="163" t="s">
        <v>787</v>
      </c>
      <c r="P262" s="163">
        <v>205826.0</v>
      </c>
      <c r="Q262" s="163" t="s">
        <v>788</v>
      </c>
      <c r="R262" s="163"/>
      <c r="S262" s="163"/>
      <c r="T262" s="163"/>
      <c r="U262" s="163"/>
      <c r="V262" s="163" t="s">
        <v>748</v>
      </c>
      <c r="W262" s="163"/>
      <c r="X262" s="163"/>
      <c r="Y262" s="163"/>
      <c r="Z262" s="163"/>
    </row>
    <row r="263" ht="13.5" customHeight="1">
      <c r="A263" s="163" t="s">
        <v>782</v>
      </c>
      <c r="B263" s="163" t="s">
        <v>783</v>
      </c>
      <c r="C263" s="163" t="s">
        <v>1086</v>
      </c>
      <c r="D263" s="163" t="s">
        <v>785</v>
      </c>
      <c r="E263" s="164">
        <v>45545.0</v>
      </c>
      <c r="F263" s="163" t="s">
        <v>172</v>
      </c>
      <c r="G263" s="328">
        <v>-1656.63</v>
      </c>
      <c r="H263" s="328">
        <v>-1656.63</v>
      </c>
      <c r="I263" s="163"/>
      <c r="J263" s="163" t="s">
        <v>786</v>
      </c>
      <c r="K263" s="163"/>
      <c r="L263" s="163"/>
      <c r="M263" s="164">
        <v>45545.0</v>
      </c>
      <c r="N263" s="164">
        <v>45546.0</v>
      </c>
      <c r="O263" s="163" t="s">
        <v>787</v>
      </c>
      <c r="P263" s="163">
        <v>205826.0</v>
      </c>
      <c r="Q263" s="163" t="s">
        <v>788</v>
      </c>
      <c r="R263" s="163"/>
      <c r="S263" s="163"/>
      <c r="T263" s="163"/>
      <c r="U263" s="163"/>
      <c r="V263" s="163" t="s">
        <v>748</v>
      </c>
      <c r="W263" s="163"/>
      <c r="X263" s="163"/>
      <c r="Y263" s="163"/>
      <c r="Z263" s="163"/>
    </row>
    <row r="264" ht="13.5" customHeight="1">
      <c r="A264" s="163" t="s">
        <v>782</v>
      </c>
      <c r="B264" s="163" t="s">
        <v>783</v>
      </c>
      <c r="C264" s="163" t="s">
        <v>1087</v>
      </c>
      <c r="D264" s="163" t="s">
        <v>785</v>
      </c>
      <c r="E264" s="164">
        <v>45545.0</v>
      </c>
      <c r="F264" s="163" t="s">
        <v>172</v>
      </c>
      <c r="G264" s="328">
        <v>-1656.63</v>
      </c>
      <c r="H264" s="328">
        <v>-1656.63</v>
      </c>
      <c r="I264" s="163"/>
      <c r="J264" s="163" t="s">
        <v>786</v>
      </c>
      <c r="K264" s="163"/>
      <c r="L264" s="163"/>
      <c r="M264" s="164">
        <v>45545.0</v>
      </c>
      <c r="N264" s="164">
        <v>45546.0</v>
      </c>
      <c r="O264" s="163" t="s">
        <v>787</v>
      </c>
      <c r="P264" s="163">
        <v>205826.0</v>
      </c>
      <c r="Q264" s="163" t="s">
        <v>788</v>
      </c>
      <c r="R264" s="163"/>
      <c r="S264" s="163"/>
      <c r="T264" s="163"/>
      <c r="U264" s="163"/>
      <c r="V264" s="163" t="s">
        <v>748</v>
      </c>
      <c r="W264" s="163"/>
      <c r="X264" s="163"/>
      <c r="Y264" s="163"/>
      <c r="Z264" s="163"/>
    </row>
    <row r="265" ht="13.5" customHeight="1">
      <c r="A265" s="163" t="s">
        <v>782</v>
      </c>
      <c r="B265" s="163" t="s">
        <v>783</v>
      </c>
      <c r="C265" s="163" t="s">
        <v>1088</v>
      </c>
      <c r="D265" s="163" t="s">
        <v>785</v>
      </c>
      <c r="E265" s="164">
        <v>45545.0</v>
      </c>
      <c r="F265" s="163" t="s">
        <v>172</v>
      </c>
      <c r="G265" s="328">
        <v>-1656.63</v>
      </c>
      <c r="H265" s="328">
        <v>-1656.63</v>
      </c>
      <c r="I265" s="163"/>
      <c r="J265" s="163" t="s">
        <v>786</v>
      </c>
      <c r="K265" s="163"/>
      <c r="L265" s="163"/>
      <c r="M265" s="164">
        <v>45545.0</v>
      </c>
      <c r="N265" s="164">
        <v>45546.0</v>
      </c>
      <c r="O265" s="163" t="s">
        <v>787</v>
      </c>
      <c r="P265" s="163">
        <v>205826.0</v>
      </c>
      <c r="Q265" s="163" t="s">
        <v>788</v>
      </c>
      <c r="R265" s="163"/>
      <c r="S265" s="163"/>
      <c r="T265" s="163"/>
      <c r="U265" s="163"/>
      <c r="V265" s="163" t="s">
        <v>748</v>
      </c>
      <c r="W265" s="163"/>
      <c r="X265" s="163"/>
      <c r="Y265" s="163"/>
      <c r="Z265" s="163"/>
    </row>
    <row r="266" ht="13.5" customHeight="1">
      <c r="A266" s="163" t="s">
        <v>782</v>
      </c>
      <c r="B266" s="163" t="s">
        <v>783</v>
      </c>
      <c r="C266" s="163" t="s">
        <v>1089</v>
      </c>
      <c r="D266" s="163" t="s">
        <v>785</v>
      </c>
      <c r="E266" s="164">
        <v>45545.0</v>
      </c>
      <c r="F266" s="163" t="s">
        <v>172</v>
      </c>
      <c r="G266" s="328">
        <v>-1656.63</v>
      </c>
      <c r="H266" s="328">
        <v>-1656.63</v>
      </c>
      <c r="I266" s="163"/>
      <c r="J266" s="163" t="s">
        <v>786</v>
      </c>
      <c r="K266" s="163"/>
      <c r="L266" s="163"/>
      <c r="M266" s="164">
        <v>45545.0</v>
      </c>
      <c r="N266" s="164">
        <v>45546.0</v>
      </c>
      <c r="O266" s="163" t="s">
        <v>787</v>
      </c>
      <c r="P266" s="163">
        <v>205826.0</v>
      </c>
      <c r="Q266" s="163" t="s">
        <v>788</v>
      </c>
      <c r="R266" s="163"/>
      <c r="S266" s="163"/>
      <c r="T266" s="163"/>
      <c r="U266" s="163"/>
      <c r="V266" s="163" t="s">
        <v>748</v>
      </c>
      <c r="W266" s="163"/>
      <c r="X266" s="163"/>
      <c r="Y266" s="163"/>
      <c r="Z266" s="163"/>
    </row>
    <row r="267" ht="13.5" customHeight="1">
      <c r="A267" s="163" t="s">
        <v>782</v>
      </c>
      <c r="B267" s="163" t="s">
        <v>783</v>
      </c>
      <c r="C267" s="163" t="s">
        <v>1090</v>
      </c>
      <c r="D267" s="163" t="s">
        <v>785</v>
      </c>
      <c r="E267" s="164">
        <v>45545.0</v>
      </c>
      <c r="F267" s="163" t="s">
        <v>172</v>
      </c>
      <c r="G267" s="328">
        <v>-1656.63</v>
      </c>
      <c r="H267" s="328">
        <v>-1656.63</v>
      </c>
      <c r="I267" s="163"/>
      <c r="J267" s="163" t="s">
        <v>786</v>
      </c>
      <c r="K267" s="163"/>
      <c r="L267" s="163"/>
      <c r="M267" s="164">
        <v>45545.0</v>
      </c>
      <c r="N267" s="164">
        <v>45546.0</v>
      </c>
      <c r="O267" s="163" t="s">
        <v>787</v>
      </c>
      <c r="P267" s="163">
        <v>205826.0</v>
      </c>
      <c r="Q267" s="163" t="s">
        <v>788</v>
      </c>
      <c r="R267" s="163"/>
      <c r="S267" s="163"/>
      <c r="T267" s="163"/>
      <c r="U267" s="163"/>
      <c r="V267" s="163" t="s">
        <v>748</v>
      </c>
      <c r="W267" s="163"/>
      <c r="X267" s="163"/>
      <c r="Y267" s="163"/>
      <c r="Z267" s="163"/>
    </row>
    <row r="268" ht="13.5" customHeight="1">
      <c r="A268" s="163" t="s">
        <v>782</v>
      </c>
      <c r="B268" s="163" t="s">
        <v>783</v>
      </c>
      <c r="C268" s="163" t="s">
        <v>1091</v>
      </c>
      <c r="D268" s="163" t="s">
        <v>785</v>
      </c>
      <c r="E268" s="164">
        <v>45545.0</v>
      </c>
      <c r="F268" s="163" t="s">
        <v>172</v>
      </c>
      <c r="G268" s="328">
        <v>-1656.63</v>
      </c>
      <c r="H268" s="328">
        <v>-1656.63</v>
      </c>
      <c r="I268" s="163"/>
      <c r="J268" s="163" t="s">
        <v>786</v>
      </c>
      <c r="K268" s="163"/>
      <c r="L268" s="163"/>
      <c r="M268" s="164">
        <v>45545.0</v>
      </c>
      <c r="N268" s="164">
        <v>45546.0</v>
      </c>
      <c r="O268" s="163" t="s">
        <v>787</v>
      </c>
      <c r="P268" s="163">
        <v>205826.0</v>
      </c>
      <c r="Q268" s="163" t="s">
        <v>788</v>
      </c>
      <c r="R268" s="163"/>
      <c r="S268" s="163"/>
      <c r="T268" s="163"/>
      <c r="U268" s="163"/>
      <c r="V268" s="163" t="s">
        <v>748</v>
      </c>
      <c r="W268" s="163"/>
      <c r="X268" s="163"/>
      <c r="Y268" s="163"/>
      <c r="Z268" s="163"/>
    </row>
    <row r="269" ht="13.5" customHeight="1">
      <c r="A269" s="163" t="s">
        <v>782</v>
      </c>
      <c r="B269" s="163" t="s">
        <v>783</v>
      </c>
      <c r="C269" s="163" t="s">
        <v>1092</v>
      </c>
      <c r="D269" s="163" t="s">
        <v>785</v>
      </c>
      <c r="E269" s="164">
        <v>45545.0</v>
      </c>
      <c r="F269" s="163" t="s">
        <v>172</v>
      </c>
      <c r="G269" s="328">
        <v>-1656.63</v>
      </c>
      <c r="H269" s="328">
        <v>-1656.63</v>
      </c>
      <c r="I269" s="163"/>
      <c r="J269" s="163" t="s">
        <v>786</v>
      </c>
      <c r="K269" s="163"/>
      <c r="L269" s="163"/>
      <c r="M269" s="164">
        <v>45545.0</v>
      </c>
      <c r="N269" s="164">
        <v>45546.0</v>
      </c>
      <c r="O269" s="163" t="s">
        <v>787</v>
      </c>
      <c r="P269" s="163">
        <v>205826.0</v>
      </c>
      <c r="Q269" s="163" t="s">
        <v>788</v>
      </c>
      <c r="R269" s="163"/>
      <c r="S269" s="163"/>
      <c r="T269" s="163"/>
      <c r="U269" s="163"/>
      <c r="V269" s="163" t="s">
        <v>748</v>
      </c>
      <c r="W269" s="163"/>
      <c r="X269" s="163"/>
      <c r="Y269" s="163"/>
      <c r="Z269" s="163"/>
    </row>
    <row r="270" ht="13.5" customHeight="1">
      <c r="A270" s="163" t="s">
        <v>782</v>
      </c>
      <c r="B270" s="163" t="s">
        <v>783</v>
      </c>
      <c r="C270" s="163" t="s">
        <v>1093</v>
      </c>
      <c r="D270" s="163" t="s">
        <v>785</v>
      </c>
      <c r="E270" s="164">
        <v>45545.0</v>
      </c>
      <c r="F270" s="163" t="s">
        <v>172</v>
      </c>
      <c r="G270" s="328">
        <v>-1656.63</v>
      </c>
      <c r="H270" s="328">
        <v>-1656.63</v>
      </c>
      <c r="I270" s="163"/>
      <c r="J270" s="163" t="s">
        <v>786</v>
      </c>
      <c r="K270" s="163"/>
      <c r="L270" s="163"/>
      <c r="M270" s="164">
        <v>45545.0</v>
      </c>
      <c r="N270" s="164">
        <v>45546.0</v>
      </c>
      <c r="O270" s="163" t="s">
        <v>787</v>
      </c>
      <c r="P270" s="163">
        <v>205826.0</v>
      </c>
      <c r="Q270" s="163" t="s">
        <v>788</v>
      </c>
      <c r="R270" s="163"/>
      <c r="S270" s="163"/>
      <c r="T270" s="163"/>
      <c r="U270" s="163"/>
      <c r="V270" s="163" t="s">
        <v>748</v>
      </c>
      <c r="W270" s="163"/>
      <c r="X270" s="163"/>
      <c r="Y270" s="163"/>
      <c r="Z270" s="163"/>
    </row>
    <row r="271" ht="13.5" customHeight="1">
      <c r="A271" s="163" t="s">
        <v>782</v>
      </c>
      <c r="B271" s="163" t="s">
        <v>783</v>
      </c>
      <c r="C271" s="163" t="s">
        <v>1094</v>
      </c>
      <c r="D271" s="163" t="s">
        <v>785</v>
      </c>
      <c r="E271" s="164">
        <v>45545.0</v>
      </c>
      <c r="F271" s="163" t="s">
        <v>172</v>
      </c>
      <c r="G271" s="328">
        <v>-1656.63</v>
      </c>
      <c r="H271" s="328">
        <v>-1656.63</v>
      </c>
      <c r="I271" s="163"/>
      <c r="J271" s="163" t="s">
        <v>786</v>
      </c>
      <c r="K271" s="163"/>
      <c r="L271" s="163"/>
      <c r="M271" s="164">
        <v>45545.0</v>
      </c>
      <c r="N271" s="164">
        <v>45546.0</v>
      </c>
      <c r="O271" s="163" t="s">
        <v>787</v>
      </c>
      <c r="P271" s="163">
        <v>205826.0</v>
      </c>
      <c r="Q271" s="163" t="s">
        <v>788</v>
      </c>
      <c r="R271" s="163"/>
      <c r="S271" s="163"/>
      <c r="T271" s="163"/>
      <c r="U271" s="163"/>
      <c r="V271" s="163" t="s">
        <v>748</v>
      </c>
      <c r="W271" s="163"/>
      <c r="X271" s="163"/>
      <c r="Y271" s="163"/>
      <c r="Z271" s="163"/>
    </row>
    <row r="272" ht="13.5" customHeight="1">
      <c r="A272" s="163" t="s">
        <v>782</v>
      </c>
      <c r="B272" s="163" t="s">
        <v>783</v>
      </c>
      <c r="C272" s="163" t="s">
        <v>1095</v>
      </c>
      <c r="D272" s="163" t="s">
        <v>785</v>
      </c>
      <c r="E272" s="164">
        <v>45545.0</v>
      </c>
      <c r="F272" s="163" t="s">
        <v>172</v>
      </c>
      <c r="G272" s="328">
        <v>-1656.63</v>
      </c>
      <c r="H272" s="328">
        <v>-1656.63</v>
      </c>
      <c r="I272" s="163"/>
      <c r="J272" s="163" t="s">
        <v>786</v>
      </c>
      <c r="K272" s="163"/>
      <c r="L272" s="163"/>
      <c r="M272" s="164">
        <v>45545.0</v>
      </c>
      <c r="N272" s="164">
        <v>45546.0</v>
      </c>
      <c r="O272" s="163" t="s">
        <v>787</v>
      </c>
      <c r="P272" s="163">
        <v>205826.0</v>
      </c>
      <c r="Q272" s="163" t="s">
        <v>788</v>
      </c>
      <c r="R272" s="163"/>
      <c r="S272" s="163"/>
      <c r="T272" s="163"/>
      <c r="U272" s="163"/>
      <c r="V272" s="163" t="s">
        <v>748</v>
      </c>
      <c r="W272" s="163"/>
      <c r="X272" s="163"/>
      <c r="Y272" s="163"/>
      <c r="Z272" s="163"/>
    </row>
    <row r="273" ht="13.5" customHeight="1">
      <c r="A273" s="163" t="s">
        <v>782</v>
      </c>
      <c r="B273" s="163" t="s">
        <v>783</v>
      </c>
      <c r="C273" s="163" t="s">
        <v>1096</v>
      </c>
      <c r="D273" s="163" t="s">
        <v>785</v>
      </c>
      <c r="E273" s="164">
        <v>45545.0</v>
      </c>
      <c r="F273" s="163" t="s">
        <v>172</v>
      </c>
      <c r="G273" s="328">
        <v>-1656.63</v>
      </c>
      <c r="H273" s="328">
        <v>-1656.63</v>
      </c>
      <c r="I273" s="163"/>
      <c r="J273" s="163" t="s">
        <v>786</v>
      </c>
      <c r="K273" s="163"/>
      <c r="L273" s="163"/>
      <c r="M273" s="164">
        <v>45545.0</v>
      </c>
      <c r="N273" s="164">
        <v>45546.0</v>
      </c>
      <c r="O273" s="163" t="s">
        <v>787</v>
      </c>
      <c r="P273" s="163">
        <v>205826.0</v>
      </c>
      <c r="Q273" s="163" t="s">
        <v>788</v>
      </c>
      <c r="R273" s="163"/>
      <c r="S273" s="163"/>
      <c r="T273" s="163"/>
      <c r="U273" s="163"/>
      <c r="V273" s="163" t="s">
        <v>748</v>
      </c>
      <c r="W273" s="163"/>
      <c r="X273" s="163"/>
      <c r="Y273" s="163"/>
      <c r="Z273" s="163"/>
    </row>
    <row r="274" ht="13.5" customHeight="1">
      <c r="A274" s="163" t="s">
        <v>782</v>
      </c>
      <c r="B274" s="163" t="s">
        <v>783</v>
      </c>
      <c r="C274" s="163" t="s">
        <v>1097</v>
      </c>
      <c r="D274" s="163" t="s">
        <v>785</v>
      </c>
      <c r="E274" s="164">
        <v>45545.0</v>
      </c>
      <c r="F274" s="163" t="s">
        <v>172</v>
      </c>
      <c r="G274" s="328">
        <v>-1656.63</v>
      </c>
      <c r="H274" s="328">
        <v>-1656.63</v>
      </c>
      <c r="I274" s="163"/>
      <c r="J274" s="163" t="s">
        <v>786</v>
      </c>
      <c r="K274" s="163"/>
      <c r="L274" s="163"/>
      <c r="M274" s="164">
        <v>45545.0</v>
      </c>
      <c r="N274" s="164">
        <v>45546.0</v>
      </c>
      <c r="O274" s="163" t="s">
        <v>787</v>
      </c>
      <c r="P274" s="163">
        <v>205826.0</v>
      </c>
      <c r="Q274" s="163" t="s">
        <v>788</v>
      </c>
      <c r="R274" s="163"/>
      <c r="S274" s="163"/>
      <c r="T274" s="163"/>
      <c r="U274" s="163"/>
      <c r="V274" s="163" t="s">
        <v>748</v>
      </c>
      <c r="W274" s="163"/>
      <c r="X274" s="163"/>
      <c r="Y274" s="163"/>
      <c r="Z274" s="163"/>
    </row>
    <row r="275" ht="13.5" customHeight="1">
      <c r="A275" s="163" t="s">
        <v>782</v>
      </c>
      <c r="B275" s="163" t="s">
        <v>783</v>
      </c>
      <c r="C275" s="163" t="s">
        <v>1098</v>
      </c>
      <c r="D275" s="163" t="s">
        <v>785</v>
      </c>
      <c r="E275" s="164">
        <v>45545.0</v>
      </c>
      <c r="F275" s="163" t="s">
        <v>172</v>
      </c>
      <c r="G275" s="328">
        <v>-1656.63</v>
      </c>
      <c r="H275" s="328">
        <v>-1656.63</v>
      </c>
      <c r="I275" s="163"/>
      <c r="J275" s="163" t="s">
        <v>786</v>
      </c>
      <c r="K275" s="163"/>
      <c r="L275" s="163"/>
      <c r="M275" s="164">
        <v>45545.0</v>
      </c>
      <c r="N275" s="164">
        <v>45546.0</v>
      </c>
      <c r="O275" s="163" t="s">
        <v>787</v>
      </c>
      <c r="P275" s="163">
        <v>205826.0</v>
      </c>
      <c r="Q275" s="163" t="s">
        <v>788</v>
      </c>
      <c r="R275" s="163"/>
      <c r="S275" s="163"/>
      <c r="T275" s="163"/>
      <c r="U275" s="163"/>
      <c r="V275" s="163" t="s">
        <v>748</v>
      </c>
      <c r="W275" s="163"/>
      <c r="X275" s="163"/>
      <c r="Y275" s="163"/>
      <c r="Z275" s="163"/>
    </row>
    <row r="276" ht="13.5" customHeight="1">
      <c r="A276" s="163" t="s">
        <v>782</v>
      </c>
      <c r="B276" s="163" t="s">
        <v>783</v>
      </c>
      <c r="C276" s="163" t="s">
        <v>1099</v>
      </c>
      <c r="D276" s="163" t="s">
        <v>785</v>
      </c>
      <c r="E276" s="164">
        <v>45545.0</v>
      </c>
      <c r="F276" s="163" t="s">
        <v>172</v>
      </c>
      <c r="G276" s="328">
        <v>-1656.63</v>
      </c>
      <c r="H276" s="328">
        <v>-1656.63</v>
      </c>
      <c r="I276" s="163"/>
      <c r="J276" s="163" t="s">
        <v>786</v>
      </c>
      <c r="K276" s="163"/>
      <c r="L276" s="163"/>
      <c r="M276" s="164">
        <v>45545.0</v>
      </c>
      <c r="N276" s="164">
        <v>45546.0</v>
      </c>
      <c r="O276" s="163" t="s">
        <v>787</v>
      </c>
      <c r="P276" s="163">
        <v>205826.0</v>
      </c>
      <c r="Q276" s="163" t="s">
        <v>788</v>
      </c>
      <c r="R276" s="163"/>
      <c r="S276" s="163"/>
      <c r="T276" s="163"/>
      <c r="U276" s="163"/>
      <c r="V276" s="163" t="s">
        <v>748</v>
      </c>
      <c r="W276" s="163"/>
      <c r="X276" s="163"/>
      <c r="Y276" s="163"/>
      <c r="Z276" s="163"/>
    </row>
    <row r="277" ht="13.5" customHeight="1">
      <c r="A277" s="163" t="s">
        <v>782</v>
      </c>
      <c r="B277" s="163" t="s">
        <v>783</v>
      </c>
      <c r="C277" s="163" t="s">
        <v>1100</v>
      </c>
      <c r="D277" s="163" t="s">
        <v>785</v>
      </c>
      <c r="E277" s="164">
        <v>45545.0</v>
      </c>
      <c r="F277" s="163" t="s">
        <v>172</v>
      </c>
      <c r="G277" s="328">
        <v>-1656.63</v>
      </c>
      <c r="H277" s="328">
        <v>-1656.63</v>
      </c>
      <c r="I277" s="163"/>
      <c r="J277" s="163" t="s">
        <v>786</v>
      </c>
      <c r="K277" s="163"/>
      <c r="L277" s="163"/>
      <c r="M277" s="164">
        <v>45545.0</v>
      </c>
      <c r="N277" s="164">
        <v>45546.0</v>
      </c>
      <c r="O277" s="163" t="s">
        <v>787</v>
      </c>
      <c r="P277" s="163">
        <v>205826.0</v>
      </c>
      <c r="Q277" s="163" t="s">
        <v>788</v>
      </c>
      <c r="R277" s="163"/>
      <c r="S277" s="163"/>
      <c r="T277" s="163"/>
      <c r="U277" s="163"/>
      <c r="V277" s="163" t="s">
        <v>748</v>
      </c>
      <c r="W277" s="163"/>
      <c r="X277" s="163"/>
      <c r="Y277" s="163"/>
      <c r="Z277" s="163"/>
    </row>
    <row r="278" ht="13.5" customHeight="1">
      <c r="A278" s="163" t="s">
        <v>782</v>
      </c>
      <c r="B278" s="163" t="s">
        <v>783</v>
      </c>
      <c r="C278" s="163" t="s">
        <v>1101</v>
      </c>
      <c r="D278" s="163" t="s">
        <v>785</v>
      </c>
      <c r="E278" s="164">
        <v>45545.0</v>
      </c>
      <c r="F278" s="163" t="s">
        <v>172</v>
      </c>
      <c r="G278" s="328">
        <v>-1656.63</v>
      </c>
      <c r="H278" s="328">
        <v>-1656.63</v>
      </c>
      <c r="I278" s="163"/>
      <c r="J278" s="163" t="s">
        <v>786</v>
      </c>
      <c r="K278" s="163"/>
      <c r="L278" s="163"/>
      <c r="M278" s="164">
        <v>45545.0</v>
      </c>
      <c r="N278" s="164">
        <v>45546.0</v>
      </c>
      <c r="O278" s="163" t="s">
        <v>787</v>
      </c>
      <c r="P278" s="163">
        <v>205826.0</v>
      </c>
      <c r="Q278" s="163" t="s">
        <v>788</v>
      </c>
      <c r="R278" s="163"/>
      <c r="S278" s="163"/>
      <c r="T278" s="163"/>
      <c r="U278" s="163"/>
      <c r="V278" s="163" t="s">
        <v>748</v>
      </c>
      <c r="W278" s="163"/>
      <c r="X278" s="163"/>
      <c r="Y278" s="163"/>
      <c r="Z278" s="163"/>
    </row>
    <row r="279" ht="13.5" customHeight="1">
      <c r="A279" s="163" t="s">
        <v>782</v>
      </c>
      <c r="B279" s="163" t="s">
        <v>783</v>
      </c>
      <c r="C279" s="163" t="s">
        <v>1102</v>
      </c>
      <c r="D279" s="163" t="s">
        <v>785</v>
      </c>
      <c r="E279" s="164">
        <v>45545.0</v>
      </c>
      <c r="F279" s="163" t="s">
        <v>172</v>
      </c>
      <c r="G279" s="328">
        <v>-1656.63</v>
      </c>
      <c r="H279" s="328">
        <v>-1656.63</v>
      </c>
      <c r="I279" s="163"/>
      <c r="J279" s="163" t="s">
        <v>786</v>
      </c>
      <c r="K279" s="163"/>
      <c r="L279" s="163"/>
      <c r="M279" s="164">
        <v>45545.0</v>
      </c>
      <c r="N279" s="164">
        <v>45546.0</v>
      </c>
      <c r="O279" s="163" t="s">
        <v>787</v>
      </c>
      <c r="P279" s="163">
        <v>205826.0</v>
      </c>
      <c r="Q279" s="163" t="s">
        <v>788</v>
      </c>
      <c r="R279" s="163"/>
      <c r="S279" s="163"/>
      <c r="T279" s="163"/>
      <c r="U279" s="163"/>
      <c r="V279" s="163" t="s">
        <v>748</v>
      </c>
      <c r="W279" s="163"/>
      <c r="X279" s="163"/>
      <c r="Y279" s="163"/>
      <c r="Z279" s="163"/>
    </row>
    <row r="280" ht="13.5" customHeight="1">
      <c r="A280" s="163" t="s">
        <v>782</v>
      </c>
      <c r="B280" s="163" t="s">
        <v>783</v>
      </c>
      <c r="C280" s="163" t="s">
        <v>1103</v>
      </c>
      <c r="D280" s="163" t="s">
        <v>785</v>
      </c>
      <c r="E280" s="164">
        <v>45545.0</v>
      </c>
      <c r="F280" s="163" t="s">
        <v>172</v>
      </c>
      <c r="G280" s="328">
        <v>-1656.63</v>
      </c>
      <c r="H280" s="328">
        <v>-1656.63</v>
      </c>
      <c r="I280" s="163"/>
      <c r="J280" s="163" t="s">
        <v>786</v>
      </c>
      <c r="K280" s="163"/>
      <c r="L280" s="163"/>
      <c r="M280" s="164">
        <v>45545.0</v>
      </c>
      <c r="N280" s="164">
        <v>45546.0</v>
      </c>
      <c r="O280" s="163" t="s">
        <v>787</v>
      </c>
      <c r="P280" s="163">
        <v>205826.0</v>
      </c>
      <c r="Q280" s="163" t="s">
        <v>788</v>
      </c>
      <c r="R280" s="163"/>
      <c r="S280" s="163"/>
      <c r="T280" s="163"/>
      <c r="U280" s="163"/>
      <c r="V280" s="163" t="s">
        <v>748</v>
      </c>
      <c r="W280" s="163"/>
      <c r="X280" s="163"/>
      <c r="Y280" s="163"/>
      <c r="Z280" s="163"/>
    </row>
    <row r="281" ht="13.5" customHeight="1">
      <c r="A281" s="163" t="s">
        <v>782</v>
      </c>
      <c r="B281" s="163" t="s">
        <v>783</v>
      </c>
      <c r="C281" s="163" t="s">
        <v>1104</v>
      </c>
      <c r="D281" s="163" t="s">
        <v>785</v>
      </c>
      <c r="E281" s="164">
        <v>45545.0</v>
      </c>
      <c r="F281" s="163" t="s">
        <v>172</v>
      </c>
      <c r="G281" s="328">
        <v>-1656.63</v>
      </c>
      <c r="H281" s="328">
        <v>-1656.63</v>
      </c>
      <c r="I281" s="163"/>
      <c r="J281" s="163" t="s">
        <v>786</v>
      </c>
      <c r="K281" s="163"/>
      <c r="L281" s="163"/>
      <c r="M281" s="164">
        <v>45545.0</v>
      </c>
      <c r="N281" s="164">
        <v>45546.0</v>
      </c>
      <c r="O281" s="163" t="s">
        <v>787</v>
      </c>
      <c r="P281" s="163">
        <v>205826.0</v>
      </c>
      <c r="Q281" s="163" t="s">
        <v>788</v>
      </c>
      <c r="R281" s="163"/>
      <c r="S281" s="163"/>
      <c r="T281" s="163"/>
      <c r="U281" s="163"/>
      <c r="V281" s="163" t="s">
        <v>748</v>
      </c>
      <c r="W281" s="163"/>
      <c r="X281" s="163"/>
      <c r="Y281" s="163"/>
      <c r="Z281" s="163"/>
    </row>
    <row r="282" ht="13.5" customHeight="1">
      <c r="A282" s="163" t="s">
        <v>782</v>
      </c>
      <c r="B282" s="163" t="s">
        <v>783</v>
      </c>
      <c r="C282" s="163" t="s">
        <v>1105</v>
      </c>
      <c r="D282" s="163" t="s">
        <v>785</v>
      </c>
      <c r="E282" s="164">
        <v>45545.0</v>
      </c>
      <c r="F282" s="163" t="s">
        <v>172</v>
      </c>
      <c r="G282" s="328">
        <v>-1781.43</v>
      </c>
      <c r="H282" s="328">
        <v>-1781.43</v>
      </c>
      <c r="I282" s="163"/>
      <c r="J282" s="163" t="s">
        <v>786</v>
      </c>
      <c r="K282" s="163"/>
      <c r="L282" s="163"/>
      <c r="M282" s="164">
        <v>45545.0</v>
      </c>
      <c r="N282" s="164">
        <v>45546.0</v>
      </c>
      <c r="O282" s="163" t="s">
        <v>787</v>
      </c>
      <c r="P282" s="163">
        <v>205826.0</v>
      </c>
      <c r="Q282" s="163" t="s">
        <v>788</v>
      </c>
      <c r="R282" s="163"/>
      <c r="S282" s="163"/>
      <c r="T282" s="163"/>
      <c r="U282" s="163"/>
      <c r="V282" s="163" t="s">
        <v>748</v>
      </c>
      <c r="W282" s="163"/>
      <c r="X282" s="163"/>
      <c r="Y282" s="163"/>
      <c r="Z282" s="163"/>
    </row>
    <row r="283" ht="13.5" customHeight="1">
      <c r="A283" s="163" t="s">
        <v>782</v>
      </c>
      <c r="B283" s="163" t="s">
        <v>783</v>
      </c>
      <c r="C283" s="163" t="s">
        <v>1106</v>
      </c>
      <c r="D283" s="163" t="s">
        <v>785</v>
      </c>
      <c r="E283" s="164">
        <v>45545.0</v>
      </c>
      <c r="F283" s="163" t="s">
        <v>172</v>
      </c>
      <c r="G283" s="328">
        <v>-1781.43</v>
      </c>
      <c r="H283" s="328">
        <v>-1781.43</v>
      </c>
      <c r="I283" s="163"/>
      <c r="J283" s="163" t="s">
        <v>786</v>
      </c>
      <c r="K283" s="163"/>
      <c r="L283" s="163"/>
      <c r="M283" s="164">
        <v>45545.0</v>
      </c>
      <c r="N283" s="164">
        <v>45546.0</v>
      </c>
      <c r="O283" s="163" t="s">
        <v>787</v>
      </c>
      <c r="P283" s="163">
        <v>205826.0</v>
      </c>
      <c r="Q283" s="163" t="s">
        <v>788</v>
      </c>
      <c r="R283" s="163"/>
      <c r="S283" s="163"/>
      <c r="T283" s="163"/>
      <c r="U283" s="163"/>
      <c r="V283" s="163" t="s">
        <v>748</v>
      </c>
      <c r="W283" s="163"/>
      <c r="X283" s="163"/>
      <c r="Y283" s="163"/>
      <c r="Z283" s="163"/>
    </row>
    <row r="284" ht="13.5" customHeight="1">
      <c r="A284" s="163" t="s">
        <v>782</v>
      </c>
      <c r="B284" s="163" t="s">
        <v>783</v>
      </c>
      <c r="C284" s="163" t="s">
        <v>1107</v>
      </c>
      <c r="D284" s="163" t="s">
        <v>785</v>
      </c>
      <c r="E284" s="164">
        <v>45545.0</v>
      </c>
      <c r="F284" s="163" t="s">
        <v>172</v>
      </c>
      <c r="G284" s="328">
        <v>-1781.43</v>
      </c>
      <c r="H284" s="328">
        <v>-1781.43</v>
      </c>
      <c r="I284" s="163"/>
      <c r="J284" s="163" t="s">
        <v>786</v>
      </c>
      <c r="K284" s="163"/>
      <c r="L284" s="163"/>
      <c r="M284" s="164">
        <v>45545.0</v>
      </c>
      <c r="N284" s="164">
        <v>45546.0</v>
      </c>
      <c r="O284" s="163" t="s">
        <v>787</v>
      </c>
      <c r="P284" s="163">
        <v>205826.0</v>
      </c>
      <c r="Q284" s="163" t="s">
        <v>788</v>
      </c>
      <c r="R284" s="163"/>
      <c r="S284" s="163"/>
      <c r="T284" s="163"/>
      <c r="U284" s="163"/>
      <c r="V284" s="163" t="s">
        <v>748</v>
      </c>
      <c r="W284" s="163"/>
      <c r="X284" s="163"/>
      <c r="Y284" s="163"/>
      <c r="Z284" s="163"/>
    </row>
    <row r="285" ht="13.5" customHeight="1">
      <c r="A285" s="163" t="s">
        <v>782</v>
      </c>
      <c r="B285" s="163" t="s">
        <v>783</v>
      </c>
      <c r="C285" s="163" t="s">
        <v>1108</v>
      </c>
      <c r="D285" s="163" t="s">
        <v>785</v>
      </c>
      <c r="E285" s="164">
        <v>45545.0</v>
      </c>
      <c r="F285" s="163" t="s">
        <v>172</v>
      </c>
      <c r="G285" s="328">
        <v>-1781.43</v>
      </c>
      <c r="H285" s="328">
        <v>-1781.43</v>
      </c>
      <c r="I285" s="163"/>
      <c r="J285" s="163" t="s">
        <v>786</v>
      </c>
      <c r="K285" s="163"/>
      <c r="L285" s="163"/>
      <c r="M285" s="164">
        <v>45545.0</v>
      </c>
      <c r="N285" s="164">
        <v>45546.0</v>
      </c>
      <c r="O285" s="163" t="s">
        <v>787</v>
      </c>
      <c r="P285" s="163">
        <v>205826.0</v>
      </c>
      <c r="Q285" s="163" t="s">
        <v>788</v>
      </c>
      <c r="R285" s="163"/>
      <c r="S285" s="163"/>
      <c r="T285" s="163"/>
      <c r="U285" s="163"/>
      <c r="V285" s="163" t="s">
        <v>748</v>
      </c>
      <c r="W285" s="163"/>
      <c r="X285" s="163"/>
      <c r="Y285" s="163"/>
      <c r="Z285" s="163"/>
    </row>
    <row r="286" ht="13.5" customHeight="1">
      <c r="A286" s="163" t="s">
        <v>782</v>
      </c>
      <c r="B286" s="163" t="s">
        <v>783</v>
      </c>
      <c r="C286" s="163" t="s">
        <v>1109</v>
      </c>
      <c r="D286" s="163" t="s">
        <v>785</v>
      </c>
      <c r="E286" s="164">
        <v>45545.0</v>
      </c>
      <c r="F286" s="163" t="s">
        <v>172</v>
      </c>
      <c r="G286" s="328">
        <v>-1781.43</v>
      </c>
      <c r="H286" s="328">
        <v>-1781.43</v>
      </c>
      <c r="I286" s="163"/>
      <c r="J286" s="163" t="s">
        <v>786</v>
      </c>
      <c r="K286" s="163"/>
      <c r="L286" s="163"/>
      <c r="M286" s="164">
        <v>45545.0</v>
      </c>
      <c r="N286" s="164">
        <v>45546.0</v>
      </c>
      <c r="O286" s="163" t="s">
        <v>787</v>
      </c>
      <c r="P286" s="163">
        <v>205826.0</v>
      </c>
      <c r="Q286" s="163" t="s">
        <v>788</v>
      </c>
      <c r="R286" s="163"/>
      <c r="S286" s="163"/>
      <c r="T286" s="163"/>
      <c r="U286" s="163"/>
      <c r="V286" s="163" t="s">
        <v>748</v>
      </c>
      <c r="W286" s="163"/>
      <c r="X286" s="163"/>
      <c r="Y286" s="163"/>
      <c r="Z286" s="163"/>
    </row>
    <row r="287" ht="13.5" customHeight="1">
      <c r="A287" s="163" t="s">
        <v>782</v>
      </c>
      <c r="B287" s="163" t="s">
        <v>783</v>
      </c>
      <c r="C287" s="163" t="s">
        <v>1110</v>
      </c>
      <c r="D287" s="163" t="s">
        <v>785</v>
      </c>
      <c r="E287" s="164">
        <v>45545.0</v>
      </c>
      <c r="F287" s="163" t="s">
        <v>172</v>
      </c>
      <c r="G287" s="328">
        <v>-1781.43</v>
      </c>
      <c r="H287" s="328">
        <v>-1781.43</v>
      </c>
      <c r="I287" s="163"/>
      <c r="J287" s="163" t="s">
        <v>786</v>
      </c>
      <c r="K287" s="163"/>
      <c r="L287" s="163"/>
      <c r="M287" s="164">
        <v>45545.0</v>
      </c>
      <c r="N287" s="164">
        <v>45546.0</v>
      </c>
      <c r="O287" s="163" t="s">
        <v>787</v>
      </c>
      <c r="P287" s="163">
        <v>205826.0</v>
      </c>
      <c r="Q287" s="163" t="s">
        <v>788</v>
      </c>
      <c r="R287" s="163"/>
      <c r="S287" s="163"/>
      <c r="T287" s="163"/>
      <c r="U287" s="163"/>
      <c r="V287" s="163" t="s">
        <v>748</v>
      </c>
      <c r="W287" s="163"/>
      <c r="X287" s="163"/>
      <c r="Y287" s="163"/>
      <c r="Z287" s="163"/>
    </row>
    <row r="288" ht="13.5" customHeight="1">
      <c r="A288" s="163" t="s">
        <v>782</v>
      </c>
      <c r="B288" s="163" t="s">
        <v>783</v>
      </c>
      <c r="C288" s="163" t="s">
        <v>1111</v>
      </c>
      <c r="D288" s="163" t="s">
        <v>785</v>
      </c>
      <c r="E288" s="164">
        <v>45545.0</v>
      </c>
      <c r="F288" s="163" t="s">
        <v>172</v>
      </c>
      <c r="G288" s="328">
        <v>-1781.43</v>
      </c>
      <c r="H288" s="328">
        <v>-1781.43</v>
      </c>
      <c r="I288" s="163"/>
      <c r="J288" s="163" t="s">
        <v>786</v>
      </c>
      <c r="K288" s="163"/>
      <c r="L288" s="163"/>
      <c r="M288" s="164">
        <v>45545.0</v>
      </c>
      <c r="N288" s="164">
        <v>45546.0</v>
      </c>
      <c r="O288" s="163" t="s">
        <v>787</v>
      </c>
      <c r="P288" s="163">
        <v>205826.0</v>
      </c>
      <c r="Q288" s="163" t="s">
        <v>788</v>
      </c>
      <c r="R288" s="163"/>
      <c r="S288" s="163"/>
      <c r="T288" s="163"/>
      <c r="U288" s="163"/>
      <c r="V288" s="163" t="s">
        <v>748</v>
      </c>
      <c r="W288" s="163"/>
      <c r="X288" s="163"/>
      <c r="Y288" s="163"/>
      <c r="Z288" s="163"/>
    </row>
    <row r="289" ht="13.5" customHeight="1">
      <c r="A289" s="163" t="s">
        <v>782</v>
      </c>
      <c r="B289" s="163" t="s">
        <v>783</v>
      </c>
      <c r="C289" s="163" t="s">
        <v>1112</v>
      </c>
      <c r="D289" s="163" t="s">
        <v>785</v>
      </c>
      <c r="E289" s="164">
        <v>45545.0</v>
      </c>
      <c r="F289" s="163" t="s">
        <v>172</v>
      </c>
      <c r="G289" s="328">
        <v>-1781.43</v>
      </c>
      <c r="H289" s="328">
        <v>-1781.43</v>
      </c>
      <c r="I289" s="163"/>
      <c r="J289" s="163" t="s">
        <v>786</v>
      </c>
      <c r="K289" s="163"/>
      <c r="L289" s="163"/>
      <c r="M289" s="164">
        <v>45545.0</v>
      </c>
      <c r="N289" s="164">
        <v>45546.0</v>
      </c>
      <c r="O289" s="163" t="s">
        <v>787</v>
      </c>
      <c r="P289" s="163">
        <v>205826.0</v>
      </c>
      <c r="Q289" s="163" t="s">
        <v>788</v>
      </c>
      <c r="R289" s="163"/>
      <c r="S289" s="163"/>
      <c r="T289" s="163"/>
      <c r="U289" s="163"/>
      <c r="V289" s="163" t="s">
        <v>748</v>
      </c>
      <c r="W289" s="163"/>
      <c r="X289" s="163"/>
      <c r="Y289" s="163"/>
      <c r="Z289" s="163"/>
    </row>
    <row r="290" ht="13.5" customHeight="1">
      <c r="A290" s="163" t="s">
        <v>782</v>
      </c>
      <c r="B290" s="163" t="s">
        <v>783</v>
      </c>
      <c r="C290" s="163" t="s">
        <v>1113</v>
      </c>
      <c r="D290" s="163" t="s">
        <v>785</v>
      </c>
      <c r="E290" s="164">
        <v>45545.0</v>
      </c>
      <c r="F290" s="163" t="s">
        <v>172</v>
      </c>
      <c r="G290" s="328">
        <v>-1781.43</v>
      </c>
      <c r="H290" s="328">
        <v>-1781.43</v>
      </c>
      <c r="I290" s="163"/>
      <c r="J290" s="163" t="s">
        <v>786</v>
      </c>
      <c r="K290" s="163"/>
      <c r="L290" s="163"/>
      <c r="M290" s="164">
        <v>45545.0</v>
      </c>
      <c r="N290" s="164">
        <v>45546.0</v>
      </c>
      <c r="O290" s="163" t="s">
        <v>787</v>
      </c>
      <c r="P290" s="163">
        <v>205826.0</v>
      </c>
      <c r="Q290" s="163" t="s">
        <v>788</v>
      </c>
      <c r="R290" s="163"/>
      <c r="S290" s="163"/>
      <c r="T290" s="163"/>
      <c r="U290" s="163"/>
      <c r="V290" s="163" t="s">
        <v>748</v>
      </c>
      <c r="W290" s="163"/>
      <c r="X290" s="163"/>
      <c r="Y290" s="163"/>
      <c r="Z290" s="163"/>
    </row>
    <row r="291" ht="13.5" customHeight="1">
      <c r="A291" s="163" t="s">
        <v>782</v>
      </c>
      <c r="B291" s="163" t="s">
        <v>783</v>
      </c>
      <c r="C291" s="163" t="s">
        <v>1114</v>
      </c>
      <c r="D291" s="163" t="s">
        <v>785</v>
      </c>
      <c r="E291" s="164">
        <v>45545.0</v>
      </c>
      <c r="F291" s="163" t="s">
        <v>172</v>
      </c>
      <c r="G291" s="328">
        <v>-1781.43</v>
      </c>
      <c r="H291" s="328">
        <v>-1781.43</v>
      </c>
      <c r="I291" s="163"/>
      <c r="J291" s="163" t="s">
        <v>786</v>
      </c>
      <c r="K291" s="163"/>
      <c r="L291" s="163"/>
      <c r="M291" s="164">
        <v>45545.0</v>
      </c>
      <c r="N291" s="164">
        <v>45546.0</v>
      </c>
      <c r="O291" s="163" t="s">
        <v>787</v>
      </c>
      <c r="P291" s="163">
        <v>205826.0</v>
      </c>
      <c r="Q291" s="163" t="s">
        <v>788</v>
      </c>
      <c r="R291" s="163"/>
      <c r="S291" s="163"/>
      <c r="T291" s="163"/>
      <c r="U291" s="163"/>
      <c r="V291" s="163" t="s">
        <v>748</v>
      </c>
      <c r="W291" s="163"/>
      <c r="X291" s="163"/>
      <c r="Y291" s="163"/>
      <c r="Z291" s="163"/>
    </row>
    <row r="292" ht="13.5" customHeight="1">
      <c r="A292" s="163" t="s">
        <v>782</v>
      </c>
      <c r="B292" s="163" t="s">
        <v>783</v>
      </c>
      <c r="C292" s="163" t="s">
        <v>1115</v>
      </c>
      <c r="D292" s="163" t="s">
        <v>785</v>
      </c>
      <c r="E292" s="164">
        <v>45545.0</v>
      </c>
      <c r="F292" s="163" t="s">
        <v>172</v>
      </c>
      <c r="G292" s="328">
        <v>-1781.43</v>
      </c>
      <c r="H292" s="328">
        <v>-1781.43</v>
      </c>
      <c r="I292" s="163"/>
      <c r="J292" s="163" t="s">
        <v>786</v>
      </c>
      <c r="K292" s="163"/>
      <c r="L292" s="163"/>
      <c r="M292" s="164">
        <v>45545.0</v>
      </c>
      <c r="N292" s="164">
        <v>45546.0</v>
      </c>
      <c r="O292" s="163" t="s">
        <v>787</v>
      </c>
      <c r="P292" s="163">
        <v>205826.0</v>
      </c>
      <c r="Q292" s="163" t="s">
        <v>788</v>
      </c>
      <c r="R292" s="163"/>
      <c r="S292" s="163"/>
      <c r="T292" s="163"/>
      <c r="U292" s="163"/>
      <c r="V292" s="163" t="s">
        <v>748</v>
      </c>
      <c r="W292" s="163"/>
      <c r="X292" s="163"/>
      <c r="Y292" s="163"/>
      <c r="Z292" s="163"/>
    </row>
    <row r="293" ht="13.5" customHeight="1">
      <c r="A293" s="163" t="s">
        <v>782</v>
      </c>
      <c r="B293" s="163" t="s">
        <v>783</v>
      </c>
      <c r="C293" s="163" t="s">
        <v>1116</v>
      </c>
      <c r="D293" s="163" t="s">
        <v>785</v>
      </c>
      <c r="E293" s="164">
        <v>45545.0</v>
      </c>
      <c r="F293" s="163" t="s">
        <v>172</v>
      </c>
      <c r="G293" s="328">
        <v>-1781.43</v>
      </c>
      <c r="H293" s="328">
        <v>-1781.43</v>
      </c>
      <c r="I293" s="163"/>
      <c r="J293" s="163" t="s">
        <v>786</v>
      </c>
      <c r="K293" s="163"/>
      <c r="L293" s="163"/>
      <c r="M293" s="164">
        <v>45545.0</v>
      </c>
      <c r="N293" s="164">
        <v>45546.0</v>
      </c>
      <c r="O293" s="163" t="s">
        <v>787</v>
      </c>
      <c r="P293" s="163">
        <v>205826.0</v>
      </c>
      <c r="Q293" s="163" t="s">
        <v>788</v>
      </c>
      <c r="R293" s="163"/>
      <c r="S293" s="163"/>
      <c r="T293" s="163"/>
      <c r="U293" s="163"/>
      <c r="V293" s="163" t="s">
        <v>748</v>
      </c>
      <c r="W293" s="163"/>
      <c r="X293" s="163"/>
      <c r="Y293" s="163"/>
      <c r="Z293" s="163"/>
    </row>
    <row r="294" ht="13.5" customHeight="1">
      <c r="A294" s="163" t="s">
        <v>782</v>
      </c>
      <c r="B294" s="163" t="s">
        <v>783</v>
      </c>
      <c r="C294" s="163" t="s">
        <v>1117</v>
      </c>
      <c r="D294" s="163" t="s">
        <v>785</v>
      </c>
      <c r="E294" s="164">
        <v>45545.0</v>
      </c>
      <c r="F294" s="163" t="s">
        <v>172</v>
      </c>
      <c r="G294" s="328">
        <v>-1781.43</v>
      </c>
      <c r="H294" s="328">
        <v>-1781.43</v>
      </c>
      <c r="I294" s="163"/>
      <c r="J294" s="163" t="s">
        <v>786</v>
      </c>
      <c r="K294" s="163"/>
      <c r="L294" s="163"/>
      <c r="M294" s="164">
        <v>45545.0</v>
      </c>
      <c r="N294" s="164">
        <v>45546.0</v>
      </c>
      <c r="O294" s="163" t="s">
        <v>787</v>
      </c>
      <c r="P294" s="163">
        <v>205826.0</v>
      </c>
      <c r="Q294" s="163" t="s">
        <v>788</v>
      </c>
      <c r="R294" s="163"/>
      <c r="S294" s="163"/>
      <c r="T294" s="163"/>
      <c r="U294" s="163"/>
      <c r="V294" s="163" t="s">
        <v>748</v>
      </c>
      <c r="W294" s="163"/>
      <c r="X294" s="163"/>
      <c r="Y294" s="163"/>
      <c r="Z294" s="163"/>
    </row>
    <row r="295" ht="13.5" customHeight="1">
      <c r="A295" s="163" t="s">
        <v>782</v>
      </c>
      <c r="B295" s="163" t="s">
        <v>783</v>
      </c>
      <c r="C295" s="163" t="s">
        <v>1118</v>
      </c>
      <c r="D295" s="163" t="s">
        <v>785</v>
      </c>
      <c r="E295" s="164">
        <v>45545.0</v>
      </c>
      <c r="F295" s="163" t="s">
        <v>172</v>
      </c>
      <c r="G295" s="328">
        <v>-1781.43</v>
      </c>
      <c r="H295" s="328">
        <v>-1781.43</v>
      </c>
      <c r="I295" s="163"/>
      <c r="J295" s="163" t="s">
        <v>786</v>
      </c>
      <c r="K295" s="163"/>
      <c r="L295" s="163"/>
      <c r="M295" s="164">
        <v>45545.0</v>
      </c>
      <c r="N295" s="164">
        <v>45546.0</v>
      </c>
      <c r="O295" s="163" t="s">
        <v>787</v>
      </c>
      <c r="P295" s="163">
        <v>205826.0</v>
      </c>
      <c r="Q295" s="163" t="s">
        <v>788</v>
      </c>
      <c r="R295" s="163"/>
      <c r="S295" s="163"/>
      <c r="T295" s="163"/>
      <c r="U295" s="163"/>
      <c r="V295" s="163" t="s">
        <v>748</v>
      </c>
      <c r="W295" s="163"/>
      <c r="X295" s="163"/>
      <c r="Y295" s="163"/>
      <c r="Z295" s="163"/>
    </row>
    <row r="296" ht="13.5" customHeight="1">
      <c r="A296" s="163" t="s">
        <v>782</v>
      </c>
      <c r="B296" s="163" t="s">
        <v>783</v>
      </c>
      <c r="C296" s="163" t="s">
        <v>1119</v>
      </c>
      <c r="D296" s="163" t="s">
        <v>785</v>
      </c>
      <c r="E296" s="164">
        <v>45545.0</v>
      </c>
      <c r="F296" s="163" t="s">
        <v>172</v>
      </c>
      <c r="G296" s="328">
        <v>-1781.43</v>
      </c>
      <c r="H296" s="328">
        <v>-1781.43</v>
      </c>
      <c r="I296" s="163"/>
      <c r="J296" s="163" t="s">
        <v>786</v>
      </c>
      <c r="K296" s="163"/>
      <c r="L296" s="163"/>
      <c r="M296" s="164">
        <v>45545.0</v>
      </c>
      <c r="N296" s="164">
        <v>45546.0</v>
      </c>
      <c r="O296" s="163" t="s">
        <v>787</v>
      </c>
      <c r="P296" s="163">
        <v>205826.0</v>
      </c>
      <c r="Q296" s="163" t="s">
        <v>788</v>
      </c>
      <c r="R296" s="163"/>
      <c r="S296" s="163"/>
      <c r="T296" s="163"/>
      <c r="U296" s="163"/>
      <c r="V296" s="163" t="s">
        <v>748</v>
      </c>
      <c r="W296" s="163"/>
      <c r="X296" s="163"/>
      <c r="Y296" s="163"/>
      <c r="Z296" s="163"/>
    </row>
    <row r="297" ht="13.5" customHeight="1">
      <c r="A297" s="163" t="s">
        <v>782</v>
      </c>
      <c r="B297" s="163" t="s">
        <v>783</v>
      </c>
      <c r="C297" s="163" t="s">
        <v>1120</v>
      </c>
      <c r="D297" s="163" t="s">
        <v>785</v>
      </c>
      <c r="E297" s="164">
        <v>45545.0</v>
      </c>
      <c r="F297" s="163" t="s">
        <v>172</v>
      </c>
      <c r="G297" s="328">
        <v>-1781.43</v>
      </c>
      <c r="H297" s="328">
        <v>-1781.43</v>
      </c>
      <c r="I297" s="163"/>
      <c r="J297" s="163" t="s">
        <v>786</v>
      </c>
      <c r="K297" s="163"/>
      <c r="L297" s="163"/>
      <c r="M297" s="164">
        <v>45545.0</v>
      </c>
      <c r="N297" s="164">
        <v>45546.0</v>
      </c>
      <c r="O297" s="163" t="s">
        <v>787</v>
      </c>
      <c r="P297" s="163">
        <v>205826.0</v>
      </c>
      <c r="Q297" s="163" t="s">
        <v>788</v>
      </c>
      <c r="R297" s="163"/>
      <c r="S297" s="163"/>
      <c r="T297" s="163"/>
      <c r="U297" s="163"/>
      <c r="V297" s="163" t="s">
        <v>748</v>
      </c>
      <c r="W297" s="163"/>
      <c r="X297" s="163"/>
      <c r="Y297" s="163"/>
      <c r="Z297" s="163"/>
    </row>
    <row r="298" ht="13.5" customHeight="1">
      <c r="A298" s="163" t="s">
        <v>782</v>
      </c>
      <c r="B298" s="163" t="s">
        <v>783</v>
      </c>
      <c r="C298" s="163" t="s">
        <v>1121</v>
      </c>
      <c r="D298" s="163" t="s">
        <v>785</v>
      </c>
      <c r="E298" s="164">
        <v>45545.0</v>
      </c>
      <c r="F298" s="163" t="s">
        <v>172</v>
      </c>
      <c r="G298" s="328">
        <v>-1781.43</v>
      </c>
      <c r="H298" s="328">
        <v>-1781.43</v>
      </c>
      <c r="I298" s="163"/>
      <c r="J298" s="163" t="s">
        <v>786</v>
      </c>
      <c r="K298" s="163"/>
      <c r="L298" s="163"/>
      <c r="M298" s="164">
        <v>45545.0</v>
      </c>
      <c r="N298" s="164">
        <v>45546.0</v>
      </c>
      <c r="O298" s="163" t="s">
        <v>787</v>
      </c>
      <c r="P298" s="163">
        <v>205826.0</v>
      </c>
      <c r="Q298" s="163" t="s">
        <v>788</v>
      </c>
      <c r="R298" s="163"/>
      <c r="S298" s="163"/>
      <c r="T298" s="163"/>
      <c r="U298" s="163"/>
      <c r="V298" s="163" t="s">
        <v>748</v>
      </c>
      <c r="W298" s="163"/>
      <c r="X298" s="163"/>
      <c r="Y298" s="163"/>
      <c r="Z298" s="163"/>
    </row>
    <row r="299" ht="13.5" customHeight="1">
      <c r="A299" s="163" t="s">
        <v>782</v>
      </c>
      <c r="B299" s="163" t="s">
        <v>783</v>
      </c>
      <c r="C299" s="163" t="s">
        <v>1122</v>
      </c>
      <c r="D299" s="163" t="s">
        <v>785</v>
      </c>
      <c r="E299" s="164">
        <v>45545.0</v>
      </c>
      <c r="F299" s="163" t="s">
        <v>172</v>
      </c>
      <c r="G299" s="328">
        <v>-1781.43</v>
      </c>
      <c r="H299" s="328">
        <v>-1781.43</v>
      </c>
      <c r="I299" s="163"/>
      <c r="J299" s="163" t="s">
        <v>786</v>
      </c>
      <c r="K299" s="163"/>
      <c r="L299" s="163"/>
      <c r="M299" s="164">
        <v>45545.0</v>
      </c>
      <c r="N299" s="164">
        <v>45546.0</v>
      </c>
      <c r="O299" s="163" t="s">
        <v>787</v>
      </c>
      <c r="P299" s="163">
        <v>205826.0</v>
      </c>
      <c r="Q299" s="163" t="s">
        <v>788</v>
      </c>
      <c r="R299" s="163"/>
      <c r="S299" s="163"/>
      <c r="T299" s="163"/>
      <c r="U299" s="163"/>
      <c r="V299" s="163" t="s">
        <v>748</v>
      </c>
      <c r="W299" s="163"/>
      <c r="X299" s="163"/>
      <c r="Y299" s="163"/>
      <c r="Z299" s="163"/>
    </row>
    <row r="300" ht="13.5" customHeight="1">
      <c r="A300" s="163" t="s">
        <v>782</v>
      </c>
      <c r="B300" s="163" t="s">
        <v>783</v>
      </c>
      <c r="C300" s="163" t="s">
        <v>1123</v>
      </c>
      <c r="D300" s="163" t="s">
        <v>785</v>
      </c>
      <c r="E300" s="164">
        <v>45545.0</v>
      </c>
      <c r="F300" s="163" t="s">
        <v>172</v>
      </c>
      <c r="G300" s="328">
        <v>-1147.35</v>
      </c>
      <c r="H300" s="328">
        <v>-1147.35</v>
      </c>
      <c r="I300" s="163"/>
      <c r="J300" s="163" t="s">
        <v>786</v>
      </c>
      <c r="K300" s="163"/>
      <c r="L300" s="163"/>
      <c r="M300" s="164">
        <v>45545.0</v>
      </c>
      <c r="N300" s="164">
        <v>45546.0</v>
      </c>
      <c r="O300" s="163" t="s">
        <v>787</v>
      </c>
      <c r="P300" s="163">
        <v>205826.0</v>
      </c>
      <c r="Q300" s="163" t="s">
        <v>788</v>
      </c>
      <c r="R300" s="163"/>
      <c r="S300" s="163"/>
      <c r="T300" s="163"/>
      <c r="U300" s="163"/>
      <c r="V300" s="163" t="s">
        <v>748</v>
      </c>
      <c r="W300" s="163"/>
      <c r="X300" s="163"/>
      <c r="Y300" s="163"/>
      <c r="Z300" s="163"/>
    </row>
    <row r="301" ht="13.5" customHeight="1">
      <c r="A301" s="163" t="s">
        <v>782</v>
      </c>
      <c r="B301" s="163" t="s">
        <v>783</v>
      </c>
      <c r="C301" s="163" t="s">
        <v>1124</v>
      </c>
      <c r="D301" s="163" t="s">
        <v>785</v>
      </c>
      <c r="E301" s="164">
        <v>45545.0</v>
      </c>
      <c r="F301" s="163" t="s">
        <v>172</v>
      </c>
      <c r="G301" s="328">
        <v>-1147.35</v>
      </c>
      <c r="H301" s="328">
        <v>-1147.35</v>
      </c>
      <c r="I301" s="163"/>
      <c r="J301" s="163" t="s">
        <v>786</v>
      </c>
      <c r="K301" s="163"/>
      <c r="L301" s="163"/>
      <c r="M301" s="164">
        <v>45545.0</v>
      </c>
      <c r="N301" s="164">
        <v>45546.0</v>
      </c>
      <c r="O301" s="163" t="s">
        <v>787</v>
      </c>
      <c r="P301" s="163">
        <v>205826.0</v>
      </c>
      <c r="Q301" s="163" t="s">
        <v>788</v>
      </c>
      <c r="R301" s="163"/>
      <c r="S301" s="163"/>
      <c r="T301" s="163"/>
      <c r="U301" s="163"/>
      <c r="V301" s="163" t="s">
        <v>748</v>
      </c>
      <c r="W301" s="163"/>
      <c r="X301" s="163"/>
      <c r="Y301" s="163"/>
      <c r="Z301" s="163"/>
    </row>
    <row r="302" ht="13.5" customHeight="1">
      <c r="A302" s="163" t="s">
        <v>782</v>
      </c>
      <c r="B302" s="163" t="s">
        <v>783</v>
      </c>
      <c r="C302" s="163" t="s">
        <v>1125</v>
      </c>
      <c r="D302" s="163" t="s">
        <v>785</v>
      </c>
      <c r="E302" s="164">
        <v>45545.0</v>
      </c>
      <c r="F302" s="163" t="s">
        <v>172</v>
      </c>
      <c r="G302" s="328">
        <v>-1147.35</v>
      </c>
      <c r="H302" s="328">
        <v>-1147.35</v>
      </c>
      <c r="I302" s="163"/>
      <c r="J302" s="163" t="s">
        <v>786</v>
      </c>
      <c r="K302" s="163"/>
      <c r="L302" s="163"/>
      <c r="M302" s="164">
        <v>45545.0</v>
      </c>
      <c r="N302" s="164">
        <v>45546.0</v>
      </c>
      <c r="O302" s="163" t="s">
        <v>787</v>
      </c>
      <c r="P302" s="163">
        <v>205826.0</v>
      </c>
      <c r="Q302" s="163" t="s">
        <v>788</v>
      </c>
      <c r="R302" s="163"/>
      <c r="S302" s="163"/>
      <c r="T302" s="163"/>
      <c r="U302" s="163"/>
      <c r="V302" s="163" t="s">
        <v>748</v>
      </c>
      <c r="W302" s="163"/>
      <c r="X302" s="163"/>
      <c r="Y302" s="163"/>
      <c r="Z302" s="163"/>
    </row>
    <row r="303" ht="13.5" customHeight="1">
      <c r="A303" s="163" t="s">
        <v>782</v>
      </c>
      <c r="B303" s="163" t="s">
        <v>783</v>
      </c>
      <c r="C303" s="163" t="s">
        <v>1126</v>
      </c>
      <c r="D303" s="163" t="s">
        <v>785</v>
      </c>
      <c r="E303" s="164">
        <v>45545.0</v>
      </c>
      <c r="F303" s="163" t="s">
        <v>172</v>
      </c>
      <c r="G303" s="328">
        <v>-1147.35</v>
      </c>
      <c r="H303" s="328">
        <v>-1147.35</v>
      </c>
      <c r="I303" s="163"/>
      <c r="J303" s="163" t="s">
        <v>786</v>
      </c>
      <c r="K303" s="163"/>
      <c r="L303" s="163"/>
      <c r="M303" s="164">
        <v>45545.0</v>
      </c>
      <c r="N303" s="164">
        <v>45546.0</v>
      </c>
      <c r="O303" s="163" t="s">
        <v>787</v>
      </c>
      <c r="P303" s="163">
        <v>205826.0</v>
      </c>
      <c r="Q303" s="163" t="s">
        <v>788</v>
      </c>
      <c r="R303" s="163"/>
      <c r="S303" s="163"/>
      <c r="T303" s="163"/>
      <c r="U303" s="163"/>
      <c r="V303" s="163" t="s">
        <v>748</v>
      </c>
      <c r="W303" s="163"/>
      <c r="X303" s="163"/>
      <c r="Y303" s="163"/>
      <c r="Z303" s="163"/>
    </row>
    <row r="304" ht="13.5" customHeight="1">
      <c r="A304" s="163" t="s">
        <v>782</v>
      </c>
      <c r="B304" s="163" t="s">
        <v>783</v>
      </c>
      <c r="C304" s="163" t="s">
        <v>1127</v>
      </c>
      <c r="D304" s="163" t="s">
        <v>785</v>
      </c>
      <c r="E304" s="164">
        <v>45545.0</v>
      </c>
      <c r="F304" s="163" t="s">
        <v>172</v>
      </c>
      <c r="G304" s="328">
        <v>-1147.35</v>
      </c>
      <c r="H304" s="328">
        <v>-1147.35</v>
      </c>
      <c r="I304" s="163"/>
      <c r="J304" s="163" t="s">
        <v>786</v>
      </c>
      <c r="K304" s="163"/>
      <c r="L304" s="163"/>
      <c r="M304" s="164">
        <v>45545.0</v>
      </c>
      <c r="N304" s="164">
        <v>45546.0</v>
      </c>
      <c r="O304" s="163" t="s">
        <v>787</v>
      </c>
      <c r="P304" s="163">
        <v>205826.0</v>
      </c>
      <c r="Q304" s="163" t="s">
        <v>788</v>
      </c>
      <c r="R304" s="163"/>
      <c r="S304" s="163"/>
      <c r="T304" s="163"/>
      <c r="U304" s="163"/>
      <c r="V304" s="163" t="s">
        <v>748</v>
      </c>
      <c r="W304" s="163"/>
      <c r="X304" s="163"/>
      <c r="Y304" s="163"/>
      <c r="Z304" s="163"/>
    </row>
    <row r="305" ht="13.5" customHeight="1">
      <c r="A305" s="163" t="s">
        <v>782</v>
      </c>
      <c r="B305" s="163" t="s">
        <v>783</v>
      </c>
      <c r="C305" s="163" t="s">
        <v>1128</v>
      </c>
      <c r="D305" s="163" t="s">
        <v>785</v>
      </c>
      <c r="E305" s="164">
        <v>45545.0</v>
      </c>
      <c r="F305" s="163" t="s">
        <v>172</v>
      </c>
      <c r="G305" s="328">
        <v>-1147.35</v>
      </c>
      <c r="H305" s="328">
        <v>-1147.35</v>
      </c>
      <c r="I305" s="163"/>
      <c r="J305" s="163" t="s">
        <v>786</v>
      </c>
      <c r="K305" s="163"/>
      <c r="L305" s="163"/>
      <c r="M305" s="164">
        <v>45545.0</v>
      </c>
      <c r="N305" s="164">
        <v>45546.0</v>
      </c>
      <c r="O305" s="163" t="s">
        <v>787</v>
      </c>
      <c r="P305" s="163">
        <v>205826.0</v>
      </c>
      <c r="Q305" s="163" t="s">
        <v>788</v>
      </c>
      <c r="R305" s="163"/>
      <c r="S305" s="163"/>
      <c r="T305" s="163"/>
      <c r="U305" s="163"/>
      <c r="V305" s="163" t="s">
        <v>748</v>
      </c>
      <c r="W305" s="163"/>
      <c r="X305" s="163"/>
      <c r="Y305" s="163"/>
      <c r="Z305" s="163"/>
    </row>
    <row r="306" ht="13.5" customHeight="1">
      <c r="A306" s="163" t="s">
        <v>782</v>
      </c>
      <c r="B306" s="163" t="s">
        <v>783</v>
      </c>
      <c r="C306" s="163" t="s">
        <v>1129</v>
      </c>
      <c r="D306" s="163" t="s">
        <v>785</v>
      </c>
      <c r="E306" s="164">
        <v>45545.0</v>
      </c>
      <c r="F306" s="163" t="s">
        <v>172</v>
      </c>
      <c r="G306" s="328">
        <v>-1147.35</v>
      </c>
      <c r="H306" s="328">
        <v>-1147.35</v>
      </c>
      <c r="I306" s="163"/>
      <c r="J306" s="163" t="s">
        <v>786</v>
      </c>
      <c r="K306" s="163"/>
      <c r="L306" s="163"/>
      <c r="M306" s="164">
        <v>45545.0</v>
      </c>
      <c r="N306" s="164">
        <v>45546.0</v>
      </c>
      <c r="O306" s="163" t="s">
        <v>787</v>
      </c>
      <c r="P306" s="163">
        <v>205826.0</v>
      </c>
      <c r="Q306" s="163" t="s">
        <v>788</v>
      </c>
      <c r="R306" s="163"/>
      <c r="S306" s="163"/>
      <c r="T306" s="163"/>
      <c r="U306" s="163"/>
      <c r="V306" s="163" t="s">
        <v>748</v>
      </c>
      <c r="W306" s="163"/>
      <c r="X306" s="163"/>
      <c r="Y306" s="163"/>
      <c r="Z306" s="163"/>
    </row>
    <row r="307" ht="13.5" customHeight="1">
      <c r="A307" s="163" t="s">
        <v>782</v>
      </c>
      <c r="B307" s="163" t="s">
        <v>783</v>
      </c>
      <c r="C307" s="163" t="s">
        <v>1130</v>
      </c>
      <c r="D307" s="163" t="s">
        <v>785</v>
      </c>
      <c r="E307" s="164">
        <v>45545.0</v>
      </c>
      <c r="F307" s="163" t="s">
        <v>172</v>
      </c>
      <c r="G307" s="328">
        <v>-1147.35</v>
      </c>
      <c r="H307" s="328">
        <v>-1147.35</v>
      </c>
      <c r="I307" s="163"/>
      <c r="J307" s="163" t="s">
        <v>786</v>
      </c>
      <c r="K307" s="163"/>
      <c r="L307" s="163"/>
      <c r="M307" s="164">
        <v>45545.0</v>
      </c>
      <c r="N307" s="164">
        <v>45546.0</v>
      </c>
      <c r="O307" s="163" t="s">
        <v>787</v>
      </c>
      <c r="P307" s="163">
        <v>205826.0</v>
      </c>
      <c r="Q307" s="163" t="s">
        <v>788</v>
      </c>
      <c r="R307" s="163"/>
      <c r="S307" s="163"/>
      <c r="T307" s="163"/>
      <c r="U307" s="163"/>
      <c r="V307" s="163" t="s">
        <v>748</v>
      </c>
      <c r="W307" s="163"/>
      <c r="X307" s="163"/>
      <c r="Y307" s="163"/>
      <c r="Z307" s="163"/>
    </row>
    <row r="308" ht="13.5" customHeight="1">
      <c r="A308" s="163" t="s">
        <v>782</v>
      </c>
      <c r="B308" s="163" t="s">
        <v>783</v>
      </c>
      <c r="C308" s="163" t="s">
        <v>1131</v>
      </c>
      <c r="D308" s="163" t="s">
        <v>785</v>
      </c>
      <c r="E308" s="164">
        <v>45545.0</v>
      </c>
      <c r="F308" s="163" t="s">
        <v>172</v>
      </c>
      <c r="G308" s="328">
        <v>-1147.35</v>
      </c>
      <c r="H308" s="328">
        <v>-1147.35</v>
      </c>
      <c r="I308" s="163"/>
      <c r="J308" s="163" t="s">
        <v>786</v>
      </c>
      <c r="K308" s="163"/>
      <c r="L308" s="163"/>
      <c r="M308" s="164">
        <v>45545.0</v>
      </c>
      <c r="N308" s="164">
        <v>45546.0</v>
      </c>
      <c r="O308" s="163" t="s">
        <v>787</v>
      </c>
      <c r="P308" s="163">
        <v>205826.0</v>
      </c>
      <c r="Q308" s="163" t="s">
        <v>788</v>
      </c>
      <c r="R308" s="163"/>
      <c r="S308" s="163"/>
      <c r="T308" s="163"/>
      <c r="U308" s="163"/>
      <c r="V308" s="163" t="s">
        <v>748</v>
      </c>
      <c r="W308" s="163"/>
      <c r="X308" s="163"/>
      <c r="Y308" s="163"/>
      <c r="Z308" s="163"/>
    </row>
    <row r="309" ht="13.5" customHeight="1">
      <c r="A309" s="163" t="s">
        <v>782</v>
      </c>
      <c r="B309" s="163" t="s">
        <v>783</v>
      </c>
      <c r="C309" s="163" t="s">
        <v>1132</v>
      </c>
      <c r="D309" s="163" t="s">
        <v>785</v>
      </c>
      <c r="E309" s="164">
        <v>45545.0</v>
      </c>
      <c r="F309" s="163" t="s">
        <v>172</v>
      </c>
      <c r="G309" s="328">
        <v>-1147.35</v>
      </c>
      <c r="H309" s="328">
        <v>-1147.35</v>
      </c>
      <c r="I309" s="163"/>
      <c r="J309" s="163" t="s">
        <v>786</v>
      </c>
      <c r="K309" s="163"/>
      <c r="L309" s="163"/>
      <c r="M309" s="164">
        <v>45545.0</v>
      </c>
      <c r="N309" s="164">
        <v>45546.0</v>
      </c>
      <c r="O309" s="163" t="s">
        <v>787</v>
      </c>
      <c r="P309" s="163">
        <v>205826.0</v>
      </c>
      <c r="Q309" s="163" t="s">
        <v>788</v>
      </c>
      <c r="R309" s="163"/>
      <c r="S309" s="163"/>
      <c r="T309" s="163"/>
      <c r="U309" s="163"/>
      <c r="V309" s="163" t="s">
        <v>748</v>
      </c>
      <c r="W309" s="163"/>
      <c r="X309" s="163"/>
      <c r="Y309" s="163"/>
      <c r="Z309" s="163"/>
    </row>
    <row r="310" ht="13.5" customHeight="1">
      <c r="A310" s="163" t="s">
        <v>782</v>
      </c>
      <c r="B310" s="163" t="s">
        <v>783</v>
      </c>
      <c r="C310" s="163" t="s">
        <v>1133</v>
      </c>
      <c r="D310" s="163" t="s">
        <v>785</v>
      </c>
      <c r="E310" s="164">
        <v>45545.0</v>
      </c>
      <c r="F310" s="163" t="s">
        <v>172</v>
      </c>
      <c r="G310" s="328">
        <v>-1147.35</v>
      </c>
      <c r="H310" s="328">
        <v>-1147.35</v>
      </c>
      <c r="I310" s="163"/>
      <c r="J310" s="163" t="s">
        <v>786</v>
      </c>
      <c r="K310" s="163"/>
      <c r="L310" s="163"/>
      <c r="M310" s="164">
        <v>45545.0</v>
      </c>
      <c r="N310" s="164">
        <v>45546.0</v>
      </c>
      <c r="O310" s="163" t="s">
        <v>787</v>
      </c>
      <c r="P310" s="163">
        <v>205826.0</v>
      </c>
      <c r="Q310" s="163" t="s">
        <v>788</v>
      </c>
      <c r="R310" s="163"/>
      <c r="S310" s="163"/>
      <c r="T310" s="163"/>
      <c r="U310" s="163"/>
      <c r="V310" s="163" t="s">
        <v>748</v>
      </c>
      <c r="W310" s="163"/>
      <c r="X310" s="163"/>
      <c r="Y310" s="163"/>
      <c r="Z310" s="163"/>
    </row>
    <row r="311" ht="13.5" customHeight="1">
      <c r="A311" s="163" t="s">
        <v>782</v>
      </c>
      <c r="B311" s="163" t="s">
        <v>783</v>
      </c>
      <c r="C311" s="163" t="s">
        <v>1134</v>
      </c>
      <c r="D311" s="163" t="s">
        <v>785</v>
      </c>
      <c r="E311" s="164">
        <v>45545.0</v>
      </c>
      <c r="F311" s="163" t="s">
        <v>172</v>
      </c>
      <c r="G311" s="328">
        <v>-1147.35</v>
      </c>
      <c r="H311" s="328">
        <v>-1147.35</v>
      </c>
      <c r="I311" s="163"/>
      <c r="J311" s="163" t="s">
        <v>786</v>
      </c>
      <c r="K311" s="163"/>
      <c r="L311" s="163"/>
      <c r="M311" s="164">
        <v>45545.0</v>
      </c>
      <c r="N311" s="164">
        <v>45546.0</v>
      </c>
      <c r="O311" s="163" t="s">
        <v>787</v>
      </c>
      <c r="P311" s="163">
        <v>205826.0</v>
      </c>
      <c r="Q311" s="163" t="s">
        <v>788</v>
      </c>
      <c r="R311" s="163"/>
      <c r="S311" s="163"/>
      <c r="T311" s="163"/>
      <c r="U311" s="163"/>
      <c r="V311" s="163" t="s">
        <v>748</v>
      </c>
      <c r="W311" s="163"/>
      <c r="X311" s="163"/>
      <c r="Y311" s="163"/>
      <c r="Z311" s="163"/>
    </row>
    <row r="312" ht="13.5" customHeight="1">
      <c r="A312" s="163" t="s">
        <v>782</v>
      </c>
      <c r="B312" s="163" t="s">
        <v>783</v>
      </c>
      <c r="C312" s="163" t="s">
        <v>1135</v>
      </c>
      <c r="D312" s="163" t="s">
        <v>785</v>
      </c>
      <c r="E312" s="164">
        <v>45545.0</v>
      </c>
      <c r="F312" s="163" t="s">
        <v>172</v>
      </c>
      <c r="G312" s="328">
        <v>-1147.35</v>
      </c>
      <c r="H312" s="328">
        <v>-1147.35</v>
      </c>
      <c r="I312" s="163"/>
      <c r="J312" s="163" t="s">
        <v>786</v>
      </c>
      <c r="K312" s="163"/>
      <c r="L312" s="163"/>
      <c r="M312" s="164">
        <v>45545.0</v>
      </c>
      <c r="N312" s="164">
        <v>45546.0</v>
      </c>
      <c r="O312" s="163" t="s">
        <v>787</v>
      </c>
      <c r="P312" s="163">
        <v>205826.0</v>
      </c>
      <c r="Q312" s="163" t="s">
        <v>788</v>
      </c>
      <c r="R312" s="163"/>
      <c r="S312" s="163"/>
      <c r="T312" s="163"/>
      <c r="U312" s="163"/>
      <c r="V312" s="163" t="s">
        <v>748</v>
      </c>
      <c r="W312" s="163"/>
      <c r="X312" s="163"/>
      <c r="Y312" s="163"/>
      <c r="Z312" s="163"/>
    </row>
    <row r="313" ht="13.5" customHeight="1">
      <c r="A313" s="163" t="s">
        <v>782</v>
      </c>
      <c r="B313" s="163" t="s">
        <v>783</v>
      </c>
      <c r="C313" s="163" t="s">
        <v>1136</v>
      </c>
      <c r="D313" s="163" t="s">
        <v>785</v>
      </c>
      <c r="E313" s="164">
        <v>45545.0</v>
      </c>
      <c r="F313" s="163" t="s">
        <v>172</v>
      </c>
      <c r="G313" s="328">
        <v>-1147.35</v>
      </c>
      <c r="H313" s="328">
        <v>-1147.35</v>
      </c>
      <c r="I313" s="163"/>
      <c r="J313" s="163" t="s">
        <v>786</v>
      </c>
      <c r="K313" s="163"/>
      <c r="L313" s="163"/>
      <c r="M313" s="164">
        <v>45545.0</v>
      </c>
      <c r="N313" s="164">
        <v>45546.0</v>
      </c>
      <c r="O313" s="163" t="s">
        <v>787</v>
      </c>
      <c r="P313" s="163">
        <v>205826.0</v>
      </c>
      <c r="Q313" s="163" t="s">
        <v>788</v>
      </c>
      <c r="R313" s="163"/>
      <c r="S313" s="163"/>
      <c r="T313" s="163"/>
      <c r="U313" s="163"/>
      <c r="V313" s="163" t="s">
        <v>748</v>
      </c>
      <c r="W313" s="163"/>
      <c r="X313" s="163"/>
      <c r="Y313" s="163"/>
      <c r="Z313" s="163"/>
    </row>
    <row r="314" ht="13.5" customHeight="1">
      <c r="A314" s="163" t="s">
        <v>782</v>
      </c>
      <c r="B314" s="163" t="s">
        <v>783</v>
      </c>
      <c r="C314" s="163" t="s">
        <v>1137</v>
      </c>
      <c r="D314" s="163" t="s">
        <v>785</v>
      </c>
      <c r="E314" s="164">
        <v>45545.0</v>
      </c>
      <c r="F314" s="163" t="s">
        <v>172</v>
      </c>
      <c r="G314" s="328">
        <v>-1147.35</v>
      </c>
      <c r="H314" s="328">
        <v>-1147.35</v>
      </c>
      <c r="I314" s="163"/>
      <c r="J314" s="163" t="s">
        <v>786</v>
      </c>
      <c r="K314" s="163"/>
      <c r="L314" s="163"/>
      <c r="M314" s="164">
        <v>45545.0</v>
      </c>
      <c r="N314" s="164">
        <v>45546.0</v>
      </c>
      <c r="O314" s="163" t="s">
        <v>787</v>
      </c>
      <c r="P314" s="163">
        <v>205826.0</v>
      </c>
      <c r="Q314" s="163" t="s">
        <v>788</v>
      </c>
      <c r="R314" s="163"/>
      <c r="S314" s="163"/>
      <c r="T314" s="163"/>
      <c r="U314" s="163"/>
      <c r="V314" s="163" t="s">
        <v>748</v>
      </c>
      <c r="W314" s="163"/>
      <c r="X314" s="163"/>
      <c r="Y314" s="163"/>
      <c r="Z314" s="163"/>
    </row>
    <row r="315" ht="13.5" customHeight="1">
      <c r="A315" s="163" t="s">
        <v>782</v>
      </c>
      <c r="B315" s="163" t="s">
        <v>783</v>
      </c>
      <c r="C315" s="163" t="s">
        <v>1138</v>
      </c>
      <c r="D315" s="163" t="s">
        <v>785</v>
      </c>
      <c r="E315" s="164">
        <v>45545.0</v>
      </c>
      <c r="F315" s="163" t="s">
        <v>172</v>
      </c>
      <c r="G315" s="328">
        <v>-1147.35</v>
      </c>
      <c r="H315" s="328">
        <v>-1147.35</v>
      </c>
      <c r="I315" s="163"/>
      <c r="J315" s="163" t="s">
        <v>786</v>
      </c>
      <c r="K315" s="163"/>
      <c r="L315" s="163"/>
      <c r="M315" s="164">
        <v>45545.0</v>
      </c>
      <c r="N315" s="164">
        <v>45546.0</v>
      </c>
      <c r="O315" s="163" t="s">
        <v>787</v>
      </c>
      <c r="P315" s="163">
        <v>205826.0</v>
      </c>
      <c r="Q315" s="163" t="s">
        <v>788</v>
      </c>
      <c r="R315" s="163"/>
      <c r="S315" s="163"/>
      <c r="T315" s="163"/>
      <c r="U315" s="163"/>
      <c r="V315" s="163" t="s">
        <v>748</v>
      </c>
      <c r="W315" s="163"/>
      <c r="X315" s="163"/>
      <c r="Y315" s="163"/>
      <c r="Z315" s="163"/>
    </row>
    <row r="316" ht="13.5" customHeight="1">
      <c r="A316" s="163" t="s">
        <v>782</v>
      </c>
      <c r="B316" s="163" t="s">
        <v>783</v>
      </c>
      <c r="C316" s="163" t="s">
        <v>1139</v>
      </c>
      <c r="D316" s="163" t="s">
        <v>785</v>
      </c>
      <c r="E316" s="164">
        <v>45545.0</v>
      </c>
      <c r="F316" s="163" t="s">
        <v>172</v>
      </c>
      <c r="G316" s="328">
        <v>-1147.35</v>
      </c>
      <c r="H316" s="328">
        <v>-1147.35</v>
      </c>
      <c r="I316" s="163"/>
      <c r="J316" s="163" t="s">
        <v>786</v>
      </c>
      <c r="K316" s="163"/>
      <c r="L316" s="163"/>
      <c r="M316" s="164">
        <v>45545.0</v>
      </c>
      <c r="N316" s="164">
        <v>45546.0</v>
      </c>
      <c r="O316" s="163" t="s">
        <v>787</v>
      </c>
      <c r="P316" s="163">
        <v>205826.0</v>
      </c>
      <c r="Q316" s="163" t="s">
        <v>788</v>
      </c>
      <c r="R316" s="163"/>
      <c r="S316" s="163"/>
      <c r="T316" s="163"/>
      <c r="U316" s="163"/>
      <c r="V316" s="163" t="s">
        <v>748</v>
      </c>
      <c r="W316" s="163"/>
      <c r="X316" s="163"/>
      <c r="Y316" s="163"/>
      <c r="Z316" s="163"/>
    </row>
    <row r="317" ht="13.5" customHeight="1">
      <c r="A317" s="163" t="s">
        <v>782</v>
      </c>
      <c r="B317" s="163" t="s">
        <v>783</v>
      </c>
      <c r="C317" s="163" t="s">
        <v>1140</v>
      </c>
      <c r="D317" s="163" t="s">
        <v>785</v>
      </c>
      <c r="E317" s="164">
        <v>45545.0</v>
      </c>
      <c r="F317" s="163" t="s">
        <v>172</v>
      </c>
      <c r="G317" s="328">
        <v>-1147.35</v>
      </c>
      <c r="H317" s="328">
        <v>-1147.35</v>
      </c>
      <c r="I317" s="163"/>
      <c r="J317" s="163" t="s">
        <v>786</v>
      </c>
      <c r="K317" s="163"/>
      <c r="L317" s="163"/>
      <c r="M317" s="164">
        <v>45545.0</v>
      </c>
      <c r="N317" s="164">
        <v>45546.0</v>
      </c>
      <c r="O317" s="163" t="s">
        <v>787</v>
      </c>
      <c r="P317" s="163">
        <v>205826.0</v>
      </c>
      <c r="Q317" s="163" t="s">
        <v>788</v>
      </c>
      <c r="R317" s="163"/>
      <c r="S317" s="163"/>
      <c r="T317" s="163"/>
      <c r="U317" s="163"/>
      <c r="V317" s="163" t="s">
        <v>748</v>
      </c>
      <c r="W317" s="163"/>
      <c r="X317" s="163"/>
      <c r="Y317" s="163"/>
      <c r="Z317" s="163"/>
    </row>
    <row r="318" ht="13.5" customHeight="1">
      <c r="A318" s="163" t="s">
        <v>782</v>
      </c>
      <c r="B318" s="163" t="s">
        <v>783</v>
      </c>
      <c r="C318" s="163" t="s">
        <v>1141</v>
      </c>
      <c r="D318" s="163" t="s">
        <v>785</v>
      </c>
      <c r="E318" s="164">
        <v>45545.0</v>
      </c>
      <c r="F318" s="163" t="s">
        <v>172</v>
      </c>
      <c r="G318" s="328">
        <v>-1147.35</v>
      </c>
      <c r="H318" s="328">
        <v>-1147.35</v>
      </c>
      <c r="I318" s="163"/>
      <c r="J318" s="163" t="s">
        <v>786</v>
      </c>
      <c r="K318" s="163"/>
      <c r="L318" s="163"/>
      <c r="M318" s="164">
        <v>45545.0</v>
      </c>
      <c r="N318" s="164">
        <v>45546.0</v>
      </c>
      <c r="O318" s="163" t="s">
        <v>787</v>
      </c>
      <c r="P318" s="163">
        <v>205826.0</v>
      </c>
      <c r="Q318" s="163" t="s">
        <v>788</v>
      </c>
      <c r="R318" s="163"/>
      <c r="S318" s="163"/>
      <c r="T318" s="163"/>
      <c r="U318" s="163"/>
      <c r="V318" s="163" t="s">
        <v>748</v>
      </c>
      <c r="W318" s="163"/>
      <c r="X318" s="163"/>
      <c r="Y318" s="163"/>
      <c r="Z318" s="163"/>
    </row>
    <row r="319" ht="13.5" customHeight="1">
      <c r="A319" s="163" t="s">
        <v>782</v>
      </c>
      <c r="B319" s="163" t="s">
        <v>783</v>
      </c>
      <c r="C319" s="163" t="s">
        <v>1142</v>
      </c>
      <c r="D319" s="163" t="s">
        <v>785</v>
      </c>
      <c r="E319" s="164">
        <v>45545.0</v>
      </c>
      <c r="F319" s="163" t="s">
        <v>172</v>
      </c>
      <c r="G319" s="328">
        <v>-1147.35</v>
      </c>
      <c r="H319" s="328">
        <v>-1147.35</v>
      </c>
      <c r="I319" s="163"/>
      <c r="J319" s="163" t="s">
        <v>786</v>
      </c>
      <c r="K319" s="163"/>
      <c r="L319" s="163"/>
      <c r="M319" s="164">
        <v>45545.0</v>
      </c>
      <c r="N319" s="164">
        <v>45546.0</v>
      </c>
      <c r="O319" s="163" t="s">
        <v>787</v>
      </c>
      <c r="P319" s="163">
        <v>205826.0</v>
      </c>
      <c r="Q319" s="163" t="s">
        <v>788</v>
      </c>
      <c r="R319" s="163"/>
      <c r="S319" s="163"/>
      <c r="T319" s="163"/>
      <c r="U319" s="163"/>
      <c r="V319" s="163" t="s">
        <v>748</v>
      </c>
      <c r="W319" s="163"/>
      <c r="X319" s="163"/>
      <c r="Y319" s="163"/>
      <c r="Z319" s="163"/>
    </row>
    <row r="320" ht="13.5" customHeight="1">
      <c r="A320" s="163" t="s">
        <v>782</v>
      </c>
      <c r="B320" s="163" t="s">
        <v>783</v>
      </c>
      <c r="C320" s="163" t="s">
        <v>1143</v>
      </c>
      <c r="D320" s="163" t="s">
        <v>785</v>
      </c>
      <c r="E320" s="164">
        <v>45545.0</v>
      </c>
      <c r="F320" s="163" t="s">
        <v>172</v>
      </c>
      <c r="G320" s="328">
        <v>-1147.35</v>
      </c>
      <c r="H320" s="328">
        <v>-1147.35</v>
      </c>
      <c r="I320" s="163"/>
      <c r="J320" s="163" t="s">
        <v>786</v>
      </c>
      <c r="K320" s="163"/>
      <c r="L320" s="163"/>
      <c r="M320" s="164">
        <v>45545.0</v>
      </c>
      <c r="N320" s="164">
        <v>45546.0</v>
      </c>
      <c r="O320" s="163" t="s">
        <v>787</v>
      </c>
      <c r="P320" s="163">
        <v>205826.0</v>
      </c>
      <c r="Q320" s="163" t="s">
        <v>788</v>
      </c>
      <c r="R320" s="163"/>
      <c r="S320" s="163"/>
      <c r="T320" s="163"/>
      <c r="U320" s="163"/>
      <c r="V320" s="163" t="s">
        <v>748</v>
      </c>
      <c r="W320" s="163"/>
      <c r="X320" s="163"/>
      <c r="Y320" s="163"/>
      <c r="Z320" s="163"/>
    </row>
    <row r="321" ht="13.5" customHeight="1">
      <c r="A321" s="163" t="s">
        <v>782</v>
      </c>
      <c r="B321" s="163" t="s">
        <v>783</v>
      </c>
      <c r="C321" s="163" t="s">
        <v>1144</v>
      </c>
      <c r="D321" s="163" t="s">
        <v>785</v>
      </c>
      <c r="E321" s="164">
        <v>45545.0</v>
      </c>
      <c r="F321" s="163" t="s">
        <v>172</v>
      </c>
      <c r="G321" s="328">
        <v>-1147.35</v>
      </c>
      <c r="H321" s="328">
        <v>-1147.35</v>
      </c>
      <c r="I321" s="163"/>
      <c r="J321" s="163" t="s">
        <v>786</v>
      </c>
      <c r="K321" s="163"/>
      <c r="L321" s="163"/>
      <c r="M321" s="164">
        <v>45545.0</v>
      </c>
      <c r="N321" s="164">
        <v>45546.0</v>
      </c>
      <c r="O321" s="163" t="s">
        <v>787</v>
      </c>
      <c r="P321" s="163">
        <v>205826.0</v>
      </c>
      <c r="Q321" s="163" t="s">
        <v>788</v>
      </c>
      <c r="R321" s="163"/>
      <c r="S321" s="163"/>
      <c r="T321" s="163"/>
      <c r="U321" s="163"/>
      <c r="V321" s="163" t="s">
        <v>748</v>
      </c>
      <c r="W321" s="163"/>
      <c r="X321" s="163"/>
      <c r="Y321" s="163"/>
      <c r="Z321" s="163"/>
    </row>
    <row r="322" ht="13.5" customHeight="1">
      <c r="A322" s="163" t="s">
        <v>782</v>
      </c>
      <c r="B322" s="163" t="s">
        <v>783</v>
      </c>
      <c r="C322" s="163" t="s">
        <v>1145</v>
      </c>
      <c r="D322" s="163" t="s">
        <v>785</v>
      </c>
      <c r="E322" s="164">
        <v>45545.0</v>
      </c>
      <c r="F322" s="163" t="s">
        <v>172</v>
      </c>
      <c r="G322" s="328">
        <v>-1147.35</v>
      </c>
      <c r="H322" s="328">
        <v>-1147.35</v>
      </c>
      <c r="I322" s="163"/>
      <c r="J322" s="163" t="s">
        <v>786</v>
      </c>
      <c r="K322" s="163"/>
      <c r="L322" s="163"/>
      <c r="M322" s="164">
        <v>45545.0</v>
      </c>
      <c r="N322" s="164">
        <v>45546.0</v>
      </c>
      <c r="O322" s="163" t="s">
        <v>787</v>
      </c>
      <c r="P322" s="163">
        <v>205826.0</v>
      </c>
      <c r="Q322" s="163" t="s">
        <v>788</v>
      </c>
      <c r="R322" s="163"/>
      <c r="S322" s="163"/>
      <c r="T322" s="163"/>
      <c r="U322" s="163"/>
      <c r="V322" s="163" t="s">
        <v>748</v>
      </c>
      <c r="W322" s="163"/>
      <c r="X322" s="163"/>
      <c r="Y322" s="163"/>
      <c r="Z322" s="163"/>
    </row>
    <row r="323" ht="13.5" customHeight="1">
      <c r="A323" s="163" t="s">
        <v>782</v>
      </c>
      <c r="B323" s="163" t="s">
        <v>783</v>
      </c>
      <c r="C323" s="163" t="s">
        <v>1146</v>
      </c>
      <c r="D323" s="163" t="s">
        <v>785</v>
      </c>
      <c r="E323" s="164">
        <v>45545.0</v>
      </c>
      <c r="F323" s="163" t="s">
        <v>172</v>
      </c>
      <c r="G323" s="328">
        <v>-1147.35</v>
      </c>
      <c r="H323" s="328">
        <v>-1147.35</v>
      </c>
      <c r="I323" s="163"/>
      <c r="J323" s="163" t="s">
        <v>786</v>
      </c>
      <c r="K323" s="163"/>
      <c r="L323" s="163"/>
      <c r="M323" s="164">
        <v>45545.0</v>
      </c>
      <c r="N323" s="164">
        <v>45546.0</v>
      </c>
      <c r="O323" s="163" t="s">
        <v>787</v>
      </c>
      <c r="P323" s="163">
        <v>205826.0</v>
      </c>
      <c r="Q323" s="163" t="s">
        <v>788</v>
      </c>
      <c r="R323" s="163"/>
      <c r="S323" s="163"/>
      <c r="T323" s="163"/>
      <c r="U323" s="163"/>
      <c r="V323" s="163" t="s">
        <v>748</v>
      </c>
      <c r="W323" s="163"/>
      <c r="X323" s="163"/>
      <c r="Y323" s="163"/>
      <c r="Z323" s="163"/>
    </row>
    <row r="324" ht="13.5" customHeight="1">
      <c r="A324" s="163" t="s">
        <v>782</v>
      </c>
      <c r="B324" s="163" t="s">
        <v>783</v>
      </c>
      <c r="C324" s="163" t="s">
        <v>1147</v>
      </c>
      <c r="D324" s="163" t="s">
        <v>785</v>
      </c>
      <c r="E324" s="164">
        <v>45545.0</v>
      </c>
      <c r="F324" s="163" t="s">
        <v>172</v>
      </c>
      <c r="G324" s="328">
        <v>-1147.35</v>
      </c>
      <c r="H324" s="328">
        <v>-1147.35</v>
      </c>
      <c r="I324" s="163"/>
      <c r="J324" s="163" t="s">
        <v>786</v>
      </c>
      <c r="K324" s="163"/>
      <c r="L324" s="163"/>
      <c r="M324" s="164">
        <v>45545.0</v>
      </c>
      <c r="N324" s="164">
        <v>45546.0</v>
      </c>
      <c r="O324" s="163" t="s">
        <v>787</v>
      </c>
      <c r="P324" s="163">
        <v>205826.0</v>
      </c>
      <c r="Q324" s="163" t="s">
        <v>788</v>
      </c>
      <c r="R324" s="163"/>
      <c r="S324" s="163"/>
      <c r="T324" s="163"/>
      <c r="U324" s="163"/>
      <c r="V324" s="163" t="s">
        <v>748</v>
      </c>
      <c r="W324" s="163"/>
      <c r="X324" s="163"/>
      <c r="Y324" s="163"/>
      <c r="Z324" s="163"/>
    </row>
    <row r="325" ht="13.5" customHeight="1">
      <c r="A325" s="163" t="s">
        <v>782</v>
      </c>
      <c r="B325" s="163" t="s">
        <v>783</v>
      </c>
      <c r="C325" s="163" t="s">
        <v>1148</v>
      </c>
      <c r="D325" s="163" t="s">
        <v>785</v>
      </c>
      <c r="E325" s="164">
        <v>45545.0</v>
      </c>
      <c r="F325" s="163" t="s">
        <v>172</v>
      </c>
      <c r="G325" s="328">
        <v>-1147.35</v>
      </c>
      <c r="H325" s="328">
        <v>-1147.35</v>
      </c>
      <c r="I325" s="163"/>
      <c r="J325" s="163" t="s">
        <v>786</v>
      </c>
      <c r="K325" s="163"/>
      <c r="L325" s="163"/>
      <c r="M325" s="164">
        <v>45545.0</v>
      </c>
      <c r="N325" s="164">
        <v>45546.0</v>
      </c>
      <c r="O325" s="163" t="s">
        <v>787</v>
      </c>
      <c r="P325" s="163">
        <v>205826.0</v>
      </c>
      <c r="Q325" s="163" t="s">
        <v>788</v>
      </c>
      <c r="R325" s="163"/>
      <c r="S325" s="163"/>
      <c r="T325" s="163"/>
      <c r="U325" s="163"/>
      <c r="V325" s="163" t="s">
        <v>748</v>
      </c>
      <c r="W325" s="163"/>
      <c r="X325" s="163"/>
      <c r="Y325" s="163"/>
      <c r="Z325" s="163"/>
    </row>
    <row r="326" ht="13.5" customHeight="1">
      <c r="A326" s="163" t="s">
        <v>782</v>
      </c>
      <c r="B326" s="163" t="s">
        <v>783</v>
      </c>
      <c r="C326" s="163" t="s">
        <v>1149</v>
      </c>
      <c r="D326" s="163" t="s">
        <v>785</v>
      </c>
      <c r="E326" s="164">
        <v>45545.0</v>
      </c>
      <c r="F326" s="163" t="s">
        <v>172</v>
      </c>
      <c r="G326" s="328">
        <v>-1147.35</v>
      </c>
      <c r="H326" s="328">
        <v>-1147.35</v>
      </c>
      <c r="I326" s="163"/>
      <c r="J326" s="163" t="s">
        <v>786</v>
      </c>
      <c r="K326" s="163"/>
      <c r="L326" s="163"/>
      <c r="M326" s="164">
        <v>45545.0</v>
      </c>
      <c r="N326" s="164">
        <v>45546.0</v>
      </c>
      <c r="O326" s="163" t="s">
        <v>787</v>
      </c>
      <c r="P326" s="163">
        <v>205826.0</v>
      </c>
      <c r="Q326" s="163" t="s">
        <v>788</v>
      </c>
      <c r="R326" s="163"/>
      <c r="S326" s="163"/>
      <c r="T326" s="163"/>
      <c r="U326" s="163"/>
      <c r="V326" s="163" t="s">
        <v>748</v>
      </c>
      <c r="W326" s="163"/>
      <c r="X326" s="163"/>
      <c r="Y326" s="163"/>
      <c r="Z326" s="163"/>
    </row>
    <row r="327" ht="13.5" customHeight="1">
      <c r="A327" s="163" t="s">
        <v>782</v>
      </c>
      <c r="B327" s="163" t="s">
        <v>783</v>
      </c>
      <c r="C327" s="163" t="s">
        <v>1150</v>
      </c>
      <c r="D327" s="163" t="s">
        <v>785</v>
      </c>
      <c r="E327" s="164">
        <v>45545.0</v>
      </c>
      <c r="F327" s="163" t="s">
        <v>172</v>
      </c>
      <c r="G327" s="328">
        <v>-1147.35</v>
      </c>
      <c r="H327" s="328">
        <v>-1147.35</v>
      </c>
      <c r="I327" s="163"/>
      <c r="J327" s="163" t="s">
        <v>786</v>
      </c>
      <c r="K327" s="163"/>
      <c r="L327" s="163"/>
      <c r="M327" s="164">
        <v>45545.0</v>
      </c>
      <c r="N327" s="164">
        <v>45546.0</v>
      </c>
      <c r="O327" s="163" t="s">
        <v>787</v>
      </c>
      <c r="P327" s="163">
        <v>205826.0</v>
      </c>
      <c r="Q327" s="163" t="s">
        <v>788</v>
      </c>
      <c r="R327" s="163"/>
      <c r="S327" s="163"/>
      <c r="T327" s="163"/>
      <c r="U327" s="163"/>
      <c r="V327" s="163" t="s">
        <v>748</v>
      </c>
      <c r="W327" s="163"/>
      <c r="X327" s="163"/>
      <c r="Y327" s="163"/>
      <c r="Z327" s="163"/>
    </row>
    <row r="328" ht="13.5" customHeight="1">
      <c r="A328" s="163" t="s">
        <v>782</v>
      </c>
      <c r="B328" s="163" t="s">
        <v>783</v>
      </c>
      <c r="C328" s="163" t="s">
        <v>1151</v>
      </c>
      <c r="D328" s="163" t="s">
        <v>785</v>
      </c>
      <c r="E328" s="164">
        <v>45545.0</v>
      </c>
      <c r="F328" s="163" t="s">
        <v>172</v>
      </c>
      <c r="G328" s="328">
        <v>-1147.35</v>
      </c>
      <c r="H328" s="328">
        <v>-1147.35</v>
      </c>
      <c r="I328" s="163"/>
      <c r="J328" s="163" t="s">
        <v>786</v>
      </c>
      <c r="K328" s="163"/>
      <c r="L328" s="163"/>
      <c r="M328" s="164">
        <v>45545.0</v>
      </c>
      <c r="N328" s="164">
        <v>45546.0</v>
      </c>
      <c r="O328" s="163" t="s">
        <v>787</v>
      </c>
      <c r="P328" s="163">
        <v>205826.0</v>
      </c>
      <c r="Q328" s="163" t="s">
        <v>788</v>
      </c>
      <c r="R328" s="163"/>
      <c r="S328" s="163"/>
      <c r="T328" s="163"/>
      <c r="U328" s="163"/>
      <c r="V328" s="163" t="s">
        <v>748</v>
      </c>
      <c r="W328" s="163"/>
      <c r="X328" s="163"/>
      <c r="Y328" s="163"/>
      <c r="Z328" s="163"/>
    </row>
    <row r="329" ht="13.5" customHeight="1">
      <c r="A329" s="163" t="s">
        <v>782</v>
      </c>
      <c r="B329" s="163" t="s">
        <v>783</v>
      </c>
      <c r="C329" s="163" t="s">
        <v>1152</v>
      </c>
      <c r="D329" s="163" t="s">
        <v>785</v>
      </c>
      <c r="E329" s="164">
        <v>45545.0</v>
      </c>
      <c r="F329" s="163" t="s">
        <v>172</v>
      </c>
      <c r="G329" s="328">
        <v>-1147.35</v>
      </c>
      <c r="H329" s="328">
        <v>-1147.35</v>
      </c>
      <c r="I329" s="163"/>
      <c r="J329" s="163" t="s">
        <v>786</v>
      </c>
      <c r="K329" s="163"/>
      <c r="L329" s="163"/>
      <c r="M329" s="164">
        <v>45545.0</v>
      </c>
      <c r="N329" s="164">
        <v>45546.0</v>
      </c>
      <c r="O329" s="163" t="s">
        <v>787</v>
      </c>
      <c r="P329" s="163">
        <v>205826.0</v>
      </c>
      <c r="Q329" s="163" t="s">
        <v>788</v>
      </c>
      <c r="R329" s="163"/>
      <c r="S329" s="163"/>
      <c r="T329" s="163"/>
      <c r="U329" s="163"/>
      <c r="V329" s="163" t="s">
        <v>748</v>
      </c>
      <c r="W329" s="163"/>
      <c r="X329" s="163"/>
      <c r="Y329" s="163"/>
      <c r="Z329" s="163"/>
    </row>
    <row r="330" ht="13.5" customHeight="1">
      <c r="A330" s="163" t="s">
        <v>782</v>
      </c>
      <c r="B330" s="163" t="s">
        <v>783</v>
      </c>
      <c r="C330" s="163" t="s">
        <v>1153</v>
      </c>
      <c r="D330" s="163" t="s">
        <v>785</v>
      </c>
      <c r="E330" s="164">
        <v>45545.0</v>
      </c>
      <c r="F330" s="163" t="s">
        <v>172</v>
      </c>
      <c r="G330" s="328">
        <v>-1147.35</v>
      </c>
      <c r="H330" s="328">
        <v>-1147.35</v>
      </c>
      <c r="I330" s="163"/>
      <c r="J330" s="163" t="s">
        <v>786</v>
      </c>
      <c r="K330" s="163"/>
      <c r="L330" s="163"/>
      <c r="M330" s="164">
        <v>45545.0</v>
      </c>
      <c r="N330" s="164">
        <v>45546.0</v>
      </c>
      <c r="O330" s="163" t="s">
        <v>787</v>
      </c>
      <c r="P330" s="163">
        <v>205826.0</v>
      </c>
      <c r="Q330" s="163" t="s">
        <v>788</v>
      </c>
      <c r="R330" s="163"/>
      <c r="S330" s="163"/>
      <c r="T330" s="163"/>
      <c r="U330" s="163"/>
      <c r="V330" s="163" t="s">
        <v>748</v>
      </c>
      <c r="W330" s="163"/>
      <c r="X330" s="163"/>
      <c r="Y330" s="163"/>
      <c r="Z330" s="163"/>
    </row>
    <row r="331" ht="13.5" customHeight="1">
      <c r="A331" s="163" t="s">
        <v>782</v>
      </c>
      <c r="B331" s="163" t="s">
        <v>783</v>
      </c>
      <c r="C331" s="163" t="s">
        <v>1154</v>
      </c>
      <c r="D331" s="163" t="s">
        <v>785</v>
      </c>
      <c r="E331" s="164">
        <v>45545.0</v>
      </c>
      <c r="F331" s="163" t="s">
        <v>172</v>
      </c>
      <c r="G331" s="328">
        <v>-1147.35</v>
      </c>
      <c r="H331" s="328">
        <v>-1147.35</v>
      </c>
      <c r="I331" s="163"/>
      <c r="J331" s="163" t="s">
        <v>786</v>
      </c>
      <c r="K331" s="163"/>
      <c r="L331" s="163"/>
      <c r="M331" s="164">
        <v>45545.0</v>
      </c>
      <c r="N331" s="164">
        <v>45546.0</v>
      </c>
      <c r="O331" s="163" t="s">
        <v>787</v>
      </c>
      <c r="P331" s="163">
        <v>205826.0</v>
      </c>
      <c r="Q331" s="163" t="s">
        <v>788</v>
      </c>
      <c r="R331" s="163"/>
      <c r="S331" s="163"/>
      <c r="T331" s="163"/>
      <c r="U331" s="163"/>
      <c r="V331" s="163" t="s">
        <v>748</v>
      </c>
      <c r="W331" s="163"/>
      <c r="X331" s="163"/>
      <c r="Y331" s="163"/>
      <c r="Z331" s="163"/>
    </row>
    <row r="332" ht="13.5" customHeight="1">
      <c r="A332" s="163" t="s">
        <v>782</v>
      </c>
      <c r="B332" s="163" t="s">
        <v>783</v>
      </c>
      <c r="C332" s="163" t="s">
        <v>1155</v>
      </c>
      <c r="D332" s="163" t="s">
        <v>785</v>
      </c>
      <c r="E332" s="164">
        <v>45545.0</v>
      </c>
      <c r="F332" s="163" t="s">
        <v>172</v>
      </c>
      <c r="G332" s="328">
        <v>-1147.35</v>
      </c>
      <c r="H332" s="328">
        <v>-1147.35</v>
      </c>
      <c r="I332" s="163"/>
      <c r="J332" s="163" t="s">
        <v>786</v>
      </c>
      <c r="K332" s="163"/>
      <c r="L332" s="163"/>
      <c r="M332" s="164">
        <v>45545.0</v>
      </c>
      <c r="N332" s="164">
        <v>45546.0</v>
      </c>
      <c r="O332" s="163" t="s">
        <v>787</v>
      </c>
      <c r="P332" s="163">
        <v>205826.0</v>
      </c>
      <c r="Q332" s="163" t="s">
        <v>788</v>
      </c>
      <c r="R332" s="163"/>
      <c r="S332" s="163"/>
      <c r="T332" s="163"/>
      <c r="U332" s="163"/>
      <c r="V332" s="163" t="s">
        <v>748</v>
      </c>
      <c r="W332" s="163"/>
      <c r="X332" s="163"/>
      <c r="Y332" s="163"/>
      <c r="Z332" s="163"/>
    </row>
    <row r="333" ht="13.5" customHeight="1">
      <c r="A333" s="163" t="s">
        <v>782</v>
      </c>
      <c r="B333" s="163" t="s">
        <v>783</v>
      </c>
      <c r="C333" s="163" t="s">
        <v>1156</v>
      </c>
      <c r="D333" s="163" t="s">
        <v>785</v>
      </c>
      <c r="E333" s="164">
        <v>45545.0</v>
      </c>
      <c r="F333" s="163" t="s">
        <v>172</v>
      </c>
      <c r="G333" s="328">
        <v>-1147.35</v>
      </c>
      <c r="H333" s="328">
        <v>-1147.35</v>
      </c>
      <c r="I333" s="163"/>
      <c r="J333" s="163" t="s">
        <v>786</v>
      </c>
      <c r="K333" s="163"/>
      <c r="L333" s="163"/>
      <c r="M333" s="164">
        <v>45545.0</v>
      </c>
      <c r="N333" s="164">
        <v>45546.0</v>
      </c>
      <c r="O333" s="163" t="s">
        <v>787</v>
      </c>
      <c r="P333" s="163">
        <v>205826.0</v>
      </c>
      <c r="Q333" s="163" t="s">
        <v>788</v>
      </c>
      <c r="R333" s="163"/>
      <c r="S333" s="163"/>
      <c r="T333" s="163"/>
      <c r="U333" s="163"/>
      <c r="V333" s="163" t="s">
        <v>748</v>
      </c>
      <c r="W333" s="163"/>
      <c r="X333" s="163"/>
      <c r="Y333" s="163"/>
      <c r="Z333" s="163"/>
    </row>
    <row r="334" ht="13.5" customHeight="1">
      <c r="A334" s="163" t="s">
        <v>782</v>
      </c>
      <c r="B334" s="163" t="s">
        <v>783</v>
      </c>
      <c r="C334" s="163" t="s">
        <v>1157</v>
      </c>
      <c r="D334" s="163" t="s">
        <v>785</v>
      </c>
      <c r="E334" s="164">
        <v>45545.0</v>
      </c>
      <c r="F334" s="163" t="s">
        <v>172</v>
      </c>
      <c r="G334" s="328">
        <v>-1147.35</v>
      </c>
      <c r="H334" s="328">
        <v>-1147.35</v>
      </c>
      <c r="I334" s="163"/>
      <c r="J334" s="163" t="s">
        <v>786</v>
      </c>
      <c r="K334" s="163"/>
      <c r="L334" s="163"/>
      <c r="M334" s="164">
        <v>45545.0</v>
      </c>
      <c r="N334" s="164">
        <v>45546.0</v>
      </c>
      <c r="O334" s="163" t="s">
        <v>787</v>
      </c>
      <c r="P334" s="163">
        <v>205826.0</v>
      </c>
      <c r="Q334" s="163" t="s">
        <v>788</v>
      </c>
      <c r="R334" s="163"/>
      <c r="S334" s="163"/>
      <c r="T334" s="163"/>
      <c r="U334" s="163"/>
      <c r="V334" s="163" t="s">
        <v>748</v>
      </c>
      <c r="W334" s="163"/>
      <c r="X334" s="163"/>
      <c r="Y334" s="163"/>
      <c r="Z334" s="163"/>
    </row>
    <row r="335" ht="13.5" customHeight="1">
      <c r="A335" s="163" t="s">
        <v>782</v>
      </c>
      <c r="B335" s="163" t="s">
        <v>783</v>
      </c>
      <c r="C335" s="163" t="s">
        <v>1158</v>
      </c>
      <c r="D335" s="163" t="s">
        <v>785</v>
      </c>
      <c r="E335" s="164">
        <v>45545.0</v>
      </c>
      <c r="F335" s="163" t="s">
        <v>172</v>
      </c>
      <c r="G335" s="328">
        <v>-1147.35</v>
      </c>
      <c r="H335" s="328">
        <v>-1147.35</v>
      </c>
      <c r="I335" s="163"/>
      <c r="J335" s="163" t="s">
        <v>786</v>
      </c>
      <c r="K335" s="163"/>
      <c r="L335" s="163"/>
      <c r="M335" s="164">
        <v>45545.0</v>
      </c>
      <c r="N335" s="164">
        <v>45546.0</v>
      </c>
      <c r="O335" s="163" t="s">
        <v>787</v>
      </c>
      <c r="P335" s="163">
        <v>205826.0</v>
      </c>
      <c r="Q335" s="163" t="s">
        <v>788</v>
      </c>
      <c r="R335" s="163"/>
      <c r="S335" s="163"/>
      <c r="T335" s="163"/>
      <c r="U335" s="163"/>
      <c r="V335" s="163" t="s">
        <v>748</v>
      </c>
      <c r="W335" s="163"/>
      <c r="X335" s="163"/>
      <c r="Y335" s="163"/>
      <c r="Z335" s="163"/>
    </row>
    <row r="336" ht="13.5" customHeight="1">
      <c r="A336" s="163" t="s">
        <v>782</v>
      </c>
      <c r="B336" s="163" t="s">
        <v>783</v>
      </c>
      <c r="C336" s="163" t="s">
        <v>1159</v>
      </c>
      <c r="D336" s="163" t="s">
        <v>785</v>
      </c>
      <c r="E336" s="164">
        <v>45545.0</v>
      </c>
      <c r="F336" s="163" t="s">
        <v>172</v>
      </c>
      <c r="G336" s="328">
        <v>-1147.35</v>
      </c>
      <c r="H336" s="328">
        <v>-1147.35</v>
      </c>
      <c r="I336" s="163"/>
      <c r="J336" s="163" t="s">
        <v>786</v>
      </c>
      <c r="K336" s="163"/>
      <c r="L336" s="163"/>
      <c r="M336" s="164">
        <v>45545.0</v>
      </c>
      <c r="N336" s="164">
        <v>45546.0</v>
      </c>
      <c r="O336" s="163" t="s">
        <v>787</v>
      </c>
      <c r="P336" s="163">
        <v>205826.0</v>
      </c>
      <c r="Q336" s="163" t="s">
        <v>788</v>
      </c>
      <c r="R336" s="163"/>
      <c r="S336" s="163"/>
      <c r="T336" s="163"/>
      <c r="U336" s="163"/>
      <c r="V336" s="163" t="s">
        <v>748</v>
      </c>
      <c r="W336" s="163"/>
      <c r="X336" s="163"/>
      <c r="Y336" s="163"/>
      <c r="Z336" s="163"/>
    </row>
    <row r="337" ht="13.5" customHeight="1">
      <c r="A337" s="163" t="s">
        <v>782</v>
      </c>
      <c r="B337" s="163" t="s">
        <v>783</v>
      </c>
      <c r="C337" s="163" t="s">
        <v>1160</v>
      </c>
      <c r="D337" s="163" t="s">
        <v>785</v>
      </c>
      <c r="E337" s="164">
        <v>45545.0</v>
      </c>
      <c r="F337" s="163" t="s">
        <v>172</v>
      </c>
      <c r="G337" s="328">
        <v>-1147.35</v>
      </c>
      <c r="H337" s="328">
        <v>-1147.35</v>
      </c>
      <c r="I337" s="163"/>
      <c r="J337" s="163" t="s">
        <v>786</v>
      </c>
      <c r="K337" s="163"/>
      <c r="L337" s="163"/>
      <c r="M337" s="164">
        <v>45545.0</v>
      </c>
      <c r="N337" s="164">
        <v>45546.0</v>
      </c>
      <c r="O337" s="163" t="s">
        <v>787</v>
      </c>
      <c r="P337" s="163">
        <v>205826.0</v>
      </c>
      <c r="Q337" s="163" t="s">
        <v>788</v>
      </c>
      <c r="R337" s="163"/>
      <c r="S337" s="163"/>
      <c r="T337" s="163"/>
      <c r="U337" s="163"/>
      <c r="V337" s="163" t="s">
        <v>748</v>
      </c>
      <c r="W337" s="163"/>
      <c r="X337" s="163"/>
      <c r="Y337" s="163"/>
      <c r="Z337" s="163"/>
    </row>
    <row r="338" ht="13.5" customHeight="1">
      <c r="A338" s="163" t="s">
        <v>782</v>
      </c>
      <c r="B338" s="163" t="s">
        <v>783</v>
      </c>
      <c r="C338" s="163" t="s">
        <v>1161</v>
      </c>
      <c r="D338" s="163" t="s">
        <v>785</v>
      </c>
      <c r="E338" s="164">
        <v>45545.0</v>
      </c>
      <c r="F338" s="163" t="s">
        <v>172</v>
      </c>
      <c r="G338" s="328">
        <v>-1147.35</v>
      </c>
      <c r="H338" s="328">
        <v>-1147.35</v>
      </c>
      <c r="I338" s="163"/>
      <c r="J338" s="163" t="s">
        <v>786</v>
      </c>
      <c r="K338" s="163"/>
      <c r="L338" s="163"/>
      <c r="M338" s="164">
        <v>45545.0</v>
      </c>
      <c r="N338" s="164">
        <v>45546.0</v>
      </c>
      <c r="O338" s="163" t="s">
        <v>787</v>
      </c>
      <c r="P338" s="163">
        <v>205826.0</v>
      </c>
      <c r="Q338" s="163" t="s">
        <v>788</v>
      </c>
      <c r="R338" s="163"/>
      <c r="S338" s="163"/>
      <c r="T338" s="163"/>
      <c r="U338" s="163"/>
      <c r="V338" s="163" t="s">
        <v>748</v>
      </c>
      <c r="W338" s="163"/>
      <c r="X338" s="163"/>
      <c r="Y338" s="163"/>
      <c r="Z338" s="163"/>
    </row>
    <row r="339" ht="13.5" customHeight="1">
      <c r="A339" s="163" t="s">
        <v>782</v>
      </c>
      <c r="B339" s="163" t="s">
        <v>783</v>
      </c>
      <c r="C339" s="163" t="s">
        <v>1162</v>
      </c>
      <c r="D339" s="163" t="s">
        <v>785</v>
      </c>
      <c r="E339" s="164">
        <v>45545.0</v>
      </c>
      <c r="F339" s="163" t="s">
        <v>172</v>
      </c>
      <c r="G339" s="328">
        <v>-1147.35</v>
      </c>
      <c r="H339" s="328">
        <v>-1147.35</v>
      </c>
      <c r="I339" s="163"/>
      <c r="J339" s="163" t="s">
        <v>786</v>
      </c>
      <c r="K339" s="163"/>
      <c r="L339" s="163"/>
      <c r="M339" s="164">
        <v>45545.0</v>
      </c>
      <c r="N339" s="164">
        <v>45546.0</v>
      </c>
      <c r="O339" s="163" t="s">
        <v>787</v>
      </c>
      <c r="P339" s="163">
        <v>205826.0</v>
      </c>
      <c r="Q339" s="163" t="s">
        <v>788</v>
      </c>
      <c r="R339" s="163"/>
      <c r="S339" s="163"/>
      <c r="T339" s="163"/>
      <c r="U339" s="163"/>
      <c r="V339" s="163" t="s">
        <v>748</v>
      </c>
      <c r="W339" s="163"/>
      <c r="X339" s="163"/>
      <c r="Y339" s="163"/>
      <c r="Z339" s="163"/>
    </row>
    <row r="340" ht="13.5" customHeight="1">
      <c r="A340" s="163" t="s">
        <v>782</v>
      </c>
      <c r="B340" s="163" t="s">
        <v>783</v>
      </c>
      <c r="C340" s="163" t="s">
        <v>1163</v>
      </c>
      <c r="D340" s="163" t="s">
        <v>785</v>
      </c>
      <c r="E340" s="164">
        <v>45545.0</v>
      </c>
      <c r="F340" s="163" t="s">
        <v>172</v>
      </c>
      <c r="G340" s="328">
        <v>-1147.35</v>
      </c>
      <c r="H340" s="328">
        <v>-1147.35</v>
      </c>
      <c r="I340" s="163"/>
      <c r="J340" s="163" t="s">
        <v>786</v>
      </c>
      <c r="K340" s="163"/>
      <c r="L340" s="163"/>
      <c r="M340" s="164">
        <v>45545.0</v>
      </c>
      <c r="N340" s="164">
        <v>45546.0</v>
      </c>
      <c r="O340" s="163" t="s">
        <v>787</v>
      </c>
      <c r="P340" s="163">
        <v>205826.0</v>
      </c>
      <c r="Q340" s="163" t="s">
        <v>788</v>
      </c>
      <c r="R340" s="163"/>
      <c r="S340" s="163"/>
      <c r="T340" s="163"/>
      <c r="U340" s="163"/>
      <c r="V340" s="163" t="s">
        <v>748</v>
      </c>
      <c r="W340" s="163"/>
      <c r="X340" s="163"/>
      <c r="Y340" s="163"/>
      <c r="Z340" s="163"/>
    </row>
    <row r="341" ht="13.5" customHeight="1">
      <c r="A341" s="163" t="s">
        <v>782</v>
      </c>
      <c r="B341" s="163" t="s">
        <v>783</v>
      </c>
      <c r="C341" s="163" t="s">
        <v>1164</v>
      </c>
      <c r="D341" s="163" t="s">
        <v>785</v>
      </c>
      <c r="E341" s="164">
        <v>45545.0</v>
      </c>
      <c r="F341" s="163" t="s">
        <v>172</v>
      </c>
      <c r="G341" s="328">
        <v>-1147.35</v>
      </c>
      <c r="H341" s="328">
        <v>-1147.35</v>
      </c>
      <c r="I341" s="163"/>
      <c r="J341" s="163" t="s">
        <v>786</v>
      </c>
      <c r="K341" s="163"/>
      <c r="L341" s="163"/>
      <c r="M341" s="164">
        <v>45545.0</v>
      </c>
      <c r="N341" s="164">
        <v>45546.0</v>
      </c>
      <c r="O341" s="163" t="s">
        <v>787</v>
      </c>
      <c r="P341" s="163">
        <v>205826.0</v>
      </c>
      <c r="Q341" s="163" t="s">
        <v>788</v>
      </c>
      <c r="R341" s="163"/>
      <c r="S341" s="163"/>
      <c r="T341" s="163"/>
      <c r="U341" s="163"/>
      <c r="V341" s="163" t="s">
        <v>748</v>
      </c>
      <c r="W341" s="163"/>
      <c r="X341" s="163"/>
      <c r="Y341" s="163"/>
      <c r="Z341" s="163"/>
    </row>
    <row r="342" ht="13.5" customHeight="1">
      <c r="A342" s="163" t="s">
        <v>782</v>
      </c>
      <c r="B342" s="163" t="s">
        <v>783</v>
      </c>
      <c r="C342" s="163" t="s">
        <v>1165</v>
      </c>
      <c r="D342" s="163" t="s">
        <v>785</v>
      </c>
      <c r="E342" s="164">
        <v>45545.0</v>
      </c>
      <c r="F342" s="163" t="s">
        <v>172</v>
      </c>
      <c r="G342" s="328">
        <v>-1147.35</v>
      </c>
      <c r="H342" s="328">
        <v>-1147.35</v>
      </c>
      <c r="I342" s="163"/>
      <c r="J342" s="163" t="s">
        <v>786</v>
      </c>
      <c r="K342" s="163"/>
      <c r="L342" s="163"/>
      <c r="M342" s="164">
        <v>45545.0</v>
      </c>
      <c r="N342" s="164">
        <v>45546.0</v>
      </c>
      <c r="O342" s="163" t="s">
        <v>787</v>
      </c>
      <c r="P342" s="163">
        <v>205826.0</v>
      </c>
      <c r="Q342" s="163" t="s">
        <v>788</v>
      </c>
      <c r="R342" s="163"/>
      <c r="S342" s="163"/>
      <c r="T342" s="163"/>
      <c r="U342" s="163"/>
      <c r="V342" s="163" t="s">
        <v>748</v>
      </c>
      <c r="W342" s="163"/>
      <c r="X342" s="163"/>
      <c r="Y342" s="163"/>
      <c r="Z342" s="163"/>
    </row>
    <row r="343" ht="13.5" customHeight="1">
      <c r="A343" s="163" t="s">
        <v>782</v>
      </c>
      <c r="B343" s="163" t="s">
        <v>783</v>
      </c>
      <c r="C343" s="163" t="s">
        <v>1166</v>
      </c>
      <c r="D343" s="163" t="s">
        <v>785</v>
      </c>
      <c r="E343" s="164">
        <v>45545.0</v>
      </c>
      <c r="F343" s="163" t="s">
        <v>172</v>
      </c>
      <c r="G343" s="328">
        <v>-1147.35</v>
      </c>
      <c r="H343" s="328">
        <v>-1147.35</v>
      </c>
      <c r="I343" s="163"/>
      <c r="J343" s="163" t="s">
        <v>786</v>
      </c>
      <c r="K343" s="163"/>
      <c r="L343" s="163"/>
      <c r="M343" s="164">
        <v>45545.0</v>
      </c>
      <c r="N343" s="164">
        <v>45546.0</v>
      </c>
      <c r="O343" s="163" t="s">
        <v>787</v>
      </c>
      <c r="P343" s="163">
        <v>205826.0</v>
      </c>
      <c r="Q343" s="163" t="s">
        <v>788</v>
      </c>
      <c r="R343" s="163"/>
      <c r="S343" s="163"/>
      <c r="T343" s="163"/>
      <c r="U343" s="163"/>
      <c r="V343" s="163" t="s">
        <v>748</v>
      </c>
      <c r="W343" s="163"/>
      <c r="X343" s="163"/>
      <c r="Y343" s="163"/>
      <c r="Z343" s="163"/>
    </row>
    <row r="344" ht="13.5" customHeight="1">
      <c r="A344" s="163" t="s">
        <v>782</v>
      </c>
      <c r="B344" s="163" t="s">
        <v>783</v>
      </c>
      <c r="C344" s="163" t="s">
        <v>1167</v>
      </c>
      <c r="D344" s="163" t="s">
        <v>785</v>
      </c>
      <c r="E344" s="164">
        <v>45545.0</v>
      </c>
      <c r="F344" s="163" t="s">
        <v>172</v>
      </c>
      <c r="G344" s="328">
        <v>-1147.35</v>
      </c>
      <c r="H344" s="328">
        <v>-1147.35</v>
      </c>
      <c r="I344" s="163"/>
      <c r="J344" s="163" t="s">
        <v>786</v>
      </c>
      <c r="K344" s="163"/>
      <c r="L344" s="163"/>
      <c r="M344" s="164">
        <v>45545.0</v>
      </c>
      <c r="N344" s="164">
        <v>45546.0</v>
      </c>
      <c r="O344" s="163" t="s">
        <v>787</v>
      </c>
      <c r="P344" s="163">
        <v>205826.0</v>
      </c>
      <c r="Q344" s="163" t="s">
        <v>788</v>
      </c>
      <c r="R344" s="163"/>
      <c r="S344" s="163"/>
      <c r="T344" s="163"/>
      <c r="U344" s="163"/>
      <c r="V344" s="163" t="s">
        <v>748</v>
      </c>
      <c r="W344" s="163"/>
      <c r="X344" s="163"/>
      <c r="Y344" s="163"/>
      <c r="Z344" s="163"/>
    </row>
    <row r="345" ht="13.5" customHeight="1">
      <c r="A345" s="163" t="s">
        <v>782</v>
      </c>
      <c r="B345" s="163" t="s">
        <v>783</v>
      </c>
      <c r="C345" s="163" t="s">
        <v>1168</v>
      </c>
      <c r="D345" s="163" t="s">
        <v>785</v>
      </c>
      <c r="E345" s="164">
        <v>45545.0</v>
      </c>
      <c r="F345" s="163" t="s">
        <v>172</v>
      </c>
      <c r="G345" s="328">
        <v>-1147.35</v>
      </c>
      <c r="H345" s="328">
        <v>-1147.35</v>
      </c>
      <c r="I345" s="163"/>
      <c r="J345" s="163" t="s">
        <v>786</v>
      </c>
      <c r="K345" s="163"/>
      <c r="L345" s="163"/>
      <c r="M345" s="164">
        <v>45545.0</v>
      </c>
      <c r="N345" s="164">
        <v>45546.0</v>
      </c>
      <c r="O345" s="163" t="s">
        <v>787</v>
      </c>
      <c r="P345" s="163">
        <v>205826.0</v>
      </c>
      <c r="Q345" s="163" t="s">
        <v>788</v>
      </c>
      <c r="R345" s="163"/>
      <c r="S345" s="163"/>
      <c r="T345" s="163"/>
      <c r="U345" s="163"/>
      <c r="V345" s="163" t="s">
        <v>748</v>
      </c>
      <c r="W345" s="163"/>
      <c r="X345" s="163"/>
      <c r="Y345" s="163"/>
      <c r="Z345" s="163"/>
    </row>
    <row r="346" ht="13.5" customHeight="1">
      <c r="A346" s="163" t="s">
        <v>782</v>
      </c>
      <c r="B346" s="163" t="s">
        <v>783</v>
      </c>
      <c r="C346" s="163" t="s">
        <v>1169</v>
      </c>
      <c r="D346" s="163" t="s">
        <v>785</v>
      </c>
      <c r="E346" s="164">
        <v>45545.0</v>
      </c>
      <c r="F346" s="163" t="s">
        <v>172</v>
      </c>
      <c r="G346" s="328">
        <v>-1147.35</v>
      </c>
      <c r="H346" s="328">
        <v>-1147.35</v>
      </c>
      <c r="I346" s="163"/>
      <c r="J346" s="163" t="s">
        <v>786</v>
      </c>
      <c r="K346" s="163"/>
      <c r="L346" s="163"/>
      <c r="M346" s="164">
        <v>45545.0</v>
      </c>
      <c r="N346" s="164">
        <v>45546.0</v>
      </c>
      <c r="O346" s="163" t="s">
        <v>787</v>
      </c>
      <c r="P346" s="163">
        <v>205826.0</v>
      </c>
      <c r="Q346" s="163" t="s">
        <v>788</v>
      </c>
      <c r="R346" s="163"/>
      <c r="S346" s="163"/>
      <c r="T346" s="163"/>
      <c r="U346" s="163"/>
      <c r="V346" s="163" t="s">
        <v>748</v>
      </c>
      <c r="W346" s="163"/>
      <c r="X346" s="163"/>
      <c r="Y346" s="163"/>
      <c r="Z346" s="163"/>
    </row>
    <row r="347" ht="13.5" customHeight="1">
      <c r="G347" s="51">
        <f t="shared" ref="G347:H347" si="1">SUM(G2:G346)</f>
        <v>-361881.59</v>
      </c>
      <c r="H347" s="51">
        <f t="shared" si="1"/>
        <v>-361881.59</v>
      </c>
    </row>
    <row r="348" ht="13.5" customHeight="1"/>
    <row r="349" ht="13.5" customHeight="1">
      <c r="H349" s="55"/>
    </row>
    <row r="350" ht="13.5" customHeight="1"/>
    <row r="351" ht="13.5" customHeight="1">
      <c r="C351" s="50" t="s">
        <v>969</v>
      </c>
      <c r="H351" s="55"/>
    </row>
    <row r="352" ht="13.5" customHeight="1"/>
    <row r="353" ht="13.5" customHeight="1"/>
    <row r="354" ht="13.5" customHeight="1">
      <c r="C354" s="50" t="s">
        <v>928</v>
      </c>
    </row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V$347"/>
  <printOptions/>
  <pageMargins bottom="0.787401575" footer="0.0" header="0.0" left="0.511811024" right="0.511811024" top="0.7874015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5.63"/>
    <col customWidth="1" min="4" max="4" width="8.63"/>
    <col customWidth="1" min="5" max="5" width="18.38"/>
    <col customWidth="1" min="6" max="9" width="8.63"/>
    <col customWidth="1" min="10" max="10" width="28.0"/>
    <col customWidth="1" min="11" max="12" width="8.63"/>
    <col customWidth="1" min="13" max="13" width="14.25"/>
    <col customWidth="1" min="14" max="14" width="9.88"/>
    <col customWidth="1" min="15" max="15" width="19.75"/>
    <col customWidth="1" min="16" max="26" width="8.63"/>
  </cols>
  <sheetData>
    <row r="1" ht="13.5" customHeight="1">
      <c r="A1" s="50" t="s">
        <v>763</v>
      </c>
      <c r="B1" s="50" t="s">
        <v>764</v>
      </c>
      <c r="C1" s="50" t="s">
        <v>765</v>
      </c>
      <c r="D1" s="50" t="s">
        <v>1</v>
      </c>
      <c r="E1" s="50" t="s">
        <v>766</v>
      </c>
      <c r="F1" s="50" t="s">
        <v>767</v>
      </c>
      <c r="G1" s="50" t="s">
        <v>768</v>
      </c>
      <c r="H1" s="50" t="s">
        <v>769</v>
      </c>
      <c r="I1" s="50" t="s">
        <v>770</v>
      </c>
      <c r="J1" s="50" t="s">
        <v>771</v>
      </c>
      <c r="K1" s="50" t="s">
        <v>772</v>
      </c>
      <c r="L1" s="50" t="s">
        <v>773</v>
      </c>
      <c r="M1" s="50" t="s">
        <v>774</v>
      </c>
      <c r="N1" s="50" t="s">
        <v>165</v>
      </c>
      <c r="O1" s="50" t="s">
        <v>775</v>
      </c>
      <c r="P1" s="50" t="s">
        <v>776</v>
      </c>
      <c r="Q1" s="50" t="s">
        <v>5</v>
      </c>
      <c r="R1" s="50" t="s">
        <v>777</v>
      </c>
      <c r="S1" s="50" t="s">
        <v>778</v>
      </c>
      <c r="T1" s="50" t="s">
        <v>779</v>
      </c>
      <c r="U1" s="50" t="s">
        <v>780</v>
      </c>
      <c r="V1" s="50" t="s">
        <v>781</v>
      </c>
    </row>
    <row r="2" ht="13.5" customHeight="1">
      <c r="A2" s="325" t="s">
        <v>782</v>
      </c>
      <c r="B2" s="325" t="s">
        <v>783</v>
      </c>
      <c r="C2" s="325" t="s">
        <v>791</v>
      </c>
      <c r="D2" s="325" t="s">
        <v>785</v>
      </c>
      <c r="E2" s="326">
        <v>45547.0</v>
      </c>
      <c r="F2" s="325" t="s">
        <v>172</v>
      </c>
      <c r="G2" s="327">
        <v>-1000.0</v>
      </c>
      <c r="H2" s="327">
        <v>-1000.0</v>
      </c>
      <c r="I2" s="325"/>
      <c r="J2" s="325" t="s">
        <v>786</v>
      </c>
      <c r="K2" s="325"/>
      <c r="L2" s="325"/>
      <c r="M2" s="326">
        <v>45547.0</v>
      </c>
      <c r="N2" s="326">
        <v>45548.0</v>
      </c>
      <c r="O2" s="325" t="s">
        <v>787</v>
      </c>
      <c r="P2" s="325">
        <v>205826.0</v>
      </c>
      <c r="Q2" s="325" t="s">
        <v>793</v>
      </c>
      <c r="R2" s="325"/>
      <c r="S2" s="325">
        <v>0.0</v>
      </c>
      <c r="T2" s="325">
        <v>0.0</v>
      </c>
      <c r="U2" s="325"/>
      <c r="V2" s="325" t="s">
        <v>748</v>
      </c>
      <c r="W2" s="325"/>
      <c r="X2" s="325"/>
      <c r="Y2" s="325"/>
      <c r="Z2" s="325"/>
    </row>
    <row r="3" ht="13.5" customHeight="1">
      <c r="A3" s="325" t="s">
        <v>782</v>
      </c>
      <c r="B3" s="325" t="s">
        <v>783</v>
      </c>
      <c r="C3" s="325" t="s">
        <v>794</v>
      </c>
      <c r="D3" s="325" t="s">
        <v>785</v>
      </c>
      <c r="E3" s="326">
        <v>45547.0</v>
      </c>
      <c r="F3" s="325" t="s">
        <v>172</v>
      </c>
      <c r="G3" s="327">
        <v>-1000.0</v>
      </c>
      <c r="H3" s="327">
        <v>-1000.0</v>
      </c>
      <c r="I3" s="325"/>
      <c r="J3" s="325" t="s">
        <v>786</v>
      </c>
      <c r="K3" s="325"/>
      <c r="L3" s="325"/>
      <c r="M3" s="326">
        <v>45547.0</v>
      </c>
      <c r="N3" s="326">
        <v>45548.0</v>
      </c>
      <c r="O3" s="325" t="s">
        <v>787</v>
      </c>
      <c r="P3" s="325">
        <v>205826.0</v>
      </c>
      <c r="Q3" s="325" t="s">
        <v>793</v>
      </c>
      <c r="R3" s="325"/>
      <c r="S3" s="325">
        <v>0.0</v>
      </c>
      <c r="T3" s="325">
        <v>0.0</v>
      </c>
      <c r="U3" s="325"/>
      <c r="V3" s="325" t="s">
        <v>748</v>
      </c>
      <c r="W3" s="325"/>
      <c r="X3" s="325"/>
      <c r="Y3" s="325"/>
      <c r="Z3" s="325"/>
    </row>
    <row r="4" ht="13.5" customHeight="1">
      <c r="A4" s="325" t="s">
        <v>782</v>
      </c>
      <c r="B4" s="325" t="s">
        <v>783</v>
      </c>
      <c r="C4" s="325" t="s">
        <v>797</v>
      </c>
      <c r="D4" s="325" t="s">
        <v>785</v>
      </c>
      <c r="E4" s="326">
        <v>45547.0</v>
      </c>
      <c r="F4" s="325" t="s">
        <v>172</v>
      </c>
      <c r="G4" s="327">
        <v>-1000.0</v>
      </c>
      <c r="H4" s="327">
        <v>-1000.0</v>
      </c>
      <c r="I4" s="325"/>
      <c r="J4" s="325" t="s">
        <v>786</v>
      </c>
      <c r="K4" s="325"/>
      <c r="L4" s="325"/>
      <c r="M4" s="326">
        <v>45547.0</v>
      </c>
      <c r="N4" s="326">
        <v>45548.0</v>
      </c>
      <c r="O4" s="325" t="s">
        <v>787</v>
      </c>
      <c r="P4" s="325">
        <v>205826.0</v>
      </c>
      <c r="Q4" s="325" t="s">
        <v>793</v>
      </c>
      <c r="R4" s="325"/>
      <c r="S4" s="325">
        <v>0.0</v>
      </c>
      <c r="T4" s="325">
        <v>0.0</v>
      </c>
      <c r="U4" s="325"/>
      <c r="V4" s="325" t="s">
        <v>748</v>
      </c>
      <c r="W4" s="325"/>
      <c r="X4" s="325"/>
      <c r="Y4" s="325"/>
      <c r="Z4" s="325"/>
    </row>
    <row r="5" ht="13.5" customHeight="1">
      <c r="A5" s="325" t="s">
        <v>782</v>
      </c>
      <c r="B5" s="325" t="s">
        <v>783</v>
      </c>
      <c r="C5" s="325" t="s">
        <v>799</v>
      </c>
      <c r="D5" s="325" t="s">
        <v>785</v>
      </c>
      <c r="E5" s="326">
        <v>45547.0</v>
      </c>
      <c r="F5" s="325" t="s">
        <v>172</v>
      </c>
      <c r="G5" s="327">
        <v>-1000.0</v>
      </c>
      <c r="H5" s="327">
        <v>-1000.0</v>
      </c>
      <c r="I5" s="325"/>
      <c r="J5" s="325" t="s">
        <v>786</v>
      </c>
      <c r="K5" s="325"/>
      <c r="L5" s="325"/>
      <c r="M5" s="326">
        <v>45547.0</v>
      </c>
      <c r="N5" s="326">
        <v>45548.0</v>
      </c>
      <c r="O5" s="325" t="s">
        <v>787</v>
      </c>
      <c r="P5" s="325">
        <v>205826.0</v>
      </c>
      <c r="Q5" s="325" t="s">
        <v>793</v>
      </c>
      <c r="R5" s="325"/>
      <c r="S5" s="325">
        <v>0.0</v>
      </c>
      <c r="T5" s="325">
        <v>0.0</v>
      </c>
      <c r="U5" s="325"/>
      <c r="V5" s="325" t="s">
        <v>748</v>
      </c>
      <c r="W5" s="325"/>
      <c r="X5" s="325"/>
      <c r="Y5" s="325"/>
      <c r="Z5" s="325"/>
    </row>
    <row r="6" ht="13.5" customHeight="1">
      <c r="A6" s="325" t="s">
        <v>782</v>
      </c>
      <c r="B6" s="325" t="s">
        <v>783</v>
      </c>
      <c r="C6" s="325" t="s">
        <v>801</v>
      </c>
      <c r="D6" s="325" t="s">
        <v>785</v>
      </c>
      <c r="E6" s="326">
        <v>45547.0</v>
      </c>
      <c r="F6" s="325" t="s">
        <v>172</v>
      </c>
      <c r="G6" s="327">
        <v>-1000.0</v>
      </c>
      <c r="H6" s="327">
        <v>-1000.0</v>
      </c>
      <c r="I6" s="325"/>
      <c r="J6" s="325" t="s">
        <v>786</v>
      </c>
      <c r="K6" s="325"/>
      <c r="L6" s="325"/>
      <c r="M6" s="326">
        <v>45547.0</v>
      </c>
      <c r="N6" s="326">
        <v>45548.0</v>
      </c>
      <c r="O6" s="325" t="s">
        <v>787</v>
      </c>
      <c r="P6" s="325">
        <v>205826.0</v>
      </c>
      <c r="Q6" s="325" t="s">
        <v>793</v>
      </c>
      <c r="R6" s="325"/>
      <c r="S6" s="325">
        <v>0.0</v>
      </c>
      <c r="T6" s="325">
        <v>0.0</v>
      </c>
      <c r="U6" s="325"/>
      <c r="V6" s="325" t="s">
        <v>748</v>
      </c>
      <c r="W6" s="325"/>
      <c r="X6" s="325"/>
      <c r="Y6" s="325"/>
      <c r="Z6" s="325"/>
    </row>
    <row r="7" ht="13.5" customHeight="1">
      <c r="A7" s="325" t="s">
        <v>782</v>
      </c>
      <c r="B7" s="325" t="s">
        <v>783</v>
      </c>
      <c r="C7" s="325" t="s">
        <v>803</v>
      </c>
      <c r="D7" s="325" t="s">
        <v>785</v>
      </c>
      <c r="E7" s="326">
        <v>45547.0</v>
      </c>
      <c r="F7" s="325" t="s">
        <v>172</v>
      </c>
      <c r="G7" s="327">
        <v>-1000.0</v>
      </c>
      <c r="H7" s="327">
        <v>-1000.0</v>
      </c>
      <c r="I7" s="325"/>
      <c r="J7" s="325" t="s">
        <v>786</v>
      </c>
      <c r="K7" s="325"/>
      <c r="L7" s="325"/>
      <c r="M7" s="326">
        <v>45547.0</v>
      </c>
      <c r="N7" s="326">
        <v>45548.0</v>
      </c>
      <c r="O7" s="325" t="s">
        <v>787</v>
      </c>
      <c r="P7" s="325">
        <v>205826.0</v>
      </c>
      <c r="Q7" s="325" t="s">
        <v>793</v>
      </c>
      <c r="R7" s="325"/>
      <c r="S7" s="325">
        <v>0.0</v>
      </c>
      <c r="T7" s="325">
        <v>0.0</v>
      </c>
      <c r="U7" s="325"/>
      <c r="V7" s="325" t="s">
        <v>748</v>
      </c>
      <c r="W7" s="325"/>
      <c r="X7" s="325"/>
      <c r="Y7" s="325"/>
      <c r="Z7" s="325"/>
    </row>
    <row r="8" ht="13.5" customHeight="1">
      <c r="A8" s="325" t="s">
        <v>782</v>
      </c>
      <c r="B8" s="325" t="s">
        <v>783</v>
      </c>
      <c r="C8" s="325" t="s">
        <v>806</v>
      </c>
      <c r="D8" s="325" t="s">
        <v>785</v>
      </c>
      <c r="E8" s="326">
        <v>45547.0</v>
      </c>
      <c r="F8" s="325" t="s">
        <v>172</v>
      </c>
      <c r="G8" s="327">
        <v>-1000.0</v>
      </c>
      <c r="H8" s="327">
        <v>-1000.0</v>
      </c>
      <c r="I8" s="325"/>
      <c r="J8" s="325" t="s">
        <v>786</v>
      </c>
      <c r="K8" s="325"/>
      <c r="L8" s="325"/>
      <c r="M8" s="326">
        <v>45547.0</v>
      </c>
      <c r="N8" s="326">
        <v>45548.0</v>
      </c>
      <c r="O8" s="325" t="s">
        <v>787</v>
      </c>
      <c r="P8" s="325">
        <v>205826.0</v>
      </c>
      <c r="Q8" s="325" t="s">
        <v>793</v>
      </c>
      <c r="R8" s="325"/>
      <c r="S8" s="325">
        <v>0.0</v>
      </c>
      <c r="T8" s="325">
        <v>0.0</v>
      </c>
      <c r="U8" s="325"/>
      <c r="V8" s="325" t="s">
        <v>748</v>
      </c>
      <c r="W8" s="325"/>
      <c r="X8" s="325"/>
      <c r="Y8" s="325"/>
      <c r="Z8" s="325"/>
    </row>
    <row r="9" ht="13.5" customHeight="1">
      <c r="A9" s="325" t="s">
        <v>782</v>
      </c>
      <c r="B9" s="325" t="s">
        <v>783</v>
      </c>
      <c r="C9" s="325" t="s">
        <v>808</v>
      </c>
      <c r="D9" s="325" t="s">
        <v>785</v>
      </c>
      <c r="E9" s="326">
        <v>45547.0</v>
      </c>
      <c r="F9" s="325" t="s">
        <v>172</v>
      </c>
      <c r="G9" s="327">
        <v>-1000.0</v>
      </c>
      <c r="H9" s="327">
        <v>-1000.0</v>
      </c>
      <c r="I9" s="325"/>
      <c r="J9" s="325" t="s">
        <v>786</v>
      </c>
      <c r="K9" s="325"/>
      <c r="L9" s="325"/>
      <c r="M9" s="326">
        <v>45547.0</v>
      </c>
      <c r="N9" s="326">
        <v>45548.0</v>
      </c>
      <c r="O9" s="325" t="s">
        <v>787</v>
      </c>
      <c r="P9" s="325">
        <v>205826.0</v>
      </c>
      <c r="Q9" s="325" t="s">
        <v>793</v>
      </c>
      <c r="R9" s="325"/>
      <c r="S9" s="325">
        <v>0.0</v>
      </c>
      <c r="T9" s="325">
        <v>0.0</v>
      </c>
      <c r="U9" s="325"/>
      <c r="V9" s="325" t="s">
        <v>748</v>
      </c>
      <c r="W9" s="325"/>
      <c r="X9" s="325"/>
      <c r="Y9" s="325"/>
      <c r="Z9" s="325"/>
    </row>
    <row r="10" ht="13.5" customHeight="1">
      <c r="A10" s="325" t="s">
        <v>782</v>
      </c>
      <c r="B10" s="325" t="s">
        <v>783</v>
      </c>
      <c r="C10" s="325" t="s">
        <v>810</v>
      </c>
      <c r="D10" s="325" t="s">
        <v>785</v>
      </c>
      <c r="E10" s="326">
        <v>45547.0</v>
      </c>
      <c r="F10" s="325" t="s">
        <v>172</v>
      </c>
      <c r="G10" s="327">
        <v>-1000.0</v>
      </c>
      <c r="H10" s="327">
        <v>-1000.0</v>
      </c>
      <c r="I10" s="325"/>
      <c r="J10" s="325" t="s">
        <v>786</v>
      </c>
      <c r="K10" s="325"/>
      <c r="L10" s="325"/>
      <c r="M10" s="326">
        <v>45547.0</v>
      </c>
      <c r="N10" s="326">
        <v>45548.0</v>
      </c>
      <c r="O10" s="325" t="s">
        <v>787</v>
      </c>
      <c r="P10" s="325">
        <v>205826.0</v>
      </c>
      <c r="Q10" s="325" t="s">
        <v>793</v>
      </c>
      <c r="R10" s="325"/>
      <c r="S10" s="325">
        <v>0.0</v>
      </c>
      <c r="T10" s="325">
        <v>0.0</v>
      </c>
      <c r="U10" s="325"/>
      <c r="V10" s="325" t="s">
        <v>748</v>
      </c>
      <c r="W10" s="325"/>
      <c r="X10" s="325"/>
      <c r="Y10" s="325"/>
      <c r="Z10" s="325"/>
    </row>
    <row r="11" ht="13.5" customHeight="1">
      <c r="A11" s="325" t="s">
        <v>782</v>
      </c>
      <c r="B11" s="325" t="s">
        <v>783</v>
      </c>
      <c r="C11" s="325" t="s">
        <v>812</v>
      </c>
      <c r="D11" s="325" t="s">
        <v>785</v>
      </c>
      <c r="E11" s="326">
        <v>45547.0</v>
      </c>
      <c r="F11" s="325" t="s">
        <v>172</v>
      </c>
      <c r="G11" s="327">
        <v>-1000.0</v>
      </c>
      <c r="H11" s="327">
        <v>-1000.0</v>
      </c>
      <c r="I11" s="325"/>
      <c r="J11" s="325" t="s">
        <v>786</v>
      </c>
      <c r="K11" s="325"/>
      <c r="L11" s="325"/>
      <c r="M11" s="326">
        <v>45547.0</v>
      </c>
      <c r="N11" s="326">
        <v>45548.0</v>
      </c>
      <c r="O11" s="325" t="s">
        <v>787</v>
      </c>
      <c r="P11" s="325">
        <v>205826.0</v>
      </c>
      <c r="Q11" s="325" t="s">
        <v>793</v>
      </c>
      <c r="R11" s="325"/>
      <c r="S11" s="325">
        <v>0.0</v>
      </c>
      <c r="T11" s="325">
        <v>0.0</v>
      </c>
      <c r="U11" s="325"/>
      <c r="V11" s="325" t="s">
        <v>748</v>
      </c>
      <c r="W11" s="325"/>
      <c r="X11" s="325"/>
      <c r="Y11" s="325"/>
      <c r="Z11" s="325"/>
    </row>
    <row r="12" ht="13.5" customHeight="1">
      <c r="A12" s="325" t="s">
        <v>782</v>
      </c>
      <c r="B12" s="325" t="s">
        <v>783</v>
      </c>
      <c r="C12" s="325" t="s">
        <v>814</v>
      </c>
      <c r="D12" s="325" t="s">
        <v>785</v>
      </c>
      <c r="E12" s="326">
        <v>45547.0</v>
      </c>
      <c r="F12" s="325" t="s">
        <v>172</v>
      </c>
      <c r="G12" s="325">
        <v>-885.0</v>
      </c>
      <c r="H12" s="325">
        <v>-885.0</v>
      </c>
      <c r="I12" s="325"/>
      <c r="J12" s="325" t="s">
        <v>786</v>
      </c>
      <c r="K12" s="325"/>
      <c r="L12" s="325"/>
      <c r="M12" s="326">
        <v>45547.0</v>
      </c>
      <c r="N12" s="326">
        <v>45548.0</v>
      </c>
      <c r="O12" s="325" t="s">
        <v>787</v>
      </c>
      <c r="P12" s="325">
        <v>205826.0</v>
      </c>
      <c r="Q12" s="325" t="s">
        <v>793</v>
      </c>
      <c r="R12" s="325"/>
      <c r="S12" s="325">
        <v>0.0</v>
      </c>
      <c r="T12" s="325">
        <v>0.0</v>
      </c>
      <c r="U12" s="325"/>
      <c r="V12" s="325" t="s">
        <v>748</v>
      </c>
      <c r="W12" s="325"/>
      <c r="X12" s="325"/>
      <c r="Y12" s="325"/>
      <c r="Z12" s="325"/>
    </row>
    <row r="13" ht="13.5" customHeight="1">
      <c r="A13" s="325" t="s">
        <v>782</v>
      </c>
      <c r="B13" s="325" t="s">
        <v>783</v>
      </c>
      <c r="C13" s="325" t="s">
        <v>816</v>
      </c>
      <c r="D13" s="325" t="s">
        <v>785</v>
      </c>
      <c r="E13" s="326">
        <v>45547.0</v>
      </c>
      <c r="F13" s="325" t="s">
        <v>172</v>
      </c>
      <c r="G13" s="327">
        <v>-1000.0</v>
      </c>
      <c r="H13" s="327">
        <v>-1000.0</v>
      </c>
      <c r="I13" s="325"/>
      <c r="J13" s="325" t="s">
        <v>786</v>
      </c>
      <c r="K13" s="325"/>
      <c r="L13" s="325"/>
      <c r="M13" s="326">
        <v>45547.0</v>
      </c>
      <c r="N13" s="326">
        <v>45548.0</v>
      </c>
      <c r="O13" s="325" t="s">
        <v>787</v>
      </c>
      <c r="P13" s="325">
        <v>205826.0</v>
      </c>
      <c r="Q13" s="325" t="s">
        <v>793</v>
      </c>
      <c r="R13" s="325"/>
      <c r="S13" s="325">
        <v>0.0</v>
      </c>
      <c r="T13" s="325">
        <v>0.0</v>
      </c>
      <c r="U13" s="325"/>
      <c r="V13" s="325" t="s">
        <v>748</v>
      </c>
      <c r="W13" s="325"/>
      <c r="X13" s="325"/>
      <c r="Y13" s="325"/>
      <c r="Z13" s="325"/>
    </row>
    <row r="14" ht="13.5" customHeight="1">
      <c r="A14" s="325" t="s">
        <v>782</v>
      </c>
      <c r="B14" s="325" t="s">
        <v>783</v>
      </c>
      <c r="C14" s="325" t="s">
        <v>818</v>
      </c>
      <c r="D14" s="325" t="s">
        <v>785</v>
      </c>
      <c r="E14" s="326">
        <v>45547.0</v>
      </c>
      <c r="F14" s="325" t="s">
        <v>172</v>
      </c>
      <c r="G14" s="327">
        <v>-1000.0</v>
      </c>
      <c r="H14" s="327">
        <v>-1000.0</v>
      </c>
      <c r="I14" s="325"/>
      <c r="J14" s="325" t="s">
        <v>786</v>
      </c>
      <c r="K14" s="325"/>
      <c r="L14" s="325"/>
      <c r="M14" s="326">
        <v>45547.0</v>
      </c>
      <c r="N14" s="326">
        <v>45548.0</v>
      </c>
      <c r="O14" s="325" t="s">
        <v>787</v>
      </c>
      <c r="P14" s="325">
        <v>205826.0</v>
      </c>
      <c r="Q14" s="325" t="s">
        <v>793</v>
      </c>
      <c r="R14" s="325"/>
      <c r="S14" s="325">
        <v>0.0</v>
      </c>
      <c r="T14" s="325">
        <v>0.0</v>
      </c>
      <c r="U14" s="325"/>
      <c r="V14" s="325" t="s">
        <v>748</v>
      </c>
      <c r="W14" s="325"/>
      <c r="X14" s="325"/>
      <c r="Y14" s="325"/>
      <c r="Z14" s="325"/>
    </row>
    <row r="15" ht="13.5" customHeight="1">
      <c r="A15" s="325" t="s">
        <v>782</v>
      </c>
      <c r="B15" s="325" t="s">
        <v>783</v>
      </c>
      <c r="C15" s="325" t="s">
        <v>820</v>
      </c>
      <c r="D15" s="325" t="s">
        <v>785</v>
      </c>
      <c r="E15" s="326">
        <v>45547.0</v>
      </c>
      <c r="F15" s="325" t="s">
        <v>172</v>
      </c>
      <c r="G15" s="325">
        <v>-1.65</v>
      </c>
      <c r="H15" s="325">
        <v>-1.65</v>
      </c>
      <c r="I15" s="325"/>
      <c r="J15" s="325" t="s">
        <v>786</v>
      </c>
      <c r="K15" s="325"/>
      <c r="L15" s="325"/>
      <c r="M15" s="326">
        <v>45547.0</v>
      </c>
      <c r="N15" s="326">
        <v>45548.0</v>
      </c>
      <c r="O15" s="325" t="s">
        <v>787</v>
      </c>
      <c r="P15" s="325">
        <v>205826.0</v>
      </c>
      <c r="Q15" s="325" t="s">
        <v>793</v>
      </c>
      <c r="R15" s="325"/>
      <c r="S15" s="325">
        <v>0.0</v>
      </c>
      <c r="T15" s="325">
        <v>0.0</v>
      </c>
      <c r="U15" s="325"/>
      <c r="V15" s="325" t="s">
        <v>748</v>
      </c>
      <c r="W15" s="325"/>
      <c r="X15" s="325"/>
      <c r="Y15" s="325"/>
      <c r="Z15" s="325"/>
    </row>
    <row r="16" ht="13.5" customHeight="1">
      <c r="A16" s="325" t="s">
        <v>782</v>
      </c>
      <c r="B16" s="325" t="s">
        <v>783</v>
      </c>
      <c r="C16" s="325" t="s">
        <v>822</v>
      </c>
      <c r="D16" s="325" t="s">
        <v>785</v>
      </c>
      <c r="E16" s="326">
        <v>45547.0</v>
      </c>
      <c r="F16" s="325" t="s">
        <v>172</v>
      </c>
      <c r="G16" s="325">
        <v>-130.35</v>
      </c>
      <c r="H16" s="325">
        <v>-130.35</v>
      </c>
      <c r="I16" s="325"/>
      <c r="J16" s="325" t="s">
        <v>786</v>
      </c>
      <c r="K16" s="325"/>
      <c r="L16" s="325"/>
      <c r="M16" s="326">
        <v>45547.0</v>
      </c>
      <c r="N16" s="326">
        <v>45548.0</v>
      </c>
      <c r="O16" s="325" t="s">
        <v>787</v>
      </c>
      <c r="P16" s="325">
        <v>205826.0</v>
      </c>
      <c r="Q16" s="325" t="s">
        <v>793</v>
      </c>
      <c r="R16" s="325"/>
      <c r="S16" s="325">
        <v>0.0</v>
      </c>
      <c r="T16" s="325">
        <v>0.0</v>
      </c>
      <c r="U16" s="325"/>
      <c r="V16" s="325" t="s">
        <v>748</v>
      </c>
      <c r="W16" s="325"/>
      <c r="X16" s="325"/>
      <c r="Y16" s="325"/>
      <c r="Z16" s="325"/>
    </row>
    <row r="17" ht="13.5" customHeight="1">
      <c r="A17" s="325" t="s">
        <v>782</v>
      </c>
      <c r="B17" s="325" t="s">
        <v>783</v>
      </c>
      <c r="C17" s="325" t="s">
        <v>824</v>
      </c>
      <c r="D17" s="325" t="s">
        <v>785</v>
      </c>
      <c r="E17" s="326">
        <v>45547.0</v>
      </c>
      <c r="F17" s="325" t="s">
        <v>172</v>
      </c>
      <c r="G17" s="325">
        <v>-1.65</v>
      </c>
      <c r="H17" s="325">
        <v>-1.65</v>
      </c>
      <c r="I17" s="325"/>
      <c r="J17" s="325" t="s">
        <v>786</v>
      </c>
      <c r="K17" s="325"/>
      <c r="L17" s="325"/>
      <c r="M17" s="326">
        <v>45547.0</v>
      </c>
      <c r="N17" s="326">
        <v>45548.0</v>
      </c>
      <c r="O17" s="325" t="s">
        <v>787</v>
      </c>
      <c r="P17" s="325">
        <v>205826.0</v>
      </c>
      <c r="Q17" s="325" t="s">
        <v>793</v>
      </c>
      <c r="R17" s="325"/>
      <c r="S17" s="325">
        <v>0.0</v>
      </c>
      <c r="T17" s="325">
        <v>0.0</v>
      </c>
      <c r="U17" s="325"/>
      <c r="V17" s="325" t="s">
        <v>748</v>
      </c>
      <c r="W17" s="325"/>
      <c r="X17" s="325"/>
      <c r="Y17" s="325"/>
      <c r="Z17" s="325"/>
    </row>
    <row r="18" ht="13.5" customHeight="1">
      <c r="A18" s="325" t="s">
        <v>782</v>
      </c>
      <c r="B18" s="325" t="s">
        <v>783</v>
      </c>
      <c r="C18" s="325" t="s">
        <v>826</v>
      </c>
      <c r="D18" s="325" t="s">
        <v>785</v>
      </c>
      <c r="E18" s="326">
        <v>45547.0</v>
      </c>
      <c r="F18" s="325" t="s">
        <v>172</v>
      </c>
      <c r="G18" s="325">
        <v>-1.65</v>
      </c>
      <c r="H18" s="325">
        <v>-1.65</v>
      </c>
      <c r="I18" s="325"/>
      <c r="J18" s="325" t="s">
        <v>786</v>
      </c>
      <c r="K18" s="325"/>
      <c r="L18" s="325"/>
      <c r="M18" s="326">
        <v>45547.0</v>
      </c>
      <c r="N18" s="326">
        <v>45548.0</v>
      </c>
      <c r="O18" s="325" t="s">
        <v>787</v>
      </c>
      <c r="P18" s="325">
        <v>205826.0</v>
      </c>
      <c r="Q18" s="325" t="s">
        <v>793</v>
      </c>
      <c r="R18" s="325"/>
      <c r="S18" s="325">
        <v>0.0</v>
      </c>
      <c r="T18" s="325">
        <v>0.0</v>
      </c>
      <c r="U18" s="325"/>
      <c r="V18" s="325" t="s">
        <v>748</v>
      </c>
      <c r="W18" s="325"/>
      <c r="X18" s="325"/>
      <c r="Y18" s="325"/>
      <c r="Z18" s="325"/>
    </row>
    <row r="19" ht="13.5" customHeight="1">
      <c r="A19" s="325" t="s">
        <v>782</v>
      </c>
      <c r="B19" s="325" t="s">
        <v>783</v>
      </c>
      <c r="C19" s="325" t="s">
        <v>828</v>
      </c>
      <c r="D19" s="325" t="s">
        <v>785</v>
      </c>
      <c r="E19" s="326">
        <v>45547.0</v>
      </c>
      <c r="F19" s="325" t="s">
        <v>172</v>
      </c>
      <c r="G19" s="325">
        <v>-414.8</v>
      </c>
      <c r="H19" s="325">
        <v>-414.8</v>
      </c>
      <c r="I19" s="325"/>
      <c r="J19" s="325" t="s">
        <v>786</v>
      </c>
      <c r="K19" s="325"/>
      <c r="L19" s="325"/>
      <c r="M19" s="326">
        <v>45547.0</v>
      </c>
      <c r="N19" s="326">
        <v>45548.0</v>
      </c>
      <c r="O19" s="325" t="s">
        <v>787</v>
      </c>
      <c r="P19" s="325">
        <v>205826.0</v>
      </c>
      <c r="Q19" s="325" t="s">
        <v>793</v>
      </c>
      <c r="R19" s="325"/>
      <c r="S19" s="325">
        <v>0.0</v>
      </c>
      <c r="T19" s="325">
        <v>0.0</v>
      </c>
      <c r="U19" s="325"/>
      <c r="V19" s="325" t="s">
        <v>748</v>
      </c>
      <c r="W19" s="325"/>
      <c r="X19" s="325"/>
      <c r="Y19" s="325"/>
      <c r="Z19" s="325"/>
    </row>
    <row r="20" ht="13.5" customHeight="1">
      <c r="A20" s="325" t="s">
        <v>782</v>
      </c>
      <c r="B20" s="325" t="s">
        <v>783</v>
      </c>
      <c r="C20" s="325" t="s">
        <v>830</v>
      </c>
      <c r="D20" s="325" t="s">
        <v>785</v>
      </c>
      <c r="E20" s="326">
        <v>45547.0</v>
      </c>
      <c r="F20" s="325" t="s">
        <v>172</v>
      </c>
      <c r="G20" s="325">
        <v>-472.6</v>
      </c>
      <c r="H20" s="325">
        <v>-472.6</v>
      </c>
      <c r="I20" s="325"/>
      <c r="J20" s="325" t="s">
        <v>786</v>
      </c>
      <c r="K20" s="325"/>
      <c r="L20" s="325"/>
      <c r="M20" s="326">
        <v>45547.0</v>
      </c>
      <c r="N20" s="326">
        <v>45548.0</v>
      </c>
      <c r="O20" s="325" t="s">
        <v>787</v>
      </c>
      <c r="P20" s="325">
        <v>205826.0</v>
      </c>
      <c r="Q20" s="325" t="s">
        <v>793</v>
      </c>
      <c r="R20" s="325"/>
      <c r="S20" s="325">
        <v>0.0</v>
      </c>
      <c r="T20" s="325">
        <v>0.0</v>
      </c>
      <c r="U20" s="325"/>
      <c r="V20" s="325" t="s">
        <v>748</v>
      </c>
      <c r="W20" s="325"/>
      <c r="X20" s="325"/>
      <c r="Y20" s="325"/>
      <c r="Z20" s="325"/>
    </row>
    <row r="21" ht="13.5" customHeight="1">
      <c r="A21" s="325" t="s">
        <v>782</v>
      </c>
      <c r="B21" s="325" t="s">
        <v>783</v>
      </c>
      <c r="C21" s="325" t="s">
        <v>832</v>
      </c>
      <c r="D21" s="325" t="s">
        <v>785</v>
      </c>
      <c r="E21" s="326">
        <v>45547.0</v>
      </c>
      <c r="F21" s="325" t="s">
        <v>172</v>
      </c>
      <c r="G21" s="325">
        <v>-3.4</v>
      </c>
      <c r="H21" s="325">
        <v>-3.4</v>
      </c>
      <c r="I21" s="325"/>
      <c r="J21" s="325" t="s">
        <v>786</v>
      </c>
      <c r="K21" s="325"/>
      <c r="L21" s="325"/>
      <c r="M21" s="326">
        <v>45547.0</v>
      </c>
      <c r="N21" s="326">
        <v>45548.0</v>
      </c>
      <c r="O21" s="325" t="s">
        <v>787</v>
      </c>
      <c r="P21" s="325">
        <v>205826.0</v>
      </c>
      <c r="Q21" s="325" t="s">
        <v>793</v>
      </c>
      <c r="R21" s="325"/>
      <c r="S21" s="325">
        <v>0.0</v>
      </c>
      <c r="T21" s="325">
        <v>0.0</v>
      </c>
      <c r="U21" s="325"/>
      <c r="V21" s="325" t="s">
        <v>748</v>
      </c>
      <c r="W21" s="325"/>
      <c r="X21" s="325"/>
      <c r="Y21" s="325"/>
      <c r="Z21" s="325"/>
    </row>
    <row r="22" ht="13.5" customHeight="1">
      <c r="A22" s="325" t="s">
        <v>782</v>
      </c>
      <c r="B22" s="325" t="s">
        <v>783</v>
      </c>
      <c r="C22" s="325" t="s">
        <v>834</v>
      </c>
      <c r="D22" s="325" t="s">
        <v>785</v>
      </c>
      <c r="E22" s="326">
        <v>45547.0</v>
      </c>
      <c r="F22" s="325" t="s">
        <v>172</v>
      </c>
      <c r="G22" s="325">
        <v>-3.4</v>
      </c>
      <c r="H22" s="325">
        <v>-3.4</v>
      </c>
      <c r="I22" s="325"/>
      <c r="J22" s="325" t="s">
        <v>786</v>
      </c>
      <c r="K22" s="325"/>
      <c r="L22" s="325"/>
      <c r="M22" s="326">
        <v>45547.0</v>
      </c>
      <c r="N22" s="326">
        <v>45548.0</v>
      </c>
      <c r="O22" s="325" t="s">
        <v>787</v>
      </c>
      <c r="P22" s="325">
        <v>205826.0</v>
      </c>
      <c r="Q22" s="325" t="s">
        <v>793</v>
      </c>
      <c r="R22" s="325"/>
      <c r="S22" s="325">
        <v>0.0</v>
      </c>
      <c r="T22" s="325">
        <v>0.0</v>
      </c>
      <c r="U22" s="325"/>
      <c r="V22" s="325" t="s">
        <v>748</v>
      </c>
      <c r="W22" s="325"/>
      <c r="X22" s="325"/>
      <c r="Y22" s="325"/>
      <c r="Z22" s="325"/>
    </row>
    <row r="23" ht="13.5" customHeight="1">
      <c r="A23" s="325" t="s">
        <v>782</v>
      </c>
      <c r="B23" s="325" t="s">
        <v>783</v>
      </c>
      <c r="C23" s="325" t="s">
        <v>836</v>
      </c>
      <c r="D23" s="325" t="s">
        <v>785</v>
      </c>
      <c r="E23" s="326">
        <v>45547.0</v>
      </c>
      <c r="F23" s="325" t="s">
        <v>172</v>
      </c>
      <c r="G23" s="325">
        <v>-95.2</v>
      </c>
      <c r="H23" s="325">
        <v>-95.2</v>
      </c>
      <c r="I23" s="325"/>
      <c r="J23" s="325" t="s">
        <v>786</v>
      </c>
      <c r="K23" s="325"/>
      <c r="L23" s="325"/>
      <c r="M23" s="326">
        <v>45547.0</v>
      </c>
      <c r="N23" s="326">
        <v>45548.0</v>
      </c>
      <c r="O23" s="325" t="s">
        <v>787</v>
      </c>
      <c r="P23" s="325">
        <v>205826.0</v>
      </c>
      <c r="Q23" s="325" t="s">
        <v>793</v>
      </c>
      <c r="R23" s="325"/>
      <c r="S23" s="325">
        <v>0.0</v>
      </c>
      <c r="T23" s="325">
        <v>0.0</v>
      </c>
      <c r="U23" s="325"/>
      <c r="V23" s="325" t="s">
        <v>748</v>
      </c>
      <c r="W23" s="325"/>
      <c r="X23" s="325"/>
      <c r="Y23" s="325"/>
      <c r="Z23" s="325"/>
    </row>
    <row r="24" ht="13.5" customHeight="1">
      <c r="A24" s="325" t="s">
        <v>782</v>
      </c>
      <c r="B24" s="325" t="s">
        <v>783</v>
      </c>
      <c r="C24" s="325" t="s">
        <v>838</v>
      </c>
      <c r="D24" s="325" t="s">
        <v>785</v>
      </c>
      <c r="E24" s="326">
        <v>45547.0</v>
      </c>
      <c r="F24" s="325" t="s">
        <v>172</v>
      </c>
      <c r="G24" s="325">
        <v>-3.4</v>
      </c>
      <c r="H24" s="325">
        <v>-3.4</v>
      </c>
      <c r="I24" s="325"/>
      <c r="J24" s="325" t="s">
        <v>786</v>
      </c>
      <c r="K24" s="325"/>
      <c r="L24" s="325"/>
      <c r="M24" s="326">
        <v>45547.0</v>
      </c>
      <c r="N24" s="326">
        <v>45548.0</v>
      </c>
      <c r="O24" s="325" t="s">
        <v>787</v>
      </c>
      <c r="P24" s="325">
        <v>205826.0</v>
      </c>
      <c r="Q24" s="325" t="s">
        <v>793</v>
      </c>
      <c r="R24" s="325"/>
      <c r="S24" s="325">
        <v>0.0</v>
      </c>
      <c r="T24" s="325">
        <v>0.0</v>
      </c>
      <c r="U24" s="325"/>
      <c r="V24" s="325" t="s">
        <v>748</v>
      </c>
      <c r="W24" s="325"/>
      <c r="X24" s="325"/>
      <c r="Y24" s="325"/>
      <c r="Z24" s="325"/>
    </row>
    <row r="25" ht="13.5" customHeight="1">
      <c r="A25" s="325" t="s">
        <v>782</v>
      </c>
      <c r="B25" s="325" t="s">
        <v>783</v>
      </c>
      <c r="C25" s="325" t="s">
        <v>840</v>
      </c>
      <c r="D25" s="325" t="s">
        <v>785</v>
      </c>
      <c r="E25" s="326">
        <v>45547.0</v>
      </c>
      <c r="F25" s="325" t="s">
        <v>172</v>
      </c>
      <c r="G25" s="325">
        <v>-3.4</v>
      </c>
      <c r="H25" s="325">
        <v>-3.4</v>
      </c>
      <c r="I25" s="325"/>
      <c r="J25" s="325" t="s">
        <v>786</v>
      </c>
      <c r="K25" s="325"/>
      <c r="L25" s="325"/>
      <c r="M25" s="326">
        <v>45547.0</v>
      </c>
      <c r="N25" s="326">
        <v>45548.0</v>
      </c>
      <c r="O25" s="325" t="s">
        <v>787</v>
      </c>
      <c r="P25" s="325">
        <v>205826.0</v>
      </c>
      <c r="Q25" s="325" t="s">
        <v>793</v>
      </c>
      <c r="R25" s="325"/>
      <c r="S25" s="325">
        <v>0.0</v>
      </c>
      <c r="T25" s="325">
        <v>0.0</v>
      </c>
      <c r="U25" s="325"/>
      <c r="V25" s="325" t="s">
        <v>748</v>
      </c>
      <c r="W25" s="325"/>
      <c r="X25" s="325"/>
      <c r="Y25" s="325"/>
      <c r="Z25" s="325"/>
    </row>
    <row r="26" ht="13.5" customHeight="1">
      <c r="A26" s="325" t="s">
        <v>782</v>
      </c>
      <c r="B26" s="325" t="s">
        <v>783</v>
      </c>
      <c r="C26" s="325" t="s">
        <v>842</v>
      </c>
      <c r="D26" s="325" t="s">
        <v>785</v>
      </c>
      <c r="E26" s="326">
        <v>45547.0</v>
      </c>
      <c r="F26" s="325" t="s">
        <v>172</v>
      </c>
      <c r="G26" s="325">
        <v>-24.6</v>
      </c>
      <c r="H26" s="325">
        <v>-24.6</v>
      </c>
      <c r="I26" s="325"/>
      <c r="J26" s="325" t="s">
        <v>786</v>
      </c>
      <c r="K26" s="325"/>
      <c r="L26" s="325"/>
      <c r="M26" s="326">
        <v>45547.0</v>
      </c>
      <c r="N26" s="326">
        <v>45548.0</v>
      </c>
      <c r="O26" s="325" t="s">
        <v>787</v>
      </c>
      <c r="P26" s="325">
        <v>205826.0</v>
      </c>
      <c r="Q26" s="325" t="s">
        <v>793</v>
      </c>
      <c r="R26" s="325"/>
      <c r="S26" s="325">
        <v>0.0</v>
      </c>
      <c r="T26" s="325">
        <v>0.0</v>
      </c>
      <c r="U26" s="325"/>
      <c r="V26" s="325" t="s">
        <v>748</v>
      </c>
      <c r="W26" s="325"/>
      <c r="X26" s="325"/>
      <c r="Y26" s="325"/>
      <c r="Z26" s="325"/>
    </row>
    <row r="27" ht="13.5" customHeight="1">
      <c r="A27" s="325" t="s">
        <v>782</v>
      </c>
      <c r="B27" s="325" t="s">
        <v>783</v>
      </c>
      <c r="C27" s="325" t="s">
        <v>844</v>
      </c>
      <c r="D27" s="325" t="s">
        <v>785</v>
      </c>
      <c r="E27" s="326">
        <v>45547.0</v>
      </c>
      <c r="F27" s="325" t="s">
        <v>172</v>
      </c>
      <c r="G27" s="325">
        <v>-8.2</v>
      </c>
      <c r="H27" s="325">
        <v>-8.2</v>
      </c>
      <c r="I27" s="325"/>
      <c r="J27" s="325" t="s">
        <v>786</v>
      </c>
      <c r="K27" s="325"/>
      <c r="L27" s="325"/>
      <c r="M27" s="326">
        <v>45547.0</v>
      </c>
      <c r="N27" s="326">
        <v>45548.0</v>
      </c>
      <c r="O27" s="325" t="s">
        <v>787</v>
      </c>
      <c r="P27" s="325">
        <v>205826.0</v>
      </c>
      <c r="Q27" s="325" t="s">
        <v>793</v>
      </c>
      <c r="R27" s="325"/>
      <c r="S27" s="325">
        <v>0.0</v>
      </c>
      <c r="T27" s="325">
        <v>0.0</v>
      </c>
      <c r="U27" s="325"/>
      <c r="V27" s="325" t="s">
        <v>748</v>
      </c>
      <c r="W27" s="325"/>
      <c r="X27" s="325"/>
      <c r="Y27" s="325"/>
      <c r="Z27" s="325"/>
    </row>
    <row r="28" ht="13.5" customHeight="1">
      <c r="A28" s="325" t="s">
        <v>782</v>
      </c>
      <c r="B28" s="325" t="s">
        <v>783</v>
      </c>
      <c r="C28" s="325" t="s">
        <v>846</v>
      </c>
      <c r="D28" s="325" t="s">
        <v>785</v>
      </c>
      <c r="E28" s="326">
        <v>45547.0</v>
      </c>
      <c r="F28" s="325" t="s">
        <v>172</v>
      </c>
      <c r="G28" s="325">
        <v>-8.2</v>
      </c>
      <c r="H28" s="325">
        <v>-8.2</v>
      </c>
      <c r="I28" s="325"/>
      <c r="J28" s="325" t="s">
        <v>786</v>
      </c>
      <c r="K28" s="325"/>
      <c r="L28" s="325"/>
      <c r="M28" s="326">
        <v>45547.0</v>
      </c>
      <c r="N28" s="326">
        <v>45548.0</v>
      </c>
      <c r="O28" s="325" t="s">
        <v>787</v>
      </c>
      <c r="P28" s="325">
        <v>205826.0</v>
      </c>
      <c r="Q28" s="325" t="s">
        <v>793</v>
      </c>
      <c r="R28" s="325"/>
      <c r="S28" s="325">
        <v>0.0</v>
      </c>
      <c r="T28" s="325">
        <v>0.0</v>
      </c>
      <c r="U28" s="325"/>
      <c r="V28" s="325" t="s">
        <v>748</v>
      </c>
      <c r="W28" s="325"/>
      <c r="X28" s="325"/>
      <c r="Y28" s="325"/>
      <c r="Z28" s="325"/>
    </row>
    <row r="29" ht="13.5" customHeight="1">
      <c r="A29" s="325" t="s">
        <v>782</v>
      </c>
      <c r="B29" s="325" t="s">
        <v>783</v>
      </c>
      <c r="C29" s="325" t="s">
        <v>848</v>
      </c>
      <c r="D29" s="325" t="s">
        <v>785</v>
      </c>
      <c r="E29" s="326">
        <v>45547.0</v>
      </c>
      <c r="F29" s="325" t="s">
        <v>172</v>
      </c>
      <c r="G29" s="325">
        <v>-8.2</v>
      </c>
      <c r="H29" s="325">
        <v>-8.2</v>
      </c>
      <c r="I29" s="325"/>
      <c r="J29" s="325" t="s">
        <v>786</v>
      </c>
      <c r="K29" s="325"/>
      <c r="L29" s="325"/>
      <c r="M29" s="326">
        <v>45547.0</v>
      </c>
      <c r="N29" s="326">
        <v>45548.0</v>
      </c>
      <c r="O29" s="325" t="s">
        <v>787</v>
      </c>
      <c r="P29" s="325">
        <v>205826.0</v>
      </c>
      <c r="Q29" s="325" t="s">
        <v>793</v>
      </c>
      <c r="R29" s="325"/>
      <c r="S29" s="325">
        <v>0.0</v>
      </c>
      <c r="T29" s="325">
        <v>0.0</v>
      </c>
      <c r="U29" s="325"/>
      <c r="V29" s="325" t="s">
        <v>748</v>
      </c>
      <c r="W29" s="325"/>
      <c r="X29" s="325"/>
      <c r="Y29" s="325"/>
      <c r="Z29" s="325"/>
    </row>
    <row r="30" ht="13.5" customHeight="1">
      <c r="A30" s="325" t="s">
        <v>782</v>
      </c>
      <c r="B30" s="325" t="s">
        <v>783</v>
      </c>
      <c r="C30" s="325" t="s">
        <v>850</v>
      </c>
      <c r="D30" s="325" t="s">
        <v>785</v>
      </c>
      <c r="E30" s="326">
        <v>45547.0</v>
      </c>
      <c r="F30" s="325" t="s">
        <v>172</v>
      </c>
      <c r="G30" s="325">
        <v>-8.2</v>
      </c>
      <c r="H30" s="325">
        <v>-8.2</v>
      </c>
      <c r="I30" s="325"/>
      <c r="J30" s="325" t="s">
        <v>786</v>
      </c>
      <c r="K30" s="325"/>
      <c r="L30" s="325"/>
      <c r="M30" s="326">
        <v>45547.0</v>
      </c>
      <c r="N30" s="326">
        <v>45548.0</v>
      </c>
      <c r="O30" s="325" t="s">
        <v>787</v>
      </c>
      <c r="P30" s="325">
        <v>205826.0</v>
      </c>
      <c r="Q30" s="325" t="s">
        <v>793</v>
      </c>
      <c r="R30" s="325"/>
      <c r="S30" s="325">
        <v>0.0</v>
      </c>
      <c r="T30" s="325">
        <v>0.0</v>
      </c>
      <c r="U30" s="325"/>
      <c r="V30" s="325" t="s">
        <v>748</v>
      </c>
      <c r="W30" s="325"/>
      <c r="X30" s="325"/>
      <c r="Y30" s="325"/>
      <c r="Z30" s="325"/>
    </row>
    <row r="31" ht="13.5" customHeight="1">
      <c r="A31" s="325" t="s">
        <v>782</v>
      </c>
      <c r="B31" s="325" t="s">
        <v>783</v>
      </c>
      <c r="C31" s="325" t="s">
        <v>851</v>
      </c>
      <c r="D31" s="325" t="s">
        <v>785</v>
      </c>
      <c r="E31" s="326">
        <v>45547.0</v>
      </c>
      <c r="F31" s="325" t="s">
        <v>172</v>
      </c>
      <c r="G31" s="325">
        <v>-287.0</v>
      </c>
      <c r="H31" s="325">
        <v>-287.0</v>
      </c>
      <c r="I31" s="325"/>
      <c r="J31" s="325" t="s">
        <v>786</v>
      </c>
      <c r="K31" s="325"/>
      <c r="L31" s="325"/>
      <c r="M31" s="326">
        <v>45547.0</v>
      </c>
      <c r="N31" s="326">
        <v>45548.0</v>
      </c>
      <c r="O31" s="325" t="s">
        <v>787</v>
      </c>
      <c r="P31" s="325">
        <v>205826.0</v>
      </c>
      <c r="Q31" s="325" t="s">
        <v>793</v>
      </c>
      <c r="R31" s="325"/>
      <c r="S31" s="325">
        <v>0.0</v>
      </c>
      <c r="T31" s="325">
        <v>0.0</v>
      </c>
      <c r="U31" s="325"/>
      <c r="V31" s="325" t="s">
        <v>748</v>
      </c>
      <c r="W31" s="325"/>
      <c r="X31" s="325"/>
      <c r="Y31" s="325"/>
      <c r="Z31" s="325"/>
    </row>
    <row r="32" ht="13.5" customHeight="1">
      <c r="A32" s="325" t="s">
        <v>782</v>
      </c>
      <c r="B32" s="325" t="s">
        <v>783</v>
      </c>
      <c r="C32" s="325" t="s">
        <v>853</v>
      </c>
      <c r="D32" s="325" t="s">
        <v>785</v>
      </c>
      <c r="E32" s="326">
        <v>45547.0</v>
      </c>
      <c r="F32" s="325" t="s">
        <v>172</v>
      </c>
      <c r="G32" s="325">
        <v>-8.2</v>
      </c>
      <c r="H32" s="325">
        <v>-8.2</v>
      </c>
      <c r="I32" s="325"/>
      <c r="J32" s="325" t="s">
        <v>786</v>
      </c>
      <c r="K32" s="325"/>
      <c r="L32" s="325"/>
      <c r="M32" s="326">
        <v>45547.0</v>
      </c>
      <c r="N32" s="326">
        <v>45548.0</v>
      </c>
      <c r="O32" s="325" t="s">
        <v>787</v>
      </c>
      <c r="P32" s="325">
        <v>205826.0</v>
      </c>
      <c r="Q32" s="325" t="s">
        <v>793</v>
      </c>
      <c r="R32" s="325"/>
      <c r="S32" s="325">
        <v>0.0</v>
      </c>
      <c r="T32" s="325">
        <v>0.0</v>
      </c>
      <c r="U32" s="325"/>
      <c r="V32" s="325" t="s">
        <v>748</v>
      </c>
      <c r="W32" s="325"/>
      <c r="X32" s="325"/>
      <c r="Y32" s="325"/>
      <c r="Z32" s="325"/>
    </row>
    <row r="33" ht="13.5" customHeight="1">
      <c r="A33" s="325" t="s">
        <v>782</v>
      </c>
      <c r="B33" s="325" t="s">
        <v>783</v>
      </c>
      <c r="C33" s="325" t="s">
        <v>855</v>
      </c>
      <c r="D33" s="325" t="s">
        <v>785</v>
      </c>
      <c r="E33" s="326">
        <v>45547.0</v>
      </c>
      <c r="F33" s="325" t="s">
        <v>172</v>
      </c>
      <c r="G33" s="325">
        <v>-90.2</v>
      </c>
      <c r="H33" s="325">
        <v>-90.2</v>
      </c>
      <c r="I33" s="325"/>
      <c r="J33" s="325" t="s">
        <v>786</v>
      </c>
      <c r="K33" s="325"/>
      <c r="L33" s="325"/>
      <c r="M33" s="326">
        <v>45547.0</v>
      </c>
      <c r="N33" s="326">
        <v>45548.0</v>
      </c>
      <c r="O33" s="325" t="s">
        <v>787</v>
      </c>
      <c r="P33" s="325">
        <v>205826.0</v>
      </c>
      <c r="Q33" s="325" t="s">
        <v>793</v>
      </c>
      <c r="R33" s="325"/>
      <c r="S33" s="325">
        <v>0.0</v>
      </c>
      <c r="T33" s="325">
        <v>0.0</v>
      </c>
      <c r="U33" s="325"/>
      <c r="V33" s="325" t="s">
        <v>748</v>
      </c>
      <c r="W33" s="325"/>
      <c r="X33" s="325"/>
      <c r="Y33" s="325"/>
      <c r="Z33" s="325"/>
    </row>
    <row r="34" ht="13.5" customHeight="1">
      <c r="A34" s="325" t="s">
        <v>782</v>
      </c>
      <c r="B34" s="325" t="s">
        <v>783</v>
      </c>
      <c r="C34" s="325" t="s">
        <v>857</v>
      </c>
      <c r="D34" s="325" t="s">
        <v>785</v>
      </c>
      <c r="E34" s="326">
        <v>45547.0</v>
      </c>
      <c r="F34" s="325" t="s">
        <v>172</v>
      </c>
      <c r="G34" s="327">
        <v>-1000.0</v>
      </c>
      <c r="H34" s="327">
        <v>-1000.0</v>
      </c>
      <c r="I34" s="325"/>
      <c r="J34" s="325" t="s">
        <v>786</v>
      </c>
      <c r="K34" s="325"/>
      <c r="L34" s="325"/>
      <c r="M34" s="326">
        <v>45547.0</v>
      </c>
      <c r="N34" s="326">
        <v>45548.0</v>
      </c>
      <c r="O34" s="325" t="s">
        <v>787</v>
      </c>
      <c r="P34" s="325">
        <v>205826.0</v>
      </c>
      <c r="Q34" s="325" t="s">
        <v>793</v>
      </c>
      <c r="R34" s="325"/>
      <c r="S34" s="325">
        <v>0.0</v>
      </c>
      <c r="T34" s="325">
        <v>0.0</v>
      </c>
      <c r="U34" s="325"/>
      <c r="V34" s="325" t="s">
        <v>748</v>
      </c>
      <c r="W34" s="325"/>
      <c r="X34" s="325"/>
      <c r="Y34" s="325"/>
      <c r="Z34" s="325"/>
    </row>
    <row r="35" ht="13.5" customHeight="1">
      <c r="A35" s="325" t="s">
        <v>782</v>
      </c>
      <c r="B35" s="325" t="s">
        <v>783</v>
      </c>
      <c r="C35" s="325" t="s">
        <v>859</v>
      </c>
      <c r="D35" s="325" t="s">
        <v>785</v>
      </c>
      <c r="E35" s="326">
        <v>45547.0</v>
      </c>
      <c r="F35" s="325" t="s">
        <v>172</v>
      </c>
      <c r="G35" s="327">
        <v>-1000.0</v>
      </c>
      <c r="H35" s="327">
        <v>-1000.0</v>
      </c>
      <c r="I35" s="325"/>
      <c r="J35" s="325" t="s">
        <v>786</v>
      </c>
      <c r="K35" s="325"/>
      <c r="L35" s="325"/>
      <c r="M35" s="326">
        <v>45547.0</v>
      </c>
      <c r="N35" s="326">
        <v>45548.0</v>
      </c>
      <c r="O35" s="325" t="s">
        <v>787</v>
      </c>
      <c r="P35" s="325">
        <v>205826.0</v>
      </c>
      <c r="Q35" s="325" t="s">
        <v>793</v>
      </c>
      <c r="R35" s="325"/>
      <c r="S35" s="325">
        <v>0.0</v>
      </c>
      <c r="T35" s="325">
        <v>0.0</v>
      </c>
      <c r="U35" s="325"/>
      <c r="V35" s="325" t="s">
        <v>748</v>
      </c>
      <c r="W35" s="325"/>
      <c r="X35" s="325"/>
      <c r="Y35" s="325"/>
      <c r="Z35" s="325"/>
    </row>
    <row r="36" ht="13.5" customHeight="1">
      <c r="A36" s="50" t="s">
        <v>782</v>
      </c>
      <c r="B36" s="50" t="s">
        <v>783</v>
      </c>
      <c r="C36" s="50" t="s">
        <v>861</v>
      </c>
      <c r="D36" s="50" t="s">
        <v>785</v>
      </c>
      <c r="E36" s="117">
        <v>45547.0</v>
      </c>
      <c r="F36" s="50" t="s">
        <v>172</v>
      </c>
      <c r="G36" s="55">
        <v>-1000.0</v>
      </c>
      <c r="H36" s="55">
        <v>-1000.0</v>
      </c>
      <c r="J36" s="50" t="s">
        <v>786</v>
      </c>
      <c r="M36" s="117">
        <v>45547.0</v>
      </c>
      <c r="N36" s="117">
        <v>45548.0</v>
      </c>
      <c r="O36" s="50" t="s">
        <v>787</v>
      </c>
      <c r="P36" s="50">
        <v>205826.0</v>
      </c>
      <c r="Q36" s="50" t="s">
        <v>793</v>
      </c>
      <c r="S36" s="50">
        <v>0.0</v>
      </c>
      <c r="T36" s="50">
        <v>0.0</v>
      </c>
      <c r="V36" s="50" t="s">
        <v>748</v>
      </c>
    </row>
    <row r="37" ht="13.5" customHeight="1">
      <c r="G37" s="55">
        <f t="shared" ref="G37:H37" si="1">SUM(G2:G36)</f>
        <v>-17459.3</v>
      </c>
      <c r="H37" s="55">
        <f t="shared" si="1"/>
        <v>-17459.3</v>
      </c>
    </row>
    <row r="38" ht="13.5" customHeight="1"/>
    <row r="39" ht="13.5" customHeight="1"/>
    <row r="40" ht="13.5" customHeight="1">
      <c r="B40" s="50" t="s">
        <v>863</v>
      </c>
      <c r="C40" s="50">
        <v>1395.0</v>
      </c>
      <c r="G40" s="55">
        <v>35360.97</v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V$1">
    <sortState ref="A1:V1">
      <sortCondition ref="C1"/>
    </sortState>
  </autoFilter>
  <printOptions/>
  <pageMargins bottom="0.787401575" footer="0.0" header="0.0" left="0.511811024" right="0.511811024" top="0.787401575"/>
  <pageSetup paperSize="9" orientation="portrait"/>
  <drawing r:id="rId1"/>
</worksheet>
</file>