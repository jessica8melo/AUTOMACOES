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.sousa\Downloads\Apuração Fiscal - Demanda\"/>
    </mc:Choice>
  </mc:AlternateContent>
  <xr:revisionPtr revIDLastSave="0" documentId="13_ncr:1_{77D4F302-2021-4E64-ABA5-7CACABDCA65B}" xr6:coauthVersionLast="47" xr6:coauthVersionMax="47" xr10:uidLastSave="{00000000-0000-0000-0000-000000000000}"/>
  <bookViews>
    <workbookView xWindow="28680" yWindow="-120" windowWidth="29040" windowHeight="15720" xr2:uid="{D01BA68F-89B7-4390-B0C5-A22DE31E7E79}"/>
  </bookViews>
  <sheets>
    <sheet name="Planilha1" sheetId="1" r:id="rId1"/>
  </sheets>
  <definedNames>
    <definedName name="_xlnm._FilterDatabase" localSheetId="0" hidden="1">Planilha1!$A$1:$AS$253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8" i="1" l="1"/>
  <c r="J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8" i="1"/>
  <c r="L7" i="1"/>
  <c r="L6" i="1"/>
  <c r="L5" i="1"/>
  <c r="L4" i="1"/>
  <c r="L3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Cristina Maia de Sousa</author>
    <author>tc={3464BA21-EF7D-44C5-828C-9FE05592C020}</author>
    <author>tc={803FECB8-FFC9-4F24-967E-362877BC7405}</author>
    <author>tc={0B5DD369-39E1-4363-8D1C-F261ECBEB056}</author>
  </authors>
  <commentList>
    <comment ref="K29" authorId="0" shapeId="0" xr:uid="{EEE16B0B-3302-49C3-A06A-A66DC72FA778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</t>
        </r>
      </text>
    </comment>
    <comment ref="K31" authorId="0" shapeId="0" xr:uid="{8BA683E1-9BED-4B8D-8001-F27A0E284219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</t>
        </r>
      </text>
    </comment>
    <comment ref="K32" authorId="0" shapeId="0" xr:uid="{57C65BC4-E674-4C6F-9A8F-7E03881870EF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</t>
        </r>
      </text>
    </comment>
    <comment ref="K34" authorId="0" shapeId="0" xr:uid="{E48D21D1-BA10-4C06-BABA-6BDC256C241D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
</t>
        </r>
      </text>
    </comment>
    <comment ref="K42" authorId="0" shapeId="0" xr:uid="{4AC44B2A-A623-4486-954F-8C1352600117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
</t>
        </r>
      </text>
    </comment>
    <comment ref="K56" authorId="1" shapeId="0" xr:uid="{3464BA21-EF7D-44C5-828C-9FE05592C0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acrescentando R$ 0,01 centavos</t>
      </text>
    </comment>
    <comment ref="K60" authorId="0" shapeId="0" xr:uid="{AF541F99-C8BB-4532-A12A-31909E2CF69C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
</t>
        </r>
      </text>
    </comment>
    <comment ref="K94" authorId="2" shapeId="0" xr:uid="{803FECB8-FFC9-4F24-967E-362877BC74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reduzindo o valor de R$ 0,01
</t>
      </text>
    </comment>
    <comment ref="K100" authorId="0" shapeId="0" xr:uid="{2AACC016-EC65-4999-9DEA-6E77C6764BE5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de 0,01 centavos (retirar).
</t>
        </r>
      </text>
    </comment>
    <comment ref="K172" authorId="0" shapeId="0" xr:uid="{6ABADDDE-294B-4322-B0AE-2033476D1484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</t>
        </r>
      </text>
    </comment>
    <comment ref="K214" authorId="0" shapeId="0" xr:uid="{0CCFA0E5-2B28-416E-9E5D-E1B1AA5EA8C5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Fazer o ajuste de R$ 0,01, subtraindo do valor
</t>
        </r>
      </text>
    </comment>
    <comment ref="K215" authorId="3" shapeId="0" xr:uid="{0B5DD369-39E1-4363-8D1C-F261ECBEB0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Fazer o  ajuste subtraindo R$ 0,01
</t>
      </text>
    </comment>
    <comment ref="K221" authorId="0" shapeId="0" xr:uid="{6A9636D7-9435-46ED-ADCC-0B897AB62A5C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</t>
        </r>
      </text>
    </comment>
    <comment ref="K222" authorId="0" shapeId="0" xr:uid="{08B09AEB-9312-4438-9920-2CA63D634E5C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
</t>
        </r>
      </text>
    </comment>
    <comment ref="K225" authorId="0" shapeId="0" xr:uid="{B4964BAA-C88D-4EAF-9D1C-7C2A31A4ED7B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
</t>
        </r>
      </text>
    </comment>
    <comment ref="K226" authorId="0" shapeId="0" xr:uid="{D47974BD-E9EB-48EC-9BBB-A649FB06813B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
</t>
        </r>
      </text>
    </comment>
    <comment ref="K229" authorId="0" shapeId="0" xr:uid="{5A998ABF-4D77-4443-ADC4-902C09168735}">
      <text>
        <r>
          <rPr>
            <b/>
            <sz val="9"/>
            <color indexed="81"/>
            <rFont val="Segoe UI"/>
            <family val="2"/>
          </rPr>
          <t>Michelle Cristina Maia de Sousa:</t>
        </r>
        <r>
          <rPr>
            <sz val="9"/>
            <color indexed="81"/>
            <rFont val="Segoe UI"/>
            <family val="2"/>
          </rPr>
          <t xml:space="preserve">
Ajuste reduzindo o valor de R$ 0,01</t>
        </r>
      </text>
    </comment>
  </commentList>
</comments>
</file>

<file path=xl/sharedStrings.xml><?xml version="1.0" encoding="utf-8"?>
<sst xmlns="http://schemas.openxmlformats.org/spreadsheetml/2006/main" count="1702" uniqueCount="287">
  <si>
    <t>Organização</t>
  </si>
  <si>
    <t>CNPJ Organização</t>
  </si>
  <si>
    <t>Número Ri</t>
  </si>
  <si>
    <t>Tipo</t>
  </si>
  <si>
    <t>Tipo de Transação</t>
  </si>
  <si>
    <t>Data Entrada RI</t>
  </si>
  <si>
    <t>Data da Emissão</t>
  </si>
  <si>
    <t>N.F</t>
  </si>
  <si>
    <t>Fornecedor</t>
  </si>
  <si>
    <t>Valor Total da Nota</t>
  </si>
  <si>
    <t>ISS</t>
  </si>
  <si>
    <t>Alíquota</t>
  </si>
  <si>
    <t>Devolução de ISS</t>
  </si>
  <si>
    <t>Glosa de ISS</t>
  </si>
  <si>
    <t>Observações</t>
  </si>
  <si>
    <t>DT Criação Recebimento</t>
  </si>
  <si>
    <t>GL Date</t>
  </si>
  <si>
    <t>Status</t>
  </si>
  <si>
    <t>DGCO</t>
  </si>
  <si>
    <t>COMPLETE</t>
  </si>
  <si>
    <t>-</t>
  </si>
  <si>
    <t>17.02.02</t>
  </si>
  <si>
    <t>(COBAN) - DATILOGRAFIA, DIGITACAO, ESTENOGRAFIA, EXPEDIENTE, SECRETARIA EM GERAL</t>
  </si>
  <si>
    <t>BAR</t>
  </si>
  <si>
    <t>'</t>
  </si>
  <si>
    <t>07.10.06</t>
  </si>
  <si>
    <t>(SIMPLES NACIONAL) - LIMPEZA, MANUTENCAO E CONSERVACAO DE VIAS</t>
  </si>
  <si>
    <t>FORCE SERVICOS LTDA - EPP</t>
  </si>
  <si>
    <t>00801/2024</t>
  </si>
  <si>
    <t>17.19.07</t>
  </si>
  <si>
    <t>(SIMPLES NACIONAL) CONTABILIDADE, INCLUSIVE SERVICOS TECNICOS E AUXILIARES.</t>
  </si>
  <si>
    <t>VERITAS ASSESSORIA CONTABIL SS LTDA ME</t>
  </si>
  <si>
    <t>00414/2024</t>
  </si>
  <si>
    <t>14.01.01</t>
  </si>
  <si>
    <t>LUBRIFICACAO, LIMPEZA, LUSTRACAO, REVISAO, CARGA E RECARGA, CONSERTO, RESTAURACAO, BLINDAGEM, MANUTENCAO E CONSERVACAO DE MAQUINAS, VEICULOS, APARELHOS, EQUIPAMENTOS, MOTORES, ELEVADORES OU DE QUALQUER OBJETO</t>
  </si>
  <si>
    <t>EDER FERNANDES DOS SANTOS - ME</t>
  </si>
  <si>
    <t>31.3</t>
  </si>
  <si>
    <t>CONTRATACAO DE SERVICO - EXCLUSIVO PDPEP - SIMPLES NACIONAL</t>
  </si>
  <si>
    <t>14.01.06</t>
  </si>
  <si>
    <t>(SIMPLES NACIONAL) - LUBRIFICACAO, LIMPEZA, LUSTRACAO, REVISAO, CARGA E RECARGA, CONSERTO, RESTAURACAO, BLINDAGEM, MANUTENCAO E CONSERVACAO DE MAQUINAS, VEICULOS, APARELHOS, EQUIPAMENTOS, MOTORES, ELEVADORES OU DE QUALQUER OBJETO</t>
  </si>
  <si>
    <t>11.04.06</t>
  </si>
  <si>
    <t>(SIMPLES NACIONAL) - ARMAZENAMENTO, DEPOSITO, CARGA, DESCARGA</t>
  </si>
  <si>
    <t>01.03.01</t>
  </si>
  <si>
    <t>PROCESSAMENTO DE DADOS E CONGENERES</t>
  </si>
  <si>
    <t>17.05.05</t>
  </si>
  <si>
    <t>(POSTO DE SERVICO) - FORNECIMENTO DE MAO-DE-OBRA, MESMO EM CARATER TEMPORARIO, INCLUSIVE DE EMPREGADOS OU TRABALHADORES, AVULSOS OU TEMPORARIOS, CONTRATADOS PELO PRESTADOR DE SERVICO.</t>
  </si>
  <si>
    <t>POTENZA - EMPRESA DE TRABALHO TEMPORARIO LTDA</t>
  </si>
  <si>
    <t>00935/2024</t>
  </si>
  <si>
    <t>07.02.01</t>
  </si>
  <si>
    <t>EXECUCAO, POR ADMINISTRACAO, EMPREITADA OU SUBEMPREITADA, DE OBRAS DE CONSTRUCAO CIVIL, HIDRAULICA OU ELETRICA E, PECAS E EQUIPAMENTOS</t>
  </si>
  <si>
    <t>CIG</t>
  </si>
  <si>
    <t>'42318949007278</t>
  </si>
  <si>
    <t>00483/2024</t>
  </si>
  <si>
    <t>LAU</t>
  </si>
  <si>
    <t>17.05.01</t>
  </si>
  <si>
    <t>FORNECIMENTO DE MAO-DE-OBRA, MESMO EM CARATER TEMPORARIO, INCLUSIVE DE EMPREGADOS OU TRABALHADORES, AVULSOS OU TEMPORARIOS, CONTRATADOS PELO PRESTADOR DE SERVICO.</t>
  </si>
  <si>
    <t>SERG BRASIL SERVICOS TECNICOS LTDA - EPP</t>
  </si>
  <si>
    <t>00596/2026</t>
  </si>
  <si>
    <t>SERVITE EMPREENDIMENTOS E SERVIÇOS LTDA</t>
  </si>
  <si>
    <t>00653/2025</t>
  </si>
  <si>
    <t>Nota fiscal revertida R$ 720.105,22</t>
  </si>
  <si>
    <t>Por gentileza glosar o forncedor o valor de R$ 21.603,16, pois, foi nternalizada no ERP sem retenção do ISS</t>
  </si>
  <si>
    <t>07.10.01</t>
  </si>
  <si>
    <t>LIMPEZA, MANUTENCAO E CONSERVACAO DE VIAS</t>
  </si>
  <si>
    <t>GTSHIP OFFSHORE COMERCIO E SERVICOS LTDA - EPP</t>
  </si>
  <si>
    <t>00742/2024</t>
  </si>
  <si>
    <t>RD TELECOM LTDA</t>
  </si>
  <si>
    <t>00786/2024</t>
  </si>
  <si>
    <t>GEE SERVICOS TERCEIRIZADOS LTDA</t>
  </si>
  <si>
    <t>00654/2025</t>
  </si>
  <si>
    <t>01.05.01</t>
  </si>
  <si>
    <t>LICENCIAMENTO OU CESSAO DE DIREITO DE USO DE PROGRAMAS DE COMPUTACAO</t>
  </si>
  <si>
    <t>OLOS TECNOLOGIA E SISTEMAS LTDA.</t>
  </si>
  <si>
    <t>02745/2025</t>
  </si>
  <si>
    <t>07.13.06</t>
  </si>
  <si>
    <t>(SIMPLES NACIONAL) - DEDETIZACAO, DESINFECCAO, DESINSETIZACAO, IMUNIZACAO</t>
  </si>
  <si>
    <t>SECONP - SERVICOS DE CONTROLE E PREVENCAO DE PRAGAS URBANAS E HIGIENIZACAO LTDA</t>
  </si>
  <si>
    <t>00007/2026</t>
  </si>
  <si>
    <t>PLANSUL PLANEJAMENTO E CONSULTORIA EIRELI</t>
  </si>
  <si>
    <t>00056/2026</t>
  </si>
  <si>
    <t>MBA</t>
  </si>
  <si>
    <t>'42318949001580</t>
  </si>
  <si>
    <t>MICAEL REICHMANN TEIXEIRA E CIA LTDA -  EPP</t>
  </si>
  <si>
    <t>00481/2024</t>
  </si>
  <si>
    <t>ALVO FACILITIES LTDA</t>
  </si>
  <si>
    <t>00267/2023</t>
  </si>
  <si>
    <t>MBE</t>
  </si>
  <si>
    <t>'42318949001660</t>
  </si>
  <si>
    <t>SANT COSTA LIMPEZA E TERCEIRIZACAO LTDA - ME</t>
  </si>
  <si>
    <t>00517/2026</t>
  </si>
  <si>
    <t>17.09.01</t>
  </si>
  <si>
    <t>PERICIAS, LAUDOS, EXAMES TECNICOS E ANALISES TECNICAS.</t>
  </si>
  <si>
    <t>Ajuste reduzindo o valor de R$ 0,01</t>
  </si>
  <si>
    <t>IT2B TECNOLOGIA E SERVIÇOS LTDA</t>
  </si>
  <si>
    <t>03289/2024</t>
  </si>
  <si>
    <t>MBH</t>
  </si>
  <si>
    <t>'42318949000699</t>
  </si>
  <si>
    <t>SUCESSO PRESTACAO DE SERVICOS TERCEIRIZADOS LTDA - ME</t>
  </si>
  <si>
    <t>00472/2024</t>
  </si>
  <si>
    <t>MBI</t>
  </si>
  <si>
    <t>'42318949006387</t>
  </si>
  <si>
    <t>CONTMAX CONTABILIDADE LTDA - EPP</t>
  </si>
  <si>
    <t>00479/2024</t>
  </si>
  <si>
    <t>MCA</t>
  </si>
  <si>
    <t>'42318949001741</t>
  </si>
  <si>
    <t>MCB</t>
  </si>
  <si>
    <t>'42318949004414</t>
  </si>
  <si>
    <t>07.02.06</t>
  </si>
  <si>
    <t>(SIMPLES NACIONAL) - EXECUCAO, POR ADMINISTRACAO, EMPREITADA OU SUBEMPREITADA, DE OBRAS DE CONSTRUCAO CIVIL, HIDRAULICA OU ELETRICA E, PECAS E EQUIPAMENTOS</t>
  </si>
  <si>
    <t>BRAND ENGENHARIA E ECOGLASS VIDROS LTDA - ME</t>
  </si>
  <si>
    <t>Portanto, veio o valor de R% 88,23 , 3%. Conforme descritos no item 7.10 da Lei Complementar nº 116/2003. Como a empresa é Optante pelo Simples Nacional, o ISS</t>
  </si>
  <si>
    <t>11.02.07</t>
  </si>
  <si>
    <t>VIGILANCIA, SEGURANCA OU MONITORAMENTO DE BENS E PESSOAS.</t>
  </si>
  <si>
    <t>AZIZ SISTEMAS DE SEGURANCA LTDA EPP</t>
  </si>
  <si>
    <t>00196/2024</t>
  </si>
  <si>
    <t>32.2</t>
  </si>
  <si>
    <t>CONTRATACAO DE SERVICO - EMPRESAS REGIME NORMAL SEM OC - NÃO GERA PGTO</t>
  </si>
  <si>
    <t>MCC</t>
  </si>
  <si>
    <t>'42318949001822</t>
  </si>
  <si>
    <t>MCE</t>
  </si>
  <si>
    <t>'42318949007359</t>
  </si>
  <si>
    <t>S I SISTEMAS INTELIGENTES ELETRONICOS LTDA</t>
  </si>
  <si>
    <t>00766/2024</t>
  </si>
  <si>
    <t>07.09.07</t>
  </si>
  <si>
    <t>(SIMPLES NACIONAL) - VARRICAO, COLETA, REMOCAO, INCINERACAO, TRATAMENTO</t>
  </si>
  <si>
    <t>RODOCON CONSTRUCOES RODOVIARIAS LTDA</t>
  </si>
  <si>
    <t>00759/2024</t>
  </si>
  <si>
    <t>11.02.01</t>
  </si>
  <si>
    <t>VIGFAT VIGILANCIA PATRIMONIAL LTDA</t>
  </si>
  <si>
    <t>00037/2024</t>
  </si>
  <si>
    <t>MCG</t>
  </si>
  <si>
    <t>'42318949003795</t>
  </si>
  <si>
    <t>SULLIFT ELEVADORES LTDA - ME</t>
  </si>
  <si>
    <t>00651/2025</t>
  </si>
  <si>
    <t>PARK PLACE TECHNOLOGIES BRAZIL LTDA</t>
  </si>
  <si>
    <t>00469/2023</t>
  </si>
  <si>
    <t>MCR</t>
  </si>
  <si>
    <t>'42318949000508</t>
  </si>
  <si>
    <t>I2A INTEGRACAO DE SISTEMAS LTDA - ME</t>
  </si>
  <si>
    <t>MUNDI ASSISTENCIA TECNICA LTDA - ME</t>
  </si>
  <si>
    <t>ESPLANADA MUDANCAS DE TRANSPORTE LTDA ME</t>
  </si>
  <si>
    <t xml:space="preserve">CWB ELEVADORES LTDA </t>
  </si>
  <si>
    <t>00642/2025</t>
  </si>
  <si>
    <t>Por gentileza devolver ao fornecedor o valor de R$ R$ 328,68, conforme parecer,  a empresa é Optante pelo Simples Nacional, o ISS deverá ser retido conforme a alíquota expressa na NFs. Valor cobrado 5% R$ 657,36, portanto o valor correto seria de 2,5 % R$328,68.</t>
  </si>
  <si>
    <t>MFL</t>
  </si>
  <si>
    <t>'42318949000931</t>
  </si>
  <si>
    <t>Por gentileza Glosar  o valor de R$ R$ 127,31, conforme parecer,  a empresa é Optante pelo Simples Nacional, o ISS deverá ser retido conforme a alíquota expressa na NFs. Valor cobrado 2,5% R$ 127,31, portanto o valor correto seria de 5 % R$ 254,62..</t>
  </si>
  <si>
    <t>MFO</t>
  </si>
  <si>
    <t>'42318949001903</t>
  </si>
  <si>
    <t>NCI - NUCLEO DE CONTABILIDADE INTEGRADA LIMITADA - ME</t>
  </si>
  <si>
    <t>00484/2024</t>
  </si>
  <si>
    <t>MGO</t>
  </si>
  <si>
    <t>'42318949002047</t>
  </si>
  <si>
    <t>01.07.13</t>
  </si>
  <si>
    <t>(SIMPLES NACIONAL) - SUPORTE TECNICO EM INFOR, INCLUSIVE INSTALACAO</t>
  </si>
  <si>
    <t>INVITEC SERVICOS DE SEGURANCA E TECNOLOGIA LTDA - ME</t>
  </si>
  <si>
    <t>03291/2024</t>
  </si>
  <si>
    <t>WJ SERVICOS TERCEIRIZADOS LTDA - ME</t>
  </si>
  <si>
    <t>00864/2025</t>
  </si>
  <si>
    <t>ESSENCIAL SISTEMA DE SEGURANCA LTDA</t>
  </si>
  <si>
    <t>00036/2024</t>
  </si>
  <si>
    <t>07.05.01</t>
  </si>
  <si>
    <t>REPARACAO, CONSERVACAO E REFORMA DE EDIFICIOS, ESTRADAS, PONTES, PORTOS E CONGENERES (EXCETO O FORNECIMENTO DE MERCADORIAS PRODUZIDAS PELO PRESTADOR DOS SERVICOS, FORA DO LOCAL DA PRESTACAO DOS SERVICOS, QUE FICA SUJEITO AO ICMS).</t>
  </si>
  <si>
    <t>RCO SOLUCOES EM ENGENHARIA LTDA - EPP</t>
  </si>
  <si>
    <t>MJO</t>
  </si>
  <si>
    <t>'42318949006115</t>
  </si>
  <si>
    <t>Por gentileza glosar o fornecedor em R$126,56, valor correto R$ 253,12 , 5% de alíquota,  confome alíquota expressa na nota fiscal e emissão de parecer Portanto, veio o valor de R% 126,56 , 2,5%. Conforme descritos no item 7.10 da Lei Complementar nº 116/2003. Como a empresa é Optante pelo Simples Nacional, o ISS deverá ser retido conforme a alíquota expressa na NFs.</t>
  </si>
  <si>
    <t>Por gentileza glosar o fornecedor em R$ 125,98 , valor correto R$ 251,97 , 5% de alíquota,  confome alíquota expressa na nota fiscal e emissão de parecer Portanto, veio o valor de R% 125,99, 2,5%. Conforme descritos no item 7.10 da Lei Complementar nº 116/2003. Como a empresa é Optante pelo Simples Nacional, o ISS deverá ser retido conforme a alíquota expressa na NFs.</t>
  </si>
  <si>
    <t>MJP</t>
  </si>
  <si>
    <t>'42318949006468</t>
  </si>
  <si>
    <t>DIONES ZANELLA GRAFETTI 01336536098 - ME</t>
  </si>
  <si>
    <t>CAROLINE CRUZ DOS SANTOS - ME</t>
  </si>
  <si>
    <t>JOSINETE DE VASCONCELOS CAMPELO - ME</t>
  </si>
  <si>
    <t>MLO</t>
  </si>
  <si>
    <t>'42318949001237</t>
  </si>
  <si>
    <t>MMA</t>
  </si>
  <si>
    <t>'42318949002713</t>
  </si>
  <si>
    <t>11.02.03</t>
  </si>
  <si>
    <t>(TRIBUTACAO ESPECIAL) - VIGILANCIA, SEGURANCA OU MONITORAMENTO DE BENS E PESSOAS.</t>
  </si>
  <si>
    <t>MANAUS SEGURANCA E MONITORAMENTO CLEAN LTDA</t>
  </si>
  <si>
    <t>02848/2025</t>
  </si>
  <si>
    <t>Valor total da guia R$ 2869,36, constando  na guia o valor referente a  ADUANEIRA. R$39,67.</t>
  </si>
  <si>
    <t>ADUANEIRA</t>
  </si>
  <si>
    <t>MMC</t>
  </si>
  <si>
    <t>'42318949005143</t>
  </si>
  <si>
    <t>SCOLTT COMERCIO E SERVICOS LTDA</t>
  </si>
  <si>
    <t>00377/2023</t>
  </si>
  <si>
    <t>MMT</t>
  </si>
  <si>
    <t>'42318949000184</t>
  </si>
  <si>
    <t>CERCRED - SOLUCOES DE CONTACT CENTER E RECUPERACAO DE CREDITO LTDA</t>
  </si>
  <si>
    <t>00108/2026</t>
  </si>
  <si>
    <t>WIGAN CONSTRUTORA LTDA - ME</t>
  </si>
  <si>
    <t>00332/2026</t>
  </si>
  <si>
    <t>VEGA TECNOLOGIA EM SEGURANCA LTDA - ME</t>
  </si>
  <si>
    <t>00127/2021</t>
  </si>
  <si>
    <t>DATAMETRICA TELEATENDIMENTO S/A</t>
  </si>
  <si>
    <t>00857/2024</t>
  </si>
  <si>
    <t>14.01.07</t>
  </si>
  <si>
    <t>(COM INSS) LUBRIFICACAO, LIMPEZA, LUSTRACAO, REVISAO, CARGA E RECARGA, CONSERTO, RESTAURACAO, BLINDAGEM, MANUTENCAO E CONSERVACAO DE MAQUINAS, VEICULOS, APARELHOS, EQUIPAMENTOS, MOTORES, ELEVADORES OU DE QUALQUER OBJETO</t>
  </si>
  <si>
    <t>TECNITEST - ELETRICA E AR CONDICIONADO LTDA</t>
  </si>
  <si>
    <t>00206/2026</t>
  </si>
  <si>
    <t>PROCOMP INDUSTRIA ELETRONICA LTDA</t>
  </si>
  <si>
    <t>00174/2022</t>
  </si>
  <si>
    <t>CROWN SERVICOS DE ELEVADORES LTDA - ME</t>
  </si>
  <si>
    <t>00926/2024</t>
  </si>
  <si>
    <t>ANGEL S SEGURANCA E VIGILANCIA - EM RECUPERACAO JUDICIAL LTDA.</t>
  </si>
  <si>
    <t>01484/2025</t>
  </si>
  <si>
    <t>PERTO S A PERIFERICOS PARA AUTOMACAO</t>
  </si>
  <si>
    <t>00243/2022</t>
  </si>
  <si>
    <t>NAIP INSTITUICAO DE PAGAMENTO SA</t>
  </si>
  <si>
    <t>MNA</t>
  </si>
  <si>
    <t>'42318949003019</t>
  </si>
  <si>
    <t>GAMA CONSERVACAO E MANUTENCAO PREDIAL LTDA EPP</t>
  </si>
  <si>
    <t>01668/2025</t>
  </si>
  <si>
    <t>MOL</t>
  </si>
  <si>
    <t>'42318949007600</t>
  </si>
  <si>
    <t>MPA</t>
  </si>
  <si>
    <t>'42318949001156</t>
  </si>
  <si>
    <t>30.1</t>
  </si>
  <si>
    <t>CONTRATACAO DE SERVICO - PDPEP AUTONOMO</t>
  </si>
  <si>
    <t>GARDEL DA COSTA FERREIRA</t>
  </si>
  <si>
    <t>14.06.06</t>
  </si>
  <si>
    <t>(SIMPLES NACIONAL) - INSTALACAO E MONTAGEM DE APARELHOS, MAQUINAS E EQUIPAMENTOS</t>
  </si>
  <si>
    <t>SILVA SOLUCAO CONTRA INCENDIO LTDA - ME</t>
  </si>
  <si>
    <t xml:space="preserve"> Por gentileza devolver R$ 44,24, houve retenção de R$ 221,21-  2,5 %, quando o correto é 2% R$ 176,87.</t>
  </si>
  <si>
    <t>ELITE INSTALACAO E MANUTENCAO DE ELEVADORES LTDA EPP</t>
  </si>
  <si>
    <t>00541/2023</t>
  </si>
  <si>
    <t>MPF</t>
  </si>
  <si>
    <t>'42318949002390</t>
  </si>
  <si>
    <t>SISTEMAS DE MONITORAMENTO DE SEGURANCA DOMINIO LTDA - ME</t>
  </si>
  <si>
    <t>03292/2024</t>
  </si>
  <si>
    <t>MPI</t>
  </si>
  <si>
    <t>'42318949003604</t>
  </si>
  <si>
    <t>CONQUISTA VIGILANCIA E SEGURANCA PATRIMONIAL LTDA</t>
  </si>
  <si>
    <t>01394/2025</t>
  </si>
  <si>
    <t>CAF QUIMICA LTDA</t>
  </si>
  <si>
    <t>00668/2023</t>
  </si>
  <si>
    <t>D D SULF DEDETIZACAO CONSERVACAO E LIMPEZA LTDA - ME</t>
  </si>
  <si>
    <t>00763/2024</t>
  </si>
  <si>
    <t>00024/2019</t>
  </si>
  <si>
    <t>00723/2024</t>
  </si>
  <si>
    <t>MPM</t>
  </si>
  <si>
    <t>'42318949007197</t>
  </si>
  <si>
    <t>HITACHI VANTARA ADMINISTRACAO DE DADOS DO BRASIL LTDA</t>
  </si>
  <si>
    <t>00951/2025</t>
  </si>
  <si>
    <t>MPV</t>
  </si>
  <si>
    <t>'42318949006891</t>
  </si>
  <si>
    <t>51.306.992 JOSE PEREIRA GOMES - ME</t>
  </si>
  <si>
    <t>RAVIS CONSULTORIA EMPRESARIAL LTDA - ME</t>
  </si>
  <si>
    <t>A GUIA DE PORTO VELHO TEM: TARIFA DE EXPEDIENTE R$ 10,85</t>
  </si>
  <si>
    <t>MRC</t>
  </si>
  <si>
    <t>'42318949006972</t>
  </si>
  <si>
    <r>
      <t>Por gentileza devolver</t>
    </r>
    <r>
      <rPr>
        <b/>
        <sz val="12"/>
        <rFont val="Calibri"/>
        <family val="2"/>
      </rPr>
      <t xml:space="preserve"> R$ 21,77</t>
    </r>
    <r>
      <rPr>
        <sz val="12"/>
        <rFont val="Calibri"/>
        <family val="2"/>
      </rPr>
      <t>, houve retenção de 5% R$ 194,29, quando o correto é 4,44% R$ 172,52</t>
    </r>
  </si>
  <si>
    <t>MRE</t>
  </si>
  <si>
    <t>'42318949000850</t>
  </si>
  <si>
    <t>MRP</t>
  </si>
  <si>
    <t>'42318949001075</t>
  </si>
  <si>
    <t>Por gentileza glosar o fornecedor em R$103,02  , valor correto R$187,47 ,4,44% de alíquota conforme legislação vigente, Veio cobrando 2% de retenção do ISS Retido R$ 84,45.</t>
  </si>
  <si>
    <t>Por gentileza glosar o fornecedor em R$ 44,97  , valor correto R$ 224,85, 2,5% de alíquota conforme legislação vigente, Veio cobrando 2% de retenção do ISS Retido R$ 179,88.</t>
  </si>
  <si>
    <t>00286/2023</t>
  </si>
  <si>
    <t>MSA</t>
  </si>
  <si>
    <t>'42318949000770</t>
  </si>
  <si>
    <t>00169/2023</t>
  </si>
  <si>
    <t>MSL</t>
  </si>
  <si>
    <t>'42318949005496</t>
  </si>
  <si>
    <t>MSP</t>
  </si>
  <si>
    <t>'42318949000427</t>
  </si>
  <si>
    <t>EQUINIX DO BRASIL SOLUCOES DE TECNOLOGIA EM INFORMATICA LTDA</t>
  </si>
  <si>
    <t>00788/2024</t>
  </si>
  <si>
    <t>Ajuste de R$ 0,01 a menos</t>
  </si>
  <si>
    <t>MTE</t>
  </si>
  <si>
    <t>'42318949003361</t>
  </si>
  <si>
    <t>WELTON JOSE DA SILVA 03895910333 - ME</t>
  </si>
  <si>
    <t>MUB</t>
  </si>
  <si>
    <t>'42318949002985</t>
  </si>
  <si>
    <t>Por gentileza glosar o fornecedor em R$58,82, valor correto R$ 147,05 , 5% de alíquota,  confome alíquota expressa na nota fiscal e emissão de parecer. Foi retido 3% 88,23.</t>
  </si>
  <si>
    <t>MVI</t>
  </si>
  <si>
    <t>'42318949003108</t>
  </si>
  <si>
    <t>SCS</t>
  </si>
  <si>
    <t>STA</t>
  </si>
  <si>
    <t>MASTER VIGILANCIA ESPECIALIZADA LTDA</t>
  </si>
  <si>
    <t>00393/2024</t>
  </si>
  <si>
    <t>Subtotal:</t>
  </si>
  <si>
    <t xml:space="preserve">Fazer a devolução da retençao indevida no valor de R$ 3383,12 conforme as informações do escritório de contabilidade. </t>
  </si>
  <si>
    <t xml:space="preserve">Fzer a devolução da retençao indevida no valor de R$ 6766,24 conforme as informações do escritório de contabilidade. </t>
  </si>
  <si>
    <t>Por gentileza glosar do fornecedor o valor de R$ 27,12, confome alíquota  na  emissão de parecer do DGCO 00267/2023 - , a retenção deverá ser de 5% no valor de R$ 273,01, e foi retido o valor de R$ 245,89 - 4,5%.</t>
  </si>
  <si>
    <t>Ajuste acrescentando R$ 0,01 centavos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</si>
</sst>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name val="Aptos Narrow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b/>
      <sz val="1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A10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44" fontId="2" fillId="2" borderId="0" xfId="0" applyNumberFormat="1" applyFont="1" applyFill="1" applyAlignment="1">
      <alignment horizontal="left" vertical="top" wrapText="1" indent="1"/>
    </xf>
    <xf numFmtId="44" fontId="2" fillId="2" borderId="0" xfId="0" applyNumberFormat="1" applyFont="1" applyFill="1" applyAlignment="1">
      <alignment horizontal="center" vertical="top" wrapText="1"/>
    </xf>
    <xf numFmtId="2" fontId="2" fillId="2" borderId="0" xfId="0" applyNumberFormat="1" applyFont="1" applyFill="1" applyAlignment="1">
      <alignment horizontal="center" vertical="center" wrapText="1"/>
    </xf>
    <xf numFmtId="44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 indent="1"/>
    </xf>
    <xf numFmtId="0" fontId="4" fillId="5" borderId="0" xfId="0" applyFont="1" applyFill="1" applyAlignment="1">
      <alignment vertical="top" wrapText="1"/>
    </xf>
    <xf numFmtId="0" fontId="4" fillId="0" borderId="0" xfId="0" applyFont="1"/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left" vertical="top" wrapText="1"/>
    </xf>
    <xf numFmtId="22" fontId="5" fillId="6" borderId="0" xfId="0" applyNumberFormat="1" applyFont="1" applyFill="1" applyAlignment="1">
      <alignment horizontal="left" vertical="top" wrapText="1" indent="1"/>
    </xf>
    <xf numFmtId="0" fontId="5" fillId="6" borderId="0" xfId="0" applyFont="1" applyFill="1" applyAlignment="1">
      <alignment vertical="top" wrapText="1"/>
    </xf>
    <xf numFmtId="44" fontId="5" fillId="6" borderId="0" xfId="0" applyNumberFormat="1" applyFont="1" applyFill="1" applyAlignment="1">
      <alignment horizontal="left" vertical="top" wrapText="1" indent="1"/>
    </xf>
    <xf numFmtId="44" fontId="5" fillId="6" borderId="0" xfId="0" applyNumberFormat="1" applyFont="1" applyFill="1" applyAlignment="1">
      <alignment horizontal="center" vertical="top" wrapText="1"/>
    </xf>
    <xf numFmtId="2" fontId="5" fillId="6" borderId="0" xfId="0" applyNumberFormat="1" applyFont="1" applyFill="1" applyAlignment="1">
      <alignment horizontal="center" vertical="top" wrapText="1"/>
    </xf>
    <xf numFmtId="0" fontId="5" fillId="6" borderId="0" xfId="0" applyFont="1" applyFill="1" applyAlignment="1">
      <alignment horizontal="left" vertical="top" wrapText="1" indent="1"/>
    </xf>
    <xf numFmtId="22" fontId="5" fillId="6" borderId="0" xfId="0" applyNumberFormat="1" applyFont="1" applyFill="1" applyAlignment="1">
      <alignment horizontal="left" vertical="top" wrapText="1"/>
    </xf>
    <xf numFmtId="0" fontId="4" fillId="6" borderId="0" xfId="0" applyFont="1" applyFill="1" applyAlignment="1">
      <alignment vertical="top" wrapText="1"/>
    </xf>
    <xf numFmtId="0" fontId="4" fillId="6" borderId="0" xfId="0" applyFont="1" applyFill="1"/>
    <xf numFmtId="44" fontId="2" fillId="6" borderId="0" xfId="0" applyNumberFormat="1" applyFont="1" applyFill="1" applyAlignment="1">
      <alignment horizontal="center" vertical="top" wrapText="1"/>
    </xf>
    <xf numFmtId="2" fontId="5" fillId="6" borderId="0" xfId="0" applyNumberFormat="1" applyFont="1" applyFill="1" applyAlignment="1">
      <alignment horizontal="center" vertical="center" wrapText="1"/>
    </xf>
    <xf numFmtId="44" fontId="5" fillId="6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left" vertical="top" wrapText="1"/>
    </xf>
    <xf numFmtId="22" fontId="5" fillId="7" borderId="0" xfId="0" applyNumberFormat="1" applyFont="1" applyFill="1" applyAlignment="1">
      <alignment horizontal="left" vertical="top" wrapText="1" indent="1"/>
    </xf>
    <xf numFmtId="0" fontId="5" fillId="7" borderId="0" xfId="0" applyFont="1" applyFill="1" applyAlignment="1">
      <alignment vertical="top" wrapText="1"/>
    </xf>
    <xf numFmtId="44" fontId="5" fillId="7" borderId="0" xfId="0" applyNumberFormat="1" applyFont="1" applyFill="1" applyAlignment="1">
      <alignment horizontal="left" vertical="top" wrapText="1" indent="1"/>
    </xf>
    <xf numFmtId="44" fontId="5" fillId="7" borderId="0" xfId="0" applyNumberFormat="1" applyFont="1" applyFill="1" applyAlignment="1">
      <alignment horizontal="center" vertical="top" wrapText="1"/>
    </xf>
    <xf numFmtId="0" fontId="5" fillId="7" borderId="0" xfId="0" applyFont="1" applyFill="1" applyAlignment="1">
      <alignment horizontal="left" vertical="top" wrapText="1" indent="1"/>
    </xf>
    <xf numFmtId="22" fontId="5" fillId="7" borderId="0" xfId="0" applyNumberFormat="1" applyFont="1" applyFill="1" applyAlignment="1">
      <alignment horizontal="left" vertical="top" wrapText="1"/>
    </xf>
    <xf numFmtId="44" fontId="4" fillId="6" borderId="0" xfId="0" applyNumberFormat="1" applyFont="1" applyFill="1" applyAlignment="1">
      <alignment horizontal="center"/>
    </xf>
    <xf numFmtId="2" fontId="5" fillId="7" borderId="0" xfId="0" applyNumberFormat="1" applyFont="1" applyFill="1" applyAlignment="1">
      <alignment horizontal="center" vertical="center" wrapText="1"/>
    </xf>
    <xf numFmtId="44" fontId="5" fillId="7" borderId="0" xfId="0" applyNumberFormat="1" applyFont="1" applyFill="1" applyAlignment="1">
      <alignment horizontal="center" vertical="center" wrapText="1"/>
    </xf>
    <xf numFmtId="22" fontId="5" fillId="6" borderId="0" xfId="0" applyNumberFormat="1" applyFont="1" applyFill="1" applyAlignment="1">
      <alignment horizontal="center" vertical="top" wrapText="1"/>
    </xf>
    <xf numFmtId="0" fontId="6" fillId="6" borderId="0" xfId="0" applyFont="1" applyFill="1" applyAlignment="1">
      <alignment vertical="top" wrapText="1"/>
    </xf>
    <xf numFmtId="22" fontId="5" fillId="2" borderId="0" xfId="0" applyNumberFormat="1" applyFont="1" applyFill="1" applyAlignment="1">
      <alignment horizontal="left" vertical="top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44" fontId="5" fillId="2" borderId="0" xfId="0" applyNumberFormat="1" applyFont="1" applyFill="1" applyAlignment="1">
      <alignment horizontal="left" vertical="top" wrapText="1" indent="1"/>
    </xf>
    <xf numFmtId="44" fontId="5" fillId="2" borderId="0" xfId="0" applyNumberFormat="1" applyFont="1" applyFill="1" applyAlignment="1">
      <alignment horizontal="center" vertical="top" wrapText="1"/>
    </xf>
    <xf numFmtId="2" fontId="5" fillId="2" borderId="0" xfId="0" applyNumberFormat="1" applyFont="1" applyFill="1" applyAlignment="1">
      <alignment horizontal="center" vertical="center" wrapText="1"/>
    </xf>
    <xf numFmtId="44" fontId="5" fillId="2" borderId="0" xfId="0" applyNumberFormat="1" applyFont="1" applyFill="1" applyAlignment="1">
      <alignment horizontal="center" vertical="center" wrapText="1"/>
    </xf>
    <xf numFmtId="22" fontId="5" fillId="2" borderId="0" xfId="0" applyNumberFormat="1" applyFont="1" applyFill="1" applyAlignment="1">
      <alignment horizontal="left" vertical="top" wrapText="1" indent="1"/>
    </xf>
    <xf numFmtId="0" fontId="5" fillId="2" borderId="0" xfId="0" applyFont="1" applyFill="1" applyAlignment="1">
      <alignment horizontal="left" vertical="top" wrapText="1" inden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44" fontId="1" fillId="3" borderId="0" xfId="0" applyNumberFormat="1" applyFont="1" applyFill="1"/>
    <xf numFmtId="44" fontId="1" fillId="3" borderId="0" xfId="0" applyNumberFormat="1" applyFont="1" applyFill="1" applyAlignment="1">
      <alignment horizontal="center"/>
    </xf>
    <xf numFmtId="44" fontId="4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44" fontId="4" fillId="0" borderId="0" xfId="0" applyNumberFormat="1" applyFont="1"/>
    <xf numFmtId="44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4" fontId="0" fillId="6" borderId="0" xfId="0" applyNumberFormat="1" applyFill="1"/>
    <xf numFmtId="44" fontId="7" fillId="0" borderId="0" xfId="0" applyNumberFormat="1" applyFont="1"/>
    <xf numFmtId="4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www.bbts.com.br/images/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51</xdr:row>
      <xdr:rowOff>130175</xdr:rowOff>
    </xdr:to>
    <xdr:pic>
      <xdr:nvPicPr>
        <xdr:cNvPr id="2" name="Picture 1" descr="An Image">
          <a:extLst>
            <a:ext uri="{FF2B5EF4-FFF2-40B4-BE49-F238E27FC236}">
              <a16:creationId xmlns:a16="http://schemas.microsoft.com/office/drawing/2014/main" id="{3FE97E36-1FAB-4096-8CEF-9A2A48C46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chelle Cristina Maia de Sousa" id="{8FBBD13E-9C40-4CA1-864D-CFD74985F586}" userId="S::michelle.sousa@bbts.com.br::65203bf1-a31f-453a-9811-16c6e589658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6" dT="2026-08-21T19:29:08.42" personId="{8FBBD13E-9C40-4CA1-864D-CFD74985F586}" id="{3464BA21-EF7D-44C5-828C-9FE05592C020}">
    <text>Ajuste acrescentando R$ 0,01 centavos</text>
  </threadedComment>
  <threadedComment ref="K94" dT="2026-08-10T15:50:32.87" personId="{8FBBD13E-9C40-4CA1-864D-CFD74985F586}" id="{803FECB8-FFC9-4F24-967E-362877BC7405}">
    <text xml:space="preserve">Ajuste reduzindo o valor de R$ 0,01
</text>
  </threadedComment>
  <threadedComment ref="K215" dT="2026-08-07T18:32:17.74" personId="{8FBBD13E-9C40-4CA1-864D-CFD74985F586}" id="{0B5DD369-39E1-4363-8D1C-F261ECBEB056}">
    <text xml:space="preserve">Fazer o  ajuste subtraindo R$ 0,01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E6A1-3272-46D4-ACAA-FEAB287E5F3B}">
  <sheetPr filterMode="1"/>
  <dimension ref="A1:AS250"/>
  <sheetViews>
    <sheetView tabSelected="1" topLeftCell="C1" zoomScaleNormal="100" workbookViewId="0">
      <selection activeCell="J263" sqref="J263"/>
    </sheetView>
  </sheetViews>
  <sheetFormatPr defaultRowHeight="14.5" x14ac:dyDescent="0.35"/>
  <cols>
    <col min="1" max="1" width="23.453125" style="55" customWidth="1"/>
    <col min="2" max="2" width="18.36328125" style="55" bestFit="1" customWidth="1"/>
    <col min="3" max="3" width="21.1796875" style="55" customWidth="1"/>
    <col min="4" max="4" width="11.1796875" style="56" bestFit="1" customWidth="1"/>
    <col min="5" max="5" width="45.1796875" style="57" customWidth="1"/>
    <col min="6" max="6" width="19.7265625" style="56" hidden="1" customWidth="1"/>
    <col min="7" max="7" width="20.26953125" style="56" hidden="1" customWidth="1"/>
    <col min="8" max="8" width="14" style="72" customWidth="1"/>
    <col min="9" max="9" width="57.90625" style="12" customWidth="1"/>
    <col min="10" max="10" width="22.08984375" style="62" bestFit="1" customWidth="1"/>
    <col min="11" max="11" width="16.6328125" style="63" bestFit="1" customWidth="1"/>
    <col min="12" max="12" width="14.36328125" style="65" customWidth="1"/>
    <col min="13" max="13" width="18" style="64" customWidth="1"/>
    <col min="14" max="14" width="18.453125" style="64" customWidth="1"/>
    <col min="15" max="15" width="255.453125" style="61" customWidth="1"/>
    <col min="16" max="16" width="26.7265625" style="12" bestFit="1" customWidth="1"/>
    <col min="17" max="17" width="19.453125" style="12" bestFit="1" customWidth="1"/>
    <col min="18" max="18" width="13.81640625" style="12" bestFit="1" customWidth="1"/>
    <col min="19" max="19" width="13.7265625" style="12" bestFit="1" customWidth="1"/>
    <col min="20" max="16384" width="8.7265625" style="12"/>
  </cols>
  <sheetData>
    <row r="1" spans="1:45" ht="13.9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 spans="1:45" s="24" customFormat="1" ht="13.9" hidden="1" customHeight="1" x14ac:dyDescent="0.35">
      <c r="A2" s="13" t="s">
        <v>23</v>
      </c>
      <c r="B2" s="13" t="s">
        <v>24</v>
      </c>
      <c r="C2" s="13">
        <v>179</v>
      </c>
      <c r="D2" s="14" t="s">
        <v>25</v>
      </c>
      <c r="E2" s="15" t="s">
        <v>26</v>
      </c>
      <c r="F2" s="16">
        <v>46217</v>
      </c>
      <c r="G2" s="16">
        <v>46210</v>
      </c>
      <c r="H2" s="13">
        <v>780</v>
      </c>
      <c r="I2" s="17" t="s">
        <v>27</v>
      </c>
      <c r="J2" s="18">
        <v>4602.16</v>
      </c>
      <c r="K2" s="19">
        <v>230.11</v>
      </c>
      <c r="L2" s="26">
        <f t="shared" ref="L2:L8" si="0">K2/J2*100</f>
        <v>5.0000434578545727</v>
      </c>
      <c r="M2" s="27"/>
      <c r="N2" s="27"/>
      <c r="O2" s="22"/>
      <c r="P2" s="16">
        <v>46217.488032407404</v>
      </c>
      <c r="Q2" s="16">
        <v>46217</v>
      </c>
      <c r="R2" s="21" t="s">
        <v>19</v>
      </c>
      <c r="S2" s="21" t="s">
        <v>28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</row>
    <row r="3" spans="1:45" s="24" customFormat="1" ht="13.9" hidden="1" customHeight="1" x14ac:dyDescent="0.35">
      <c r="A3" s="13" t="s">
        <v>23</v>
      </c>
      <c r="B3" s="13" t="s">
        <v>24</v>
      </c>
      <c r="C3" s="13">
        <v>182</v>
      </c>
      <c r="D3" s="14" t="s">
        <v>29</v>
      </c>
      <c r="E3" s="15" t="s">
        <v>30</v>
      </c>
      <c r="F3" s="16">
        <v>46224</v>
      </c>
      <c r="G3" s="16">
        <v>46219</v>
      </c>
      <c r="H3" s="13">
        <v>1977</v>
      </c>
      <c r="I3" s="17" t="s">
        <v>31</v>
      </c>
      <c r="J3" s="18">
        <v>924</v>
      </c>
      <c r="K3" s="19">
        <v>0</v>
      </c>
      <c r="L3" s="26">
        <f t="shared" si="0"/>
        <v>0</v>
      </c>
      <c r="M3" s="27"/>
      <c r="N3" s="27"/>
      <c r="O3" s="22"/>
      <c r="P3" s="16">
        <v>46224.530833333331</v>
      </c>
      <c r="Q3" s="16">
        <v>46224</v>
      </c>
      <c r="R3" s="21" t="s">
        <v>19</v>
      </c>
      <c r="S3" s="21" t="s">
        <v>32</v>
      </c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</row>
    <row r="4" spans="1:45" s="24" customFormat="1" ht="13.9" hidden="1" customHeight="1" x14ac:dyDescent="0.35">
      <c r="A4" s="13" t="s">
        <v>23</v>
      </c>
      <c r="B4" s="13" t="s">
        <v>24</v>
      </c>
      <c r="C4" s="13">
        <v>180</v>
      </c>
      <c r="D4" s="14" t="s">
        <v>44</v>
      </c>
      <c r="E4" s="15" t="s">
        <v>45</v>
      </c>
      <c r="F4" s="16">
        <v>46220</v>
      </c>
      <c r="G4" s="16">
        <v>46220</v>
      </c>
      <c r="H4" s="13">
        <v>224976</v>
      </c>
      <c r="I4" s="17" t="s">
        <v>46</v>
      </c>
      <c r="J4" s="18">
        <v>6784.56</v>
      </c>
      <c r="K4" s="19">
        <v>135.69</v>
      </c>
      <c r="L4" s="26">
        <f t="shared" si="0"/>
        <v>1.9999823127807843</v>
      </c>
      <c r="M4" s="27"/>
      <c r="N4" s="27"/>
      <c r="O4" s="22"/>
      <c r="P4" s="16">
        <v>46220.750902777778</v>
      </c>
      <c r="Q4" s="16">
        <v>46220</v>
      </c>
      <c r="R4" s="21" t="s">
        <v>19</v>
      </c>
      <c r="S4" s="21" t="s">
        <v>47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s="24" customFormat="1" ht="13.9" hidden="1" customHeight="1" x14ac:dyDescent="0.35">
      <c r="A5" s="13" t="s">
        <v>50</v>
      </c>
      <c r="B5" s="13" t="s">
        <v>51</v>
      </c>
      <c r="C5" s="13">
        <v>1079</v>
      </c>
      <c r="D5" s="14" t="s">
        <v>29</v>
      </c>
      <c r="E5" s="15" t="s">
        <v>30</v>
      </c>
      <c r="F5" s="16">
        <v>46224</v>
      </c>
      <c r="G5" s="16">
        <v>46219</v>
      </c>
      <c r="H5" s="13">
        <v>1963</v>
      </c>
      <c r="I5" s="17" t="s">
        <v>31</v>
      </c>
      <c r="J5" s="18">
        <v>1091.5</v>
      </c>
      <c r="K5" s="19">
        <v>0</v>
      </c>
      <c r="L5" s="26">
        <f t="shared" si="0"/>
        <v>0</v>
      </c>
      <c r="M5" s="27"/>
      <c r="N5" s="27"/>
      <c r="O5" s="22"/>
      <c r="P5" s="16">
        <v>46224.639097222222</v>
      </c>
      <c r="Q5" s="16">
        <v>46224</v>
      </c>
      <c r="R5" s="21" t="s">
        <v>19</v>
      </c>
      <c r="S5" s="21" t="s">
        <v>52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</row>
    <row r="6" spans="1:45" s="24" customFormat="1" ht="13.9" hidden="1" customHeight="1" x14ac:dyDescent="0.35">
      <c r="A6" s="13" t="s">
        <v>53</v>
      </c>
      <c r="B6" s="13" t="s">
        <v>24</v>
      </c>
      <c r="C6" s="13">
        <v>331</v>
      </c>
      <c r="D6" s="14" t="s">
        <v>54</v>
      </c>
      <c r="E6" s="15" t="s">
        <v>55</v>
      </c>
      <c r="F6" s="16">
        <v>46220</v>
      </c>
      <c r="G6" s="16">
        <v>46220</v>
      </c>
      <c r="H6" s="13">
        <v>68</v>
      </c>
      <c r="I6" s="17" t="s">
        <v>56</v>
      </c>
      <c r="J6" s="18">
        <v>5227.62</v>
      </c>
      <c r="K6" s="19">
        <v>156.83000000000001</v>
      </c>
      <c r="L6" s="20">
        <f t="shared" si="0"/>
        <v>3.0000267808295176</v>
      </c>
      <c r="M6" s="27"/>
      <c r="N6" s="27"/>
      <c r="O6" s="22"/>
      <c r="P6" s="16">
        <v>46220.770902777775</v>
      </c>
      <c r="Q6" s="16">
        <v>46220</v>
      </c>
      <c r="R6" s="21" t="s">
        <v>19</v>
      </c>
      <c r="S6" s="21" t="s">
        <v>57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</row>
    <row r="7" spans="1:45" s="24" customFormat="1" ht="13.9" hidden="1" customHeight="1" x14ac:dyDescent="0.35">
      <c r="A7" s="13" t="s">
        <v>53</v>
      </c>
      <c r="B7" s="13" t="s">
        <v>24</v>
      </c>
      <c r="C7" s="13">
        <v>313</v>
      </c>
      <c r="D7" s="14" t="s">
        <v>44</v>
      </c>
      <c r="E7" s="15" t="s">
        <v>45</v>
      </c>
      <c r="F7" s="16">
        <v>46211</v>
      </c>
      <c r="G7" s="16">
        <v>46211</v>
      </c>
      <c r="H7" s="13">
        <v>993</v>
      </c>
      <c r="I7" s="17" t="s">
        <v>58</v>
      </c>
      <c r="J7" s="18">
        <v>14584.4</v>
      </c>
      <c r="K7" s="19">
        <v>437.53</v>
      </c>
      <c r="L7" s="26">
        <f t="shared" si="0"/>
        <v>2.9999862867173146</v>
      </c>
      <c r="M7" s="27"/>
      <c r="N7" s="27"/>
      <c r="O7" s="22"/>
      <c r="P7" s="16">
        <v>46211.647013888891</v>
      </c>
      <c r="Q7" s="16">
        <v>46211</v>
      </c>
      <c r="R7" s="21" t="s">
        <v>19</v>
      </c>
      <c r="S7" s="21" t="s">
        <v>59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</row>
    <row r="8" spans="1:45" s="24" customFormat="1" ht="13.9" hidden="1" customHeight="1" x14ac:dyDescent="0.35">
      <c r="A8" s="13" t="s">
        <v>53</v>
      </c>
      <c r="B8" s="13" t="s">
        <v>24</v>
      </c>
      <c r="C8" s="13">
        <v>312</v>
      </c>
      <c r="D8" s="14" t="s">
        <v>44</v>
      </c>
      <c r="E8" s="15" t="s">
        <v>45</v>
      </c>
      <c r="F8" s="16">
        <v>46211</v>
      </c>
      <c r="G8" s="16">
        <v>46211</v>
      </c>
      <c r="H8" s="13">
        <v>995</v>
      </c>
      <c r="I8" s="17" t="s">
        <v>58</v>
      </c>
      <c r="J8" s="18">
        <v>399652.55</v>
      </c>
      <c r="K8" s="19">
        <v>11989.58</v>
      </c>
      <c r="L8" s="26">
        <f t="shared" si="0"/>
        <v>3.0000008757607075</v>
      </c>
      <c r="M8" s="27"/>
      <c r="N8" s="27"/>
      <c r="O8" s="22"/>
      <c r="P8" s="16">
        <v>46211.642604166664</v>
      </c>
      <c r="Q8" s="16">
        <v>46211</v>
      </c>
      <c r="R8" s="21" t="s">
        <v>19</v>
      </c>
      <c r="S8" s="21" t="s">
        <v>59</v>
      </c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</row>
    <row r="9" spans="1:45" s="24" customFormat="1" ht="13.9" hidden="1" customHeight="1" x14ac:dyDescent="0.35">
      <c r="A9" s="28" t="s">
        <v>53</v>
      </c>
      <c r="B9" s="28" t="s">
        <v>24</v>
      </c>
      <c r="C9" s="28">
        <v>319</v>
      </c>
      <c r="D9" s="29" t="s">
        <v>44</v>
      </c>
      <c r="E9" s="30" t="s">
        <v>45</v>
      </c>
      <c r="F9" s="31">
        <v>46212</v>
      </c>
      <c r="G9" s="31">
        <v>46211</v>
      </c>
      <c r="H9" s="28">
        <v>996.02</v>
      </c>
      <c r="I9" s="32" t="s">
        <v>58</v>
      </c>
      <c r="J9" s="33">
        <v>0</v>
      </c>
      <c r="K9" s="34">
        <v>0</v>
      </c>
      <c r="L9" s="38">
        <v>3</v>
      </c>
      <c r="M9" s="39"/>
      <c r="N9" s="39">
        <v>0</v>
      </c>
      <c r="O9" s="36" t="s">
        <v>60</v>
      </c>
      <c r="P9" s="31">
        <v>46212.450821759259</v>
      </c>
      <c r="Q9" s="31">
        <v>46212</v>
      </c>
      <c r="R9" s="35" t="s">
        <v>19</v>
      </c>
      <c r="S9" s="35" t="s">
        <v>59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s="24" customFormat="1" ht="13.9" hidden="1" customHeight="1" x14ac:dyDescent="0.35">
      <c r="A10" s="28" t="s">
        <v>53</v>
      </c>
      <c r="B10" s="28" t="s">
        <v>24</v>
      </c>
      <c r="C10" s="28">
        <v>319</v>
      </c>
      <c r="D10" s="29" t="s">
        <v>44</v>
      </c>
      <c r="E10" s="30" t="s">
        <v>45</v>
      </c>
      <c r="F10" s="31">
        <v>46212</v>
      </c>
      <c r="G10" s="31">
        <v>46211</v>
      </c>
      <c r="H10" s="28">
        <v>996.02</v>
      </c>
      <c r="I10" s="32" t="s">
        <v>58</v>
      </c>
      <c r="J10" s="33">
        <v>0</v>
      </c>
      <c r="K10" s="34">
        <v>0</v>
      </c>
      <c r="L10" s="38">
        <v>3</v>
      </c>
      <c r="M10" s="39"/>
      <c r="N10" s="39">
        <v>0</v>
      </c>
      <c r="O10" s="36" t="s">
        <v>60</v>
      </c>
      <c r="P10" s="31">
        <v>46212.450821759259</v>
      </c>
      <c r="Q10" s="31">
        <v>46212</v>
      </c>
      <c r="R10" s="35" t="s">
        <v>19</v>
      </c>
      <c r="S10" s="35" t="s">
        <v>59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s="24" customFormat="1" ht="13.9" hidden="1" customHeight="1" x14ac:dyDescent="0.35">
      <c r="A11" s="13" t="s">
        <v>53</v>
      </c>
      <c r="B11" s="13" t="s">
        <v>24</v>
      </c>
      <c r="C11" s="13">
        <v>319</v>
      </c>
      <c r="D11" s="14" t="s">
        <v>44</v>
      </c>
      <c r="E11" s="15" t="s">
        <v>45</v>
      </c>
      <c r="F11" s="16">
        <v>46212</v>
      </c>
      <c r="G11" s="16">
        <v>46211</v>
      </c>
      <c r="H11" s="13">
        <v>996.02</v>
      </c>
      <c r="I11" s="17" t="s">
        <v>58</v>
      </c>
      <c r="J11" s="18">
        <v>720105.22</v>
      </c>
      <c r="K11" s="19">
        <v>21603.16</v>
      </c>
      <c r="L11" s="26">
        <f t="shared" ref="L11:L42" si="1">K11/J11*100</f>
        <v>3.0000004721532223</v>
      </c>
      <c r="M11" s="27"/>
      <c r="N11" s="27">
        <v>21603.16</v>
      </c>
      <c r="O11" s="22" t="s">
        <v>61</v>
      </c>
      <c r="P11" s="16">
        <v>46212.450821759259</v>
      </c>
      <c r="Q11" s="16">
        <v>46212</v>
      </c>
      <c r="R11" s="21" t="s">
        <v>19</v>
      </c>
      <c r="S11" s="21" t="s">
        <v>59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s="24" customFormat="1" ht="13.9" hidden="1" customHeight="1" x14ac:dyDescent="0.35">
      <c r="A12" s="13" t="s">
        <v>53</v>
      </c>
      <c r="B12" s="13" t="s">
        <v>24</v>
      </c>
      <c r="C12" s="13">
        <v>310</v>
      </c>
      <c r="D12" s="14" t="s">
        <v>62</v>
      </c>
      <c r="E12" s="15" t="s">
        <v>63</v>
      </c>
      <c r="F12" s="16">
        <v>46209</v>
      </c>
      <c r="G12" s="16">
        <v>46206</v>
      </c>
      <c r="H12" s="13">
        <v>1323</v>
      </c>
      <c r="I12" s="17" t="s">
        <v>64</v>
      </c>
      <c r="J12" s="18">
        <v>66617.8</v>
      </c>
      <c r="K12" s="19">
        <v>3330.89</v>
      </c>
      <c r="L12" s="26">
        <f t="shared" si="1"/>
        <v>5</v>
      </c>
      <c r="M12" s="27"/>
      <c r="N12" s="27"/>
      <c r="O12" s="22"/>
      <c r="P12" s="16">
        <v>46209.519687499997</v>
      </c>
      <c r="Q12" s="16">
        <v>46209</v>
      </c>
      <c r="R12" s="21" t="s">
        <v>19</v>
      </c>
      <c r="S12" s="21" t="s">
        <v>65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s="24" customFormat="1" ht="13.9" hidden="1" customHeight="1" x14ac:dyDescent="0.35">
      <c r="A13" s="13" t="s">
        <v>53</v>
      </c>
      <c r="B13" s="13" t="s">
        <v>24</v>
      </c>
      <c r="C13" s="13">
        <v>332</v>
      </c>
      <c r="D13" s="14" t="s">
        <v>29</v>
      </c>
      <c r="E13" s="15" t="s">
        <v>30</v>
      </c>
      <c r="F13" s="16">
        <v>46224</v>
      </c>
      <c r="G13" s="16">
        <v>46219</v>
      </c>
      <c r="H13" s="13">
        <v>1978</v>
      </c>
      <c r="I13" s="17" t="s">
        <v>31</v>
      </c>
      <c r="J13" s="18">
        <v>924</v>
      </c>
      <c r="K13" s="19">
        <v>0</v>
      </c>
      <c r="L13" s="26">
        <f t="shared" si="1"/>
        <v>0</v>
      </c>
      <c r="M13" s="27"/>
      <c r="N13" s="27"/>
      <c r="O13" s="22"/>
      <c r="P13" s="16">
        <v>46224.533437500002</v>
      </c>
      <c r="Q13" s="16">
        <v>46224</v>
      </c>
      <c r="R13" s="21" t="s">
        <v>19</v>
      </c>
      <c r="S13" s="21" t="s">
        <v>32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s="24" customFormat="1" ht="13.9" hidden="1" customHeight="1" x14ac:dyDescent="0.35">
      <c r="A14" s="13" t="s">
        <v>53</v>
      </c>
      <c r="B14" s="13" t="s">
        <v>24</v>
      </c>
      <c r="C14" s="13">
        <v>334</v>
      </c>
      <c r="D14" s="14" t="s">
        <v>42</v>
      </c>
      <c r="E14" s="15" t="s">
        <v>43</v>
      </c>
      <c r="F14" s="16">
        <v>46227</v>
      </c>
      <c r="G14" s="16">
        <v>46216</v>
      </c>
      <c r="H14" s="13">
        <v>4604</v>
      </c>
      <c r="I14" s="17" t="s">
        <v>66</v>
      </c>
      <c r="J14" s="18">
        <v>550</v>
      </c>
      <c r="K14" s="19">
        <v>0</v>
      </c>
      <c r="L14" s="26">
        <f t="shared" si="1"/>
        <v>0</v>
      </c>
      <c r="M14" s="27"/>
      <c r="N14" s="27"/>
      <c r="O14" s="22"/>
      <c r="P14" s="16">
        <v>46227.462094907409</v>
      </c>
      <c r="Q14" s="16">
        <v>46227</v>
      </c>
      <c r="R14" s="21" t="s">
        <v>19</v>
      </c>
      <c r="S14" s="21" t="s">
        <v>67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</row>
    <row r="15" spans="1:45" s="24" customFormat="1" ht="13.9" hidden="1" customHeight="1" x14ac:dyDescent="0.35">
      <c r="A15" s="13" t="s">
        <v>53</v>
      </c>
      <c r="B15" s="13" t="s">
        <v>24</v>
      </c>
      <c r="C15" s="13">
        <v>335</v>
      </c>
      <c r="D15" s="14" t="s">
        <v>42</v>
      </c>
      <c r="E15" s="15" t="s">
        <v>43</v>
      </c>
      <c r="F15" s="16">
        <v>46227</v>
      </c>
      <c r="G15" s="16">
        <v>46216</v>
      </c>
      <c r="H15" s="13">
        <v>4605</v>
      </c>
      <c r="I15" s="17" t="s">
        <v>66</v>
      </c>
      <c r="J15" s="18">
        <v>550</v>
      </c>
      <c r="K15" s="19">
        <v>0</v>
      </c>
      <c r="L15" s="26">
        <f t="shared" si="1"/>
        <v>0</v>
      </c>
      <c r="M15" s="27"/>
      <c r="N15" s="27"/>
      <c r="O15" s="22"/>
      <c r="P15" s="16">
        <v>46227.475578703707</v>
      </c>
      <c r="Q15" s="16">
        <v>46227</v>
      </c>
      <c r="R15" s="21" t="s">
        <v>19</v>
      </c>
      <c r="S15" s="21" t="s">
        <v>67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</row>
    <row r="16" spans="1:45" s="24" customFormat="1" ht="13.9" hidden="1" customHeight="1" x14ac:dyDescent="0.35">
      <c r="A16" s="13" t="s">
        <v>53</v>
      </c>
      <c r="B16" s="13" t="s">
        <v>24</v>
      </c>
      <c r="C16" s="13">
        <v>325</v>
      </c>
      <c r="D16" s="14" t="s">
        <v>44</v>
      </c>
      <c r="E16" s="15" t="s">
        <v>45</v>
      </c>
      <c r="F16" s="16">
        <v>46217</v>
      </c>
      <c r="G16" s="16">
        <v>46211</v>
      </c>
      <c r="H16" s="13">
        <v>11823</v>
      </c>
      <c r="I16" s="17" t="s">
        <v>68</v>
      </c>
      <c r="J16" s="18">
        <v>223388.1</v>
      </c>
      <c r="K16" s="19">
        <v>6701.64</v>
      </c>
      <c r="L16" s="26">
        <f t="shared" si="1"/>
        <v>2.9999986570457424</v>
      </c>
      <c r="M16" s="27"/>
      <c r="N16" s="27"/>
      <c r="O16" s="22"/>
      <c r="P16" s="16">
        <v>46217.390370370369</v>
      </c>
      <c r="Q16" s="16">
        <v>46217</v>
      </c>
      <c r="R16" s="21" t="s">
        <v>19</v>
      </c>
      <c r="S16" s="21" t="s">
        <v>69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</row>
    <row r="17" spans="1:45" s="24" customFormat="1" ht="13.9" hidden="1" customHeight="1" x14ac:dyDescent="0.35">
      <c r="A17" s="13" t="s">
        <v>53</v>
      </c>
      <c r="B17" s="13" t="s">
        <v>24</v>
      </c>
      <c r="C17" s="13">
        <v>323</v>
      </c>
      <c r="D17" s="14" t="s">
        <v>44</v>
      </c>
      <c r="E17" s="15" t="s">
        <v>45</v>
      </c>
      <c r="F17" s="16">
        <v>46213</v>
      </c>
      <c r="G17" s="16">
        <v>46211</v>
      </c>
      <c r="H17" s="13">
        <v>11824</v>
      </c>
      <c r="I17" s="17" t="s">
        <v>68</v>
      </c>
      <c r="J17" s="18">
        <v>291597.84000000003</v>
      </c>
      <c r="K17" s="19">
        <v>8747.94</v>
      </c>
      <c r="L17" s="26">
        <f t="shared" si="1"/>
        <v>3.0000016461027283</v>
      </c>
      <c r="M17" s="27"/>
      <c r="N17" s="27"/>
      <c r="O17" s="22"/>
      <c r="P17" s="16">
        <v>46213.60738425926</v>
      </c>
      <c r="Q17" s="16">
        <v>46213</v>
      </c>
      <c r="R17" s="21" t="s">
        <v>19</v>
      </c>
      <c r="S17" s="21" t="s">
        <v>69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</row>
    <row r="18" spans="1:45" s="24" customFormat="1" ht="13.9" hidden="1" customHeight="1" x14ac:dyDescent="0.35">
      <c r="A18" s="13" t="s">
        <v>53</v>
      </c>
      <c r="B18" s="13" t="s">
        <v>24</v>
      </c>
      <c r="C18" s="13">
        <v>322</v>
      </c>
      <c r="D18" s="14" t="s">
        <v>44</v>
      </c>
      <c r="E18" s="15" t="s">
        <v>45</v>
      </c>
      <c r="F18" s="16">
        <v>46213</v>
      </c>
      <c r="G18" s="16">
        <v>46211</v>
      </c>
      <c r="H18" s="13">
        <v>11825</v>
      </c>
      <c r="I18" s="17" t="s">
        <v>68</v>
      </c>
      <c r="J18" s="18">
        <v>9883.08</v>
      </c>
      <c r="K18" s="19">
        <v>296.49</v>
      </c>
      <c r="L18" s="26">
        <f t="shared" si="1"/>
        <v>2.9999757160723175</v>
      </c>
      <c r="M18" s="27"/>
      <c r="N18" s="27"/>
      <c r="O18" s="22"/>
      <c r="P18" s="16">
        <v>46213.605624999997</v>
      </c>
      <c r="Q18" s="16">
        <v>46213</v>
      </c>
      <c r="R18" s="21" t="s">
        <v>19</v>
      </c>
      <c r="S18" s="21" t="s">
        <v>69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</row>
    <row r="19" spans="1:45" s="24" customFormat="1" ht="13.9" hidden="1" customHeight="1" x14ac:dyDescent="0.35">
      <c r="A19" s="13" t="s">
        <v>53</v>
      </c>
      <c r="B19" s="13" t="s">
        <v>24</v>
      </c>
      <c r="C19" s="13">
        <v>321</v>
      </c>
      <c r="D19" s="14" t="s">
        <v>44</v>
      </c>
      <c r="E19" s="15" t="s">
        <v>45</v>
      </c>
      <c r="F19" s="16">
        <v>46213</v>
      </c>
      <c r="G19" s="16">
        <v>46211</v>
      </c>
      <c r="H19" s="13">
        <v>11826</v>
      </c>
      <c r="I19" s="17" t="s">
        <v>68</v>
      </c>
      <c r="J19" s="18">
        <v>9471.2900000000009</v>
      </c>
      <c r="K19" s="19">
        <v>284.14</v>
      </c>
      <c r="L19" s="26">
        <f t="shared" si="1"/>
        <v>3.0000137256910091</v>
      </c>
      <c r="M19" s="27"/>
      <c r="N19" s="27"/>
      <c r="O19" s="22"/>
      <c r="P19" s="16">
        <v>46213.604768518519</v>
      </c>
      <c r="Q19" s="16">
        <v>46213</v>
      </c>
      <c r="R19" s="21" t="s">
        <v>19</v>
      </c>
      <c r="S19" s="21" t="s">
        <v>69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</row>
    <row r="20" spans="1:45" s="24" customFormat="1" ht="13.9" hidden="1" customHeight="1" x14ac:dyDescent="0.35">
      <c r="A20" s="13" t="s">
        <v>53</v>
      </c>
      <c r="B20" s="13" t="s">
        <v>24</v>
      </c>
      <c r="C20" s="13">
        <v>324</v>
      </c>
      <c r="D20" s="14" t="s">
        <v>44</v>
      </c>
      <c r="E20" s="15" t="s">
        <v>45</v>
      </c>
      <c r="F20" s="16">
        <v>46213</v>
      </c>
      <c r="G20" s="16">
        <v>46213</v>
      </c>
      <c r="H20" s="13">
        <v>11846</v>
      </c>
      <c r="I20" s="17" t="s">
        <v>68</v>
      </c>
      <c r="J20" s="18">
        <v>150396.25</v>
      </c>
      <c r="K20" s="19">
        <v>4511.8900000000003</v>
      </c>
      <c r="L20" s="26">
        <f t="shared" si="1"/>
        <v>3.0000016622754888</v>
      </c>
      <c r="M20" s="27"/>
      <c r="N20" s="27"/>
      <c r="O20" s="22"/>
      <c r="P20" s="16">
        <v>46213.74827546296</v>
      </c>
      <c r="Q20" s="16">
        <v>46213</v>
      </c>
      <c r="R20" s="21" t="s">
        <v>19</v>
      </c>
      <c r="S20" s="21" t="s">
        <v>69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</row>
    <row r="21" spans="1:45" s="24" customFormat="1" ht="13.9" hidden="1" customHeight="1" x14ac:dyDescent="0.35">
      <c r="A21" s="13" t="s">
        <v>53</v>
      </c>
      <c r="B21" s="13" t="s">
        <v>24</v>
      </c>
      <c r="C21" s="13">
        <v>327</v>
      </c>
      <c r="D21" s="14" t="s">
        <v>70</v>
      </c>
      <c r="E21" s="15" t="s">
        <v>71</v>
      </c>
      <c r="F21" s="16">
        <v>46217</v>
      </c>
      <c r="G21" s="16">
        <v>46217</v>
      </c>
      <c r="H21" s="13">
        <v>18771</v>
      </c>
      <c r="I21" s="17" t="s">
        <v>72</v>
      </c>
      <c r="J21" s="18">
        <v>64383.91</v>
      </c>
      <c r="K21" s="19">
        <v>0</v>
      </c>
      <c r="L21" s="26">
        <f t="shared" si="1"/>
        <v>0</v>
      </c>
      <c r="M21" s="27"/>
      <c r="N21" s="27"/>
      <c r="O21" s="22"/>
      <c r="P21" s="16">
        <v>46217.657777777778</v>
      </c>
      <c r="Q21" s="16">
        <v>46217</v>
      </c>
      <c r="R21" s="21" t="s">
        <v>19</v>
      </c>
      <c r="S21" s="21" t="s">
        <v>73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</row>
    <row r="22" spans="1:45" s="24" customFormat="1" ht="13.9" hidden="1" customHeight="1" x14ac:dyDescent="0.35">
      <c r="A22" s="13" t="s">
        <v>53</v>
      </c>
      <c r="B22" s="13" t="s">
        <v>24</v>
      </c>
      <c r="C22" s="13">
        <v>328</v>
      </c>
      <c r="D22" s="14" t="s">
        <v>74</v>
      </c>
      <c r="E22" s="15" t="s">
        <v>75</v>
      </c>
      <c r="F22" s="16">
        <v>46217</v>
      </c>
      <c r="G22" s="16">
        <v>46217</v>
      </c>
      <c r="H22" s="13">
        <v>19736</v>
      </c>
      <c r="I22" s="17" t="s">
        <v>76</v>
      </c>
      <c r="J22" s="18">
        <v>1060</v>
      </c>
      <c r="K22" s="19">
        <v>0</v>
      </c>
      <c r="L22" s="26">
        <f t="shared" si="1"/>
        <v>0</v>
      </c>
      <c r="M22" s="27"/>
      <c r="N22" s="27"/>
      <c r="O22" s="22"/>
      <c r="P22" s="16">
        <v>46217.668796296297</v>
      </c>
      <c r="Q22" s="16">
        <v>46217</v>
      </c>
      <c r="R22" s="21" t="s">
        <v>19</v>
      </c>
      <c r="S22" s="21" t="s">
        <v>77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</row>
    <row r="23" spans="1:45" s="24" customFormat="1" ht="13.9" hidden="1" customHeight="1" x14ac:dyDescent="0.35">
      <c r="A23" s="13" t="s">
        <v>53</v>
      </c>
      <c r="B23" s="13" t="s">
        <v>24</v>
      </c>
      <c r="C23" s="13">
        <v>330</v>
      </c>
      <c r="D23" s="14" t="s">
        <v>44</v>
      </c>
      <c r="E23" s="15" t="s">
        <v>45</v>
      </c>
      <c r="F23" s="16">
        <v>46218</v>
      </c>
      <c r="G23" s="16">
        <v>46217</v>
      </c>
      <c r="H23" s="13">
        <v>25900</v>
      </c>
      <c r="I23" s="17" t="s">
        <v>78</v>
      </c>
      <c r="J23" s="18">
        <v>331936.87</v>
      </c>
      <c r="K23" s="19">
        <v>9958.11</v>
      </c>
      <c r="L23" s="26">
        <f t="shared" si="1"/>
        <v>3.0000011749222075</v>
      </c>
      <c r="M23" s="27"/>
      <c r="N23" s="27"/>
      <c r="O23" s="22"/>
      <c r="P23" s="16">
        <v>46218.74150462963</v>
      </c>
      <c r="Q23" s="16">
        <v>46218</v>
      </c>
      <c r="R23" s="21" t="s">
        <v>19</v>
      </c>
      <c r="S23" s="21" t="s">
        <v>79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</row>
    <row r="24" spans="1:45" s="24" customFormat="1" ht="13.9" hidden="1" customHeight="1" x14ac:dyDescent="0.35">
      <c r="A24" s="13" t="s">
        <v>53</v>
      </c>
      <c r="B24" s="13" t="s">
        <v>24</v>
      </c>
      <c r="C24" s="13">
        <v>329</v>
      </c>
      <c r="D24" s="14" t="s">
        <v>44</v>
      </c>
      <c r="E24" s="15" t="s">
        <v>45</v>
      </c>
      <c r="F24" s="16">
        <v>46217</v>
      </c>
      <c r="G24" s="16">
        <v>46217</v>
      </c>
      <c r="H24" s="13">
        <v>25901</v>
      </c>
      <c r="I24" s="17" t="s">
        <v>78</v>
      </c>
      <c r="J24" s="18">
        <v>93148.21</v>
      </c>
      <c r="K24" s="19">
        <v>2794.45</v>
      </c>
      <c r="L24" s="26">
        <f t="shared" si="1"/>
        <v>3.0000039721643601</v>
      </c>
      <c r="M24" s="27"/>
      <c r="N24" s="27"/>
      <c r="O24" s="22"/>
      <c r="P24" s="16">
        <v>46217.673206018517</v>
      </c>
      <c r="Q24" s="16">
        <v>46217</v>
      </c>
      <c r="R24" s="21" t="s">
        <v>19</v>
      </c>
      <c r="S24" s="21" t="s">
        <v>79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</row>
    <row r="25" spans="1:45" s="24" customFormat="1" ht="13.9" hidden="1" customHeight="1" x14ac:dyDescent="0.35">
      <c r="A25" s="13" t="s">
        <v>80</v>
      </c>
      <c r="B25" s="13" t="s">
        <v>81</v>
      </c>
      <c r="C25" s="13">
        <v>51971</v>
      </c>
      <c r="D25" s="14" t="s">
        <v>29</v>
      </c>
      <c r="E25" s="15" t="s">
        <v>30</v>
      </c>
      <c r="F25" s="40">
        <v>46220</v>
      </c>
      <c r="G25" s="40">
        <v>46217</v>
      </c>
      <c r="H25" s="13">
        <v>701</v>
      </c>
      <c r="I25" s="17" t="s">
        <v>82</v>
      </c>
      <c r="J25" s="18">
        <v>549.5</v>
      </c>
      <c r="K25" s="19">
        <v>0</v>
      </c>
      <c r="L25" s="26">
        <f t="shared" si="1"/>
        <v>0</v>
      </c>
      <c r="M25" s="27"/>
      <c r="N25" s="27"/>
      <c r="O25" s="22"/>
      <c r="P25" s="16">
        <v>46220.68478009259</v>
      </c>
      <c r="Q25" s="16">
        <v>46220</v>
      </c>
      <c r="R25" s="21" t="s">
        <v>19</v>
      </c>
      <c r="S25" s="21" t="s">
        <v>83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</row>
    <row r="26" spans="1:45" s="24" customFormat="1" ht="13.9" hidden="1" customHeight="1" x14ac:dyDescent="0.35">
      <c r="A26" s="13" t="s">
        <v>80</v>
      </c>
      <c r="B26" s="13" t="s">
        <v>81</v>
      </c>
      <c r="C26" s="13">
        <v>51972</v>
      </c>
      <c r="D26" s="14" t="s">
        <v>44</v>
      </c>
      <c r="E26" s="15" t="s">
        <v>45</v>
      </c>
      <c r="F26" s="40">
        <v>46220</v>
      </c>
      <c r="G26" s="40">
        <v>46220</v>
      </c>
      <c r="H26" s="13">
        <v>224942</v>
      </c>
      <c r="I26" s="17" t="s">
        <v>46</v>
      </c>
      <c r="J26" s="18">
        <v>40505.5</v>
      </c>
      <c r="K26" s="19">
        <v>810.11</v>
      </c>
      <c r="L26" s="26">
        <f t="shared" si="1"/>
        <v>2</v>
      </c>
      <c r="M26" s="27"/>
      <c r="N26" s="27"/>
      <c r="O26" s="22"/>
      <c r="P26" s="16">
        <v>46220.698877314811</v>
      </c>
      <c r="Q26" s="16">
        <v>46220</v>
      </c>
      <c r="R26" s="21" t="s">
        <v>19</v>
      </c>
      <c r="S26" s="21" t="s">
        <v>47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</row>
    <row r="27" spans="1:45" s="24" customFormat="1" ht="13.9" hidden="1" customHeight="1" x14ac:dyDescent="0.35">
      <c r="A27" s="13" t="s">
        <v>80</v>
      </c>
      <c r="B27" s="13" t="s">
        <v>81</v>
      </c>
      <c r="C27" s="13">
        <v>51915</v>
      </c>
      <c r="D27" s="14" t="s">
        <v>62</v>
      </c>
      <c r="E27" s="15" t="s">
        <v>63</v>
      </c>
      <c r="F27" s="40">
        <v>46217</v>
      </c>
      <c r="G27" s="40">
        <v>46217</v>
      </c>
      <c r="H27" s="13">
        <v>1006738</v>
      </c>
      <c r="I27" s="17" t="s">
        <v>84</v>
      </c>
      <c r="J27" s="18">
        <v>6065.43</v>
      </c>
      <c r="K27" s="19">
        <v>121.31</v>
      </c>
      <c r="L27" s="26">
        <f t="shared" si="1"/>
        <v>2.0000230816281781</v>
      </c>
      <c r="M27" s="27"/>
      <c r="N27" s="27"/>
      <c r="O27" s="22"/>
      <c r="P27" s="16">
        <v>46217.588379629633</v>
      </c>
      <c r="Q27" s="16">
        <v>46217</v>
      </c>
      <c r="R27" s="21" t="s">
        <v>19</v>
      </c>
      <c r="S27" s="21" t="s">
        <v>85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</row>
    <row r="28" spans="1:45" s="24" customFormat="1" ht="13.9" hidden="1" customHeight="1" x14ac:dyDescent="0.35">
      <c r="A28" s="13" t="s">
        <v>86</v>
      </c>
      <c r="B28" s="13" t="s">
        <v>87</v>
      </c>
      <c r="C28" s="13">
        <v>30925</v>
      </c>
      <c r="D28" s="14" t="s">
        <v>54</v>
      </c>
      <c r="E28" s="15" t="s">
        <v>55</v>
      </c>
      <c r="F28" s="16">
        <v>46212</v>
      </c>
      <c r="G28" s="16">
        <v>46204</v>
      </c>
      <c r="H28" s="13">
        <v>345</v>
      </c>
      <c r="I28" s="17" t="s">
        <v>88</v>
      </c>
      <c r="J28" s="18">
        <v>2610.4699999999998</v>
      </c>
      <c r="K28" s="19">
        <v>130.52000000000001</v>
      </c>
      <c r="L28" s="26">
        <f t="shared" si="1"/>
        <v>4.9998659245270014</v>
      </c>
      <c r="M28" s="27"/>
      <c r="N28" s="27"/>
      <c r="O28" s="22"/>
      <c r="P28" s="16">
        <v>46212.46298611111</v>
      </c>
      <c r="Q28" s="16">
        <v>46212</v>
      </c>
      <c r="R28" s="21" t="s">
        <v>19</v>
      </c>
      <c r="S28" s="21" t="s">
        <v>89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</row>
    <row r="29" spans="1:45" s="24" customFormat="1" ht="13.9" hidden="1" customHeight="1" x14ac:dyDescent="0.35">
      <c r="A29" s="13" t="s">
        <v>86</v>
      </c>
      <c r="B29" s="13" t="s">
        <v>87</v>
      </c>
      <c r="C29" s="13">
        <v>30969</v>
      </c>
      <c r="D29" s="14" t="s">
        <v>54</v>
      </c>
      <c r="E29" s="15" t="s">
        <v>55</v>
      </c>
      <c r="F29" s="16">
        <v>46213</v>
      </c>
      <c r="G29" s="16">
        <v>46213</v>
      </c>
      <c r="H29" s="13">
        <v>368</v>
      </c>
      <c r="I29" s="17" t="s">
        <v>88</v>
      </c>
      <c r="J29" s="18">
        <v>5220.9399999999996</v>
      </c>
      <c r="K29" s="19">
        <v>261.04000000000002</v>
      </c>
      <c r="L29" s="26">
        <f t="shared" si="1"/>
        <v>4.9998659245270014</v>
      </c>
      <c r="M29" s="27"/>
      <c r="N29" s="27"/>
      <c r="O29" s="22" t="s">
        <v>92</v>
      </c>
      <c r="P29" s="16">
        <v>46213.750902777778</v>
      </c>
      <c r="Q29" s="16">
        <v>46213</v>
      </c>
      <c r="R29" s="21" t="s">
        <v>19</v>
      </c>
      <c r="S29" s="21" t="s">
        <v>89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</row>
    <row r="30" spans="1:45" s="24" customFormat="1" ht="13.9" hidden="1" customHeight="1" x14ac:dyDescent="0.35">
      <c r="A30" s="13" t="s">
        <v>86</v>
      </c>
      <c r="B30" s="13" t="s">
        <v>87</v>
      </c>
      <c r="C30" s="13">
        <v>31046</v>
      </c>
      <c r="D30" s="14" t="s">
        <v>29</v>
      </c>
      <c r="E30" s="15" t="s">
        <v>30</v>
      </c>
      <c r="F30" s="16">
        <v>46224</v>
      </c>
      <c r="G30" s="16">
        <v>46219</v>
      </c>
      <c r="H30" s="13">
        <v>1968</v>
      </c>
      <c r="I30" s="17" t="s">
        <v>31</v>
      </c>
      <c r="J30" s="18">
        <v>2041.67</v>
      </c>
      <c r="K30" s="19">
        <v>0</v>
      </c>
      <c r="L30" s="26">
        <f t="shared" si="1"/>
        <v>0</v>
      </c>
      <c r="M30" s="27"/>
      <c r="N30" s="27"/>
      <c r="O30" s="22"/>
      <c r="P30" s="16">
        <v>46224.633599537039</v>
      </c>
      <c r="Q30" s="16">
        <v>46224</v>
      </c>
      <c r="R30" s="21" t="s">
        <v>19</v>
      </c>
      <c r="S30" s="21" t="s">
        <v>52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</row>
    <row r="31" spans="1:45" s="24" customFormat="1" ht="13.9" hidden="1" customHeight="1" x14ac:dyDescent="0.35">
      <c r="A31" s="13" t="s">
        <v>86</v>
      </c>
      <c r="B31" s="13" t="s">
        <v>87</v>
      </c>
      <c r="C31" s="13">
        <v>31004</v>
      </c>
      <c r="D31" s="14" t="s">
        <v>44</v>
      </c>
      <c r="E31" s="15" t="s">
        <v>45</v>
      </c>
      <c r="F31" s="16">
        <v>46218</v>
      </c>
      <c r="G31" s="16">
        <v>46218</v>
      </c>
      <c r="H31" s="13">
        <v>29084</v>
      </c>
      <c r="I31" s="17" t="s">
        <v>93</v>
      </c>
      <c r="J31" s="18">
        <v>16078.94</v>
      </c>
      <c r="K31" s="19">
        <v>803.94</v>
      </c>
      <c r="L31" s="26">
        <f t="shared" si="1"/>
        <v>4.9999564647918335</v>
      </c>
      <c r="M31" s="27"/>
      <c r="N31" s="27"/>
      <c r="O31" s="22" t="s">
        <v>92</v>
      </c>
      <c r="P31" s="16">
        <v>46218.766493055555</v>
      </c>
      <c r="Q31" s="16">
        <v>46218</v>
      </c>
      <c r="R31" s="21" t="s">
        <v>19</v>
      </c>
      <c r="S31" s="21" t="s">
        <v>94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</row>
    <row r="32" spans="1:45" s="24" customFormat="1" ht="13.9" hidden="1" customHeight="1" x14ac:dyDescent="0.35">
      <c r="A32" s="13" t="s">
        <v>86</v>
      </c>
      <c r="B32" s="13" t="s">
        <v>87</v>
      </c>
      <c r="C32" s="13">
        <v>31003</v>
      </c>
      <c r="D32" s="14" t="s">
        <v>44</v>
      </c>
      <c r="E32" s="15" t="s">
        <v>45</v>
      </c>
      <c r="F32" s="16">
        <v>46218</v>
      </c>
      <c r="G32" s="16">
        <v>46218</v>
      </c>
      <c r="H32" s="13">
        <v>29085</v>
      </c>
      <c r="I32" s="17" t="s">
        <v>93</v>
      </c>
      <c r="J32" s="18">
        <v>5599.7</v>
      </c>
      <c r="K32" s="19">
        <v>279.98</v>
      </c>
      <c r="L32" s="26">
        <f t="shared" si="1"/>
        <v>4.9999107095022959</v>
      </c>
      <c r="M32" s="27"/>
      <c r="N32" s="27"/>
      <c r="O32" s="22" t="s">
        <v>92</v>
      </c>
      <c r="P32" s="16">
        <v>46218.766481481478</v>
      </c>
      <c r="Q32" s="16">
        <v>46218</v>
      </c>
      <c r="R32" s="21" t="s">
        <v>19</v>
      </c>
      <c r="S32" s="21" t="s">
        <v>94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</row>
    <row r="33" spans="1:45" s="24" customFormat="1" ht="13.9" hidden="1" customHeight="1" x14ac:dyDescent="0.35">
      <c r="A33" s="13" t="s">
        <v>86</v>
      </c>
      <c r="B33" s="13" t="s">
        <v>87</v>
      </c>
      <c r="C33" s="13">
        <v>31023</v>
      </c>
      <c r="D33" s="14" t="s">
        <v>44</v>
      </c>
      <c r="E33" s="15" t="s">
        <v>45</v>
      </c>
      <c r="F33" s="16">
        <v>46220</v>
      </c>
      <c r="G33" s="16">
        <v>46220</v>
      </c>
      <c r="H33" s="13">
        <v>224944</v>
      </c>
      <c r="I33" s="17" t="s">
        <v>46</v>
      </c>
      <c r="J33" s="18">
        <v>16760.419999999998</v>
      </c>
      <c r="K33" s="19">
        <v>838.02</v>
      </c>
      <c r="L33" s="26">
        <f t="shared" si="1"/>
        <v>4.9999940335624053</v>
      </c>
      <c r="M33" s="27"/>
      <c r="N33" s="27"/>
      <c r="O33" s="22"/>
      <c r="P33" s="16">
        <v>46220.684791666667</v>
      </c>
      <c r="Q33" s="16">
        <v>46220</v>
      </c>
      <c r="R33" s="21" t="s">
        <v>19</v>
      </c>
      <c r="S33" s="21" t="s">
        <v>47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</row>
    <row r="34" spans="1:45" s="24" customFormat="1" ht="13.9" hidden="1" customHeight="1" x14ac:dyDescent="0.35">
      <c r="A34" s="13" t="s">
        <v>86</v>
      </c>
      <c r="B34" s="13" t="s">
        <v>87</v>
      </c>
      <c r="C34" s="13">
        <v>31024</v>
      </c>
      <c r="D34" s="14" t="s">
        <v>44</v>
      </c>
      <c r="E34" s="15" t="s">
        <v>45</v>
      </c>
      <c r="F34" s="16">
        <v>46220</v>
      </c>
      <c r="G34" s="16">
        <v>46220</v>
      </c>
      <c r="H34" s="13">
        <v>224954</v>
      </c>
      <c r="I34" s="17" t="s">
        <v>46</v>
      </c>
      <c r="J34" s="18">
        <v>22393.56</v>
      </c>
      <c r="K34" s="19">
        <v>1119.67</v>
      </c>
      <c r="L34" s="26">
        <f t="shared" si="1"/>
        <v>4.9999642754434754</v>
      </c>
      <c r="M34" s="27"/>
      <c r="N34" s="27"/>
      <c r="O34" s="22" t="s">
        <v>92</v>
      </c>
      <c r="P34" s="16">
        <v>46220.684814814813</v>
      </c>
      <c r="Q34" s="16">
        <v>46220</v>
      </c>
      <c r="R34" s="21" t="s">
        <v>19</v>
      </c>
      <c r="S34" s="21" t="s">
        <v>47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</row>
    <row r="35" spans="1:45" s="24" customFormat="1" ht="13.9" hidden="1" customHeight="1" x14ac:dyDescent="0.35">
      <c r="A35" s="13" t="s">
        <v>95</v>
      </c>
      <c r="B35" s="13" t="s">
        <v>96</v>
      </c>
      <c r="C35" s="13">
        <v>58451</v>
      </c>
      <c r="D35" s="14" t="s">
        <v>25</v>
      </c>
      <c r="E35" s="15" t="s">
        <v>26</v>
      </c>
      <c r="F35" s="16">
        <v>46217</v>
      </c>
      <c r="G35" s="16">
        <v>46217</v>
      </c>
      <c r="H35" s="13">
        <v>1185</v>
      </c>
      <c r="I35" s="17" t="s">
        <v>97</v>
      </c>
      <c r="J35" s="18">
        <v>4234.92</v>
      </c>
      <c r="K35" s="19">
        <v>211.75</v>
      </c>
      <c r="L35" s="26">
        <f t="shared" si="1"/>
        <v>5.0000944527877742</v>
      </c>
      <c r="M35" s="27"/>
      <c r="N35" s="27"/>
      <c r="O35" s="22"/>
      <c r="P35" s="16">
        <v>46217.670717592591</v>
      </c>
      <c r="Q35" s="16">
        <v>46217</v>
      </c>
      <c r="R35" s="21" t="s">
        <v>19</v>
      </c>
      <c r="S35" s="21" t="s">
        <v>98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</row>
    <row r="36" spans="1:45" s="24" customFormat="1" ht="13.9" hidden="1" customHeight="1" x14ac:dyDescent="0.35">
      <c r="A36" s="13" t="s">
        <v>95</v>
      </c>
      <c r="B36" s="13" t="s">
        <v>96</v>
      </c>
      <c r="C36" s="13">
        <v>58591</v>
      </c>
      <c r="D36" s="14" t="s">
        <v>29</v>
      </c>
      <c r="E36" s="15" t="s">
        <v>30</v>
      </c>
      <c r="F36" s="16">
        <v>46224</v>
      </c>
      <c r="G36" s="16">
        <v>46219</v>
      </c>
      <c r="H36" s="13">
        <v>1965</v>
      </c>
      <c r="I36" s="17" t="s">
        <v>31</v>
      </c>
      <c r="J36" s="18">
        <v>1091.5</v>
      </c>
      <c r="K36" s="19">
        <v>0</v>
      </c>
      <c r="L36" s="26">
        <f t="shared" si="1"/>
        <v>0</v>
      </c>
      <c r="M36" s="27"/>
      <c r="N36" s="27"/>
      <c r="O36" s="22"/>
      <c r="P36" s="16">
        <v>46224.646990740737</v>
      </c>
      <c r="Q36" s="16">
        <v>46224</v>
      </c>
      <c r="R36" s="21" t="s">
        <v>19</v>
      </c>
      <c r="S36" s="21" t="s">
        <v>52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</row>
    <row r="37" spans="1:45" s="24" customFormat="1" ht="13.9" hidden="1" customHeight="1" x14ac:dyDescent="0.35">
      <c r="A37" s="13" t="s">
        <v>95</v>
      </c>
      <c r="B37" s="13" t="s">
        <v>96</v>
      </c>
      <c r="C37" s="13">
        <v>58556</v>
      </c>
      <c r="D37" s="14" t="s">
        <v>44</v>
      </c>
      <c r="E37" s="15" t="s">
        <v>45</v>
      </c>
      <c r="F37" s="16">
        <v>46220</v>
      </c>
      <c r="G37" s="16">
        <v>46220</v>
      </c>
      <c r="H37" s="13">
        <v>224943</v>
      </c>
      <c r="I37" s="17" t="s">
        <v>46</v>
      </c>
      <c r="J37" s="18">
        <v>88163.04</v>
      </c>
      <c r="K37" s="19">
        <v>4408.1499999999996</v>
      </c>
      <c r="L37" s="26">
        <f t="shared" si="1"/>
        <v>4.999997731475684</v>
      </c>
      <c r="M37" s="27"/>
      <c r="N37" s="27"/>
      <c r="O37" s="22"/>
      <c r="P37" s="16">
        <v>46220.684803240743</v>
      </c>
      <c r="Q37" s="16">
        <v>46220</v>
      </c>
      <c r="R37" s="21" t="s">
        <v>19</v>
      </c>
      <c r="S37" s="21" t="s">
        <v>47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</row>
    <row r="38" spans="1:45" s="24" customFormat="1" ht="13.9" hidden="1" customHeight="1" x14ac:dyDescent="0.35">
      <c r="A38" s="13" t="s">
        <v>95</v>
      </c>
      <c r="B38" s="13" t="s">
        <v>96</v>
      </c>
      <c r="C38" s="13">
        <v>58555</v>
      </c>
      <c r="D38" s="14" t="s">
        <v>44</v>
      </c>
      <c r="E38" s="15" t="s">
        <v>45</v>
      </c>
      <c r="F38" s="16">
        <v>46220</v>
      </c>
      <c r="G38" s="16">
        <v>46220</v>
      </c>
      <c r="H38" s="13">
        <v>224975</v>
      </c>
      <c r="I38" s="17" t="s">
        <v>46</v>
      </c>
      <c r="J38" s="18">
        <v>7166.57</v>
      </c>
      <c r="K38" s="19">
        <v>358.33</v>
      </c>
      <c r="L38" s="26">
        <f t="shared" si="1"/>
        <v>5.0000209305148768</v>
      </c>
      <c r="M38" s="27"/>
      <c r="N38" s="27"/>
      <c r="O38" s="22"/>
      <c r="P38" s="16">
        <v>46220.684699074074</v>
      </c>
      <c r="Q38" s="16">
        <v>46220</v>
      </c>
      <c r="R38" s="21" t="s">
        <v>19</v>
      </c>
      <c r="S38" s="21" t="s">
        <v>47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</row>
    <row r="39" spans="1:45" s="24" customFormat="1" ht="13.9" hidden="1" customHeight="1" x14ac:dyDescent="0.35">
      <c r="A39" s="13" t="s">
        <v>99</v>
      </c>
      <c r="B39" s="13" t="s">
        <v>100</v>
      </c>
      <c r="C39" s="13">
        <v>48871</v>
      </c>
      <c r="D39" s="14" t="s">
        <v>29</v>
      </c>
      <c r="E39" s="15" t="s">
        <v>30</v>
      </c>
      <c r="F39" s="16">
        <v>46230</v>
      </c>
      <c r="G39" s="16">
        <v>46219</v>
      </c>
      <c r="H39" s="13">
        <v>1363</v>
      </c>
      <c r="I39" s="17" t="s">
        <v>101</v>
      </c>
      <c r="J39" s="18">
        <v>1264.8</v>
      </c>
      <c r="K39" s="19">
        <v>0</v>
      </c>
      <c r="L39" s="26">
        <f t="shared" si="1"/>
        <v>0</v>
      </c>
      <c r="M39" s="27"/>
      <c r="N39" s="27"/>
      <c r="O39" s="22"/>
      <c r="P39" s="16">
        <v>46230.380196759259</v>
      </c>
      <c r="Q39" s="16">
        <v>46230</v>
      </c>
      <c r="R39" s="21" t="s">
        <v>19</v>
      </c>
      <c r="S39" s="21" t="s">
        <v>102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</row>
    <row r="40" spans="1:45" s="24" customFormat="1" ht="13.9" hidden="1" customHeight="1" x14ac:dyDescent="0.35">
      <c r="A40" s="13" t="s">
        <v>103</v>
      </c>
      <c r="B40" s="13" t="s">
        <v>104</v>
      </c>
      <c r="C40" s="13">
        <v>30477</v>
      </c>
      <c r="D40" s="14" t="s">
        <v>29</v>
      </c>
      <c r="E40" s="15" t="s">
        <v>30</v>
      </c>
      <c r="F40" s="16">
        <v>46220</v>
      </c>
      <c r="G40" s="16">
        <v>46217</v>
      </c>
      <c r="H40" s="13">
        <v>702</v>
      </c>
      <c r="I40" s="17" t="s">
        <v>82</v>
      </c>
      <c r="J40" s="18">
        <v>549.5</v>
      </c>
      <c r="K40" s="19">
        <v>0</v>
      </c>
      <c r="L40" s="26">
        <f t="shared" si="1"/>
        <v>0</v>
      </c>
      <c r="M40" s="27"/>
      <c r="N40" s="27"/>
      <c r="O40" s="22"/>
      <c r="P40" s="16">
        <v>46220.683657407404</v>
      </c>
      <c r="Q40" s="16">
        <v>46220</v>
      </c>
      <c r="R40" s="21" t="s">
        <v>19</v>
      </c>
      <c r="S40" s="21" t="s">
        <v>83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</row>
    <row r="41" spans="1:45" s="24" customFormat="1" ht="13.9" hidden="1" customHeight="1" x14ac:dyDescent="0.35">
      <c r="A41" s="13" t="s">
        <v>103</v>
      </c>
      <c r="B41" s="13" t="s">
        <v>104</v>
      </c>
      <c r="C41" s="13">
        <v>30483</v>
      </c>
      <c r="D41" s="14" t="s">
        <v>25</v>
      </c>
      <c r="E41" s="15" t="s">
        <v>26</v>
      </c>
      <c r="F41" s="16">
        <v>46223</v>
      </c>
      <c r="G41" s="16">
        <v>46222</v>
      </c>
      <c r="H41" s="13">
        <v>1196</v>
      </c>
      <c r="I41" s="17" t="s">
        <v>97</v>
      </c>
      <c r="J41" s="18">
        <v>3775.24</v>
      </c>
      <c r="K41" s="19">
        <v>188.76</v>
      </c>
      <c r="L41" s="26">
        <f t="shared" si="1"/>
        <v>4.9999470232356087</v>
      </c>
      <c r="M41" s="27"/>
      <c r="N41" s="27"/>
      <c r="O41" s="22"/>
      <c r="P41" s="16">
        <v>46223.432604166665</v>
      </c>
      <c r="Q41" s="16">
        <v>46223</v>
      </c>
      <c r="R41" s="21" t="s">
        <v>19</v>
      </c>
      <c r="S41" s="21" t="s">
        <v>98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</row>
    <row r="42" spans="1:45" s="24" customFormat="1" ht="13.9" hidden="1" customHeight="1" x14ac:dyDescent="0.35">
      <c r="A42" s="13" t="s">
        <v>103</v>
      </c>
      <c r="B42" s="13" t="s">
        <v>104</v>
      </c>
      <c r="C42" s="13">
        <v>30488</v>
      </c>
      <c r="D42" s="14" t="s">
        <v>25</v>
      </c>
      <c r="E42" s="15" t="s">
        <v>26</v>
      </c>
      <c r="F42" s="16">
        <v>46223</v>
      </c>
      <c r="G42" s="16">
        <v>46222</v>
      </c>
      <c r="H42" s="13">
        <v>1198</v>
      </c>
      <c r="I42" s="17" t="s">
        <v>97</v>
      </c>
      <c r="J42" s="18">
        <v>3752.36</v>
      </c>
      <c r="K42" s="19">
        <v>187.61</v>
      </c>
      <c r="L42" s="26">
        <f t="shared" si="1"/>
        <v>4.9997868008400044</v>
      </c>
      <c r="M42" s="27"/>
      <c r="N42" s="27"/>
      <c r="O42" s="22" t="s">
        <v>92</v>
      </c>
      <c r="P42" s="16">
        <v>46223.469340277778</v>
      </c>
      <c r="Q42" s="16">
        <v>46223</v>
      </c>
      <c r="R42" s="21" t="s">
        <v>19</v>
      </c>
      <c r="S42" s="21" t="s">
        <v>98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</row>
    <row r="43" spans="1:45" s="24" customFormat="1" ht="13.9" hidden="1" customHeight="1" x14ac:dyDescent="0.35">
      <c r="A43" s="13" t="s">
        <v>103</v>
      </c>
      <c r="B43" s="13" t="s">
        <v>104</v>
      </c>
      <c r="C43" s="13">
        <v>30478</v>
      </c>
      <c r="D43" s="14" t="s">
        <v>44</v>
      </c>
      <c r="E43" s="15" t="s">
        <v>45</v>
      </c>
      <c r="F43" s="16">
        <v>46220</v>
      </c>
      <c r="G43" s="16">
        <v>46220</v>
      </c>
      <c r="H43" s="13">
        <v>224947</v>
      </c>
      <c r="I43" s="17" t="s">
        <v>46</v>
      </c>
      <c r="J43" s="18">
        <v>15992.07</v>
      </c>
      <c r="K43" s="19">
        <v>799.6</v>
      </c>
      <c r="L43" s="26">
        <f t="shared" ref="L43:L49" si="2">K43/J43*100</f>
        <v>4.9999781141528272</v>
      </c>
      <c r="M43" s="27"/>
      <c r="N43" s="27"/>
      <c r="O43" s="22"/>
      <c r="P43" s="16">
        <v>46220.706724537034</v>
      </c>
      <c r="Q43" s="16">
        <v>46220</v>
      </c>
      <c r="R43" s="21" t="s">
        <v>19</v>
      </c>
      <c r="S43" s="21" t="s">
        <v>47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</row>
    <row r="44" spans="1:45" s="24" customFormat="1" ht="13.9" hidden="1" customHeight="1" x14ac:dyDescent="0.35">
      <c r="A44" s="13" t="s">
        <v>105</v>
      </c>
      <c r="B44" s="13" t="s">
        <v>106</v>
      </c>
      <c r="C44" s="13">
        <v>23565</v>
      </c>
      <c r="D44" s="14" t="s">
        <v>107</v>
      </c>
      <c r="E44" s="15" t="s">
        <v>108</v>
      </c>
      <c r="F44" s="16">
        <v>46213</v>
      </c>
      <c r="G44" s="16">
        <v>46209</v>
      </c>
      <c r="H44" s="13">
        <v>59</v>
      </c>
      <c r="I44" s="17" t="s">
        <v>109</v>
      </c>
      <c r="J44" s="18">
        <v>70000</v>
      </c>
      <c r="K44" s="19">
        <v>3031</v>
      </c>
      <c r="L44" s="20">
        <f t="shared" si="2"/>
        <v>4.33</v>
      </c>
      <c r="M44" s="27"/>
      <c r="N44" s="27"/>
      <c r="O44" s="22"/>
      <c r="P44" s="16">
        <v>46213.633379629631</v>
      </c>
      <c r="Q44" s="16">
        <v>46213</v>
      </c>
      <c r="R44" s="21" t="s">
        <v>19</v>
      </c>
      <c r="S44" s="21" t="s">
        <v>20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</row>
    <row r="45" spans="1:45" s="24" customFormat="1" ht="13.9" hidden="1" customHeight="1" x14ac:dyDescent="0.35">
      <c r="A45" s="13" t="s">
        <v>105</v>
      </c>
      <c r="B45" s="13" t="s">
        <v>106</v>
      </c>
      <c r="C45" s="13">
        <v>23600</v>
      </c>
      <c r="D45" s="14" t="s">
        <v>25</v>
      </c>
      <c r="E45" s="15" t="s">
        <v>26</v>
      </c>
      <c r="F45" s="16">
        <v>46218</v>
      </c>
      <c r="G45" s="16">
        <v>46218</v>
      </c>
      <c r="H45" s="13">
        <v>1191</v>
      </c>
      <c r="I45" s="17" t="s">
        <v>97</v>
      </c>
      <c r="J45" s="18">
        <v>4700.7700000000004</v>
      </c>
      <c r="K45" s="19">
        <v>235.04</v>
      </c>
      <c r="L45" s="26">
        <f t="shared" si="2"/>
        <v>5.0000319096658625</v>
      </c>
      <c r="M45" s="27"/>
      <c r="N45" s="27"/>
      <c r="O45" s="22" t="s">
        <v>110</v>
      </c>
      <c r="P45" s="16">
        <v>46218.840474537035</v>
      </c>
      <c r="Q45" s="16">
        <v>46218</v>
      </c>
      <c r="R45" s="21" t="s">
        <v>19</v>
      </c>
      <c r="S45" s="21" t="s">
        <v>98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</row>
    <row r="46" spans="1:45" s="24" customFormat="1" ht="13.9" hidden="1" customHeight="1" x14ac:dyDescent="0.35">
      <c r="A46" s="13" t="s">
        <v>105</v>
      </c>
      <c r="B46" s="13" t="s">
        <v>106</v>
      </c>
      <c r="C46" s="13">
        <v>23630</v>
      </c>
      <c r="D46" s="14" t="s">
        <v>29</v>
      </c>
      <c r="E46" s="15" t="s">
        <v>30</v>
      </c>
      <c r="F46" s="16">
        <v>46224</v>
      </c>
      <c r="G46" s="16">
        <v>46219</v>
      </c>
      <c r="H46" s="13">
        <v>1967</v>
      </c>
      <c r="I46" s="17" t="s">
        <v>31</v>
      </c>
      <c r="J46" s="18">
        <v>2041.67</v>
      </c>
      <c r="K46" s="19">
        <v>0</v>
      </c>
      <c r="L46" s="26">
        <f t="shared" si="2"/>
        <v>0</v>
      </c>
      <c r="M46" s="27"/>
      <c r="N46" s="27"/>
      <c r="O46" s="22"/>
      <c r="P46" s="16">
        <v>46224.63553240741</v>
      </c>
      <c r="Q46" s="16">
        <v>46224</v>
      </c>
      <c r="R46" s="21" t="s">
        <v>19</v>
      </c>
      <c r="S46" s="21" t="s">
        <v>52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</row>
    <row r="47" spans="1:45" s="24" customFormat="1" ht="13.9" hidden="1" customHeight="1" x14ac:dyDescent="0.35">
      <c r="A47" s="13" t="s">
        <v>105</v>
      </c>
      <c r="B47" s="13" t="s">
        <v>106</v>
      </c>
      <c r="C47" s="13">
        <v>23599</v>
      </c>
      <c r="D47" s="14" t="s">
        <v>111</v>
      </c>
      <c r="E47" s="15" t="s">
        <v>112</v>
      </c>
      <c r="F47" s="16">
        <v>46218</v>
      </c>
      <c r="G47" s="16">
        <v>46218</v>
      </c>
      <c r="H47" s="13">
        <v>2164</v>
      </c>
      <c r="I47" s="17" t="s">
        <v>113</v>
      </c>
      <c r="J47" s="18">
        <v>1194.21</v>
      </c>
      <c r="K47" s="19">
        <v>59.71</v>
      </c>
      <c r="L47" s="26">
        <f t="shared" si="2"/>
        <v>4.9999581313169372</v>
      </c>
      <c r="M47" s="27"/>
      <c r="N47" s="27"/>
      <c r="O47" s="22"/>
      <c r="P47" s="16">
        <v>46218.695092592592</v>
      </c>
      <c r="Q47" s="16">
        <v>46218</v>
      </c>
      <c r="R47" s="21" t="s">
        <v>19</v>
      </c>
      <c r="S47" s="21" t="s">
        <v>114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</row>
    <row r="48" spans="1:45" s="24" customFormat="1" ht="13.9" hidden="1" customHeight="1" x14ac:dyDescent="0.35">
      <c r="A48" s="13" t="s">
        <v>105</v>
      </c>
      <c r="B48" s="13" t="s">
        <v>106</v>
      </c>
      <c r="C48" s="13">
        <v>23601</v>
      </c>
      <c r="D48" s="14" t="s">
        <v>44</v>
      </c>
      <c r="E48" s="15" t="s">
        <v>45</v>
      </c>
      <c r="F48" s="16">
        <v>46218</v>
      </c>
      <c r="G48" s="16">
        <v>46218</v>
      </c>
      <c r="H48" s="13">
        <v>29089</v>
      </c>
      <c r="I48" s="17" t="s">
        <v>93</v>
      </c>
      <c r="J48" s="18">
        <v>23366.26</v>
      </c>
      <c r="K48" s="19">
        <v>1168.31</v>
      </c>
      <c r="L48" s="26">
        <f t="shared" si="2"/>
        <v>4.9999871609748414</v>
      </c>
      <c r="M48" s="27"/>
      <c r="N48" s="27"/>
      <c r="O48" s="22"/>
      <c r="P48" s="16">
        <v>46218.842222222222</v>
      </c>
      <c r="Q48" s="16">
        <v>46218</v>
      </c>
      <c r="R48" s="21" t="s">
        <v>19</v>
      </c>
      <c r="S48" s="21" t="s">
        <v>94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</row>
    <row r="49" spans="1:45" s="24" customFormat="1" ht="13.9" hidden="1" customHeight="1" x14ac:dyDescent="0.35">
      <c r="A49" s="13" t="s">
        <v>105</v>
      </c>
      <c r="B49" s="13" t="s">
        <v>106</v>
      </c>
      <c r="C49" s="13">
        <v>23609</v>
      </c>
      <c r="D49" s="14" t="s">
        <v>44</v>
      </c>
      <c r="E49" s="15" t="s">
        <v>45</v>
      </c>
      <c r="F49" s="16">
        <v>46220</v>
      </c>
      <c r="G49" s="16">
        <v>46220</v>
      </c>
      <c r="H49" s="13">
        <v>224949</v>
      </c>
      <c r="I49" s="17" t="s">
        <v>46</v>
      </c>
      <c r="J49" s="18">
        <v>7330.58</v>
      </c>
      <c r="K49" s="19">
        <v>366.53</v>
      </c>
      <c r="L49" s="26">
        <f t="shared" si="2"/>
        <v>5.0000136414853937</v>
      </c>
      <c r="M49" s="27"/>
      <c r="N49" s="27"/>
      <c r="O49" s="22"/>
      <c r="P49" s="16">
        <v>46220.778831018521</v>
      </c>
      <c r="Q49" s="16">
        <v>46220</v>
      </c>
      <c r="R49" s="21" t="s">
        <v>19</v>
      </c>
      <c r="S49" s="21" t="s">
        <v>47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</row>
    <row r="50" spans="1:45" s="24" customFormat="1" ht="13.9" hidden="1" customHeight="1" x14ac:dyDescent="0.35">
      <c r="A50" s="13" t="s">
        <v>117</v>
      </c>
      <c r="B50" s="13" t="s">
        <v>118</v>
      </c>
      <c r="C50" s="13">
        <v>4414</v>
      </c>
      <c r="D50" s="14" t="s">
        <v>25</v>
      </c>
      <c r="E50" s="15" t="s">
        <v>26</v>
      </c>
      <c r="F50" s="16">
        <v>46218</v>
      </c>
      <c r="G50" s="16">
        <v>46217</v>
      </c>
      <c r="H50" s="13">
        <v>1187</v>
      </c>
      <c r="I50" s="17" t="s">
        <v>97</v>
      </c>
      <c r="J50" s="18">
        <v>2928.21</v>
      </c>
      <c r="K50" s="19">
        <v>87.85</v>
      </c>
      <c r="L50" s="26">
        <f t="shared" ref="L50:L81" si="3">K50/J50*100</f>
        <v>3.0001263570577246</v>
      </c>
      <c r="M50" s="27"/>
      <c r="N50" s="27"/>
      <c r="O50" s="22"/>
      <c r="P50" s="16">
        <v>46218.418310185189</v>
      </c>
      <c r="Q50" s="16">
        <v>46218</v>
      </c>
      <c r="R50" s="21" t="s">
        <v>19</v>
      </c>
      <c r="S50" s="21" t="s">
        <v>98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</row>
    <row r="51" spans="1:45" s="24" customFormat="1" ht="13.9" hidden="1" customHeight="1" x14ac:dyDescent="0.35">
      <c r="A51" s="13" t="s">
        <v>117</v>
      </c>
      <c r="B51" s="13" t="s">
        <v>118</v>
      </c>
      <c r="C51" s="13">
        <v>4416</v>
      </c>
      <c r="D51" s="14" t="s">
        <v>29</v>
      </c>
      <c r="E51" s="15" t="s">
        <v>30</v>
      </c>
      <c r="F51" s="16">
        <v>46224</v>
      </c>
      <c r="G51" s="16">
        <v>46219</v>
      </c>
      <c r="H51" s="13">
        <v>1973</v>
      </c>
      <c r="I51" s="17" t="s">
        <v>31</v>
      </c>
      <c r="J51" s="18">
        <v>1439.23</v>
      </c>
      <c r="K51" s="19">
        <v>0</v>
      </c>
      <c r="L51" s="26">
        <f t="shared" si="3"/>
        <v>0</v>
      </c>
      <c r="M51" s="27"/>
      <c r="N51" s="27"/>
      <c r="O51" s="22"/>
      <c r="P51" s="16">
        <v>46224.525104166663</v>
      </c>
      <c r="Q51" s="16">
        <v>46224</v>
      </c>
      <c r="R51" s="21" t="s">
        <v>19</v>
      </c>
      <c r="S51" s="21" t="s">
        <v>32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</row>
    <row r="52" spans="1:45" s="24" customFormat="1" ht="13.9" customHeight="1" x14ac:dyDescent="0.35">
      <c r="A52" s="13" t="s">
        <v>119</v>
      </c>
      <c r="B52" s="13" t="s">
        <v>120</v>
      </c>
      <c r="C52" s="13">
        <v>69680</v>
      </c>
      <c r="D52" s="14" t="s">
        <v>33</v>
      </c>
      <c r="E52" s="15" t="s">
        <v>34</v>
      </c>
      <c r="F52" s="16">
        <v>46209</v>
      </c>
      <c r="G52" s="16">
        <v>46204</v>
      </c>
      <c r="H52" s="13">
        <v>314</v>
      </c>
      <c r="I52" s="17" t="s">
        <v>121</v>
      </c>
      <c r="J52" s="18">
        <v>35579.5</v>
      </c>
      <c r="K52" s="19">
        <v>0</v>
      </c>
      <c r="L52" s="26">
        <f t="shared" si="3"/>
        <v>0</v>
      </c>
      <c r="M52" s="27"/>
      <c r="N52" s="27"/>
      <c r="O52" s="22"/>
      <c r="P52" s="16">
        <v>46209.40320601852</v>
      </c>
      <c r="Q52" s="16">
        <v>46216</v>
      </c>
      <c r="R52" s="21" t="s">
        <v>19</v>
      </c>
      <c r="S52" s="21" t="s">
        <v>122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</row>
    <row r="53" spans="1:45" s="24" customFormat="1" ht="13.9" customHeight="1" x14ac:dyDescent="0.35">
      <c r="A53" s="13" t="s">
        <v>119</v>
      </c>
      <c r="B53" s="13" t="s">
        <v>120</v>
      </c>
      <c r="C53" s="13">
        <v>69824</v>
      </c>
      <c r="D53" s="14" t="s">
        <v>33</v>
      </c>
      <c r="E53" s="15" t="s">
        <v>34</v>
      </c>
      <c r="F53" s="16">
        <v>46224</v>
      </c>
      <c r="G53" s="16">
        <v>46219</v>
      </c>
      <c r="H53" s="13">
        <v>352</v>
      </c>
      <c r="I53" s="17" t="s">
        <v>121</v>
      </c>
      <c r="J53" s="18">
        <v>38648.699999999997</v>
      </c>
      <c r="K53" s="19">
        <v>0</v>
      </c>
      <c r="L53" s="26">
        <f t="shared" si="3"/>
        <v>0</v>
      </c>
      <c r="M53" s="27"/>
      <c r="N53" s="27"/>
      <c r="O53" s="22"/>
      <c r="P53" s="16">
        <v>46224.70815972222</v>
      </c>
      <c r="Q53" s="16">
        <v>46224</v>
      </c>
      <c r="R53" s="21" t="s">
        <v>19</v>
      </c>
      <c r="S53" s="21" t="s">
        <v>122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</row>
    <row r="54" spans="1:45" s="24" customFormat="1" ht="13.9" customHeight="1" x14ac:dyDescent="0.35">
      <c r="A54" s="13" t="s">
        <v>119</v>
      </c>
      <c r="B54" s="13" t="s">
        <v>120</v>
      </c>
      <c r="C54" s="13">
        <v>69816</v>
      </c>
      <c r="D54" s="14" t="s">
        <v>29</v>
      </c>
      <c r="E54" s="15" t="s">
        <v>30</v>
      </c>
      <c r="F54" s="16">
        <v>46224</v>
      </c>
      <c r="G54" s="16">
        <v>46219</v>
      </c>
      <c r="H54" s="13">
        <v>1361</v>
      </c>
      <c r="I54" s="17" t="s">
        <v>101</v>
      </c>
      <c r="J54" s="18">
        <v>5372.72</v>
      </c>
      <c r="K54" s="19">
        <v>0</v>
      </c>
      <c r="L54" s="26">
        <f t="shared" si="3"/>
        <v>0</v>
      </c>
      <c r="M54" s="27"/>
      <c r="N54" s="27"/>
      <c r="O54" s="22"/>
      <c r="P54" s="16">
        <v>46224.482268518521</v>
      </c>
      <c r="Q54" s="16">
        <v>46224</v>
      </c>
      <c r="R54" s="21" t="s">
        <v>19</v>
      </c>
      <c r="S54" s="21" t="s">
        <v>102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</row>
    <row r="55" spans="1:45" s="24" customFormat="1" ht="13.9" customHeight="1" x14ac:dyDescent="0.35">
      <c r="A55" s="13" t="s">
        <v>119</v>
      </c>
      <c r="B55" s="13" t="s">
        <v>120</v>
      </c>
      <c r="C55" s="13">
        <v>69773</v>
      </c>
      <c r="D55" s="14" t="s">
        <v>123</v>
      </c>
      <c r="E55" s="15" t="s">
        <v>124</v>
      </c>
      <c r="F55" s="16">
        <v>46213</v>
      </c>
      <c r="G55" s="16">
        <v>46212</v>
      </c>
      <c r="H55" s="13">
        <v>1711</v>
      </c>
      <c r="I55" s="17" t="s">
        <v>125</v>
      </c>
      <c r="J55" s="18">
        <v>795.48</v>
      </c>
      <c r="K55" s="19">
        <v>39.770000000000003</v>
      </c>
      <c r="L55" s="26">
        <f t="shared" si="3"/>
        <v>4.9994971589480564</v>
      </c>
      <c r="M55" s="27"/>
      <c r="N55" s="27"/>
      <c r="O55" s="22"/>
      <c r="P55" s="16">
        <v>46213.445798611108</v>
      </c>
      <c r="Q55" s="16">
        <v>46213</v>
      </c>
      <c r="R55" s="21" t="s">
        <v>19</v>
      </c>
      <c r="S55" s="21" t="s">
        <v>126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spans="1:45" s="24" customFormat="1" ht="13.9" customHeight="1" x14ac:dyDescent="0.35">
      <c r="A56" s="13" t="s">
        <v>119</v>
      </c>
      <c r="B56" s="13" t="s">
        <v>120</v>
      </c>
      <c r="C56" s="13">
        <v>69790</v>
      </c>
      <c r="D56" s="14" t="s">
        <v>127</v>
      </c>
      <c r="E56" s="15" t="s">
        <v>112</v>
      </c>
      <c r="F56" s="16">
        <v>46219</v>
      </c>
      <c r="G56" s="16">
        <v>46217</v>
      </c>
      <c r="H56" s="13">
        <v>11230</v>
      </c>
      <c r="I56" s="17" t="s">
        <v>128</v>
      </c>
      <c r="J56" s="18">
        <v>54719.72</v>
      </c>
      <c r="K56" s="19">
        <v>2735.99</v>
      </c>
      <c r="L56" s="26">
        <f t="shared" si="3"/>
        <v>5.0000073099789244</v>
      </c>
      <c r="M56" s="27"/>
      <c r="N56" s="27"/>
      <c r="O56" s="22"/>
      <c r="P56" s="16">
        <v>46219.507175925923</v>
      </c>
      <c r="Q56" s="16">
        <v>46219</v>
      </c>
      <c r="R56" s="21" t="s">
        <v>19</v>
      </c>
      <c r="S56" s="21" t="s">
        <v>129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spans="1:45" s="24" customFormat="1" ht="13.9" hidden="1" customHeight="1" x14ac:dyDescent="0.35">
      <c r="A57" s="13" t="s">
        <v>130</v>
      </c>
      <c r="B57" s="13" t="s">
        <v>131</v>
      </c>
      <c r="C57" s="13">
        <v>31238</v>
      </c>
      <c r="D57" s="14" t="s">
        <v>29</v>
      </c>
      <c r="E57" s="15" t="s">
        <v>30</v>
      </c>
      <c r="F57" s="16">
        <v>46220</v>
      </c>
      <c r="G57" s="16">
        <v>46217</v>
      </c>
      <c r="H57" s="13">
        <v>700</v>
      </c>
      <c r="I57" s="17" t="s">
        <v>82</v>
      </c>
      <c r="J57" s="18">
        <v>549.5</v>
      </c>
      <c r="K57" s="19">
        <v>0</v>
      </c>
      <c r="L57" s="26">
        <f t="shared" si="3"/>
        <v>0</v>
      </c>
      <c r="M57" s="27"/>
      <c r="N57" s="27"/>
      <c r="O57" s="22"/>
      <c r="P57" s="16">
        <v>46220.697175925925</v>
      </c>
      <c r="Q57" s="16">
        <v>46220</v>
      </c>
      <c r="R57" s="21" t="s">
        <v>19</v>
      </c>
      <c r="S57" s="21" t="s">
        <v>83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</row>
    <row r="58" spans="1:45" ht="13.9" hidden="1" customHeight="1" x14ac:dyDescent="0.35">
      <c r="A58" s="13" t="s">
        <v>130</v>
      </c>
      <c r="B58" s="13" t="s">
        <v>131</v>
      </c>
      <c r="C58" s="13">
        <v>31192</v>
      </c>
      <c r="D58" s="14" t="s">
        <v>38</v>
      </c>
      <c r="E58" s="15" t="s">
        <v>39</v>
      </c>
      <c r="F58" s="16">
        <v>46213</v>
      </c>
      <c r="G58" s="16">
        <v>46205</v>
      </c>
      <c r="H58" s="13">
        <v>2638</v>
      </c>
      <c r="I58" s="17" t="s">
        <v>132</v>
      </c>
      <c r="J58" s="18">
        <v>519.9</v>
      </c>
      <c r="K58" s="19">
        <v>17.64</v>
      </c>
      <c r="L58" s="26">
        <f t="shared" si="3"/>
        <v>3.392960184650895</v>
      </c>
      <c r="M58" s="27"/>
      <c r="N58" s="27"/>
      <c r="O58" s="22"/>
      <c r="P58" s="16">
        <v>46213.462951388887</v>
      </c>
      <c r="Q58" s="16">
        <v>46213</v>
      </c>
      <c r="R58" s="21" t="s">
        <v>19</v>
      </c>
      <c r="S58" s="21" t="s">
        <v>133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</row>
    <row r="59" spans="1:45" ht="13.9" hidden="1" customHeight="1" x14ac:dyDescent="0.35">
      <c r="A59" s="13" t="s">
        <v>130</v>
      </c>
      <c r="B59" s="13" t="s">
        <v>131</v>
      </c>
      <c r="C59" s="13">
        <v>31224</v>
      </c>
      <c r="D59" s="14" t="s">
        <v>44</v>
      </c>
      <c r="E59" s="15" t="s">
        <v>45</v>
      </c>
      <c r="F59" s="16">
        <v>46219</v>
      </c>
      <c r="G59" s="16">
        <v>46218</v>
      </c>
      <c r="H59" s="13">
        <v>29088</v>
      </c>
      <c r="I59" s="17" t="s">
        <v>93</v>
      </c>
      <c r="J59" s="18">
        <v>6881.6</v>
      </c>
      <c r="K59" s="19">
        <v>344.08</v>
      </c>
      <c r="L59" s="26">
        <f t="shared" si="3"/>
        <v>5</v>
      </c>
      <c r="M59" s="27"/>
      <c r="N59" s="27"/>
      <c r="O59" s="22"/>
      <c r="P59" s="16">
        <v>46219.538032407407</v>
      </c>
      <c r="Q59" s="16">
        <v>46219</v>
      </c>
      <c r="R59" s="21" t="s">
        <v>19</v>
      </c>
      <c r="S59" s="21" t="s">
        <v>94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</row>
    <row r="60" spans="1:45" s="24" customFormat="1" ht="13.9" hidden="1" customHeight="1" x14ac:dyDescent="0.35">
      <c r="A60" s="13" t="s">
        <v>130</v>
      </c>
      <c r="B60" s="13" t="s">
        <v>131</v>
      </c>
      <c r="C60" s="13">
        <v>31239</v>
      </c>
      <c r="D60" s="14" t="s">
        <v>44</v>
      </c>
      <c r="E60" s="15" t="s">
        <v>45</v>
      </c>
      <c r="F60" s="16">
        <v>46220</v>
      </c>
      <c r="G60" s="16">
        <v>46220</v>
      </c>
      <c r="H60" s="13">
        <v>224948</v>
      </c>
      <c r="I60" s="17" t="s">
        <v>46</v>
      </c>
      <c r="J60" s="18">
        <v>9959.58</v>
      </c>
      <c r="K60" s="19">
        <v>497.97</v>
      </c>
      <c r="L60" s="26">
        <f t="shared" si="3"/>
        <v>4.9999096347436343</v>
      </c>
      <c r="M60" s="27"/>
      <c r="N60" s="27"/>
      <c r="O60" s="22" t="s">
        <v>92</v>
      </c>
      <c r="P60" s="16">
        <v>46220.773402777777</v>
      </c>
      <c r="Q60" s="16">
        <v>46220</v>
      </c>
      <c r="R60" s="21" t="s">
        <v>19</v>
      </c>
      <c r="S60" s="21" t="s">
        <v>47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</row>
    <row r="61" spans="1:45" s="24" customFormat="1" ht="13.9" hidden="1" customHeight="1" x14ac:dyDescent="0.35">
      <c r="A61" s="13" t="s">
        <v>130</v>
      </c>
      <c r="B61" s="13" t="s">
        <v>131</v>
      </c>
      <c r="C61" s="13">
        <v>31205</v>
      </c>
      <c r="D61" s="14" t="s">
        <v>62</v>
      </c>
      <c r="E61" s="15" t="s">
        <v>63</v>
      </c>
      <c r="F61" s="16">
        <v>46217</v>
      </c>
      <c r="G61" s="16">
        <v>46216</v>
      </c>
      <c r="H61" s="13">
        <v>1006718</v>
      </c>
      <c r="I61" s="17" t="s">
        <v>84</v>
      </c>
      <c r="J61" s="18">
        <v>4964.68</v>
      </c>
      <c r="K61" s="19">
        <v>248.23</v>
      </c>
      <c r="L61" s="26">
        <f t="shared" si="3"/>
        <v>4.9999194308595918</v>
      </c>
      <c r="M61" s="27"/>
      <c r="N61" s="27"/>
      <c r="O61" s="22"/>
      <c r="P61" s="16">
        <v>46217.434282407405</v>
      </c>
      <c r="Q61" s="16">
        <v>46217</v>
      </c>
      <c r="R61" s="21" t="s">
        <v>19</v>
      </c>
      <c r="S61" s="21" t="s">
        <v>85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</row>
    <row r="62" spans="1:45" s="24" customFormat="1" ht="13.9" hidden="1" customHeight="1" x14ac:dyDescent="0.35">
      <c r="A62" s="13" t="s">
        <v>136</v>
      </c>
      <c r="B62" s="13" t="s">
        <v>137</v>
      </c>
      <c r="C62" s="13">
        <v>54319</v>
      </c>
      <c r="D62" s="14" t="s">
        <v>54</v>
      </c>
      <c r="E62" s="15" t="s">
        <v>55</v>
      </c>
      <c r="F62" s="16">
        <v>46220</v>
      </c>
      <c r="G62" s="16">
        <v>46220</v>
      </c>
      <c r="H62" s="13">
        <v>67</v>
      </c>
      <c r="I62" s="17" t="s">
        <v>56</v>
      </c>
      <c r="J62" s="18">
        <v>9016.6200000000008</v>
      </c>
      <c r="K62" s="19">
        <v>450.83</v>
      </c>
      <c r="L62" s="20">
        <f t="shared" si="3"/>
        <v>4.999988909369586</v>
      </c>
      <c r="M62" s="27"/>
      <c r="N62" s="27"/>
      <c r="O62" s="22"/>
      <c r="P62" s="16">
        <v>46220.775173611109</v>
      </c>
      <c r="Q62" s="16">
        <v>46220</v>
      </c>
      <c r="R62" s="21" t="s">
        <v>19</v>
      </c>
      <c r="S62" s="21" t="s">
        <v>57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</row>
    <row r="63" spans="1:45" s="24" customFormat="1" ht="13.9" hidden="1" customHeight="1" x14ac:dyDescent="0.35">
      <c r="A63" s="13" t="s">
        <v>136</v>
      </c>
      <c r="B63" s="13" t="s">
        <v>137</v>
      </c>
      <c r="C63" s="13">
        <v>54300</v>
      </c>
      <c r="D63" s="14" t="s">
        <v>36</v>
      </c>
      <c r="E63" s="15" t="s">
        <v>37</v>
      </c>
      <c r="F63" s="16">
        <v>46219</v>
      </c>
      <c r="G63" s="16">
        <v>46219</v>
      </c>
      <c r="H63" s="13">
        <v>104</v>
      </c>
      <c r="I63" s="17" t="s">
        <v>138</v>
      </c>
      <c r="J63" s="18">
        <v>765</v>
      </c>
      <c r="K63" s="19">
        <v>0</v>
      </c>
      <c r="L63" s="20">
        <f t="shared" si="3"/>
        <v>0</v>
      </c>
      <c r="M63" s="27"/>
      <c r="N63" s="27"/>
      <c r="O63" s="22"/>
      <c r="P63" s="16">
        <v>46219.677476851852</v>
      </c>
      <c r="Q63" s="16">
        <v>46219</v>
      </c>
      <c r="R63" s="21" t="s">
        <v>19</v>
      </c>
      <c r="S63" s="21" t="s">
        <v>20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</row>
    <row r="64" spans="1:45" s="24" customFormat="1" ht="33.5" hidden="1" customHeight="1" x14ac:dyDescent="0.35">
      <c r="A64" s="13" t="s">
        <v>136</v>
      </c>
      <c r="B64" s="13" t="s">
        <v>137</v>
      </c>
      <c r="C64" s="13">
        <v>54361</v>
      </c>
      <c r="D64" s="14" t="s">
        <v>38</v>
      </c>
      <c r="E64" s="15" t="s">
        <v>39</v>
      </c>
      <c r="F64" s="16">
        <v>46227</v>
      </c>
      <c r="G64" s="16">
        <v>46217</v>
      </c>
      <c r="H64" s="13">
        <v>113</v>
      </c>
      <c r="I64" s="17" t="s">
        <v>139</v>
      </c>
      <c r="J64" s="18">
        <v>13942.03</v>
      </c>
      <c r="K64" s="19">
        <v>0</v>
      </c>
      <c r="L64" s="20">
        <f t="shared" si="3"/>
        <v>0</v>
      </c>
      <c r="M64" s="27"/>
      <c r="N64" s="27"/>
      <c r="O64" s="22"/>
      <c r="P64" s="16">
        <v>46227.45449074074</v>
      </c>
      <c r="Q64" s="16">
        <v>46227</v>
      </c>
      <c r="R64" s="21" t="s">
        <v>19</v>
      </c>
      <c r="S64" s="21" t="s">
        <v>20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</row>
    <row r="65" spans="1:45" s="24" customFormat="1" ht="13.9" hidden="1" customHeight="1" x14ac:dyDescent="0.35">
      <c r="A65" s="13" t="s">
        <v>136</v>
      </c>
      <c r="B65" s="13" t="s">
        <v>137</v>
      </c>
      <c r="C65" s="13">
        <v>54383</v>
      </c>
      <c r="D65" s="14" t="s">
        <v>40</v>
      </c>
      <c r="E65" s="15" t="s">
        <v>41</v>
      </c>
      <c r="F65" s="16">
        <v>46232</v>
      </c>
      <c r="G65" s="16">
        <v>46212</v>
      </c>
      <c r="H65" s="13">
        <v>114</v>
      </c>
      <c r="I65" s="17" t="s">
        <v>140</v>
      </c>
      <c r="J65" s="18">
        <v>3900</v>
      </c>
      <c r="K65" s="19">
        <v>0</v>
      </c>
      <c r="L65" s="20">
        <f t="shared" si="3"/>
        <v>0</v>
      </c>
      <c r="M65" s="27"/>
      <c r="N65" s="27"/>
      <c r="O65" s="22"/>
      <c r="P65" s="16">
        <v>46232.412256944444</v>
      </c>
      <c r="Q65" s="16">
        <v>46232</v>
      </c>
      <c r="R65" s="21" t="s">
        <v>19</v>
      </c>
      <c r="S65" s="21" t="s">
        <v>20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</row>
    <row r="66" spans="1:45" s="24" customFormat="1" ht="53.5" hidden="1" customHeight="1" x14ac:dyDescent="0.35">
      <c r="A66" s="13" t="s">
        <v>136</v>
      </c>
      <c r="B66" s="13" t="s">
        <v>137</v>
      </c>
      <c r="C66" s="13">
        <v>54317</v>
      </c>
      <c r="D66" s="14" t="s">
        <v>29</v>
      </c>
      <c r="E66" s="15" t="s">
        <v>30</v>
      </c>
      <c r="F66" s="16">
        <v>46220</v>
      </c>
      <c r="G66" s="16">
        <v>46217</v>
      </c>
      <c r="H66" s="13">
        <v>698</v>
      </c>
      <c r="I66" s="17" t="s">
        <v>82</v>
      </c>
      <c r="J66" s="18">
        <v>3297</v>
      </c>
      <c r="K66" s="19">
        <v>0</v>
      </c>
      <c r="L66" s="26">
        <f t="shared" si="3"/>
        <v>0</v>
      </c>
      <c r="M66" s="27"/>
      <c r="N66" s="27"/>
      <c r="O66" s="22"/>
      <c r="P66" s="16">
        <v>46220.684791666667</v>
      </c>
      <c r="Q66" s="16">
        <v>46220</v>
      </c>
      <c r="R66" s="21" t="s">
        <v>19</v>
      </c>
      <c r="S66" s="21" t="s">
        <v>83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</row>
    <row r="67" spans="1:45" s="24" customFormat="1" ht="13.9" hidden="1" customHeight="1" x14ac:dyDescent="0.35">
      <c r="A67" s="13" t="s">
        <v>136</v>
      </c>
      <c r="B67" s="13" t="s">
        <v>137</v>
      </c>
      <c r="C67" s="13">
        <v>54066</v>
      </c>
      <c r="D67" s="14" t="s">
        <v>38</v>
      </c>
      <c r="E67" s="15" t="s">
        <v>39</v>
      </c>
      <c r="F67" s="16">
        <v>46205</v>
      </c>
      <c r="G67" s="16">
        <v>46205</v>
      </c>
      <c r="H67" s="13">
        <v>705</v>
      </c>
      <c r="I67" s="17" t="s">
        <v>141</v>
      </c>
      <c r="J67" s="18">
        <v>390</v>
      </c>
      <c r="K67" s="19">
        <v>0</v>
      </c>
      <c r="L67" s="26">
        <f t="shared" si="3"/>
        <v>0</v>
      </c>
      <c r="M67" s="27"/>
      <c r="N67" s="27"/>
      <c r="O67" s="22"/>
      <c r="P67" s="16">
        <v>46205.664467592593</v>
      </c>
      <c r="Q67" s="16">
        <v>46205</v>
      </c>
      <c r="R67" s="21" t="s">
        <v>19</v>
      </c>
      <c r="S67" s="21" t="s">
        <v>142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</row>
    <row r="68" spans="1:45" s="24" customFormat="1" ht="31" hidden="1" x14ac:dyDescent="0.35">
      <c r="A68" s="13" t="s">
        <v>136</v>
      </c>
      <c r="B68" s="13" t="s">
        <v>137</v>
      </c>
      <c r="C68" s="13">
        <v>54282</v>
      </c>
      <c r="D68" s="14" t="s">
        <v>25</v>
      </c>
      <c r="E68" s="15" t="s">
        <v>26</v>
      </c>
      <c r="F68" s="16">
        <v>46217</v>
      </c>
      <c r="G68" s="16">
        <v>46217</v>
      </c>
      <c r="H68" s="13">
        <v>1188</v>
      </c>
      <c r="I68" s="17" t="s">
        <v>97</v>
      </c>
      <c r="J68" s="18">
        <v>13147.26</v>
      </c>
      <c r="K68" s="19">
        <v>328.68</v>
      </c>
      <c r="L68" s="26">
        <f t="shared" si="3"/>
        <v>2.499988590778611</v>
      </c>
      <c r="M68" s="27">
        <v>328.68</v>
      </c>
      <c r="N68" s="27"/>
      <c r="O68" s="22" t="s">
        <v>143</v>
      </c>
      <c r="P68" s="16">
        <v>46217.689004629632</v>
      </c>
      <c r="Q68" s="16">
        <v>46217</v>
      </c>
      <c r="R68" s="21" t="s">
        <v>19</v>
      </c>
      <c r="S68" s="21" t="s">
        <v>98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</row>
    <row r="69" spans="1:45" s="24" customFormat="1" ht="13.9" hidden="1" customHeight="1" x14ac:dyDescent="0.35">
      <c r="A69" s="13" t="s">
        <v>136</v>
      </c>
      <c r="B69" s="13" t="s">
        <v>137</v>
      </c>
      <c r="C69" s="13">
        <v>54316</v>
      </c>
      <c r="D69" s="14" t="s">
        <v>44</v>
      </c>
      <c r="E69" s="15" t="s">
        <v>45</v>
      </c>
      <c r="F69" s="16">
        <v>46220</v>
      </c>
      <c r="G69" s="16">
        <v>46220</v>
      </c>
      <c r="H69" s="13">
        <v>224950</v>
      </c>
      <c r="I69" s="17" t="s">
        <v>46</v>
      </c>
      <c r="J69" s="18">
        <v>18221.36</v>
      </c>
      <c r="K69" s="19">
        <v>911.07</v>
      </c>
      <c r="L69" s="26">
        <f t="shared" si="3"/>
        <v>5.000010976129114</v>
      </c>
      <c r="M69" s="27"/>
      <c r="N69" s="27"/>
      <c r="O69" s="22"/>
      <c r="P69" s="16">
        <v>46220.68476851852</v>
      </c>
      <c r="Q69" s="16">
        <v>46220</v>
      </c>
      <c r="R69" s="21" t="s">
        <v>19</v>
      </c>
      <c r="S69" s="21" t="s">
        <v>47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</row>
    <row r="70" spans="1:45" s="24" customFormat="1" ht="13.9" hidden="1" customHeight="1" x14ac:dyDescent="0.35">
      <c r="A70" s="13" t="s">
        <v>144</v>
      </c>
      <c r="B70" s="13" t="s">
        <v>145</v>
      </c>
      <c r="C70" s="13">
        <v>27774</v>
      </c>
      <c r="D70" s="14" t="s">
        <v>29</v>
      </c>
      <c r="E70" s="15" t="s">
        <v>30</v>
      </c>
      <c r="F70" s="16">
        <v>46220</v>
      </c>
      <c r="G70" s="16">
        <v>46217</v>
      </c>
      <c r="H70" s="13">
        <v>703</v>
      </c>
      <c r="I70" s="17" t="s">
        <v>82</v>
      </c>
      <c r="J70" s="18">
        <v>549.5</v>
      </c>
      <c r="K70" s="19">
        <v>0</v>
      </c>
      <c r="L70" s="26">
        <f t="shared" si="3"/>
        <v>0</v>
      </c>
      <c r="M70" s="27"/>
      <c r="N70" s="27"/>
      <c r="O70" s="22"/>
      <c r="P70" s="16">
        <v>46220.684733796297</v>
      </c>
      <c r="Q70" s="16">
        <v>46220</v>
      </c>
      <c r="R70" s="21" t="s">
        <v>19</v>
      </c>
      <c r="S70" s="21" t="s">
        <v>83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</row>
    <row r="71" spans="1:45" s="24" customFormat="1" ht="13.9" hidden="1" customHeight="1" x14ac:dyDescent="0.35">
      <c r="A71" s="13" t="s">
        <v>144</v>
      </c>
      <c r="B71" s="13" t="s">
        <v>145</v>
      </c>
      <c r="C71" s="13">
        <v>27739</v>
      </c>
      <c r="D71" s="14" t="s">
        <v>25</v>
      </c>
      <c r="E71" s="15" t="s">
        <v>26</v>
      </c>
      <c r="F71" s="16">
        <v>46217</v>
      </c>
      <c r="G71" s="16">
        <v>46217</v>
      </c>
      <c r="H71" s="13">
        <v>1186</v>
      </c>
      <c r="I71" s="17" t="s">
        <v>97</v>
      </c>
      <c r="J71" s="18">
        <v>5092.47</v>
      </c>
      <c r="K71" s="19">
        <v>254.62</v>
      </c>
      <c r="L71" s="26">
        <f t="shared" si="3"/>
        <v>4.9999312710727803</v>
      </c>
      <c r="M71" s="27"/>
      <c r="N71" s="27">
        <v>127.31</v>
      </c>
      <c r="O71" s="22" t="s">
        <v>146</v>
      </c>
      <c r="P71" s="16">
        <v>46217.660590277781</v>
      </c>
      <c r="Q71" s="16">
        <v>46217</v>
      </c>
      <c r="R71" s="21" t="s">
        <v>19</v>
      </c>
      <c r="S71" s="21" t="s">
        <v>98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</row>
    <row r="72" spans="1:45" s="24" customFormat="1" ht="13.9" hidden="1" customHeight="1" x14ac:dyDescent="0.35">
      <c r="A72" s="13" t="s">
        <v>144</v>
      </c>
      <c r="B72" s="13" t="s">
        <v>145</v>
      </c>
      <c r="C72" s="13">
        <v>27748</v>
      </c>
      <c r="D72" s="14" t="s">
        <v>111</v>
      </c>
      <c r="E72" s="15" t="s">
        <v>112</v>
      </c>
      <c r="F72" s="16">
        <v>46218</v>
      </c>
      <c r="G72" s="16">
        <v>46218</v>
      </c>
      <c r="H72" s="13">
        <v>2163</v>
      </c>
      <c r="I72" s="17" t="s">
        <v>113</v>
      </c>
      <c r="J72" s="18">
        <v>1194.21</v>
      </c>
      <c r="K72" s="19">
        <v>29.86</v>
      </c>
      <c r="L72" s="26">
        <f t="shared" si="3"/>
        <v>2.5003977524890928</v>
      </c>
      <c r="M72" s="27"/>
      <c r="N72" s="27"/>
      <c r="O72" s="22"/>
      <c r="P72" s="16">
        <v>46218.690405092595</v>
      </c>
      <c r="Q72" s="16">
        <v>46218</v>
      </c>
      <c r="R72" s="21" t="s">
        <v>19</v>
      </c>
      <c r="S72" s="21" t="s">
        <v>114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</row>
    <row r="73" spans="1:45" s="24" customFormat="1" ht="13.9" hidden="1" customHeight="1" x14ac:dyDescent="0.35">
      <c r="A73" s="13" t="s">
        <v>144</v>
      </c>
      <c r="B73" s="13" t="s">
        <v>145</v>
      </c>
      <c r="C73" s="13">
        <v>27749</v>
      </c>
      <c r="D73" s="14" t="s">
        <v>44</v>
      </c>
      <c r="E73" s="15" t="s">
        <v>45</v>
      </c>
      <c r="F73" s="16">
        <v>46218</v>
      </c>
      <c r="G73" s="16">
        <v>46218</v>
      </c>
      <c r="H73" s="13">
        <v>29090</v>
      </c>
      <c r="I73" s="17" t="s">
        <v>93</v>
      </c>
      <c r="J73" s="18">
        <v>14360.94</v>
      </c>
      <c r="K73" s="19">
        <v>359.02</v>
      </c>
      <c r="L73" s="26">
        <f t="shared" si="3"/>
        <v>2.4999756283363062</v>
      </c>
      <c r="M73" s="27"/>
      <c r="N73" s="27"/>
      <c r="O73" s="22"/>
      <c r="P73" s="16">
        <v>46218.765543981484</v>
      </c>
      <c r="Q73" s="16">
        <v>46218</v>
      </c>
      <c r="R73" s="21" t="s">
        <v>19</v>
      </c>
      <c r="S73" s="21" t="s">
        <v>94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</row>
    <row r="74" spans="1:45" s="24" customFormat="1" ht="13.9" hidden="1" customHeight="1" x14ac:dyDescent="0.35">
      <c r="A74" s="13" t="s">
        <v>147</v>
      </c>
      <c r="B74" s="13" t="s">
        <v>148</v>
      </c>
      <c r="C74" s="13">
        <v>51042</v>
      </c>
      <c r="D74" s="14" t="s">
        <v>29</v>
      </c>
      <c r="E74" s="15" t="s">
        <v>30</v>
      </c>
      <c r="F74" s="16">
        <v>46216</v>
      </c>
      <c r="G74" s="16">
        <v>46214</v>
      </c>
      <c r="H74" s="13">
        <v>396</v>
      </c>
      <c r="I74" s="17" t="s">
        <v>149</v>
      </c>
      <c r="J74" s="18">
        <v>3768.87</v>
      </c>
      <c r="K74" s="19">
        <v>0</v>
      </c>
      <c r="L74" s="26">
        <f t="shared" si="3"/>
        <v>0</v>
      </c>
      <c r="M74" s="27"/>
      <c r="N74" s="27"/>
      <c r="O74" s="22"/>
      <c r="P74" s="16">
        <v>46216.487847222219</v>
      </c>
      <c r="Q74" s="16">
        <v>46216</v>
      </c>
      <c r="R74" s="21" t="s">
        <v>19</v>
      </c>
      <c r="S74" s="21" t="s">
        <v>150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</row>
    <row r="75" spans="1:45" s="24" customFormat="1" ht="77.5" hidden="1" x14ac:dyDescent="0.35">
      <c r="A75" s="13" t="s">
        <v>147</v>
      </c>
      <c r="B75" s="13" t="s">
        <v>148</v>
      </c>
      <c r="C75" s="13">
        <v>51071</v>
      </c>
      <c r="D75" s="14" t="s">
        <v>44</v>
      </c>
      <c r="E75" s="15" t="s">
        <v>45</v>
      </c>
      <c r="F75" s="16">
        <v>46218</v>
      </c>
      <c r="G75" s="16">
        <v>46218</v>
      </c>
      <c r="H75" s="13">
        <v>29091</v>
      </c>
      <c r="I75" s="17" t="s">
        <v>93</v>
      </c>
      <c r="J75" s="18">
        <v>7546.74</v>
      </c>
      <c r="K75" s="19">
        <v>377.34</v>
      </c>
      <c r="L75" s="26">
        <f t="shared" si="3"/>
        <v>5.0000397522638913</v>
      </c>
      <c r="M75" s="27"/>
      <c r="N75" s="27"/>
      <c r="O75" s="22"/>
      <c r="P75" s="16">
        <v>46218.7578125</v>
      </c>
      <c r="Q75" s="16">
        <v>46218</v>
      </c>
      <c r="R75" s="21" t="s">
        <v>19</v>
      </c>
      <c r="S75" s="21" t="s">
        <v>94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</row>
    <row r="76" spans="1:45" s="24" customFormat="1" ht="14.5" hidden="1" customHeight="1" x14ac:dyDescent="0.35">
      <c r="A76" s="13" t="s">
        <v>147</v>
      </c>
      <c r="B76" s="13" t="s">
        <v>148</v>
      </c>
      <c r="C76" s="13">
        <v>51087</v>
      </c>
      <c r="D76" s="14" t="s">
        <v>44</v>
      </c>
      <c r="E76" s="15" t="s">
        <v>45</v>
      </c>
      <c r="F76" s="16">
        <v>46220</v>
      </c>
      <c r="G76" s="16">
        <v>46220</v>
      </c>
      <c r="H76" s="13">
        <v>224951</v>
      </c>
      <c r="I76" s="17" t="s">
        <v>46</v>
      </c>
      <c r="J76" s="18">
        <v>4687.5200000000004</v>
      </c>
      <c r="K76" s="19">
        <v>234.38</v>
      </c>
      <c r="L76" s="26">
        <f t="shared" si="3"/>
        <v>5.0000853329692454</v>
      </c>
      <c r="M76" s="27"/>
      <c r="N76" s="27"/>
      <c r="O76" s="22"/>
      <c r="P76" s="16">
        <v>46220.684837962966</v>
      </c>
      <c r="Q76" s="16">
        <v>46220</v>
      </c>
      <c r="R76" s="21" t="s">
        <v>19</v>
      </c>
      <c r="S76" s="21" t="s">
        <v>47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</row>
    <row r="77" spans="1:45" s="24" customFormat="1" ht="85" hidden="1" customHeight="1" x14ac:dyDescent="0.35">
      <c r="A77" s="13" t="s">
        <v>147</v>
      </c>
      <c r="B77" s="13" t="s">
        <v>148</v>
      </c>
      <c r="C77" s="13">
        <v>51041</v>
      </c>
      <c r="D77" s="14" t="s">
        <v>62</v>
      </c>
      <c r="E77" s="15" t="s">
        <v>63</v>
      </c>
      <c r="F77" s="16">
        <v>46215</v>
      </c>
      <c r="G77" s="16">
        <v>46213</v>
      </c>
      <c r="H77" s="13">
        <v>1006717</v>
      </c>
      <c r="I77" s="17" t="s">
        <v>84</v>
      </c>
      <c r="J77" s="18">
        <v>5631.37</v>
      </c>
      <c r="K77" s="19">
        <v>281.57</v>
      </c>
      <c r="L77" s="26">
        <f t="shared" si="3"/>
        <v>5.0000266365023078</v>
      </c>
      <c r="M77" s="27"/>
      <c r="N77" s="27"/>
      <c r="O77" s="22"/>
      <c r="P77" s="16">
        <v>46215.435312499998</v>
      </c>
      <c r="Q77" s="16">
        <v>46215</v>
      </c>
      <c r="R77" s="21" t="s">
        <v>19</v>
      </c>
      <c r="S77" s="21" t="s">
        <v>85</v>
      </c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</row>
    <row r="78" spans="1:45" s="24" customFormat="1" ht="13.9" hidden="1" customHeight="1" x14ac:dyDescent="0.35">
      <c r="A78" s="13" t="s">
        <v>151</v>
      </c>
      <c r="B78" s="13" t="s">
        <v>152</v>
      </c>
      <c r="C78" s="13">
        <v>26130</v>
      </c>
      <c r="D78" s="14" t="s">
        <v>153</v>
      </c>
      <c r="E78" s="15" t="s">
        <v>154</v>
      </c>
      <c r="F78" s="16">
        <v>46210</v>
      </c>
      <c r="G78" s="16">
        <v>46209</v>
      </c>
      <c r="H78" s="13">
        <v>589</v>
      </c>
      <c r="I78" s="17" t="s">
        <v>155</v>
      </c>
      <c r="J78" s="18">
        <v>5069.1499999999996</v>
      </c>
      <c r="K78" s="19">
        <v>0</v>
      </c>
      <c r="L78" s="26">
        <f t="shared" si="3"/>
        <v>0</v>
      </c>
      <c r="M78" s="27"/>
      <c r="N78" s="27"/>
      <c r="O78" s="22"/>
      <c r="P78" s="16">
        <v>46210.694791666669</v>
      </c>
      <c r="Q78" s="16">
        <v>46210</v>
      </c>
      <c r="R78" s="21" t="s">
        <v>19</v>
      </c>
      <c r="S78" s="21" t="s">
        <v>156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</row>
    <row r="79" spans="1:45" s="24" customFormat="1" ht="13.9" hidden="1" customHeight="1" x14ac:dyDescent="0.35">
      <c r="A79" s="13" t="s">
        <v>151</v>
      </c>
      <c r="B79" s="13" t="s">
        <v>152</v>
      </c>
      <c r="C79" s="13">
        <v>26282</v>
      </c>
      <c r="D79" s="14" t="s">
        <v>44</v>
      </c>
      <c r="E79" s="15" t="s">
        <v>45</v>
      </c>
      <c r="F79" s="16">
        <v>46230</v>
      </c>
      <c r="G79" s="16">
        <v>46218</v>
      </c>
      <c r="H79" s="13">
        <v>881</v>
      </c>
      <c r="I79" s="17" t="s">
        <v>157</v>
      </c>
      <c r="J79" s="18">
        <v>45413.79</v>
      </c>
      <c r="K79" s="19">
        <v>2270.69</v>
      </c>
      <c r="L79" s="26">
        <f t="shared" si="3"/>
        <v>5.0000011009871672</v>
      </c>
      <c r="M79" s="27"/>
      <c r="N79" s="27"/>
      <c r="O79" s="22"/>
      <c r="P79" s="16">
        <v>46230.592499999999</v>
      </c>
      <c r="Q79" s="16">
        <v>46230</v>
      </c>
      <c r="R79" s="21" t="s">
        <v>19</v>
      </c>
      <c r="S79" s="21" t="s">
        <v>158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</row>
    <row r="80" spans="1:45" s="24" customFormat="1" ht="13.9" hidden="1" customHeight="1" x14ac:dyDescent="0.35">
      <c r="A80" s="13" t="s">
        <v>151</v>
      </c>
      <c r="B80" s="13" t="s">
        <v>152</v>
      </c>
      <c r="C80" s="13">
        <v>25964</v>
      </c>
      <c r="D80" s="14" t="s">
        <v>127</v>
      </c>
      <c r="E80" s="15" t="s">
        <v>112</v>
      </c>
      <c r="F80" s="16">
        <v>46205</v>
      </c>
      <c r="G80" s="16">
        <v>46205</v>
      </c>
      <c r="H80" s="13">
        <v>1384</v>
      </c>
      <c r="I80" s="17" t="s">
        <v>159</v>
      </c>
      <c r="J80" s="18">
        <v>57633.99</v>
      </c>
      <c r="K80" s="19">
        <v>0</v>
      </c>
      <c r="L80" s="26">
        <f t="shared" si="3"/>
        <v>0</v>
      </c>
      <c r="M80" s="27"/>
      <c r="N80" s="27"/>
      <c r="O80" s="22"/>
      <c r="P80" s="16">
        <v>46205.74695601852</v>
      </c>
      <c r="Q80" s="16">
        <v>46205</v>
      </c>
      <c r="R80" s="21" t="s">
        <v>19</v>
      </c>
      <c r="S80" s="21" t="s">
        <v>160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</row>
    <row r="81" spans="1:45" s="24" customFormat="1" ht="13.9" hidden="1" customHeight="1" x14ac:dyDescent="0.35">
      <c r="A81" s="13" t="s">
        <v>151</v>
      </c>
      <c r="B81" s="13" t="s">
        <v>152</v>
      </c>
      <c r="C81" s="13">
        <v>26177</v>
      </c>
      <c r="D81" s="14" t="s">
        <v>127</v>
      </c>
      <c r="E81" s="15" t="s">
        <v>112</v>
      </c>
      <c r="F81" s="16">
        <v>46216</v>
      </c>
      <c r="G81" s="16">
        <v>46216</v>
      </c>
      <c r="H81" s="13">
        <v>1533</v>
      </c>
      <c r="I81" s="17" t="s">
        <v>159</v>
      </c>
      <c r="J81" s="18">
        <v>10525.05</v>
      </c>
      <c r="K81" s="19">
        <v>0</v>
      </c>
      <c r="L81" s="26">
        <f t="shared" si="3"/>
        <v>0</v>
      </c>
      <c r="M81" s="27"/>
      <c r="N81" s="27"/>
      <c r="O81" s="22"/>
      <c r="P81" s="16">
        <v>46216.606087962966</v>
      </c>
      <c r="Q81" s="16">
        <v>46216</v>
      </c>
      <c r="R81" s="21" t="s">
        <v>19</v>
      </c>
      <c r="S81" s="21" t="s">
        <v>160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</row>
    <row r="82" spans="1:45" s="24" customFormat="1" ht="13.9" hidden="1" customHeight="1" x14ac:dyDescent="0.35">
      <c r="A82" s="13" t="s">
        <v>151</v>
      </c>
      <c r="B82" s="13" t="s">
        <v>152</v>
      </c>
      <c r="C82" s="13">
        <v>26176</v>
      </c>
      <c r="D82" s="14" t="s">
        <v>127</v>
      </c>
      <c r="E82" s="15" t="s">
        <v>112</v>
      </c>
      <c r="F82" s="16">
        <v>46216</v>
      </c>
      <c r="G82" s="16">
        <v>46216</v>
      </c>
      <c r="H82" s="13">
        <v>1534</v>
      </c>
      <c r="I82" s="17" t="s">
        <v>159</v>
      </c>
      <c r="J82" s="18">
        <v>57633.99</v>
      </c>
      <c r="K82" s="19">
        <v>0</v>
      </c>
      <c r="L82" s="26">
        <f t="shared" ref="L82:L113" si="4">K82/J82*100</f>
        <v>0</v>
      </c>
      <c r="M82" s="27"/>
      <c r="N82" s="27"/>
      <c r="O82" s="22"/>
      <c r="P82" s="16">
        <v>46216.605185185188</v>
      </c>
      <c r="Q82" s="16">
        <v>46216</v>
      </c>
      <c r="R82" s="21" t="s">
        <v>19</v>
      </c>
      <c r="S82" s="21" t="s">
        <v>160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</row>
    <row r="83" spans="1:45" s="24" customFormat="1" ht="13.9" hidden="1" customHeight="1" x14ac:dyDescent="0.35">
      <c r="A83" s="13" t="s">
        <v>151</v>
      </c>
      <c r="B83" s="13" t="s">
        <v>152</v>
      </c>
      <c r="C83" s="13">
        <v>26249</v>
      </c>
      <c r="D83" s="14" t="s">
        <v>29</v>
      </c>
      <c r="E83" s="15" t="s">
        <v>30</v>
      </c>
      <c r="F83" s="16">
        <v>46224</v>
      </c>
      <c r="G83" s="16">
        <v>46219</v>
      </c>
      <c r="H83" s="13">
        <v>1960</v>
      </c>
      <c r="I83" s="17" t="s">
        <v>31</v>
      </c>
      <c r="J83" s="18">
        <v>1091.5</v>
      </c>
      <c r="K83" s="19">
        <v>0</v>
      </c>
      <c r="L83" s="26">
        <f t="shared" si="4"/>
        <v>0</v>
      </c>
      <c r="M83" s="27"/>
      <c r="N83" s="27"/>
      <c r="O83" s="22"/>
      <c r="P83" s="16">
        <v>46224.6408912037</v>
      </c>
      <c r="Q83" s="16">
        <v>46224</v>
      </c>
      <c r="R83" s="21" t="s">
        <v>19</v>
      </c>
      <c r="S83" s="21" t="s">
        <v>52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spans="1:45" s="24" customFormat="1" ht="13.9" hidden="1" customHeight="1" x14ac:dyDescent="0.35">
      <c r="A84" s="13" t="s">
        <v>151</v>
      </c>
      <c r="B84" s="13" t="s">
        <v>152</v>
      </c>
      <c r="C84" s="13">
        <v>26138</v>
      </c>
      <c r="D84" s="14" t="s">
        <v>111</v>
      </c>
      <c r="E84" s="15" t="s">
        <v>112</v>
      </c>
      <c r="F84" s="16">
        <v>46211</v>
      </c>
      <c r="G84" s="16">
        <v>46211</v>
      </c>
      <c r="H84" s="13">
        <v>2064</v>
      </c>
      <c r="I84" s="17" t="s">
        <v>113</v>
      </c>
      <c r="J84" s="18">
        <v>1230.31</v>
      </c>
      <c r="K84" s="19">
        <v>61.52</v>
      </c>
      <c r="L84" s="26">
        <f t="shared" si="4"/>
        <v>5.0003657614747512</v>
      </c>
      <c r="M84" s="27"/>
      <c r="N84" s="27"/>
      <c r="O84" s="22"/>
      <c r="P84" s="16">
        <v>46211.5625</v>
      </c>
      <c r="Q84" s="16">
        <v>46211</v>
      </c>
      <c r="R84" s="21" t="s">
        <v>19</v>
      </c>
      <c r="S84" s="21" t="s">
        <v>114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spans="1:45" s="24" customFormat="1" ht="13.9" hidden="1" customHeight="1" x14ac:dyDescent="0.35">
      <c r="A85" s="13" t="s">
        <v>151</v>
      </c>
      <c r="B85" s="13" t="s">
        <v>152</v>
      </c>
      <c r="C85" s="13">
        <v>26196</v>
      </c>
      <c r="D85" s="14" t="s">
        <v>161</v>
      </c>
      <c r="E85" s="15" t="s">
        <v>162</v>
      </c>
      <c r="F85" s="16">
        <v>46218</v>
      </c>
      <c r="G85" s="16">
        <v>46218</v>
      </c>
      <c r="H85" s="13">
        <v>5183</v>
      </c>
      <c r="I85" s="17" t="s">
        <v>163</v>
      </c>
      <c r="J85" s="18">
        <v>20550</v>
      </c>
      <c r="K85" s="19">
        <v>1027.5</v>
      </c>
      <c r="L85" s="26">
        <f t="shared" si="4"/>
        <v>5</v>
      </c>
      <c r="M85" s="27"/>
      <c r="N85" s="27"/>
      <c r="O85" s="22"/>
      <c r="P85" s="16">
        <v>46218.674351851849</v>
      </c>
      <c r="Q85" s="16">
        <v>46218</v>
      </c>
      <c r="R85" s="21" t="s">
        <v>19</v>
      </c>
      <c r="S85" s="21" t="s">
        <v>20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</row>
    <row r="86" spans="1:45" s="24" customFormat="1" ht="13.9" hidden="1" customHeight="1" x14ac:dyDescent="0.35">
      <c r="A86" s="13" t="s">
        <v>151</v>
      </c>
      <c r="B86" s="13" t="s">
        <v>152</v>
      </c>
      <c r="C86" s="13">
        <v>26203</v>
      </c>
      <c r="D86" s="14" t="s">
        <v>44</v>
      </c>
      <c r="E86" s="15" t="s">
        <v>45</v>
      </c>
      <c r="F86" s="16">
        <v>46218</v>
      </c>
      <c r="G86" s="16">
        <v>46218</v>
      </c>
      <c r="H86" s="13">
        <v>29092</v>
      </c>
      <c r="I86" s="17" t="s">
        <v>93</v>
      </c>
      <c r="J86" s="18">
        <v>16785.32</v>
      </c>
      <c r="K86" s="19">
        <v>839.27</v>
      </c>
      <c r="L86" s="26">
        <f t="shared" si="4"/>
        <v>5.0000238303469935</v>
      </c>
      <c r="M86" s="27"/>
      <c r="N86" s="27"/>
      <c r="O86" s="22"/>
      <c r="P86" s="16">
        <v>46218.805185185185</v>
      </c>
      <c r="Q86" s="16">
        <v>46218</v>
      </c>
      <c r="R86" s="21" t="s">
        <v>19</v>
      </c>
      <c r="S86" s="21" t="s">
        <v>94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spans="1:45" s="24" customFormat="1" ht="13.9" hidden="1" customHeight="1" x14ac:dyDescent="0.35">
      <c r="A87" s="13" t="s">
        <v>151</v>
      </c>
      <c r="B87" s="13" t="s">
        <v>152</v>
      </c>
      <c r="C87" s="13">
        <v>26228</v>
      </c>
      <c r="D87" s="14" t="s">
        <v>44</v>
      </c>
      <c r="E87" s="15" t="s">
        <v>45</v>
      </c>
      <c r="F87" s="16">
        <v>46220</v>
      </c>
      <c r="G87" s="16">
        <v>46220</v>
      </c>
      <c r="H87" s="13">
        <v>224952</v>
      </c>
      <c r="I87" s="17" t="s">
        <v>46</v>
      </c>
      <c r="J87" s="18">
        <v>14197.95</v>
      </c>
      <c r="K87" s="19">
        <v>709.9</v>
      </c>
      <c r="L87" s="26">
        <f t="shared" si="4"/>
        <v>5.0000176081758285</v>
      </c>
      <c r="M87" s="27"/>
      <c r="N87" s="27"/>
      <c r="O87" s="22"/>
      <c r="P87" s="16">
        <v>46220.68472222222</v>
      </c>
      <c r="Q87" s="16">
        <v>46220</v>
      </c>
      <c r="R87" s="21" t="s">
        <v>19</v>
      </c>
      <c r="S87" s="21" t="s">
        <v>47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spans="1:45" s="24" customFormat="1" ht="13.9" hidden="1" customHeight="1" x14ac:dyDescent="0.35">
      <c r="A88" s="13" t="s">
        <v>164</v>
      </c>
      <c r="B88" s="13" t="s">
        <v>165</v>
      </c>
      <c r="C88" s="13">
        <v>50139</v>
      </c>
      <c r="D88" s="14" t="s">
        <v>29</v>
      </c>
      <c r="E88" s="15" t="s">
        <v>30</v>
      </c>
      <c r="F88" s="16">
        <v>46220</v>
      </c>
      <c r="G88" s="16">
        <v>46217</v>
      </c>
      <c r="H88" s="13">
        <v>699</v>
      </c>
      <c r="I88" s="17" t="s">
        <v>82</v>
      </c>
      <c r="J88" s="18">
        <v>636.5</v>
      </c>
      <c r="K88" s="19">
        <v>0</v>
      </c>
      <c r="L88" s="26">
        <f t="shared" si="4"/>
        <v>0</v>
      </c>
      <c r="M88" s="27"/>
      <c r="N88" s="27"/>
      <c r="O88" s="22"/>
      <c r="P88" s="16">
        <v>46220.684710648151</v>
      </c>
      <c r="Q88" s="16">
        <v>46220</v>
      </c>
      <c r="R88" s="21" t="s">
        <v>19</v>
      </c>
      <c r="S88" s="21" t="s">
        <v>83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</row>
    <row r="89" spans="1:45" s="24" customFormat="1" ht="13.9" hidden="1" customHeight="1" x14ac:dyDescent="0.35">
      <c r="A89" s="13" t="s">
        <v>164</v>
      </c>
      <c r="B89" s="13" t="s">
        <v>165</v>
      </c>
      <c r="C89" s="13">
        <v>50155</v>
      </c>
      <c r="D89" s="14" t="s">
        <v>25</v>
      </c>
      <c r="E89" s="15" t="s">
        <v>26</v>
      </c>
      <c r="F89" s="16">
        <v>46223</v>
      </c>
      <c r="G89" s="16">
        <v>46222</v>
      </c>
      <c r="H89" s="13">
        <v>1197</v>
      </c>
      <c r="I89" s="17" t="s">
        <v>97</v>
      </c>
      <c r="J89" s="18">
        <v>5062.37</v>
      </c>
      <c r="K89" s="19">
        <v>253.12</v>
      </c>
      <c r="L89" s="26">
        <f t="shared" si="4"/>
        <v>5.0000296303905092</v>
      </c>
      <c r="M89" s="27"/>
      <c r="N89" s="27">
        <v>126.56</v>
      </c>
      <c r="O89" s="22" t="s">
        <v>166</v>
      </c>
      <c r="P89" s="16">
        <v>46223.465428240743</v>
      </c>
      <c r="Q89" s="16">
        <v>46223</v>
      </c>
      <c r="R89" s="21" t="s">
        <v>19</v>
      </c>
      <c r="S89" s="21" t="s">
        <v>98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</row>
    <row r="90" spans="1:45" s="24" customFormat="1" ht="13.9" hidden="1" customHeight="1" x14ac:dyDescent="0.35">
      <c r="A90" s="13" t="s">
        <v>164</v>
      </c>
      <c r="B90" s="13" t="s">
        <v>165</v>
      </c>
      <c r="C90" s="13">
        <v>50156</v>
      </c>
      <c r="D90" s="14" t="s">
        <v>25</v>
      </c>
      <c r="E90" s="15" t="s">
        <v>26</v>
      </c>
      <c r="F90" s="16">
        <v>46223</v>
      </c>
      <c r="G90" s="16">
        <v>46222</v>
      </c>
      <c r="H90" s="13">
        <v>1199</v>
      </c>
      <c r="I90" s="17" t="s">
        <v>97</v>
      </c>
      <c r="J90" s="18">
        <v>5039.49</v>
      </c>
      <c r="K90" s="19">
        <v>251.97</v>
      </c>
      <c r="L90" s="26">
        <f t="shared" si="4"/>
        <v>4.9999107052499356</v>
      </c>
      <c r="M90" s="27"/>
      <c r="N90" s="27">
        <v>125.98</v>
      </c>
      <c r="O90" s="22" t="s">
        <v>167</v>
      </c>
      <c r="P90" s="16">
        <v>46223.469351851854</v>
      </c>
      <c r="Q90" s="16">
        <v>46223</v>
      </c>
      <c r="R90" s="21" t="s">
        <v>19</v>
      </c>
      <c r="S90" s="21" t="s">
        <v>98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spans="1:45" s="24" customFormat="1" ht="13.9" hidden="1" customHeight="1" x14ac:dyDescent="0.35">
      <c r="A91" s="13" t="s">
        <v>164</v>
      </c>
      <c r="B91" s="13" t="s">
        <v>165</v>
      </c>
      <c r="C91" s="13">
        <v>50103</v>
      </c>
      <c r="D91" s="14" t="s">
        <v>44</v>
      </c>
      <c r="E91" s="15" t="s">
        <v>45</v>
      </c>
      <c r="F91" s="16">
        <v>46218</v>
      </c>
      <c r="G91" s="16">
        <v>46218</v>
      </c>
      <c r="H91" s="13">
        <v>29093</v>
      </c>
      <c r="I91" s="17" t="s">
        <v>93</v>
      </c>
      <c r="J91" s="18">
        <v>46969.48</v>
      </c>
      <c r="K91" s="19">
        <v>1174.24</v>
      </c>
      <c r="L91" s="26">
        <f t="shared" si="4"/>
        <v>2.5000063871262785</v>
      </c>
      <c r="M91" s="27"/>
      <c r="N91" s="27"/>
      <c r="O91" s="22"/>
      <c r="P91" s="16">
        <v>46218.727233796293</v>
      </c>
      <c r="Q91" s="16">
        <v>46218</v>
      </c>
      <c r="R91" s="21" t="s">
        <v>19</v>
      </c>
      <c r="S91" s="21" t="s">
        <v>94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</row>
    <row r="92" spans="1:45" s="24" customFormat="1" ht="13.9" hidden="1" customHeight="1" x14ac:dyDescent="0.35">
      <c r="A92" s="13" t="s">
        <v>168</v>
      </c>
      <c r="B92" s="13" t="s">
        <v>169</v>
      </c>
      <c r="C92" s="13">
        <v>31892</v>
      </c>
      <c r="D92" s="14" t="s">
        <v>36</v>
      </c>
      <c r="E92" s="15" t="s">
        <v>37</v>
      </c>
      <c r="F92" s="16">
        <v>46223</v>
      </c>
      <c r="G92" s="16">
        <v>46219</v>
      </c>
      <c r="H92" s="13">
        <v>166</v>
      </c>
      <c r="I92" s="17" t="s">
        <v>170</v>
      </c>
      <c r="J92" s="18">
        <v>1850</v>
      </c>
      <c r="K92" s="19">
        <v>0</v>
      </c>
      <c r="L92" s="26">
        <f t="shared" si="4"/>
        <v>0</v>
      </c>
      <c r="M92" s="27"/>
      <c r="N92" s="27"/>
      <c r="O92" s="22"/>
      <c r="P92" s="16">
        <v>46223.495763888888</v>
      </c>
      <c r="Q92" s="16">
        <v>46223</v>
      </c>
      <c r="R92" s="21" t="s">
        <v>19</v>
      </c>
      <c r="S92" s="21" t="s">
        <v>20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</row>
    <row r="93" spans="1:45" s="24" customFormat="1" ht="13.9" hidden="1" customHeight="1" x14ac:dyDescent="0.35">
      <c r="A93" s="13" t="s">
        <v>168</v>
      </c>
      <c r="B93" s="13" t="s">
        <v>169</v>
      </c>
      <c r="C93" s="13">
        <v>31864</v>
      </c>
      <c r="D93" s="14" t="s">
        <v>29</v>
      </c>
      <c r="E93" s="15" t="s">
        <v>30</v>
      </c>
      <c r="F93" s="16">
        <v>46216</v>
      </c>
      <c r="G93" s="16">
        <v>46214</v>
      </c>
      <c r="H93" s="13">
        <v>397</v>
      </c>
      <c r="I93" s="17" t="s">
        <v>149</v>
      </c>
      <c r="J93" s="18">
        <v>3768.87</v>
      </c>
      <c r="K93" s="19">
        <v>0</v>
      </c>
      <c r="L93" s="26">
        <f t="shared" si="4"/>
        <v>0</v>
      </c>
      <c r="M93" s="27"/>
      <c r="N93" s="27"/>
      <c r="O93" s="22"/>
      <c r="P93" s="16">
        <v>46216.486076388886</v>
      </c>
      <c r="Q93" s="16">
        <v>46216</v>
      </c>
      <c r="R93" s="21" t="s">
        <v>19</v>
      </c>
      <c r="S93" s="21" t="s">
        <v>150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</row>
    <row r="94" spans="1:45" s="24" customFormat="1" ht="13.9" hidden="1" customHeight="1" x14ac:dyDescent="0.35">
      <c r="A94" s="13" t="s">
        <v>168</v>
      </c>
      <c r="B94" s="13" t="s">
        <v>169</v>
      </c>
      <c r="C94" s="13">
        <v>31896</v>
      </c>
      <c r="D94" s="14" t="s">
        <v>25</v>
      </c>
      <c r="E94" s="15" t="s">
        <v>26</v>
      </c>
      <c r="F94" s="16">
        <v>46223</v>
      </c>
      <c r="G94" s="16">
        <v>46223</v>
      </c>
      <c r="H94" s="13">
        <v>1202</v>
      </c>
      <c r="I94" s="17" t="s">
        <v>97</v>
      </c>
      <c r="J94" s="18">
        <v>2171.4699999999998</v>
      </c>
      <c r="K94" s="19">
        <v>108.56</v>
      </c>
      <c r="L94" s="26">
        <f t="shared" si="4"/>
        <v>4.9993783013350415</v>
      </c>
      <c r="M94" s="27"/>
      <c r="N94" s="27"/>
      <c r="O94" s="22" t="s">
        <v>92</v>
      </c>
      <c r="P94" s="16">
        <v>46223.721655092595</v>
      </c>
      <c r="Q94" s="16">
        <v>46223</v>
      </c>
      <c r="R94" s="21" t="s">
        <v>19</v>
      </c>
      <c r="S94" s="21" t="s">
        <v>98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45" s="24" customFormat="1" ht="13.9" hidden="1" customHeight="1" x14ac:dyDescent="0.35">
      <c r="A95" s="13" t="s">
        <v>168</v>
      </c>
      <c r="B95" s="13" t="s">
        <v>169</v>
      </c>
      <c r="C95" s="13">
        <v>31882</v>
      </c>
      <c r="D95" s="14" t="s">
        <v>44</v>
      </c>
      <c r="E95" s="15" t="s">
        <v>45</v>
      </c>
      <c r="F95" s="16">
        <v>46218</v>
      </c>
      <c r="G95" s="16">
        <v>46218</v>
      </c>
      <c r="H95" s="13">
        <v>29094</v>
      </c>
      <c r="I95" s="17" t="s">
        <v>93</v>
      </c>
      <c r="J95" s="18">
        <v>12169.96</v>
      </c>
      <c r="K95" s="19">
        <v>608.5</v>
      </c>
      <c r="L95" s="26">
        <f t="shared" si="4"/>
        <v>5.0000164339077537</v>
      </c>
      <c r="M95" s="27"/>
      <c r="N95" s="27"/>
      <c r="O95" s="22"/>
      <c r="P95" s="16">
        <v>46218.767407407409</v>
      </c>
      <c r="Q95" s="16">
        <v>46218</v>
      </c>
      <c r="R95" s="21" t="s">
        <v>19</v>
      </c>
      <c r="S95" s="21" t="s">
        <v>94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</row>
    <row r="96" spans="1:45" s="24" customFormat="1" ht="13.9" hidden="1" customHeight="1" x14ac:dyDescent="0.35">
      <c r="A96" s="13" t="s">
        <v>168</v>
      </c>
      <c r="B96" s="13" t="s">
        <v>169</v>
      </c>
      <c r="C96" s="13">
        <v>31868</v>
      </c>
      <c r="D96" s="14" t="s">
        <v>36</v>
      </c>
      <c r="E96" s="15" t="s">
        <v>37</v>
      </c>
      <c r="F96" s="16">
        <v>46217</v>
      </c>
      <c r="G96" s="16">
        <v>46216</v>
      </c>
      <c r="H96" s="13">
        <v>1000096</v>
      </c>
      <c r="I96" s="17" t="s">
        <v>171</v>
      </c>
      <c r="J96" s="18">
        <v>1500</v>
      </c>
      <c r="K96" s="19">
        <v>0</v>
      </c>
      <c r="L96" s="26">
        <f t="shared" si="4"/>
        <v>0</v>
      </c>
      <c r="M96" s="27"/>
      <c r="N96" s="27"/>
      <c r="O96" s="22"/>
      <c r="P96" s="16">
        <v>46217.426759259259</v>
      </c>
      <c r="Q96" s="16">
        <v>46217</v>
      </c>
      <c r="R96" s="21" t="s">
        <v>19</v>
      </c>
      <c r="S96" s="21" t="s">
        <v>20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</row>
    <row r="97" spans="1:45" s="24" customFormat="1" ht="13.9" hidden="1" customHeight="1" x14ac:dyDescent="0.35">
      <c r="A97" s="13" t="s">
        <v>168</v>
      </c>
      <c r="B97" s="13" t="s">
        <v>169</v>
      </c>
      <c r="C97" s="13">
        <v>31884</v>
      </c>
      <c r="D97" s="14" t="s">
        <v>36</v>
      </c>
      <c r="E97" s="15" t="s">
        <v>37</v>
      </c>
      <c r="F97" s="16">
        <v>46219</v>
      </c>
      <c r="G97" s="16">
        <v>46213</v>
      </c>
      <c r="H97" s="13">
        <v>1030488</v>
      </c>
      <c r="I97" s="17" t="s">
        <v>172</v>
      </c>
      <c r="J97" s="18">
        <v>160</v>
      </c>
      <c r="K97" s="19">
        <v>0</v>
      </c>
      <c r="L97" s="26">
        <f t="shared" si="4"/>
        <v>0</v>
      </c>
      <c r="M97" s="27"/>
      <c r="N97" s="27"/>
      <c r="O97" s="22"/>
      <c r="P97" s="16">
        <v>46219.649872685186</v>
      </c>
      <c r="Q97" s="16">
        <v>46219</v>
      </c>
      <c r="R97" s="21" t="s">
        <v>19</v>
      </c>
      <c r="S97" s="21" t="s">
        <v>20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</row>
    <row r="98" spans="1:45" s="24" customFormat="1" ht="13.9" hidden="1" customHeight="1" x14ac:dyDescent="0.35">
      <c r="A98" s="13" t="s">
        <v>173</v>
      </c>
      <c r="B98" s="13" t="s">
        <v>174</v>
      </c>
      <c r="C98" s="13">
        <v>39991</v>
      </c>
      <c r="D98" s="14" t="s">
        <v>29</v>
      </c>
      <c r="E98" s="15" t="s">
        <v>30</v>
      </c>
      <c r="F98" s="16">
        <v>46220</v>
      </c>
      <c r="G98" s="16">
        <v>46217</v>
      </c>
      <c r="H98" s="13">
        <v>696</v>
      </c>
      <c r="I98" s="17" t="s">
        <v>82</v>
      </c>
      <c r="J98" s="18">
        <v>3159.63</v>
      </c>
      <c r="K98" s="19">
        <v>0</v>
      </c>
      <c r="L98" s="26">
        <f t="shared" si="4"/>
        <v>0</v>
      </c>
      <c r="M98" s="27"/>
      <c r="N98" s="27"/>
      <c r="O98" s="22"/>
      <c r="P98" s="16">
        <v>46220.68472222222</v>
      </c>
      <c r="Q98" s="16">
        <v>46220</v>
      </c>
      <c r="R98" s="21" t="s">
        <v>19</v>
      </c>
      <c r="S98" s="21" t="s">
        <v>83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</row>
    <row r="99" spans="1:45" s="24" customFormat="1" ht="13.9" hidden="1" customHeight="1" x14ac:dyDescent="0.35">
      <c r="A99" s="13" t="s">
        <v>173</v>
      </c>
      <c r="B99" s="13" t="s">
        <v>174</v>
      </c>
      <c r="C99" s="13">
        <v>39992</v>
      </c>
      <c r="D99" s="14" t="s">
        <v>44</v>
      </c>
      <c r="E99" s="15" t="s">
        <v>45</v>
      </c>
      <c r="F99" s="16">
        <v>46220</v>
      </c>
      <c r="G99" s="16">
        <v>46220</v>
      </c>
      <c r="H99" s="13">
        <v>224953</v>
      </c>
      <c r="I99" s="17" t="s">
        <v>46</v>
      </c>
      <c r="J99" s="18">
        <v>5382.78</v>
      </c>
      <c r="K99" s="19">
        <v>215.31</v>
      </c>
      <c r="L99" s="26">
        <f t="shared" si="4"/>
        <v>3.9999777066868796</v>
      </c>
      <c r="M99" s="27"/>
      <c r="N99" s="27"/>
      <c r="O99" s="22"/>
      <c r="P99" s="16">
        <v>46220.684814814813</v>
      </c>
      <c r="Q99" s="16">
        <v>46220</v>
      </c>
      <c r="R99" s="21" t="s">
        <v>19</v>
      </c>
      <c r="S99" s="21" t="s">
        <v>47</v>
      </c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spans="1:45" s="24" customFormat="1" ht="13.9" hidden="1" customHeight="1" x14ac:dyDescent="0.35">
      <c r="A100" s="13" t="s">
        <v>173</v>
      </c>
      <c r="B100" s="13" t="s">
        <v>174</v>
      </c>
      <c r="C100" s="13">
        <v>39968</v>
      </c>
      <c r="D100" s="14" t="s">
        <v>62</v>
      </c>
      <c r="E100" s="15" t="s">
        <v>63</v>
      </c>
      <c r="F100" s="16">
        <v>46218</v>
      </c>
      <c r="G100" s="16">
        <v>46216</v>
      </c>
      <c r="H100" s="13">
        <v>1006721</v>
      </c>
      <c r="I100" s="17" t="s">
        <v>84</v>
      </c>
      <c r="J100" s="18">
        <v>10848.65</v>
      </c>
      <c r="K100" s="19">
        <v>542.42999999999995</v>
      </c>
      <c r="L100" s="26">
        <f t="shared" si="4"/>
        <v>4.9999769556580764</v>
      </c>
      <c r="M100" s="27"/>
      <c r="N100" s="27"/>
      <c r="O100" s="22" t="s">
        <v>92</v>
      </c>
      <c r="P100" s="16">
        <v>46218.742627314816</v>
      </c>
      <c r="Q100" s="16">
        <v>46218</v>
      </c>
      <c r="R100" s="21" t="s">
        <v>19</v>
      </c>
      <c r="S100" s="21" t="s">
        <v>85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</row>
    <row r="101" spans="1:45" s="24" customFormat="1" ht="18" hidden="1" customHeight="1" x14ac:dyDescent="0.35">
      <c r="A101" s="13" t="s">
        <v>175</v>
      </c>
      <c r="B101" s="13" t="s">
        <v>176</v>
      </c>
      <c r="C101" s="13">
        <v>17207</v>
      </c>
      <c r="D101" s="14" t="s">
        <v>177</v>
      </c>
      <c r="E101" s="15" t="s">
        <v>178</v>
      </c>
      <c r="F101" s="16">
        <v>46211</v>
      </c>
      <c r="G101" s="16">
        <v>46211</v>
      </c>
      <c r="H101" s="13">
        <v>260</v>
      </c>
      <c r="I101" s="17" t="s">
        <v>179</v>
      </c>
      <c r="J101" s="18">
        <v>800</v>
      </c>
      <c r="K101" s="19">
        <v>40</v>
      </c>
      <c r="L101" s="26">
        <f t="shared" si="4"/>
        <v>5</v>
      </c>
      <c r="M101" s="27"/>
      <c r="N101" s="27"/>
      <c r="O101" s="22"/>
      <c r="P101" s="16">
        <v>46211.435266203705</v>
      </c>
      <c r="Q101" s="16">
        <v>46211</v>
      </c>
      <c r="R101" s="21" t="s">
        <v>19</v>
      </c>
      <c r="S101" s="21" t="s">
        <v>180</v>
      </c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</row>
    <row r="102" spans="1:45" s="24" customFormat="1" ht="13.9" hidden="1" customHeight="1" x14ac:dyDescent="0.35">
      <c r="A102" s="13" t="s">
        <v>175</v>
      </c>
      <c r="B102" s="13" t="s">
        <v>176</v>
      </c>
      <c r="C102" s="13">
        <v>17222</v>
      </c>
      <c r="D102" s="14" t="s">
        <v>25</v>
      </c>
      <c r="E102" s="15" t="s">
        <v>26</v>
      </c>
      <c r="F102" s="16">
        <v>46218</v>
      </c>
      <c r="G102" s="16">
        <v>46218</v>
      </c>
      <c r="H102" s="13">
        <v>1192</v>
      </c>
      <c r="I102" s="17" t="s">
        <v>97</v>
      </c>
      <c r="J102" s="18">
        <v>2811.72</v>
      </c>
      <c r="K102" s="19">
        <v>140.59</v>
      </c>
      <c r="L102" s="26">
        <f t="shared" si="4"/>
        <v>5.0001422616761282</v>
      </c>
      <c r="M102" s="27"/>
      <c r="N102" s="27"/>
      <c r="O102" s="22" t="s">
        <v>181</v>
      </c>
      <c r="P102" s="16">
        <v>46218.823483796295</v>
      </c>
      <c r="Q102" s="16">
        <v>46218</v>
      </c>
      <c r="R102" s="21" t="s">
        <v>19</v>
      </c>
      <c r="S102" s="21" t="s">
        <v>98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</row>
    <row r="103" spans="1:45" s="24" customFormat="1" ht="13.9" hidden="1" customHeight="1" x14ac:dyDescent="0.35">
      <c r="A103" s="13" t="s">
        <v>175</v>
      </c>
      <c r="B103" s="13" t="s">
        <v>176</v>
      </c>
      <c r="C103" s="13">
        <v>17250</v>
      </c>
      <c r="D103" s="14" t="s">
        <v>29</v>
      </c>
      <c r="E103" s="15" t="s">
        <v>30</v>
      </c>
      <c r="F103" s="16">
        <v>46224</v>
      </c>
      <c r="G103" s="16">
        <v>46219</v>
      </c>
      <c r="H103" s="13">
        <v>1970</v>
      </c>
      <c r="I103" s="17" t="s">
        <v>31</v>
      </c>
      <c r="J103" s="18">
        <v>2041.67</v>
      </c>
      <c r="K103" s="19">
        <v>0</v>
      </c>
      <c r="L103" s="26">
        <f t="shared" si="4"/>
        <v>0</v>
      </c>
      <c r="M103" s="27"/>
      <c r="N103" s="27"/>
      <c r="O103" s="22"/>
      <c r="P103" s="16">
        <v>46224.636412037034</v>
      </c>
      <c r="Q103" s="16">
        <v>46224</v>
      </c>
      <c r="R103" s="21" t="s">
        <v>19</v>
      </c>
      <c r="S103" s="21" t="s">
        <v>52</v>
      </c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</row>
    <row r="104" spans="1:45" s="24" customFormat="1" ht="13.9" hidden="1" customHeight="1" x14ac:dyDescent="0.35">
      <c r="A104" s="13" t="s">
        <v>175</v>
      </c>
      <c r="B104" s="13" t="s">
        <v>176</v>
      </c>
      <c r="C104" s="13">
        <v>17236</v>
      </c>
      <c r="D104" s="14" t="s">
        <v>44</v>
      </c>
      <c r="E104" s="15" t="s">
        <v>45</v>
      </c>
      <c r="F104" s="16">
        <v>46223</v>
      </c>
      <c r="G104" s="16">
        <v>46223</v>
      </c>
      <c r="H104" s="13">
        <v>29102</v>
      </c>
      <c r="I104" s="17" t="s">
        <v>93</v>
      </c>
      <c r="J104" s="18">
        <v>21193.97</v>
      </c>
      <c r="K104" s="19">
        <v>1059.7</v>
      </c>
      <c r="L104" s="26">
        <f t="shared" si="4"/>
        <v>5.0000070774847751</v>
      </c>
      <c r="M104" s="27"/>
      <c r="N104" s="27"/>
      <c r="O104" s="22"/>
      <c r="P104" s="16">
        <v>46223.603796296295</v>
      </c>
      <c r="Q104" s="16">
        <v>46223</v>
      </c>
      <c r="R104" s="21" t="s">
        <v>19</v>
      </c>
      <c r="S104" s="21" t="s">
        <v>94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</row>
    <row r="105" spans="1:45" s="24" customFormat="1" ht="13.9" hidden="1" customHeight="1" x14ac:dyDescent="0.35">
      <c r="A105" s="13" t="s">
        <v>175</v>
      </c>
      <c r="B105" s="13" t="s">
        <v>176</v>
      </c>
      <c r="C105" s="13">
        <v>17231</v>
      </c>
      <c r="D105" s="14" t="s">
        <v>44</v>
      </c>
      <c r="E105" s="15" t="s">
        <v>45</v>
      </c>
      <c r="F105" s="16">
        <v>46220</v>
      </c>
      <c r="G105" s="16">
        <v>46220</v>
      </c>
      <c r="H105" s="13">
        <v>224945</v>
      </c>
      <c r="I105" s="17" t="s">
        <v>46</v>
      </c>
      <c r="J105" s="18">
        <v>24375.45</v>
      </c>
      <c r="K105" s="19">
        <v>1218.77</v>
      </c>
      <c r="L105" s="26">
        <f t="shared" si="4"/>
        <v>4.9999897437790892</v>
      </c>
      <c r="M105" s="27"/>
      <c r="N105" s="27"/>
      <c r="O105" s="22"/>
      <c r="P105" s="16">
        <v>46220.712326388886</v>
      </c>
      <c r="Q105" s="16">
        <v>46220</v>
      </c>
      <c r="R105" s="21" t="s">
        <v>19</v>
      </c>
      <c r="S105" s="21" t="s">
        <v>47</v>
      </c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</row>
    <row r="106" spans="1:45" s="24" customFormat="1" ht="13.9" hidden="1" customHeight="1" x14ac:dyDescent="0.35">
      <c r="A106" s="13" t="s">
        <v>175</v>
      </c>
      <c r="B106" s="13" t="s">
        <v>176</v>
      </c>
      <c r="C106" s="13"/>
      <c r="D106" s="14"/>
      <c r="E106" s="15"/>
      <c r="F106" s="16"/>
      <c r="G106" s="16"/>
      <c r="H106" s="13"/>
      <c r="I106" s="41" t="s">
        <v>182</v>
      </c>
      <c r="J106" s="18"/>
      <c r="K106" s="19">
        <v>39.67</v>
      </c>
      <c r="L106" s="26"/>
      <c r="M106" s="27"/>
      <c r="N106" s="27"/>
      <c r="O106" s="22"/>
      <c r="P106" s="16"/>
      <c r="Q106" s="16"/>
      <c r="R106" s="21"/>
      <c r="S106" s="21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</row>
    <row r="107" spans="1:45" s="24" customFormat="1" ht="13.9" hidden="1" customHeight="1" x14ac:dyDescent="0.35">
      <c r="A107" s="13" t="s">
        <v>175</v>
      </c>
      <c r="B107" s="13" t="s">
        <v>176</v>
      </c>
      <c r="C107" s="13">
        <v>17232</v>
      </c>
      <c r="D107" s="14" t="s">
        <v>44</v>
      </c>
      <c r="E107" s="15" t="s">
        <v>45</v>
      </c>
      <c r="F107" s="13">
        <v>224945</v>
      </c>
      <c r="G107" s="16">
        <v>46220</v>
      </c>
      <c r="H107" s="13"/>
      <c r="I107" s="17"/>
      <c r="J107" s="18">
        <v>7412.62</v>
      </c>
      <c r="K107" s="19">
        <v>370.63</v>
      </c>
      <c r="L107" s="26">
        <f t="shared" ref="L107:L138" si="5">K107/J107*100</f>
        <v>4.9999865094932696</v>
      </c>
      <c r="M107" s="27"/>
      <c r="N107" s="27"/>
      <c r="O107" s="22"/>
      <c r="P107" s="16">
        <v>46220.719710648147</v>
      </c>
      <c r="Q107" s="16">
        <v>46220</v>
      </c>
      <c r="R107" s="21" t="s">
        <v>19</v>
      </c>
      <c r="S107" s="21" t="s">
        <v>47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</row>
    <row r="108" spans="1:45" s="24" customFormat="1" ht="13.9" hidden="1" customHeight="1" x14ac:dyDescent="0.35">
      <c r="A108" s="13" t="s">
        <v>183</v>
      </c>
      <c r="B108" s="13" t="s">
        <v>184</v>
      </c>
      <c r="C108" s="13">
        <v>41336</v>
      </c>
      <c r="D108" s="14" t="s">
        <v>29</v>
      </c>
      <c r="E108" s="15" t="s">
        <v>30</v>
      </c>
      <c r="F108" s="16">
        <v>46216</v>
      </c>
      <c r="G108" s="16">
        <v>46214</v>
      </c>
      <c r="H108" s="13">
        <v>398</v>
      </c>
      <c r="I108" s="17" t="s">
        <v>149</v>
      </c>
      <c r="J108" s="18">
        <v>3768.87</v>
      </c>
      <c r="K108" s="19">
        <v>0</v>
      </c>
      <c r="L108" s="26">
        <f t="shared" si="5"/>
        <v>0</v>
      </c>
      <c r="M108" s="27"/>
      <c r="N108" s="27"/>
      <c r="O108" s="22"/>
      <c r="P108" s="16">
        <v>46216.48505787037</v>
      </c>
      <c r="Q108" s="16">
        <v>46216</v>
      </c>
      <c r="R108" s="21" t="s">
        <v>19</v>
      </c>
      <c r="S108" s="21" t="s">
        <v>150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</row>
    <row r="109" spans="1:45" s="24" customFormat="1" ht="13.9" hidden="1" customHeight="1" x14ac:dyDescent="0.35">
      <c r="A109" s="13" t="s">
        <v>183</v>
      </c>
      <c r="B109" s="13" t="s">
        <v>184</v>
      </c>
      <c r="C109" s="13">
        <v>41301</v>
      </c>
      <c r="D109" s="14" t="s">
        <v>111</v>
      </c>
      <c r="E109" s="15" t="s">
        <v>112</v>
      </c>
      <c r="F109" s="16">
        <v>46209</v>
      </c>
      <c r="G109" s="16">
        <v>46204</v>
      </c>
      <c r="H109" s="13">
        <v>8902</v>
      </c>
      <c r="I109" s="17" t="s">
        <v>185</v>
      </c>
      <c r="J109" s="18">
        <v>310.14999999999998</v>
      </c>
      <c r="K109" s="19">
        <v>0</v>
      </c>
      <c r="L109" s="26">
        <f t="shared" si="5"/>
        <v>0</v>
      </c>
      <c r="M109" s="27"/>
      <c r="N109" s="27"/>
      <c r="O109" s="22"/>
      <c r="P109" s="16">
        <v>46209.673055555555</v>
      </c>
      <c r="Q109" s="16">
        <v>46209</v>
      </c>
      <c r="R109" s="21" t="s">
        <v>19</v>
      </c>
      <c r="S109" s="21" t="s">
        <v>186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</row>
    <row r="110" spans="1:45" s="24" customFormat="1" ht="13.9" hidden="1" customHeight="1" x14ac:dyDescent="0.35">
      <c r="A110" s="13" t="s">
        <v>183</v>
      </c>
      <c r="B110" s="13" t="s">
        <v>184</v>
      </c>
      <c r="C110" s="13">
        <v>41356</v>
      </c>
      <c r="D110" s="14" t="s">
        <v>44</v>
      </c>
      <c r="E110" s="15" t="s">
        <v>45</v>
      </c>
      <c r="F110" s="16">
        <v>46218</v>
      </c>
      <c r="G110" s="16">
        <v>46218</v>
      </c>
      <c r="H110" s="13">
        <v>29095</v>
      </c>
      <c r="I110" s="17" t="s">
        <v>93</v>
      </c>
      <c r="J110" s="18">
        <v>16261.17</v>
      </c>
      <c r="K110" s="19">
        <v>813.06</v>
      </c>
      <c r="L110" s="26">
        <f t="shared" si="5"/>
        <v>5.0000092244285002</v>
      </c>
      <c r="M110" s="27"/>
      <c r="N110" s="27"/>
      <c r="O110" s="22"/>
      <c r="P110" s="16">
        <v>46218.756898148145</v>
      </c>
      <c r="Q110" s="16">
        <v>46218</v>
      </c>
      <c r="R110" s="21" t="s">
        <v>19</v>
      </c>
      <c r="S110" s="21" t="s">
        <v>94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</row>
    <row r="111" spans="1:45" s="24" customFormat="1" ht="13.9" hidden="1" customHeight="1" x14ac:dyDescent="0.35">
      <c r="A111" s="13" t="s">
        <v>183</v>
      </c>
      <c r="B111" s="13" t="s">
        <v>184</v>
      </c>
      <c r="C111" s="13">
        <v>41418</v>
      </c>
      <c r="D111" s="14" t="s">
        <v>62</v>
      </c>
      <c r="E111" s="15" t="s">
        <v>63</v>
      </c>
      <c r="F111" s="16">
        <v>46230</v>
      </c>
      <c r="G111" s="16">
        <v>46213</v>
      </c>
      <c r="H111" s="13">
        <v>1006716</v>
      </c>
      <c r="I111" s="17" t="s">
        <v>84</v>
      </c>
      <c r="J111" s="18">
        <v>5460.16</v>
      </c>
      <c r="K111" s="19">
        <v>273.01</v>
      </c>
      <c r="L111" s="26">
        <f t="shared" si="5"/>
        <v>5.0000366289632536</v>
      </c>
      <c r="M111" s="27"/>
      <c r="N111" s="27">
        <v>27.12</v>
      </c>
      <c r="O111" s="22" t="s">
        <v>285</v>
      </c>
      <c r="P111" s="16">
        <v>46230.412361111114</v>
      </c>
      <c r="Q111" s="16">
        <v>46230</v>
      </c>
      <c r="R111" s="21" t="s">
        <v>19</v>
      </c>
      <c r="S111" s="21" t="s">
        <v>85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</row>
    <row r="112" spans="1:45" s="24" customFormat="1" ht="13.9" hidden="1" customHeight="1" x14ac:dyDescent="0.35">
      <c r="A112" s="13" t="s">
        <v>187</v>
      </c>
      <c r="B112" s="13" t="s">
        <v>188</v>
      </c>
      <c r="C112" s="13">
        <v>83410</v>
      </c>
      <c r="D112" s="14" t="s">
        <v>21</v>
      </c>
      <c r="E112" s="15" t="s">
        <v>22</v>
      </c>
      <c r="F112" s="16">
        <v>46224</v>
      </c>
      <c r="G112" s="16">
        <v>46218</v>
      </c>
      <c r="H112" s="13">
        <v>4</v>
      </c>
      <c r="I112" s="17" t="s">
        <v>35</v>
      </c>
      <c r="J112" s="18">
        <v>1125</v>
      </c>
      <c r="K112" s="19">
        <v>0</v>
      </c>
      <c r="L112" s="20">
        <f t="shared" si="5"/>
        <v>0</v>
      </c>
      <c r="M112" s="27"/>
      <c r="N112" s="27"/>
      <c r="O112" s="22"/>
      <c r="P112" s="16">
        <v>46224.486168981479</v>
      </c>
      <c r="Q112" s="16">
        <v>46224</v>
      </c>
      <c r="R112" s="21" t="s">
        <v>19</v>
      </c>
      <c r="S112" s="21" t="s">
        <v>20</v>
      </c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</row>
    <row r="113" spans="1:45" s="24" customFormat="1" ht="13.9" hidden="1" customHeight="1" x14ac:dyDescent="0.35">
      <c r="A113" s="13" t="s">
        <v>187</v>
      </c>
      <c r="B113" s="13" t="s">
        <v>188</v>
      </c>
      <c r="C113" s="13">
        <v>83170</v>
      </c>
      <c r="D113" s="14" t="s">
        <v>44</v>
      </c>
      <c r="E113" s="15" t="s">
        <v>45</v>
      </c>
      <c r="F113" s="16">
        <v>46206</v>
      </c>
      <c r="G113" s="16">
        <v>46205</v>
      </c>
      <c r="H113" s="13">
        <v>80</v>
      </c>
      <c r="I113" s="17" t="s">
        <v>189</v>
      </c>
      <c r="J113" s="18">
        <v>1812369.07</v>
      </c>
      <c r="K113" s="19">
        <v>90618.45</v>
      </c>
      <c r="L113" s="20">
        <f t="shared" si="5"/>
        <v>4.9999998068826015</v>
      </c>
      <c r="M113" s="27"/>
      <c r="N113" s="27"/>
      <c r="O113" s="22"/>
      <c r="P113" s="16">
        <v>46206.517199074071</v>
      </c>
      <c r="Q113" s="16">
        <v>46206</v>
      </c>
      <c r="R113" s="21" t="s">
        <v>19</v>
      </c>
      <c r="S113" s="21" t="s">
        <v>190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</row>
    <row r="114" spans="1:45" s="24" customFormat="1" ht="13.9" hidden="1" customHeight="1" x14ac:dyDescent="0.35">
      <c r="A114" s="13" t="s">
        <v>187</v>
      </c>
      <c r="B114" s="13" t="s">
        <v>188</v>
      </c>
      <c r="C114" s="13">
        <v>83321</v>
      </c>
      <c r="D114" s="14" t="s">
        <v>48</v>
      </c>
      <c r="E114" s="15" t="s">
        <v>49</v>
      </c>
      <c r="F114" s="16">
        <v>46218</v>
      </c>
      <c r="G114" s="16">
        <v>46217</v>
      </c>
      <c r="H114" s="13">
        <v>134</v>
      </c>
      <c r="I114" s="17" t="s">
        <v>191</v>
      </c>
      <c r="J114" s="18">
        <v>103512.78</v>
      </c>
      <c r="K114" s="19">
        <v>3105.38</v>
      </c>
      <c r="L114" s="20">
        <f t="shared" si="5"/>
        <v>2.9999967153814247</v>
      </c>
      <c r="M114" s="27"/>
      <c r="N114" s="27"/>
      <c r="O114" s="22"/>
      <c r="P114" s="16">
        <v>46218.438194444447</v>
      </c>
      <c r="Q114" s="16">
        <v>46218</v>
      </c>
      <c r="R114" s="21" t="s">
        <v>19</v>
      </c>
      <c r="S114" s="21" t="s">
        <v>192</v>
      </c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</row>
    <row r="115" spans="1:45" s="24" customFormat="1" ht="13.9" hidden="1" customHeight="1" x14ac:dyDescent="0.35">
      <c r="A115" s="13" t="s">
        <v>187</v>
      </c>
      <c r="B115" s="13" t="s">
        <v>188</v>
      </c>
      <c r="C115" s="13">
        <v>83183</v>
      </c>
      <c r="D115" s="14" t="s">
        <v>38</v>
      </c>
      <c r="E115" s="15" t="s">
        <v>39</v>
      </c>
      <c r="F115" s="16">
        <v>46209</v>
      </c>
      <c r="G115" s="16">
        <v>46205</v>
      </c>
      <c r="H115" s="13">
        <v>196</v>
      </c>
      <c r="I115" s="17" t="s">
        <v>193</v>
      </c>
      <c r="J115" s="18">
        <v>5590</v>
      </c>
      <c r="K115" s="19">
        <v>0</v>
      </c>
      <c r="L115" s="26">
        <f t="shared" si="5"/>
        <v>0</v>
      </c>
      <c r="M115" s="27"/>
      <c r="N115" s="27"/>
      <c r="O115" s="22"/>
      <c r="P115" s="16">
        <v>46209.374849537038</v>
      </c>
      <c r="Q115" s="16">
        <v>46209</v>
      </c>
      <c r="R115" s="21" t="s">
        <v>19</v>
      </c>
      <c r="S115" s="21" t="s">
        <v>194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</row>
    <row r="116" spans="1:45" s="24" customFormat="1" ht="13.9" hidden="1" customHeight="1" x14ac:dyDescent="0.35">
      <c r="A116" s="13" t="s">
        <v>187</v>
      </c>
      <c r="B116" s="13" t="s">
        <v>188</v>
      </c>
      <c r="C116" s="13">
        <v>83171</v>
      </c>
      <c r="D116" s="14" t="s">
        <v>44</v>
      </c>
      <c r="E116" s="15" t="s">
        <v>45</v>
      </c>
      <c r="F116" s="16">
        <v>46206</v>
      </c>
      <c r="G116" s="16">
        <v>46206</v>
      </c>
      <c r="H116" s="13">
        <v>216</v>
      </c>
      <c r="I116" s="17" t="s">
        <v>195</v>
      </c>
      <c r="J116" s="18">
        <v>3040763.17</v>
      </c>
      <c r="K116" s="19">
        <v>152038.16</v>
      </c>
      <c r="L116" s="26">
        <f t="shared" si="5"/>
        <v>5.0000000493297216</v>
      </c>
      <c r="M116" s="27"/>
      <c r="N116" s="27"/>
      <c r="O116" s="22"/>
      <c r="P116" s="16">
        <v>46206.542303240742</v>
      </c>
      <c r="Q116" s="16">
        <v>46206</v>
      </c>
      <c r="R116" s="21" t="s">
        <v>19</v>
      </c>
      <c r="S116" s="21" t="s">
        <v>196</v>
      </c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</row>
    <row r="117" spans="1:45" s="24" customFormat="1" ht="13.9" hidden="1" customHeight="1" x14ac:dyDescent="0.35">
      <c r="A117" s="13" t="s">
        <v>187</v>
      </c>
      <c r="B117" s="13" t="s">
        <v>188</v>
      </c>
      <c r="C117" s="13">
        <v>83176</v>
      </c>
      <c r="D117" s="14" t="s">
        <v>44</v>
      </c>
      <c r="E117" s="15" t="s">
        <v>45</v>
      </c>
      <c r="F117" s="16">
        <v>46206</v>
      </c>
      <c r="G117" s="16">
        <v>46206</v>
      </c>
      <c r="H117" s="13">
        <v>217</v>
      </c>
      <c r="I117" s="17" t="s">
        <v>195</v>
      </c>
      <c r="J117" s="18">
        <v>1380956.04</v>
      </c>
      <c r="K117" s="19">
        <v>69047.8</v>
      </c>
      <c r="L117" s="26">
        <f t="shared" si="5"/>
        <v>4.9999998551727973</v>
      </c>
      <c r="M117" s="27"/>
      <c r="N117" s="27"/>
      <c r="O117" s="22"/>
      <c r="P117" s="16">
        <v>46206.768703703703</v>
      </c>
      <c r="Q117" s="16">
        <v>46206</v>
      </c>
      <c r="R117" s="21" t="s">
        <v>19</v>
      </c>
      <c r="S117" s="21" t="s">
        <v>196</v>
      </c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</row>
    <row r="118" spans="1:45" s="54" customFormat="1" ht="13.9" hidden="1" customHeight="1" x14ac:dyDescent="0.35">
      <c r="A118" s="43" t="s">
        <v>187</v>
      </c>
      <c r="B118" s="43" t="s">
        <v>188</v>
      </c>
      <c r="C118" s="43">
        <v>83247</v>
      </c>
      <c r="D118" s="44" t="s">
        <v>54</v>
      </c>
      <c r="E118" s="45" t="s">
        <v>55</v>
      </c>
      <c r="F118" s="16">
        <v>46212</v>
      </c>
      <c r="G118" s="16">
        <v>46204</v>
      </c>
      <c r="H118" s="43">
        <v>344</v>
      </c>
      <c r="I118" s="46" t="s">
        <v>88</v>
      </c>
      <c r="J118" s="47">
        <v>67662.429999999993</v>
      </c>
      <c r="K118" s="48">
        <v>0</v>
      </c>
      <c r="L118" s="49">
        <f t="shared" si="5"/>
        <v>0</v>
      </c>
      <c r="M118" s="48">
        <v>3383.12</v>
      </c>
      <c r="N118" s="50"/>
      <c r="O118" s="42" t="s">
        <v>283</v>
      </c>
      <c r="P118" s="51">
        <v>46212.464895833335</v>
      </c>
      <c r="Q118" s="51">
        <v>46212</v>
      </c>
      <c r="R118" s="52" t="s">
        <v>19</v>
      </c>
      <c r="S118" s="52" t="s">
        <v>89</v>
      </c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</row>
    <row r="119" spans="1:45" s="54" customFormat="1" ht="13.9" hidden="1" customHeight="1" x14ac:dyDescent="0.35">
      <c r="A119" s="43" t="s">
        <v>187</v>
      </c>
      <c r="B119" s="43" t="s">
        <v>188</v>
      </c>
      <c r="C119" s="43">
        <v>83465</v>
      </c>
      <c r="D119" s="44" t="s">
        <v>54</v>
      </c>
      <c r="E119" s="45" t="s">
        <v>55</v>
      </c>
      <c r="F119" s="16">
        <v>46230</v>
      </c>
      <c r="G119" s="16">
        <v>46212</v>
      </c>
      <c r="H119" s="43">
        <v>366</v>
      </c>
      <c r="I119" s="46" t="s">
        <v>88</v>
      </c>
      <c r="J119" s="47">
        <v>135324.85</v>
      </c>
      <c r="K119" s="48">
        <v>0</v>
      </c>
      <c r="L119" s="49">
        <f t="shared" si="5"/>
        <v>0</v>
      </c>
      <c r="M119" s="48">
        <v>6766.24</v>
      </c>
      <c r="N119" s="48"/>
      <c r="O119" s="42" t="s">
        <v>284</v>
      </c>
      <c r="P119" s="51">
        <v>46230.694965277777</v>
      </c>
      <c r="Q119" s="51">
        <v>46230</v>
      </c>
      <c r="R119" s="52" t="s">
        <v>19</v>
      </c>
      <c r="S119" s="52" t="s">
        <v>89</v>
      </c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</row>
    <row r="120" spans="1:45" s="24" customFormat="1" ht="13.9" hidden="1" customHeight="1" x14ac:dyDescent="0.35">
      <c r="A120" s="13" t="s">
        <v>187</v>
      </c>
      <c r="B120" s="13" t="s">
        <v>188</v>
      </c>
      <c r="C120" s="13">
        <v>83239</v>
      </c>
      <c r="D120" s="14" t="s">
        <v>197</v>
      </c>
      <c r="E120" s="15" t="s">
        <v>198</v>
      </c>
      <c r="F120" s="16">
        <v>46211</v>
      </c>
      <c r="G120" s="16">
        <v>46211</v>
      </c>
      <c r="H120" s="13">
        <v>419</v>
      </c>
      <c r="I120" s="17" t="s">
        <v>199</v>
      </c>
      <c r="J120" s="18">
        <v>131700</v>
      </c>
      <c r="K120" s="19">
        <v>0</v>
      </c>
      <c r="L120" s="26">
        <f t="shared" si="5"/>
        <v>0</v>
      </c>
      <c r="M120" s="27"/>
      <c r="N120" s="27"/>
      <c r="O120" s="22"/>
      <c r="P120" s="16">
        <v>46211.584155092591</v>
      </c>
      <c r="Q120" s="16">
        <v>46211</v>
      </c>
      <c r="R120" s="21" t="s">
        <v>19</v>
      </c>
      <c r="S120" s="21" t="s">
        <v>200</v>
      </c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</row>
    <row r="121" spans="1:45" s="24" customFormat="1" ht="13.9" hidden="1" customHeight="1" x14ac:dyDescent="0.35">
      <c r="A121" s="13" t="s">
        <v>187</v>
      </c>
      <c r="B121" s="13" t="s">
        <v>188</v>
      </c>
      <c r="C121" s="13">
        <v>83418</v>
      </c>
      <c r="D121" s="14" t="s">
        <v>33</v>
      </c>
      <c r="E121" s="15" t="s">
        <v>34</v>
      </c>
      <c r="F121" s="16">
        <v>46225</v>
      </c>
      <c r="G121" s="16">
        <v>46224</v>
      </c>
      <c r="H121" s="13">
        <v>860</v>
      </c>
      <c r="I121" s="17" t="s">
        <v>201</v>
      </c>
      <c r="J121" s="18">
        <v>2853758.29</v>
      </c>
      <c r="K121" s="19">
        <v>0</v>
      </c>
      <c r="L121" s="26">
        <f t="shared" si="5"/>
        <v>0</v>
      </c>
      <c r="M121" s="27"/>
      <c r="N121" s="27"/>
      <c r="O121" s="22"/>
      <c r="P121" s="16">
        <v>46225.439502314817</v>
      </c>
      <c r="Q121" s="16">
        <v>46225</v>
      </c>
      <c r="R121" s="21" t="s">
        <v>19</v>
      </c>
      <c r="S121" s="21" t="s">
        <v>202</v>
      </c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</row>
    <row r="122" spans="1:45" s="24" customFormat="1" ht="13.9" hidden="1" customHeight="1" x14ac:dyDescent="0.35">
      <c r="A122" s="13" t="s">
        <v>187</v>
      </c>
      <c r="B122" s="13" t="s">
        <v>188</v>
      </c>
      <c r="C122" s="13">
        <v>83417</v>
      </c>
      <c r="D122" s="14" t="s">
        <v>33</v>
      </c>
      <c r="E122" s="15" t="s">
        <v>34</v>
      </c>
      <c r="F122" s="16">
        <v>46225</v>
      </c>
      <c r="G122" s="16">
        <v>46224</v>
      </c>
      <c r="H122" s="13">
        <v>861</v>
      </c>
      <c r="I122" s="17" t="s">
        <v>201</v>
      </c>
      <c r="J122" s="18">
        <v>5446502.1299999999</v>
      </c>
      <c r="K122" s="19">
        <v>0</v>
      </c>
      <c r="L122" s="26">
        <f t="shared" si="5"/>
        <v>0</v>
      </c>
      <c r="M122" s="27"/>
      <c r="N122" s="27"/>
      <c r="O122" s="22"/>
      <c r="P122" s="16">
        <v>46225.439502314817</v>
      </c>
      <c r="Q122" s="16">
        <v>46225</v>
      </c>
      <c r="R122" s="21" t="s">
        <v>19</v>
      </c>
      <c r="S122" s="21" t="s">
        <v>202</v>
      </c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</row>
    <row r="123" spans="1:45" s="24" customFormat="1" ht="13.9" hidden="1" customHeight="1" x14ac:dyDescent="0.35">
      <c r="A123" s="13" t="s">
        <v>187</v>
      </c>
      <c r="B123" s="13" t="s">
        <v>188</v>
      </c>
      <c r="C123" s="13">
        <v>83195</v>
      </c>
      <c r="D123" s="14" t="s">
        <v>33</v>
      </c>
      <c r="E123" s="15" t="s">
        <v>34</v>
      </c>
      <c r="F123" s="16">
        <v>46209</v>
      </c>
      <c r="G123" s="16">
        <v>46209</v>
      </c>
      <c r="H123" s="13">
        <v>1233</v>
      </c>
      <c r="I123" s="17" t="s">
        <v>203</v>
      </c>
      <c r="J123" s="18">
        <v>609.76</v>
      </c>
      <c r="K123" s="19">
        <v>0</v>
      </c>
      <c r="L123" s="26">
        <f t="shared" si="5"/>
        <v>0</v>
      </c>
      <c r="M123" s="27"/>
      <c r="N123" s="27"/>
      <c r="O123" s="22"/>
      <c r="P123" s="16">
        <v>46209.50309027778</v>
      </c>
      <c r="Q123" s="16">
        <v>46209</v>
      </c>
      <c r="R123" s="21" t="s">
        <v>19</v>
      </c>
      <c r="S123" s="21" t="s">
        <v>204</v>
      </c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</row>
    <row r="124" spans="1:45" s="24" customFormat="1" ht="13.5" hidden="1" customHeight="1" x14ac:dyDescent="0.35">
      <c r="A124" s="13" t="s">
        <v>187</v>
      </c>
      <c r="B124" s="13" t="s">
        <v>188</v>
      </c>
      <c r="C124" s="13">
        <v>83414</v>
      </c>
      <c r="D124" s="14" t="s">
        <v>29</v>
      </c>
      <c r="E124" s="15" t="s">
        <v>30</v>
      </c>
      <c r="F124" s="16">
        <v>46224</v>
      </c>
      <c r="G124" s="16">
        <v>46219</v>
      </c>
      <c r="H124" s="13">
        <v>1360</v>
      </c>
      <c r="I124" s="17" t="s">
        <v>101</v>
      </c>
      <c r="J124" s="18">
        <v>5162.3999999999996</v>
      </c>
      <c r="K124" s="19">
        <v>0</v>
      </c>
      <c r="L124" s="26">
        <f t="shared" si="5"/>
        <v>0</v>
      </c>
      <c r="M124" s="27"/>
      <c r="N124" s="27"/>
      <c r="O124" s="22"/>
      <c r="P124" s="16">
        <v>46224.715879629628</v>
      </c>
      <c r="Q124" s="16">
        <v>46224</v>
      </c>
      <c r="R124" s="21" t="s">
        <v>19</v>
      </c>
      <c r="S124" s="21" t="s">
        <v>102</v>
      </c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</row>
    <row r="125" spans="1:45" s="24" customFormat="1" ht="13.9" hidden="1" customHeight="1" x14ac:dyDescent="0.35">
      <c r="A125" s="13" t="s">
        <v>187</v>
      </c>
      <c r="B125" s="13" t="s">
        <v>188</v>
      </c>
      <c r="C125" s="13">
        <v>83285</v>
      </c>
      <c r="D125" s="14" t="s">
        <v>123</v>
      </c>
      <c r="E125" s="15" t="s">
        <v>124</v>
      </c>
      <c r="F125" s="16">
        <v>46213</v>
      </c>
      <c r="G125" s="16">
        <v>46212</v>
      </c>
      <c r="H125" s="13">
        <v>1710</v>
      </c>
      <c r="I125" s="17" t="s">
        <v>125</v>
      </c>
      <c r="J125" s="18">
        <v>4996.16</v>
      </c>
      <c r="K125" s="19">
        <v>249.81</v>
      </c>
      <c r="L125" s="26">
        <f t="shared" si="5"/>
        <v>5.0000400307436115</v>
      </c>
      <c r="M125" s="27"/>
      <c r="N125" s="27"/>
      <c r="O125" s="22"/>
      <c r="P125" s="16">
        <v>46213.66946759259</v>
      </c>
      <c r="Q125" s="16">
        <v>46213</v>
      </c>
      <c r="R125" s="21" t="s">
        <v>19</v>
      </c>
      <c r="S125" s="21" t="s">
        <v>126</v>
      </c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</row>
    <row r="126" spans="1:45" s="24" customFormat="1" ht="13.9" hidden="1" customHeight="1" x14ac:dyDescent="0.35">
      <c r="A126" s="13" t="s">
        <v>187</v>
      </c>
      <c r="B126" s="13" t="s">
        <v>188</v>
      </c>
      <c r="C126" s="13">
        <v>83329</v>
      </c>
      <c r="D126" s="14" t="s">
        <v>127</v>
      </c>
      <c r="E126" s="15" t="s">
        <v>112</v>
      </c>
      <c r="F126" s="16">
        <v>46218</v>
      </c>
      <c r="G126" s="16">
        <v>46218</v>
      </c>
      <c r="H126" s="13">
        <v>1818</v>
      </c>
      <c r="I126" s="17" t="s">
        <v>205</v>
      </c>
      <c r="J126" s="18">
        <v>76581.45</v>
      </c>
      <c r="K126" s="19">
        <v>0</v>
      </c>
      <c r="L126" s="26">
        <f t="shared" si="5"/>
        <v>0</v>
      </c>
      <c r="M126" s="27"/>
      <c r="N126" s="27"/>
      <c r="O126" s="22"/>
      <c r="P126" s="16">
        <v>46218.538784722223</v>
      </c>
      <c r="Q126" s="16">
        <v>46218</v>
      </c>
      <c r="R126" s="21" t="s">
        <v>19</v>
      </c>
      <c r="S126" s="21" t="s">
        <v>206</v>
      </c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</row>
    <row r="127" spans="1:45" s="24" customFormat="1" ht="13.9" hidden="1" customHeight="1" x14ac:dyDescent="0.35">
      <c r="A127" s="13" t="s">
        <v>187</v>
      </c>
      <c r="B127" s="13" t="s">
        <v>188</v>
      </c>
      <c r="C127" s="13">
        <v>83330</v>
      </c>
      <c r="D127" s="14" t="s">
        <v>127</v>
      </c>
      <c r="E127" s="15" t="s">
        <v>112</v>
      </c>
      <c r="F127" s="16">
        <v>46218</v>
      </c>
      <c r="G127" s="16">
        <v>46218</v>
      </c>
      <c r="H127" s="13">
        <v>1819</v>
      </c>
      <c r="I127" s="17" t="s">
        <v>205</v>
      </c>
      <c r="J127" s="18">
        <v>17977.36</v>
      </c>
      <c r="K127" s="19">
        <v>0</v>
      </c>
      <c r="L127" s="26">
        <f t="shared" si="5"/>
        <v>0</v>
      </c>
      <c r="M127" s="27"/>
      <c r="N127" s="27"/>
      <c r="O127" s="22"/>
      <c r="P127" s="16">
        <v>46218.545428240737</v>
      </c>
      <c r="Q127" s="16">
        <v>46218</v>
      </c>
      <c r="R127" s="21" t="s">
        <v>19</v>
      </c>
      <c r="S127" s="21" t="s">
        <v>206</v>
      </c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</row>
    <row r="128" spans="1:45" s="24" customFormat="1" ht="13.9" hidden="1" customHeight="1" x14ac:dyDescent="0.35">
      <c r="A128" s="13" t="s">
        <v>187</v>
      </c>
      <c r="B128" s="13" t="s">
        <v>188</v>
      </c>
      <c r="C128" s="13">
        <v>83386</v>
      </c>
      <c r="D128" s="14" t="s">
        <v>33</v>
      </c>
      <c r="E128" s="15" t="s">
        <v>34</v>
      </c>
      <c r="F128" s="16">
        <v>46223</v>
      </c>
      <c r="G128" s="16">
        <v>46223</v>
      </c>
      <c r="H128" s="13">
        <v>13543</v>
      </c>
      <c r="I128" s="17" t="s">
        <v>207</v>
      </c>
      <c r="J128" s="18">
        <v>365956.69</v>
      </c>
      <c r="K128" s="19">
        <v>0</v>
      </c>
      <c r="L128" s="26">
        <f t="shared" si="5"/>
        <v>0</v>
      </c>
      <c r="M128" s="27"/>
      <c r="N128" s="27"/>
      <c r="O128" s="22"/>
      <c r="P128" s="16">
        <v>46223.432685185187</v>
      </c>
      <c r="Q128" s="16">
        <v>46223</v>
      </c>
      <c r="R128" s="21" t="s">
        <v>19</v>
      </c>
      <c r="S128" s="21" t="s">
        <v>208</v>
      </c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</row>
    <row r="129" spans="1:45" s="24" customFormat="1" ht="13.9" hidden="1" customHeight="1" x14ac:dyDescent="0.35">
      <c r="A129" s="13" t="s">
        <v>187</v>
      </c>
      <c r="B129" s="13" t="s">
        <v>188</v>
      </c>
      <c r="C129" s="13">
        <v>83388</v>
      </c>
      <c r="D129" s="14" t="s">
        <v>33</v>
      </c>
      <c r="E129" s="15" t="s">
        <v>34</v>
      </c>
      <c r="F129" s="16">
        <v>46223</v>
      </c>
      <c r="G129" s="16">
        <v>46223</v>
      </c>
      <c r="H129" s="13">
        <v>42313</v>
      </c>
      <c r="I129" s="17" t="s">
        <v>207</v>
      </c>
      <c r="J129" s="18">
        <v>997567.71</v>
      </c>
      <c r="K129" s="19">
        <v>0</v>
      </c>
      <c r="L129" s="26">
        <f t="shared" si="5"/>
        <v>0</v>
      </c>
      <c r="M129" s="27"/>
      <c r="N129" s="27"/>
      <c r="O129" s="22"/>
      <c r="P129" s="16">
        <v>46223.445231481484</v>
      </c>
      <c r="Q129" s="16">
        <v>46223</v>
      </c>
      <c r="R129" s="21" t="s">
        <v>19</v>
      </c>
      <c r="S129" s="21" t="s">
        <v>208</v>
      </c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</row>
    <row r="130" spans="1:45" s="24" customFormat="1" ht="13.9" hidden="1" customHeight="1" x14ac:dyDescent="0.35">
      <c r="A130" s="13" t="s">
        <v>187</v>
      </c>
      <c r="B130" s="13" t="s">
        <v>188</v>
      </c>
      <c r="C130" s="13">
        <v>83419</v>
      </c>
      <c r="D130" s="14" t="s">
        <v>33</v>
      </c>
      <c r="E130" s="15" t="s">
        <v>34</v>
      </c>
      <c r="F130" s="16">
        <v>46225</v>
      </c>
      <c r="G130" s="16">
        <v>46224</v>
      </c>
      <c r="H130" s="13">
        <v>42327</v>
      </c>
      <c r="I130" s="17" t="s">
        <v>207</v>
      </c>
      <c r="J130" s="18">
        <v>8862.51</v>
      </c>
      <c r="K130" s="19">
        <v>0</v>
      </c>
      <c r="L130" s="26">
        <f t="shared" si="5"/>
        <v>0</v>
      </c>
      <c r="M130" s="27"/>
      <c r="N130" s="27"/>
      <c r="O130" s="22"/>
      <c r="P130" s="16">
        <v>46225.440462962964</v>
      </c>
      <c r="Q130" s="16">
        <v>46225</v>
      </c>
      <c r="R130" s="21" t="s">
        <v>19</v>
      </c>
      <c r="S130" s="21" t="s">
        <v>208</v>
      </c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</row>
    <row r="131" spans="1:45" s="24" customFormat="1" ht="13.9" hidden="1" customHeight="1" x14ac:dyDescent="0.35">
      <c r="A131" s="13" t="s">
        <v>187</v>
      </c>
      <c r="B131" s="13" t="s">
        <v>188</v>
      </c>
      <c r="C131" s="13">
        <v>83341</v>
      </c>
      <c r="D131" s="14" t="s">
        <v>33</v>
      </c>
      <c r="E131" s="15" t="s">
        <v>34</v>
      </c>
      <c r="F131" s="16">
        <v>46219</v>
      </c>
      <c r="G131" s="16">
        <v>46218</v>
      </c>
      <c r="H131" s="13">
        <v>59468</v>
      </c>
      <c r="I131" s="17" t="s">
        <v>201</v>
      </c>
      <c r="J131" s="18">
        <v>184038.99</v>
      </c>
      <c r="K131" s="19">
        <v>0</v>
      </c>
      <c r="L131" s="26">
        <f t="shared" si="5"/>
        <v>0</v>
      </c>
      <c r="M131" s="27"/>
      <c r="N131" s="27"/>
      <c r="O131" s="22"/>
      <c r="P131" s="16">
        <v>46219.399085648147</v>
      </c>
      <c r="Q131" s="16">
        <v>46219</v>
      </c>
      <c r="R131" s="21" t="s">
        <v>19</v>
      </c>
      <c r="S131" s="21" t="s">
        <v>202</v>
      </c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</row>
    <row r="132" spans="1:45" s="24" customFormat="1" ht="13.9" hidden="1" customHeight="1" x14ac:dyDescent="0.35">
      <c r="A132" s="13" t="s">
        <v>187</v>
      </c>
      <c r="B132" s="13" t="s">
        <v>188</v>
      </c>
      <c r="C132" s="13">
        <v>83339</v>
      </c>
      <c r="D132" s="14" t="s">
        <v>33</v>
      </c>
      <c r="E132" s="15" t="s">
        <v>34</v>
      </c>
      <c r="F132" s="16">
        <v>46218</v>
      </c>
      <c r="G132" s="16">
        <v>46218</v>
      </c>
      <c r="H132" s="13">
        <v>59470</v>
      </c>
      <c r="I132" s="17" t="s">
        <v>201</v>
      </c>
      <c r="J132" s="18">
        <v>95287.98</v>
      </c>
      <c r="K132" s="19">
        <v>0</v>
      </c>
      <c r="L132" s="26">
        <f t="shared" si="5"/>
        <v>0</v>
      </c>
      <c r="M132" s="27"/>
      <c r="N132" s="27"/>
      <c r="O132" s="22"/>
      <c r="P132" s="16">
        <v>46218.787349537037</v>
      </c>
      <c r="Q132" s="16">
        <v>46218</v>
      </c>
      <c r="R132" s="21" t="s">
        <v>19</v>
      </c>
      <c r="S132" s="21" t="s">
        <v>202</v>
      </c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</row>
    <row r="133" spans="1:45" s="24" customFormat="1" ht="13.9" hidden="1" customHeight="1" x14ac:dyDescent="0.35">
      <c r="A133" s="13" t="s">
        <v>187</v>
      </c>
      <c r="B133" s="13" t="s">
        <v>188</v>
      </c>
      <c r="C133" s="13">
        <v>83389</v>
      </c>
      <c r="D133" s="14" t="s">
        <v>33</v>
      </c>
      <c r="E133" s="15" t="s">
        <v>34</v>
      </c>
      <c r="F133" s="16">
        <v>46223</v>
      </c>
      <c r="G133" s="16">
        <v>46222</v>
      </c>
      <c r="H133" s="13">
        <v>59529</v>
      </c>
      <c r="I133" s="17" t="s">
        <v>201</v>
      </c>
      <c r="J133" s="18">
        <v>4076.52</v>
      </c>
      <c r="K133" s="19">
        <v>0</v>
      </c>
      <c r="L133" s="26">
        <f t="shared" si="5"/>
        <v>0</v>
      </c>
      <c r="M133" s="27"/>
      <c r="N133" s="27"/>
      <c r="O133" s="22"/>
      <c r="P133" s="16">
        <v>46223.465416666666</v>
      </c>
      <c r="Q133" s="16">
        <v>46223</v>
      </c>
      <c r="R133" s="21" t="s">
        <v>19</v>
      </c>
      <c r="S133" s="21" t="s">
        <v>202</v>
      </c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</row>
    <row r="134" spans="1:45" s="24" customFormat="1" ht="13.9" hidden="1" customHeight="1" x14ac:dyDescent="0.35">
      <c r="A134" s="13" t="s">
        <v>187</v>
      </c>
      <c r="B134" s="13" t="s">
        <v>188</v>
      </c>
      <c r="C134" s="13">
        <v>83380</v>
      </c>
      <c r="D134" s="14" t="s">
        <v>44</v>
      </c>
      <c r="E134" s="15" t="s">
        <v>45</v>
      </c>
      <c r="F134" s="16">
        <v>46220</v>
      </c>
      <c r="G134" s="16">
        <v>46220</v>
      </c>
      <c r="H134" s="13">
        <v>224961</v>
      </c>
      <c r="I134" s="17" t="s">
        <v>46</v>
      </c>
      <c r="J134" s="18">
        <v>23864.68</v>
      </c>
      <c r="K134" s="19">
        <v>1193.23</v>
      </c>
      <c r="L134" s="26">
        <f t="shared" si="5"/>
        <v>4.9999832388282606</v>
      </c>
      <c r="M134" s="27"/>
      <c r="N134" s="27"/>
      <c r="O134" s="22"/>
      <c r="P134" s="16">
        <v>46220.724606481483</v>
      </c>
      <c r="Q134" s="16">
        <v>46220</v>
      </c>
      <c r="R134" s="21" t="s">
        <v>19</v>
      </c>
      <c r="S134" s="21" t="s">
        <v>47</v>
      </c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</row>
    <row r="135" spans="1:45" s="24" customFormat="1" ht="13.9" hidden="1" customHeight="1" x14ac:dyDescent="0.35">
      <c r="A135" s="13" t="s">
        <v>187</v>
      </c>
      <c r="B135" s="13" t="s">
        <v>188</v>
      </c>
      <c r="C135" s="13">
        <v>83381</v>
      </c>
      <c r="D135" s="14" t="s">
        <v>44</v>
      </c>
      <c r="E135" s="15" t="s">
        <v>45</v>
      </c>
      <c r="F135" s="16">
        <v>46220</v>
      </c>
      <c r="G135" s="16">
        <v>46220</v>
      </c>
      <c r="H135" s="13">
        <v>224969</v>
      </c>
      <c r="I135" s="17" t="s">
        <v>46</v>
      </c>
      <c r="J135" s="18">
        <v>107996.56</v>
      </c>
      <c r="K135" s="19">
        <v>5399.83</v>
      </c>
      <c r="L135" s="26">
        <f t="shared" si="5"/>
        <v>5.0000018519108389</v>
      </c>
      <c r="M135" s="27"/>
      <c r="N135" s="27"/>
      <c r="O135" s="22"/>
      <c r="P135" s="16">
        <v>46220.724606481483</v>
      </c>
      <c r="Q135" s="16">
        <v>46220</v>
      </c>
      <c r="R135" s="21" t="s">
        <v>19</v>
      </c>
      <c r="S135" s="21" t="s">
        <v>47</v>
      </c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</row>
    <row r="136" spans="1:45" s="24" customFormat="1" ht="13.9" hidden="1" customHeight="1" x14ac:dyDescent="0.35">
      <c r="A136" s="13" t="s">
        <v>187</v>
      </c>
      <c r="B136" s="13" t="s">
        <v>188</v>
      </c>
      <c r="C136" s="13">
        <v>83408</v>
      </c>
      <c r="D136" s="14" t="s">
        <v>115</v>
      </c>
      <c r="E136" s="15" t="s">
        <v>116</v>
      </c>
      <c r="F136" s="16">
        <v>46224</v>
      </c>
      <c r="G136" s="16">
        <v>46211</v>
      </c>
      <c r="H136" s="13">
        <v>546757</v>
      </c>
      <c r="I136" s="17" t="s">
        <v>209</v>
      </c>
      <c r="J136" s="18">
        <v>1</v>
      </c>
      <c r="K136" s="19">
        <v>0</v>
      </c>
      <c r="L136" s="26">
        <f t="shared" si="5"/>
        <v>0</v>
      </c>
      <c r="M136" s="27"/>
      <c r="N136" s="27"/>
      <c r="O136" s="22"/>
      <c r="P136" s="16">
        <v>46224.361851851849</v>
      </c>
      <c r="Q136" s="16">
        <v>46224</v>
      </c>
      <c r="R136" s="21" t="s">
        <v>19</v>
      </c>
      <c r="S136" s="21" t="s">
        <v>20</v>
      </c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</row>
    <row r="137" spans="1:45" s="24" customFormat="1" ht="13.9" hidden="1" customHeight="1" x14ac:dyDescent="0.35">
      <c r="A137" s="13" t="s">
        <v>187</v>
      </c>
      <c r="B137" s="13" t="s">
        <v>188</v>
      </c>
      <c r="C137" s="13">
        <v>83415</v>
      </c>
      <c r="D137" s="14" t="s">
        <v>115</v>
      </c>
      <c r="E137" s="15" t="s">
        <v>116</v>
      </c>
      <c r="F137" s="16">
        <v>46225</v>
      </c>
      <c r="G137" s="16">
        <v>46214</v>
      </c>
      <c r="H137" s="13">
        <v>551648</v>
      </c>
      <c r="I137" s="17" t="s">
        <v>209</v>
      </c>
      <c r="J137" s="18">
        <v>1</v>
      </c>
      <c r="K137" s="19">
        <v>0</v>
      </c>
      <c r="L137" s="26">
        <f t="shared" si="5"/>
        <v>0</v>
      </c>
      <c r="M137" s="27"/>
      <c r="N137" s="27"/>
      <c r="O137" s="22"/>
      <c r="P137" s="16">
        <v>46225.308993055558</v>
      </c>
      <c r="Q137" s="16">
        <v>46225</v>
      </c>
      <c r="R137" s="21" t="s">
        <v>19</v>
      </c>
      <c r="S137" s="21" t="s">
        <v>20</v>
      </c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</row>
    <row r="138" spans="1:45" s="24" customFormat="1" ht="13.9" hidden="1" customHeight="1" x14ac:dyDescent="0.35">
      <c r="A138" s="13" t="s">
        <v>187</v>
      </c>
      <c r="B138" s="13" t="s">
        <v>188</v>
      </c>
      <c r="C138" s="13">
        <v>83416</v>
      </c>
      <c r="D138" s="14" t="s">
        <v>115</v>
      </c>
      <c r="E138" s="15" t="s">
        <v>116</v>
      </c>
      <c r="F138" s="16">
        <v>46225</v>
      </c>
      <c r="G138" s="16">
        <v>46219</v>
      </c>
      <c r="H138" s="13">
        <v>557640</v>
      </c>
      <c r="I138" s="17" t="s">
        <v>209</v>
      </c>
      <c r="J138" s="18">
        <v>1</v>
      </c>
      <c r="K138" s="19">
        <v>0</v>
      </c>
      <c r="L138" s="26">
        <f t="shared" si="5"/>
        <v>0</v>
      </c>
      <c r="M138" s="27"/>
      <c r="N138" s="27"/>
      <c r="O138" s="22"/>
      <c r="P138" s="16">
        <v>46225.330358796295</v>
      </c>
      <c r="Q138" s="16">
        <v>46225</v>
      </c>
      <c r="R138" s="21" t="s">
        <v>19</v>
      </c>
      <c r="S138" s="21" t="s">
        <v>20</v>
      </c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</row>
    <row r="139" spans="1:45" s="24" customFormat="1" ht="13.9" hidden="1" customHeight="1" x14ac:dyDescent="0.35">
      <c r="A139" s="13" t="s">
        <v>187</v>
      </c>
      <c r="B139" s="13" t="s">
        <v>188</v>
      </c>
      <c r="C139" s="13">
        <v>83427</v>
      </c>
      <c r="D139" s="14" t="s">
        <v>115</v>
      </c>
      <c r="E139" s="15" t="s">
        <v>116</v>
      </c>
      <c r="F139" s="16">
        <v>46225</v>
      </c>
      <c r="G139" s="16">
        <v>46219</v>
      </c>
      <c r="H139" s="13">
        <v>557964</v>
      </c>
      <c r="I139" s="17" t="s">
        <v>209</v>
      </c>
      <c r="J139" s="18">
        <v>1</v>
      </c>
      <c r="K139" s="19">
        <v>0</v>
      </c>
      <c r="L139" s="26">
        <f t="shared" ref="L139:L170" si="6">K139/J139*100</f>
        <v>0</v>
      </c>
      <c r="M139" s="27"/>
      <c r="N139" s="27"/>
      <c r="O139" s="22"/>
      <c r="P139" s="16">
        <v>46225.639953703707</v>
      </c>
      <c r="Q139" s="16">
        <v>46225</v>
      </c>
      <c r="R139" s="21" t="s">
        <v>19</v>
      </c>
      <c r="S139" s="21" t="s">
        <v>20</v>
      </c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</row>
    <row r="140" spans="1:45" s="24" customFormat="1" ht="13.9" hidden="1" customHeight="1" x14ac:dyDescent="0.35">
      <c r="A140" s="13" t="s">
        <v>187</v>
      </c>
      <c r="B140" s="13" t="s">
        <v>188</v>
      </c>
      <c r="C140" s="13">
        <v>83425</v>
      </c>
      <c r="D140" s="14" t="s">
        <v>115</v>
      </c>
      <c r="E140" s="15" t="s">
        <v>116</v>
      </c>
      <c r="F140" s="16">
        <v>46225</v>
      </c>
      <c r="G140" s="16">
        <v>46219</v>
      </c>
      <c r="H140" s="13">
        <v>558625</v>
      </c>
      <c r="I140" s="17" t="s">
        <v>209</v>
      </c>
      <c r="J140" s="18">
        <v>1</v>
      </c>
      <c r="K140" s="19">
        <v>0</v>
      </c>
      <c r="L140" s="26">
        <f t="shared" si="6"/>
        <v>0</v>
      </c>
      <c r="M140" s="27"/>
      <c r="N140" s="27"/>
      <c r="O140" s="22"/>
      <c r="P140" s="16">
        <v>46225.625092592592</v>
      </c>
      <c r="Q140" s="16">
        <v>46225</v>
      </c>
      <c r="R140" s="21" t="s">
        <v>19</v>
      </c>
      <c r="S140" s="21" t="s">
        <v>20</v>
      </c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</row>
    <row r="141" spans="1:45" s="24" customFormat="1" ht="13.9" hidden="1" customHeight="1" x14ac:dyDescent="0.35">
      <c r="A141" s="13" t="s">
        <v>187</v>
      </c>
      <c r="B141" s="13" t="s">
        <v>188</v>
      </c>
      <c r="C141" s="13">
        <v>83423</v>
      </c>
      <c r="D141" s="14" t="s">
        <v>115</v>
      </c>
      <c r="E141" s="15" t="s">
        <v>116</v>
      </c>
      <c r="F141" s="16">
        <v>46225</v>
      </c>
      <c r="G141" s="16">
        <v>46219</v>
      </c>
      <c r="H141" s="13">
        <v>558822</v>
      </c>
      <c r="I141" s="17" t="s">
        <v>209</v>
      </c>
      <c r="J141" s="18">
        <v>1</v>
      </c>
      <c r="K141" s="19">
        <v>0</v>
      </c>
      <c r="L141" s="26">
        <f t="shared" si="6"/>
        <v>0</v>
      </c>
      <c r="M141" s="27"/>
      <c r="N141" s="27"/>
      <c r="O141" s="22"/>
      <c r="P141" s="16">
        <v>46225.590266203704</v>
      </c>
      <c r="Q141" s="16">
        <v>46225</v>
      </c>
      <c r="R141" s="21" t="s">
        <v>19</v>
      </c>
      <c r="S141" s="21" t="s">
        <v>20</v>
      </c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</row>
    <row r="142" spans="1:45" s="24" customFormat="1" ht="13.9" hidden="1" customHeight="1" x14ac:dyDescent="0.35">
      <c r="A142" s="13" t="s">
        <v>187</v>
      </c>
      <c r="B142" s="13" t="s">
        <v>188</v>
      </c>
      <c r="C142" s="13">
        <v>83428</v>
      </c>
      <c r="D142" s="14" t="s">
        <v>115</v>
      </c>
      <c r="E142" s="15" t="s">
        <v>116</v>
      </c>
      <c r="F142" s="16">
        <v>46225</v>
      </c>
      <c r="G142" s="16">
        <v>46219</v>
      </c>
      <c r="H142" s="13">
        <v>558920</v>
      </c>
      <c r="I142" s="17" t="s">
        <v>209</v>
      </c>
      <c r="J142" s="18">
        <v>1</v>
      </c>
      <c r="K142" s="19">
        <v>0</v>
      </c>
      <c r="L142" s="26">
        <f t="shared" si="6"/>
        <v>0</v>
      </c>
      <c r="M142" s="27"/>
      <c r="N142" s="27"/>
      <c r="O142" s="22"/>
      <c r="P142" s="16">
        <v>46225.648761574077</v>
      </c>
      <c r="Q142" s="16">
        <v>46225</v>
      </c>
      <c r="R142" s="21" t="s">
        <v>19</v>
      </c>
      <c r="S142" s="21" t="s">
        <v>20</v>
      </c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</row>
    <row r="143" spans="1:45" s="24" customFormat="1" ht="13.9" hidden="1" customHeight="1" x14ac:dyDescent="0.35">
      <c r="A143" s="13" t="s">
        <v>187</v>
      </c>
      <c r="B143" s="13" t="s">
        <v>188</v>
      </c>
      <c r="C143" s="13">
        <v>83430</v>
      </c>
      <c r="D143" s="14" t="s">
        <v>115</v>
      </c>
      <c r="E143" s="15" t="s">
        <v>116</v>
      </c>
      <c r="F143" s="16">
        <v>46225</v>
      </c>
      <c r="G143" s="16">
        <v>46219</v>
      </c>
      <c r="H143" s="13">
        <v>559070</v>
      </c>
      <c r="I143" s="17" t="s">
        <v>209</v>
      </c>
      <c r="J143" s="18">
        <v>1</v>
      </c>
      <c r="K143" s="19">
        <v>0</v>
      </c>
      <c r="L143" s="26">
        <f t="shared" si="6"/>
        <v>0</v>
      </c>
      <c r="M143" s="27"/>
      <c r="N143" s="27"/>
      <c r="O143" s="22"/>
      <c r="P143" s="16">
        <v>46225.657210648147</v>
      </c>
      <c r="Q143" s="16">
        <v>46225</v>
      </c>
      <c r="R143" s="21" t="s">
        <v>19</v>
      </c>
      <c r="S143" s="21" t="s">
        <v>20</v>
      </c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</row>
    <row r="144" spans="1:45" s="24" customFormat="1" ht="13.9" hidden="1" customHeight="1" x14ac:dyDescent="0.35">
      <c r="A144" s="13" t="s">
        <v>187</v>
      </c>
      <c r="B144" s="13" t="s">
        <v>188</v>
      </c>
      <c r="C144" s="13">
        <v>83404</v>
      </c>
      <c r="D144" s="14" t="s">
        <v>115</v>
      </c>
      <c r="E144" s="15" t="s">
        <v>116</v>
      </c>
      <c r="F144" s="16">
        <v>46224</v>
      </c>
      <c r="G144" s="16">
        <v>46220</v>
      </c>
      <c r="H144" s="13">
        <v>560109</v>
      </c>
      <c r="I144" s="17" t="s">
        <v>209</v>
      </c>
      <c r="J144" s="18">
        <v>1</v>
      </c>
      <c r="K144" s="19">
        <v>0</v>
      </c>
      <c r="L144" s="26">
        <f t="shared" si="6"/>
        <v>0</v>
      </c>
      <c r="M144" s="27"/>
      <c r="N144" s="27"/>
      <c r="O144" s="22"/>
      <c r="P144" s="16">
        <v>46224.336030092592</v>
      </c>
      <c r="Q144" s="16">
        <v>46224</v>
      </c>
      <c r="R144" s="21" t="s">
        <v>19</v>
      </c>
      <c r="S144" s="21" t="s">
        <v>20</v>
      </c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</row>
    <row r="145" spans="1:45" s="24" customFormat="1" ht="13.9" hidden="1" customHeight="1" x14ac:dyDescent="0.35">
      <c r="A145" s="13" t="s">
        <v>187</v>
      </c>
      <c r="B145" s="13" t="s">
        <v>188</v>
      </c>
      <c r="C145" s="13">
        <v>83424</v>
      </c>
      <c r="D145" s="14" t="s">
        <v>115</v>
      </c>
      <c r="E145" s="15" t="s">
        <v>116</v>
      </c>
      <c r="F145" s="16">
        <v>46225</v>
      </c>
      <c r="G145" s="16">
        <v>46220</v>
      </c>
      <c r="H145" s="13">
        <v>560323</v>
      </c>
      <c r="I145" s="17" t="s">
        <v>209</v>
      </c>
      <c r="J145" s="18">
        <v>1</v>
      </c>
      <c r="K145" s="19">
        <v>0</v>
      </c>
      <c r="L145" s="26">
        <f t="shared" si="6"/>
        <v>0</v>
      </c>
      <c r="M145" s="27"/>
      <c r="N145" s="27"/>
      <c r="O145" s="22"/>
      <c r="P145" s="16">
        <v>46225.609432870369</v>
      </c>
      <c r="Q145" s="16">
        <v>46225</v>
      </c>
      <c r="R145" s="21" t="s">
        <v>19</v>
      </c>
      <c r="S145" s="21" t="s">
        <v>20</v>
      </c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</row>
    <row r="146" spans="1:45" s="24" customFormat="1" ht="13.9" hidden="1" customHeight="1" x14ac:dyDescent="0.35">
      <c r="A146" s="13" t="s">
        <v>210</v>
      </c>
      <c r="B146" s="13" t="s">
        <v>211</v>
      </c>
      <c r="C146" s="13">
        <v>29179</v>
      </c>
      <c r="D146" s="14" t="s">
        <v>29</v>
      </c>
      <c r="E146" s="15" t="s">
        <v>30</v>
      </c>
      <c r="F146" s="16">
        <v>46216</v>
      </c>
      <c r="G146" s="16">
        <v>46214</v>
      </c>
      <c r="H146" s="13">
        <v>399</v>
      </c>
      <c r="I146" s="17" t="s">
        <v>149</v>
      </c>
      <c r="J146" s="18">
        <v>3768.87</v>
      </c>
      <c r="K146" s="19">
        <v>0</v>
      </c>
      <c r="L146" s="26">
        <f t="shared" si="6"/>
        <v>0</v>
      </c>
      <c r="M146" s="27"/>
      <c r="N146" s="27"/>
      <c r="O146" s="22"/>
      <c r="P146" s="16">
        <v>46216.483124999999</v>
      </c>
      <c r="Q146" s="16">
        <v>46216</v>
      </c>
      <c r="R146" s="21" t="s">
        <v>19</v>
      </c>
      <c r="S146" s="21" t="s">
        <v>150</v>
      </c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</row>
    <row r="147" spans="1:45" s="24" customFormat="1" ht="13.9" hidden="1" customHeight="1" x14ac:dyDescent="0.35">
      <c r="A147" s="13" t="s">
        <v>210</v>
      </c>
      <c r="B147" s="13" t="s">
        <v>211</v>
      </c>
      <c r="C147" s="13">
        <v>29256</v>
      </c>
      <c r="D147" s="14" t="s">
        <v>25</v>
      </c>
      <c r="E147" s="15" t="s">
        <v>26</v>
      </c>
      <c r="F147" s="16">
        <v>46226</v>
      </c>
      <c r="G147" s="16">
        <v>46219</v>
      </c>
      <c r="H147" s="13">
        <v>3525</v>
      </c>
      <c r="I147" s="17" t="s">
        <v>212</v>
      </c>
      <c r="J147" s="18">
        <v>4282.05</v>
      </c>
      <c r="K147" s="19">
        <v>214.1</v>
      </c>
      <c r="L147" s="26">
        <f t="shared" si="6"/>
        <v>4.9999416167489867</v>
      </c>
      <c r="M147" s="27"/>
      <c r="N147" s="27"/>
      <c r="O147" s="22"/>
      <c r="P147" s="16">
        <v>46226.511678240742</v>
      </c>
      <c r="Q147" s="16">
        <v>46226</v>
      </c>
      <c r="R147" s="21" t="s">
        <v>19</v>
      </c>
      <c r="S147" s="21" t="s">
        <v>213</v>
      </c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</row>
    <row r="148" spans="1:45" s="24" customFormat="1" ht="13.9" hidden="1" customHeight="1" x14ac:dyDescent="0.35">
      <c r="A148" s="13" t="s">
        <v>210</v>
      </c>
      <c r="B148" s="13" t="s">
        <v>211</v>
      </c>
      <c r="C148" s="13">
        <v>29232</v>
      </c>
      <c r="D148" s="14" t="s">
        <v>44</v>
      </c>
      <c r="E148" s="15" t="s">
        <v>45</v>
      </c>
      <c r="F148" s="16">
        <v>46223</v>
      </c>
      <c r="G148" s="16">
        <v>46223</v>
      </c>
      <c r="H148" s="13">
        <v>29105</v>
      </c>
      <c r="I148" s="17" t="s">
        <v>93</v>
      </c>
      <c r="J148" s="18">
        <v>16352.98</v>
      </c>
      <c r="K148" s="19">
        <v>817.65</v>
      </c>
      <c r="L148" s="26">
        <f t="shared" si="6"/>
        <v>5.0000061150933961</v>
      </c>
      <c r="M148" s="27"/>
      <c r="N148" s="27"/>
      <c r="O148" s="22"/>
      <c r="P148" s="16">
        <v>46223.692916666667</v>
      </c>
      <c r="Q148" s="16">
        <v>46223</v>
      </c>
      <c r="R148" s="21" t="s">
        <v>19</v>
      </c>
      <c r="S148" s="21" t="s">
        <v>94</v>
      </c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</row>
    <row r="149" spans="1:45" s="24" customFormat="1" ht="13.9" hidden="1" customHeight="1" x14ac:dyDescent="0.35">
      <c r="A149" s="13" t="s">
        <v>210</v>
      </c>
      <c r="B149" s="13" t="s">
        <v>211</v>
      </c>
      <c r="C149" s="13">
        <v>29217</v>
      </c>
      <c r="D149" s="14" t="s">
        <v>44</v>
      </c>
      <c r="E149" s="15" t="s">
        <v>45</v>
      </c>
      <c r="F149" s="16">
        <v>46220</v>
      </c>
      <c r="G149" s="16">
        <v>46220</v>
      </c>
      <c r="H149" s="13">
        <v>224955</v>
      </c>
      <c r="I149" s="17" t="s">
        <v>46</v>
      </c>
      <c r="J149" s="18">
        <v>5090.88</v>
      </c>
      <c r="K149" s="19">
        <v>254.54</v>
      </c>
      <c r="L149" s="26">
        <f t="shared" si="6"/>
        <v>4.9999214281224464</v>
      </c>
      <c r="M149" s="27"/>
      <c r="N149" s="27"/>
      <c r="O149" s="22"/>
      <c r="P149" s="16">
        <v>46220.68482638889</v>
      </c>
      <c r="Q149" s="16">
        <v>46220</v>
      </c>
      <c r="R149" s="21" t="s">
        <v>19</v>
      </c>
      <c r="S149" s="21" t="s">
        <v>47</v>
      </c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</row>
    <row r="150" spans="1:45" s="24" customFormat="1" ht="13.9" hidden="1" customHeight="1" x14ac:dyDescent="0.35">
      <c r="A150" s="13" t="s">
        <v>214</v>
      </c>
      <c r="B150" s="13" t="s">
        <v>215</v>
      </c>
      <c r="C150" s="13">
        <v>14876</v>
      </c>
      <c r="D150" s="14" t="s">
        <v>29</v>
      </c>
      <c r="E150" s="15" t="s">
        <v>30</v>
      </c>
      <c r="F150" s="16">
        <v>46220</v>
      </c>
      <c r="G150" s="16">
        <v>46217</v>
      </c>
      <c r="H150" s="13">
        <v>697</v>
      </c>
      <c r="I150" s="17" t="s">
        <v>82</v>
      </c>
      <c r="J150" s="18">
        <v>549.5</v>
      </c>
      <c r="K150" s="19">
        <v>0</v>
      </c>
      <c r="L150" s="26">
        <f t="shared" si="6"/>
        <v>0</v>
      </c>
      <c r="M150" s="27"/>
      <c r="N150" s="27"/>
      <c r="O150" s="22"/>
      <c r="P150" s="16">
        <v>46220.684745370374</v>
      </c>
      <c r="Q150" s="16">
        <v>46220</v>
      </c>
      <c r="R150" s="21" t="s">
        <v>19</v>
      </c>
      <c r="S150" s="21" t="s">
        <v>83</v>
      </c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</row>
    <row r="151" spans="1:45" s="24" customFormat="1" ht="13.9" hidden="1" customHeight="1" x14ac:dyDescent="0.35">
      <c r="A151" s="13" t="s">
        <v>216</v>
      </c>
      <c r="B151" s="13" t="s">
        <v>217</v>
      </c>
      <c r="C151" s="13">
        <v>26742</v>
      </c>
      <c r="D151" s="14" t="s">
        <v>218</v>
      </c>
      <c r="E151" s="15" t="s">
        <v>219</v>
      </c>
      <c r="F151" s="16">
        <v>46213</v>
      </c>
      <c r="G151" s="16">
        <v>46212</v>
      </c>
      <c r="H151" s="13">
        <v>3</v>
      </c>
      <c r="I151" s="17" t="s">
        <v>220</v>
      </c>
      <c r="J151" s="18">
        <v>4750</v>
      </c>
      <c r="K151" s="19">
        <v>0</v>
      </c>
      <c r="L151" s="20">
        <f t="shared" si="6"/>
        <v>0</v>
      </c>
      <c r="M151" s="27"/>
      <c r="N151" s="27"/>
      <c r="O151" s="22"/>
      <c r="P151" s="16">
        <v>46213.667268518519</v>
      </c>
      <c r="Q151" s="16">
        <v>46216</v>
      </c>
      <c r="R151" s="21" t="s">
        <v>19</v>
      </c>
      <c r="S151" s="21" t="s">
        <v>20</v>
      </c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</row>
    <row r="152" spans="1:45" s="24" customFormat="1" ht="13.9" hidden="1" customHeight="1" x14ac:dyDescent="0.35">
      <c r="A152" s="13" t="s">
        <v>216</v>
      </c>
      <c r="B152" s="13" t="s">
        <v>217</v>
      </c>
      <c r="C152" s="13">
        <v>26887</v>
      </c>
      <c r="D152" s="14" t="s">
        <v>221</v>
      </c>
      <c r="E152" s="15" t="s">
        <v>222</v>
      </c>
      <c r="F152" s="16">
        <v>46232</v>
      </c>
      <c r="G152" s="16">
        <v>46213</v>
      </c>
      <c r="H152" s="13">
        <v>124</v>
      </c>
      <c r="I152" s="17" t="s">
        <v>223</v>
      </c>
      <c r="J152" s="18">
        <v>4960.16</v>
      </c>
      <c r="K152" s="19">
        <v>0</v>
      </c>
      <c r="L152" s="20">
        <f t="shared" si="6"/>
        <v>0</v>
      </c>
      <c r="M152" s="27"/>
      <c r="N152" s="27"/>
      <c r="O152" s="22"/>
      <c r="P152" s="16">
        <v>46232.609131944446</v>
      </c>
      <c r="Q152" s="16">
        <v>46232</v>
      </c>
      <c r="R152" s="21" t="s">
        <v>19</v>
      </c>
      <c r="S152" s="21" t="s">
        <v>20</v>
      </c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</row>
    <row r="153" spans="1:45" s="24" customFormat="1" ht="13.9" hidden="1" customHeight="1" x14ac:dyDescent="0.35">
      <c r="A153" s="13" t="s">
        <v>216</v>
      </c>
      <c r="B153" s="13" t="s">
        <v>217</v>
      </c>
      <c r="C153" s="13">
        <v>26781</v>
      </c>
      <c r="D153" s="14" t="s">
        <v>29</v>
      </c>
      <c r="E153" s="15" t="s">
        <v>30</v>
      </c>
      <c r="F153" s="16">
        <v>46220</v>
      </c>
      <c r="G153" s="16">
        <v>46217</v>
      </c>
      <c r="H153" s="13">
        <v>694</v>
      </c>
      <c r="I153" s="17" t="s">
        <v>82</v>
      </c>
      <c r="J153" s="18">
        <v>1648.5</v>
      </c>
      <c r="K153" s="19">
        <v>0</v>
      </c>
      <c r="L153" s="20">
        <f t="shared" si="6"/>
        <v>0</v>
      </c>
      <c r="M153" s="27"/>
      <c r="N153" s="27"/>
      <c r="O153" s="22"/>
      <c r="P153" s="16">
        <v>46220.68476851852</v>
      </c>
      <c r="Q153" s="16">
        <v>46220</v>
      </c>
      <c r="R153" s="21" t="s">
        <v>19</v>
      </c>
      <c r="S153" s="21" t="s">
        <v>83</v>
      </c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</row>
    <row r="154" spans="1:45" s="24" customFormat="1" ht="13.9" hidden="1" customHeight="1" x14ac:dyDescent="0.35">
      <c r="A154" s="13" t="s">
        <v>216</v>
      </c>
      <c r="B154" s="13" t="s">
        <v>217</v>
      </c>
      <c r="C154" s="13">
        <v>26771</v>
      </c>
      <c r="D154" s="14" t="s">
        <v>25</v>
      </c>
      <c r="E154" s="15" t="s">
        <v>26</v>
      </c>
      <c r="F154" s="16">
        <v>46218</v>
      </c>
      <c r="G154" s="16">
        <v>46218</v>
      </c>
      <c r="H154" s="13">
        <v>1194</v>
      </c>
      <c r="I154" s="17" t="s">
        <v>97</v>
      </c>
      <c r="J154" s="18">
        <v>8848.42</v>
      </c>
      <c r="K154" s="19">
        <v>176.97</v>
      </c>
      <c r="L154" s="20">
        <f t="shared" si="6"/>
        <v>2.0000180823243019</v>
      </c>
      <c r="M154" s="27">
        <v>22.24</v>
      </c>
      <c r="N154" s="27"/>
      <c r="O154" s="22" t="s">
        <v>224</v>
      </c>
      <c r="P154" s="16">
        <v>46218.807141203702</v>
      </c>
      <c r="Q154" s="16">
        <v>46218</v>
      </c>
      <c r="R154" s="21" t="s">
        <v>19</v>
      </c>
      <c r="S154" s="21" t="s">
        <v>98</v>
      </c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</row>
    <row r="155" spans="1:45" s="24" customFormat="1" ht="13.9" hidden="1" customHeight="1" x14ac:dyDescent="0.35">
      <c r="A155" s="13" t="s">
        <v>216</v>
      </c>
      <c r="B155" s="13" t="s">
        <v>217</v>
      </c>
      <c r="C155" s="13">
        <v>26743</v>
      </c>
      <c r="D155" s="14" t="s">
        <v>111</v>
      </c>
      <c r="E155" s="15" t="s">
        <v>112</v>
      </c>
      <c r="F155" s="16">
        <v>46213</v>
      </c>
      <c r="G155" s="16">
        <v>46213</v>
      </c>
      <c r="H155" s="13">
        <v>2145</v>
      </c>
      <c r="I155" s="17" t="s">
        <v>113</v>
      </c>
      <c r="J155" s="18">
        <v>1194.21</v>
      </c>
      <c r="K155" s="19">
        <v>29.86</v>
      </c>
      <c r="L155" s="20">
        <f t="shared" si="6"/>
        <v>2.5003977524890928</v>
      </c>
      <c r="M155" s="27"/>
      <c r="N155" s="27"/>
      <c r="O155" s="22"/>
      <c r="P155" s="16">
        <v>46213.747372685182</v>
      </c>
      <c r="Q155" s="16">
        <v>46213</v>
      </c>
      <c r="R155" s="21" t="s">
        <v>19</v>
      </c>
      <c r="S155" s="21" t="s">
        <v>114</v>
      </c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</row>
    <row r="156" spans="1:45" s="24" customFormat="1" ht="13.9" hidden="1" customHeight="1" x14ac:dyDescent="0.35">
      <c r="A156" s="13" t="s">
        <v>216</v>
      </c>
      <c r="B156" s="13" t="s">
        <v>217</v>
      </c>
      <c r="C156" s="13">
        <v>26755</v>
      </c>
      <c r="D156" s="14" t="s">
        <v>38</v>
      </c>
      <c r="E156" s="15" t="s">
        <v>39</v>
      </c>
      <c r="F156" s="16">
        <v>46217</v>
      </c>
      <c r="G156" s="16">
        <v>46217</v>
      </c>
      <c r="H156" s="13">
        <v>4702</v>
      </c>
      <c r="I156" s="17" t="s">
        <v>225</v>
      </c>
      <c r="J156" s="18">
        <v>260</v>
      </c>
      <c r="K156" s="19">
        <v>0</v>
      </c>
      <c r="L156" s="20">
        <f t="shared" si="6"/>
        <v>0</v>
      </c>
      <c r="M156" s="27"/>
      <c r="N156" s="27"/>
      <c r="O156" s="22"/>
      <c r="P156" s="16">
        <v>46217.665960648148</v>
      </c>
      <c r="Q156" s="16">
        <v>46217</v>
      </c>
      <c r="R156" s="21" t="s">
        <v>19</v>
      </c>
      <c r="S156" s="21" t="s">
        <v>226</v>
      </c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</row>
    <row r="157" spans="1:45" s="24" customFormat="1" ht="13.9" hidden="1" customHeight="1" x14ac:dyDescent="0.35">
      <c r="A157" s="13" t="s">
        <v>216</v>
      </c>
      <c r="B157" s="13" t="s">
        <v>217</v>
      </c>
      <c r="C157" s="13">
        <v>26770</v>
      </c>
      <c r="D157" s="14" t="s">
        <v>44</v>
      </c>
      <c r="E157" s="15" t="s">
        <v>45</v>
      </c>
      <c r="F157" s="16">
        <v>46218</v>
      </c>
      <c r="G157" s="16">
        <v>46218</v>
      </c>
      <c r="H157" s="13">
        <v>29097</v>
      </c>
      <c r="I157" s="17" t="s">
        <v>93</v>
      </c>
      <c r="J157" s="18">
        <v>26531.88</v>
      </c>
      <c r="K157" s="19">
        <v>1326.59</v>
      </c>
      <c r="L157" s="20">
        <f t="shared" si="6"/>
        <v>4.9999849237973333</v>
      </c>
      <c r="M157" s="27"/>
      <c r="N157" s="27"/>
      <c r="O157" s="22"/>
      <c r="P157" s="16">
        <v>46218.806261574071</v>
      </c>
      <c r="Q157" s="16">
        <v>46218</v>
      </c>
      <c r="R157" s="21" t="s">
        <v>19</v>
      </c>
      <c r="S157" s="21" t="s">
        <v>94</v>
      </c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</row>
    <row r="158" spans="1:45" s="24" customFormat="1" ht="13.9" hidden="1" customHeight="1" x14ac:dyDescent="0.35">
      <c r="A158" s="13" t="s">
        <v>216</v>
      </c>
      <c r="B158" s="13" t="s">
        <v>217</v>
      </c>
      <c r="C158" s="13">
        <v>26780</v>
      </c>
      <c r="D158" s="14" t="s">
        <v>44</v>
      </c>
      <c r="E158" s="15" t="s">
        <v>45</v>
      </c>
      <c r="F158" s="16">
        <v>46220</v>
      </c>
      <c r="G158" s="16">
        <v>46220</v>
      </c>
      <c r="H158" s="13">
        <v>224957</v>
      </c>
      <c r="I158" s="17" t="s">
        <v>46</v>
      </c>
      <c r="J158" s="18">
        <v>15139.38</v>
      </c>
      <c r="K158" s="19">
        <v>756.97</v>
      </c>
      <c r="L158" s="20">
        <f t="shared" si="6"/>
        <v>5.0000066052903094</v>
      </c>
      <c r="M158" s="27"/>
      <c r="N158" s="27"/>
      <c r="O158" s="22"/>
      <c r="P158" s="16">
        <v>46220.684710648151</v>
      </c>
      <c r="Q158" s="16">
        <v>46220</v>
      </c>
      <c r="R158" s="21" t="s">
        <v>19</v>
      </c>
      <c r="S158" s="21" t="s">
        <v>47</v>
      </c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</row>
    <row r="159" spans="1:45" s="24" customFormat="1" ht="17" hidden="1" customHeight="1" x14ac:dyDescent="0.35">
      <c r="A159" s="13" t="s">
        <v>227</v>
      </c>
      <c r="B159" s="13" t="s">
        <v>228</v>
      </c>
      <c r="C159" s="13">
        <v>35596</v>
      </c>
      <c r="D159" s="14" t="s">
        <v>177</v>
      </c>
      <c r="E159" s="15" t="s">
        <v>178</v>
      </c>
      <c r="F159" s="16">
        <v>46211</v>
      </c>
      <c r="G159" s="16">
        <v>46205</v>
      </c>
      <c r="H159" s="13">
        <v>212</v>
      </c>
      <c r="I159" s="17" t="s">
        <v>229</v>
      </c>
      <c r="J159" s="18">
        <v>480</v>
      </c>
      <c r="K159" s="19">
        <v>9.6</v>
      </c>
      <c r="L159" s="26">
        <f t="shared" si="6"/>
        <v>2</v>
      </c>
      <c r="M159" s="27"/>
      <c r="N159" s="27"/>
      <c r="O159" s="22"/>
      <c r="P159" s="16">
        <v>46211.471724537034</v>
      </c>
      <c r="Q159" s="16">
        <v>46211</v>
      </c>
      <c r="R159" s="21" t="s">
        <v>19</v>
      </c>
      <c r="S159" s="21" t="s">
        <v>230</v>
      </c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</row>
    <row r="160" spans="1:45" s="24" customFormat="1" ht="15.5" hidden="1" customHeight="1" x14ac:dyDescent="0.35">
      <c r="A160" s="13" t="s">
        <v>227</v>
      </c>
      <c r="B160" s="13" t="s">
        <v>228</v>
      </c>
      <c r="C160" s="13">
        <v>35595</v>
      </c>
      <c r="D160" s="14" t="s">
        <v>177</v>
      </c>
      <c r="E160" s="15" t="s">
        <v>178</v>
      </c>
      <c r="F160" s="16">
        <v>46211</v>
      </c>
      <c r="G160" s="16">
        <v>46205</v>
      </c>
      <c r="H160" s="13">
        <v>213</v>
      </c>
      <c r="I160" s="17" t="s">
        <v>229</v>
      </c>
      <c r="J160" s="18">
        <v>480</v>
      </c>
      <c r="K160" s="19">
        <v>9.6</v>
      </c>
      <c r="L160" s="26">
        <f t="shared" si="6"/>
        <v>2</v>
      </c>
      <c r="M160" s="27"/>
      <c r="N160" s="27"/>
      <c r="O160" s="22"/>
      <c r="P160" s="16">
        <v>46211.470694444448</v>
      </c>
      <c r="Q160" s="16">
        <v>46211</v>
      </c>
      <c r="R160" s="21" t="s">
        <v>19</v>
      </c>
      <c r="S160" s="21" t="s">
        <v>230</v>
      </c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</row>
    <row r="161" spans="1:45" s="24" customFormat="1" ht="34" hidden="1" customHeight="1" x14ac:dyDescent="0.35">
      <c r="A161" s="13" t="s">
        <v>227</v>
      </c>
      <c r="B161" s="13" t="s">
        <v>228</v>
      </c>
      <c r="C161" s="13">
        <v>35670</v>
      </c>
      <c r="D161" s="14" t="s">
        <v>29</v>
      </c>
      <c r="E161" s="15" t="s">
        <v>30</v>
      </c>
      <c r="F161" s="16">
        <v>46220</v>
      </c>
      <c r="G161" s="16">
        <v>46217</v>
      </c>
      <c r="H161" s="13">
        <v>695</v>
      </c>
      <c r="I161" s="17" t="s">
        <v>82</v>
      </c>
      <c r="J161" s="18">
        <v>1648.5</v>
      </c>
      <c r="K161" s="19">
        <v>0</v>
      </c>
      <c r="L161" s="26">
        <f t="shared" si="6"/>
        <v>0</v>
      </c>
      <c r="M161" s="27"/>
      <c r="N161" s="27"/>
      <c r="O161" s="22"/>
      <c r="P161" s="16">
        <v>46220.691990740743</v>
      </c>
      <c r="Q161" s="16">
        <v>46220</v>
      </c>
      <c r="R161" s="21" t="s">
        <v>19</v>
      </c>
      <c r="S161" s="21" t="s">
        <v>83</v>
      </c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</row>
    <row r="162" spans="1:45" s="24" customFormat="1" ht="31.5" hidden="1" customHeight="1" x14ac:dyDescent="0.35">
      <c r="A162" s="13" t="s">
        <v>227</v>
      </c>
      <c r="B162" s="13" t="s">
        <v>228</v>
      </c>
      <c r="C162" s="13">
        <v>35649</v>
      </c>
      <c r="D162" s="14" t="s">
        <v>25</v>
      </c>
      <c r="E162" s="15" t="s">
        <v>26</v>
      </c>
      <c r="F162" s="16">
        <v>46218</v>
      </c>
      <c r="G162" s="16">
        <v>46218</v>
      </c>
      <c r="H162" s="13">
        <v>1193</v>
      </c>
      <c r="I162" s="17" t="s">
        <v>97</v>
      </c>
      <c r="J162" s="18">
        <v>4055.52</v>
      </c>
      <c r="K162" s="19">
        <v>81.11</v>
      </c>
      <c r="L162" s="26">
        <f t="shared" si="6"/>
        <v>1.9999901368998305</v>
      </c>
      <c r="M162" s="27"/>
      <c r="N162" s="27"/>
      <c r="O162" s="22"/>
      <c r="P162" s="16">
        <v>46218.78638888889</v>
      </c>
      <c r="Q162" s="16">
        <v>46218</v>
      </c>
      <c r="R162" s="21" t="s">
        <v>19</v>
      </c>
      <c r="S162" s="21" t="s">
        <v>98</v>
      </c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</row>
    <row r="163" spans="1:45" s="24" customFormat="1" ht="13.9" hidden="1" customHeight="1" x14ac:dyDescent="0.35">
      <c r="A163" s="13" t="s">
        <v>227</v>
      </c>
      <c r="B163" s="13" t="s">
        <v>228</v>
      </c>
      <c r="C163" s="13">
        <v>35648</v>
      </c>
      <c r="D163" s="14" t="s">
        <v>44</v>
      </c>
      <c r="E163" s="15" t="s">
        <v>45</v>
      </c>
      <c r="F163" s="16">
        <v>46218</v>
      </c>
      <c r="G163" s="16">
        <v>46218</v>
      </c>
      <c r="H163" s="13">
        <v>29096</v>
      </c>
      <c r="I163" s="17" t="s">
        <v>93</v>
      </c>
      <c r="J163" s="18">
        <v>5870.54</v>
      </c>
      <c r="K163" s="19">
        <v>117.41</v>
      </c>
      <c r="L163" s="26">
        <f t="shared" si="6"/>
        <v>1.9999863726335225</v>
      </c>
      <c r="M163" s="27"/>
      <c r="N163" s="27"/>
      <c r="O163" s="22"/>
      <c r="P163" s="16">
        <v>46218.78638888889</v>
      </c>
      <c r="Q163" s="16">
        <v>46218</v>
      </c>
      <c r="R163" s="21" t="s">
        <v>19</v>
      </c>
      <c r="S163" s="21" t="s">
        <v>94</v>
      </c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</row>
    <row r="164" spans="1:45" s="24" customFormat="1" ht="13.9" hidden="1" customHeight="1" x14ac:dyDescent="0.35">
      <c r="A164" s="13" t="s">
        <v>227</v>
      </c>
      <c r="B164" s="13" t="s">
        <v>228</v>
      </c>
      <c r="C164" s="13">
        <v>35671</v>
      </c>
      <c r="D164" s="14" t="s">
        <v>44</v>
      </c>
      <c r="E164" s="15" t="s">
        <v>45</v>
      </c>
      <c r="F164" s="16">
        <v>46220</v>
      </c>
      <c r="G164" s="16">
        <v>46220</v>
      </c>
      <c r="H164" s="13">
        <v>224956</v>
      </c>
      <c r="I164" s="17" t="s">
        <v>46</v>
      </c>
      <c r="J164" s="18">
        <v>9809.9699999999993</v>
      </c>
      <c r="K164" s="19">
        <v>196.2</v>
      </c>
      <c r="L164" s="26">
        <f t="shared" si="6"/>
        <v>2.0000061162266549</v>
      </c>
      <c r="M164" s="27"/>
      <c r="N164" s="27"/>
      <c r="O164" s="22"/>
      <c r="P164" s="16">
        <v>46220.698865740742</v>
      </c>
      <c r="Q164" s="16">
        <v>46220</v>
      </c>
      <c r="R164" s="21" t="s">
        <v>19</v>
      </c>
      <c r="S164" s="21" t="s">
        <v>47</v>
      </c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</row>
    <row r="165" spans="1:45" s="24" customFormat="1" ht="13.9" hidden="1" customHeight="1" x14ac:dyDescent="0.35">
      <c r="A165" s="13" t="s">
        <v>231</v>
      </c>
      <c r="B165" s="13" t="s">
        <v>232</v>
      </c>
      <c r="C165" s="13">
        <v>2210</v>
      </c>
      <c r="D165" s="14" t="s">
        <v>127</v>
      </c>
      <c r="E165" s="15" t="s">
        <v>112</v>
      </c>
      <c r="F165" s="16">
        <v>46217</v>
      </c>
      <c r="G165" s="16">
        <v>46217</v>
      </c>
      <c r="H165" s="13">
        <v>763</v>
      </c>
      <c r="I165" s="17" t="s">
        <v>233</v>
      </c>
      <c r="J165" s="18">
        <v>46284.56</v>
      </c>
      <c r="K165" s="19">
        <v>2314.23</v>
      </c>
      <c r="L165" s="26">
        <f t="shared" si="6"/>
        <v>5.0000043210954148</v>
      </c>
      <c r="M165" s="27"/>
      <c r="N165" s="27"/>
      <c r="O165" s="22"/>
      <c r="P165" s="16">
        <v>46217.533634259256</v>
      </c>
      <c r="Q165" s="16">
        <v>46217</v>
      </c>
      <c r="R165" s="21" t="s">
        <v>19</v>
      </c>
      <c r="S165" s="21" t="s">
        <v>234</v>
      </c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</row>
    <row r="166" spans="1:45" s="24" customFormat="1" ht="13.9" hidden="1" customHeight="1" x14ac:dyDescent="0.35">
      <c r="A166" s="13" t="s">
        <v>231</v>
      </c>
      <c r="B166" s="13" t="s">
        <v>232</v>
      </c>
      <c r="C166" s="13">
        <v>2208</v>
      </c>
      <c r="D166" s="14" t="s">
        <v>90</v>
      </c>
      <c r="E166" s="15" t="s">
        <v>91</v>
      </c>
      <c r="F166" s="16">
        <v>46213</v>
      </c>
      <c r="G166" s="16">
        <v>46213</v>
      </c>
      <c r="H166" s="13">
        <v>1028</v>
      </c>
      <c r="I166" s="17" t="s">
        <v>235</v>
      </c>
      <c r="J166" s="18">
        <v>2300</v>
      </c>
      <c r="K166" s="19">
        <v>0</v>
      </c>
      <c r="L166" s="26">
        <f t="shared" si="6"/>
        <v>0</v>
      </c>
      <c r="M166" s="27"/>
      <c r="N166" s="27"/>
      <c r="O166" s="22"/>
      <c r="P166" s="16">
        <v>46213.659386574072</v>
      </c>
      <c r="Q166" s="16">
        <v>46213</v>
      </c>
      <c r="R166" s="21" t="s">
        <v>19</v>
      </c>
      <c r="S166" s="21" t="s">
        <v>236</v>
      </c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</row>
    <row r="167" spans="1:45" s="24" customFormat="1" ht="13.9" hidden="1" customHeight="1" x14ac:dyDescent="0.35">
      <c r="A167" s="13" t="s">
        <v>231</v>
      </c>
      <c r="B167" s="13" t="s">
        <v>232</v>
      </c>
      <c r="C167" s="13">
        <v>2213</v>
      </c>
      <c r="D167" s="14" t="s">
        <v>29</v>
      </c>
      <c r="E167" s="15" t="s">
        <v>30</v>
      </c>
      <c r="F167" s="16">
        <v>46224</v>
      </c>
      <c r="G167" s="16">
        <v>46219</v>
      </c>
      <c r="H167" s="13">
        <v>1362</v>
      </c>
      <c r="I167" s="17" t="s">
        <v>101</v>
      </c>
      <c r="J167" s="18">
        <v>493.24</v>
      </c>
      <c r="K167" s="19">
        <v>0</v>
      </c>
      <c r="L167" s="26">
        <f t="shared" si="6"/>
        <v>0</v>
      </c>
      <c r="M167" s="27"/>
      <c r="N167" s="27"/>
      <c r="O167" s="22"/>
      <c r="P167" s="16">
        <v>46224.483310185184</v>
      </c>
      <c r="Q167" s="16">
        <v>46224</v>
      </c>
      <c r="R167" s="21" t="s">
        <v>19</v>
      </c>
      <c r="S167" s="21" t="s">
        <v>102</v>
      </c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</row>
    <row r="168" spans="1:45" s="24" customFormat="1" ht="13.9" hidden="1" customHeight="1" x14ac:dyDescent="0.35">
      <c r="A168" s="13" t="s">
        <v>231</v>
      </c>
      <c r="B168" s="13" t="s">
        <v>232</v>
      </c>
      <c r="C168" s="13">
        <v>2206</v>
      </c>
      <c r="D168" s="14" t="s">
        <v>74</v>
      </c>
      <c r="E168" s="15" t="s">
        <v>75</v>
      </c>
      <c r="F168" s="16">
        <v>46213</v>
      </c>
      <c r="G168" s="16">
        <v>46212</v>
      </c>
      <c r="H168" s="13">
        <v>20176</v>
      </c>
      <c r="I168" s="17" t="s">
        <v>237</v>
      </c>
      <c r="J168" s="18">
        <v>190</v>
      </c>
      <c r="K168" s="19">
        <v>0</v>
      </c>
      <c r="L168" s="26">
        <f t="shared" si="6"/>
        <v>0</v>
      </c>
      <c r="M168" s="27"/>
      <c r="N168" s="27"/>
      <c r="O168" s="22"/>
      <c r="P168" s="16">
        <v>46213.448587962965</v>
      </c>
      <c r="Q168" s="16">
        <v>46213</v>
      </c>
      <c r="R168" s="21" t="s">
        <v>19</v>
      </c>
      <c r="S168" s="21" t="s">
        <v>238</v>
      </c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</row>
    <row r="169" spans="1:45" s="24" customFormat="1" ht="13.9" hidden="1" customHeight="1" x14ac:dyDescent="0.35">
      <c r="A169" s="13" t="s">
        <v>231</v>
      </c>
      <c r="B169" s="13" t="s">
        <v>232</v>
      </c>
      <c r="C169" s="13">
        <v>2201</v>
      </c>
      <c r="D169" s="14" t="s">
        <v>44</v>
      </c>
      <c r="E169" s="15" t="s">
        <v>45</v>
      </c>
      <c r="F169" s="16">
        <v>46210</v>
      </c>
      <c r="G169" s="16">
        <v>46206</v>
      </c>
      <c r="H169" s="13">
        <v>24234</v>
      </c>
      <c r="I169" s="17" t="s">
        <v>78</v>
      </c>
      <c r="J169" s="18">
        <v>715595.78</v>
      </c>
      <c r="K169" s="19">
        <v>35779.79</v>
      </c>
      <c r="L169" s="26">
        <f t="shared" si="6"/>
        <v>5.0000001397436975</v>
      </c>
      <c r="M169" s="27"/>
      <c r="N169" s="27"/>
      <c r="O169" s="22"/>
      <c r="P169" s="16">
        <v>46210.745370370372</v>
      </c>
      <c r="Q169" s="16">
        <v>46210</v>
      </c>
      <c r="R169" s="21" t="s">
        <v>19</v>
      </c>
      <c r="S169" s="21" t="s">
        <v>239</v>
      </c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</row>
    <row r="170" spans="1:45" s="24" customFormat="1" ht="13.9" hidden="1" customHeight="1" x14ac:dyDescent="0.35">
      <c r="A170" s="13" t="s">
        <v>231</v>
      </c>
      <c r="B170" s="13" t="s">
        <v>232</v>
      </c>
      <c r="C170" s="13">
        <v>2199</v>
      </c>
      <c r="D170" s="14" t="s">
        <v>44</v>
      </c>
      <c r="E170" s="15" t="s">
        <v>45</v>
      </c>
      <c r="F170" s="16">
        <v>46210</v>
      </c>
      <c r="G170" s="16">
        <v>46210</v>
      </c>
      <c r="H170" s="13">
        <v>24381</v>
      </c>
      <c r="I170" s="17" t="s">
        <v>78</v>
      </c>
      <c r="J170" s="18">
        <v>98337.21</v>
      </c>
      <c r="K170" s="19">
        <v>4916.8599999999997</v>
      </c>
      <c r="L170" s="26">
        <f t="shared" si="6"/>
        <v>4.9999994915454682</v>
      </c>
      <c r="M170" s="27"/>
      <c r="N170" s="27"/>
      <c r="O170" s="22"/>
      <c r="P170" s="16">
        <v>46210.599062499998</v>
      </c>
      <c r="Q170" s="16">
        <v>46210</v>
      </c>
      <c r="R170" s="21" t="s">
        <v>19</v>
      </c>
      <c r="S170" s="21" t="s">
        <v>240</v>
      </c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</row>
    <row r="171" spans="1:45" s="24" customFormat="1" ht="13.9" hidden="1" customHeight="1" x14ac:dyDescent="0.35">
      <c r="A171" s="13" t="s">
        <v>231</v>
      </c>
      <c r="B171" s="13" t="s">
        <v>232</v>
      </c>
      <c r="C171" s="13">
        <v>2200</v>
      </c>
      <c r="D171" s="14" t="s">
        <v>44</v>
      </c>
      <c r="E171" s="15" t="s">
        <v>45</v>
      </c>
      <c r="F171" s="16">
        <v>46210</v>
      </c>
      <c r="G171" s="16">
        <v>46210</v>
      </c>
      <c r="H171" s="13">
        <v>24382</v>
      </c>
      <c r="I171" s="17" t="s">
        <v>78</v>
      </c>
      <c r="J171" s="18">
        <v>750587.08</v>
      </c>
      <c r="K171" s="19">
        <v>37529.35</v>
      </c>
      <c r="L171" s="26">
        <f t="shared" ref="L171:L202" si="7">K171/J171*100</f>
        <v>4.9999994670838195</v>
      </c>
      <c r="M171" s="27"/>
      <c r="N171" s="27"/>
      <c r="O171" s="22"/>
      <c r="P171" s="16">
        <v>46210.601574074077</v>
      </c>
      <c r="Q171" s="16">
        <v>46210</v>
      </c>
      <c r="R171" s="21" t="s">
        <v>19</v>
      </c>
      <c r="S171" s="21" t="s">
        <v>240</v>
      </c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</row>
    <row r="172" spans="1:45" s="24" customFormat="1" ht="13.9" hidden="1" customHeight="1" x14ac:dyDescent="0.35">
      <c r="A172" s="13" t="s">
        <v>231</v>
      </c>
      <c r="B172" s="13" t="s">
        <v>232</v>
      </c>
      <c r="C172" s="13">
        <v>2209</v>
      </c>
      <c r="D172" s="14" t="s">
        <v>62</v>
      </c>
      <c r="E172" s="15" t="s">
        <v>63</v>
      </c>
      <c r="F172" s="16">
        <v>46216</v>
      </c>
      <c r="G172" s="16">
        <v>46216</v>
      </c>
      <c r="H172" s="13">
        <v>1006720</v>
      </c>
      <c r="I172" s="17" t="s">
        <v>84</v>
      </c>
      <c r="J172" s="18">
        <v>28788.91</v>
      </c>
      <c r="K172" s="19">
        <v>1439.44</v>
      </c>
      <c r="L172" s="26">
        <f t="shared" si="7"/>
        <v>4.9999808954211886</v>
      </c>
      <c r="M172" s="27"/>
      <c r="N172" s="27"/>
      <c r="O172" s="22" t="s">
        <v>92</v>
      </c>
      <c r="P172" s="16">
        <v>46216.691041666665</v>
      </c>
      <c r="Q172" s="16">
        <v>46216</v>
      </c>
      <c r="R172" s="21" t="s">
        <v>19</v>
      </c>
      <c r="S172" s="21" t="s">
        <v>85</v>
      </c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</row>
    <row r="173" spans="1:45" s="24" customFormat="1" ht="13.9" hidden="1" customHeight="1" x14ac:dyDescent="0.35">
      <c r="A173" s="13" t="s">
        <v>241</v>
      </c>
      <c r="B173" s="13" t="s">
        <v>242</v>
      </c>
      <c r="C173" s="13">
        <v>28970</v>
      </c>
      <c r="D173" s="14" t="s">
        <v>25</v>
      </c>
      <c r="E173" s="15" t="s">
        <v>26</v>
      </c>
      <c r="F173" s="16">
        <v>46217</v>
      </c>
      <c r="G173" s="16">
        <v>46217</v>
      </c>
      <c r="H173" s="13">
        <v>1189</v>
      </c>
      <c r="I173" s="17" t="s">
        <v>97</v>
      </c>
      <c r="J173" s="18">
        <v>4110.62</v>
      </c>
      <c r="K173" s="19">
        <v>205.53</v>
      </c>
      <c r="L173" s="26">
        <f t="shared" si="7"/>
        <v>4.9999756727695583</v>
      </c>
      <c r="M173" s="27"/>
      <c r="N173" s="27"/>
      <c r="O173" s="22"/>
      <c r="P173" s="16">
        <v>46217.666967592595</v>
      </c>
      <c r="Q173" s="16">
        <v>46217</v>
      </c>
      <c r="R173" s="21" t="s">
        <v>19</v>
      </c>
      <c r="S173" s="21" t="s">
        <v>98</v>
      </c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</row>
    <row r="174" spans="1:45" s="24" customFormat="1" ht="13.9" hidden="1" customHeight="1" x14ac:dyDescent="0.35">
      <c r="A174" s="13" t="s">
        <v>241</v>
      </c>
      <c r="B174" s="13" t="s">
        <v>242</v>
      </c>
      <c r="C174" s="13">
        <v>28994</v>
      </c>
      <c r="D174" s="14" t="s">
        <v>29</v>
      </c>
      <c r="E174" s="15" t="s">
        <v>30</v>
      </c>
      <c r="F174" s="16">
        <v>46224</v>
      </c>
      <c r="G174" s="16">
        <v>46219</v>
      </c>
      <c r="H174" s="13">
        <v>1966</v>
      </c>
      <c r="I174" s="17" t="s">
        <v>31</v>
      </c>
      <c r="J174" s="18">
        <v>2041.66</v>
      </c>
      <c r="K174" s="19">
        <v>0</v>
      </c>
      <c r="L174" s="26">
        <f t="shared" si="7"/>
        <v>0</v>
      </c>
      <c r="M174" s="27"/>
      <c r="N174" s="27"/>
      <c r="O174" s="22"/>
      <c r="P174" s="16">
        <v>46224.634583333333</v>
      </c>
      <c r="Q174" s="16">
        <v>46224</v>
      </c>
      <c r="R174" s="21" t="s">
        <v>19</v>
      </c>
      <c r="S174" s="21" t="s">
        <v>52</v>
      </c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</row>
    <row r="175" spans="1:45" s="24" customFormat="1" ht="13.9" hidden="1" customHeight="1" x14ac:dyDescent="0.35">
      <c r="A175" s="13" t="s">
        <v>241</v>
      </c>
      <c r="B175" s="13" t="s">
        <v>242</v>
      </c>
      <c r="C175" s="13">
        <v>28960</v>
      </c>
      <c r="D175" s="14" t="s">
        <v>111</v>
      </c>
      <c r="E175" s="15" t="s">
        <v>112</v>
      </c>
      <c r="F175" s="16">
        <v>46213</v>
      </c>
      <c r="G175" s="16">
        <v>46213</v>
      </c>
      <c r="H175" s="13">
        <v>2146</v>
      </c>
      <c r="I175" s="17" t="s">
        <v>113</v>
      </c>
      <c r="J175" s="18">
        <v>973.76</v>
      </c>
      <c r="K175" s="19">
        <v>48.69</v>
      </c>
      <c r="L175" s="26">
        <f t="shared" si="7"/>
        <v>5.0002053894183369</v>
      </c>
      <c r="M175" s="27"/>
      <c r="N175" s="27"/>
      <c r="O175" s="22"/>
      <c r="P175" s="16">
        <v>46213.749166666668</v>
      </c>
      <c r="Q175" s="16">
        <v>46213</v>
      </c>
      <c r="R175" s="21" t="s">
        <v>19</v>
      </c>
      <c r="S175" s="21" t="s">
        <v>114</v>
      </c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</row>
    <row r="176" spans="1:45" s="24" customFormat="1" ht="13.9" hidden="1" customHeight="1" x14ac:dyDescent="0.35">
      <c r="A176" s="13" t="s">
        <v>241</v>
      </c>
      <c r="B176" s="13" t="s">
        <v>242</v>
      </c>
      <c r="C176" s="13">
        <v>28977</v>
      </c>
      <c r="D176" s="14" t="s">
        <v>44</v>
      </c>
      <c r="E176" s="15" t="s">
        <v>45</v>
      </c>
      <c r="F176" s="16">
        <v>46218</v>
      </c>
      <c r="G176" s="16">
        <v>46218</v>
      </c>
      <c r="H176" s="13">
        <v>29098</v>
      </c>
      <c r="I176" s="17" t="s">
        <v>93</v>
      </c>
      <c r="J176" s="18">
        <v>13290.62</v>
      </c>
      <c r="K176" s="19">
        <v>664.53</v>
      </c>
      <c r="L176" s="26">
        <f t="shared" si="7"/>
        <v>4.9999924758965344</v>
      </c>
      <c r="M176" s="27"/>
      <c r="N176" s="27"/>
      <c r="O176" s="22"/>
      <c r="P176" s="16">
        <v>46218.786377314813</v>
      </c>
      <c r="Q176" s="16">
        <v>46218</v>
      </c>
      <c r="R176" s="21" t="s">
        <v>19</v>
      </c>
      <c r="S176" s="21" t="s">
        <v>94</v>
      </c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</row>
    <row r="177" spans="1:45" s="24" customFormat="1" ht="13.9" hidden="1" customHeight="1" x14ac:dyDescent="0.35">
      <c r="A177" s="13" t="s">
        <v>241</v>
      </c>
      <c r="B177" s="13" t="s">
        <v>242</v>
      </c>
      <c r="C177" s="13">
        <v>28990</v>
      </c>
      <c r="D177" s="14" t="s">
        <v>44</v>
      </c>
      <c r="E177" s="15" t="s">
        <v>45</v>
      </c>
      <c r="F177" s="16">
        <v>46220</v>
      </c>
      <c r="G177" s="16">
        <v>46220</v>
      </c>
      <c r="H177" s="13">
        <v>224958</v>
      </c>
      <c r="I177" s="17" t="s">
        <v>46</v>
      </c>
      <c r="J177" s="18">
        <v>23104.44</v>
      </c>
      <c r="K177" s="19">
        <v>1155.22</v>
      </c>
      <c r="L177" s="26">
        <f t="shared" si="7"/>
        <v>4.9999913436551591</v>
      </c>
      <c r="M177" s="27"/>
      <c r="N177" s="27"/>
      <c r="O177" s="22"/>
      <c r="P177" s="16">
        <v>46220.700624999998</v>
      </c>
      <c r="Q177" s="16">
        <v>46220</v>
      </c>
      <c r="R177" s="21" t="s">
        <v>19</v>
      </c>
      <c r="S177" s="21" t="s">
        <v>47</v>
      </c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</row>
    <row r="178" spans="1:45" s="24" customFormat="1" ht="13.9" hidden="1" customHeight="1" x14ac:dyDescent="0.35">
      <c r="A178" s="13" t="s">
        <v>245</v>
      </c>
      <c r="B178" s="13" t="s">
        <v>246</v>
      </c>
      <c r="C178" s="13">
        <v>28892</v>
      </c>
      <c r="D178" s="14" t="s">
        <v>36</v>
      </c>
      <c r="E178" s="15" t="s">
        <v>37</v>
      </c>
      <c r="F178" s="16">
        <v>46217</v>
      </c>
      <c r="G178" s="16">
        <v>46210</v>
      </c>
      <c r="H178" s="13">
        <v>47</v>
      </c>
      <c r="I178" s="17" t="s">
        <v>247</v>
      </c>
      <c r="J178" s="18">
        <v>1200</v>
      </c>
      <c r="K178" s="19">
        <v>0</v>
      </c>
      <c r="L178" s="20">
        <f t="shared" si="7"/>
        <v>0</v>
      </c>
      <c r="M178" s="27"/>
      <c r="N178" s="27"/>
      <c r="O178" s="22"/>
      <c r="P178" s="16">
        <v>46217.479560185187</v>
      </c>
      <c r="Q178" s="16">
        <v>46217</v>
      </c>
      <c r="R178" s="21" t="s">
        <v>19</v>
      </c>
      <c r="S178" s="21" t="s">
        <v>20</v>
      </c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</row>
    <row r="179" spans="1:45" s="24" customFormat="1" ht="13.9" hidden="1" customHeight="1" x14ac:dyDescent="0.35">
      <c r="A179" s="13" t="s">
        <v>245</v>
      </c>
      <c r="B179" s="13" t="s">
        <v>246</v>
      </c>
      <c r="C179" s="13">
        <v>28932</v>
      </c>
      <c r="D179" s="14" t="s">
        <v>36</v>
      </c>
      <c r="E179" s="15" t="s">
        <v>37</v>
      </c>
      <c r="F179" s="16">
        <v>46224</v>
      </c>
      <c r="G179" s="16">
        <v>46223</v>
      </c>
      <c r="H179" s="13">
        <v>196</v>
      </c>
      <c r="I179" s="17" t="s">
        <v>248</v>
      </c>
      <c r="J179" s="18">
        <v>2200</v>
      </c>
      <c r="K179" s="19">
        <v>0</v>
      </c>
      <c r="L179" s="26">
        <f t="shared" si="7"/>
        <v>0</v>
      </c>
      <c r="M179" s="27"/>
      <c r="N179" s="27"/>
      <c r="O179" s="22"/>
      <c r="P179" s="16">
        <v>46224.42391203704</v>
      </c>
      <c r="Q179" s="16">
        <v>46224</v>
      </c>
      <c r="R179" s="21" t="s">
        <v>19</v>
      </c>
      <c r="S179" s="21" t="s">
        <v>20</v>
      </c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</row>
    <row r="180" spans="1:45" s="24" customFormat="1" ht="13.9" hidden="1" customHeight="1" x14ac:dyDescent="0.35">
      <c r="A180" s="13" t="s">
        <v>245</v>
      </c>
      <c r="B180" s="13" t="s">
        <v>246</v>
      </c>
      <c r="C180" s="13">
        <v>28935</v>
      </c>
      <c r="D180" s="14" t="s">
        <v>29</v>
      </c>
      <c r="E180" s="15" t="s">
        <v>30</v>
      </c>
      <c r="F180" s="16">
        <v>46224</v>
      </c>
      <c r="G180" s="16">
        <v>46219</v>
      </c>
      <c r="H180" s="13">
        <v>1962</v>
      </c>
      <c r="I180" s="17" t="s">
        <v>31</v>
      </c>
      <c r="J180" s="18">
        <v>2041.66</v>
      </c>
      <c r="K180" s="19">
        <v>0</v>
      </c>
      <c r="L180" s="26">
        <f t="shared" si="7"/>
        <v>0</v>
      </c>
      <c r="M180" s="27"/>
      <c r="N180" s="27"/>
      <c r="O180" s="22"/>
      <c r="P180" s="16">
        <v>46224.639108796298</v>
      </c>
      <c r="Q180" s="16">
        <v>46224</v>
      </c>
      <c r="R180" s="21" t="s">
        <v>19</v>
      </c>
      <c r="S180" s="21" t="s">
        <v>52</v>
      </c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</row>
    <row r="181" spans="1:45" s="24" customFormat="1" ht="13.9" hidden="1" customHeight="1" x14ac:dyDescent="0.35">
      <c r="A181" s="13" t="s">
        <v>245</v>
      </c>
      <c r="B181" s="13" t="s">
        <v>246</v>
      </c>
      <c r="C181" s="13">
        <v>28903</v>
      </c>
      <c r="D181" s="14" t="s">
        <v>44</v>
      </c>
      <c r="E181" s="15" t="s">
        <v>45</v>
      </c>
      <c r="F181" s="16">
        <v>46218</v>
      </c>
      <c r="G181" s="16">
        <v>46218</v>
      </c>
      <c r="H181" s="13">
        <v>29099</v>
      </c>
      <c r="I181" s="17" t="s">
        <v>93</v>
      </c>
      <c r="J181" s="18">
        <v>13756.86</v>
      </c>
      <c r="K181" s="19">
        <v>687.84</v>
      </c>
      <c r="L181" s="26">
        <f t="shared" si="7"/>
        <v>4.9999781926980429</v>
      </c>
      <c r="M181" s="27"/>
      <c r="N181" s="27"/>
      <c r="O181" s="22"/>
      <c r="P181" s="16">
        <v>46218.863368055558</v>
      </c>
      <c r="Q181" s="16">
        <v>46218</v>
      </c>
      <c r="R181" s="21" t="s">
        <v>19</v>
      </c>
      <c r="S181" s="21" t="s">
        <v>94</v>
      </c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</row>
    <row r="182" spans="1:45" s="24" customFormat="1" ht="13.9" hidden="1" customHeight="1" x14ac:dyDescent="0.35">
      <c r="A182" s="13" t="s">
        <v>245</v>
      </c>
      <c r="B182" s="13" t="s">
        <v>246</v>
      </c>
      <c r="C182" s="13">
        <v>28916</v>
      </c>
      <c r="D182" s="14" t="s">
        <v>44</v>
      </c>
      <c r="E182" s="15" t="s">
        <v>45</v>
      </c>
      <c r="F182" s="16">
        <v>46220</v>
      </c>
      <c r="G182" s="16">
        <v>46220</v>
      </c>
      <c r="H182" s="13">
        <v>224959</v>
      </c>
      <c r="I182" s="17" t="s">
        <v>46</v>
      </c>
      <c r="J182" s="18">
        <v>31195.68</v>
      </c>
      <c r="K182" s="19">
        <v>1559.78</v>
      </c>
      <c r="L182" s="26">
        <f t="shared" si="7"/>
        <v>4.9999871777117857</v>
      </c>
      <c r="M182" s="27"/>
      <c r="N182" s="27"/>
      <c r="O182" s="22"/>
      <c r="P182" s="16">
        <v>46220.716979166667</v>
      </c>
      <c r="Q182" s="16">
        <v>46220</v>
      </c>
      <c r="R182" s="21" t="s">
        <v>19</v>
      </c>
      <c r="S182" s="21" t="s">
        <v>47</v>
      </c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</row>
    <row r="183" spans="1:45" s="24" customFormat="1" ht="13.9" hidden="1" customHeight="1" x14ac:dyDescent="0.35">
      <c r="A183" s="13" t="s">
        <v>245</v>
      </c>
      <c r="B183" s="13" t="s">
        <v>246</v>
      </c>
      <c r="C183" s="13">
        <v>28877</v>
      </c>
      <c r="D183" s="14" t="s">
        <v>62</v>
      </c>
      <c r="E183" s="15" t="s">
        <v>63</v>
      </c>
      <c r="F183" s="16">
        <v>46213</v>
      </c>
      <c r="G183" s="16">
        <v>46213</v>
      </c>
      <c r="H183" s="13">
        <v>1006713</v>
      </c>
      <c r="I183" s="17" t="s">
        <v>84</v>
      </c>
      <c r="J183" s="18">
        <v>6174.87</v>
      </c>
      <c r="K183" s="19">
        <v>308.74</v>
      </c>
      <c r="L183" s="26">
        <f t="shared" si="7"/>
        <v>4.9999433186447648</v>
      </c>
      <c r="M183" s="27"/>
      <c r="N183" s="27"/>
      <c r="O183" s="22" t="s">
        <v>249</v>
      </c>
      <c r="P183" s="16">
        <v>46213.514537037037</v>
      </c>
      <c r="Q183" s="16">
        <v>46213</v>
      </c>
      <c r="R183" s="21" t="s">
        <v>19</v>
      </c>
      <c r="S183" s="21" t="s">
        <v>85</v>
      </c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</row>
    <row r="184" spans="1:45" s="24" customFormat="1" ht="13.9" hidden="1" customHeight="1" x14ac:dyDescent="0.35">
      <c r="A184" s="13" t="s">
        <v>250</v>
      </c>
      <c r="B184" s="13" t="s">
        <v>251</v>
      </c>
      <c r="C184" s="13">
        <v>25732</v>
      </c>
      <c r="D184" s="14" t="s">
        <v>25</v>
      </c>
      <c r="E184" s="15" t="s">
        <v>26</v>
      </c>
      <c r="F184" s="16">
        <v>46223</v>
      </c>
      <c r="G184" s="16">
        <v>46223</v>
      </c>
      <c r="H184" s="13">
        <v>1201</v>
      </c>
      <c r="I184" s="17" t="s">
        <v>97</v>
      </c>
      <c r="J184" s="18">
        <v>4409.37</v>
      </c>
      <c r="K184" s="19">
        <v>220.47</v>
      </c>
      <c r="L184" s="26">
        <f t="shared" si="7"/>
        <v>5.0000340184652226</v>
      </c>
      <c r="M184" s="27"/>
      <c r="N184" s="27"/>
      <c r="O184" s="22"/>
      <c r="P184" s="16">
        <v>46223.661527777775</v>
      </c>
      <c r="Q184" s="16">
        <v>46223</v>
      </c>
      <c r="R184" s="21" t="s">
        <v>19</v>
      </c>
      <c r="S184" s="21" t="s">
        <v>98</v>
      </c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</row>
    <row r="185" spans="1:45" s="24" customFormat="1" ht="13.9" hidden="1" customHeight="1" x14ac:dyDescent="0.35">
      <c r="A185" s="13" t="s">
        <v>250</v>
      </c>
      <c r="B185" s="13" t="s">
        <v>251</v>
      </c>
      <c r="C185" s="13">
        <v>25759</v>
      </c>
      <c r="D185" s="14" t="s">
        <v>25</v>
      </c>
      <c r="E185" s="15" t="s">
        <v>26</v>
      </c>
      <c r="F185" s="16">
        <v>46230</v>
      </c>
      <c r="G185" s="16">
        <v>46223</v>
      </c>
      <c r="H185" s="13">
        <v>1203</v>
      </c>
      <c r="I185" s="17" t="s">
        <v>97</v>
      </c>
      <c r="J185" s="18">
        <v>3885.51</v>
      </c>
      <c r="K185" s="19">
        <v>172.52</v>
      </c>
      <c r="L185" s="26">
        <f t="shared" si="7"/>
        <v>4.4400863721879498</v>
      </c>
      <c r="M185" s="27">
        <v>21.77</v>
      </c>
      <c r="N185" s="27"/>
      <c r="O185" s="22" t="s">
        <v>252</v>
      </c>
      <c r="P185" s="16">
        <v>46230.383344907408</v>
      </c>
      <c r="Q185" s="16">
        <v>46230</v>
      </c>
      <c r="R185" s="21" t="s">
        <v>19</v>
      </c>
      <c r="S185" s="21" t="s">
        <v>98</v>
      </c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</row>
    <row r="186" spans="1:45" s="24" customFormat="1" ht="13.9" hidden="1" customHeight="1" x14ac:dyDescent="0.35">
      <c r="A186" s="13" t="s">
        <v>250</v>
      </c>
      <c r="B186" s="13" t="s">
        <v>251</v>
      </c>
      <c r="C186" s="13">
        <v>25734</v>
      </c>
      <c r="D186" s="14" t="s">
        <v>29</v>
      </c>
      <c r="E186" s="15" t="s">
        <v>30</v>
      </c>
      <c r="F186" s="16">
        <v>46224</v>
      </c>
      <c r="G186" s="16">
        <v>46219</v>
      </c>
      <c r="H186" s="13">
        <v>1359</v>
      </c>
      <c r="I186" s="17" t="s">
        <v>101</v>
      </c>
      <c r="J186" s="18">
        <v>1264.8</v>
      </c>
      <c r="K186" s="19">
        <v>0</v>
      </c>
      <c r="L186" s="26">
        <f t="shared" si="7"/>
        <v>0</v>
      </c>
      <c r="M186" s="27"/>
      <c r="N186" s="27"/>
      <c r="O186" s="22"/>
      <c r="P186" s="16">
        <v>46224.482268518521</v>
      </c>
      <c r="Q186" s="16">
        <v>46224</v>
      </c>
      <c r="R186" s="21" t="s">
        <v>19</v>
      </c>
      <c r="S186" s="21" t="s">
        <v>102</v>
      </c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</row>
    <row r="187" spans="1:45" s="24" customFormat="1" ht="13.9" hidden="1" customHeight="1" x14ac:dyDescent="0.35">
      <c r="A187" s="13" t="s">
        <v>250</v>
      </c>
      <c r="B187" s="13" t="s">
        <v>251</v>
      </c>
      <c r="C187" s="13">
        <v>25718</v>
      </c>
      <c r="D187" s="14" t="s">
        <v>44</v>
      </c>
      <c r="E187" s="15" t="s">
        <v>45</v>
      </c>
      <c r="F187" s="16">
        <v>46220</v>
      </c>
      <c r="G187" s="16">
        <v>46220</v>
      </c>
      <c r="H187" s="13">
        <v>224971</v>
      </c>
      <c r="I187" s="17" t="s">
        <v>46</v>
      </c>
      <c r="J187" s="18">
        <v>5361.3</v>
      </c>
      <c r="K187" s="19">
        <v>268.07</v>
      </c>
      <c r="L187" s="26">
        <f t="shared" si="7"/>
        <v>5.0000932609628252</v>
      </c>
      <c r="M187" s="27"/>
      <c r="N187" s="27"/>
      <c r="O187" s="22"/>
      <c r="P187" s="16">
        <v>46220.684849537036</v>
      </c>
      <c r="Q187" s="16">
        <v>46220</v>
      </c>
      <c r="R187" s="21" t="s">
        <v>19</v>
      </c>
      <c r="S187" s="21" t="s">
        <v>47</v>
      </c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</row>
    <row r="188" spans="1:45" s="24" customFormat="1" ht="13.9" hidden="1" customHeight="1" x14ac:dyDescent="0.35">
      <c r="A188" s="13" t="s">
        <v>253</v>
      </c>
      <c r="B188" s="13" t="s">
        <v>254</v>
      </c>
      <c r="C188" s="13">
        <v>48133</v>
      </c>
      <c r="D188" s="14" t="s">
        <v>29</v>
      </c>
      <c r="E188" s="15" t="s">
        <v>30</v>
      </c>
      <c r="F188" s="16">
        <v>46217</v>
      </c>
      <c r="G188" s="16">
        <v>46216</v>
      </c>
      <c r="H188" s="13">
        <v>400</v>
      </c>
      <c r="I188" s="17" t="s">
        <v>149</v>
      </c>
      <c r="J188" s="18">
        <v>3768.87</v>
      </c>
      <c r="K188" s="19">
        <v>0</v>
      </c>
      <c r="L188" s="26">
        <f t="shared" si="7"/>
        <v>0</v>
      </c>
      <c r="M188" s="27"/>
      <c r="N188" s="27"/>
      <c r="O188" s="22"/>
      <c r="P188" s="16">
        <v>46217.40898148148</v>
      </c>
      <c r="Q188" s="16">
        <v>46217</v>
      </c>
      <c r="R188" s="21" t="s">
        <v>19</v>
      </c>
      <c r="S188" s="21" t="s">
        <v>150</v>
      </c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</row>
    <row r="189" spans="1:45" s="24" customFormat="1" ht="13.9" hidden="1" customHeight="1" x14ac:dyDescent="0.35">
      <c r="A189" s="13" t="s">
        <v>253</v>
      </c>
      <c r="B189" s="13" t="s">
        <v>254</v>
      </c>
      <c r="C189" s="13">
        <v>48131</v>
      </c>
      <c r="D189" s="14" t="s">
        <v>25</v>
      </c>
      <c r="E189" s="15" t="s">
        <v>26</v>
      </c>
      <c r="F189" s="16">
        <v>46216</v>
      </c>
      <c r="G189" s="16">
        <v>46213</v>
      </c>
      <c r="H189" s="13">
        <v>3522</v>
      </c>
      <c r="I189" s="17" t="s">
        <v>212</v>
      </c>
      <c r="J189" s="18">
        <v>4038.28</v>
      </c>
      <c r="K189" s="19">
        <v>201.91</v>
      </c>
      <c r="L189" s="26">
        <f t="shared" si="7"/>
        <v>4.9999009479283254</v>
      </c>
      <c r="M189" s="27"/>
      <c r="N189" s="27"/>
      <c r="O189" s="22"/>
      <c r="P189" s="16">
        <v>46216.672465277778</v>
      </c>
      <c r="Q189" s="16">
        <v>46216</v>
      </c>
      <c r="R189" s="21" t="s">
        <v>19</v>
      </c>
      <c r="S189" s="21" t="s">
        <v>213</v>
      </c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</row>
    <row r="190" spans="1:45" s="24" customFormat="1" ht="13.9" hidden="1" customHeight="1" x14ac:dyDescent="0.35">
      <c r="A190" s="13" t="s">
        <v>253</v>
      </c>
      <c r="B190" s="13" t="s">
        <v>254</v>
      </c>
      <c r="C190" s="13">
        <v>48132</v>
      </c>
      <c r="D190" s="14" t="s">
        <v>25</v>
      </c>
      <c r="E190" s="15" t="s">
        <v>26</v>
      </c>
      <c r="F190" s="16">
        <v>46216</v>
      </c>
      <c r="G190" s="16">
        <v>46213</v>
      </c>
      <c r="H190" s="13">
        <v>3523</v>
      </c>
      <c r="I190" s="17" t="s">
        <v>212</v>
      </c>
      <c r="J190" s="18">
        <v>4038.28</v>
      </c>
      <c r="K190" s="19">
        <v>201.91</v>
      </c>
      <c r="L190" s="26">
        <f t="shared" si="7"/>
        <v>4.9999009479283254</v>
      </c>
      <c r="M190" s="27"/>
      <c r="N190" s="27"/>
      <c r="O190" s="22"/>
      <c r="P190" s="16">
        <v>46216.672488425924</v>
      </c>
      <c r="Q190" s="16">
        <v>46216</v>
      </c>
      <c r="R190" s="21" t="s">
        <v>19</v>
      </c>
      <c r="S190" s="21" t="s">
        <v>213</v>
      </c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</row>
    <row r="191" spans="1:45" s="24" customFormat="1" ht="13.9" hidden="1" customHeight="1" x14ac:dyDescent="0.35">
      <c r="A191" s="13" t="s">
        <v>253</v>
      </c>
      <c r="B191" s="13" t="s">
        <v>254</v>
      </c>
      <c r="C191" s="13">
        <v>48193</v>
      </c>
      <c r="D191" s="14" t="s">
        <v>44</v>
      </c>
      <c r="E191" s="15" t="s">
        <v>45</v>
      </c>
      <c r="F191" s="16">
        <v>46220</v>
      </c>
      <c r="G191" s="16">
        <v>46220</v>
      </c>
      <c r="H191" s="13">
        <v>224972</v>
      </c>
      <c r="I191" s="17" t="s">
        <v>46</v>
      </c>
      <c r="J191" s="18">
        <v>19996.5</v>
      </c>
      <c r="K191" s="19">
        <v>999.83</v>
      </c>
      <c r="L191" s="26">
        <f t="shared" si="7"/>
        <v>5.0000250043757664</v>
      </c>
      <c r="M191" s="27"/>
      <c r="N191" s="27"/>
      <c r="O191" s="22"/>
      <c r="P191" s="16">
        <v>46220.684849537036</v>
      </c>
      <c r="Q191" s="16">
        <v>46220</v>
      </c>
      <c r="R191" s="21" t="s">
        <v>19</v>
      </c>
      <c r="S191" s="21" t="s">
        <v>47</v>
      </c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</row>
    <row r="192" spans="1:45" s="24" customFormat="1" ht="13.9" hidden="1" customHeight="1" x14ac:dyDescent="0.35">
      <c r="A192" s="13" t="s">
        <v>253</v>
      </c>
      <c r="B192" s="13" t="s">
        <v>254</v>
      </c>
      <c r="C192" s="13">
        <v>48212</v>
      </c>
      <c r="D192" s="14" t="s">
        <v>44</v>
      </c>
      <c r="E192" s="15" t="s">
        <v>45</v>
      </c>
      <c r="F192" s="16">
        <v>46223</v>
      </c>
      <c r="G192" s="16">
        <v>46223</v>
      </c>
      <c r="H192" s="13">
        <v>225030</v>
      </c>
      <c r="I192" s="17" t="s">
        <v>46</v>
      </c>
      <c r="J192" s="18">
        <v>11748.77</v>
      </c>
      <c r="K192" s="19">
        <v>587.44000000000005</v>
      </c>
      <c r="L192" s="26">
        <f t="shared" si="7"/>
        <v>5.0000127672939385</v>
      </c>
      <c r="M192" s="27"/>
      <c r="N192" s="27"/>
      <c r="O192" s="22"/>
      <c r="P192" s="16">
        <v>46223.640983796293</v>
      </c>
      <c r="Q192" s="16">
        <v>46223</v>
      </c>
      <c r="R192" s="21" t="s">
        <v>19</v>
      </c>
      <c r="S192" s="21" t="s">
        <v>47</v>
      </c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</row>
    <row r="193" spans="1:45" s="24" customFormat="1" ht="13.9" hidden="1" customHeight="1" x14ac:dyDescent="0.35">
      <c r="A193" s="13" t="s">
        <v>255</v>
      </c>
      <c r="B193" s="13" t="s">
        <v>256</v>
      </c>
      <c r="C193" s="13">
        <v>37867</v>
      </c>
      <c r="D193" s="14" t="s">
        <v>25</v>
      </c>
      <c r="E193" s="15" t="s">
        <v>26</v>
      </c>
      <c r="F193" s="16">
        <v>46223</v>
      </c>
      <c r="G193" s="16">
        <v>46223</v>
      </c>
      <c r="H193" s="13">
        <v>1200</v>
      </c>
      <c r="I193" s="17" t="s">
        <v>97</v>
      </c>
      <c r="J193" s="18">
        <v>4222.3599999999997</v>
      </c>
      <c r="K193" s="19">
        <v>187.47</v>
      </c>
      <c r="L193" s="26">
        <f t="shared" si="7"/>
        <v>4.4399340653094486</v>
      </c>
      <c r="M193" s="27"/>
      <c r="N193" s="27">
        <v>103.02</v>
      </c>
      <c r="O193" s="22" t="s">
        <v>257</v>
      </c>
      <c r="P193" s="16">
        <v>46223.660636574074</v>
      </c>
      <c r="Q193" s="16">
        <v>46223</v>
      </c>
      <c r="R193" s="21" t="s">
        <v>19</v>
      </c>
      <c r="S193" s="21" t="s">
        <v>98</v>
      </c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</row>
    <row r="194" spans="1:45" s="24" customFormat="1" ht="13.9" hidden="1" customHeight="1" x14ac:dyDescent="0.35">
      <c r="A194" s="13" t="s">
        <v>255</v>
      </c>
      <c r="B194" s="13" t="s">
        <v>256</v>
      </c>
      <c r="C194" s="13">
        <v>37822</v>
      </c>
      <c r="D194" s="14" t="s">
        <v>29</v>
      </c>
      <c r="E194" s="15" t="s">
        <v>30</v>
      </c>
      <c r="F194" s="16">
        <v>46219</v>
      </c>
      <c r="G194" s="16">
        <v>46219</v>
      </c>
      <c r="H194" s="13">
        <v>1979</v>
      </c>
      <c r="I194" s="17" t="s">
        <v>31</v>
      </c>
      <c r="J194" s="18">
        <v>1685.17</v>
      </c>
      <c r="K194" s="19">
        <v>0</v>
      </c>
      <c r="L194" s="26">
        <f t="shared" si="7"/>
        <v>0</v>
      </c>
      <c r="M194" s="27"/>
      <c r="N194" s="27"/>
      <c r="O194" s="22"/>
      <c r="P194" s="16">
        <v>46219.69127314815</v>
      </c>
      <c r="Q194" s="16">
        <v>46219</v>
      </c>
      <c r="R194" s="21" t="s">
        <v>19</v>
      </c>
      <c r="S194" s="21" t="s">
        <v>32</v>
      </c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</row>
    <row r="195" spans="1:45" s="24" customFormat="1" ht="13.9" hidden="1" customHeight="1" x14ac:dyDescent="0.35">
      <c r="A195" s="13" t="s">
        <v>255</v>
      </c>
      <c r="B195" s="13" t="s">
        <v>256</v>
      </c>
      <c r="C195" s="13">
        <v>37801</v>
      </c>
      <c r="D195" s="14" t="s">
        <v>111</v>
      </c>
      <c r="E195" s="15" t="s">
        <v>112</v>
      </c>
      <c r="F195" s="16">
        <v>46218</v>
      </c>
      <c r="G195" s="16">
        <v>46218</v>
      </c>
      <c r="H195" s="13">
        <v>2161</v>
      </c>
      <c r="I195" s="17" t="s">
        <v>113</v>
      </c>
      <c r="J195" s="18">
        <v>1194.21</v>
      </c>
      <c r="K195" s="19">
        <v>23.88</v>
      </c>
      <c r="L195" s="26">
        <f t="shared" si="7"/>
        <v>1.9996483030622754</v>
      </c>
      <c r="M195" s="27"/>
      <c r="N195" s="27"/>
      <c r="O195" s="22"/>
      <c r="P195" s="16">
        <v>46218.673819444448</v>
      </c>
      <c r="Q195" s="16">
        <v>46218</v>
      </c>
      <c r="R195" s="21" t="s">
        <v>19</v>
      </c>
      <c r="S195" s="21" t="s">
        <v>114</v>
      </c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</row>
    <row r="196" spans="1:45" s="24" customFormat="1" ht="13.9" hidden="1" customHeight="1" x14ac:dyDescent="0.35">
      <c r="A196" s="13" t="s">
        <v>255</v>
      </c>
      <c r="B196" s="13" t="s">
        <v>256</v>
      </c>
      <c r="C196" s="13">
        <v>37839</v>
      </c>
      <c r="D196" s="14" t="s">
        <v>44</v>
      </c>
      <c r="E196" s="15" t="s">
        <v>45</v>
      </c>
      <c r="F196" s="16">
        <v>46220</v>
      </c>
      <c r="G196" s="16">
        <v>46220</v>
      </c>
      <c r="H196" s="13">
        <v>224962</v>
      </c>
      <c r="I196" s="17" t="s">
        <v>46</v>
      </c>
      <c r="J196" s="18">
        <v>29095.55</v>
      </c>
      <c r="K196" s="19">
        <v>727.39</v>
      </c>
      <c r="L196" s="26">
        <f t="shared" si="7"/>
        <v>2.5000042961896236</v>
      </c>
      <c r="M196" s="27"/>
      <c r="N196" s="27"/>
      <c r="O196" s="22"/>
      <c r="P196" s="16">
        <v>46220.71603009259</v>
      </c>
      <c r="Q196" s="16">
        <v>46220</v>
      </c>
      <c r="R196" s="21" t="s">
        <v>19</v>
      </c>
      <c r="S196" s="21" t="s">
        <v>47</v>
      </c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</row>
    <row r="197" spans="1:45" s="24" customFormat="1" ht="13.9" hidden="1" customHeight="1" x14ac:dyDescent="0.35">
      <c r="A197" s="13" t="s">
        <v>255</v>
      </c>
      <c r="B197" s="13" t="s">
        <v>256</v>
      </c>
      <c r="C197" s="13">
        <v>37802</v>
      </c>
      <c r="D197" s="14" t="s">
        <v>54</v>
      </c>
      <c r="E197" s="15" t="s">
        <v>55</v>
      </c>
      <c r="F197" s="16">
        <v>46219</v>
      </c>
      <c r="G197" s="16">
        <v>46205</v>
      </c>
      <c r="H197" s="13">
        <v>1006708</v>
      </c>
      <c r="I197" s="17" t="s">
        <v>84</v>
      </c>
      <c r="J197" s="18">
        <v>8993.9699999999993</v>
      </c>
      <c r="K197" s="19">
        <v>224.85</v>
      </c>
      <c r="L197" s="26">
        <f t="shared" si="7"/>
        <v>2.5000083389204102</v>
      </c>
      <c r="M197" s="27"/>
      <c r="N197" s="27">
        <v>44.97</v>
      </c>
      <c r="O197" s="22" t="s">
        <v>258</v>
      </c>
      <c r="P197" s="16">
        <v>46219.489166666666</v>
      </c>
      <c r="Q197" s="16">
        <v>46219</v>
      </c>
      <c r="R197" s="21" t="s">
        <v>19</v>
      </c>
      <c r="S197" s="21" t="s">
        <v>259</v>
      </c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</row>
    <row r="198" spans="1:45" s="24" customFormat="1" ht="13.9" hidden="1" customHeight="1" x14ac:dyDescent="0.35">
      <c r="A198" s="13" t="s">
        <v>260</v>
      </c>
      <c r="B198" s="13" t="s">
        <v>261</v>
      </c>
      <c r="C198" s="13">
        <v>39557</v>
      </c>
      <c r="D198" s="14" t="s">
        <v>44</v>
      </c>
      <c r="E198" s="15" t="s">
        <v>45</v>
      </c>
      <c r="F198" s="16">
        <v>46209</v>
      </c>
      <c r="G198" s="16">
        <v>46209</v>
      </c>
      <c r="H198" s="13">
        <v>244</v>
      </c>
      <c r="I198" s="17" t="s">
        <v>195</v>
      </c>
      <c r="J198" s="18">
        <v>2146071.89</v>
      </c>
      <c r="K198" s="19">
        <v>107303.59</v>
      </c>
      <c r="L198" s="26">
        <f t="shared" si="7"/>
        <v>4.9999997903145728</v>
      </c>
      <c r="M198" s="27"/>
      <c r="N198" s="27"/>
      <c r="O198" s="22"/>
      <c r="P198" s="16">
        <v>46209.699745370373</v>
      </c>
      <c r="Q198" s="16">
        <v>46209</v>
      </c>
      <c r="R198" s="21" t="s">
        <v>19</v>
      </c>
      <c r="S198" s="21" t="s">
        <v>262</v>
      </c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</row>
    <row r="199" spans="1:45" s="24" customFormat="1" ht="13.9" hidden="1" customHeight="1" x14ac:dyDescent="0.35">
      <c r="A199" s="13" t="s">
        <v>260</v>
      </c>
      <c r="B199" s="13" t="s">
        <v>261</v>
      </c>
      <c r="C199" s="13">
        <v>39563</v>
      </c>
      <c r="D199" s="14" t="s">
        <v>44</v>
      </c>
      <c r="E199" s="15" t="s">
        <v>45</v>
      </c>
      <c r="F199" s="16">
        <v>46209</v>
      </c>
      <c r="G199" s="16">
        <v>46209</v>
      </c>
      <c r="H199" s="13">
        <v>245</v>
      </c>
      <c r="I199" s="17" t="s">
        <v>195</v>
      </c>
      <c r="J199" s="18">
        <v>16722.22</v>
      </c>
      <c r="K199" s="19">
        <v>836.11</v>
      </c>
      <c r="L199" s="26">
        <f t="shared" si="7"/>
        <v>4.9999940199327595</v>
      </c>
      <c r="M199" s="27"/>
      <c r="N199" s="27"/>
      <c r="O199" s="22"/>
      <c r="P199" s="16">
        <v>46209.734166666669</v>
      </c>
      <c r="Q199" s="16">
        <v>46209</v>
      </c>
      <c r="R199" s="21" t="s">
        <v>19</v>
      </c>
      <c r="S199" s="21" t="s">
        <v>262</v>
      </c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</row>
    <row r="200" spans="1:45" s="24" customFormat="1" ht="13.9" hidden="1" customHeight="1" x14ac:dyDescent="0.35">
      <c r="A200" s="13" t="s">
        <v>260</v>
      </c>
      <c r="B200" s="13" t="s">
        <v>261</v>
      </c>
      <c r="C200" s="13">
        <v>39766</v>
      </c>
      <c r="D200" s="14" t="s">
        <v>25</v>
      </c>
      <c r="E200" s="15" t="s">
        <v>26</v>
      </c>
      <c r="F200" s="16">
        <v>46223</v>
      </c>
      <c r="G200" s="16">
        <v>46223</v>
      </c>
      <c r="H200" s="13">
        <v>1204</v>
      </c>
      <c r="I200" s="17" t="s">
        <v>97</v>
      </c>
      <c r="J200" s="18">
        <v>4499.9399999999996</v>
      </c>
      <c r="K200" s="19">
        <v>225</v>
      </c>
      <c r="L200" s="26">
        <f t="shared" si="7"/>
        <v>5.0000666675555676</v>
      </c>
      <c r="M200" s="27"/>
      <c r="N200" s="27"/>
      <c r="O200" s="22"/>
      <c r="P200" s="16">
        <v>46223.741620370369</v>
      </c>
      <c r="Q200" s="16">
        <v>46223</v>
      </c>
      <c r="R200" s="21" t="s">
        <v>19</v>
      </c>
      <c r="S200" s="21" t="s">
        <v>98</v>
      </c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</row>
    <row r="201" spans="1:45" s="24" customFormat="1" ht="13.9" hidden="1" customHeight="1" x14ac:dyDescent="0.35">
      <c r="A201" s="13" t="s">
        <v>260</v>
      </c>
      <c r="B201" s="13" t="s">
        <v>261</v>
      </c>
      <c r="C201" s="13">
        <v>39767</v>
      </c>
      <c r="D201" s="14" t="s">
        <v>25</v>
      </c>
      <c r="E201" s="15" t="s">
        <v>26</v>
      </c>
      <c r="F201" s="16">
        <v>46223</v>
      </c>
      <c r="G201" s="16">
        <v>46223</v>
      </c>
      <c r="H201" s="13">
        <v>1205</v>
      </c>
      <c r="I201" s="17" t="s">
        <v>97</v>
      </c>
      <c r="J201" s="18">
        <v>712.21</v>
      </c>
      <c r="K201" s="19">
        <v>35.61</v>
      </c>
      <c r="L201" s="26">
        <f t="shared" si="7"/>
        <v>4.9999297959871383</v>
      </c>
      <c r="M201" s="27"/>
      <c r="N201" s="27"/>
      <c r="O201" s="22"/>
      <c r="P201" s="16">
        <v>46223.745983796296</v>
      </c>
      <c r="Q201" s="16">
        <v>46223</v>
      </c>
      <c r="R201" s="21" t="s">
        <v>19</v>
      </c>
      <c r="S201" s="21" t="s">
        <v>98</v>
      </c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</row>
    <row r="202" spans="1:45" s="24" customFormat="1" ht="13.9" hidden="1" customHeight="1" x14ac:dyDescent="0.35">
      <c r="A202" s="13" t="s">
        <v>260</v>
      </c>
      <c r="B202" s="13" t="s">
        <v>261</v>
      </c>
      <c r="C202" s="13">
        <v>39769</v>
      </c>
      <c r="D202" s="14" t="s">
        <v>29</v>
      </c>
      <c r="E202" s="15" t="s">
        <v>30</v>
      </c>
      <c r="F202" s="16">
        <v>46224</v>
      </c>
      <c r="G202" s="16">
        <v>46219</v>
      </c>
      <c r="H202" s="13">
        <v>1971</v>
      </c>
      <c r="I202" s="17" t="s">
        <v>31</v>
      </c>
      <c r="J202" s="18">
        <v>1746.2</v>
      </c>
      <c r="K202" s="19">
        <v>0</v>
      </c>
      <c r="L202" s="26">
        <f t="shared" si="7"/>
        <v>0</v>
      </c>
      <c r="M202" s="27"/>
      <c r="N202" s="27"/>
      <c r="O202" s="22"/>
      <c r="P202" s="16">
        <v>46224.519641203704</v>
      </c>
      <c r="Q202" s="16">
        <v>46224</v>
      </c>
      <c r="R202" s="21" t="s">
        <v>19</v>
      </c>
      <c r="S202" s="21" t="s">
        <v>32</v>
      </c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</row>
    <row r="203" spans="1:45" s="24" customFormat="1" ht="13.9" hidden="1" customHeight="1" x14ac:dyDescent="0.35">
      <c r="A203" s="13" t="s">
        <v>260</v>
      </c>
      <c r="B203" s="13" t="s">
        <v>261</v>
      </c>
      <c r="C203" s="13">
        <v>39699</v>
      </c>
      <c r="D203" s="14" t="s">
        <v>44</v>
      </c>
      <c r="E203" s="15" t="s">
        <v>45</v>
      </c>
      <c r="F203" s="16">
        <v>46218</v>
      </c>
      <c r="G203" s="16">
        <v>46218</v>
      </c>
      <c r="H203" s="13">
        <v>29100</v>
      </c>
      <c r="I203" s="17" t="s">
        <v>93</v>
      </c>
      <c r="J203" s="18">
        <v>40473.18</v>
      </c>
      <c r="K203" s="19">
        <v>2023.66</v>
      </c>
      <c r="L203" s="26">
        <f t="shared" ref="L203:L234" si="8">K203/J203*100</f>
        <v>5.000002470772003</v>
      </c>
      <c r="M203" s="27"/>
      <c r="N203" s="27"/>
      <c r="O203" s="22"/>
      <c r="P203" s="16">
        <v>46218.806250000001</v>
      </c>
      <c r="Q203" s="16">
        <v>46218</v>
      </c>
      <c r="R203" s="21" t="s">
        <v>19</v>
      </c>
      <c r="S203" s="21" t="s">
        <v>94</v>
      </c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</row>
    <row r="204" spans="1:45" s="24" customFormat="1" ht="13.9" hidden="1" customHeight="1" x14ac:dyDescent="0.35">
      <c r="A204" s="13" t="s">
        <v>260</v>
      </c>
      <c r="B204" s="13" t="s">
        <v>261</v>
      </c>
      <c r="C204" s="13">
        <v>39736</v>
      </c>
      <c r="D204" s="14" t="s">
        <v>44</v>
      </c>
      <c r="E204" s="15" t="s">
        <v>45</v>
      </c>
      <c r="F204" s="16">
        <v>46220</v>
      </c>
      <c r="G204" s="16">
        <v>46220</v>
      </c>
      <c r="H204" s="13">
        <v>224963</v>
      </c>
      <c r="I204" s="17" t="s">
        <v>46</v>
      </c>
      <c r="J204" s="18">
        <v>22207.08</v>
      </c>
      <c r="K204" s="19">
        <v>1110.3499999999999</v>
      </c>
      <c r="L204" s="26">
        <f t="shared" si="8"/>
        <v>4.9999819877264358</v>
      </c>
      <c r="M204" s="27"/>
      <c r="N204" s="27"/>
      <c r="O204" s="22"/>
      <c r="P204" s="16">
        <v>46220.684837962966</v>
      </c>
      <c r="Q204" s="16">
        <v>46220</v>
      </c>
      <c r="R204" s="21" t="s">
        <v>19</v>
      </c>
      <c r="S204" s="21" t="s">
        <v>47</v>
      </c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</row>
    <row r="205" spans="1:45" s="24" customFormat="1" ht="13.9" hidden="1" customHeight="1" x14ac:dyDescent="0.35">
      <c r="A205" s="13" t="s">
        <v>263</v>
      </c>
      <c r="B205" s="13" t="s">
        <v>264</v>
      </c>
      <c r="C205" s="13">
        <v>38482</v>
      </c>
      <c r="D205" s="14" t="s">
        <v>25</v>
      </c>
      <c r="E205" s="15" t="s">
        <v>26</v>
      </c>
      <c r="F205" s="16">
        <v>46219</v>
      </c>
      <c r="G205" s="16">
        <v>46219</v>
      </c>
      <c r="H205" s="13">
        <v>1195</v>
      </c>
      <c r="I205" s="17" t="s">
        <v>97</v>
      </c>
      <c r="J205" s="18">
        <v>8001.82</v>
      </c>
      <c r="K205" s="19">
        <v>400.09</v>
      </c>
      <c r="L205" s="26">
        <f t="shared" si="8"/>
        <v>4.9999875028431031</v>
      </c>
      <c r="M205" s="27"/>
      <c r="N205" s="27"/>
      <c r="O205" s="22"/>
      <c r="P205" s="16">
        <v>46219.588530092595</v>
      </c>
      <c r="Q205" s="16">
        <v>46219</v>
      </c>
      <c r="R205" s="21" t="s">
        <v>19</v>
      </c>
      <c r="S205" s="21" t="s">
        <v>98</v>
      </c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</row>
    <row r="206" spans="1:45" s="24" customFormat="1" ht="13.9" hidden="1" customHeight="1" x14ac:dyDescent="0.35">
      <c r="A206" s="13" t="s">
        <v>263</v>
      </c>
      <c r="B206" s="13" t="s">
        <v>264</v>
      </c>
      <c r="C206" s="13">
        <v>38529</v>
      </c>
      <c r="D206" s="14" t="s">
        <v>29</v>
      </c>
      <c r="E206" s="15" t="s">
        <v>30</v>
      </c>
      <c r="F206" s="16">
        <v>46224</v>
      </c>
      <c r="G206" s="16">
        <v>46219</v>
      </c>
      <c r="H206" s="13">
        <v>1969</v>
      </c>
      <c r="I206" s="17" t="s">
        <v>31</v>
      </c>
      <c r="J206" s="18">
        <v>2041.67</v>
      </c>
      <c r="K206" s="19">
        <v>0</v>
      </c>
      <c r="L206" s="26">
        <f t="shared" si="8"/>
        <v>0</v>
      </c>
      <c r="M206" s="27"/>
      <c r="N206" s="27"/>
      <c r="O206" s="22"/>
      <c r="P206" s="16">
        <v>46224.663715277777</v>
      </c>
      <c r="Q206" s="16">
        <v>46224</v>
      </c>
      <c r="R206" s="21" t="s">
        <v>19</v>
      </c>
      <c r="S206" s="21" t="s">
        <v>52</v>
      </c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</row>
    <row r="207" spans="1:45" s="24" customFormat="1" ht="13.9" hidden="1" customHeight="1" x14ac:dyDescent="0.35">
      <c r="A207" s="13" t="s">
        <v>263</v>
      </c>
      <c r="B207" s="13" t="s">
        <v>264</v>
      </c>
      <c r="C207" s="13">
        <v>38498</v>
      </c>
      <c r="D207" s="14" t="s">
        <v>44</v>
      </c>
      <c r="E207" s="15" t="s">
        <v>45</v>
      </c>
      <c r="F207" s="16">
        <v>46220</v>
      </c>
      <c r="G207" s="16">
        <v>46220</v>
      </c>
      <c r="H207" s="13">
        <v>29101</v>
      </c>
      <c r="I207" s="17" t="s">
        <v>93</v>
      </c>
      <c r="J207" s="18">
        <v>22959.66</v>
      </c>
      <c r="K207" s="19">
        <v>1147.98</v>
      </c>
      <c r="L207" s="26">
        <f t="shared" si="8"/>
        <v>4.9999869336044176</v>
      </c>
      <c r="M207" s="27"/>
      <c r="N207" s="27"/>
      <c r="O207" s="22"/>
      <c r="P207" s="16">
        <v>46220.841284722221</v>
      </c>
      <c r="Q207" s="16">
        <v>46220</v>
      </c>
      <c r="R207" s="21" t="s">
        <v>19</v>
      </c>
      <c r="S207" s="21" t="s">
        <v>94</v>
      </c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</row>
    <row r="208" spans="1:45" s="24" customFormat="1" ht="13.9" hidden="1" customHeight="1" x14ac:dyDescent="0.35">
      <c r="A208" s="13" t="s">
        <v>263</v>
      </c>
      <c r="B208" s="13" t="s">
        <v>264</v>
      </c>
      <c r="C208" s="13">
        <v>38497</v>
      </c>
      <c r="D208" s="14" t="s">
        <v>44</v>
      </c>
      <c r="E208" s="15" t="s">
        <v>45</v>
      </c>
      <c r="F208" s="16">
        <v>46220</v>
      </c>
      <c r="G208" s="16">
        <v>46220</v>
      </c>
      <c r="H208" s="13">
        <v>224964</v>
      </c>
      <c r="I208" s="17" t="s">
        <v>46</v>
      </c>
      <c r="J208" s="18">
        <v>29549.46</v>
      </c>
      <c r="K208" s="19">
        <v>1477.47</v>
      </c>
      <c r="L208" s="26">
        <f t="shared" si="8"/>
        <v>4.9999898475302089</v>
      </c>
      <c r="M208" s="27"/>
      <c r="N208" s="27"/>
      <c r="O208" s="22"/>
      <c r="P208" s="16">
        <v>46220.68482638889</v>
      </c>
      <c r="Q208" s="16">
        <v>46220</v>
      </c>
      <c r="R208" s="21" t="s">
        <v>19</v>
      </c>
      <c r="S208" s="21" t="s">
        <v>47</v>
      </c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</row>
    <row r="209" spans="1:45" s="24" customFormat="1" ht="13.9" hidden="1" customHeight="1" x14ac:dyDescent="0.35">
      <c r="A209" s="13" t="s">
        <v>265</v>
      </c>
      <c r="B209" s="13" t="s">
        <v>266</v>
      </c>
      <c r="C209" s="13">
        <v>18904</v>
      </c>
      <c r="D209" s="14" t="s">
        <v>25</v>
      </c>
      <c r="E209" s="15" t="s">
        <v>26</v>
      </c>
      <c r="F209" s="16">
        <v>46211</v>
      </c>
      <c r="G209" s="16">
        <v>46211</v>
      </c>
      <c r="H209" s="13">
        <v>782</v>
      </c>
      <c r="I209" s="17" t="s">
        <v>27</v>
      </c>
      <c r="J209" s="18">
        <v>18300.29</v>
      </c>
      <c r="K209" s="19">
        <v>915.01</v>
      </c>
      <c r="L209" s="26">
        <f t="shared" si="8"/>
        <v>4.9999754102257388</v>
      </c>
      <c r="M209" s="27"/>
      <c r="N209" s="27"/>
      <c r="O209" s="22"/>
      <c r="P209" s="16">
        <v>46211.652337962965</v>
      </c>
      <c r="Q209" s="16">
        <v>46211</v>
      </c>
      <c r="R209" s="21" t="s">
        <v>19</v>
      </c>
      <c r="S209" s="21" t="s">
        <v>28</v>
      </c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</row>
    <row r="210" spans="1:45" s="24" customFormat="1" ht="13.9" hidden="1" customHeight="1" x14ac:dyDescent="0.35">
      <c r="A210" s="13" t="s">
        <v>265</v>
      </c>
      <c r="B210" s="13" t="s">
        <v>266</v>
      </c>
      <c r="C210" s="13">
        <v>18901</v>
      </c>
      <c r="D210" s="14" t="s">
        <v>33</v>
      </c>
      <c r="E210" s="15" t="s">
        <v>34</v>
      </c>
      <c r="F210" s="16">
        <v>46210</v>
      </c>
      <c r="G210" s="16">
        <v>46210</v>
      </c>
      <c r="H210" s="13">
        <v>1099</v>
      </c>
      <c r="I210" s="17" t="s">
        <v>134</v>
      </c>
      <c r="J210" s="18">
        <v>4395.95</v>
      </c>
      <c r="K210" s="19">
        <v>0</v>
      </c>
      <c r="L210" s="26">
        <f t="shared" si="8"/>
        <v>0</v>
      </c>
      <c r="M210" s="27"/>
      <c r="N210" s="27"/>
      <c r="O210" s="22"/>
      <c r="P210" s="16">
        <v>46210.518680555557</v>
      </c>
      <c r="Q210" s="16">
        <v>46210</v>
      </c>
      <c r="R210" s="21" t="s">
        <v>19</v>
      </c>
      <c r="S210" s="21" t="s">
        <v>135</v>
      </c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</row>
    <row r="211" spans="1:45" s="24" customFormat="1" ht="13.9" hidden="1" customHeight="1" x14ac:dyDescent="0.35">
      <c r="A211" s="13" t="s">
        <v>265</v>
      </c>
      <c r="B211" s="13" t="s">
        <v>266</v>
      </c>
      <c r="C211" s="13">
        <v>18918</v>
      </c>
      <c r="D211" s="14" t="s">
        <v>29</v>
      </c>
      <c r="E211" s="15" t="s">
        <v>30</v>
      </c>
      <c r="F211" s="16">
        <v>46224</v>
      </c>
      <c r="G211" s="16">
        <v>46219</v>
      </c>
      <c r="H211" s="13">
        <v>1972</v>
      </c>
      <c r="I211" s="17" t="s">
        <v>31</v>
      </c>
      <c r="J211" s="18">
        <v>719.61</v>
      </c>
      <c r="K211" s="19">
        <v>0</v>
      </c>
      <c r="L211" s="26">
        <f t="shared" si="8"/>
        <v>0</v>
      </c>
      <c r="M211" s="27"/>
      <c r="N211" s="27"/>
      <c r="O211" s="22"/>
      <c r="P211" s="16">
        <v>46224.523263888892</v>
      </c>
      <c r="Q211" s="16">
        <v>46224</v>
      </c>
      <c r="R211" s="21" t="s">
        <v>19</v>
      </c>
      <c r="S211" s="21" t="s">
        <v>32</v>
      </c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</row>
    <row r="212" spans="1:45" s="24" customFormat="1" ht="13.9" hidden="1" customHeight="1" x14ac:dyDescent="0.35">
      <c r="A212" s="13" t="s">
        <v>265</v>
      </c>
      <c r="B212" s="13" t="s">
        <v>266</v>
      </c>
      <c r="C212" s="13">
        <v>18908</v>
      </c>
      <c r="D212" s="14" t="s">
        <v>42</v>
      </c>
      <c r="E212" s="15" t="s">
        <v>43</v>
      </c>
      <c r="F212" s="16">
        <v>46216</v>
      </c>
      <c r="G212" s="16">
        <v>46214</v>
      </c>
      <c r="H212" s="13">
        <v>4538</v>
      </c>
      <c r="I212" s="17" t="s">
        <v>267</v>
      </c>
      <c r="J212" s="18">
        <v>5224.3999999999996</v>
      </c>
      <c r="K212" s="19">
        <v>0</v>
      </c>
      <c r="L212" s="26">
        <f t="shared" si="8"/>
        <v>0</v>
      </c>
      <c r="M212" s="27"/>
      <c r="N212" s="27"/>
      <c r="O212" s="22"/>
      <c r="P212" s="16">
        <v>46216.672453703701</v>
      </c>
      <c r="Q212" s="16">
        <v>46216</v>
      </c>
      <c r="R212" s="21" t="s">
        <v>19</v>
      </c>
      <c r="S212" s="21" t="s">
        <v>268</v>
      </c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</row>
    <row r="213" spans="1:45" s="24" customFormat="1" ht="13.5" hidden="1" customHeight="1" x14ac:dyDescent="0.35">
      <c r="A213" s="13" t="s">
        <v>265</v>
      </c>
      <c r="B213" s="13" t="s">
        <v>266</v>
      </c>
      <c r="C213" s="13">
        <v>18905</v>
      </c>
      <c r="D213" s="14" t="s">
        <v>33</v>
      </c>
      <c r="E213" s="15" t="s">
        <v>34</v>
      </c>
      <c r="F213" s="16">
        <v>46211</v>
      </c>
      <c r="G213" s="16">
        <v>46211</v>
      </c>
      <c r="H213" s="13">
        <v>32501</v>
      </c>
      <c r="I213" s="17" t="s">
        <v>243</v>
      </c>
      <c r="J213" s="18">
        <v>2194.71</v>
      </c>
      <c r="K213" s="19">
        <v>0</v>
      </c>
      <c r="L213" s="26">
        <f t="shared" si="8"/>
        <v>0</v>
      </c>
      <c r="M213" s="27"/>
      <c r="N213" s="27"/>
      <c r="O213" s="22"/>
      <c r="P213" s="16">
        <v>46211.737743055557</v>
      </c>
      <c r="Q213" s="16">
        <v>46211</v>
      </c>
      <c r="R213" s="21" t="s">
        <v>19</v>
      </c>
      <c r="S213" s="21" t="s">
        <v>244</v>
      </c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</row>
    <row r="214" spans="1:45" s="24" customFormat="1" ht="13.9" hidden="1" customHeight="1" x14ac:dyDescent="0.35">
      <c r="A214" s="13" t="s">
        <v>265</v>
      </c>
      <c r="B214" s="13" t="s">
        <v>266</v>
      </c>
      <c r="C214" s="13">
        <v>18913</v>
      </c>
      <c r="D214" s="14" t="s">
        <v>44</v>
      </c>
      <c r="E214" s="15" t="s">
        <v>45</v>
      </c>
      <c r="F214" s="16">
        <v>46220</v>
      </c>
      <c r="G214" s="16">
        <v>46220</v>
      </c>
      <c r="H214" s="13">
        <v>224960</v>
      </c>
      <c r="I214" s="17" t="s">
        <v>46</v>
      </c>
      <c r="J214" s="18">
        <v>28733.94</v>
      </c>
      <c r="K214" s="19">
        <v>574.66999999999996</v>
      </c>
      <c r="L214" s="26">
        <f t="shared" si="8"/>
        <v>1.9999693741965074</v>
      </c>
      <c r="M214" s="27"/>
      <c r="N214" s="27"/>
      <c r="O214" s="22"/>
      <c r="P214" s="16">
        <v>46220.757233796299</v>
      </c>
      <c r="Q214" s="16">
        <v>46220</v>
      </c>
      <c r="R214" s="21" t="s">
        <v>19</v>
      </c>
      <c r="S214" s="21" t="s">
        <v>47</v>
      </c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</row>
    <row r="215" spans="1:45" s="24" customFormat="1" ht="13.9" hidden="1" customHeight="1" x14ac:dyDescent="0.35">
      <c r="A215" s="13" t="s">
        <v>265</v>
      </c>
      <c r="B215" s="13" t="s">
        <v>266</v>
      </c>
      <c r="C215" s="13">
        <v>18911</v>
      </c>
      <c r="D215" s="14" t="s">
        <v>44</v>
      </c>
      <c r="E215" s="15" t="s">
        <v>45</v>
      </c>
      <c r="F215" s="16">
        <v>46220</v>
      </c>
      <c r="G215" s="16">
        <v>46220</v>
      </c>
      <c r="H215" s="13">
        <v>224965</v>
      </c>
      <c r="I215" s="17" t="s">
        <v>46</v>
      </c>
      <c r="J215" s="18">
        <v>12624.25</v>
      </c>
      <c r="K215" s="19">
        <v>252.48</v>
      </c>
      <c r="L215" s="26">
        <f t="shared" si="8"/>
        <v>1.9999603936867536</v>
      </c>
      <c r="M215" s="27"/>
      <c r="N215" s="27"/>
      <c r="O215" s="22" t="s">
        <v>269</v>
      </c>
      <c r="P215" s="16">
        <v>46220.757222222222</v>
      </c>
      <c r="Q215" s="16">
        <v>46220</v>
      </c>
      <c r="R215" s="21" t="s">
        <v>19</v>
      </c>
      <c r="S215" s="21" t="s">
        <v>47</v>
      </c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</row>
    <row r="216" spans="1:45" s="24" customFormat="1" ht="13.9" hidden="1" customHeight="1" x14ac:dyDescent="0.35">
      <c r="A216" s="13" t="s">
        <v>265</v>
      </c>
      <c r="B216" s="13" t="s">
        <v>266</v>
      </c>
      <c r="C216" s="13">
        <v>18912</v>
      </c>
      <c r="D216" s="14" t="s">
        <v>44</v>
      </c>
      <c r="E216" s="15" t="s">
        <v>45</v>
      </c>
      <c r="F216" s="16">
        <v>46220</v>
      </c>
      <c r="G216" s="16">
        <v>46220</v>
      </c>
      <c r="H216" s="13">
        <v>224977</v>
      </c>
      <c r="I216" s="17" t="s">
        <v>46</v>
      </c>
      <c r="J216" s="18">
        <v>13727.2</v>
      </c>
      <c r="K216" s="19">
        <v>274.54000000000002</v>
      </c>
      <c r="L216" s="26">
        <f t="shared" si="8"/>
        <v>1.9999708607727724</v>
      </c>
      <c r="M216" s="27"/>
      <c r="N216" s="27"/>
      <c r="O216" s="22"/>
      <c r="P216" s="16">
        <v>46220.757222222222</v>
      </c>
      <c r="Q216" s="16">
        <v>46220</v>
      </c>
      <c r="R216" s="21" t="s">
        <v>19</v>
      </c>
      <c r="S216" s="21" t="s">
        <v>47</v>
      </c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</row>
    <row r="217" spans="1:45" s="24" customFormat="1" ht="13.9" hidden="1" customHeight="1" x14ac:dyDescent="0.35">
      <c r="A217" s="13" t="s">
        <v>265</v>
      </c>
      <c r="B217" s="13" t="s">
        <v>266</v>
      </c>
      <c r="C217" s="13">
        <v>18909</v>
      </c>
      <c r="D217" s="14" t="s">
        <v>42</v>
      </c>
      <c r="E217" s="15" t="s">
        <v>43</v>
      </c>
      <c r="F217" s="16">
        <v>46217</v>
      </c>
      <c r="G217" s="16">
        <v>46214</v>
      </c>
      <c r="H217" s="13">
        <v>435205</v>
      </c>
      <c r="I217" s="17" t="s">
        <v>267</v>
      </c>
      <c r="J217" s="18">
        <v>1886.73</v>
      </c>
      <c r="K217" s="19">
        <v>0</v>
      </c>
      <c r="L217" s="26">
        <f t="shared" si="8"/>
        <v>0</v>
      </c>
      <c r="M217" s="27"/>
      <c r="N217" s="27"/>
      <c r="O217" s="22" t="s">
        <v>269</v>
      </c>
      <c r="P217" s="16">
        <v>46217.268657407411</v>
      </c>
      <c r="Q217" s="16">
        <v>46217</v>
      </c>
      <c r="R217" s="21" t="s">
        <v>19</v>
      </c>
      <c r="S217" s="21" t="s">
        <v>268</v>
      </c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</row>
    <row r="218" spans="1:45" s="24" customFormat="1" ht="13.9" hidden="1" customHeight="1" x14ac:dyDescent="0.35">
      <c r="A218" s="13" t="s">
        <v>270</v>
      </c>
      <c r="B218" s="13" t="s">
        <v>271</v>
      </c>
      <c r="C218" s="13">
        <v>28244</v>
      </c>
      <c r="D218" s="14" t="s">
        <v>36</v>
      </c>
      <c r="E218" s="15" t="s">
        <v>37</v>
      </c>
      <c r="F218" s="16">
        <v>46225</v>
      </c>
      <c r="G218" s="16">
        <v>46224</v>
      </c>
      <c r="H218" s="13">
        <v>37</v>
      </c>
      <c r="I218" s="17" t="s">
        <v>272</v>
      </c>
      <c r="J218" s="18">
        <v>4800</v>
      </c>
      <c r="K218" s="19">
        <v>0</v>
      </c>
      <c r="L218" s="20">
        <f t="shared" si="8"/>
        <v>0</v>
      </c>
      <c r="M218" s="27"/>
      <c r="N218" s="27"/>
      <c r="O218" s="22"/>
      <c r="P218" s="16">
        <v>46225.483067129629</v>
      </c>
      <c r="Q218" s="16">
        <v>46225</v>
      </c>
      <c r="R218" s="21" t="s">
        <v>19</v>
      </c>
      <c r="S218" s="21" t="s">
        <v>20</v>
      </c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</row>
    <row r="219" spans="1:45" s="24" customFormat="1" ht="13.9" hidden="1" customHeight="1" x14ac:dyDescent="0.35">
      <c r="A219" s="13" t="s">
        <v>270</v>
      </c>
      <c r="B219" s="13" t="s">
        <v>271</v>
      </c>
      <c r="C219" s="13">
        <v>28201</v>
      </c>
      <c r="D219" s="14" t="s">
        <v>29</v>
      </c>
      <c r="E219" s="15" t="s">
        <v>30</v>
      </c>
      <c r="F219" s="16">
        <v>46219</v>
      </c>
      <c r="G219" s="16">
        <v>46219</v>
      </c>
      <c r="H219" s="13">
        <v>1974</v>
      </c>
      <c r="I219" s="17" t="s">
        <v>31</v>
      </c>
      <c r="J219" s="18">
        <v>1598.45</v>
      </c>
      <c r="K219" s="19">
        <v>0</v>
      </c>
      <c r="L219" s="26">
        <f t="shared" si="8"/>
        <v>0</v>
      </c>
      <c r="M219" s="27"/>
      <c r="N219" s="27"/>
      <c r="O219" s="22"/>
      <c r="P219" s="16">
        <v>46219.59542824074</v>
      </c>
      <c r="Q219" s="16">
        <v>46219</v>
      </c>
      <c r="R219" s="21" t="s">
        <v>19</v>
      </c>
      <c r="S219" s="21" t="s">
        <v>32</v>
      </c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</row>
    <row r="220" spans="1:45" s="24" customFormat="1" ht="13.9" hidden="1" customHeight="1" x14ac:dyDescent="0.35">
      <c r="A220" s="13" t="s">
        <v>270</v>
      </c>
      <c r="B220" s="13" t="s">
        <v>271</v>
      </c>
      <c r="C220" s="13">
        <v>28196</v>
      </c>
      <c r="D220" s="14" t="s">
        <v>44</v>
      </c>
      <c r="E220" s="15" t="s">
        <v>45</v>
      </c>
      <c r="F220" s="16">
        <v>46218</v>
      </c>
      <c r="G220" s="16">
        <v>46218</v>
      </c>
      <c r="H220" s="13">
        <v>29083</v>
      </c>
      <c r="I220" s="17" t="s">
        <v>93</v>
      </c>
      <c r="J220" s="18">
        <v>16245.67</v>
      </c>
      <c r="K220" s="19">
        <v>812.28</v>
      </c>
      <c r="L220" s="26">
        <f t="shared" si="8"/>
        <v>4.99997845579776</v>
      </c>
      <c r="M220" s="27"/>
      <c r="N220" s="27"/>
      <c r="O220" s="22"/>
      <c r="P220" s="16">
        <v>46218.7</v>
      </c>
      <c r="Q220" s="16">
        <v>46218</v>
      </c>
      <c r="R220" s="21" t="s">
        <v>19</v>
      </c>
      <c r="S220" s="21" t="s">
        <v>94</v>
      </c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</row>
    <row r="221" spans="1:45" s="24" customFormat="1" ht="13.9" hidden="1" customHeight="1" x14ac:dyDescent="0.35">
      <c r="A221" s="13" t="s">
        <v>270</v>
      </c>
      <c r="B221" s="13" t="s">
        <v>271</v>
      </c>
      <c r="C221" s="13">
        <v>28219</v>
      </c>
      <c r="D221" s="14" t="s">
        <v>44</v>
      </c>
      <c r="E221" s="15" t="s">
        <v>45</v>
      </c>
      <c r="F221" s="16">
        <v>46220</v>
      </c>
      <c r="G221" s="16">
        <v>46220</v>
      </c>
      <c r="H221" s="13">
        <v>224966</v>
      </c>
      <c r="I221" s="17" t="s">
        <v>46</v>
      </c>
      <c r="J221" s="18">
        <v>13421.59</v>
      </c>
      <c r="K221" s="19">
        <v>671.07</v>
      </c>
      <c r="L221" s="26">
        <f t="shared" si="8"/>
        <v>4.9999292185203092</v>
      </c>
      <c r="M221" s="27"/>
      <c r="N221" s="27"/>
      <c r="O221" s="22" t="s">
        <v>92</v>
      </c>
      <c r="P221" s="16">
        <v>46220.683668981481</v>
      </c>
      <c r="Q221" s="16">
        <v>46220</v>
      </c>
      <c r="R221" s="21" t="s">
        <v>19</v>
      </c>
      <c r="S221" s="21" t="s">
        <v>47</v>
      </c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</row>
    <row r="222" spans="1:45" s="24" customFormat="1" ht="13.9" hidden="1" customHeight="1" x14ac:dyDescent="0.35">
      <c r="A222" s="13" t="s">
        <v>270</v>
      </c>
      <c r="B222" s="13" t="s">
        <v>271</v>
      </c>
      <c r="C222" s="13">
        <v>28197</v>
      </c>
      <c r="D222" s="14" t="s">
        <v>62</v>
      </c>
      <c r="E222" s="15" t="s">
        <v>63</v>
      </c>
      <c r="F222" s="16">
        <v>46218</v>
      </c>
      <c r="G222" s="16">
        <v>46216</v>
      </c>
      <c r="H222" s="13">
        <v>1006719.01</v>
      </c>
      <c r="I222" s="17" t="s">
        <v>84</v>
      </c>
      <c r="J222" s="18">
        <v>5555.27</v>
      </c>
      <c r="K222" s="19">
        <v>277.76</v>
      </c>
      <c r="L222" s="26">
        <f t="shared" si="8"/>
        <v>4.9999369967616332</v>
      </c>
      <c r="M222" s="27"/>
      <c r="N222" s="27"/>
      <c r="O222" s="22" t="s">
        <v>92</v>
      </c>
      <c r="P222" s="16">
        <v>46218.725902777776</v>
      </c>
      <c r="Q222" s="16">
        <v>46218</v>
      </c>
      <c r="R222" s="21" t="s">
        <v>19</v>
      </c>
      <c r="S222" s="21" t="s">
        <v>85</v>
      </c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</row>
    <row r="223" spans="1:45" s="24" customFormat="1" ht="13.9" hidden="1" customHeight="1" x14ac:dyDescent="0.35">
      <c r="A223" s="13" t="s">
        <v>273</v>
      </c>
      <c r="B223" s="13" t="s">
        <v>274</v>
      </c>
      <c r="C223" s="13">
        <v>45808</v>
      </c>
      <c r="D223" s="14" t="s">
        <v>25</v>
      </c>
      <c r="E223" s="15" t="s">
        <v>26</v>
      </c>
      <c r="F223" s="16">
        <v>46218</v>
      </c>
      <c r="G223" s="16">
        <v>46218</v>
      </c>
      <c r="H223" s="13">
        <v>1190</v>
      </c>
      <c r="I223" s="17" t="s">
        <v>97</v>
      </c>
      <c r="J223" s="18">
        <v>2941.03</v>
      </c>
      <c r="K223" s="19">
        <v>147.05000000000001</v>
      </c>
      <c r="L223" s="26">
        <f t="shared" si="8"/>
        <v>4.9999489974600735</v>
      </c>
      <c r="M223" s="27"/>
      <c r="N223" s="27">
        <v>58.82</v>
      </c>
      <c r="O223" s="22" t="s">
        <v>275</v>
      </c>
      <c r="P223" s="16">
        <v>46218.804155092592</v>
      </c>
      <c r="Q223" s="16">
        <v>46218</v>
      </c>
      <c r="R223" s="21" t="s">
        <v>19</v>
      </c>
      <c r="S223" s="21" t="s">
        <v>98</v>
      </c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</row>
    <row r="224" spans="1:45" s="24" customFormat="1" ht="13.9" hidden="1" customHeight="1" x14ac:dyDescent="0.35">
      <c r="A224" s="13" t="s">
        <v>273</v>
      </c>
      <c r="B224" s="13" t="s">
        <v>274</v>
      </c>
      <c r="C224" s="13">
        <v>45884</v>
      </c>
      <c r="D224" s="14" t="s">
        <v>29</v>
      </c>
      <c r="E224" s="15" t="s">
        <v>30</v>
      </c>
      <c r="F224" s="16">
        <v>46224</v>
      </c>
      <c r="G224" s="16">
        <v>46219</v>
      </c>
      <c r="H224" s="13">
        <v>1961</v>
      </c>
      <c r="I224" s="17" t="s">
        <v>31</v>
      </c>
      <c r="J224" s="18">
        <v>1091.5</v>
      </c>
      <c r="K224" s="19">
        <v>0</v>
      </c>
      <c r="L224" s="26">
        <f t="shared" si="8"/>
        <v>0</v>
      </c>
      <c r="M224" s="27"/>
      <c r="N224" s="27"/>
      <c r="O224" s="22"/>
      <c r="P224" s="16">
        <v>46224.641817129632</v>
      </c>
      <c r="Q224" s="16">
        <v>46224</v>
      </c>
      <c r="R224" s="21" t="s">
        <v>19</v>
      </c>
      <c r="S224" s="21" t="s">
        <v>52</v>
      </c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</row>
    <row r="225" spans="1:45" s="24" customFormat="1" ht="13.9" hidden="1" customHeight="1" x14ac:dyDescent="0.35">
      <c r="A225" s="13" t="s">
        <v>273</v>
      </c>
      <c r="B225" s="13" t="s">
        <v>274</v>
      </c>
      <c r="C225" s="13">
        <v>45869</v>
      </c>
      <c r="D225" s="14" t="s">
        <v>44</v>
      </c>
      <c r="E225" s="15" t="s">
        <v>45</v>
      </c>
      <c r="F225" s="16">
        <v>46220</v>
      </c>
      <c r="G225" s="16">
        <v>46220</v>
      </c>
      <c r="H225" s="13">
        <v>224967</v>
      </c>
      <c r="I225" s="17" t="s">
        <v>46</v>
      </c>
      <c r="J225" s="18">
        <v>16725.810000000001</v>
      </c>
      <c r="K225" s="19">
        <v>334.51</v>
      </c>
      <c r="L225" s="26">
        <f t="shared" si="8"/>
        <v>1.9999629315411331</v>
      </c>
      <c r="M225" s="27"/>
      <c r="N225" s="27"/>
      <c r="O225" s="22" t="s">
        <v>92</v>
      </c>
      <c r="P225" s="16">
        <v>46220.684861111113</v>
      </c>
      <c r="Q225" s="16">
        <v>46220</v>
      </c>
      <c r="R225" s="21" t="s">
        <v>19</v>
      </c>
      <c r="S225" s="21" t="s">
        <v>47</v>
      </c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</row>
    <row r="226" spans="1:45" s="24" customFormat="1" ht="13.9" hidden="1" customHeight="1" x14ac:dyDescent="0.35">
      <c r="A226" s="13" t="s">
        <v>273</v>
      </c>
      <c r="B226" s="13" t="s">
        <v>274</v>
      </c>
      <c r="C226" s="13">
        <v>45810</v>
      </c>
      <c r="D226" s="14" t="s">
        <v>54</v>
      </c>
      <c r="E226" s="15" t="s">
        <v>55</v>
      </c>
      <c r="F226" s="16">
        <v>46219</v>
      </c>
      <c r="G226" s="16">
        <v>46205</v>
      </c>
      <c r="H226" s="13">
        <v>1006707</v>
      </c>
      <c r="I226" s="17" t="s">
        <v>84</v>
      </c>
      <c r="J226" s="18">
        <v>13610.5</v>
      </c>
      <c r="K226" s="19">
        <v>408.31</v>
      </c>
      <c r="L226" s="26">
        <f t="shared" si="8"/>
        <v>2.9999632636567357</v>
      </c>
      <c r="M226" s="27"/>
      <c r="N226" s="27"/>
      <c r="O226" s="22" t="s">
        <v>92</v>
      </c>
      <c r="P226" s="16">
        <v>46219.50203703704</v>
      </c>
      <c r="Q226" s="16">
        <v>46219</v>
      </c>
      <c r="R226" s="21" t="s">
        <v>19</v>
      </c>
      <c r="S226" s="21" t="s">
        <v>259</v>
      </c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</row>
    <row r="227" spans="1:45" s="24" customFormat="1" ht="13.9" hidden="1" customHeight="1" x14ac:dyDescent="0.35">
      <c r="A227" s="13" t="s">
        <v>276</v>
      </c>
      <c r="B227" s="13" t="s">
        <v>277</v>
      </c>
      <c r="C227" s="13">
        <v>28626</v>
      </c>
      <c r="D227" s="14" t="s">
        <v>29</v>
      </c>
      <c r="E227" s="15" t="s">
        <v>30</v>
      </c>
      <c r="F227" s="16">
        <v>46224</v>
      </c>
      <c r="G227" s="16">
        <v>46219</v>
      </c>
      <c r="H227" s="13">
        <v>1358</v>
      </c>
      <c r="I227" s="17" t="s">
        <v>101</v>
      </c>
      <c r="J227" s="18">
        <v>1456.84</v>
      </c>
      <c r="K227" s="19">
        <v>0</v>
      </c>
      <c r="L227" s="26">
        <f t="shared" si="8"/>
        <v>0</v>
      </c>
      <c r="M227" s="27"/>
      <c r="N227" s="27"/>
      <c r="O227" s="22"/>
      <c r="P227" s="16">
        <v>46224.480046296296</v>
      </c>
      <c r="Q227" s="16">
        <v>46224</v>
      </c>
      <c r="R227" s="21" t="s">
        <v>19</v>
      </c>
      <c r="S227" s="21" t="s">
        <v>102</v>
      </c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</row>
    <row r="228" spans="1:45" s="24" customFormat="1" ht="13.9" hidden="1" customHeight="1" x14ac:dyDescent="0.35">
      <c r="A228" s="13" t="s">
        <v>276</v>
      </c>
      <c r="B228" s="13" t="s">
        <v>277</v>
      </c>
      <c r="C228" s="13">
        <v>28612</v>
      </c>
      <c r="D228" s="14" t="s">
        <v>44</v>
      </c>
      <c r="E228" s="15" t="s">
        <v>45</v>
      </c>
      <c r="F228" s="16">
        <v>46220</v>
      </c>
      <c r="G228" s="16">
        <v>46220</v>
      </c>
      <c r="H228" s="13">
        <v>224968</v>
      </c>
      <c r="I228" s="17" t="s">
        <v>46</v>
      </c>
      <c r="J228" s="18">
        <v>19954.830000000002</v>
      </c>
      <c r="K228" s="19">
        <v>997.74</v>
      </c>
      <c r="L228" s="26">
        <f t="shared" si="8"/>
        <v>4.9999924830229068</v>
      </c>
      <c r="M228" s="27"/>
      <c r="N228" s="27"/>
      <c r="O228" s="22"/>
      <c r="P228" s="16">
        <v>46220.705729166664</v>
      </c>
      <c r="Q228" s="16">
        <v>46220</v>
      </c>
      <c r="R228" s="21" t="s">
        <v>19</v>
      </c>
      <c r="S228" s="21" t="s">
        <v>47</v>
      </c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</row>
    <row r="229" spans="1:45" s="24" customFormat="1" ht="13.9" hidden="1" customHeight="1" x14ac:dyDescent="0.35">
      <c r="A229" s="13" t="s">
        <v>276</v>
      </c>
      <c r="B229" s="13" t="s">
        <v>277</v>
      </c>
      <c r="C229" s="13">
        <v>28605</v>
      </c>
      <c r="D229" s="14" t="s">
        <v>62</v>
      </c>
      <c r="E229" s="15" t="s">
        <v>63</v>
      </c>
      <c r="F229" s="16">
        <v>46218</v>
      </c>
      <c r="G229" s="16">
        <v>46213</v>
      </c>
      <c r="H229" s="13">
        <v>1006714</v>
      </c>
      <c r="I229" s="17" t="s">
        <v>84</v>
      </c>
      <c r="J229" s="18">
        <v>5507.89</v>
      </c>
      <c r="K229" s="19">
        <v>275.39</v>
      </c>
      <c r="L229" s="26">
        <f t="shared" si="8"/>
        <v>4.9999182990219477</v>
      </c>
      <c r="M229" s="27"/>
      <c r="N229" s="27"/>
      <c r="O229" s="22" t="s">
        <v>92</v>
      </c>
      <c r="P229" s="16">
        <v>46218.546898148146</v>
      </c>
      <c r="Q229" s="16">
        <v>46218</v>
      </c>
      <c r="R229" s="21" t="s">
        <v>19</v>
      </c>
      <c r="S229" s="21" t="s">
        <v>85</v>
      </c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</row>
    <row r="230" spans="1:45" s="24" customFormat="1" ht="13.9" hidden="1" customHeight="1" x14ac:dyDescent="0.35">
      <c r="A230" s="13" t="s">
        <v>278</v>
      </c>
      <c r="B230" s="13" t="s">
        <v>24</v>
      </c>
      <c r="C230" s="13">
        <v>19</v>
      </c>
      <c r="D230" s="14" t="s">
        <v>29</v>
      </c>
      <c r="E230" s="15" t="s">
        <v>30</v>
      </c>
      <c r="F230" s="16">
        <v>46224</v>
      </c>
      <c r="G230" s="16">
        <v>46219</v>
      </c>
      <c r="H230" s="13">
        <v>1976</v>
      </c>
      <c r="I230" s="17" t="s">
        <v>31</v>
      </c>
      <c r="J230" s="18">
        <v>900</v>
      </c>
      <c r="K230" s="19">
        <v>0</v>
      </c>
      <c r="L230" s="26">
        <f t="shared" si="8"/>
        <v>0</v>
      </c>
      <c r="M230" s="27"/>
      <c r="N230" s="27"/>
      <c r="O230" s="22"/>
      <c r="P230" s="16">
        <v>46224.528784722221</v>
      </c>
      <c r="Q230" s="16">
        <v>46224</v>
      </c>
      <c r="R230" s="21" t="s">
        <v>19</v>
      </c>
      <c r="S230" s="21" t="s">
        <v>32</v>
      </c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</row>
    <row r="231" spans="1:45" s="24" customFormat="1" ht="13.9" hidden="1" customHeight="1" x14ac:dyDescent="0.35">
      <c r="A231" s="13" t="s">
        <v>279</v>
      </c>
      <c r="B231" s="13" t="s">
        <v>24</v>
      </c>
      <c r="C231" s="13">
        <v>414</v>
      </c>
      <c r="D231" s="14" t="s">
        <v>44</v>
      </c>
      <c r="E231" s="15" t="s">
        <v>45</v>
      </c>
      <c r="F231" s="16">
        <v>46210</v>
      </c>
      <c r="G231" s="16">
        <v>46210</v>
      </c>
      <c r="H231" s="13">
        <v>992</v>
      </c>
      <c r="I231" s="17" t="s">
        <v>58</v>
      </c>
      <c r="J231" s="18">
        <v>2364465.81</v>
      </c>
      <c r="K231" s="19">
        <v>118223.29</v>
      </c>
      <c r="L231" s="26">
        <f t="shared" si="8"/>
        <v>4.9999999788535741</v>
      </c>
      <c r="M231" s="27"/>
      <c r="N231" s="27"/>
      <c r="O231" s="22"/>
      <c r="P231" s="16">
        <v>46210.839594907404</v>
      </c>
      <c r="Q231" s="16">
        <v>46210</v>
      </c>
      <c r="R231" s="21" t="s">
        <v>19</v>
      </c>
      <c r="S231" s="21" t="s">
        <v>59</v>
      </c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</row>
    <row r="232" spans="1:45" s="24" customFormat="1" ht="13.9" hidden="1" customHeight="1" x14ac:dyDescent="0.35">
      <c r="A232" s="13" t="s">
        <v>279</v>
      </c>
      <c r="B232" s="13" t="s">
        <v>24</v>
      </c>
      <c r="C232" s="13">
        <v>410</v>
      </c>
      <c r="D232" s="14" t="s">
        <v>62</v>
      </c>
      <c r="E232" s="15" t="s">
        <v>63</v>
      </c>
      <c r="F232" s="16">
        <v>46207</v>
      </c>
      <c r="G232" s="16">
        <v>46206</v>
      </c>
      <c r="H232" s="13">
        <v>1322</v>
      </c>
      <c r="I232" s="17" t="s">
        <v>64</v>
      </c>
      <c r="J232" s="18">
        <v>135388.48000000001</v>
      </c>
      <c r="K232" s="19">
        <v>6769.42</v>
      </c>
      <c r="L232" s="26">
        <f t="shared" si="8"/>
        <v>4.9999970455388816</v>
      </c>
      <c r="M232" s="27"/>
      <c r="N232" s="27"/>
      <c r="O232" s="22"/>
      <c r="P232" s="16">
        <v>46207.935034722221</v>
      </c>
      <c r="Q232" s="16">
        <v>46207</v>
      </c>
      <c r="R232" s="21" t="s">
        <v>19</v>
      </c>
      <c r="S232" s="21" t="s">
        <v>65</v>
      </c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</row>
    <row r="233" spans="1:45" s="24" customFormat="1" ht="13.9" hidden="1" customHeight="1" x14ac:dyDescent="0.35">
      <c r="A233" s="13" t="s">
        <v>279</v>
      </c>
      <c r="B233" s="13" t="s">
        <v>24</v>
      </c>
      <c r="C233" s="13">
        <v>418</v>
      </c>
      <c r="D233" s="14" t="s">
        <v>29</v>
      </c>
      <c r="E233" s="15" t="s">
        <v>30</v>
      </c>
      <c r="F233" s="16">
        <v>46224</v>
      </c>
      <c r="G233" s="16">
        <v>46219</v>
      </c>
      <c r="H233" s="13">
        <v>1975</v>
      </c>
      <c r="I233" s="17" t="s">
        <v>31</v>
      </c>
      <c r="J233" s="18">
        <v>562.20000000000005</v>
      </c>
      <c r="K233" s="19">
        <v>0</v>
      </c>
      <c r="L233" s="26">
        <f t="shared" si="8"/>
        <v>0</v>
      </c>
      <c r="M233" s="27"/>
      <c r="N233" s="27"/>
      <c r="O233" s="22"/>
      <c r="P233" s="16">
        <v>46224.526898148149</v>
      </c>
      <c r="Q233" s="16">
        <v>46224</v>
      </c>
      <c r="R233" s="21" t="s">
        <v>19</v>
      </c>
      <c r="S233" s="21" t="s">
        <v>32</v>
      </c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</row>
    <row r="234" spans="1:45" s="24" customFormat="1" ht="13.9" hidden="1" customHeight="1" x14ac:dyDescent="0.35">
      <c r="A234" s="13" t="s">
        <v>279</v>
      </c>
      <c r="B234" s="13" t="s">
        <v>24</v>
      </c>
      <c r="C234" s="13">
        <v>413</v>
      </c>
      <c r="D234" s="14" t="s">
        <v>127</v>
      </c>
      <c r="E234" s="15" t="s">
        <v>112</v>
      </c>
      <c r="F234" s="16">
        <v>46210</v>
      </c>
      <c r="G234" s="16">
        <v>46210</v>
      </c>
      <c r="H234" s="13">
        <v>2064</v>
      </c>
      <c r="I234" s="17" t="s">
        <v>280</v>
      </c>
      <c r="J234" s="18">
        <v>47571.44</v>
      </c>
      <c r="K234" s="19">
        <v>2378.5700000000002</v>
      </c>
      <c r="L234" s="26">
        <f t="shared" si="8"/>
        <v>4.9999957957968055</v>
      </c>
      <c r="M234" s="27"/>
      <c r="N234" s="27"/>
      <c r="O234" s="22"/>
      <c r="P234" s="16">
        <v>46210.544618055559</v>
      </c>
      <c r="Q234" s="16">
        <v>46210</v>
      </c>
      <c r="R234" s="21" t="s">
        <v>19</v>
      </c>
      <c r="S234" s="21" t="s">
        <v>281</v>
      </c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</row>
    <row r="235" spans="1:45" s="24" customFormat="1" ht="13.9" hidden="1" customHeight="1" x14ac:dyDescent="0.35">
      <c r="A235" s="13" t="s">
        <v>279</v>
      </c>
      <c r="B235" s="13" t="s">
        <v>24</v>
      </c>
      <c r="C235" s="13">
        <v>420</v>
      </c>
      <c r="D235" s="14" t="s">
        <v>42</v>
      </c>
      <c r="E235" s="15" t="s">
        <v>43</v>
      </c>
      <c r="F235" s="16">
        <v>46227</v>
      </c>
      <c r="G235" s="16">
        <v>46216</v>
      </c>
      <c r="H235" s="13">
        <v>4602</v>
      </c>
      <c r="I235" s="17" t="s">
        <v>66</v>
      </c>
      <c r="J235" s="18">
        <v>300</v>
      </c>
      <c r="K235" s="19">
        <v>0</v>
      </c>
      <c r="L235" s="26">
        <f t="shared" ref="L235:L266" si="9">K235/J235*100</f>
        <v>0</v>
      </c>
      <c r="M235" s="27"/>
      <c r="N235" s="27"/>
      <c r="O235" s="22"/>
      <c r="P235" s="16">
        <v>46227.489247685182</v>
      </c>
      <c r="Q235" s="16">
        <v>46227</v>
      </c>
      <c r="R235" s="21" t="s">
        <v>19</v>
      </c>
      <c r="S235" s="21" t="s">
        <v>67</v>
      </c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</row>
    <row r="236" spans="1:45" s="24" customFormat="1" ht="13.9" hidden="1" customHeight="1" x14ac:dyDescent="0.35">
      <c r="A236" s="13" t="s">
        <v>279</v>
      </c>
      <c r="B236" s="13" t="s">
        <v>24</v>
      </c>
      <c r="C236" s="13">
        <v>419</v>
      </c>
      <c r="D236" s="14" t="s">
        <v>42</v>
      </c>
      <c r="E236" s="15" t="s">
        <v>43</v>
      </c>
      <c r="F236" s="16">
        <v>46227</v>
      </c>
      <c r="G236" s="16">
        <v>46216</v>
      </c>
      <c r="H236" s="13">
        <v>4603</v>
      </c>
      <c r="I236" s="17" t="s">
        <v>66</v>
      </c>
      <c r="J236" s="18">
        <v>300</v>
      </c>
      <c r="K236" s="19">
        <v>0</v>
      </c>
      <c r="L236" s="26">
        <f t="shared" si="9"/>
        <v>0</v>
      </c>
      <c r="M236" s="27"/>
      <c r="N236" s="27"/>
      <c r="O236" s="22"/>
      <c r="P236" s="16">
        <v>46227.482256944444</v>
      </c>
      <c r="Q236" s="16">
        <v>46227</v>
      </c>
      <c r="R236" s="21" t="s">
        <v>19</v>
      </c>
      <c r="S236" s="21" t="s">
        <v>67</v>
      </c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</row>
    <row r="237" spans="1:45" s="24" customFormat="1" ht="13.9" hidden="1" customHeight="1" x14ac:dyDescent="0.35">
      <c r="A237" s="13" t="s">
        <v>279</v>
      </c>
      <c r="B237" s="13" t="s">
        <v>24</v>
      </c>
      <c r="C237" s="13">
        <v>417</v>
      </c>
      <c r="D237" s="14" t="s">
        <v>44</v>
      </c>
      <c r="E237" s="15" t="s">
        <v>45</v>
      </c>
      <c r="F237" s="16">
        <v>46218</v>
      </c>
      <c r="G237" s="16">
        <v>46217</v>
      </c>
      <c r="H237" s="13">
        <v>25902</v>
      </c>
      <c r="I237" s="17" t="s">
        <v>78</v>
      </c>
      <c r="J237" s="18">
        <v>796335.89</v>
      </c>
      <c r="K237" s="19">
        <v>39816.79</v>
      </c>
      <c r="L237" s="26">
        <f t="shared" si="9"/>
        <v>4.9999994349118184</v>
      </c>
      <c r="M237" s="27"/>
      <c r="N237" s="27"/>
      <c r="O237" s="22"/>
      <c r="P237" s="16">
        <v>46218.743981481479</v>
      </c>
      <c r="Q237" s="16">
        <v>46218</v>
      </c>
      <c r="R237" s="21" t="s">
        <v>19</v>
      </c>
      <c r="S237" s="21" t="s">
        <v>79</v>
      </c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</row>
    <row r="238" spans="1:45" ht="15.5" x14ac:dyDescent="0.35">
      <c r="A238" s="43" t="s">
        <v>282</v>
      </c>
      <c r="H238" s="55"/>
      <c r="J238" s="58">
        <f>SUBTOTAL(9, J1:J237)</f>
        <v>135116.12</v>
      </c>
      <c r="K238" s="59">
        <f>SUBTOTAL(9, K1:K237)</f>
        <v>2775.7599999999998</v>
      </c>
      <c r="L238" s="37"/>
      <c r="M238" s="60"/>
      <c r="N238" s="60"/>
      <c r="O238" s="61" t="s">
        <v>286</v>
      </c>
    </row>
    <row r="239" spans="1:45" ht="15.5" x14ac:dyDescent="0.35">
      <c r="H239" s="55"/>
      <c r="L239" s="20"/>
    </row>
    <row r="240" spans="1:45" x14ac:dyDescent="0.35">
      <c r="H240" s="55"/>
    </row>
    <row r="241" spans="7:13" ht="15.5" x14ac:dyDescent="0.35">
      <c r="H241" s="55"/>
      <c r="K241" s="25"/>
    </row>
    <row r="242" spans="7:13" x14ac:dyDescent="0.35">
      <c r="H242" s="55"/>
      <c r="K242" s="66"/>
    </row>
    <row r="243" spans="7:13" x14ac:dyDescent="0.35">
      <c r="H243" s="55"/>
    </row>
    <row r="244" spans="7:13" x14ac:dyDescent="0.35">
      <c r="H244" s="55"/>
    </row>
    <row r="245" spans="7:13" x14ac:dyDescent="0.35">
      <c r="H245" s="55"/>
    </row>
    <row r="246" spans="7:13" x14ac:dyDescent="0.35">
      <c r="H246" s="55"/>
    </row>
    <row r="247" spans="7:13" x14ac:dyDescent="0.35">
      <c r="H247" s="55"/>
    </row>
    <row r="248" spans="7:13" x14ac:dyDescent="0.35">
      <c r="H248" s="55"/>
      <c r="J248" s="67"/>
      <c r="K248" s="68"/>
      <c r="L248" s="69"/>
      <c r="M248" s="70"/>
    </row>
    <row r="249" spans="7:13" x14ac:dyDescent="0.35">
      <c r="G249" s="71"/>
      <c r="H249" s="55"/>
      <c r="J249" s="67"/>
    </row>
    <row r="250" spans="7:13" x14ac:dyDescent="0.35">
      <c r="G250" s="71"/>
      <c r="H250" s="55"/>
    </row>
  </sheetData>
  <autoFilter ref="A1:AS253" xr:uid="{F22B2ED4-1B9B-4B57-9847-F8D1C33D23FE}">
    <filterColumn colId="0">
      <filters blank="1">
        <filter val="MCE"/>
        <filter val="Subtotal:"/>
      </filters>
    </filterColumn>
    <sortState xmlns:xlrd2="http://schemas.microsoft.com/office/spreadsheetml/2017/richdata2" ref="A50:AS253">
      <sortCondition ref="A1:A253"/>
    </sortState>
  </autoFilter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#pública&amp;1#_x000D_</oddHeader>
  </headerFooter>
  <drawing r:id="rId2"/>
  <legacyDrawing r:id="rId3"/>
</worksheet>
</file>

<file path=docMetadata/LabelInfo.xml><?xml version="1.0" encoding="utf-8"?>
<clbl:labelList xmlns:clbl="http://schemas.microsoft.com/office/2020/mipLabelMetadata">
  <clbl:label id="{fa8ee1c0-7bef-4b0e-9720-38e5bcc1c3ad}" enabled="1" method="Privileged" siteId="{ffc0be44-315f-4479-b12f-56afe6ededd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BB Tecnologia e Servicos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Cristina Maia de Sousa</dc:creator>
  <cp:lastModifiedBy>Michelle Cristina Maia de Sousa</cp:lastModifiedBy>
  <dcterms:created xsi:type="dcterms:W3CDTF">2026-08-18T21:30:13Z</dcterms:created>
  <dcterms:modified xsi:type="dcterms:W3CDTF">2026-08-21T19:47:40Z</dcterms:modified>
</cp:coreProperties>
</file>